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bookViews>
    <workbookView visibility="visible" minimized="0" showHorizontalScroll="1" showVerticalScroll="1" showSheetTabs="1" xWindow="0" yWindow="0" windowWidth="38400" windowHeight="17730" tabRatio="600" firstSheet="0" activeTab="1" autoFilterDateGrouping="1"/>
  </bookViews>
  <sheets>
    <sheet name="Mode_emploi" sheetId="1" state="visible" ns1:id="rId1"/>
    <sheet name="Interface_Generation" sheetId="2" state="visible" ns1:id="rId2"/>
    <sheet name="Saisie_Questions" sheetId="3" state="visible" ns1:id="rId3"/>
    <sheet name="XML_QTI" sheetId="4" state="visible" ns1:id="rId4"/>
    <sheet name="Generation" sheetId="5" state="visible" ns1:id="rId5"/>
  </sheets>
  <definedNames/>
  <calcPr calcId="162913" calcMode="auto" fullCalcOnLoad="1" forceFullCalc="1"/>
</workbook>
</file>

<file path=xl/styles.xml><?xml version="1.0" encoding="utf-8"?>
<styleSheet xmlns="http://schemas.openxmlformats.org/spreadsheetml/2006/main">
  <numFmts count="0"/>
  <fonts count="15">
    <font>
      <name val="Carlito"/>
      <sz val="11"/>
    </font>
    <font>
      <name val="Carlito"/>
      <b val="1"/>
      <color rgb="FF1F4E78"/>
      <sz val="11"/>
    </font>
    <font>
      <name val="Carlito"/>
      <b val="1"/>
      <sz val="11"/>
    </font>
    <font>
      <name val="Carlito"/>
      <b val="1"/>
      <color rgb="FFFFFFFF"/>
      <sz val="15"/>
    </font>
    <font>
      <name val="Carlito"/>
      <i val="1"/>
      <color rgb="FF1F4E78"/>
      <sz val="11"/>
    </font>
    <font>
      <name val="Carlito"/>
      <b val="1"/>
      <color rgb="FFFFFFFF"/>
      <sz val="11"/>
    </font>
    <font>
      <name val="Carlito"/>
      <b val="1"/>
      <color rgb="FF7F6000"/>
      <sz val="11"/>
    </font>
    <font>
      <name val="Calibri"/>
      <family val="2"/>
      <color rgb="FF000000"/>
      <sz val="11"/>
    </font>
    <font>
      <name val="Carlito"/>
      <b val="1"/>
      <color theme="4" tint="-0.249977111117893"/>
      <sz val="22"/>
    </font>
    <font>
      <b val="1"/>
      <color rgb="00FFFFFF"/>
      <sz val="15"/>
    </font>
    <font>
      <b val="1"/>
      <color rgb="001F4E78"/>
    </font>
    <font>
      <b val="1"/>
      <color rgb="00FFFFFF"/>
      <sz val="18"/>
    </font>
    <font>
      <b val="1"/>
      <color rgb="00FFFFFF"/>
    </font>
    <font>
      <name val="Calibri"/>
      <family val="2"/>
      <color theme="10"/>
      <sz val="12"/>
      <scheme val="minor"/>
    </font>
    <font>
      <b val="1"/>
      <color rgb="00FFFFFF"/>
      <sz val="16"/>
    </font>
  </fonts>
  <fills count="13">
    <fill>
      <patternFill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EAF3F8"/>
      </patternFill>
    </fill>
    <fill>
      <patternFill patternType="solid">
        <fgColor rgb="FF4472C4"/>
      </patternFill>
    </fill>
    <fill>
      <patternFill patternType="solid">
        <fgColor rgb="FFFFF2CC"/>
      </patternFill>
    </fill>
    <fill>
      <patternFill patternType="solid">
        <fgColor rgb="001F4E78"/>
      </patternFill>
    </fill>
    <fill>
      <patternFill patternType="solid">
        <fgColor rgb="00D9EAF7"/>
      </patternFill>
    </fill>
    <fill>
      <patternFill patternType="solid">
        <fgColor rgb="00FFFFFF"/>
      </patternFill>
    </fill>
    <fill>
      <patternFill patternType="solid">
        <fgColor rgb="00F7FBFF"/>
      </patternFill>
    </fill>
    <fill>
      <patternFill patternType="solid">
        <fgColor rgb="00EAF3F8"/>
      </patternFill>
    </fill>
    <fill>
      <patternFill patternType="solid">
        <fgColor rgb="00FFF2CC"/>
      </patternFill>
    </fill>
  </fills>
  <borders count="13">
    <border>
      <left/>
      <right/>
      <top/>
      <bottom/>
      <diagonal/>
    </border>
    <border>
      <left style="thin">
        <color rgb="00B7C9D6"/>
      </left>
      <right style="thin">
        <color rgb="00B7C9D6"/>
      </right>
      <top style="thin">
        <color rgb="00B7C9D6"/>
      </top>
      <bottom style="thin">
        <color rgb="00B7C9D6"/>
      </bottom>
    </border>
    <border>
      <left style="thin">
        <color rgb="00B7C9D6"/>
      </left>
      <right style="thin">
        <color rgb="00B7C9D6"/>
      </right>
      <top style="medium">
        <color rgb="001F4E78"/>
      </top>
      <bottom style="medium">
        <color rgb="001F4E78"/>
      </bottom>
    </border>
    <border/>
    <border>
      <left/>
      <right/>
      <top style="thin">
        <color rgb="00B7C9D6"/>
      </top>
      <bottom/>
      <diagonal/>
    </border>
    <border>
      <left/>
      <right style="thin">
        <color rgb="00B7C9D6"/>
      </right>
      <top style="thin">
        <color rgb="00B7C9D6"/>
      </top>
      <bottom/>
      <diagonal/>
    </border>
    <border>
      <left/>
      <right/>
      <top style="thin">
        <color rgb="00B7C9D6"/>
      </top>
      <bottom style="thin">
        <color rgb="00B7C9D6"/>
      </bottom>
      <diagonal/>
    </border>
    <border>
      <left/>
      <right style="thin">
        <color rgb="00B7C9D6"/>
      </right>
      <top style="thin">
        <color rgb="00B7C9D6"/>
      </top>
      <bottom style="thin">
        <color rgb="00B7C9D6"/>
      </bottom>
      <diagonal/>
    </border>
    <border>
      <left style="thin">
        <color rgb="00B7C9D6"/>
      </left>
      <right/>
      <top/>
      <bottom/>
      <diagonal/>
    </border>
    <border>
      <left/>
      <right style="thin">
        <color rgb="00B7C9D6"/>
      </right>
      <top/>
      <bottom/>
      <diagonal/>
    </border>
    <border>
      <left style="thin">
        <color rgb="00B7C9D6"/>
      </left>
      <right/>
      <top/>
      <bottom style="thin">
        <color rgb="00B7C9D6"/>
      </bottom>
      <diagonal/>
    </border>
    <border>
      <left/>
      <right/>
      <top/>
      <bottom style="thin">
        <color rgb="00B7C9D6"/>
      </bottom>
      <diagonal/>
    </border>
    <border>
      <left/>
      <right style="thin">
        <color rgb="00B7C9D6"/>
      </right>
      <top/>
      <bottom style="thin">
        <color rgb="00B7C9D6"/>
      </bottom>
      <diagonal/>
    </border>
  </borders>
  <cellStyleXfs count="2">
    <xf numFmtId="0" fontId="0" fillId="0" borderId="0"/>
    <xf numFmtId="0" fontId="13" fillId="0" borderId="0"/>
  </cellStyleXfs>
  <cellXfs count="60">
    <xf numFmtId="0" fontId="0" fillId="0" borderId="0" pivotButton="0" quotePrefix="0" xfId="0"/>
    <xf numFmtId="0" fontId="1" fillId="3" borderId="0" pivotButton="0" quotePrefix="0" xfId="0"/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vertical="top" wrapText="1"/>
    </xf>
    <xf numFmtId="0" fontId="5" fillId="5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 wrapText="1"/>
    </xf>
    <xf numFmtId="49" fontId="0" fillId="0" borderId="0" applyAlignment="1" pivotButton="0" quotePrefix="0" xfId="0">
      <alignment horizontal="center" vertical="top" wrapText="1"/>
    </xf>
    <xf numFmtId="2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horizontal="left" vertical="top" wrapText="1"/>
    </xf>
    <xf numFmtId="0" fontId="1" fillId="0" borderId="0" pivotButton="0" quotePrefix="0" xfId="0"/>
    <xf numFmtId="0" fontId="1" fillId="0" borderId="0" pivotButton="0" quotePrefix="0" xfId="0"/>
    <xf numFmtId="0" fontId="0" fillId="0" borderId="0" applyAlignment="1" pivotButton="0" quotePrefix="0" xfId="0">
      <alignment wrapText="1"/>
    </xf>
    <xf numFmtId="0" fontId="0" fillId="0" borderId="0" pivotButton="0" quotePrefix="0" xfId="0"/>
    <xf numFmtId="0" fontId="3" fillId="2" borderId="0" applyAlignment="1" pivotButton="0" quotePrefix="0" xfId="0">
      <alignment horizontal="center" vertical="center"/>
    </xf>
    <xf numFmtId="0" fontId="4" fillId="4" borderId="0" pivotButton="0" quotePrefix="0" xfId="0"/>
    <xf numFmtId="0" fontId="6" fillId="6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0" fillId="0" borderId="0" pivotButton="0" quotePrefix="0" xfId="0"/>
    <xf numFmtId="0" fontId="1" fillId="0" borderId="0" applyAlignment="1" pivotButton="0" quotePrefix="0" xfId="0">
      <alignment vertical="top"/>
    </xf>
    <xf numFmtId="0" fontId="2" fillId="0" borderId="0" pivotButton="0" quotePrefix="0" xfId="0"/>
    <xf numFmtId="0" fontId="8" fillId="0" borderId="0" pivotButton="0" quotePrefix="0" xfId="0"/>
    <xf numFmtId="0" fontId="9" fillId="7" borderId="0" applyAlignment="1" pivotButton="0" quotePrefix="0" xfId="0">
      <alignment horizontal="center"/>
    </xf>
    <xf numFmtId="0" fontId="10" fillId="8" borderId="1" applyAlignment="1" pivotButton="0" quotePrefix="0" xfId="0">
      <alignment vertical="top"/>
    </xf>
    <xf numFmtId="0" fontId="0" fillId="0" borderId="1" applyAlignment="1" pivotButton="0" quotePrefix="0" xfId="0">
      <alignment vertical="top" wrapText="1"/>
    </xf>
    <xf numFmtId="0" fontId="10" fillId="8" borderId="1" pivotButton="0" quotePrefix="0" xfId="0"/>
    <xf numFmtId="0" fontId="11" fillId="7" borderId="0" applyAlignment="1" pivotButton="0" quotePrefix="0" xfId="0">
      <alignment horizontal="center"/>
    </xf>
    <xf numFmtId="0" fontId="12" fillId="7" borderId="0" applyAlignment="1" pivotButton="0" quotePrefix="0" xfId="0">
      <alignment horizontal="center"/>
    </xf>
    <xf numFmtId="0" fontId="0" fillId="9" borderId="1" applyAlignment="1" pivotButton="0" quotePrefix="0" xfId="0">
      <alignment wrapText="1"/>
    </xf>
    <xf numFmtId="0" fontId="0" fillId="11" borderId="1" applyAlignment="1" pivotButton="0" quotePrefix="0" xfId="0">
      <alignment horizontal="center"/>
    </xf>
    <xf numFmtId="0" fontId="0" fillId="10" borderId="1" applyAlignment="1" pivotButton="0" quotePrefix="0" xfId="0">
      <alignment wrapText="1"/>
    </xf>
    <xf numFmtId="0" fontId="0" fillId="0" borderId="1" applyAlignment="1" pivotButton="0" quotePrefix="0" xfId="0">
      <alignment wrapText="1"/>
    </xf>
    <xf numFmtId="0" fontId="13" fillId="0" borderId="1" pivotButton="0" quotePrefix="0" xfId="1"/>
    <xf numFmtId="0" fontId="0" fillId="12" borderId="1" applyAlignment="1" pivotButton="0" quotePrefix="0" xfId="0">
      <alignment vertical="top" wrapText="1"/>
    </xf>
    <xf numFmtId="0" fontId="14" fillId="7" borderId="0" applyAlignment="1" pivotButton="0" quotePrefix="0" xfId="0">
      <alignment horizontal="center"/>
    </xf>
    <xf numFmtId="0" fontId="4" fillId="8" borderId="0" applyAlignment="1" pivotButton="0" quotePrefix="0" xfId="0">
      <alignment horizontal="center"/>
    </xf>
    <xf numFmtId="0" fontId="6" fillId="12" borderId="0" applyAlignment="1" pivotButton="0" quotePrefix="0" xfId="0">
      <alignment vertical="center" wrapText="1"/>
    </xf>
    <xf numFmtId="0" fontId="12" fillId="7" borderId="2" applyAlignment="1" pivotButton="0" quotePrefix="0" xfId="0">
      <alignment horizontal="center" vertical="center" wrapText="1"/>
    </xf>
    <xf numFmtId="0" fontId="0" fillId="11" borderId="1" applyAlignment="1" pivotButton="0" quotePrefix="0" xfId="0">
      <alignment vertical="top" wrapText="1"/>
    </xf>
    <xf numFmtId="0" fontId="0" fillId="9" borderId="1" applyAlignment="1" pivotButton="0" quotePrefix="0" xfId="0">
      <alignment vertical="top" wrapText="1"/>
    </xf>
    <xf numFmtId="49" fontId="0" fillId="9" borderId="1" applyAlignment="1" pivotButton="0" quotePrefix="0" xfId="0">
      <alignment vertical="top" wrapText="1"/>
    </xf>
    <xf numFmtId="2" fontId="0" fillId="9" borderId="1" applyAlignment="1" pivotButton="0" quotePrefix="0" xfId="0">
      <alignment vertical="top" wrapText="1"/>
    </xf>
    <xf numFmtId="0" fontId="0" fillId="10" borderId="1" applyAlignment="1" pivotButton="0" quotePrefix="0" xfId="0">
      <alignment vertical="top" wrapText="1"/>
    </xf>
    <xf numFmtId="0" fontId="1" fillId="0" borderId="1" applyAlignment="1" pivotButton="0" quotePrefix="0" xfId="0">
      <alignment vertical="top"/>
    </xf>
    <xf numFmtId="0" fontId="10" fillId="8" borderId="1" applyAlignment="1" pivotButton="0" quotePrefix="0" xfId="0">
      <alignment vertical="top"/>
    </xf>
    <xf numFmtId="0" fontId="0" fillId="11" borderId="1" applyAlignment="1" pivotButton="0" quotePrefix="0" xfId="0">
      <alignment wrapText="1"/>
    </xf>
    <xf numFmtId="0" fontId="1" fillId="3" borderId="1" applyAlignment="1" pivotButton="0" quotePrefix="0" xfId="0">
      <alignment vertical="top"/>
    </xf>
    <xf numFmtId="0" fontId="0" fillId="0" borderId="1" applyAlignment="1" pivotButton="0" quotePrefix="0" xfId="0">
      <alignment vertical="top"/>
    </xf>
    <xf numFmtId="0" fontId="0" fillId="12" borderId="1" applyAlignment="1" pivotButton="0" quotePrefix="0" xfId="0">
      <alignment wrapText="1"/>
    </xf>
    <xf numFmtId="0" fontId="0" fillId="0" borderId="3" applyAlignment="1" pivotButton="0" quotePrefix="0" xfId="0">
      <alignment vertical="top"/>
    </xf>
    <xf numFmtId="0" fontId="12" fillId="7" borderId="1" applyAlignment="1" pivotButton="0" quotePrefix="0" xfId="0">
      <alignment horizontal="center"/>
    </xf>
    <xf numFmtId="0" fontId="10" fillId="6" borderId="1" applyAlignment="1" pivotButton="0" quotePrefix="0" xfId="0">
      <alignment vertical="top"/>
    </xf>
    <xf numFmtId="0" fontId="0" fillId="0" borderId="6" pivotButton="0" quotePrefix="0" xfId="0"/>
    <xf numFmtId="0" fontId="0" fillId="0" borderId="7" pivotButton="0" quotePrefix="0" xfId="0"/>
    <xf numFmtId="0" fontId="0" fillId="0" borderId="4" pivotButton="0" quotePrefix="0" xfId="0"/>
    <xf numFmtId="0" fontId="0" fillId="0" borderId="5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12" pivotButton="0" quotePrefix="0" xfId="0"/>
  </cellXfs>
  <cellStyles count="2">
    <cellStyle name="Normal" xfId="0" builtinId="0"/>
    <cellStyle name="Hyperlink" xfId="1" builtinId="8" hidden="0"/>
  </cellStyles>
  <dxfs count="4">
    <dxf>
      <font>
        <b val="1"/>
        <color rgb="FF9C0006"/>
      </font>
      <fill>
        <patternFill patternType="solid">
          <bgColor rgb="FFFCE4D6"/>
        </patternFill>
      </fill>
    </dxf>
    <dxf>
      <font>
        <b val="1"/>
        <color rgb="FF375623"/>
      </font>
      <fill>
        <patternFill patternType="solid">
          <bgColor rgb="FFE2F0D9"/>
        </patternFill>
      </fill>
    </dxf>
    <dxf>
      <font>
        <color rgb="00006100"/>
      </font>
      <fill>
        <patternFill patternType="solid">
          <fgColor rgb="00E2F0D9"/>
        </patternFill>
      </fill>
    </dxf>
    <dxf>
      <font>
        <color rgb="009C0006"/>
      </font>
      <fill>
        <patternFill patternType="solid">
          <fgColor rgb="00FCE4D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?>
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omments/comment1.xml><?xml version="1.0" encoding="utf-8"?>
<comments xmlns="http://schemas.openxmlformats.org/spreadsheetml/2006/main">
  <authors>
    <author>ChatGPT</author>
  </authors>
  <commentList>
    <comment ref="B5" authorId="0" shapeId="0">
      <text>
        <t>Modifiez cette valeur pour définir l’auteur utilisé lorsque la colonne Auteur est vide dans Saisie_Questions.</t>
      </text>
    </comment>
  </commentList>
</comments>
</file>

<file path=xl/comments/comment2.xml><?xml version="1.0" encoding="utf-8"?>
<comments xmlns="http://schemas.openxmlformats.org/spreadsheetml/2006/main">
  <authors>
    <author>ChatGPT</author>
  </authors>
  <commentList>
    <comment ref="P4" authorId="0" shapeId="0">
      <text>
        <t>Optionnel. Si vide, la valeur Auteur par défaut de Interface_Generation est utilisée.</t>
      </text>
    </comment>
    <comment ref="Q4" authorId="0" shapeId="0">
      <text>
        <t>Optionnel. Ajoute une correction globale détaillée à la question.</t>
      </text>
    </comment>
    <comment ref="R4" authorId="0" shapeId="0">
      <text>
        <t>Optionnel. Feedback associé à cette réponse.</t>
      </text>
    </comment>
    <comment ref="S4" authorId="0" shapeId="0">
      <text>
        <t>Optionnel. Feedback associé à cette réponse.</t>
      </text>
    </comment>
    <comment ref="T4" authorId="0" shapeId="0">
      <text>
        <t>Optionnel. Feedback associé à cette réponse.</t>
      </text>
    </comment>
    <comment ref="U4" authorId="0" shapeId="0">
      <text>
        <t>Optionnel. Feedback associé à cette réponse.</t>
      </text>
    </comment>
    <comment ref="V4" authorId="0" shapeId="0">
      <text>
        <t>Optionnel. Feedback associé à cette réponse.</t>
      </text>
    </comment>
    <comment ref="W4" authorId="0" shapeId="0">
      <text>
        <t>Optionnel. Feedback associé à cette réponse.</t>
      </text>
    </comment>
    <comment ref="X4" authorId="0" shapeId="0">
      <text>
        <t>Optionnel. Feedback associé à cette réponse.</t>
      </text>
    </comment>
    <comment ref="Y4" authorId="0" shapeId="0">
      <text>
        <t>Optionnel. Feedback associé à cette réponse.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QuestionsTable" displayName="QuestionsTable" ref="A4:Y104" headerRowCount="1">
  <tableColumns count="25">
    <tableColumn id="1" name="N°"/>
    <tableColumn id="2" name="Type auto"/>
    <tableColumn id="3" name="Titre"/>
    <tableColumn id="4" name="Question"/>
    <tableColumn id="5" name="Réponse 1"/>
    <tableColumn id="6" name="Réponse 2"/>
    <tableColumn id="7" name="Réponse 3"/>
    <tableColumn id="8" name="Réponse 4"/>
    <tableColumn id="9" name="Réponse 5"/>
    <tableColumn id="10" name="Réponse 6"/>
    <tableColumn id="11" name="Réponse 7"/>
    <tableColumn id="12" name="Réponse 8"/>
    <tableColumn id="13" name="Bonne réponse"/>
    <tableColumn id="14" name="Pondération"/>
    <tableColumn id="15" name="Contrôle"/>
    <tableColumn id="16" name="Auteur"/>
    <tableColumn id="17" name="Explication / correction détaillée"/>
    <tableColumn id="18" name="Feedback réponse 1"/>
    <tableColumn id="19" name="Feedback réponse 2"/>
    <tableColumn id="20" name="Feedback réponse 3"/>
    <tableColumn id="21" name="Feedback réponse 4"/>
    <tableColumn id="22" name="Feedback réponse 5"/>
    <tableColumn id="23" name="Feedback réponse 6"/>
    <tableColumn id="24" name="Feedback réponse 7"/>
    <tableColumn id="25" name="Feedback réponse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hyperlink" Target="#Saisie_Questions!A1" TargetMode="External" Id="rId1"/><Relationship Type="http://schemas.openxmlformats.org/officeDocument/2006/relationships/hyperlink" Target="#XML_QTI!A1" TargetMode="External" Id="rId2"/><Relationship Type="http://schemas.openxmlformats.org/officeDocument/2006/relationships/hyperlink" Target="#Generation!A1" TargetMode="External" Id="rId3"/><Relationship Type="http://schemas.openxmlformats.org/officeDocument/2006/relationships/hyperlink" Target="#Mode_emploi!A1" TargetMode="External" Id="rId4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18"/>
  <sheetViews>
    <sheetView tabSelected="1" workbookViewId="0">
      <selection activeCell="B16" sqref="B16"/>
    </sheetView>
  </sheetViews>
  <sheetFormatPr baseColWidth="10" defaultColWidth="9" defaultRowHeight="14.25"/>
  <cols>
    <col width="24" customWidth="1" style="17" min="1" max="1"/>
    <col width="110" bestFit="1" customWidth="1" style="17" min="2" max="2"/>
    <col width="9" customWidth="1" style="17" min="3" max="16384"/>
  </cols>
  <sheetData>
    <row r="1" ht="22" customHeight="1" s="17">
      <c r="B1" s="21" t="inlineStr">
        <is>
          <t>Notice d’utilisation – Génération XML QTI 1.2 pour ILIAS 8 – Version 2</t>
        </is>
      </c>
    </row>
    <row r="2" ht="36" customHeight="1" s="17">
      <c r="A2" s="43" t="inlineStr">
        <is>
          <t>Objectif</t>
        </is>
      </c>
      <c r="B2" s="23" t="inlineStr">
        <is>
          <t>Saisir des questions QCU dans Excel et générer un fichier XML QTI 1.2 prêt à importer dans un pool de questions ILIAS 8.</t>
        </is>
      </c>
    </row>
    <row r="3" ht="36" customHeight="1" s="17">
      <c r="A3" s="43" t="inlineStr">
        <is>
          <t>Nouveauté V2 – Auteur</t>
        </is>
      </c>
      <c r="B3" s="23" t="inlineStr">
        <is>
          <t>La colonne Auteur permet de renseigner l’auteur de chaque question. Si elle est vide, l’auteur par défaut de la feuille Interface_Generation est utilisé.</t>
        </is>
      </c>
    </row>
    <row r="4" ht="36" customHeight="1" s="17">
      <c r="A4" s="43" t="inlineStr">
        <is>
          <t>Nouveauté V2 – Feedbacks</t>
        </is>
      </c>
      <c r="B4" s="23" t="inlineStr">
        <is>
          <t>Les colonnes Feedback réponse 1 à Feedback réponse 8 sont optionnelles et produisent des itemfeedback liés aux réponses.</t>
        </is>
      </c>
    </row>
    <row r="5" ht="36" customHeight="1" s="17">
      <c r="A5" s="43" t="inlineStr">
        <is>
          <t>Nouveauté V2 – Explication</t>
        </is>
      </c>
      <c r="B5" s="23" t="inlineStr">
        <is>
          <t>La colonne Explication / correction détaillée est optionnelle et permet d’ajouter une correction globale affichable après réponse.</t>
        </is>
      </c>
    </row>
    <row r="6" ht="36" customHeight="1" s="17">
      <c r="A6" s="43" t="inlineStr">
        <is>
          <t>Feuille Saisie_Questions</t>
        </is>
      </c>
      <c r="B6" s="23" t="inlineStr">
        <is>
          <t>Compléter une ligne par question. Le type reste QCU par défaut. Les champs Auteur, Feedbacks et Explication sont optionnels.</t>
        </is>
      </c>
    </row>
    <row r="7" ht="36" customHeight="1" s="17">
      <c r="A7" s="43" t="inlineStr">
        <is>
          <t>Réponses</t>
        </is>
      </c>
      <c r="B7" s="23" t="inlineStr">
        <is>
          <t>Renseigner les réponses dans Réponse 1 à Réponse 8. Au moins 2 réponses sont attendues.</t>
        </is>
      </c>
    </row>
    <row r="8" ht="36" customHeight="1" s="17">
      <c r="A8" s="43" t="inlineStr">
        <is>
          <t>Bonne réponse</t>
        </is>
      </c>
      <c r="B8" s="23" t="inlineStr">
        <is>
          <t>Indiquer un seul numéro de réponse correcte, de 1 à 8.</t>
        </is>
      </c>
    </row>
    <row r="9" ht="36" customHeight="1" s="17">
      <c r="A9" s="43" t="inlineStr">
        <is>
          <t>Pondération</t>
        </is>
      </c>
      <c r="B9" s="23" t="inlineStr">
        <is>
          <t>Indiquer le nombre de points de la question. Exemples : 1, 2, 5.</t>
        </is>
      </c>
    </row>
    <row r="10" ht="36" customHeight="1" s="17">
      <c r="A10" s="43" t="inlineStr">
        <is>
          <t>Contrôle</t>
        </is>
      </c>
      <c r="B10" s="23" t="inlineStr">
        <is>
          <t>La colonne Contrôle doit afficher OK pour que la question soit intégrée au fichier XML.</t>
        </is>
      </c>
    </row>
    <row r="11" ht="36" customHeight="1" s="17">
      <c r="A11" s="43" t="inlineStr">
        <is>
          <t>Interface_Generation</t>
        </is>
      </c>
      <c r="B11" s="23" t="inlineStr">
        <is>
          <t>Tableau de bord V2 : auteur par défaut, compteurs de validation, liens vers les feuilles utiles et rappel de génération.</t>
        </is>
      </c>
    </row>
    <row r="12" ht="36" customHeight="1" s="17">
      <c r="A12" s="43" t="inlineStr">
        <is>
          <t>Génération XML</t>
        </is>
      </c>
      <c r="B12" s="23" t="inlineStr">
        <is>
          <t>Cliquer sur le bouton Générer XML dans la feuille Saisie_Questions. Le fichier qti_ilias8.xml est créé dans le même dossier que le classeur.</t>
        </is>
      </c>
    </row>
    <row r="13" ht="36" customHeight="1" s="17">
      <c r="A13" s="24" t="inlineStr">
        <is>
          <t>Compatibilité</t>
        </is>
      </c>
      <c r="B13" s="23" t="inlineStr">
        <is>
          <t>Version avec macro conservée, sans images, jusqu’à 8 réponses par question et 100 questions maximum.</t>
        </is>
      </c>
    </row>
    <row r="14" ht="36" customHeight="1" s="17">
      <c r="A14" s="24" t="inlineStr">
        <is>
          <t>Important</t>
        </is>
      </c>
      <c r="B14" s="23" t="inlineStr">
        <is>
          <t>Faire un test d’import avec 2 ou 3 questions dans ILIAS avant un import massif, car les variantes QTI/ILIAS peuvent différer selon la configuration.</t>
        </is>
      </c>
    </row>
    <row r="15" ht="18" customHeight="1" s="17">
      <c r="A15" s="16" t="n"/>
    </row>
    <row r="16" ht="18" customHeight="1" s="17">
      <c r="A16" s="16" t="n"/>
    </row>
    <row r="17" ht="18" customHeight="1" s="17">
      <c r="A17" s="16" t="n"/>
    </row>
    <row r="18" ht="18" customHeight="1" s="17">
      <c r="A18" s="16" t="n"/>
    </row>
    <row r="19" ht="18" customHeight="1" s="17"/>
    <row r="20" ht="18" customHeight="1" s="17"/>
    <row r="21" ht="18" customHeight="1" s="17"/>
    <row r="22" ht="18" customHeight="1" s="17"/>
    <row r="23" ht="18" customHeight="1" s="17"/>
    <row r="24" ht="18" customHeight="1" s="17"/>
    <row r="25" ht="18" customHeight="1" s="17"/>
    <row r="26" ht="18" customHeight="1" s="17"/>
    <row r="27" ht="18" customHeight="1" s="17"/>
    <row r="28" ht="18" customHeight="1" s="17"/>
    <row r="29" ht="18" customHeight="1" s="17"/>
    <row r="30" ht="18" customHeight="1" s="17"/>
    <row r="31" ht="18" customHeight="1" s="17"/>
    <row r="32" ht="18" customHeight="1" s="17"/>
    <row r="33" ht="18" customHeight="1" s="17"/>
    <row r="34" ht="18" customHeight="1" s="17"/>
    <row r="35" ht="18" customHeight="1" s="17"/>
    <row r="36" ht="18" customHeight="1" s="17"/>
    <row r="37" ht="18" customHeight="1" s="17"/>
    <row r="38" ht="18" customHeight="1" s="17"/>
    <row r="39" ht="18" customHeight="1" s="17"/>
    <row r="40" ht="18" customHeight="1" s="17"/>
    <row r="41" ht="18" customHeight="1" s="17"/>
    <row r="42" ht="18" customHeight="1" s="17"/>
    <row r="43" ht="18" customHeight="1" s="17"/>
    <row r="44" ht="18" customHeight="1" s="17"/>
    <row r="45" ht="18" customHeight="1" s="17"/>
    <row r="46" ht="18" customHeight="1" s="17"/>
    <row r="47" ht="18" customHeight="1" s="17"/>
    <row r="48" ht="18" customHeight="1" s="17"/>
    <row r="49" ht="18" customHeight="1" s="17"/>
    <row r="50" ht="18" customHeight="1" s="17"/>
    <row r="51" ht="18" customHeight="1" s="17"/>
    <row r="52" ht="18" customHeight="1" s="17"/>
    <row r="53" ht="18" customHeight="1" s="17"/>
    <row r="54" ht="18" customHeight="1" s="17"/>
    <row r="55" ht="18" customHeight="1" s="17"/>
    <row r="56" ht="18" customHeight="1" s="17"/>
    <row r="57" ht="18" customHeight="1" s="17"/>
    <row r="58" ht="18" customHeight="1" s="17"/>
    <row r="59" ht="18" customHeight="1" s="17"/>
    <row r="60" ht="18" customHeight="1" s="17"/>
    <row r="61" ht="18" customHeight="1" s="17"/>
    <row r="62" ht="18" customHeight="1" s="17"/>
    <row r="63" ht="18" customHeight="1" s="17"/>
    <row r="64" ht="18" customHeight="1" s="17"/>
    <row r="65" ht="18" customHeight="1" s="17"/>
    <row r="66" ht="18" customHeight="1" s="17"/>
    <row r="67" ht="18" customHeight="1" s="17"/>
    <row r="68" ht="18" customHeight="1" s="17"/>
    <row r="69" ht="18" customHeight="1" s="17"/>
    <row r="70" ht="18" customHeight="1" s="17"/>
    <row r="71" ht="18" customHeight="1" s="17"/>
    <row r="72" ht="18" customHeight="1" s="17"/>
    <row r="73" ht="18" customHeight="1" s="17"/>
    <row r="74" ht="18" customHeight="1" s="17"/>
    <row r="75" ht="18" customHeight="1" s="17"/>
    <row r="76" ht="18" customHeight="1" s="17"/>
    <row r="77" ht="18" customHeight="1" s="17"/>
    <row r="78" ht="18" customHeight="1" s="17"/>
    <row r="79" ht="18" customHeight="1" s="17"/>
    <row r="80" ht="18" customHeight="1" s="17"/>
    <row r="81" ht="18" customHeight="1" s="17"/>
    <row r="82" ht="18" customHeight="1" s="17"/>
    <row r="83" ht="18" customHeight="1" s="17"/>
    <row r="84" ht="18" customHeight="1" s="17"/>
    <row r="85" ht="18" customHeight="1" s="17"/>
    <row r="86" ht="18" customHeight="1" s="17"/>
    <row r="87" ht="18" customHeight="1" s="17"/>
    <row r="88" ht="18" customHeight="1" s="17"/>
    <row r="89" ht="18" customHeight="1" s="17"/>
    <row r="90" ht="18" customHeight="1" s="17"/>
    <row r="91" ht="18" customHeight="1" s="17"/>
    <row r="92" ht="18" customHeight="1" s="17"/>
    <row r="93" ht="18" customHeight="1" s="17"/>
    <row r="94" ht="18" customHeight="1" s="17"/>
    <row r="95" ht="18" customHeight="1" s="17"/>
    <row r="96" ht="18" customHeight="1" s="17"/>
    <row r="97" ht="18" customHeight="1" s="17"/>
    <row r="98" ht="18" customHeight="1" s="17"/>
    <row r="99" ht="18" customHeight="1" s="17"/>
    <row r="100" ht="18" customHeight="1" s="17"/>
    <row r="101" ht="18" customHeight="1" s="17"/>
    <row r="102" ht="18" customHeight="1" s="17"/>
    <row r="103" ht="18" customHeight="1" s="17"/>
    <row r="104" ht="18" customHeight="1" s="17"/>
    <row r="105" ht="18" customHeight="1" s="17"/>
    <row r="106" ht="18" customHeight="1" s="17"/>
    <row r="107" ht="18" customHeight="1" s="17"/>
    <row r="108" ht="18" customHeight="1" s="17"/>
    <row r="109" ht="18" customHeight="1" s="17"/>
    <row r="110" ht="18" customHeight="1" s="17"/>
    <row r="111" ht="18" customHeight="1" s="17"/>
    <row r="112" ht="18" customHeight="1" s="17"/>
    <row r="113" ht="18" customHeight="1" s="17"/>
    <row r="114" ht="18" customHeight="1" s="17"/>
    <row r="115" ht="18" customHeight="1" s="17"/>
    <row r="116" ht="18" customHeight="1" s="17"/>
    <row r="117" ht="18" customHeight="1" s="17"/>
    <row r="118" ht="18" customHeight="1" s="17"/>
    <row r="119" ht="18" customHeight="1" s="17"/>
    <row r="120" ht="18" customHeight="1" s="17"/>
    <row r="121" ht="18" customHeight="1" s="17"/>
    <row r="122" ht="18" customHeight="1" s="17"/>
    <row r="123" ht="18" customHeight="1" s="17"/>
    <row r="124" ht="18" customHeight="1" s="17"/>
    <row r="125" ht="18" customHeight="1" s="17"/>
    <row r="126" ht="18" customHeight="1" s="17"/>
    <row r="127" ht="18" customHeight="1" s="17"/>
    <row r="128" ht="18" customHeight="1" s="17"/>
    <row r="129" ht="18" customHeight="1" s="17"/>
    <row r="130" ht="18" customHeight="1" s="17"/>
    <row r="131" ht="18" customHeight="1" s="17"/>
    <row r="132" ht="18" customHeight="1" s="17"/>
    <row r="133" ht="18" customHeight="1" s="17"/>
    <row r="134" ht="18" customHeight="1" s="17"/>
    <row r="135" ht="18" customHeight="1" s="17"/>
    <row r="136" ht="18" customHeight="1" s="17"/>
    <row r="137" ht="18" customHeight="1" s="17"/>
    <row r="138" ht="18" customHeight="1" s="17"/>
    <row r="139" ht="18" customHeight="1" s="17"/>
    <row r="140" ht="18" customHeight="1" s="17"/>
    <row r="141" ht="18" customHeight="1" s="17"/>
    <row r="142" ht="18" customHeight="1" s="17"/>
    <row r="143" ht="18" customHeight="1" s="17"/>
    <row r="144" ht="18" customHeight="1" s="17"/>
    <row r="145" ht="18" customHeight="1" s="17"/>
    <row r="146" ht="18" customHeight="1" s="17"/>
    <row r="147" ht="18" customHeight="1" s="17"/>
    <row r="148" ht="18" customHeight="1" s="17"/>
    <row r="149" ht="18" customHeight="1" s="17"/>
    <row r="150" ht="18" customHeight="1" s="17"/>
    <row r="151" ht="18" customHeight="1" s="17"/>
    <row r="152" ht="18" customHeight="1" s="17"/>
    <row r="153" ht="18" customHeight="1" s="17"/>
    <row r="154" ht="18" customHeight="1" s="17"/>
    <row r="155" ht="18" customHeight="1" s="17"/>
    <row r="156" ht="18" customHeight="1" s="17"/>
    <row r="157" ht="18" customHeight="1" s="17"/>
    <row r="158" ht="18" customHeight="1" s="17"/>
    <row r="159" ht="18" customHeight="1" s="17"/>
    <row r="160" ht="18" customHeight="1" s="17"/>
    <row r="161" ht="18" customHeight="1" s="17"/>
    <row r="162" ht="18" customHeight="1" s="17"/>
    <row r="163" ht="18" customHeight="1" s="17"/>
    <row r="164" ht="18" customHeight="1" s="17"/>
    <row r="165" ht="18" customHeight="1" s="17"/>
    <row r="166" ht="18" customHeight="1" s="17"/>
    <row r="167" ht="18" customHeight="1" s="17"/>
    <row r="168" ht="18" customHeight="1" s="17"/>
    <row r="169" ht="18" customHeight="1" s="17"/>
    <row r="170" ht="18" customHeight="1" s="17"/>
    <row r="171" ht="18" customHeight="1" s="17"/>
    <row r="172" ht="18" customHeight="1" s="17"/>
    <row r="173" ht="18" customHeight="1" s="17"/>
    <row r="174" ht="18" customHeight="1" s="17"/>
    <row r="175" ht="18" customHeight="1" s="17"/>
    <row r="176" ht="18" customHeight="1" s="17"/>
    <row r="177" ht="18" customHeight="1" s="17"/>
    <row r="178" ht="18" customHeight="1" s="17"/>
    <row r="179" ht="18" customHeight="1" s="17"/>
    <row r="180" ht="18" customHeight="1" s="17"/>
    <row r="181" ht="18" customHeight="1" s="17"/>
    <row r="182" ht="18" customHeight="1" s="17"/>
    <row r="183" ht="18" customHeight="1" s="17"/>
    <row r="184" ht="18" customHeight="1" s="17"/>
    <row r="185" ht="18" customHeight="1" s="17"/>
    <row r="186" ht="18" customHeight="1" s="17"/>
    <row r="187" ht="18" customHeight="1" s="17"/>
    <row r="188" ht="18" customHeight="1" s="17"/>
    <row r="189" ht="18" customHeight="1" s="17"/>
    <row r="190" ht="18" customHeight="1" s="17"/>
    <row r="191" ht="18" customHeight="1" s="17"/>
    <row r="192" ht="18" customHeight="1" s="17"/>
    <row r="193" ht="18" customHeight="1" s="17"/>
    <row r="194" ht="18" customHeight="1" s="17"/>
    <row r="195" ht="18" customHeight="1" s="17"/>
    <row r="196" ht="18" customHeight="1" s="17"/>
    <row r="197" ht="18" customHeight="1" s="17"/>
    <row r="198" ht="18" customHeight="1" s="17"/>
    <row r="199" ht="18" customHeight="1" s="17"/>
    <row r="200" ht="18" customHeight="1" s="17"/>
    <row r="201" ht="18" customHeight="1" s="17"/>
    <row r="202" ht="18" customHeight="1" s="17"/>
    <row r="203" ht="18" customHeight="1" s="17"/>
    <row r="204" ht="18" customHeight="1" s="17"/>
    <row r="205" ht="18" customHeight="1" s="17"/>
    <row r="206" ht="18" customHeight="1" s="17"/>
    <row r="207" ht="18" customHeight="1" s="17"/>
    <row r="208" ht="18" customHeight="1" s="17"/>
    <row r="209" ht="18" customHeight="1" s="17"/>
    <row r="210" ht="18" customHeight="1" s="17"/>
    <row r="211" ht="18" customHeight="1" s="17"/>
    <row r="212" ht="18" customHeight="1" s="17"/>
    <row r="213" ht="18" customHeight="1" s="17"/>
    <row r="214" ht="18" customHeight="1" s="17"/>
    <row r="215" ht="18" customHeight="1" s="17"/>
    <row r="216" ht="18" customHeight="1" s="17"/>
    <row r="217" ht="18" customHeight="1" s="17"/>
    <row r="218" ht="18" customHeight="1" s="17"/>
    <row r="219" ht="18" customHeight="1" s="17"/>
    <row r="220" ht="18" customHeight="1" s="17"/>
    <row r="221" ht="18" customHeight="1" s="17"/>
    <row r="222" ht="18" customHeight="1" s="17"/>
    <row r="223" ht="18" customHeight="1" s="17"/>
    <row r="224" ht="18" customHeight="1" s="17"/>
    <row r="225" ht="18" customHeight="1" s="17"/>
    <row r="226" ht="18" customHeight="1" s="17"/>
    <row r="227" ht="18" customHeight="1" s="17"/>
    <row r="228" ht="18" customHeight="1" s="17"/>
    <row r="229" ht="18" customHeight="1" s="17"/>
    <row r="230" ht="18" customHeight="1" s="17"/>
    <row r="231" ht="18" customHeight="1" s="17"/>
    <row r="232" ht="18" customHeight="1" s="17"/>
    <row r="233" ht="18" customHeight="1" s="17"/>
    <row r="234" ht="18" customHeight="1" s="17"/>
    <row r="235" ht="18" customHeight="1" s="17"/>
    <row r="236" ht="18" customHeight="1" s="17"/>
    <row r="237" ht="18" customHeight="1" s="17"/>
    <row r="238" ht="18" customHeight="1" s="17"/>
    <row r="239" ht="18" customHeight="1" s="17"/>
    <row r="240" ht="18" customHeight="1" s="17"/>
    <row r="241" ht="18" customHeight="1" s="17"/>
    <row r="242" ht="18" customHeight="1" s="17"/>
    <row r="243" ht="18" customHeight="1" s="17"/>
    <row r="244" ht="18" customHeight="1" s="17"/>
    <row r="245" ht="18" customHeight="1" s="17"/>
    <row r="246" ht="18" customHeight="1" s="17"/>
    <row r="247" ht="18" customHeight="1" s="17"/>
    <row r="248" ht="18" customHeight="1" s="17"/>
    <row r="249" ht="18" customHeight="1" s="17"/>
    <row r="250" ht="18" customHeight="1" s="17"/>
    <row r="251" ht="18" customHeight="1" s="17"/>
    <row r="252" ht="18" customHeight="1" s="17"/>
    <row r="253" ht="18" customHeight="1" s="17"/>
    <row r="254" ht="18" customHeight="1" s="17"/>
    <row r="255" ht="18" customHeight="1" s="17"/>
    <row r="256" ht="18" customHeight="1" s="17"/>
    <row r="257" ht="18" customHeight="1" s="17"/>
    <row r="258" ht="18" customHeight="1" s="17"/>
    <row r="259" ht="18" customHeight="1" s="17"/>
    <row r="260" ht="18" customHeight="1" s="17"/>
    <row r="261" ht="18" customHeight="1" s="17"/>
    <row r="262" ht="18" customHeight="1" s="17"/>
    <row r="263" ht="18" customHeight="1" s="17"/>
    <row r="264" ht="18" customHeight="1" s="17"/>
    <row r="265" ht="18" customHeight="1" s="17"/>
    <row r="266" ht="18" customHeight="1" s="17"/>
    <row r="267" ht="18" customHeight="1" s="17"/>
    <row r="268" ht="18" customHeight="1" s="17"/>
    <row r="269" ht="18" customHeight="1" s="17"/>
    <row r="270" ht="18" customHeight="1" s="17"/>
    <row r="271" ht="18" customHeight="1" s="17"/>
    <row r="272" ht="18" customHeight="1" s="17"/>
    <row r="273" ht="18" customHeight="1" s="17"/>
    <row r="274" ht="18" customHeight="1" s="17"/>
    <row r="275" ht="18" customHeight="1" s="17"/>
    <row r="276" ht="18" customHeight="1" s="17"/>
    <row r="277" ht="18" customHeight="1" s="17"/>
    <row r="278" ht="18" customHeight="1" s="17"/>
    <row r="279" ht="18" customHeight="1" s="17"/>
    <row r="280" ht="18" customHeight="1" s="17"/>
    <row r="281" ht="18" customHeight="1" s="17"/>
    <row r="282" ht="18" customHeight="1" s="17"/>
    <row r="283" ht="18" customHeight="1" s="17"/>
    <row r="284" ht="18" customHeight="1" s="17"/>
    <row r="285" ht="18" customHeight="1" s="17"/>
    <row r="286" ht="18" customHeight="1" s="17"/>
    <row r="287" ht="18" customHeight="1" s="17"/>
    <row r="288" ht="18" customHeight="1" s="17"/>
    <row r="289" ht="18" customHeight="1" s="17"/>
    <row r="290" ht="18" customHeight="1" s="17"/>
    <row r="291" ht="18" customHeight="1" s="17"/>
    <row r="292" ht="18" customHeight="1" s="17"/>
    <row r="293" ht="18" customHeight="1" s="17"/>
    <row r="294" ht="18" customHeight="1" s="17"/>
    <row r="295" ht="18" customHeight="1" s="17"/>
    <row r="296" ht="18" customHeight="1" s="17"/>
    <row r="297" ht="18" customHeight="1" s="17"/>
    <row r="298" ht="18" customHeight="1" s="17"/>
    <row r="299" ht="18" customHeight="1" s="17"/>
    <row r="300" ht="18" customHeight="1" s="17"/>
    <row r="301" ht="18" customHeight="1" s="17"/>
    <row r="302" ht="18" customHeight="1" s="17"/>
    <row r="303" ht="18" customHeight="1" s="17"/>
    <row r="304" ht="18" customHeight="1" s="17"/>
    <row r="305" ht="18" customHeight="1" s="17"/>
    <row r="306" ht="18" customHeight="1" s="17"/>
    <row r="307" ht="18" customHeight="1" s="17"/>
    <row r="308" ht="18" customHeight="1" s="17"/>
    <row r="309" ht="18" customHeight="1" s="17"/>
    <row r="310" ht="18" customHeight="1" s="17"/>
    <row r="311" ht="18" customHeight="1" s="17"/>
    <row r="312" ht="18" customHeight="1" s="17"/>
    <row r="313" ht="18" customHeight="1" s="17"/>
    <row r="314" ht="18" customHeight="1" s="17"/>
    <row r="315" ht="18" customHeight="1" s="17"/>
    <row r="316" ht="18" customHeight="1" s="17"/>
    <row r="317" ht="18" customHeight="1" s="17"/>
    <row r="318" ht="18" customHeight="1" s="17"/>
    <row r="319" ht="18" customHeight="1" s="17"/>
    <row r="320" ht="18" customHeight="1" s="17"/>
    <row r="321" ht="18" customHeight="1" s="17"/>
    <row r="322" ht="18" customHeight="1" s="17"/>
    <row r="323" ht="18" customHeight="1" s="17"/>
    <row r="324" ht="18" customHeight="1" s="17"/>
    <row r="325" ht="18" customHeight="1" s="17"/>
    <row r="326" ht="18" customHeight="1" s="17"/>
    <row r="327" ht="18" customHeight="1" s="17"/>
    <row r="328" ht="18" customHeight="1" s="17"/>
    <row r="329" ht="18" customHeight="1" s="17"/>
    <row r="330" ht="18" customHeight="1" s="17"/>
    <row r="331" ht="18" customHeight="1" s="17"/>
    <row r="332" ht="18" customHeight="1" s="17"/>
    <row r="333" ht="18" customHeight="1" s="17"/>
    <row r="334" ht="18" customHeight="1" s="17"/>
    <row r="335" ht="18" customHeight="1" s="17"/>
    <row r="336" ht="18" customHeight="1" s="17"/>
    <row r="337" ht="18" customHeight="1" s="17"/>
    <row r="338" ht="18" customHeight="1" s="17"/>
    <row r="339" ht="18" customHeight="1" s="17"/>
    <row r="340" ht="18" customHeight="1" s="17"/>
    <row r="341" ht="18" customHeight="1" s="17"/>
    <row r="342" ht="18" customHeight="1" s="17"/>
    <row r="343" ht="18" customHeight="1" s="17"/>
    <row r="344" ht="18" customHeight="1" s="17"/>
    <row r="345" ht="18" customHeight="1" s="17"/>
    <row r="346" ht="18" customHeight="1" s="17"/>
    <row r="347" ht="18" customHeight="1" s="17"/>
    <row r="348" ht="18" customHeight="1" s="17"/>
    <row r="349" ht="18" customHeight="1" s="17"/>
    <row r="350" ht="18" customHeight="1" s="17"/>
    <row r="351" ht="18" customHeight="1" s="17"/>
    <row r="352" ht="18" customHeight="1" s="17"/>
    <row r="353" ht="18" customHeight="1" s="17"/>
    <row r="354" ht="18" customHeight="1" s="17"/>
    <row r="355" ht="18" customHeight="1" s="17"/>
    <row r="356" ht="18" customHeight="1" s="17"/>
    <row r="357" ht="18" customHeight="1" s="17"/>
    <row r="358" ht="18" customHeight="1" s="17"/>
    <row r="359" ht="18" customHeight="1" s="17"/>
    <row r="360" ht="18" customHeight="1" s="17"/>
    <row r="361" ht="18" customHeight="1" s="17"/>
    <row r="362" ht="18" customHeight="1" s="17"/>
    <row r="363" ht="18" customHeight="1" s="17"/>
    <row r="364" ht="18" customHeight="1" s="17"/>
    <row r="365" ht="18" customHeight="1" s="17"/>
    <row r="366" ht="18" customHeight="1" s="17"/>
    <row r="367" ht="18" customHeight="1" s="17"/>
    <row r="368" ht="18" customHeight="1" s="17"/>
    <row r="369" ht="18" customHeight="1" s="17"/>
    <row r="370" ht="18" customHeight="1" s="17"/>
    <row r="371" ht="18" customHeight="1" s="17"/>
    <row r="372" ht="18" customHeight="1" s="17"/>
    <row r="373" ht="18" customHeight="1" s="17"/>
    <row r="374" ht="18" customHeight="1" s="17"/>
    <row r="375" ht="18" customHeight="1" s="17"/>
    <row r="376" ht="18" customHeight="1" s="17"/>
    <row r="377" ht="18" customHeight="1" s="17"/>
    <row r="378" ht="18" customHeight="1" s="17"/>
    <row r="379" ht="18" customHeight="1" s="17"/>
    <row r="380" ht="18" customHeight="1" s="17"/>
    <row r="381" ht="18" customHeight="1" s="17"/>
    <row r="382" ht="18" customHeight="1" s="17"/>
    <row r="383" ht="18" customHeight="1" s="17"/>
    <row r="384" ht="18" customHeight="1" s="17"/>
    <row r="385" ht="18" customHeight="1" s="17"/>
    <row r="386" ht="18" customHeight="1" s="17"/>
    <row r="387" ht="18" customHeight="1" s="17"/>
    <row r="388" ht="18" customHeight="1" s="17"/>
    <row r="389" ht="18" customHeight="1" s="17"/>
    <row r="390" ht="18" customHeight="1" s="17"/>
    <row r="391" ht="18" customHeight="1" s="17"/>
    <row r="392" ht="18" customHeight="1" s="17"/>
    <row r="393" ht="18" customHeight="1" s="17"/>
    <row r="394" ht="18" customHeight="1" s="17"/>
    <row r="395" ht="18" customHeight="1" s="17"/>
    <row r="396" ht="18" customHeight="1" s="17"/>
    <row r="397" ht="18" customHeight="1" s="17"/>
    <row r="398" ht="18" customHeight="1" s="17"/>
    <row r="399" ht="18" customHeight="1" s="17"/>
    <row r="400" ht="18" customHeight="1" s="17"/>
    <row r="401" ht="18" customHeight="1" s="17"/>
    <row r="402" ht="18" customHeight="1" s="17"/>
    <row r="403" ht="18" customHeight="1" s="17"/>
    <row r="404" ht="18" customHeight="1" s="17"/>
    <row r="405" ht="18" customHeight="1" s="17"/>
    <row r="406" ht="18" customHeight="1" s="17"/>
    <row r="407" ht="18" customHeight="1" s="17"/>
    <row r="408" ht="18" customHeight="1" s="17"/>
    <row r="409" ht="18" customHeight="1" s="17"/>
    <row r="410" ht="18" customHeight="1" s="17"/>
    <row r="411" ht="18" customHeight="1" s="17"/>
    <row r="412" ht="18" customHeight="1" s="17"/>
    <row r="413" ht="18" customHeight="1" s="17"/>
    <row r="414" ht="18" customHeight="1" s="17"/>
    <row r="415" ht="18" customHeight="1" s="17"/>
    <row r="416" ht="18" customHeight="1" s="17"/>
    <row r="417" ht="18" customHeight="1" s="17"/>
    <row r="418" ht="18" customHeight="1" s="17"/>
    <row r="419" ht="18" customHeight="1" s="17"/>
    <row r="420" ht="18" customHeight="1" s="17"/>
    <row r="421" ht="18" customHeight="1" s="17"/>
    <row r="422" ht="18" customHeight="1" s="17"/>
    <row r="423" ht="18" customHeight="1" s="17"/>
    <row r="424" ht="18" customHeight="1" s="17"/>
    <row r="425" ht="18" customHeight="1" s="17"/>
    <row r="426" ht="18" customHeight="1" s="17"/>
    <row r="427" ht="18" customHeight="1" s="17"/>
    <row r="428" ht="18" customHeight="1" s="17"/>
    <row r="429" ht="18" customHeight="1" s="17"/>
    <row r="430" ht="18" customHeight="1" s="17"/>
    <row r="431" ht="18" customHeight="1" s="17"/>
    <row r="432" ht="18" customHeight="1" s="17"/>
    <row r="433" ht="18" customHeight="1" s="17"/>
    <row r="434" ht="18" customHeight="1" s="17"/>
    <row r="435" ht="18" customHeight="1" s="17"/>
    <row r="436" ht="18" customHeight="1" s="17"/>
    <row r="437" ht="18" customHeight="1" s="17"/>
    <row r="438" ht="18" customHeight="1" s="17"/>
    <row r="439" ht="18" customHeight="1" s="17"/>
    <row r="440" ht="18" customHeight="1" s="17"/>
    <row r="441" ht="18" customHeight="1" s="17"/>
    <row r="442" ht="18" customHeight="1" s="17"/>
    <row r="443" ht="18" customHeight="1" s="17"/>
    <row r="444" ht="18" customHeight="1" s="17"/>
    <row r="445" ht="18" customHeight="1" s="17"/>
    <row r="446" ht="18" customHeight="1" s="17"/>
    <row r="447" ht="18" customHeight="1" s="17"/>
    <row r="448" ht="18" customHeight="1" s="17"/>
    <row r="449" ht="18" customHeight="1" s="17"/>
    <row r="450" ht="18" customHeight="1" s="17"/>
    <row r="451" ht="18" customHeight="1" s="17"/>
    <row r="452" ht="18" customHeight="1" s="17"/>
    <row r="453" ht="18" customHeight="1" s="17"/>
    <row r="454" ht="18" customHeight="1" s="17"/>
    <row r="455" ht="18" customHeight="1" s="17"/>
    <row r="456" ht="18" customHeight="1" s="17"/>
    <row r="457" ht="18" customHeight="1" s="17"/>
    <row r="458" ht="18" customHeight="1" s="17"/>
    <row r="459" ht="18" customHeight="1" s="17"/>
    <row r="460" ht="18" customHeight="1" s="17"/>
    <row r="461" ht="18" customHeight="1" s="17"/>
    <row r="462" ht="18" customHeight="1" s="17"/>
    <row r="463" ht="18" customHeight="1" s="17"/>
    <row r="464" ht="18" customHeight="1" s="17"/>
    <row r="465" ht="18" customHeight="1" s="17"/>
    <row r="466" ht="18" customHeight="1" s="17"/>
    <row r="467" ht="18" customHeight="1" s="17"/>
    <row r="468" ht="18" customHeight="1" s="17"/>
    <row r="469" ht="18" customHeight="1" s="17"/>
    <row r="470" ht="18" customHeight="1" s="17"/>
    <row r="471" ht="18" customHeight="1" s="17"/>
    <row r="472" ht="18" customHeight="1" s="17"/>
    <row r="473" ht="18" customHeight="1" s="17"/>
    <row r="474" ht="18" customHeight="1" s="17"/>
    <row r="475" ht="18" customHeight="1" s="17"/>
    <row r="476" ht="18" customHeight="1" s="17"/>
    <row r="477" ht="18" customHeight="1" s="17"/>
    <row r="478" ht="18" customHeight="1" s="17"/>
    <row r="479" ht="18" customHeight="1" s="17"/>
    <row r="480" ht="18" customHeight="1" s="17"/>
    <row r="481" ht="18" customHeight="1" s="17"/>
    <row r="482" ht="18" customHeight="1" s="17"/>
    <row r="483" ht="18" customHeight="1" s="17"/>
    <row r="484" ht="18" customHeight="1" s="17"/>
    <row r="485" ht="18" customHeight="1" s="17"/>
    <row r="486" ht="18" customHeight="1" s="17"/>
    <row r="487" ht="18" customHeight="1" s="17"/>
    <row r="488" ht="18" customHeight="1" s="17"/>
    <row r="489" ht="18" customHeight="1" s="17"/>
    <row r="490" ht="18" customHeight="1" s="17"/>
    <row r="491" ht="18" customHeight="1" s="17"/>
    <row r="492" ht="18" customHeight="1" s="17"/>
    <row r="493" ht="18" customHeight="1" s="17"/>
    <row r="494" ht="18" customHeight="1" s="17"/>
    <row r="495" ht="18" customHeight="1" s="17"/>
    <row r="496" ht="18" customHeight="1" s="17"/>
    <row r="497" ht="18" customHeight="1" s="17"/>
    <row r="498" ht="18" customHeight="1" s="17"/>
    <row r="499" ht="18" customHeight="1" s="17"/>
    <row r="500" ht="18" customHeight="1" s="17"/>
    <row r="501" ht="18" customHeight="1" s="17"/>
    <row r="502" ht="18" customHeight="1" s="17"/>
    <row r="503" ht="18" customHeight="1" s="17"/>
    <row r="504" ht="18" customHeight="1" s="17"/>
    <row r="505" ht="18" customHeight="1" s="17"/>
    <row r="506" ht="18" customHeight="1" s="17"/>
    <row r="507" ht="18" customHeight="1" s="17"/>
    <row r="508" ht="18" customHeight="1" s="17"/>
    <row r="509" ht="18" customHeight="1" s="17"/>
    <row r="510" ht="18" customHeight="1" s="17"/>
    <row r="511" ht="18" customHeight="1" s="17"/>
    <row r="512" ht="18" customHeight="1" s="17"/>
    <row r="513" ht="18" customHeight="1" s="17"/>
    <row r="514" ht="18" customHeight="1" s="17"/>
    <row r="515" ht="18" customHeight="1" s="17"/>
    <row r="516" ht="18" customHeight="1" s="17"/>
    <row r="517" ht="18" customHeight="1" s="17"/>
    <row r="518" ht="18" customHeight="1" s="17"/>
    <row r="519" ht="18" customHeight="1" s="17"/>
    <row r="520" ht="18" customHeight="1" s="17"/>
    <row r="521" ht="18" customHeight="1" s="17"/>
    <row r="522" ht="18" customHeight="1" s="17"/>
    <row r="523" ht="18" customHeight="1" s="17"/>
    <row r="524" ht="18" customHeight="1" s="17"/>
    <row r="525" ht="18" customHeight="1" s="17"/>
    <row r="526" ht="18" customHeight="1" s="17"/>
    <row r="527" ht="18" customHeight="1" s="17"/>
    <row r="528" ht="18" customHeight="1" s="17"/>
    <row r="529" ht="18" customHeight="1" s="17"/>
    <row r="530" ht="18" customHeight="1" s="17"/>
    <row r="531" ht="18" customHeight="1" s="17"/>
    <row r="532" ht="18" customHeight="1" s="17"/>
    <row r="533" ht="18" customHeight="1" s="17"/>
    <row r="534" ht="18" customHeight="1" s="17"/>
    <row r="535" ht="18" customHeight="1" s="17"/>
    <row r="536" ht="18" customHeight="1" s="17"/>
    <row r="537" ht="18" customHeight="1" s="17"/>
    <row r="538" ht="18" customHeight="1" s="17"/>
    <row r="539" ht="18" customHeight="1" s="17"/>
    <row r="540" ht="18" customHeight="1" s="17"/>
    <row r="541" ht="18" customHeight="1" s="17"/>
    <row r="542" ht="18" customHeight="1" s="17"/>
    <row r="543" ht="18" customHeight="1" s="17"/>
    <row r="544" ht="18" customHeight="1" s="17"/>
    <row r="545" ht="18" customHeight="1" s="17"/>
    <row r="546" ht="18" customHeight="1" s="17"/>
    <row r="547" ht="18" customHeight="1" s="17"/>
    <row r="548" ht="18" customHeight="1" s="17"/>
    <row r="549" ht="18" customHeight="1" s="17"/>
    <row r="550" ht="18" customHeight="1" s="17"/>
    <row r="551" ht="18" customHeight="1" s="17"/>
    <row r="552" ht="18" customHeight="1" s="17"/>
    <row r="553" ht="18" customHeight="1" s="17"/>
    <row r="554" ht="18" customHeight="1" s="17"/>
    <row r="555" ht="18" customHeight="1" s="17"/>
    <row r="556" ht="18" customHeight="1" s="17"/>
    <row r="557" ht="18" customHeight="1" s="17"/>
    <row r="558" ht="18" customHeight="1" s="17"/>
    <row r="559" ht="18" customHeight="1" s="17"/>
    <row r="560" ht="18" customHeight="1" s="17"/>
    <row r="561" ht="18" customHeight="1" s="17"/>
    <row r="562" ht="18" customHeight="1" s="17"/>
    <row r="563" ht="18" customHeight="1" s="17"/>
    <row r="564" ht="18" customHeight="1" s="17"/>
    <row r="565" ht="18" customHeight="1" s="17"/>
    <row r="566" ht="18" customHeight="1" s="17"/>
    <row r="567" ht="18" customHeight="1" s="17"/>
    <row r="568" ht="18" customHeight="1" s="17"/>
    <row r="569" ht="18" customHeight="1" s="17"/>
    <row r="570" ht="18" customHeight="1" s="17"/>
    <row r="571" ht="18" customHeight="1" s="17"/>
    <row r="572" ht="18" customHeight="1" s="17"/>
    <row r="573" ht="18" customHeight="1" s="17"/>
    <row r="574" ht="18" customHeight="1" s="17"/>
    <row r="575" ht="18" customHeight="1" s="17"/>
    <row r="576" ht="18" customHeight="1" s="17"/>
    <row r="577" ht="18" customHeight="1" s="17"/>
    <row r="578" ht="18" customHeight="1" s="17"/>
    <row r="579" ht="18" customHeight="1" s="17"/>
    <row r="580" ht="18" customHeight="1" s="17"/>
    <row r="581" ht="18" customHeight="1" s="17"/>
    <row r="582" ht="18" customHeight="1" s="17"/>
    <row r="583" ht="18" customHeight="1" s="17"/>
    <row r="584" ht="18" customHeight="1" s="17"/>
    <row r="585" ht="18" customHeight="1" s="17"/>
    <row r="586" ht="18" customHeight="1" s="17"/>
    <row r="587" ht="18" customHeight="1" s="17"/>
    <row r="588" ht="18" customHeight="1" s="17"/>
    <row r="589" ht="18" customHeight="1" s="17"/>
    <row r="590" ht="18" customHeight="1" s="17"/>
    <row r="591" ht="18" customHeight="1" s="17"/>
    <row r="592" ht="18" customHeight="1" s="17"/>
    <row r="593" ht="18" customHeight="1" s="17"/>
    <row r="594" ht="18" customHeight="1" s="17"/>
    <row r="595" ht="18" customHeight="1" s="17"/>
    <row r="596" ht="18" customHeight="1" s="17"/>
    <row r="597" ht="18" customHeight="1" s="17"/>
    <row r="598" ht="18" customHeight="1" s="17"/>
    <row r="599" ht="18" customHeight="1" s="17"/>
    <row r="600" ht="18" customHeight="1" s="17"/>
    <row r="601" ht="18" customHeight="1" s="17"/>
    <row r="602" ht="18" customHeight="1" s="17"/>
    <row r="603" ht="18" customHeight="1" s="17"/>
    <row r="604" ht="18" customHeight="1" s="17"/>
    <row r="605" ht="18" customHeight="1" s="17"/>
    <row r="606" ht="18" customHeight="1" s="17"/>
    <row r="607" ht="18" customHeight="1" s="17"/>
    <row r="608" ht="18" customHeight="1" s="17"/>
    <row r="609" ht="18" customHeight="1" s="17"/>
    <row r="610" ht="18" customHeight="1" s="17"/>
    <row r="611" ht="18" customHeight="1" s="17"/>
    <row r="612" ht="18" customHeight="1" s="17"/>
    <row r="613" ht="18" customHeight="1" s="17"/>
    <row r="614" ht="18" customHeight="1" s="17"/>
    <row r="615" ht="18" customHeight="1" s="17"/>
    <row r="616" ht="18" customHeight="1" s="17"/>
    <row r="617" ht="18" customHeight="1" s="17"/>
    <row r="618" ht="18" customHeight="1" s="17"/>
    <row r="619" ht="18" customHeight="1" s="17"/>
    <row r="620" ht="18" customHeight="1" s="17"/>
    <row r="621" ht="18" customHeight="1" s="17"/>
    <row r="622" ht="18" customHeight="1" s="17"/>
    <row r="623" ht="18" customHeight="1" s="17"/>
    <row r="624" ht="18" customHeight="1" s="17"/>
    <row r="625" ht="18" customHeight="1" s="17"/>
    <row r="626" ht="18" customHeight="1" s="17"/>
    <row r="627" ht="18" customHeight="1" s="17"/>
    <row r="628" ht="18" customHeight="1" s="17"/>
    <row r="629" ht="18" customHeight="1" s="17"/>
    <row r="630" ht="18" customHeight="1" s="17"/>
    <row r="631" ht="18" customHeight="1" s="17"/>
    <row r="632" ht="18" customHeight="1" s="17"/>
    <row r="633" ht="18" customHeight="1" s="17"/>
    <row r="634" ht="18" customHeight="1" s="17"/>
    <row r="635" ht="18" customHeight="1" s="17"/>
    <row r="636" ht="18" customHeight="1" s="17"/>
    <row r="637" ht="18" customHeight="1" s="17"/>
    <row r="638" ht="18" customHeight="1" s="17"/>
    <row r="639" ht="18" customHeight="1" s="17"/>
    <row r="640" ht="18" customHeight="1" s="17"/>
    <row r="641" ht="18" customHeight="1" s="17"/>
    <row r="642" ht="18" customHeight="1" s="17"/>
    <row r="643" ht="18" customHeight="1" s="17"/>
    <row r="644" ht="18" customHeight="1" s="17"/>
    <row r="645" ht="18" customHeight="1" s="17"/>
    <row r="646" ht="18" customHeight="1" s="17"/>
    <row r="647" ht="18" customHeight="1" s="17"/>
    <row r="648" ht="18" customHeight="1" s="17"/>
    <row r="649" ht="18" customHeight="1" s="17"/>
    <row r="650" ht="18" customHeight="1" s="17"/>
    <row r="651" ht="18" customHeight="1" s="17"/>
    <row r="652" ht="18" customHeight="1" s="17"/>
    <row r="653" ht="18" customHeight="1" s="17"/>
    <row r="654" ht="18" customHeight="1" s="17"/>
    <row r="655" ht="18" customHeight="1" s="17"/>
    <row r="656" ht="18" customHeight="1" s="17"/>
    <row r="657" ht="18" customHeight="1" s="17"/>
    <row r="658" ht="18" customHeight="1" s="17"/>
    <row r="659" ht="18" customHeight="1" s="17"/>
    <row r="660" ht="18" customHeight="1" s="17"/>
    <row r="661" ht="18" customHeight="1" s="17"/>
    <row r="662" ht="18" customHeight="1" s="17"/>
    <row r="663" ht="18" customHeight="1" s="17"/>
    <row r="664" ht="18" customHeight="1" s="17"/>
    <row r="665" ht="18" customHeight="1" s="17"/>
    <row r="666" ht="18" customHeight="1" s="17"/>
    <row r="667" ht="18" customHeight="1" s="17"/>
    <row r="668" ht="18" customHeight="1" s="17"/>
    <row r="669" ht="18" customHeight="1" s="17"/>
    <row r="670" ht="18" customHeight="1" s="17"/>
    <row r="671" ht="18" customHeight="1" s="17"/>
    <row r="672" ht="18" customHeight="1" s="17"/>
    <row r="673" ht="18" customHeight="1" s="17"/>
    <row r="674" ht="18" customHeight="1" s="17"/>
    <row r="675" ht="18" customHeight="1" s="17"/>
    <row r="676" ht="18" customHeight="1" s="17"/>
    <row r="677" ht="18" customHeight="1" s="17"/>
    <row r="678" ht="18" customHeight="1" s="17"/>
    <row r="679" ht="18" customHeight="1" s="17"/>
    <row r="680" ht="18" customHeight="1" s="17"/>
    <row r="681" ht="18" customHeight="1" s="17"/>
    <row r="682" ht="18" customHeight="1" s="17"/>
    <row r="683" ht="18" customHeight="1" s="17"/>
    <row r="684" ht="18" customHeight="1" s="17"/>
    <row r="685" ht="18" customHeight="1" s="17"/>
    <row r="686" ht="18" customHeight="1" s="17"/>
    <row r="687" ht="18" customHeight="1" s="17"/>
    <row r="688" ht="18" customHeight="1" s="17"/>
    <row r="689" ht="18" customHeight="1" s="17"/>
    <row r="690" ht="18" customHeight="1" s="17"/>
    <row r="691" ht="18" customHeight="1" s="17"/>
    <row r="692" ht="18" customHeight="1" s="17"/>
    <row r="693" ht="18" customHeight="1" s="17"/>
    <row r="694" ht="18" customHeight="1" s="17"/>
    <row r="695" ht="18" customHeight="1" s="17"/>
    <row r="696" ht="18" customHeight="1" s="17"/>
    <row r="697" ht="18" customHeight="1" s="17"/>
    <row r="698" ht="18" customHeight="1" s="17"/>
    <row r="699" ht="18" customHeight="1" s="17"/>
    <row r="700" ht="18" customHeight="1" s="17"/>
    <row r="701" ht="18" customHeight="1" s="17"/>
    <row r="702" ht="18" customHeight="1" s="17"/>
    <row r="703" ht="18" customHeight="1" s="17"/>
    <row r="704" ht="18" customHeight="1" s="17"/>
    <row r="705" ht="18" customHeight="1" s="17"/>
    <row r="706" ht="18" customHeight="1" s="17"/>
    <row r="707" ht="18" customHeight="1" s="17"/>
    <row r="708" ht="18" customHeight="1" s="17"/>
    <row r="709" ht="18" customHeight="1" s="17"/>
    <row r="710" ht="18" customHeight="1" s="17"/>
    <row r="711" ht="18" customHeight="1" s="17"/>
    <row r="712" ht="18" customHeight="1" s="17"/>
    <row r="713" ht="18" customHeight="1" s="17"/>
    <row r="714" ht="18" customHeight="1" s="17"/>
    <row r="715" ht="18" customHeight="1" s="17"/>
    <row r="716" ht="18" customHeight="1" s="17"/>
    <row r="717" ht="18" customHeight="1" s="17"/>
    <row r="718" ht="18" customHeight="1" s="17"/>
    <row r="719" ht="18" customHeight="1" s="17"/>
    <row r="720" ht="18" customHeight="1" s="17"/>
    <row r="721" ht="18" customHeight="1" s="17"/>
    <row r="722" ht="18" customHeight="1" s="17"/>
    <row r="723" ht="18" customHeight="1" s="17"/>
    <row r="724" ht="18" customHeight="1" s="17"/>
    <row r="725" ht="18" customHeight="1" s="17"/>
    <row r="726" ht="18" customHeight="1" s="17"/>
    <row r="727" ht="18" customHeight="1" s="17"/>
    <row r="728" ht="18" customHeight="1" s="17"/>
    <row r="729" ht="18" customHeight="1" s="17"/>
    <row r="730" ht="18" customHeight="1" s="17"/>
    <row r="731" ht="18" customHeight="1" s="17"/>
    <row r="732" ht="18" customHeight="1" s="17"/>
    <row r="733" ht="18" customHeight="1" s="17"/>
    <row r="734" ht="18" customHeight="1" s="17"/>
    <row r="735" ht="18" customHeight="1" s="17"/>
    <row r="736" ht="18" customHeight="1" s="17"/>
    <row r="737" ht="18" customHeight="1" s="17"/>
    <row r="738" ht="18" customHeight="1" s="17"/>
    <row r="739" ht="18" customHeight="1" s="17"/>
    <row r="740" ht="18" customHeight="1" s="17"/>
    <row r="741" ht="18" customHeight="1" s="17"/>
    <row r="742" ht="18" customHeight="1" s="17"/>
    <row r="743" ht="18" customHeight="1" s="17"/>
    <row r="744" ht="18" customHeight="1" s="17"/>
    <row r="745" ht="18" customHeight="1" s="17"/>
    <row r="746" ht="18" customHeight="1" s="17"/>
    <row r="747" ht="18" customHeight="1" s="17"/>
    <row r="748" ht="18" customHeight="1" s="17"/>
    <row r="749" ht="18" customHeight="1" s="17"/>
    <row r="750" ht="18" customHeight="1" s="17"/>
    <row r="751" ht="18" customHeight="1" s="17"/>
    <row r="752" ht="18" customHeight="1" s="17"/>
    <row r="753" ht="18" customHeight="1" s="17"/>
    <row r="754" ht="18" customHeight="1" s="17"/>
    <row r="755" ht="18" customHeight="1" s="17"/>
    <row r="756" ht="18" customHeight="1" s="17"/>
    <row r="757" ht="18" customHeight="1" s="17"/>
    <row r="758" ht="18" customHeight="1" s="17"/>
    <row r="759" ht="18" customHeight="1" s="17"/>
    <row r="760" ht="18" customHeight="1" s="17"/>
    <row r="761" ht="18" customHeight="1" s="17"/>
    <row r="762" ht="18" customHeight="1" s="17"/>
    <row r="763" ht="18" customHeight="1" s="17"/>
    <row r="764" ht="18" customHeight="1" s="17"/>
    <row r="765" ht="18" customHeight="1" s="17"/>
    <row r="766" ht="18" customHeight="1" s="17"/>
    <row r="767" ht="18" customHeight="1" s="17"/>
    <row r="768" ht="18" customHeight="1" s="17"/>
    <row r="769" ht="18" customHeight="1" s="17"/>
    <row r="770" ht="18" customHeight="1" s="17"/>
    <row r="771" ht="18" customHeight="1" s="17"/>
    <row r="772" ht="18" customHeight="1" s="17"/>
    <row r="773" ht="18" customHeight="1" s="17"/>
    <row r="774" ht="18" customHeight="1" s="17"/>
    <row r="775" ht="18" customHeight="1" s="17"/>
    <row r="776" ht="18" customHeight="1" s="17"/>
    <row r="777" ht="18" customHeight="1" s="17"/>
    <row r="778" ht="18" customHeight="1" s="17"/>
    <row r="779" ht="18" customHeight="1" s="17"/>
    <row r="780" ht="18" customHeight="1" s="17"/>
    <row r="781" ht="18" customHeight="1" s="17"/>
    <row r="782" ht="18" customHeight="1" s="17"/>
    <row r="783" ht="18" customHeight="1" s="17"/>
    <row r="784" ht="18" customHeight="1" s="17"/>
    <row r="785" ht="18" customHeight="1" s="17"/>
    <row r="786" ht="18" customHeight="1" s="17"/>
    <row r="787" ht="18" customHeight="1" s="17"/>
    <row r="788" ht="18" customHeight="1" s="17"/>
    <row r="789" ht="18" customHeight="1" s="17"/>
    <row r="790" ht="18" customHeight="1" s="17"/>
    <row r="791" ht="18" customHeight="1" s="17"/>
    <row r="792" ht="18" customHeight="1" s="17"/>
    <row r="793" ht="18" customHeight="1" s="17"/>
    <row r="794" ht="18" customHeight="1" s="17"/>
    <row r="795" ht="18" customHeight="1" s="17"/>
    <row r="796" ht="18" customHeight="1" s="17"/>
    <row r="797" ht="18" customHeight="1" s="17"/>
    <row r="798" ht="18" customHeight="1" s="17"/>
    <row r="799" ht="18" customHeight="1" s="17"/>
    <row r="800" ht="18" customHeight="1" s="17"/>
    <row r="801" ht="18" customHeight="1" s="17"/>
    <row r="802" ht="18" customHeight="1" s="17"/>
    <row r="803" ht="18" customHeight="1" s="17"/>
    <row r="804" ht="18" customHeight="1" s="17"/>
    <row r="805" ht="18" customHeight="1" s="17"/>
    <row r="806" ht="18" customHeight="1" s="17"/>
    <row r="807" ht="18" customHeight="1" s="17"/>
    <row r="808" ht="18" customHeight="1" s="17"/>
    <row r="809" ht="18" customHeight="1" s="17"/>
    <row r="810" ht="18" customHeight="1" s="17"/>
    <row r="811" ht="18" customHeight="1" s="17"/>
    <row r="812" ht="18" customHeight="1" s="17"/>
    <row r="813" ht="18" customHeight="1" s="17"/>
    <row r="814" ht="18" customHeight="1" s="17"/>
    <row r="815" ht="18" customHeight="1" s="17"/>
    <row r="816" ht="18" customHeight="1" s="17"/>
    <row r="817" ht="18" customHeight="1" s="17"/>
    <row r="818" ht="18" customHeight="1" s="17"/>
    <row r="819" ht="18" customHeight="1" s="17"/>
    <row r="820" ht="18" customHeight="1" s="17"/>
    <row r="821" ht="18" customHeight="1" s="17"/>
    <row r="822" ht="18" customHeight="1" s="17"/>
    <row r="823" ht="18" customHeight="1" s="17"/>
    <row r="824" ht="18" customHeight="1" s="17"/>
    <row r="825" ht="18" customHeight="1" s="17"/>
    <row r="826" ht="18" customHeight="1" s="17"/>
    <row r="827" ht="18" customHeight="1" s="17"/>
    <row r="828" ht="18" customHeight="1" s="17"/>
    <row r="829" ht="18" customHeight="1" s="17"/>
    <row r="830" ht="18" customHeight="1" s="17"/>
    <row r="831" ht="18" customHeight="1" s="17"/>
    <row r="832" ht="18" customHeight="1" s="17"/>
    <row r="833" ht="18" customHeight="1" s="17"/>
    <row r="834" ht="18" customHeight="1" s="17"/>
    <row r="835" ht="18" customHeight="1" s="17"/>
    <row r="836" ht="18" customHeight="1" s="17"/>
    <row r="837" ht="18" customHeight="1" s="17"/>
    <row r="838" ht="18" customHeight="1" s="17"/>
    <row r="839" ht="18" customHeight="1" s="17"/>
    <row r="840" ht="18" customHeight="1" s="17"/>
    <row r="841" ht="18" customHeight="1" s="17"/>
    <row r="842" ht="18" customHeight="1" s="17"/>
    <row r="843" ht="18" customHeight="1" s="17"/>
    <row r="844" ht="18" customHeight="1" s="17"/>
    <row r="845" ht="18" customHeight="1" s="17"/>
    <row r="846" ht="18" customHeight="1" s="17"/>
    <row r="847" ht="18" customHeight="1" s="17"/>
    <row r="848" ht="18" customHeight="1" s="17"/>
    <row r="849" ht="18" customHeight="1" s="17"/>
    <row r="850" ht="18" customHeight="1" s="17"/>
    <row r="851" ht="18" customHeight="1" s="17"/>
    <row r="852" ht="18" customHeight="1" s="17"/>
    <row r="853" ht="18" customHeight="1" s="17"/>
    <row r="854" ht="18" customHeight="1" s="17"/>
    <row r="855" ht="18" customHeight="1" s="17"/>
    <row r="856" ht="18" customHeight="1" s="17"/>
    <row r="857" ht="18" customHeight="1" s="17"/>
    <row r="858" ht="18" customHeight="1" s="17"/>
    <row r="859" ht="18" customHeight="1" s="17"/>
    <row r="860" ht="18" customHeight="1" s="17"/>
    <row r="861" ht="18" customHeight="1" s="17"/>
    <row r="862" ht="18" customHeight="1" s="17"/>
    <row r="863" ht="18" customHeight="1" s="17"/>
    <row r="864" ht="18" customHeight="1" s="17"/>
    <row r="865" ht="18" customHeight="1" s="17"/>
    <row r="866" ht="18" customHeight="1" s="17"/>
    <row r="867" ht="18" customHeight="1" s="17"/>
    <row r="868" ht="18" customHeight="1" s="17"/>
    <row r="869" ht="18" customHeight="1" s="17"/>
    <row r="870" ht="18" customHeight="1" s="17"/>
    <row r="871" ht="18" customHeight="1" s="17"/>
    <row r="872" ht="18" customHeight="1" s="17"/>
    <row r="873" ht="18" customHeight="1" s="17"/>
    <row r="874" ht="18" customHeight="1" s="17"/>
    <row r="875" ht="18" customHeight="1" s="17"/>
    <row r="876" ht="18" customHeight="1" s="17"/>
    <row r="877" ht="18" customHeight="1" s="17"/>
    <row r="878" ht="18" customHeight="1" s="17"/>
    <row r="879" ht="18" customHeight="1" s="17"/>
    <row r="880" ht="18" customHeight="1" s="17"/>
    <row r="881" ht="18" customHeight="1" s="17"/>
    <row r="882" ht="18" customHeight="1" s="17"/>
    <row r="883" ht="18" customHeight="1" s="17"/>
    <row r="884" ht="18" customHeight="1" s="17"/>
    <row r="885" ht="18" customHeight="1" s="17"/>
    <row r="886" ht="18" customHeight="1" s="17"/>
    <row r="887" ht="18" customHeight="1" s="17"/>
    <row r="888" ht="18" customHeight="1" s="17"/>
    <row r="889" ht="18" customHeight="1" s="17"/>
    <row r="890" ht="18" customHeight="1" s="17"/>
    <row r="891" ht="18" customHeight="1" s="17"/>
    <row r="892" ht="18" customHeight="1" s="17"/>
    <row r="893" ht="18" customHeight="1" s="17"/>
    <row r="894" ht="18" customHeight="1" s="17"/>
    <row r="895" ht="18" customHeight="1" s="17"/>
    <row r="896" ht="18" customHeight="1" s="17"/>
    <row r="897" ht="18" customHeight="1" s="17"/>
    <row r="898" ht="18" customHeight="1" s="17"/>
    <row r="899" ht="18" customHeight="1" s="17"/>
    <row r="900" ht="18" customHeight="1" s="17"/>
    <row r="901" ht="18" customHeight="1" s="17"/>
    <row r="902" ht="18" customHeight="1" s="17"/>
    <row r="903" ht="18" customHeight="1" s="17"/>
    <row r="904" ht="18" customHeight="1" s="17"/>
    <row r="905" ht="18" customHeight="1" s="17"/>
    <row r="906" ht="18" customHeight="1" s="17"/>
    <row r="907" ht="18" customHeight="1" s="17"/>
    <row r="908" ht="18" customHeight="1" s="17"/>
    <row r="909" ht="18" customHeight="1" s="17"/>
    <row r="910" ht="18" customHeight="1" s="17"/>
    <row r="911" ht="18" customHeight="1" s="17"/>
    <row r="912" ht="18" customHeight="1" s="17"/>
    <row r="913" ht="18" customHeight="1" s="17"/>
    <row r="914" ht="18" customHeight="1" s="17"/>
    <row r="915" ht="18" customHeight="1" s="17"/>
    <row r="916" ht="18" customHeight="1" s="17"/>
    <row r="917" ht="18" customHeight="1" s="17"/>
    <row r="918" ht="18" customHeight="1" s="17"/>
    <row r="919" ht="18" customHeight="1" s="17"/>
    <row r="920" ht="18" customHeight="1" s="17"/>
    <row r="921" ht="18" customHeight="1" s="17"/>
    <row r="922" ht="18" customHeight="1" s="17"/>
    <row r="923" ht="18" customHeight="1" s="17"/>
    <row r="924" ht="18" customHeight="1" s="17"/>
    <row r="925" ht="18" customHeight="1" s="17"/>
    <row r="926" ht="18" customHeight="1" s="17"/>
    <row r="927" ht="18" customHeight="1" s="17"/>
    <row r="928" ht="18" customHeight="1" s="17"/>
    <row r="929" ht="18" customHeight="1" s="17"/>
    <row r="930" ht="18" customHeight="1" s="17"/>
    <row r="931" ht="18" customHeight="1" s="17"/>
    <row r="932" ht="18" customHeight="1" s="17"/>
    <row r="933" ht="18" customHeight="1" s="17"/>
    <row r="934" ht="18" customHeight="1" s="17"/>
    <row r="935" ht="18" customHeight="1" s="17"/>
    <row r="936" ht="18" customHeight="1" s="17"/>
    <row r="937" ht="18" customHeight="1" s="17"/>
    <row r="938" ht="18" customHeight="1" s="17"/>
    <row r="939" ht="18" customHeight="1" s="17"/>
    <row r="940" ht="18" customHeight="1" s="17"/>
    <row r="941" ht="18" customHeight="1" s="17"/>
    <row r="942" ht="18" customHeight="1" s="17"/>
    <row r="943" ht="18" customHeight="1" s="17"/>
    <row r="944" ht="18" customHeight="1" s="17"/>
    <row r="945" ht="18" customHeight="1" s="17"/>
    <row r="946" ht="18" customHeight="1" s="17"/>
    <row r="947" ht="18" customHeight="1" s="17"/>
    <row r="948" ht="18" customHeight="1" s="17"/>
    <row r="949" ht="18" customHeight="1" s="17"/>
    <row r="950" ht="18" customHeight="1" s="17"/>
    <row r="951" ht="18" customHeight="1" s="17"/>
    <row r="952" ht="18" customHeight="1" s="17"/>
    <row r="953" ht="18" customHeight="1" s="17"/>
    <row r="954" ht="18" customHeight="1" s="17"/>
    <row r="955" ht="18" customHeight="1" s="17"/>
    <row r="956" ht="18" customHeight="1" s="17"/>
    <row r="957" ht="18" customHeight="1" s="17"/>
    <row r="958" ht="18" customHeight="1" s="17"/>
    <row r="959" ht="18" customHeight="1" s="17"/>
    <row r="960" ht="18" customHeight="1" s="17"/>
    <row r="961" ht="18" customHeight="1" s="17"/>
    <row r="962" ht="18" customHeight="1" s="17"/>
    <row r="963" ht="18" customHeight="1" s="17"/>
    <row r="964" ht="18" customHeight="1" s="17"/>
    <row r="965" ht="18" customHeight="1" s="17"/>
    <row r="966" ht="18" customHeight="1" s="17"/>
    <row r="967" ht="18" customHeight="1" s="17"/>
    <row r="968" ht="18" customHeight="1" s="17"/>
    <row r="969" ht="18" customHeight="1" s="17"/>
    <row r="970" ht="18" customHeight="1" s="17"/>
    <row r="971" ht="18" customHeight="1" s="17"/>
    <row r="972" ht="18" customHeight="1" s="17"/>
    <row r="973" ht="18" customHeight="1" s="17"/>
    <row r="974" ht="18" customHeight="1" s="17"/>
    <row r="975" ht="18" customHeight="1" s="17"/>
    <row r="976" ht="18" customHeight="1" s="17"/>
    <row r="977" ht="18" customHeight="1" s="17"/>
    <row r="978" ht="18" customHeight="1" s="17"/>
    <row r="979" ht="18" customHeight="1" s="17"/>
    <row r="980" ht="18" customHeight="1" s="17"/>
    <row r="981" ht="18" customHeight="1" s="17"/>
    <row r="982" ht="18" customHeight="1" s="17"/>
    <row r="983" ht="18" customHeight="1" s="17"/>
    <row r="984" ht="18" customHeight="1" s="17"/>
    <row r="985" ht="18" customHeight="1" s="17"/>
    <row r="986" ht="18" customHeight="1" s="17"/>
    <row r="987" ht="18" customHeight="1" s="17"/>
    <row r="988" ht="18" customHeight="1" s="17"/>
    <row r="989" ht="18" customHeight="1" s="17"/>
    <row r="990" ht="18" customHeight="1" s="17"/>
    <row r="991" ht="18" customHeight="1" s="17"/>
    <row r="992" ht="18" customHeight="1" s="17"/>
    <row r="993" ht="18" customHeight="1" s="17"/>
    <row r="994" ht="18" customHeight="1" s="17"/>
    <row r="995" ht="18" customHeight="1" s="17"/>
    <row r="996" ht="18" customHeight="1" s="17"/>
    <row r="997" ht="18" customHeight="1" s="17"/>
    <row r="998" ht="18" customHeight="1" s="17"/>
    <row r="999" ht="18" customHeight="1" s="17"/>
    <row r="1000" ht="18" customHeight="1" s="17"/>
    <row r="1001" ht="18" customHeight="1" s="17"/>
    <row r="1002" ht="18" customHeight="1" s="17"/>
    <row r="1003" ht="18" customHeight="1" s="17"/>
    <row r="1004" ht="18" customHeight="1" s="17"/>
    <row r="1005" ht="18" customHeight="1" s="17"/>
    <row r="1006" ht="18" customHeight="1" s="17"/>
    <row r="1007" ht="18" customHeight="1" s="17"/>
    <row r="1008" ht="18" customHeight="1" s="17"/>
    <row r="1009" ht="18" customHeight="1" s="17"/>
    <row r="1010" ht="18" customHeight="1" s="17"/>
    <row r="1011" ht="18" customHeight="1" s="17"/>
    <row r="1012" ht="18" customHeight="1" s="17"/>
    <row r="1013" ht="18" customHeight="1" s="17"/>
    <row r="1014" ht="18" customHeight="1" s="17"/>
    <row r="1015" ht="18" customHeight="1" s="17"/>
    <row r="1016" ht="18" customHeight="1" s="17"/>
    <row r="1017" ht="18" customHeight="1" s="17"/>
    <row r="1018" ht="18" customHeight="1" s="17"/>
    <row r="1019" ht="18" customHeight="1" s="17"/>
    <row r="1020" ht="18" customHeight="1" s="17"/>
    <row r="1021" ht="18" customHeight="1" s="17"/>
    <row r="1022" ht="18" customHeight="1" s="17"/>
    <row r="1023" ht="18" customHeight="1" s="17"/>
    <row r="1024" ht="18" customHeight="1" s="17"/>
    <row r="1025" ht="18" customHeight="1" s="17"/>
    <row r="1026" ht="18" customHeight="1" s="17"/>
    <row r="1027" ht="18" customHeight="1" s="17"/>
    <row r="1028" ht="18" customHeight="1" s="17"/>
    <row r="1029" ht="18" customHeight="1" s="17"/>
    <row r="1030" ht="18" customHeight="1" s="17"/>
    <row r="1031" ht="18" customHeight="1" s="17"/>
    <row r="1032" ht="18" customHeight="1" s="17"/>
    <row r="1033" ht="18" customHeight="1" s="17"/>
    <row r="1034" ht="18" customHeight="1" s="17"/>
    <row r="1035" ht="18" customHeight="1" s="17"/>
    <row r="1036" ht="18" customHeight="1" s="17"/>
    <row r="1037" ht="18" customHeight="1" s="17"/>
    <row r="1038" ht="18" customHeight="1" s="17"/>
    <row r="1039" ht="18" customHeight="1" s="17"/>
    <row r="1040" ht="18" customHeight="1" s="17"/>
    <row r="1041" ht="18" customHeight="1" s="17"/>
    <row r="1042" ht="18" customHeight="1" s="17"/>
    <row r="1043" ht="18" customHeight="1" s="17"/>
    <row r="1044" ht="18" customHeight="1" s="17"/>
    <row r="1045" ht="18" customHeight="1" s="17"/>
    <row r="1046" ht="18" customHeight="1" s="17"/>
    <row r="1047" ht="18" customHeight="1" s="17"/>
    <row r="1048" ht="18" customHeight="1" s="17"/>
    <row r="1049" ht="18" customHeight="1" s="17"/>
    <row r="1050" ht="18" customHeight="1" s="17"/>
    <row r="1051" ht="18" customHeight="1" s="17"/>
    <row r="1052" ht="18" customHeight="1" s="17"/>
    <row r="1053" ht="18" customHeight="1" s="17"/>
    <row r="1054" ht="18" customHeight="1" s="17"/>
    <row r="1055" ht="18" customHeight="1" s="17"/>
    <row r="1056" ht="18" customHeight="1" s="17"/>
    <row r="1057" ht="18" customHeight="1" s="17"/>
    <row r="1058" ht="18" customHeight="1" s="17"/>
    <row r="1059" ht="18" customHeight="1" s="17"/>
    <row r="1060" ht="18" customHeight="1" s="17"/>
    <row r="1061" ht="18" customHeight="1" s="17"/>
    <row r="1062" ht="18" customHeight="1" s="17"/>
    <row r="1063" ht="18" customHeight="1" s="17"/>
    <row r="1064" ht="18" customHeight="1" s="17"/>
    <row r="1065" ht="18" customHeight="1" s="17"/>
    <row r="1066" ht="18" customHeight="1" s="17"/>
    <row r="1067" ht="18" customHeight="1" s="17"/>
    <row r="1068" ht="18" customHeight="1" s="17"/>
    <row r="1069" ht="18" customHeight="1" s="17"/>
    <row r="1070" ht="18" customHeight="1" s="17"/>
    <row r="1071" ht="18" customHeight="1" s="17"/>
    <row r="1072" ht="18" customHeight="1" s="17"/>
    <row r="1073" ht="18" customHeight="1" s="17"/>
    <row r="1074" ht="18" customHeight="1" s="17"/>
    <row r="1075" ht="18" customHeight="1" s="17"/>
    <row r="1076" ht="18" customHeight="1" s="17"/>
    <row r="1077" ht="18" customHeight="1" s="17"/>
    <row r="1078" ht="18" customHeight="1" s="17"/>
    <row r="1079" ht="18" customHeight="1" s="17"/>
    <row r="1080" ht="18" customHeight="1" s="17"/>
    <row r="1081" ht="18" customHeight="1" s="17"/>
    <row r="1082" ht="18" customHeight="1" s="17"/>
    <row r="1083" ht="18" customHeight="1" s="17"/>
    <row r="1084" ht="18" customHeight="1" s="17"/>
    <row r="1085" ht="18" customHeight="1" s="17"/>
    <row r="1086" ht="18" customHeight="1" s="17"/>
    <row r="1087" ht="18" customHeight="1" s="17"/>
    <row r="1088" ht="18" customHeight="1" s="17"/>
    <row r="1089" ht="18" customHeight="1" s="17"/>
    <row r="1090" ht="18" customHeight="1" s="17"/>
    <row r="1091" ht="18" customHeight="1" s="17"/>
    <row r="1092" ht="18" customHeight="1" s="17"/>
    <row r="1093" ht="18" customHeight="1" s="17"/>
    <row r="1094" ht="18" customHeight="1" s="17"/>
    <row r="1095" ht="18" customHeight="1" s="17"/>
    <row r="1096" ht="18" customHeight="1" s="17"/>
    <row r="1097" ht="18" customHeight="1" s="17"/>
    <row r="1098" ht="18" customHeight="1" s="17"/>
    <row r="1099" ht="18" customHeight="1" s="17"/>
    <row r="1100" ht="18" customHeight="1" s="17"/>
    <row r="1101" ht="18" customHeight="1" s="17"/>
    <row r="1102" ht="18" customHeight="1" s="17"/>
    <row r="1103" ht="18" customHeight="1" s="17"/>
    <row r="1104" ht="18" customHeight="1" s="17"/>
    <row r="1105" ht="18" customHeight="1" s="17"/>
    <row r="1106" ht="18" customHeight="1" s="17"/>
    <row r="1107" ht="18" customHeight="1" s="17"/>
    <row r="1108" ht="18" customHeight="1" s="17"/>
    <row r="1109" ht="18" customHeight="1" s="17"/>
    <row r="1110" ht="18" customHeight="1" s="17"/>
    <row r="1111" ht="18" customHeight="1" s="17"/>
    <row r="1112" ht="18" customHeight="1" s="17"/>
    <row r="1113" ht="18" customHeight="1" s="17"/>
    <row r="1114" ht="18" customHeight="1" s="17"/>
    <row r="1115" ht="18" customHeight="1" s="17"/>
    <row r="1116" ht="18" customHeight="1" s="17"/>
    <row r="1117" ht="18" customHeight="1" s="17"/>
    <row r="1118" ht="18" customHeight="1" s="17"/>
    <row r="1119" ht="18" customHeight="1" s="17"/>
    <row r="1120" ht="18" customHeight="1" s="17"/>
    <row r="1121" ht="18" customHeight="1" s="17"/>
    <row r="1122" ht="18" customHeight="1" s="17"/>
    <row r="1123" ht="18" customHeight="1" s="17"/>
    <row r="1124" ht="18" customHeight="1" s="17"/>
    <row r="1125" ht="18" customHeight="1" s="17"/>
    <row r="1126" ht="18" customHeight="1" s="17"/>
    <row r="1127" ht="18" customHeight="1" s="17"/>
    <row r="1128" ht="18" customHeight="1" s="17"/>
    <row r="1129" ht="18" customHeight="1" s="17"/>
    <row r="1130" ht="18" customHeight="1" s="17"/>
    <row r="1131" ht="18" customHeight="1" s="17"/>
    <row r="1132" ht="18" customHeight="1" s="17"/>
    <row r="1133" ht="18" customHeight="1" s="17"/>
    <row r="1134" ht="18" customHeight="1" s="17"/>
    <row r="1135" ht="18" customHeight="1" s="17"/>
    <row r="1136" ht="18" customHeight="1" s="17"/>
    <row r="1137" ht="18" customHeight="1" s="17"/>
    <row r="1138" ht="18" customHeight="1" s="17"/>
    <row r="1139" ht="18" customHeight="1" s="17"/>
    <row r="1140" ht="18" customHeight="1" s="17"/>
    <row r="1141" ht="18" customHeight="1" s="17"/>
    <row r="1142" ht="18" customHeight="1" s="17"/>
    <row r="1143" ht="18" customHeight="1" s="17"/>
    <row r="1144" ht="18" customHeight="1" s="17"/>
    <row r="1145" ht="18" customHeight="1" s="17"/>
    <row r="1146" ht="18" customHeight="1" s="17"/>
    <row r="1147" ht="18" customHeight="1" s="17"/>
    <row r="1148" ht="18" customHeight="1" s="17"/>
    <row r="1149" ht="18" customHeight="1" s="17"/>
    <row r="1150" ht="18" customHeight="1" s="17"/>
    <row r="1151" ht="18" customHeight="1" s="17"/>
    <row r="1152" ht="18" customHeight="1" s="17"/>
    <row r="1153" ht="18" customHeight="1" s="17"/>
    <row r="1154" ht="18" customHeight="1" s="17"/>
    <row r="1155" ht="18" customHeight="1" s="17"/>
    <row r="1156" ht="18" customHeight="1" s="17"/>
    <row r="1157" ht="18" customHeight="1" s="17"/>
    <row r="1158" ht="18" customHeight="1" s="17"/>
    <row r="1159" ht="18" customHeight="1" s="17"/>
    <row r="1160" ht="18" customHeight="1" s="17"/>
    <row r="1161" ht="18" customHeight="1" s="17"/>
    <row r="1162" ht="18" customHeight="1" s="17"/>
    <row r="1163" ht="18" customHeight="1" s="17"/>
    <row r="1164" ht="18" customHeight="1" s="17"/>
    <row r="1165" ht="18" customHeight="1" s="17"/>
    <row r="1166" ht="18" customHeight="1" s="17"/>
    <row r="1167" ht="18" customHeight="1" s="17"/>
    <row r="1168" ht="18" customHeight="1" s="17"/>
    <row r="1169" ht="18" customHeight="1" s="17"/>
    <row r="1170" ht="18" customHeight="1" s="17"/>
    <row r="1171" ht="18" customHeight="1" s="17"/>
    <row r="1172" ht="18" customHeight="1" s="17"/>
    <row r="1173" ht="18" customHeight="1" s="17"/>
    <row r="1174" ht="18" customHeight="1" s="17"/>
    <row r="1175" ht="18" customHeight="1" s="17"/>
    <row r="1176" ht="18" customHeight="1" s="17"/>
    <row r="1177" ht="18" customHeight="1" s="17"/>
    <row r="1178" ht="18" customHeight="1" s="17"/>
    <row r="1179" ht="18" customHeight="1" s="17"/>
    <row r="1180" ht="18" customHeight="1" s="17"/>
    <row r="1181" ht="18" customHeight="1" s="17"/>
    <row r="1182" ht="18" customHeight="1" s="17"/>
    <row r="1183" ht="18" customHeight="1" s="17"/>
    <row r="1184" ht="18" customHeight="1" s="17"/>
    <row r="1185" ht="18" customHeight="1" s="17"/>
    <row r="1186" ht="18" customHeight="1" s="17"/>
    <row r="1187" ht="18" customHeight="1" s="17"/>
    <row r="1188" ht="18" customHeight="1" s="17"/>
    <row r="1189" ht="18" customHeight="1" s="17"/>
    <row r="1190" ht="18" customHeight="1" s="17"/>
    <row r="1191" ht="18" customHeight="1" s="17"/>
    <row r="1192" ht="18" customHeight="1" s="17"/>
    <row r="1193" ht="18" customHeight="1" s="17"/>
    <row r="1194" ht="18" customHeight="1" s="17"/>
    <row r="1195" ht="18" customHeight="1" s="17"/>
    <row r="1196" ht="18" customHeight="1" s="17"/>
    <row r="1197" ht="18" customHeight="1" s="17"/>
    <row r="1198" ht="18" customHeight="1" s="17"/>
    <row r="1199" ht="18" customHeight="1" s="17"/>
    <row r="1200" ht="18" customHeight="1" s="17"/>
    <row r="1201" ht="18" customHeight="1" s="17"/>
    <row r="1202" ht="18" customHeight="1" s="17"/>
    <row r="1203" ht="18" customHeight="1" s="17"/>
    <row r="1204" ht="18" customHeight="1" s="17"/>
    <row r="1205" ht="18" customHeight="1" s="17"/>
    <row r="1206" ht="18" customHeight="1" s="17"/>
    <row r="1207" ht="18" customHeight="1" s="17"/>
    <row r="1208" ht="18" customHeight="1" s="17"/>
    <row r="1209" ht="18" customHeight="1" s="17"/>
    <row r="1210" ht="18" customHeight="1" s="17"/>
    <row r="1211" ht="18" customHeight="1" s="17"/>
    <row r="1212" ht="18" customHeight="1" s="17"/>
    <row r="1213" ht="18" customHeight="1" s="17"/>
    <row r="1214" ht="18" customHeight="1" s="17"/>
    <row r="1215" ht="18" customHeight="1" s="17"/>
    <row r="1216" ht="18" customHeight="1" s="17"/>
    <row r="1217" ht="18" customHeight="1" s="17"/>
    <row r="1218" ht="18" customHeight="1" s="17"/>
    <row r="1219" ht="18" customHeight="1" s="17"/>
    <row r="1220" ht="18" customHeight="1" s="17"/>
    <row r="1221" ht="18" customHeight="1" s="17"/>
    <row r="1222" ht="18" customHeight="1" s="17"/>
    <row r="1223" ht="18" customHeight="1" s="17"/>
    <row r="1224" ht="18" customHeight="1" s="17"/>
    <row r="1225" ht="18" customHeight="1" s="17"/>
    <row r="1226" ht="18" customHeight="1" s="17"/>
    <row r="1227" ht="18" customHeight="1" s="17"/>
    <row r="1228" ht="18" customHeight="1" s="17"/>
    <row r="1229" ht="18" customHeight="1" s="17"/>
    <row r="1230" ht="18" customHeight="1" s="17"/>
    <row r="1231" ht="18" customHeight="1" s="17"/>
    <row r="1232" ht="18" customHeight="1" s="17"/>
    <row r="1233" ht="18" customHeight="1" s="17"/>
    <row r="1234" ht="18" customHeight="1" s="17"/>
    <row r="1235" ht="18" customHeight="1" s="17"/>
    <row r="1236" ht="18" customHeight="1" s="17"/>
    <row r="1237" ht="18" customHeight="1" s="17"/>
    <row r="1238" ht="18" customHeight="1" s="17"/>
    <row r="1239" ht="18" customHeight="1" s="17"/>
    <row r="1240" ht="18" customHeight="1" s="17"/>
    <row r="1241" ht="18" customHeight="1" s="17"/>
    <row r="1242" ht="18" customHeight="1" s="17"/>
    <row r="1243" ht="18" customHeight="1" s="17"/>
    <row r="1244" ht="18" customHeight="1" s="17"/>
    <row r="1245" ht="18" customHeight="1" s="17"/>
    <row r="1246" ht="18" customHeight="1" s="17"/>
    <row r="1247" ht="18" customHeight="1" s="17"/>
    <row r="1248" ht="18" customHeight="1" s="17"/>
    <row r="1249" ht="18" customHeight="1" s="17"/>
    <row r="1250" ht="18" customHeight="1" s="17"/>
    <row r="1251" ht="18" customHeight="1" s="17"/>
    <row r="1252" ht="18" customHeight="1" s="17"/>
    <row r="1253" ht="18" customHeight="1" s="17"/>
    <row r="1254" ht="18" customHeight="1" s="17"/>
    <row r="1255" ht="18" customHeight="1" s="17"/>
    <row r="1256" ht="18" customHeight="1" s="17"/>
    <row r="1257" ht="18" customHeight="1" s="17"/>
    <row r="1258" ht="18" customHeight="1" s="17"/>
    <row r="1259" ht="18" customHeight="1" s="17"/>
    <row r="1260" ht="18" customHeight="1" s="17"/>
    <row r="1261" ht="18" customHeight="1" s="17"/>
    <row r="1262" ht="18" customHeight="1" s="17"/>
    <row r="1263" ht="18" customHeight="1" s="17"/>
    <row r="1264" ht="18" customHeight="1" s="17"/>
    <row r="1265" ht="18" customHeight="1" s="17"/>
    <row r="1266" ht="18" customHeight="1" s="17"/>
    <row r="1267" ht="18" customHeight="1" s="17"/>
    <row r="1268" ht="18" customHeight="1" s="17"/>
    <row r="1269" ht="18" customHeight="1" s="17"/>
    <row r="1270" ht="18" customHeight="1" s="17"/>
    <row r="1271" ht="18" customHeight="1" s="17"/>
    <row r="1272" ht="18" customHeight="1" s="17"/>
    <row r="1273" ht="18" customHeight="1" s="17"/>
    <row r="1274" ht="18" customHeight="1" s="17"/>
    <row r="1275" ht="18" customHeight="1" s="17"/>
    <row r="1276" ht="18" customHeight="1" s="17"/>
    <row r="1277" ht="18" customHeight="1" s="17"/>
    <row r="1278" ht="18" customHeight="1" s="17"/>
    <row r="1279" ht="18" customHeight="1" s="17"/>
    <row r="1280" ht="18" customHeight="1" s="17"/>
    <row r="1281" ht="18" customHeight="1" s="17"/>
    <row r="1282" ht="18" customHeight="1" s="17"/>
    <row r="1283" ht="18" customHeight="1" s="17"/>
    <row r="1284" ht="18" customHeight="1" s="17"/>
    <row r="1285" ht="18" customHeight="1" s="17"/>
    <row r="1286" ht="18" customHeight="1" s="17"/>
    <row r="1287" ht="18" customHeight="1" s="17"/>
    <row r="1288" ht="18" customHeight="1" s="17"/>
    <row r="1289" ht="18" customHeight="1" s="17"/>
    <row r="1290" ht="18" customHeight="1" s="17"/>
    <row r="1291" ht="18" customHeight="1" s="17"/>
    <row r="1292" ht="18" customHeight="1" s="17"/>
    <row r="1293" ht="18" customHeight="1" s="17"/>
    <row r="1294" ht="18" customHeight="1" s="17"/>
    <row r="1295" ht="18" customHeight="1" s="17"/>
    <row r="1296" ht="18" customHeight="1" s="17"/>
    <row r="1297" ht="18" customHeight="1" s="17"/>
    <row r="1298" ht="18" customHeight="1" s="17"/>
    <row r="1299" ht="18" customHeight="1" s="17"/>
    <row r="1300" ht="18" customHeight="1" s="17"/>
    <row r="1301" ht="18" customHeight="1" s="17"/>
    <row r="1302" ht="18" customHeight="1" s="17"/>
    <row r="1303" ht="18" customHeight="1" s="17"/>
    <row r="1304" ht="18" customHeight="1" s="17"/>
    <row r="1305" ht="18" customHeight="1" s="17"/>
    <row r="1306" ht="18" customHeight="1" s="17"/>
    <row r="1307" ht="18" customHeight="1" s="17"/>
    <row r="1308" ht="18" customHeight="1" s="17"/>
    <row r="1309" ht="18" customHeight="1" s="17"/>
    <row r="1310" ht="18" customHeight="1" s="17"/>
    <row r="1311" ht="18" customHeight="1" s="17"/>
    <row r="1312" ht="18" customHeight="1" s="17"/>
    <row r="1313" ht="18" customHeight="1" s="17"/>
    <row r="1314" ht="18" customHeight="1" s="17"/>
    <row r="1315" ht="18" customHeight="1" s="17"/>
    <row r="1316" ht="18" customHeight="1" s="17"/>
    <row r="1317" ht="18" customHeight="1" s="17"/>
    <row r="1318" ht="18" customHeight="1" s="17"/>
    <row r="1319" ht="18" customHeight="1" s="17"/>
    <row r="1320" ht="18" customHeight="1" s="17"/>
    <row r="1321" ht="18" customHeight="1" s="17"/>
    <row r="1322" ht="18" customHeight="1" s="17"/>
    <row r="1323" ht="18" customHeight="1" s="17"/>
    <row r="1324" ht="18" customHeight="1" s="17"/>
    <row r="1325" ht="18" customHeight="1" s="17"/>
    <row r="1326" ht="18" customHeight="1" s="17"/>
    <row r="1327" ht="18" customHeight="1" s="17"/>
    <row r="1328" ht="18" customHeight="1" s="17"/>
    <row r="1329" ht="18" customHeight="1" s="17"/>
    <row r="1330" ht="18" customHeight="1" s="17"/>
    <row r="1331" ht="18" customHeight="1" s="17"/>
    <row r="1332" ht="18" customHeight="1" s="17"/>
    <row r="1333" ht="18" customHeight="1" s="17"/>
    <row r="1334" ht="18" customHeight="1" s="17"/>
    <row r="1335" ht="18" customHeight="1" s="17"/>
    <row r="1336" ht="18" customHeight="1" s="17"/>
    <row r="1337" ht="18" customHeight="1" s="17"/>
    <row r="1338" ht="18" customHeight="1" s="17"/>
    <row r="1339" ht="18" customHeight="1" s="17"/>
    <row r="1340" ht="18" customHeight="1" s="17"/>
    <row r="1341" ht="18" customHeight="1" s="17"/>
    <row r="1342" ht="18" customHeight="1" s="17"/>
    <row r="1343" ht="18" customHeight="1" s="17"/>
    <row r="1344" ht="18" customHeight="1" s="17"/>
    <row r="1345" ht="18" customHeight="1" s="17"/>
    <row r="1346" ht="18" customHeight="1" s="17"/>
    <row r="1347" ht="18" customHeight="1" s="17"/>
    <row r="1348" ht="18" customHeight="1" s="17"/>
    <row r="1349" ht="18" customHeight="1" s="17"/>
    <row r="1350" ht="18" customHeight="1" s="17"/>
    <row r="1351" ht="18" customHeight="1" s="17"/>
    <row r="1352" ht="18" customHeight="1" s="17"/>
    <row r="1353" ht="18" customHeight="1" s="17"/>
    <row r="1354" ht="18" customHeight="1" s="17"/>
    <row r="1355" ht="18" customHeight="1" s="17"/>
    <row r="1356" ht="18" customHeight="1" s="17"/>
    <row r="1357" ht="18" customHeight="1" s="17"/>
    <row r="1358" ht="18" customHeight="1" s="17"/>
    <row r="1359" ht="18" customHeight="1" s="17"/>
    <row r="1360" ht="18" customHeight="1" s="17"/>
    <row r="1361" ht="18" customHeight="1" s="17"/>
    <row r="1362" ht="18" customHeight="1" s="17"/>
    <row r="1363" ht="18" customHeight="1" s="17"/>
    <row r="1364" ht="18" customHeight="1" s="17"/>
    <row r="1365" ht="18" customHeight="1" s="17"/>
    <row r="1366" ht="18" customHeight="1" s="17"/>
    <row r="1367" ht="18" customHeight="1" s="17"/>
    <row r="1368" ht="18" customHeight="1" s="17"/>
    <row r="1369" ht="18" customHeight="1" s="17"/>
    <row r="1370" ht="18" customHeight="1" s="17"/>
    <row r="1371" ht="18" customHeight="1" s="17"/>
    <row r="1372" ht="18" customHeight="1" s="17"/>
    <row r="1373" ht="18" customHeight="1" s="17"/>
    <row r="1374" ht="18" customHeight="1" s="17"/>
    <row r="1375" ht="18" customHeight="1" s="17"/>
    <row r="1376" ht="18" customHeight="1" s="17"/>
    <row r="1377" ht="18" customHeight="1" s="17"/>
    <row r="1378" ht="18" customHeight="1" s="17"/>
    <row r="1379" ht="18" customHeight="1" s="17"/>
    <row r="1380" ht="18" customHeight="1" s="17"/>
    <row r="1381" ht="18" customHeight="1" s="17"/>
    <row r="1382" ht="18" customHeight="1" s="17"/>
    <row r="1383" ht="18" customHeight="1" s="17"/>
    <row r="1384" ht="18" customHeight="1" s="17"/>
    <row r="1385" ht="18" customHeight="1" s="17"/>
    <row r="1386" ht="18" customHeight="1" s="17"/>
    <row r="1387" ht="18" customHeight="1" s="17"/>
    <row r="1388" ht="18" customHeight="1" s="17"/>
    <row r="1389" ht="18" customHeight="1" s="17"/>
    <row r="1390" ht="18" customHeight="1" s="17"/>
    <row r="1391" ht="18" customHeight="1" s="17"/>
    <row r="1392" ht="18" customHeight="1" s="17"/>
    <row r="1393" ht="18" customHeight="1" s="17"/>
    <row r="1394" ht="18" customHeight="1" s="17"/>
    <row r="1395" ht="18" customHeight="1" s="17"/>
    <row r="1396" ht="18" customHeight="1" s="17"/>
    <row r="1397" ht="18" customHeight="1" s="17"/>
    <row r="1398" ht="18" customHeight="1" s="17"/>
    <row r="1399" ht="18" customHeight="1" s="17"/>
    <row r="1400" ht="18" customHeight="1" s="17"/>
    <row r="1401" ht="18" customHeight="1" s="17"/>
    <row r="1402" ht="18" customHeight="1" s="17"/>
    <row r="1403" ht="18" customHeight="1" s="17"/>
    <row r="1404" ht="18" customHeight="1" s="17"/>
    <row r="1405" ht="18" customHeight="1" s="17"/>
    <row r="1406" ht="18" customHeight="1" s="17"/>
    <row r="1407" ht="18" customHeight="1" s="17"/>
    <row r="1408" ht="18" customHeight="1" s="17"/>
    <row r="1409" ht="18" customHeight="1" s="17"/>
    <row r="1410" ht="18" customHeight="1" s="17"/>
    <row r="1411" ht="18" customHeight="1" s="17"/>
    <row r="1412" ht="18" customHeight="1" s="17"/>
    <row r="1413" ht="18" customHeight="1" s="17"/>
    <row r="1414" ht="18" customHeight="1" s="17"/>
    <row r="1415" ht="18" customHeight="1" s="17"/>
    <row r="1416" ht="18" customHeight="1" s="17"/>
    <row r="1417" ht="18" customHeight="1" s="17"/>
    <row r="1418" ht="18" customHeight="1" s="17"/>
    <row r="1419" ht="18" customHeight="1" s="17"/>
    <row r="1420" ht="18" customHeight="1" s="17"/>
    <row r="1421" ht="18" customHeight="1" s="17"/>
    <row r="1422" ht="18" customHeight="1" s="17"/>
    <row r="1423" ht="18" customHeight="1" s="17"/>
    <row r="1424" ht="18" customHeight="1" s="17"/>
    <row r="1425" ht="18" customHeight="1" s="17"/>
    <row r="1426" ht="18" customHeight="1" s="17"/>
    <row r="1427" ht="18" customHeight="1" s="17"/>
    <row r="1428" ht="18" customHeight="1" s="17"/>
    <row r="1429" ht="18" customHeight="1" s="17"/>
    <row r="1430" ht="18" customHeight="1" s="17"/>
    <row r="1431" ht="18" customHeight="1" s="17"/>
    <row r="1432" ht="18" customHeight="1" s="17"/>
    <row r="1433" ht="18" customHeight="1" s="17"/>
    <row r="1434" ht="18" customHeight="1" s="17"/>
    <row r="1435" ht="18" customHeight="1" s="17"/>
    <row r="1436" ht="18" customHeight="1" s="17"/>
    <row r="1437" ht="18" customHeight="1" s="17"/>
    <row r="1438" ht="18" customHeight="1" s="17"/>
    <row r="1439" ht="18" customHeight="1" s="17"/>
    <row r="1440" ht="18" customHeight="1" s="17"/>
    <row r="1441" ht="18" customHeight="1" s="17"/>
    <row r="1442" ht="18" customHeight="1" s="17"/>
    <row r="1443" ht="18" customHeight="1" s="17"/>
    <row r="1444" ht="18" customHeight="1" s="17"/>
    <row r="1445" ht="18" customHeight="1" s="17"/>
    <row r="1446" ht="18" customHeight="1" s="17"/>
    <row r="1447" ht="18" customHeight="1" s="17"/>
    <row r="1448" ht="18" customHeight="1" s="17"/>
    <row r="1449" ht="18" customHeight="1" s="17"/>
    <row r="1450" ht="18" customHeight="1" s="17"/>
    <row r="1451" ht="18" customHeight="1" s="17"/>
    <row r="1452" ht="18" customHeight="1" s="17"/>
    <row r="1453" ht="18" customHeight="1" s="17"/>
    <row r="1454" ht="18" customHeight="1" s="17"/>
    <row r="1455" ht="18" customHeight="1" s="17"/>
    <row r="1456" ht="18" customHeight="1" s="17"/>
    <row r="1457" ht="18" customHeight="1" s="17"/>
    <row r="1458" ht="18" customHeight="1" s="17"/>
    <row r="1459" ht="18" customHeight="1" s="17"/>
    <row r="1460" ht="18" customHeight="1" s="17"/>
    <row r="1461" ht="18" customHeight="1" s="17"/>
    <row r="1462" ht="18" customHeight="1" s="17"/>
    <row r="1463" ht="18" customHeight="1" s="17"/>
    <row r="1464" ht="18" customHeight="1" s="17"/>
    <row r="1465" ht="18" customHeight="1" s="17"/>
    <row r="1466" ht="18" customHeight="1" s="17"/>
    <row r="1467" ht="18" customHeight="1" s="17"/>
    <row r="1468" ht="18" customHeight="1" s="17"/>
    <row r="1469" ht="18" customHeight="1" s="17"/>
    <row r="1470" ht="18" customHeight="1" s="17"/>
    <row r="1471" ht="18" customHeight="1" s="17"/>
    <row r="1472" ht="18" customHeight="1" s="17"/>
    <row r="1473" ht="18" customHeight="1" s="17"/>
    <row r="1474" ht="18" customHeight="1" s="17"/>
    <row r="1475" ht="18" customHeight="1" s="17"/>
    <row r="1476" ht="18" customHeight="1" s="17"/>
    <row r="1477" ht="18" customHeight="1" s="17"/>
    <row r="1478" ht="18" customHeight="1" s="17"/>
    <row r="1479" ht="18" customHeight="1" s="17"/>
    <row r="1480" ht="18" customHeight="1" s="17"/>
    <row r="1481" ht="18" customHeight="1" s="17"/>
    <row r="1482" ht="18" customHeight="1" s="17"/>
    <row r="1483" ht="18" customHeight="1" s="17"/>
    <row r="1484" ht="18" customHeight="1" s="17"/>
    <row r="1485" ht="18" customHeight="1" s="17"/>
    <row r="1486" ht="18" customHeight="1" s="17"/>
    <row r="1487" ht="18" customHeight="1" s="17"/>
    <row r="1488" ht="18" customHeight="1" s="17"/>
    <row r="1489" ht="18" customHeight="1" s="17"/>
    <row r="1490" ht="18" customHeight="1" s="17"/>
    <row r="1491" ht="18" customHeight="1" s="17"/>
    <row r="1492" ht="18" customHeight="1" s="17"/>
    <row r="1493" ht="18" customHeight="1" s="17"/>
    <row r="1494" ht="18" customHeight="1" s="17"/>
    <row r="1495" ht="18" customHeight="1" s="17"/>
    <row r="1496" ht="18" customHeight="1" s="17"/>
    <row r="1497" ht="18" customHeight="1" s="17"/>
    <row r="1498" ht="18" customHeight="1" s="17"/>
    <row r="1499" ht="18" customHeight="1" s="17"/>
    <row r="1500" ht="18" customHeight="1" s="17"/>
    <row r="1501" ht="18" customHeight="1" s="17"/>
    <row r="1502" ht="18" customHeight="1" s="17"/>
    <row r="1503" ht="18" customHeight="1" s="17"/>
    <row r="1504" ht="18" customHeight="1" s="17"/>
    <row r="1505" ht="18" customHeight="1" s="17"/>
    <row r="1506" ht="18" customHeight="1" s="17"/>
    <row r="1507" ht="18" customHeight="1" s="17"/>
    <row r="1508" ht="18" customHeight="1" s="17"/>
    <row r="1509" ht="18" customHeight="1" s="17"/>
    <row r="1510" ht="18" customHeight="1" s="17"/>
    <row r="1511" ht="18" customHeight="1" s="17"/>
    <row r="1512" ht="18" customHeight="1" s="17"/>
    <row r="1513" ht="18" customHeight="1" s="17"/>
    <row r="1514" ht="18" customHeight="1" s="17"/>
    <row r="1515" ht="18" customHeight="1" s="17"/>
    <row r="1516" ht="18" customHeight="1" s="17"/>
    <row r="1517" ht="18" customHeight="1" s="17"/>
    <row r="1518" ht="18" customHeight="1" s="17"/>
    <row r="1519" ht="18" customHeight="1" s="17"/>
    <row r="1520" ht="18" customHeight="1" s="17"/>
    <row r="1521" ht="18" customHeight="1" s="17"/>
    <row r="1522" ht="18" customHeight="1" s="17"/>
    <row r="1523" ht="18" customHeight="1" s="17"/>
    <row r="1524" ht="18" customHeight="1" s="17"/>
    <row r="1525" ht="18" customHeight="1" s="17"/>
    <row r="1526" ht="18" customHeight="1" s="17"/>
    <row r="1527" ht="18" customHeight="1" s="17"/>
    <row r="1528" ht="18" customHeight="1" s="17"/>
    <row r="1529" ht="18" customHeight="1" s="17"/>
    <row r="1530" ht="18" customHeight="1" s="17"/>
    <row r="1531" ht="18" customHeight="1" s="17"/>
    <row r="1532" ht="18" customHeight="1" s="17"/>
    <row r="1533" ht="18" customHeight="1" s="17"/>
    <row r="1534" ht="18" customHeight="1" s="17"/>
    <row r="1535" ht="18" customHeight="1" s="17"/>
    <row r="1536" ht="18" customHeight="1" s="17"/>
    <row r="1537" ht="18" customHeight="1" s="17"/>
    <row r="1538" ht="18" customHeight="1" s="17"/>
    <row r="1539" ht="18" customHeight="1" s="17"/>
    <row r="1540" ht="18" customHeight="1" s="17"/>
    <row r="1541" ht="18" customHeight="1" s="17"/>
    <row r="1542" ht="18" customHeight="1" s="17"/>
    <row r="1543" ht="18" customHeight="1" s="17"/>
    <row r="1544" ht="18" customHeight="1" s="17"/>
    <row r="1545" ht="18" customHeight="1" s="17"/>
    <row r="1546" ht="18" customHeight="1" s="17"/>
    <row r="1547" ht="18" customHeight="1" s="17"/>
    <row r="1548" ht="18" customHeight="1" s="17"/>
    <row r="1549" ht="18" customHeight="1" s="17"/>
    <row r="1550" ht="18" customHeight="1" s="17"/>
    <row r="1551" ht="18" customHeight="1" s="17"/>
    <row r="1552" ht="18" customHeight="1" s="17"/>
    <row r="1553" ht="18" customHeight="1" s="17"/>
    <row r="1554" ht="18" customHeight="1" s="17"/>
    <row r="1555" ht="18" customHeight="1" s="17"/>
    <row r="1556" ht="18" customHeight="1" s="17"/>
    <row r="1557" ht="18" customHeight="1" s="17"/>
    <row r="1558" ht="18" customHeight="1" s="17"/>
    <row r="1559" ht="18" customHeight="1" s="17"/>
    <row r="1560" ht="18" customHeight="1" s="17"/>
    <row r="1561" ht="18" customHeight="1" s="17"/>
    <row r="1562" ht="18" customHeight="1" s="17"/>
    <row r="1563" ht="18" customHeight="1" s="17"/>
    <row r="1564" ht="18" customHeight="1" s="17"/>
    <row r="1565" ht="18" customHeight="1" s="17"/>
    <row r="1566" ht="18" customHeight="1" s="17"/>
    <row r="1567" ht="18" customHeight="1" s="17"/>
    <row r="1568" ht="18" customHeight="1" s="17"/>
    <row r="1569" ht="18" customHeight="1" s="17"/>
    <row r="1570" ht="18" customHeight="1" s="17"/>
    <row r="1571" ht="18" customHeight="1" s="17"/>
    <row r="1572" ht="18" customHeight="1" s="17"/>
    <row r="1573" ht="18" customHeight="1" s="17"/>
    <row r="1574" ht="18" customHeight="1" s="17"/>
    <row r="1575" ht="18" customHeight="1" s="17"/>
    <row r="1576" ht="18" customHeight="1" s="17"/>
    <row r="1577" ht="18" customHeight="1" s="17"/>
    <row r="1578" ht="18" customHeight="1" s="17"/>
    <row r="1579" ht="18" customHeight="1" s="17"/>
    <row r="1580" ht="18" customHeight="1" s="17"/>
    <row r="1581" ht="18" customHeight="1" s="17"/>
    <row r="1582" ht="18" customHeight="1" s="17"/>
    <row r="1583" ht="18" customHeight="1" s="17"/>
    <row r="1584" ht="18" customHeight="1" s="17"/>
    <row r="1585" ht="18" customHeight="1" s="17"/>
    <row r="1586" ht="18" customHeight="1" s="17"/>
    <row r="1587" ht="18" customHeight="1" s="17"/>
    <row r="1588" ht="18" customHeight="1" s="17"/>
    <row r="1589" ht="18" customHeight="1" s="17"/>
    <row r="1590" ht="18" customHeight="1" s="17"/>
    <row r="1591" ht="18" customHeight="1" s="17"/>
    <row r="1592" ht="18" customHeight="1" s="17"/>
    <row r="1593" ht="18" customHeight="1" s="17"/>
    <row r="1594" ht="18" customHeight="1" s="17"/>
    <row r="1595" ht="18" customHeight="1" s="17"/>
    <row r="1596" ht="18" customHeight="1" s="17"/>
    <row r="1597" ht="18" customHeight="1" s="17"/>
    <row r="1598" ht="18" customHeight="1" s="17"/>
    <row r="1599" ht="18" customHeight="1" s="17"/>
    <row r="1600" ht="18" customHeight="1" s="17"/>
    <row r="1601" ht="18" customHeight="1" s="17"/>
    <row r="1602" ht="18" customHeight="1" s="17"/>
    <row r="1603" ht="18" customHeight="1" s="17"/>
    <row r="1604" ht="18" customHeight="1" s="17"/>
    <row r="1605" ht="18" customHeight="1" s="17"/>
    <row r="1606" ht="18" customHeight="1" s="17"/>
    <row r="1607" ht="18" customHeight="1" s="17"/>
    <row r="1608" ht="18" customHeight="1" s="17"/>
    <row r="1609" ht="18" customHeight="1" s="17"/>
    <row r="1610" ht="18" customHeight="1" s="17"/>
    <row r="1611" ht="18" customHeight="1" s="17"/>
    <row r="1612" ht="18" customHeight="1" s="17"/>
    <row r="1613" ht="18" customHeight="1" s="17"/>
    <row r="1614" ht="18" customHeight="1" s="17"/>
    <row r="1615" ht="18" customHeight="1" s="17"/>
    <row r="1616" ht="18" customHeight="1" s="17"/>
    <row r="1617" ht="18" customHeight="1" s="17"/>
    <row r="1618" ht="18" customHeight="1" s="17"/>
    <row r="1619" ht="18" customHeight="1" s="17"/>
    <row r="1620" ht="18" customHeight="1" s="17"/>
    <row r="1621" ht="18" customHeight="1" s="17"/>
    <row r="1622" ht="18" customHeight="1" s="17"/>
    <row r="1623" ht="18" customHeight="1" s="17"/>
    <row r="1624" ht="18" customHeight="1" s="17"/>
    <row r="1625" ht="18" customHeight="1" s="17"/>
    <row r="1626" ht="18" customHeight="1" s="17"/>
    <row r="1627" ht="18" customHeight="1" s="17"/>
    <row r="1628" ht="18" customHeight="1" s="17"/>
    <row r="1629" ht="18" customHeight="1" s="17"/>
    <row r="1630" ht="18" customHeight="1" s="17"/>
    <row r="1631" ht="18" customHeight="1" s="17"/>
    <row r="1632" ht="18" customHeight="1" s="17"/>
    <row r="1633" ht="18" customHeight="1" s="17"/>
    <row r="1634" ht="18" customHeight="1" s="17"/>
    <row r="1635" ht="18" customHeight="1" s="17"/>
    <row r="1636" ht="18" customHeight="1" s="17"/>
    <row r="1637" ht="18" customHeight="1" s="17"/>
    <row r="1638" ht="18" customHeight="1" s="17"/>
    <row r="1639" ht="18" customHeight="1" s="17"/>
    <row r="1640" ht="18" customHeight="1" s="17"/>
    <row r="1641" ht="18" customHeight="1" s="17"/>
    <row r="1642" ht="18" customHeight="1" s="17"/>
    <row r="1643" ht="18" customHeight="1" s="17"/>
    <row r="1644" ht="18" customHeight="1" s="17"/>
    <row r="1645" ht="18" customHeight="1" s="17"/>
    <row r="1646" ht="18" customHeight="1" s="17"/>
    <row r="1647" ht="18" customHeight="1" s="17"/>
    <row r="1648" ht="18" customHeight="1" s="17"/>
    <row r="1649" ht="18" customHeight="1" s="17"/>
    <row r="1650" ht="18" customHeight="1" s="17"/>
    <row r="1651" ht="18" customHeight="1" s="17"/>
    <row r="1652" ht="18" customHeight="1" s="17"/>
    <row r="1653" ht="18" customHeight="1" s="17"/>
    <row r="1654" ht="18" customHeight="1" s="17"/>
    <row r="1655" ht="18" customHeight="1" s="17"/>
    <row r="1656" ht="18" customHeight="1" s="17"/>
    <row r="1657" ht="18" customHeight="1" s="17"/>
    <row r="1658" ht="18" customHeight="1" s="17"/>
    <row r="1659" ht="18" customHeight="1" s="17"/>
    <row r="1660" ht="18" customHeight="1" s="17"/>
    <row r="1661" ht="18" customHeight="1" s="17"/>
    <row r="1662" ht="18" customHeight="1" s="17"/>
    <row r="1663" ht="18" customHeight="1" s="17"/>
    <row r="1664" ht="18" customHeight="1" s="17"/>
    <row r="1665" ht="18" customHeight="1" s="17"/>
    <row r="1666" ht="18" customHeight="1" s="17"/>
    <row r="1667" ht="18" customHeight="1" s="17"/>
    <row r="1668" ht="18" customHeight="1" s="17"/>
    <row r="1669" ht="18" customHeight="1" s="17"/>
    <row r="1670" ht="18" customHeight="1" s="17"/>
    <row r="1671" ht="18" customHeight="1" s="17"/>
    <row r="1672" ht="18" customHeight="1" s="17"/>
    <row r="1673" ht="18" customHeight="1" s="17"/>
    <row r="1674" ht="18" customHeight="1" s="17"/>
    <row r="1675" ht="18" customHeight="1" s="17"/>
    <row r="1676" ht="18" customHeight="1" s="17"/>
    <row r="1677" ht="18" customHeight="1" s="17"/>
    <row r="1678" ht="18" customHeight="1" s="17"/>
    <row r="1679" ht="18" customHeight="1" s="17"/>
    <row r="1680" ht="18" customHeight="1" s="17"/>
    <row r="1681" ht="18" customHeight="1" s="17"/>
    <row r="1682" ht="18" customHeight="1" s="17"/>
    <row r="1683" ht="18" customHeight="1" s="17"/>
    <row r="1684" ht="18" customHeight="1" s="17"/>
    <row r="1685" ht="18" customHeight="1" s="17"/>
    <row r="1686" ht="18" customHeight="1" s="17"/>
    <row r="1687" ht="18" customHeight="1" s="17"/>
    <row r="1688" ht="18" customHeight="1" s="17"/>
    <row r="1689" ht="18" customHeight="1" s="17"/>
    <row r="1690" ht="18" customHeight="1" s="17"/>
    <row r="1691" ht="18" customHeight="1" s="17"/>
    <row r="1692" ht="18" customHeight="1" s="17"/>
    <row r="1693" ht="18" customHeight="1" s="17"/>
    <row r="1694" ht="18" customHeight="1" s="17"/>
    <row r="1695" ht="18" customHeight="1" s="17"/>
    <row r="1696" ht="18" customHeight="1" s="17"/>
    <row r="1697" ht="18" customHeight="1" s="17"/>
    <row r="1698" ht="18" customHeight="1" s="17"/>
    <row r="1699" ht="18" customHeight="1" s="17"/>
    <row r="1700" ht="18" customHeight="1" s="17"/>
    <row r="1701" ht="18" customHeight="1" s="17"/>
    <row r="1702" ht="18" customHeight="1" s="17"/>
    <row r="1703" ht="18" customHeight="1" s="17"/>
    <row r="1704" ht="18" customHeight="1" s="17"/>
    <row r="1705" ht="18" customHeight="1" s="17"/>
    <row r="1706" ht="18" customHeight="1" s="17"/>
    <row r="1707" ht="18" customHeight="1" s="17"/>
    <row r="1708" ht="18" customHeight="1" s="17"/>
    <row r="1709" ht="18" customHeight="1" s="17"/>
    <row r="1710" ht="18" customHeight="1" s="17"/>
    <row r="1711" ht="18" customHeight="1" s="17"/>
    <row r="1712" ht="18" customHeight="1" s="17"/>
    <row r="1713" ht="18" customHeight="1" s="17"/>
    <row r="1714" ht="18" customHeight="1" s="17"/>
    <row r="1715" ht="18" customHeight="1" s="17"/>
    <row r="1716" ht="18" customHeight="1" s="17"/>
    <row r="1717" ht="18" customHeight="1" s="17"/>
    <row r="1718" ht="18" customHeight="1" s="17"/>
    <row r="1719" ht="18" customHeight="1" s="17"/>
    <row r="1720" ht="18" customHeight="1" s="17"/>
    <row r="1721" ht="18" customHeight="1" s="17"/>
    <row r="1722" ht="18" customHeight="1" s="17"/>
    <row r="1723" ht="18" customHeight="1" s="17"/>
    <row r="1724" ht="18" customHeight="1" s="17"/>
    <row r="1725" ht="18" customHeight="1" s="17"/>
    <row r="1726" ht="18" customHeight="1" s="17"/>
    <row r="1727" ht="18" customHeight="1" s="17"/>
    <row r="1728" ht="18" customHeight="1" s="17"/>
    <row r="1729" ht="18" customHeight="1" s="17"/>
    <row r="1730" ht="18" customHeight="1" s="17"/>
    <row r="1731" ht="18" customHeight="1" s="17"/>
    <row r="1732" ht="18" customHeight="1" s="17"/>
    <row r="1733" ht="18" customHeight="1" s="17"/>
    <row r="1734" ht="18" customHeight="1" s="17"/>
    <row r="1735" ht="18" customHeight="1" s="17"/>
    <row r="1736" ht="18" customHeight="1" s="17"/>
    <row r="1737" ht="18" customHeight="1" s="17"/>
    <row r="1738" ht="18" customHeight="1" s="17"/>
    <row r="1739" ht="18" customHeight="1" s="17"/>
    <row r="1740" ht="18" customHeight="1" s="17"/>
    <row r="1741" ht="18" customHeight="1" s="17"/>
    <row r="1742" ht="18" customHeight="1" s="17"/>
    <row r="1743" ht="18" customHeight="1" s="17"/>
    <row r="1744" ht="18" customHeight="1" s="17"/>
    <row r="1745" ht="18" customHeight="1" s="17"/>
    <row r="1746" ht="18" customHeight="1" s="17"/>
    <row r="1747" ht="18" customHeight="1" s="17"/>
    <row r="1748" ht="18" customHeight="1" s="17"/>
    <row r="1749" ht="18" customHeight="1" s="17"/>
    <row r="1750" ht="18" customHeight="1" s="17"/>
    <row r="1751" ht="18" customHeight="1" s="17"/>
    <row r="1752" ht="18" customHeight="1" s="17"/>
    <row r="1753" ht="18" customHeight="1" s="17"/>
    <row r="1754" ht="18" customHeight="1" s="17"/>
    <row r="1755" ht="18" customHeight="1" s="17"/>
    <row r="1756" ht="18" customHeight="1" s="17"/>
    <row r="1757" ht="18" customHeight="1" s="17"/>
    <row r="1758" ht="18" customHeight="1" s="17"/>
    <row r="1759" ht="18" customHeight="1" s="17"/>
    <row r="1760" ht="18" customHeight="1" s="17"/>
    <row r="1761" ht="18" customHeight="1" s="17"/>
    <row r="1762" ht="18" customHeight="1" s="17"/>
    <row r="1763" ht="18" customHeight="1" s="17"/>
    <row r="1764" ht="18" customHeight="1" s="17"/>
    <row r="1765" ht="18" customHeight="1" s="17"/>
    <row r="1766" ht="18" customHeight="1" s="17"/>
    <row r="1767" ht="18" customHeight="1" s="17"/>
    <row r="1768" ht="18" customHeight="1" s="17"/>
    <row r="1769" ht="18" customHeight="1" s="17"/>
    <row r="1770" ht="18" customHeight="1" s="17"/>
    <row r="1771" ht="18" customHeight="1" s="17"/>
    <row r="1772" ht="18" customHeight="1" s="17"/>
    <row r="1773" ht="18" customHeight="1" s="17"/>
    <row r="1774" ht="18" customHeight="1" s="17"/>
    <row r="1775" ht="18" customHeight="1" s="17"/>
    <row r="1776" ht="18" customHeight="1" s="17"/>
    <row r="1777" ht="18" customHeight="1" s="17"/>
    <row r="1778" ht="18" customHeight="1" s="17"/>
    <row r="1779" ht="18" customHeight="1" s="17"/>
    <row r="1780" ht="18" customHeight="1" s="17"/>
    <row r="1781" ht="18" customHeight="1" s="17"/>
    <row r="1782" ht="18" customHeight="1" s="17"/>
    <row r="1783" ht="18" customHeight="1" s="17"/>
    <row r="1784" ht="18" customHeight="1" s="17"/>
    <row r="1785" ht="18" customHeight="1" s="17"/>
    <row r="1786" ht="18" customHeight="1" s="17"/>
    <row r="1787" ht="18" customHeight="1" s="17"/>
    <row r="1788" ht="18" customHeight="1" s="17"/>
    <row r="1789" ht="18" customHeight="1" s="17"/>
    <row r="1790" ht="18" customHeight="1" s="17"/>
    <row r="1791" ht="18" customHeight="1" s="17"/>
    <row r="1792" ht="18" customHeight="1" s="17"/>
    <row r="1793" ht="18" customHeight="1" s="17"/>
    <row r="1794" ht="18" customHeight="1" s="17"/>
    <row r="1795" ht="18" customHeight="1" s="17"/>
    <row r="1796" ht="18" customHeight="1" s="17"/>
    <row r="1797" ht="18" customHeight="1" s="17"/>
    <row r="1798" ht="18" customHeight="1" s="17"/>
    <row r="1799" ht="18" customHeight="1" s="17"/>
    <row r="1800" ht="18" customHeight="1" s="17"/>
    <row r="1801" ht="18" customHeight="1" s="17"/>
    <row r="1802" ht="18" customHeight="1" s="17"/>
    <row r="1803" ht="18" customHeight="1" s="17"/>
    <row r="1804" ht="18" customHeight="1" s="17"/>
    <row r="1805" ht="18" customHeight="1" s="17"/>
    <row r="1806" ht="18" customHeight="1" s="17"/>
    <row r="1807" ht="18" customHeight="1" s="17"/>
    <row r="1808" ht="18" customHeight="1" s="17"/>
    <row r="1809" ht="18" customHeight="1" s="17"/>
    <row r="1810" ht="18" customHeight="1" s="17"/>
    <row r="1811" ht="18" customHeight="1" s="17"/>
    <row r="1812" ht="18" customHeight="1" s="17"/>
    <row r="1813" ht="18" customHeight="1" s="17"/>
    <row r="1814" ht="18" customHeight="1" s="17"/>
    <row r="1815" ht="18" customHeight="1" s="17"/>
    <row r="1816" ht="18" customHeight="1" s="17"/>
    <row r="1817" ht="18" customHeight="1" s="17"/>
    <row r="1818" ht="18" customHeight="1" s="17"/>
    <row r="1819" ht="18" customHeight="1" s="17"/>
    <row r="1820" ht="18" customHeight="1" s="17"/>
    <row r="1821" ht="18" customHeight="1" s="17"/>
    <row r="1822" ht="18" customHeight="1" s="17"/>
    <row r="1823" ht="18" customHeight="1" s="17"/>
    <row r="1824" ht="18" customHeight="1" s="17"/>
    <row r="1825" ht="18" customHeight="1" s="17"/>
    <row r="1826" ht="18" customHeight="1" s="17"/>
    <row r="1827" ht="18" customHeight="1" s="17"/>
    <row r="1828" ht="18" customHeight="1" s="17"/>
    <row r="1829" ht="18" customHeight="1" s="17"/>
    <row r="1830" ht="18" customHeight="1" s="17"/>
    <row r="1831" ht="18" customHeight="1" s="17"/>
    <row r="1832" ht="18" customHeight="1" s="17"/>
    <row r="1833" ht="18" customHeight="1" s="17"/>
    <row r="1834" ht="18" customHeight="1" s="17"/>
    <row r="1835" ht="18" customHeight="1" s="17"/>
    <row r="1836" ht="18" customHeight="1" s="17"/>
    <row r="1837" ht="18" customHeight="1" s="17"/>
    <row r="1838" ht="18" customHeight="1" s="17"/>
    <row r="1839" ht="18" customHeight="1" s="17"/>
    <row r="1840" ht="18" customHeight="1" s="17"/>
    <row r="1841" ht="18" customHeight="1" s="17"/>
    <row r="1842" ht="18" customHeight="1" s="17"/>
    <row r="1843" ht="18" customHeight="1" s="17"/>
    <row r="1844" ht="18" customHeight="1" s="17"/>
    <row r="1845" ht="18" customHeight="1" s="17"/>
    <row r="1846" ht="18" customHeight="1" s="17"/>
    <row r="1847" ht="18" customHeight="1" s="17"/>
    <row r="1848" ht="18" customHeight="1" s="17"/>
    <row r="1849" ht="18" customHeight="1" s="17"/>
    <row r="1850" ht="18" customHeight="1" s="17"/>
    <row r="1851" ht="18" customHeight="1" s="17"/>
    <row r="1852" ht="18" customHeight="1" s="17"/>
    <row r="1853" ht="18" customHeight="1" s="17"/>
    <row r="1854" ht="18" customHeight="1" s="17"/>
    <row r="1855" ht="18" customHeight="1" s="17"/>
    <row r="1856" ht="18" customHeight="1" s="17"/>
    <row r="1857" ht="18" customHeight="1" s="17"/>
    <row r="1858" ht="18" customHeight="1" s="17"/>
    <row r="1859" ht="18" customHeight="1" s="17"/>
    <row r="1860" ht="18" customHeight="1" s="17"/>
    <row r="1861" ht="18" customHeight="1" s="17"/>
    <row r="1862" ht="18" customHeight="1" s="17"/>
    <row r="1863" ht="18" customHeight="1" s="17"/>
    <row r="1864" ht="18" customHeight="1" s="17"/>
    <row r="1865" ht="18" customHeight="1" s="17"/>
    <row r="1866" ht="18" customHeight="1" s="17"/>
    <row r="1867" ht="18" customHeight="1" s="17"/>
    <row r="1868" ht="18" customHeight="1" s="17"/>
    <row r="1869" ht="18" customHeight="1" s="17"/>
    <row r="1870" ht="18" customHeight="1" s="17"/>
    <row r="1871" ht="18" customHeight="1" s="17"/>
    <row r="1872" ht="18" customHeight="1" s="17"/>
    <row r="1873" ht="18" customHeight="1" s="17"/>
    <row r="1874" ht="18" customHeight="1" s="17"/>
    <row r="1875" ht="18" customHeight="1" s="17"/>
    <row r="1876" ht="18" customHeight="1" s="17"/>
    <row r="1877" ht="18" customHeight="1" s="17"/>
    <row r="1878" ht="18" customHeight="1" s="17"/>
    <row r="1879" ht="18" customHeight="1" s="17"/>
    <row r="1880" ht="18" customHeight="1" s="17"/>
    <row r="1881" ht="18" customHeight="1" s="17"/>
    <row r="1882" ht="18" customHeight="1" s="17"/>
    <row r="1883" ht="18" customHeight="1" s="17"/>
    <row r="1884" ht="18" customHeight="1" s="17"/>
    <row r="1885" ht="18" customHeight="1" s="17"/>
    <row r="1886" ht="18" customHeight="1" s="17"/>
    <row r="1887" ht="18" customHeight="1" s="17"/>
    <row r="1888" ht="18" customHeight="1" s="17"/>
    <row r="1889" ht="18" customHeight="1" s="17"/>
    <row r="1890" ht="18" customHeight="1" s="17"/>
    <row r="1891" ht="18" customHeight="1" s="17"/>
    <row r="1892" ht="18" customHeight="1" s="17"/>
    <row r="1893" ht="18" customHeight="1" s="17"/>
    <row r="1894" ht="18" customHeight="1" s="17"/>
    <row r="1895" ht="18" customHeight="1" s="17"/>
    <row r="1896" ht="18" customHeight="1" s="17"/>
    <row r="1897" ht="18" customHeight="1" s="17"/>
    <row r="1898" ht="18" customHeight="1" s="17"/>
    <row r="1899" ht="18" customHeight="1" s="17"/>
    <row r="1900" ht="18" customHeight="1" s="17"/>
    <row r="1901" ht="18" customHeight="1" s="17"/>
    <row r="1902" ht="18" customHeight="1" s="17"/>
    <row r="1903" ht="18" customHeight="1" s="17"/>
    <row r="1904" ht="18" customHeight="1" s="17"/>
    <row r="1905" ht="18" customHeight="1" s="17"/>
    <row r="1906" ht="18" customHeight="1" s="17"/>
    <row r="1907" ht="18" customHeight="1" s="17"/>
    <row r="1908" ht="18" customHeight="1" s="17"/>
    <row r="1909" ht="18" customHeight="1" s="17"/>
    <row r="1910" ht="18" customHeight="1" s="17"/>
    <row r="1911" ht="18" customHeight="1" s="17"/>
    <row r="1912" ht="18" customHeight="1" s="17"/>
    <row r="1913" ht="18" customHeight="1" s="17"/>
    <row r="1914" ht="18" customHeight="1" s="17"/>
    <row r="1915" ht="18" customHeight="1" s="17"/>
    <row r="1916" ht="18" customHeight="1" s="17"/>
    <row r="1917" ht="18" customHeight="1" s="17"/>
    <row r="1918" ht="18" customHeight="1" s="17"/>
    <row r="1919" ht="18" customHeight="1" s="17"/>
    <row r="1920" ht="18" customHeight="1" s="17"/>
    <row r="1921" ht="18" customHeight="1" s="17"/>
    <row r="1922" ht="18" customHeight="1" s="17"/>
    <row r="1923" ht="18" customHeight="1" s="17"/>
    <row r="1924" ht="18" customHeight="1" s="17"/>
    <row r="1925" ht="18" customHeight="1" s="17"/>
    <row r="1926" ht="18" customHeight="1" s="17"/>
    <row r="1927" ht="18" customHeight="1" s="17"/>
    <row r="1928" ht="18" customHeight="1" s="17"/>
    <row r="1929" ht="18" customHeight="1" s="17"/>
    <row r="1930" ht="18" customHeight="1" s="17"/>
    <row r="1931" ht="18" customHeight="1" s="17"/>
    <row r="1932" ht="18" customHeight="1" s="17"/>
    <row r="1933" ht="18" customHeight="1" s="17"/>
    <row r="1934" ht="18" customHeight="1" s="17"/>
    <row r="1935" ht="18" customHeight="1" s="17"/>
    <row r="1936" ht="18" customHeight="1" s="17"/>
    <row r="1937" ht="18" customHeight="1" s="17"/>
    <row r="1938" ht="18" customHeight="1" s="17"/>
    <row r="1939" ht="18" customHeight="1" s="17"/>
    <row r="1940" ht="18" customHeight="1" s="17"/>
    <row r="1941" ht="18" customHeight="1" s="17"/>
    <row r="1942" ht="18" customHeight="1" s="17"/>
    <row r="1943" ht="18" customHeight="1" s="17"/>
    <row r="1944" ht="18" customHeight="1" s="17"/>
    <row r="1945" ht="18" customHeight="1" s="17"/>
    <row r="1946" ht="18" customHeight="1" s="17"/>
    <row r="1947" ht="18" customHeight="1" s="17"/>
    <row r="1948" ht="18" customHeight="1" s="17"/>
    <row r="1949" ht="18" customHeight="1" s="17"/>
    <row r="1950" ht="18" customHeight="1" s="17"/>
    <row r="1951" ht="18" customHeight="1" s="17"/>
    <row r="1952" ht="18" customHeight="1" s="17"/>
    <row r="1953" ht="18" customHeight="1" s="17"/>
    <row r="1954" ht="18" customHeight="1" s="17"/>
    <row r="1955" ht="18" customHeight="1" s="17"/>
    <row r="1956" ht="18" customHeight="1" s="17"/>
    <row r="1957" ht="18" customHeight="1" s="17"/>
    <row r="1958" ht="18" customHeight="1" s="17"/>
    <row r="1959" ht="18" customHeight="1" s="17"/>
    <row r="1960" ht="18" customHeight="1" s="17"/>
    <row r="1961" ht="18" customHeight="1" s="17"/>
    <row r="1962" ht="18" customHeight="1" s="17"/>
    <row r="1963" ht="18" customHeight="1" s="17"/>
    <row r="1964" ht="18" customHeight="1" s="17"/>
    <row r="1965" ht="18" customHeight="1" s="17"/>
    <row r="1966" ht="18" customHeight="1" s="17"/>
    <row r="1967" ht="18" customHeight="1" s="17"/>
    <row r="1968" ht="18" customHeight="1" s="17"/>
    <row r="1969" ht="18" customHeight="1" s="17"/>
    <row r="1970" ht="18" customHeight="1" s="17"/>
    <row r="1971" ht="18" customHeight="1" s="17"/>
    <row r="1972" ht="18" customHeight="1" s="17"/>
    <row r="1973" ht="18" customHeight="1" s="17"/>
    <row r="1974" ht="18" customHeight="1" s="17"/>
    <row r="1975" ht="18" customHeight="1" s="17"/>
    <row r="1976" ht="18" customHeight="1" s="17"/>
    <row r="1977" ht="18" customHeight="1" s="17"/>
    <row r="1978" ht="18" customHeight="1" s="17"/>
    <row r="1979" ht="18" customHeight="1" s="17"/>
    <row r="1980" ht="18" customHeight="1" s="17"/>
    <row r="1981" ht="18" customHeight="1" s="17"/>
    <row r="1982" ht="18" customHeight="1" s="17"/>
    <row r="1983" ht="18" customHeight="1" s="17"/>
    <row r="1984" ht="18" customHeight="1" s="17"/>
    <row r="1985" ht="18" customHeight="1" s="17"/>
    <row r="1986" ht="18" customHeight="1" s="17"/>
    <row r="1987" ht="18" customHeight="1" s="17"/>
    <row r="1988" ht="18" customHeight="1" s="17"/>
    <row r="1989" ht="18" customHeight="1" s="17"/>
    <row r="1990" ht="18" customHeight="1" s="17"/>
    <row r="1991" ht="18" customHeight="1" s="17"/>
    <row r="1992" ht="18" customHeight="1" s="17"/>
    <row r="1993" ht="18" customHeight="1" s="17"/>
    <row r="1994" ht="18" customHeight="1" s="17"/>
    <row r="1995" ht="18" customHeight="1" s="17"/>
    <row r="1996" ht="18" customHeight="1" s="17"/>
    <row r="1997" ht="18" customHeight="1" s="17"/>
    <row r="1998" ht="18" customHeight="1" s="17"/>
    <row r="1999" ht="18" customHeight="1" s="17"/>
    <row r="2000" ht="18" customHeight="1" s="17"/>
    <row r="2001" ht="18" customHeight="1" s="17"/>
    <row r="2002" ht="18" customHeight="1" s="17"/>
    <row r="2003" ht="18" customHeight="1" s="17"/>
    <row r="2004" ht="18" customHeight="1" s="17"/>
    <row r="2005" ht="18" customHeight="1" s="17"/>
    <row r="2006" ht="18" customHeight="1" s="17"/>
    <row r="2007" ht="18" customHeight="1" s="17"/>
    <row r="2008" ht="18" customHeight="1" s="17"/>
    <row r="2009" ht="18" customHeight="1" s="17"/>
    <row r="2010" ht="18" customHeight="1" s="17"/>
    <row r="2011" ht="18" customHeight="1" s="17"/>
    <row r="2012" ht="18" customHeight="1" s="17"/>
    <row r="2013" ht="18" customHeight="1" s="17"/>
    <row r="2014" ht="18" customHeight="1" s="17"/>
    <row r="2015" ht="18" customHeight="1" s="17"/>
    <row r="2016" ht="18" customHeight="1" s="17"/>
    <row r="2017" ht="18" customHeight="1" s="17"/>
    <row r="2018" ht="18" customHeight="1" s="17"/>
    <row r="2019" ht="18" customHeight="1" s="17"/>
    <row r="2020" ht="18" customHeight="1" s="17"/>
    <row r="2021" ht="18" customHeight="1" s="17"/>
    <row r="2022" ht="18" customHeight="1" s="17"/>
    <row r="2023" ht="18" customHeight="1" s="17"/>
    <row r="2024" ht="18" customHeight="1" s="17"/>
    <row r="2025" ht="18" customHeight="1" s="17"/>
    <row r="2026" ht="18" customHeight="1" s="17"/>
    <row r="2027" ht="18" customHeight="1" s="17"/>
    <row r="2028" ht="18" customHeight="1" s="17"/>
    <row r="2029" ht="18" customHeight="1" s="17"/>
    <row r="2030" ht="18" customHeight="1" s="17"/>
    <row r="2031" ht="18" customHeight="1" s="17"/>
    <row r="2032" ht="18" customHeight="1" s="17"/>
    <row r="2033" ht="18" customHeight="1" s="17"/>
    <row r="2034" ht="18" customHeight="1" s="17"/>
    <row r="2035" ht="18" customHeight="1" s="17"/>
    <row r="2036" ht="18" customHeight="1" s="17"/>
    <row r="2037" ht="18" customHeight="1" s="17"/>
    <row r="2038" ht="18" customHeight="1" s="17"/>
    <row r="2039" ht="18" customHeight="1" s="17"/>
    <row r="2040" ht="18" customHeight="1" s="17"/>
    <row r="2041" ht="18" customHeight="1" s="17"/>
    <row r="2042" ht="18" customHeight="1" s="17"/>
    <row r="2043" ht="18" customHeight="1" s="17"/>
    <row r="2044" ht="18" customHeight="1" s="17"/>
    <row r="2045" ht="18" customHeight="1" s="17"/>
    <row r="2046" ht="18" customHeight="1" s="17"/>
    <row r="2047" ht="18" customHeight="1" s="17"/>
    <row r="2048" ht="18" customHeight="1" s="17"/>
    <row r="2049" ht="18" customHeight="1" s="17"/>
    <row r="2050" ht="18" customHeight="1" s="17"/>
    <row r="2051" ht="18" customHeight="1" s="17"/>
    <row r="2052" ht="18" customHeight="1" s="17"/>
    <row r="2053" ht="18" customHeight="1" s="17"/>
    <row r="2054" ht="18" customHeight="1" s="17"/>
    <row r="2055" ht="18" customHeight="1" s="17"/>
    <row r="2056" ht="18" customHeight="1" s="17"/>
    <row r="2057" ht="18" customHeight="1" s="17"/>
    <row r="2058" ht="18" customHeight="1" s="17"/>
    <row r="2059" ht="18" customHeight="1" s="17"/>
    <row r="2060" ht="18" customHeight="1" s="17"/>
    <row r="2061" ht="18" customHeight="1" s="17"/>
    <row r="2062" ht="18" customHeight="1" s="17"/>
    <row r="2063" ht="18" customHeight="1" s="17"/>
    <row r="2064" ht="18" customHeight="1" s="17"/>
    <row r="2065" ht="18" customHeight="1" s="17"/>
    <row r="2066" ht="18" customHeight="1" s="17"/>
    <row r="2067" ht="18" customHeight="1" s="17"/>
    <row r="2068" ht="18" customHeight="1" s="17"/>
    <row r="2069" ht="18" customHeight="1" s="17"/>
    <row r="2070" ht="18" customHeight="1" s="17"/>
    <row r="2071" ht="18" customHeight="1" s="17"/>
    <row r="2072" ht="18" customHeight="1" s="17"/>
    <row r="2073" ht="18" customHeight="1" s="17"/>
    <row r="2074" ht="18" customHeight="1" s="17"/>
    <row r="2075" ht="18" customHeight="1" s="17"/>
    <row r="2076" ht="18" customHeight="1" s="17"/>
    <row r="2077" ht="18" customHeight="1" s="17"/>
    <row r="2078" ht="18" customHeight="1" s="17"/>
    <row r="2079" ht="18" customHeight="1" s="17"/>
    <row r="2080" ht="18" customHeight="1" s="17"/>
    <row r="2081" ht="18" customHeight="1" s="17"/>
    <row r="2082" ht="18" customHeight="1" s="17"/>
    <row r="2083" ht="18" customHeight="1" s="17"/>
    <row r="2084" ht="18" customHeight="1" s="17"/>
    <row r="2085" ht="18" customHeight="1" s="17"/>
    <row r="2086" ht="18" customHeight="1" s="17"/>
    <row r="2087" ht="18" customHeight="1" s="17"/>
    <row r="2088" ht="18" customHeight="1" s="17"/>
    <row r="2089" ht="18" customHeight="1" s="17"/>
    <row r="2090" ht="18" customHeight="1" s="17"/>
    <row r="2091" ht="18" customHeight="1" s="17"/>
    <row r="2092" ht="18" customHeight="1" s="17"/>
    <row r="2093" ht="18" customHeight="1" s="17"/>
    <row r="2094" ht="18" customHeight="1" s="17"/>
    <row r="2095" ht="18" customHeight="1" s="17"/>
    <row r="2096" ht="18" customHeight="1" s="17"/>
    <row r="2097" ht="18" customHeight="1" s="17"/>
    <row r="2098" ht="18" customHeight="1" s="17"/>
    <row r="2099" ht="18" customHeight="1" s="17"/>
    <row r="2100" ht="18" customHeight="1" s="17"/>
    <row r="2101" ht="18" customHeight="1" s="17"/>
    <row r="2102" ht="18" customHeight="1" s="17"/>
    <row r="2103" ht="18" customHeight="1" s="17"/>
    <row r="2104" ht="18" customHeight="1" s="17"/>
    <row r="2105" ht="18" customHeight="1" s="17"/>
    <row r="2106" ht="18" customHeight="1" s="17"/>
    <row r="2107" ht="18" customHeight="1" s="17"/>
    <row r="2108" ht="18" customHeight="1" s="17"/>
    <row r="2109" ht="18" customHeight="1" s="17"/>
    <row r="2110" ht="18" customHeight="1" s="17"/>
    <row r="2111" ht="18" customHeight="1" s="17"/>
    <row r="2112" ht="18" customHeight="1" s="17"/>
    <row r="2113" ht="18" customHeight="1" s="17"/>
    <row r="2114" ht="18" customHeight="1" s="17"/>
    <row r="2115" ht="18" customHeight="1" s="17"/>
    <row r="2116" ht="18" customHeight="1" s="17"/>
    <row r="2117" ht="18" customHeight="1" s="17"/>
    <row r="2118" ht="18" customHeight="1" s="17"/>
    <row r="2119" ht="18" customHeight="1" s="17"/>
    <row r="2120" ht="18" customHeight="1" s="17"/>
    <row r="2121" ht="18" customHeight="1" s="17"/>
    <row r="2122" ht="18" customHeight="1" s="17"/>
    <row r="2123" ht="18" customHeight="1" s="17"/>
    <row r="2124" ht="18" customHeight="1" s="17"/>
    <row r="2125" ht="18" customHeight="1" s="17"/>
    <row r="2126" ht="18" customHeight="1" s="17"/>
    <row r="2127" ht="18" customHeight="1" s="17"/>
    <row r="2128" ht="18" customHeight="1" s="17"/>
    <row r="2129" ht="18" customHeight="1" s="17"/>
    <row r="2130" ht="18" customHeight="1" s="17"/>
    <row r="2131" ht="18" customHeight="1" s="17"/>
    <row r="2132" ht="18" customHeight="1" s="17"/>
    <row r="2133" ht="18" customHeight="1" s="17"/>
    <row r="2134" ht="18" customHeight="1" s="17"/>
    <row r="2135" ht="18" customHeight="1" s="17"/>
    <row r="2136" ht="18" customHeight="1" s="17"/>
    <row r="2137" ht="18" customHeight="1" s="17"/>
    <row r="2138" ht="18" customHeight="1" s="17"/>
    <row r="2139" ht="18" customHeight="1" s="17"/>
    <row r="2140" ht="18" customHeight="1" s="17"/>
    <row r="2141" ht="18" customHeight="1" s="17"/>
    <row r="2142" ht="18" customHeight="1" s="17"/>
    <row r="2143" ht="18" customHeight="1" s="17"/>
    <row r="2144" ht="18" customHeight="1" s="17"/>
    <row r="2145" ht="18" customHeight="1" s="17"/>
    <row r="2146" ht="18" customHeight="1" s="17"/>
    <row r="2147" ht="18" customHeight="1" s="17"/>
    <row r="2148" ht="18" customHeight="1" s="17"/>
    <row r="2149" ht="18" customHeight="1" s="17"/>
    <row r="2150" ht="18" customHeight="1" s="17"/>
    <row r="2151" ht="18" customHeight="1" s="17"/>
    <row r="2152" ht="18" customHeight="1" s="17"/>
    <row r="2153" ht="18" customHeight="1" s="17"/>
    <row r="2154" ht="18" customHeight="1" s="17"/>
    <row r="2155" ht="18" customHeight="1" s="17"/>
    <row r="2156" ht="18" customHeight="1" s="17"/>
    <row r="2157" ht="18" customHeight="1" s="17"/>
    <row r="2158" ht="18" customHeight="1" s="17"/>
    <row r="2159" ht="18" customHeight="1" s="17"/>
    <row r="2160" ht="18" customHeight="1" s="17"/>
    <row r="2161" ht="18" customHeight="1" s="17"/>
    <row r="2162" ht="18" customHeight="1" s="17"/>
    <row r="2163" ht="18" customHeight="1" s="17"/>
    <row r="2164" ht="18" customHeight="1" s="17"/>
    <row r="2165" ht="18" customHeight="1" s="17"/>
    <row r="2166" ht="18" customHeight="1" s="17"/>
    <row r="2167" ht="18" customHeight="1" s="17"/>
    <row r="2168" ht="18" customHeight="1" s="17"/>
    <row r="2169" ht="18" customHeight="1" s="17"/>
    <row r="2170" ht="18" customHeight="1" s="17"/>
    <row r="2171" ht="18" customHeight="1" s="17"/>
    <row r="2172" ht="18" customHeight="1" s="17"/>
    <row r="2173" ht="18" customHeight="1" s="17"/>
    <row r="2174" ht="18" customHeight="1" s="17"/>
    <row r="2175" ht="18" customHeight="1" s="17"/>
    <row r="2176" ht="18" customHeight="1" s="17"/>
    <row r="2177" ht="18" customHeight="1" s="17"/>
    <row r="2178" ht="18" customHeight="1" s="17"/>
    <row r="2179" ht="18" customHeight="1" s="17"/>
    <row r="2180" ht="18" customHeight="1" s="17"/>
    <row r="2181" ht="18" customHeight="1" s="17"/>
    <row r="2182" ht="18" customHeight="1" s="17"/>
    <row r="2183" ht="18" customHeight="1" s="17"/>
    <row r="2184" ht="18" customHeight="1" s="17"/>
    <row r="2185" ht="18" customHeight="1" s="17"/>
    <row r="2186" ht="18" customHeight="1" s="17"/>
    <row r="2187" ht="18" customHeight="1" s="17"/>
    <row r="2188" ht="18" customHeight="1" s="17"/>
    <row r="2189" ht="18" customHeight="1" s="17"/>
    <row r="2190" ht="18" customHeight="1" s="17"/>
    <row r="2191" ht="18" customHeight="1" s="17"/>
    <row r="2192" ht="18" customHeight="1" s="17"/>
    <row r="2193" ht="18" customHeight="1" s="17"/>
    <row r="2194" ht="18" customHeight="1" s="17"/>
    <row r="2195" ht="18" customHeight="1" s="17"/>
    <row r="2196" ht="18" customHeight="1" s="17"/>
    <row r="2197" ht="18" customHeight="1" s="17"/>
    <row r="2198" ht="18" customHeight="1" s="17"/>
    <row r="2199" ht="18" customHeight="1" s="17"/>
    <row r="2200" ht="18" customHeight="1" s="17"/>
    <row r="2201" ht="18" customHeight="1" s="17"/>
    <row r="2202" ht="18" customHeight="1" s="17"/>
    <row r="2203" ht="18" customHeight="1" s="17"/>
    <row r="2204" ht="18" customHeight="1" s="17"/>
    <row r="2205" ht="18" customHeight="1" s="17"/>
    <row r="2206" ht="18" customHeight="1" s="17"/>
    <row r="2207" ht="18" customHeight="1" s="17"/>
    <row r="2208" ht="18" customHeight="1" s="17"/>
    <row r="2209" ht="18" customHeight="1" s="17"/>
    <row r="2210" ht="18" customHeight="1" s="17"/>
    <row r="2211" ht="18" customHeight="1" s="17"/>
    <row r="2212" ht="18" customHeight="1" s="17"/>
    <row r="2213" ht="18" customHeight="1" s="17"/>
    <row r="2214" ht="18" customHeight="1" s="17"/>
    <row r="2215" ht="18" customHeight="1" s="17"/>
    <row r="2216" ht="18" customHeight="1" s="17"/>
    <row r="2217" ht="18" customHeight="1" s="17"/>
    <row r="2218" ht="18" customHeight="1" s="17"/>
    <row r="2219" ht="18" customHeight="1" s="17"/>
    <row r="2220" ht="18" customHeight="1" s="17"/>
    <row r="2221" ht="18" customHeight="1" s="17"/>
    <row r="2222" ht="18" customHeight="1" s="17"/>
    <row r="2223" ht="18" customHeight="1" s="17"/>
    <row r="2224" ht="18" customHeight="1" s="17"/>
    <row r="2225" ht="18" customHeight="1" s="17"/>
    <row r="2226" ht="18" customHeight="1" s="17"/>
    <row r="2227" ht="18" customHeight="1" s="17"/>
    <row r="2228" ht="18" customHeight="1" s="17"/>
    <row r="2229" ht="18" customHeight="1" s="17"/>
    <row r="2230" ht="18" customHeight="1" s="17"/>
    <row r="2231" ht="18" customHeight="1" s="17"/>
    <row r="2232" ht="18" customHeight="1" s="17"/>
    <row r="2233" ht="18" customHeight="1" s="17"/>
    <row r="2234" ht="18" customHeight="1" s="17"/>
    <row r="2235" ht="18" customHeight="1" s="17"/>
    <row r="2236" ht="18" customHeight="1" s="17"/>
    <row r="2237" ht="18" customHeight="1" s="17"/>
    <row r="2238" ht="18" customHeight="1" s="17"/>
    <row r="2239" ht="18" customHeight="1" s="17"/>
    <row r="2240" ht="18" customHeight="1" s="17"/>
    <row r="2241" ht="18" customHeight="1" s="17"/>
    <row r="2242" ht="18" customHeight="1" s="17"/>
    <row r="2243" ht="18" customHeight="1" s="17"/>
    <row r="2244" ht="18" customHeight="1" s="17"/>
    <row r="2245" ht="18" customHeight="1" s="17"/>
    <row r="2246" ht="18" customHeight="1" s="17"/>
    <row r="2247" ht="18" customHeight="1" s="17"/>
    <row r="2248" ht="18" customHeight="1" s="17"/>
    <row r="2249" ht="18" customHeight="1" s="17"/>
    <row r="2250" ht="18" customHeight="1" s="17"/>
    <row r="2251" ht="18" customHeight="1" s="17"/>
    <row r="2252" ht="18" customHeight="1" s="17"/>
    <row r="2253" ht="18" customHeight="1" s="17"/>
    <row r="2254" ht="18" customHeight="1" s="17"/>
    <row r="2255" ht="18" customHeight="1" s="17"/>
    <row r="2256" ht="18" customHeight="1" s="17"/>
    <row r="2257" ht="18" customHeight="1" s="17"/>
    <row r="2258" ht="18" customHeight="1" s="17"/>
    <row r="2259" ht="18" customHeight="1" s="17"/>
    <row r="2260" ht="18" customHeight="1" s="17"/>
    <row r="2261" ht="18" customHeight="1" s="17"/>
    <row r="2262" ht="18" customHeight="1" s="17"/>
    <row r="2263" ht="18" customHeight="1" s="17"/>
    <row r="2264" ht="18" customHeight="1" s="17"/>
    <row r="2265" ht="18" customHeight="1" s="17"/>
    <row r="2266" ht="18" customHeight="1" s="17"/>
    <row r="2267" ht="18" customHeight="1" s="17"/>
    <row r="2268" ht="18" customHeight="1" s="17"/>
    <row r="2269" ht="18" customHeight="1" s="17"/>
    <row r="2270" ht="18" customHeight="1" s="17"/>
    <row r="2271" ht="18" customHeight="1" s="17"/>
    <row r="2272" ht="18" customHeight="1" s="17"/>
    <row r="2273" ht="18" customHeight="1" s="17"/>
    <row r="2274" ht="18" customHeight="1" s="17"/>
    <row r="2275" ht="18" customHeight="1" s="17"/>
    <row r="2276" ht="18" customHeight="1" s="17"/>
    <row r="2277" ht="18" customHeight="1" s="17"/>
    <row r="2278" ht="18" customHeight="1" s="17"/>
    <row r="2279" ht="18" customHeight="1" s="17"/>
    <row r="2280" ht="18" customHeight="1" s="17"/>
    <row r="2281" ht="18" customHeight="1" s="17"/>
    <row r="2282" ht="18" customHeight="1" s="17"/>
    <row r="2283" ht="18" customHeight="1" s="17"/>
    <row r="2284" ht="18" customHeight="1" s="17"/>
    <row r="2285" ht="18" customHeight="1" s="17"/>
    <row r="2286" ht="18" customHeight="1" s="17"/>
    <row r="2287" ht="18" customHeight="1" s="17"/>
    <row r="2288" ht="18" customHeight="1" s="17"/>
    <row r="2289" ht="18" customHeight="1" s="17"/>
    <row r="2290" ht="18" customHeight="1" s="17"/>
    <row r="2291" ht="18" customHeight="1" s="17"/>
    <row r="2292" ht="18" customHeight="1" s="17"/>
    <row r="2293" ht="18" customHeight="1" s="17"/>
    <row r="2294" ht="18" customHeight="1" s="17"/>
    <row r="2295" ht="18" customHeight="1" s="17"/>
    <row r="2296" ht="18" customHeight="1" s="17"/>
    <row r="2297" ht="18" customHeight="1" s="17"/>
    <row r="2298" ht="18" customHeight="1" s="17"/>
    <row r="2299" ht="18" customHeight="1" s="17"/>
    <row r="2300" ht="18" customHeight="1" s="17"/>
    <row r="2301" ht="18" customHeight="1" s="17"/>
    <row r="2302" ht="18" customHeight="1" s="17"/>
    <row r="2303" ht="18" customHeight="1" s="17"/>
    <row r="2304" ht="18" customHeight="1" s="17"/>
    <row r="2305" ht="18" customHeight="1" s="17"/>
    <row r="2306" ht="18" customHeight="1" s="17"/>
    <row r="2307" ht="18" customHeight="1" s="17"/>
    <row r="2308" ht="18" customHeight="1" s="17"/>
    <row r="2309" ht="18" customHeight="1" s="17"/>
    <row r="2310" ht="18" customHeight="1" s="17"/>
    <row r="2311" ht="18" customHeight="1" s="17"/>
    <row r="2312" ht="18" customHeight="1" s="17"/>
    <row r="2313" ht="18" customHeight="1" s="17"/>
    <row r="2314" ht="18" customHeight="1" s="17"/>
    <row r="2315" ht="18" customHeight="1" s="17"/>
    <row r="2316" ht="18" customHeight="1" s="17"/>
    <row r="2317" ht="18" customHeight="1" s="17"/>
    <row r="2318" ht="18" customHeight="1" s="17"/>
    <row r="2319" ht="18" customHeight="1" s="17"/>
    <row r="2320" ht="18" customHeight="1" s="17"/>
    <row r="2321" ht="18" customHeight="1" s="17"/>
    <row r="2322" ht="18" customHeight="1" s="17"/>
    <row r="2323" ht="18" customHeight="1" s="17"/>
    <row r="2324" ht="18" customHeight="1" s="17"/>
    <row r="2325" ht="18" customHeight="1" s="17"/>
    <row r="2326" ht="18" customHeight="1" s="17"/>
    <row r="2327" ht="18" customHeight="1" s="17"/>
    <row r="2328" ht="18" customHeight="1" s="17"/>
    <row r="2329" ht="18" customHeight="1" s="17"/>
    <row r="2330" ht="18" customHeight="1" s="17"/>
    <row r="2331" ht="18" customHeight="1" s="17"/>
    <row r="2332" ht="18" customHeight="1" s="17"/>
    <row r="2333" ht="18" customHeight="1" s="17"/>
    <row r="2334" ht="18" customHeight="1" s="17"/>
    <row r="2335" ht="18" customHeight="1" s="17"/>
    <row r="2336" ht="18" customHeight="1" s="17"/>
    <row r="2337" ht="18" customHeight="1" s="17"/>
    <row r="2338" ht="18" customHeight="1" s="17"/>
    <row r="2339" ht="18" customHeight="1" s="17"/>
    <row r="2340" ht="18" customHeight="1" s="17"/>
    <row r="2341" ht="18" customHeight="1" s="17"/>
    <row r="2342" ht="18" customHeight="1" s="17"/>
    <row r="2343" ht="18" customHeight="1" s="17"/>
    <row r="2344" ht="18" customHeight="1" s="17"/>
    <row r="2345" ht="18" customHeight="1" s="17"/>
    <row r="2346" ht="18" customHeight="1" s="17"/>
    <row r="2347" ht="18" customHeight="1" s="17"/>
    <row r="2348" ht="18" customHeight="1" s="17"/>
    <row r="2349" ht="18" customHeight="1" s="17"/>
    <row r="2350" ht="18" customHeight="1" s="17"/>
    <row r="2351" ht="18" customHeight="1" s="17"/>
    <row r="2352" ht="18" customHeight="1" s="17"/>
    <row r="2353" ht="18" customHeight="1" s="17"/>
    <row r="2354" ht="18" customHeight="1" s="17"/>
    <row r="2355" ht="18" customHeight="1" s="17"/>
    <row r="2356" ht="18" customHeight="1" s="17"/>
    <row r="2357" ht="18" customHeight="1" s="17"/>
    <row r="2358" ht="18" customHeight="1" s="17"/>
    <row r="2359" ht="18" customHeight="1" s="17"/>
    <row r="2360" ht="18" customHeight="1" s="17"/>
    <row r="2361" ht="18" customHeight="1" s="17"/>
    <row r="2362" ht="18" customHeight="1" s="17"/>
    <row r="2363" ht="18" customHeight="1" s="17"/>
    <row r="2364" ht="18" customHeight="1" s="17"/>
    <row r="2365" ht="18" customHeight="1" s="17"/>
    <row r="2366" ht="18" customHeight="1" s="17"/>
    <row r="2367" ht="18" customHeight="1" s="17"/>
    <row r="2368" ht="18" customHeight="1" s="17"/>
    <row r="2369" ht="18" customHeight="1" s="17"/>
    <row r="2370" ht="18" customHeight="1" s="17"/>
    <row r="2371" ht="18" customHeight="1" s="17"/>
    <row r="2372" ht="18" customHeight="1" s="17"/>
    <row r="2373" ht="18" customHeight="1" s="17"/>
    <row r="2374" ht="18" customHeight="1" s="17"/>
    <row r="2375" ht="18" customHeight="1" s="17"/>
    <row r="2376" ht="18" customHeight="1" s="17"/>
    <row r="2377" ht="18" customHeight="1" s="17"/>
    <row r="2378" ht="18" customHeight="1" s="17"/>
    <row r="2379" ht="18" customHeight="1" s="17"/>
    <row r="2380" ht="18" customHeight="1" s="17"/>
    <row r="2381" ht="18" customHeight="1" s="17"/>
    <row r="2382" ht="18" customHeight="1" s="17"/>
    <row r="2383" ht="18" customHeight="1" s="17"/>
    <row r="2384" ht="18" customHeight="1" s="17"/>
    <row r="2385" ht="18" customHeight="1" s="17"/>
    <row r="2386" ht="18" customHeight="1" s="17"/>
    <row r="2387" ht="18" customHeight="1" s="17"/>
    <row r="2388" ht="18" customHeight="1" s="17"/>
    <row r="2389" ht="18" customHeight="1" s="17"/>
    <row r="2390" ht="18" customHeight="1" s="17"/>
    <row r="2391" ht="18" customHeight="1" s="17"/>
    <row r="2392" ht="18" customHeight="1" s="17"/>
    <row r="2393" ht="18" customHeight="1" s="17"/>
    <row r="2394" ht="18" customHeight="1" s="17"/>
    <row r="2395" ht="18" customHeight="1" s="17"/>
    <row r="2396" ht="18" customHeight="1" s="17"/>
    <row r="2397" ht="18" customHeight="1" s="17"/>
    <row r="2398" ht="18" customHeight="1" s="17"/>
    <row r="2399" ht="18" customHeight="1" s="17"/>
    <row r="2400" ht="18" customHeight="1" s="17"/>
    <row r="2401" ht="18" customHeight="1" s="17"/>
    <row r="2402" ht="18" customHeight="1" s="17"/>
    <row r="2403" ht="18" customHeight="1" s="17"/>
    <row r="2404" ht="18" customHeight="1" s="17"/>
    <row r="2405" ht="18" customHeight="1" s="17"/>
    <row r="2406" ht="18" customHeight="1" s="17"/>
    <row r="2407" ht="18" customHeight="1" s="17"/>
    <row r="2408" ht="18" customHeight="1" s="17"/>
    <row r="2409" ht="18" customHeight="1" s="17"/>
    <row r="2410" ht="18" customHeight="1" s="17"/>
    <row r="2411" ht="18" customHeight="1" s="17"/>
    <row r="2412" ht="18" customHeight="1" s="17"/>
    <row r="2413" ht="18" customHeight="1" s="17"/>
    <row r="2414" ht="18" customHeight="1" s="17"/>
    <row r="2415" ht="18" customHeight="1" s="17"/>
    <row r="2416" ht="18" customHeight="1" s="17"/>
    <row r="2417" ht="18" customHeight="1" s="17"/>
    <row r="2418" ht="18" customHeight="1" s="17"/>
    <row r="2419" ht="18" customHeight="1" s="17"/>
    <row r="2420" ht="18" customHeight="1" s="17"/>
    <row r="2421" ht="18" customHeight="1" s="17"/>
    <row r="2422" ht="18" customHeight="1" s="17"/>
    <row r="2423" ht="18" customHeight="1" s="17"/>
    <row r="2424" ht="18" customHeight="1" s="17"/>
    <row r="2425" ht="18" customHeight="1" s="17"/>
    <row r="2426" ht="18" customHeight="1" s="17"/>
    <row r="2427" ht="18" customHeight="1" s="17"/>
    <row r="2428" ht="18" customHeight="1" s="17"/>
    <row r="2429" ht="18" customHeight="1" s="17"/>
    <row r="2430" ht="18" customHeight="1" s="17"/>
    <row r="2431" ht="18" customHeight="1" s="17"/>
    <row r="2432" ht="18" customHeight="1" s="17"/>
    <row r="2433" ht="18" customHeight="1" s="17"/>
    <row r="2434" ht="18" customHeight="1" s="17"/>
    <row r="2435" ht="18" customHeight="1" s="17"/>
    <row r="2436" ht="18" customHeight="1" s="17"/>
    <row r="2437" ht="18" customHeight="1" s="17"/>
    <row r="2438" ht="18" customHeight="1" s="17"/>
    <row r="2439" ht="18" customHeight="1" s="17"/>
    <row r="2440" ht="18" customHeight="1" s="17"/>
    <row r="2441" ht="18" customHeight="1" s="17"/>
    <row r="2442" ht="18" customHeight="1" s="17"/>
    <row r="2443" ht="18" customHeight="1" s="17"/>
    <row r="2444" ht="18" customHeight="1" s="17"/>
    <row r="2445" ht="18" customHeight="1" s="17"/>
    <row r="2446" ht="18" customHeight="1" s="17"/>
    <row r="2447" ht="18" customHeight="1" s="17"/>
    <row r="2448" ht="18" customHeight="1" s="17"/>
    <row r="2449" ht="18" customHeight="1" s="17"/>
    <row r="2450" ht="18" customHeight="1" s="17"/>
    <row r="2451" ht="18" customHeight="1" s="17"/>
    <row r="2452" ht="18" customHeight="1" s="17"/>
    <row r="2453" ht="18" customHeight="1" s="17"/>
    <row r="2454" ht="18" customHeight="1" s="17"/>
    <row r="2455" ht="18" customHeight="1" s="17"/>
    <row r="2456" ht="18" customHeight="1" s="17"/>
    <row r="2457" ht="18" customHeight="1" s="17"/>
    <row r="2458" ht="18" customHeight="1" s="17"/>
    <row r="2459" ht="18" customHeight="1" s="17"/>
    <row r="2460" ht="18" customHeight="1" s="17"/>
    <row r="2461" ht="18" customHeight="1" s="17"/>
    <row r="2462" ht="18" customHeight="1" s="17"/>
    <row r="2463" ht="18" customHeight="1" s="17"/>
    <row r="2464" ht="18" customHeight="1" s="17"/>
    <row r="2465" ht="18" customHeight="1" s="17"/>
    <row r="2466" ht="18" customHeight="1" s="17"/>
    <row r="2467" ht="18" customHeight="1" s="17"/>
    <row r="2468" ht="18" customHeight="1" s="17"/>
    <row r="2469" ht="18" customHeight="1" s="17"/>
    <row r="2470" ht="18" customHeight="1" s="17"/>
    <row r="2471" ht="18" customHeight="1" s="17"/>
    <row r="2472" ht="18" customHeight="1" s="17"/>
    <row r="2473" ht="18" customHeight="1" s="17"/>
    <row r="2474" ht="18" customHeight="1" s="17"/>
    <row r="2475" ht="18" customHeight="1" s="17"/>
    <row r="2476" ht="18" customHeight="1" s="17"/>
    <row r="2477" ht="18" customHeight="1" s="17"/>
    <row r="2478" ht="18" customHeight="1" s="17"/>
    <row r="2479" ht="18" customHeight="1" s="17"/>
    <row r="2480" ht="18" customHeight="1" s="17"/>
    <row r="2481" ht="18" customHeight="1" s="17"/>
    <row r="2482" ht="18" customHeight="1" s="17"/>
    <row r="2483" ht="18" customHeight="1" s="17"/>
    <row r="2484" ht="18" customHeight="1" s="17"/>
    <row r="2485" ht="18" customHeight="1" s="17"/>
    <row r="2486" ht="18" customHeight="1" s="17"/>
    <row r="2487" ht="18" customHeight="1" s="17"/>
    <row r="2488" ht="18" customHeight="1" s="17"/>
    <row r="2489" ht="18" customHeight="1" s="17"/>
    <row r="2490" ht="18" customHeight="1" s="17"/>
    <row r="2491" ht="18" customHeight="1" s="17"/>
    <row r="2492" ht="18" customHeight="1" s="17"/>
    <row r="2493" ht="18" customHeight="1" s="17"/>
    <row r="2494" ht="18" customHeight="1" s="17"/>
    <row r="2495" ht="18" customHeight="1" s="17"/>
    <row r="2496" ht="18" customHeight="1" s="17"/>
    <row r="2497" ht="18" customHeight="1" s="17"/>
    <row r="2498" ht="18" customHeight="1" s="17"/>
    <row r="2499" ht="18" customHeight="1" s="17"/>
    <row r="2500" ht="18" customHeight="1" s="17"/>
    <row r="2501" ht="18" customHeight="1" s="17"/>
    <row r="2502" ht="18" customHeight="1" s="17"/>
    <row r="2503" ht="18" customHeight="1" s="17"/>
    <row r="2504" ht="18" customHeight="1" s="17"/>
    <row r="2505" ht="18" customHeight="1" s="17"/>
    <row r="2506" ht="18" customHeight="1" s="17"/>
    <row r="2507" ht="18" customHeight="1" s="17"/>
    <row r="2508" ht="18" customHeight="1" s="17"/>
    <row r="2509" ht="18" customHeight="1" s="17"/>
    <row r="2510" ht="18" customHeight="1" s="17"/>
    <row r="2511" ht="18" customHeight="1" s="17"/>
    <row r="2512" ht="18" customHeight="1" s="17"/>
    <row r="2513" ht="18" customHeight="1" s="17"/>
    <row r="2514" ht="18" customHeight="1" s="17"/>
    <row r="2515" ht="18" customHeight="1" s="17"/>
    <row r="2516" ht="18" customHeight="1" s="17"/>
    <row r="2517" ht="18" customHeight="1" s="17"/>
    <row r="2518" ht="18" customHeight="1" s="17"/>
    <row r="2519" ht="18" customHeight="1" s="17"/>
    <row r="2520" ht="18" customHeight="1" s="17"/>
    <row r="2521" ht="18" customHeight="1" s="17"/>
    <row r="2522" ht="18" customHeight="1" s="17"/>
    <row r="2523" ht="18" customHeight="1" s="17"/>
    <row r="2524" ht="18" customHeight="1" s="17"/>
    <row r="2525" ht="18" customHeight="1" s="17"/>
    <row r="2526" ht="18" customHeight="1" s="17"/>
    <row r="2527" ht="18" customHeight="1" s="17"/>
    <row r="2528" ht="18" customHeight="1" s="17"/>
    <row r="2529" ht="18" customHeight="1" s="17"/>
    <row r="2530" ht="18" customHeight="1" s="17"/>
    <row r="2531" ht="18" customHeight="1" s="17"/>
    <row r="2532" ht="18" customHeight="1" s="17"/>
    <row r="2533" ht="18" customHeight="1" s="17"/>
    <row r="2534" ht="18" customHeight="1" s="17"/>
    <row r="2535" ht="18" customHeight="1" s="17"/>
    <row r="2536" ht="18" customHeight="1" s="17"/>
    <row r="2537" ht="18" customHeight="1" s="17"/>
    <row r="2538" ht="18" customHeight="1" s="17"/>
    <row r="2539" ht="18" customHeight="1" s="17"/>
    <row r="2540" ht="18" customHeight="1" s="17"/>
    <row r="2541" ht="18" customHeight="1" s="17"/>
    <row r="2542" ht="18" customHeight="1" s="17"/>
    <row r="2543" ht="18" customHeight="1" s="17"/>
    <row r="2544" ht="18" customHeight="1" s="17"/>
    <row r="2545" ht="18" customHeight="1" s="17"/>
    <row r="2546" ht="18" customHeight="1" s="17"/>
    <row r="2547" ht="18" customHeight="1" s="17"/>
    <row r="2548" ht="18" customHeight="1" s="17"/>
    <row r="2549" ht="18" customHeight="1" s="17"/>
    <row r="2550" ht="18" customHeight="1" s="17"/>
    <row r="2551" ht="18" customHeight="1" s="17"/>
    <row r="2552" ht="18" customHeight="1" s="17"/>
    <row r="2553" ht="18" customHeight="1" s="17"/>
    <row r="2554" ht="18" customHeight="1" s="17"/>
    <row r="2555" ht="18" customHeight="1" s="17"/>
    <row r="2556" ht="18" customHeight="1" s="17"/>
    <row r="2557" ht="18" customHeight="1" s="17"/>
    <row r="2558" ht="18" customHeight="1" s="17"/>
    <row r="2559" ht="18" customHeight="1" s="17"/>
    <row r="2560" ht="18" customHeight="1" s="17"/>
    <row r="2561" ht="18" customHeight="1" s="17"/>
    <row r="2562" ht="18" customHeight="1" s="17"/>
    <row r="2563" ht="18" customHeight="1" s="17"/>
    <row r="2564" ht="18" customHeight="1" s="17"/>
    <row r="2565" ht="18" customHeight="1" s="17"/>
    <row r="2566" ht="18" customHeight="1" s="17"/>
    <row r="2567" ht="18" customHeight="1" s="17"/>
    <row r="2568" ht="18" customHeight="1" s="17"/>
    <row r="2569" ht="18" customHeight="1" s="17"/>
    <row r="2570" ht="18" customHeight="1" s="17"/>
    <row r="2571" ht="18" customHeight="1" s="17"/>
    <row r="2572" ht="18" customHeight="1" s="17"/>
    <row r="2573" ht="18" customHeight="1" s="17"/>
    <row r="2574" ht="18" customHeight="1" s="17"/>
    <row r="2575" ht="18" customHeight="1" s="17"/>
    <row r="2576" ht="18" customHeight="1" s="17"/>
    <row r="2577" ht="18" customHeight="1" s="17"/>
    <row r="2578" ht="18" customHeight="1" s="17"/>
    <row r="2579" ht="18" customHeight="1" s="17"/>
    <row r="2580" ht="18" customHeight="1" s="17"/>
    <row r="2581" ht="18" customHeight="1" s="17"/>
    <row r="2582" ht="18" customHeight="1" s="17"/>
    <row r="2583" ht="18" customHeight="1" s="17"/>
    <row r="2584" ht="18" customHeight="1" s="17"/>
    <row r="2585" ht="18" customHeight="1" s="17"/>
    <row r="2586" ht="18" customHeight="1" s="17"/>
    <row r="2587" ht="18" customHeight="1" s="17"/>
    <row r="2588" ht="18" customHeight="1" s="17"/>
    <row r="2589" ht="18" customHeight="1" s="17"/>
    <row r="2590" ht="18" customHeight="1" s="17"/>
    <row r="2591" ht="18" customHeight="1" s="17"/>
    <row r="2592" ht="18" customHeight="1" s="17"/>
    <row r="2593" ht="18" customHeight="1" s="17"/>
    <row r="2594" ht="18" customHeight="1" s="17"/>
    <row r="2595" ht="18" customHeight="1" s="17"/>
    <row r="2596" ht="18" customHeight="1" s="17"/>
    <row r="2597" ht="18" customHeight="1" s="17"/>
    <row r="2598" ht="18" customHeight="1" s="17"/>
    <row r="2599" ht="18" customHeight="1" s="17"/>
    <row r="2600" ht="18" customHeight="1" s="17"/>
    <row r="2601" ht="18" customHeight="1" s="17"/>
    <row r="2602" ht="18" customHeight="1" s="17"/>
    <row r="2603" ht="18" customHeight="1" s="17"/>
    <row r="2604" ht="18" customHeight="1" s="17"/>
    <row r="2605" ht="18" customHeight="1" s="17"/>
    <row r="2606" ht="18" customHeight="1" s="17"/>
    <row r="2607" ht="18" customHeight="1" s="17"/>
    <row r="2608" ht="18" customHeight="1" s="17"/>
    <row r="2609" ht="18" customHeight="1" s="17"/>
    <row r="2610" ht="18" customHeight="1" s="17"/>
    <row r="2611" ht="18" customHeight="1" s="17"/>
    <row r="2612" ht="18" customHeight="1" s="17"/>
    <row r="2613" ht="18" customHeight="1" s="17"/>
    <row r="2614" ht="18" customHeight="1" s="17"/>
    <row r="2615" ht="18" customHeight="1" s="17"/>
    <row r="2616" ht="18" customHeight="1" s="17"/>
    <row r="2617" ht="18" customHeight="1" s="17"/>
    <row r="2618" ht="18" customHeight="1" s="17"/>
    <row r="2619" ht="18" customHeight="1" s="17"/>
    <row r="2620" ht="18" customHeight="1" s="17"/>
    <row r="2621" ht="18" customHeight="1" s="17"/>
    <row r="2622" ht="18" customHeight="1" s="17"/>
    <row r="2623" ht="18" customHeight="1" s="17"/>
    <row r="2624" ht="18" customHeight="1" s="17"/>
    <row r="2625" ht="18" customHeight="1" s="17"/>
    <row r="2626" ht="18" customHeight="1" s="17"/>
    <row r="2627" ht="18" customHeight="1" s="17"/>
    <row r="2628" ht="18" customHeight="1" s="17"/>
    <row r="2629" ht="18" customHeight="1" s="17"/>
    <row r="2630" ht="18" customHeight="1" s="17"/>
    <row r="2631" ht="18" customHeight="1" s="17"/>
    <row r="2632" ht="18" customHeight="1" s="17"/>
    <row r="2633" ht="18" customHeight="1" s="17"/>
    <row r="2634" ht="18" customHeight="1" s="17"/>
    <row r="2635" ht="18" customHeight="1" s="17"/>
    <row r="2636" ht="18" customHeight="1" s="17"/>
    <row r="2637" ht="18" customHeight="1" s="17"/>
    <row r="2638" ht="18" customHeight="1" s="17"/>
    <row r="2639" ht="18" customHeight="1" s="17"/>
    <row r="2640" ht="18" customHeight="1" s="17"/>
    <row r="2641" ht="18" customHeight="1" s="17"/>
    <row r="2642" ht="18" customHeight="1" s="17"/>
    <row r="2643" ht="18" customHeight="1" s="17"/>
    <row r="2644" ht="18" customHeight="1" s="17"/>
    <row r="2645" ht="18" customHeight="1" s="17"/>
    <row r="2646" ht="18" customHeight="1" s="17"/>
    <row r="2647" ht="18" customHeight="1" s="17"/>
    <row r="2648" ht="18" customHeight="1" s="17"/>
    <row r="2649" ht="18" customHeight="1" s="17"/>
    <row r="2650" ht="18" customHeight="1" s="17"/>
    <row r="2651" ht="18" customHeight="1" s="17"/>
    <row r="2652" ht="18" customHeight="1" s="17"/>
    <row r="2653" ht="18" customHeight="1" s="17"/>
    <row r="2654" ht="18" customHeight="1" s="17"/>
    <row r="2655" ht="18" customHeight="1" s="17"/>
    <row r="2656" ht="18" customHeight="1" s="17"/>
    <row r="2657" ht="18" customHeight="1" s="17"/>
    <row r="2658" ht="18" customHeight="1" s="17"/>
    <row r="2659" ht="18" customHeight="1" s="17"/>
    <row r="2660" ht="18" customHeight="1" s="17"/>
    <row r="2661" ht="18" customHeight="1" s="17"/>
    <row r="2662" ht="18" customHeight="1" s="17"/>
    <row r="2663" ht="18" customHeight="1" s="17"/>
    <row r="2664" ht="18" customHeight="1" s="17"/>
    <row r="2665" ht="18" customHeight="1" s="17"/>
    <row r="2666" ht="18" customHeight="1" s="17"/>
    <row r="2667" ht="18" customHeight="1" s="17"/>
    <row r="2668" ht="18" customHeight="1" s="17"/>
    <row r="2669" ht="18" customHeight="1" s="17"/>
    <row r="2670" ht="18" customHeight="1" s="17"/>
    <row r="2671" ht="18" customHeight="1" s="17"/>
    <row r="2672" ht="18" customHeight="1" s="17"/>
    <row r="2673" ht="18" customHeight="1" s="17"/>
    <row r="2674" ht="18" customHeight="1" s="17"/>
    <row r="2675" ht="18" customHeight="1" s="17"/>
    <row r="2676" ht="18" customHeight="1" s="17"/>
    <row r="2677" ht="18" customHeight="1" s="17"/>
    <row r="2678" ht="18" customHeight="1" s="17"/>
    <row r="2679" ht="18" customHeight="1" s="17"/>
    <row r="2680" ht="18" customHeight="1" s="17"/>
    <row r="2681" ht="18" customHeight="1" s="17"/>
    <row r="2682" ht="18" customHeight="1" s="17"/>
    <row r="2683" ht="18" customHeight="1" s="17"/>
    <row r="2684" ht="18" customHeight="1" s="17"/>
    <row r="2685" ht="18" customHeight="1" s="17"/>
    <row r="2686" ht="18" customHeight="1" s="17"/>
    <row r="2687" ht="18" customHeight="1" s="17"/>
    <row r="2688" ht="18" customHeight="1" s="17"/>
    <row r="2689" ht="18" customHeight="1" s="17"/>
    <row r="2690" ht="18" customHeight="1" s="17"/>
    <row r="2691" ht="18" customHeight="1" s="17"/>
    <row r="2692" ht="18" customHeight="1" s="17"/>
    <row r="2693" ht="18" customHeight="1" s="17"/>
    <row r="2694" ht="18" customHeight="1" s="17"/>
    <row r="2695" ht="18" customHeight="1" s="17"/>
    <row r="2696" ht="18" customHeight="1" s="17"/>
    <row r="2697" ht="18" customHeight="1" s="17"/>
    <row r="2698" ht="18" customHeight="1" s="17"/>
    <row r="2699" ht="18" customHeight="1" s="17"/>
    <row r="2700" ht="18" customHeight="1" s="17"/>
    <row r="2701" ht="18" customHeight="1" s="17"/>
    <row r="2702" ht="18" customHeight="1" s="17"/>
    <row r="2703" ht="18" customHeight="1" s="17"/>
    <row r="2704" ht="18" customHeight="1" s="17"/>
    <row r="2705" ht="18" customHeight="1" s="17"/>
    <row r="2706" ht="18" customHeight="1" s="17"/>
    <row r="2707" ht="18" customHeight="1" s="17"/>
    <row r="2708" ht="18" customHeight="1" s="17"/>
    <row r="2709" ht="18" customHeight="1" s="17"/>
    <row r="2710" ht="18" customHeight="1" s="17"/>
    <row r="2711" ht="18" customHeight="1" s="17"/>
    <row r="2712" ht="18" customHeight="1" s="17"/>
    <row r="2713" ht="18" customHeight="1" s="17"/>
    <row r="2714" ht="18" customHeight="1" s="17"/>
    <row r="2715" ht="18" customHeight="1" s="17"/>
    <row r="2716" ht="18" customHeight="1" s="17"/>
    <row r="2717" ht="18" customHeight="1" s="17"/>
    <row r="2718" ht="18" customHeight="1" s="17"/>
    <row r="2719" ht="18" customHeight="1" s="17"/>
    <row r="2720" ht="18" customHeight="1" s="17"/>
    <row r="2721" ht="18" customHeight="1" s="17"/>
    <row r="2722" ht="18" customHeight="1" s="17"/>
    <row r="2723" ht="18" customHeight="1" s="17"/>
    <row r="2724" ht="18" customHeight="1" s="17"/>
    <row r="2725" ht="18" customHeight="1" s="17"/>
    <row r="2726" ht="18" customHeight="1" s="17"/>
    <row r="2727" ht="18" customHeight="1" s="17"/>
    <row r="2728" ht="18" customHeight="1" s="17"/>
    <row r="2729" ht="18" customHeight="1" s="17"/>
    <row r="2730" ht="18" customHeight="1" s="17"/>
    <row r="2731" ht="18" customHeight="1" s="17"/>
    <row r="2732" ht="18" customHeight="1" s="17"/>
    <row r="2733" ht="18" customHeight="1" s="17"/>
    <row r="2734" ht="18" customHeight="1" s="17"/>
    <row r="2735" ht="18" customHeight="1" s="17"/>
    <row r="2736" ht="18" customHeight="1" s="17"/>
    <row r="2737" ht="18" customHeight="1" s="17"/>
    <row r="2738" ht="18" customHeight="1" s="17"/>
    <row r="2739" ht="18" customHeight="1" s="17"/>
    <row r="2740" ht="18" customHeight="1" s="17"/>
    <row r="2741" ht="18" customHeight="1" s="17"/>
    <row r="2742" ht="18" customHeight="1" s="17"/>
    <row r="2743" ht="18" customHeight="1" s="17"/>
    <row r="2744" ht="18" customHeight="1" s="17"/>
    <row r="2745" ht="18" customHeight="1" s="17"/>
    <row r="2746" ht="18" customHeight="1" s="17"/>
    <row r="2747" ht="18" customHeight="1" s="17"/>
    <row r="2748" ht="18" customHeight="1" s="17"/>
    <row r="2749" ht="18" customHeight="1" s="17"/>
    <row r="2750" ht="18" customHeight="1" s="17"/>
    <row r="2751" ht="18" customHeight="1" s="17"/>
    <row r="2752" ht="18" customHeight="1" s="17"/>
    <row r="2753" ht="18" customHeight="1" s="17"/>
    <row r="2754" ht="18" customHeight="1" s="17"/>
    <row r="2755" ht="18" customHeight="1" s="17"/>
    <row r="2756" ht="18" customHeight="1" s="17"/>
    <row r="2757" ht="18" customHeight="1" s="17"/>
    <row r="2758" ht="18" customHeight="1" s="17"/>
    <row r="2759" ht="18" customHeight="1" s="17"/>
    <row r="2760" ht="18" customHeight="1" s="17"/>
    <row r="2761" ht="18" customHeight="1" s="17"/>
    <row r="2762" ht="18" customHeight="1" s="17"/>
    <row r="2763" ht="18" customHeight="1" s="17"/>
    <row r="2764" ht="18" customHeight="1" s="17"/>
    <row r="2765" ht="18" customHeight="1" s="17"/>
    <row r="2766" ht="18" customHeight="1" s="17"/>
    <row r="2767" ht="18" customHeight="1" s="17"/>
    <row r="2768" ht="18" customHeight="1" s="17"/>
    <row r="2769" ht="18" customHeight="1" s="17"/>
    <row r="2770" ht="18" customHeight="1" s="17"/>
    <row r="2771" ht="18" customHeight="1" s="17"/>
    <row r="2772" ht="18" customHeight="1" s="17"/>
    <row r="2773" ht="18" customHeight="1" s="17"/>
    <row r="2774" ht="18" customHeight="1" s="17"/>
    <row r="2775" ht="18" customHeight="1" s="17"/>
    <row r="2776" ht="18" customHeight="1" s="17"/>
    <row r="2777" ht="18" customHeight="1" s="17"/>
    <row r="2778" ht="18" customHeight="1" s="17"/>
    <row r="2779" ht="18" customHeight="1" s="17"/>
    <row r="2780" ht="18" customHeight="1" s="17"/>
    <row r="2781" ht="18" customHeight="1" s="17"/>
    <row r="2782" ht="18" customHeight="1" s="17"/>
    <row r="2783" ht="18" customHeight="1" s="17"/>
    <row r="2784" ht="18" customHeight="1" s="17"/>
    <row r="2785" ht="18" customHeight="1" s="17"/>
    <row r="2786" ht="18" customHeight="1" s="17"/>
    <row r="2787" ht="18" customHeight="1" s="17"/>
    <row r="2788" ht="18" customHeight="1" s="17"/>
    <row r="2789" ht="18" customHeight="1" s="17"/>
    <row r="2790" ht="18" customHeight="1" s="17"/>
    <row r="2791" ht="18" customHeight="1" s="17"/>
    <row r="2792" ht="18" customHeight="1" s="17"/>
    <row r="2793" ht="18" customHeight="1" s="17"/>
    <row r="2794" ht="18" customHeight="1" s="17"/>
    <row r="2795" ht="18" customHeight="1" s="17"/>
    <row r="2796" ht="18" customHeight="1" s="17"/>
    <row r="2797" ht="18" customHeight="1" s="17"/>
    <row r="2798" ht="18" customHeight="1" s="17"/>
    <row r="2799" ht="18" customHeight="1" s="17"/>
    <row r="2800" ht="18" customHeight="1" s="17"/>
    <row r="2801" ht="18" customHeight="1" s="17"/>
    <row r="2802" ht="18" customHeight="1" s="17"/>
    <row r="2803" ht="18" customHeight="1" s="17"/>
    <row r="2804" ht="18" customHeight="1" s="17"/>
    <row r="2805" ht="18" customHeight="1" s="17"/>
    <row r="2806" ht="18" customHeight="1" s="17"/>
    <row r="2807" ht="18" customHeight="1" s="17"/>
    <row r="2808" ht="18" customHeight="1" s="17"/>
    <row r="2809" ht="18" customHeight="1" s="17"/>
    <row r="2810" ht="18" customHeight="1" s="17"/>
    <row r="2811" ht="18" customHeight="1" s="17"/>
    <row r="2812" ht="18" customHeight="1" s="17"/>
    <row r="2813" ht="18" customHeight="1" s="17"/>
    <row r="2814" ht="18" customHeight="1" s="17"/>
    <row r="2815" ht="18" customHeight="1" s="17"/>
    <row r="2816" ht="18" customHeight="1" s="17"/>
    <row r="2817" ht="18" customHeight="1" s="17"/>
    <row r="2818" ht="18" customHeight="1" s="17"/>
    <row r="2819" ht="18" customHeight="1" s="17"/>
    <row r="2820" ht="18" customHeight="1" s="17"/>
    <row r="2821" ht="18" customHeight="1" s="17"/>
    <row r="2822" ht="18" customHeight="1" s="17"/>
    <row r="2823" ht="18" customHeight="1" s="17"/>
    <row r="2824" ht="18" customHeight="1" s="17"/>
    <row r="2825" ht="18" customHeight="1" s="17"/>
    <row r="2826" ht="18" customHeight="1" s="17"/>
    <row r="2827" ht="18" customHeight="1" s="17"/>
    <row r="2828" ht="18" customHeight="1" s="17"/>
    <row r="2829" ht="18" customHeight="1" s="17"/>
    <row r="2830" ht="18" customHeight="1" s="17"/>
    <row r="2831" ht="18" customHeight="1" s="17"/>
    <row r="2832" ht="18" customHeight="1" s="17"/>
    <row r="2833" ht="18" customHeight="1" s="17"/>
    <row r="2834" ht="18" customHeight="1" s="17"/>
    <row r="2835" ht="18" customHeight="1" s="17"/>
    <row r="2836" ht="18" customHeight="1" s="17"/>
    <row r="2837" ht="18" customHeight="1" s="17"/>
    <row r="2838" ht="18" customHeight="1" s="17"/>
    <row r="2839" ht="18" customHeight="1" s="17"/>
    <row r="2840" ht="18" customHeight="1" s="17"/>
    <row r="2841" ht="18" customHeight="1" s="17"/>
    <row r="2842" ht="18" customHeight="1" s="17"/>
    <row r="2843" ht="18" customHeight="1" s="17"/>
    <row r="2844" ht="18" customHeight="1" s="17"/>
    <row r="2845" ht="18" customHeight="1" s="17"/>
    <row r="2846" ht="18" customHeight="1" s="17"/>
    <row r="2847" ht="18" customHeight="1" s="17"/>
    <row r="2848" ht="18" customHeight="1" s="17"/>
    <row r="2849" ht="18" customHeight="1" s="17"/>
    <row r="2850" ht="18" customHeight="1" s="17"/>
    <row r="2851" ht="18" customHeight="1" s="17"/>
    <row r="2852" ht="18" customHeight="1" s="17"/>
    <row r="2853" ht="18" customHeight="1" s="17"/>
    <row r="2854" ht="18" customHeight="1" s="17"/>
    <row r="2855" ht="18" customHeight="1" s="17"/>
    <row r="2856" ht="18" customHeight="1" s="17"/>
    <row r="2857" ht="18" customHeight="1" s="17"/>
    <row r="2858" ht="18" customHeight="1" s="17"/>
    <row r="2859" ht="18" customHeight="1" s="17"/>
    <row r="2860" ht="18" customHeight="1" s="17"/>
    <row r="2861" ht="18" customHeight="1" s="17"/>
    <row r="2862" ht="18" customHeight="1" s="17"/>
    <row r="2863" ht="18" customHeight="1" s="17"/>
    <row r="2864" ht="18" customHeight="1" s="17"/>
    <row r="2865" ht="18" customHeight="1" s="17"/>
    <row r="2866" ht="18" customHeight="1" s="17"/>
    <row r="2867" ht="18" customHeight="1" s="17"/>
    <row r="2868" ht="18" customHeight="1" s="17"/>
    <row r="2869" ht="18" customHeight="1" s="17"/>
    <row r="2870" ht="18" customHeight="1" s="17"/>
    <row r="2871" ht="18" customHeight="1" s="17"/>
    <row r="2872" ht="18" customHeight="1" s="17"/>
    <row r="2873" ht="18" customHeight="1" s="17"/>
    <row r="2874" ht="18" customHeight="1" s="17"/>
    <row r="2875" ht="18" customHeight="1" s="17"/>
    <row r="2876" ht="18" customHeight="1" s="17"/>
    <row r="2877" ht="18" customHeight="1" s="17"/>
    <row r="2878" ht="18" customHeight="1" s="17"/>
    <row r="2879" ht="18" customHeight="1" s="17"/>
    <row r="2880" ht="18" customHeight="1" s="17"/>
    <row r="2881" ht="18" customHeight="1" s="17"/>
    <row r="2882" ht="18" customHeight="1" s="17"/>
    <row r="2883" ht="18" customHeight="1" s="17"/>
    <row r="2884" ht="18" customHeight="1" s="17"/>
    <row r="2885" ht="18" customHeight="1" s="17"/>
    <row r="2886" ht="18" customHeight="1" s="17"/>
    <row r="2887" ht="18" customHeight="1" s="17"/>
    <row r="2888" ht="18" customHeight="1" s="17"/>
    <row r="2889" ht="18" customHeight="1" s="17"/>
    <row r="2890" ht="18" customHeight="1" s="17"/>
    <row r="2891" ht="18" customHeight="1" s="17"/>
    <row r="2892" ht="18" customHeight="1" s="17"/>
    <row r="2893" ht="18" customHeight="1" s="17"/>
    <row r="2894" ht="18" customHeight="1" s="17"/>
    <row r="2895" ht="18" customHeight="1" s="17"/>
    <row r="2896" ht="18" customHeight="1" s="17"/>
    <row r="2897" ht="18" customHeight="1" s="17"/>
    <row r="2898" ht="18" customHeight="1" s="17"/>
    <row r="2899" ht="18" customHeight="1" s="17"/>
    <row r="2900" ht="18" customHeight="1" s="17"/>
    <row r="2901" ht="18" customHeight="1" s="17"/>
    <row r="2902" ht="18" customHeight="1" s="17"/>
    <row r="2903" ht="18" customHeight="1" s="17"/>
    <row r="2904" ht="18" customHeight="1" s="17"/>
    <row r="2905" ht="18" customHeight="1" s="17"/>
    <row r="2906" ht="18" customHeight="1" s="17"/>
    <row r="2907" ht="18" customHeight="1" s="17"/>
    <row r="2908" ht="18" customHeight="1" s="17"/>
    <row r="2909" ht="18" customHeight="1" s="17"/>
    <row r="2910" ht="18" customHeight="1" s="17"/>
    <row r="2911" ht="18" customHeight="1" s="17"/>
    <row r="2912" ht="18" customHeight="1" s="17"/>
    <row r="2913" ht="18" customHeight="1" s="17"/>
    <row r="2914" ht="18" customHeight="1" s="17"/>
    <row r="2915" ht="18" customHeight="1" s="17"/>
    <row r="2916" ht="18" customHeight="1" s="17"/>
    <row r="2917" ht="18" customHeight="1" s="17"/>
    <row r="2918" ht="18" customHeight="1" s="17"/>
    <row r="2919" ht="18" customHeight="1" s="17"/>
    <row r="2920" ht="18" customHeight="1" s="17"/>
    <row r="2921" ht="18" customHeight="1" s="17"/>
    <row r="2922" ht="18" customHeight="1" s="17"/>
    <row r="2923" ht="18" customHeight="1" s="17"/>
    <row r="2924" ht="18" customHeight="1" s="17"/>
    <row r="2925" ht="18" customHeight="1" s="17"/>
    <row r="2926" ht="18" customHeight="1" s="17"/>
    <row r="2927" ht="18" customHeight="1" s="17"/>
    <row r="2928" ht="18" customHeight="1" s="17"/>
    <row r="2929" ht="18" customHeight="1" s="17"/>
    <row r="2930" ht="18" customHeight="1" s="17"/>
    <row r="2931" ht="18" customHeight="1" s="17"/>
    <row r="2932" ht="18" customHeight="1" s="17"/>
    <row r="2933" ht="18" customHeight="1" s="17"/>
    <row r="2934" ht="18" customHeight="1" s="17"/>
    <row r="2935" ht="18" customHeight="1" s="17"/>
    <row r="2936" ht="18" customHeight="1" s="17"/>
    <row r="2937" ht="18" customHeight="1" s="17"/>
    <row r="2938" ht="18" customHeight="1" s="17"/>
    <row r="2939" ht="18" customHeight="1" s="17"/>
    <row r="2940" ht="18" customHeight="1" s="17"/>
    <row r="2941" ht="18" customHeight="1" s="17"/>
    <row r="2942" ht="18" customHeight="1" s="17"/>
    <row r="2943" ht="18" customHeight="1" s="17"/>
    <row r="2944" ht="18" customHeight="1" s="17"/>
    <row r="2945" ht="18" customHeight="1" s="17"/>
    <row r="2946" ht="18" customHeight="1" s="17"/>
    <row r="2947" ht="18" customHeight="1" s="17"/>
    <row r="2948" ht="18" customHeight="1" s="17"/>
    <row r="2949" ht="18" customHeight="1" s="17"/>
    <row r="2950" ht="18" customHeight="1" s="17"/>
    <row r="2951" ht="18" customHeight="1" s="17"/>
    <row r="2952" ht="18" customHeight="1" s="17"/>
    <row r="2953" ht="18" customHeight="1" s="17"/>
    <row r="2954" ht="18" customHeight="1" s="17"/>
    <row r="2955" ht="18" customHeight="1" s="17"/>
    <row r="2956" ht="18" customHeight="1" s="17"/>
    <row r="2957" ht="18" customHeight="1" s="17"/>
    <row r="2958" ht="18" customHeight="1" s="17"/>
    <row r="2959" ht="18" customHeight="1" s="17"/>
    <row r="2960" ht="18" customHeight="1" s="17"/>
    <row r="2961" ht="18" customHeight="1" s="17"/>
    <row r="2962" ht="18" customHeight="1" s="17"/>
    <row r="2963" ht="18" customHeight="1" s="17"/>
    <row r="2964" ht="18" customHeight="1" s="17"/>
    <row r="2965" ht="18" customHeight="1" s="17"/>
    <row r="2966" ht="18" customHeight="1" s="17"/>
    <row r="2967" ht="18" customHeight="1" s="17"/>
    <row r="2968" ht="18" customHeight="1" s="17"/>
    <row r="2969" ht="18" customHeight="1" s="17"/>
    <row r="2970" ht="18" customHeight="1" s="17"/>
    <row r="2971" ht="18" customHeight="1" s="17"/>
    <row r="2972" ht="18" customHeight="1" s="17"/>
    <row r="2973" ht="18" customHeight="1" s="17"/>
    <row r="2974" ht="18" customHeight="1" s="17"/>
    <row r="2975" ht="18" customHeight="1" s="17"/>
    <row r="2976" ht="18" customHeight="1" s="17"/>
    <row r="2977" ht="18" customHeight="1" s="17"/>
    <row r="2978" ht="18" customHeight="1" s="17"/>
    <row r="2979" ht="18" customHeight="1" s="17"/>
    <row r="2980" ht="18" customHeight="1" s="17"/>
    <row r="2981" ht="18" customHeight="1" s="17"/>
    <row r="2982" ht="18" customHeight="1" s="17"/>
    <row r="2983" ht="18" customHeight="1" s="17"/>
    <row r="2984" ht="18" customHeight="1" s="17"/>
    <row r="2985" ht="18" customHeight="1" s="17"/>
    <row r="2986" ht="18" customHeight="1" s="17"/>
    <row r="2987" ht="18" customHeight="1" s="17"/>
    <row r="2988" ht="18" customHeight="1" s="17"/>
    <row r="2989" ht="18" customHeight="1" s="17"/>
    <row r="2990" ht="18" customHeight="1" s="17"/>
    <row r="2991" ht="18" customHeight="1" s="17"/>
    <row r="2992" ht="18" customHeight="1" s="17"/>
    <row r="2993" ht="18" customHeight="1" s="17"/>
    <row r="2994" ht="18" customHeight="1" s="17"/>
    <row r="2995" ht="18" customHeight="1" s="17"/>
    <row r="2996" ht="18" customHeight="1" s="17"/>
    <row r="2997" ht="18" customHeight="1" s="17"/>
    <row r="2998" ht="18" customHeight="1" s="17"/>
    <row r="2999" ht="18" customHeight="1" s="17"/>
    <row r="3000" ht="18" customHeight="1" s="17"/>
    <row r="3001" ht="18" customHeight="1" s="17"/>
    <row r="3002" ht="18" customHeight="1" s="17"/>
    <row r="3003" ht="18" customHeight="1" s="17"/>
    <row r="3004" ht="18" customHeight="1" s="17"/>
    <row r="3005" ht="18" customHeight="1" s="17"/>
    <row r="3006" ht="18" customHeight="1" s="17"/>
    <row r="3007" ht="18" customHeight="1" s="17"/>
    <row r="3008" ht="18" customHeight="1" s="17"/>
    <row r="3009" ht="18" customHeight="1" s="17"/>
    <row r="3010" ht="18" customHeight="1" s="17"/>
    <row r="3011" ht="18" customHeight="1" s="17"/>
    <row r="3012" ht="18" customHeight="1" s="17"/>
    <row r="3013" ht="18" customHeight="1" s="17"/>
    <row r="3014" ht="18" customHeight="1" s="17"/>
    <row r="3015" ht="18" customHeight="1" s="17"/>
    <row r="3016" ht="18" customHeight="1" s="17"/>
    <row r="3017" ht="18" customHeight="1" s="17"/>
    <row r="3018" ht="18" customHeight="1" s="17"/>
    <row r="3019" ht="18" customHeight="1" s="17"/>
    <row r="3020" ht="18" customHeight="1" s="17"/>
    <row r="3021" ht="18" customHeight="1" s="17"/>
    <row r="3022" ht="18" customHeight="1" s="17"/>
    <row r="3023" ht="18" customHeight="1" s="17"/>
    <row r="3024" ht="18" customHeight="1" s="17"/>
    <row r="3025" ht="18" customHeight="1" s="17"/>
    <row r="3026" ht="18" customHeight="1" s="17"/>
    <row r="3027" ht="18" customHeight="1" s="17"/>
    <row r="3028" ht="18" customHeight="1" s="17"/>
    <row r="3029" ht="18" customHeight="1" s="17"/>
    <row r="3030" ht="18" customHeight="1" s="17"/>
    <row r="3031" ht="18" customHeight="1" s="17"/>
    <row r="3032" ht="18" customHeight="1" s="17"/>
    <row r="3033" ht="18" customHeight="1" s="17"/>
    <row r="3034" ht="18" customHeight="1" s="17"/>
    <row r="3035" ht="18" customHeight="1" s="17"/>
    <row r="3036" ht="18" customHeight="1" s="17"/>
    <row r="3037" ht="18" customHeight="1" s="17"/>
    <row r="3038" ht="18" customHeight="1" s="17"/>
    <row r="3039" ht="18" customHeight="1" s="17"/>
    <row r="3040" ht="18" customHeight="1" s="17"/>
    <row r="3041" ht="18" customHeight="1" s="17"/>
    <row r="3042" ht="18" customHeight="1" s="17"/>
    <row r="3043" ht="18" customHeight="1" s="17"/>
    <row r="3044" ht="18" customHeight="1" s="17"/>
    <row r="3045" ht="18" customHeight="1" s="17"/>
    <row r="3046" ht="18" customHeight="1" s="17"/>
    <row r="3047" ht="18" customHeight="1" s="17"/>
    <row r="3048" ht="18" customHeight="1" s="17"/>
    <row r="3049" ht="18" customHeight="1" s="17"/>
    <row r="3050" ht="18" customHeight="1" s="17"/>
    <row r="3051" ht="18" customHeight="1" s="17"/>
    <row r="3052" ht="18" customHeight="1" s="17"/>
    <row r="3053" ht="18" customHeight="1" s="17"/>
    <row r="3054" ht="18" customHeight="1" s="17"/>
    <row r="3055" ht="18" customHeight="1" s="17"/>
    <row r="3056" ht="18" customHeight="1" s="17"/>
    <row r="3057" ht="18" customHeight="1" s="17"/>
    <row r="3058" ht="18" customHeight="1" s="17"/>
    <row r="3059" ht="18" customHeight="1" s="17"/>
    <row r="3060" ht="18" customHeight="1" s="17"/>
    <row r="3061" ht="18" customHeight="1" s="17"/>
    <row r="3062" ht="18" customHeight="1" s="17"/>
    <row r="3063" ht="18" customHeight="1" s="17"/>
    <row r="3064" ht="18" customHeight="1" s="17"/>
    <row r="3065" ht="18" customHeight="1" s="17"/>
    <row r="3066" ht="18" customHeight="1" s="17"/>
    <row r="3067" ht="18" customHeight="1" s="17"/>
    <row r="3068" ht="18" customHeight="1" s="17"/>
    <row r="3069" ht="18" customHeight="1" s="17"/>
    <row r="3070" ht="18" customHeight="1" s="17"/>
    <row r="3071" ht="18" customHeight="1" s="17"/>
    <row r="3072" ht="18" customHeight="1" s="17"/>
    <row r="3073" ht="18" customHeight="1" s="17"/>
    <row r="3074" ht="18" customHeight="1" s="17"/>
    <row r="3075" ht="18" customHeight="1" s="17"/>
    <row r="3076" ht="18" customHeight="1" s="17"/>
    <row r="3077" ht="18" customHeight="1" s="17"/>
    <row r="3078" ht="18" customHeight="1" s="17"/>
    <row r="3079" ht="18" customHeight="1" s="17"/>
    <row r="3080" ht="18" customHeight="1" s="17"/>
    <row r="3081" ht="18" customHeight="1" s="17"/>
    <row r="3082" ht="18" customHeight="1" s="17"/>
    <row r="3083" ht="18" customHeight="1" s="17"/>
    <row r="3084" ht="18" customHeight="1" s="17"/>
    <row r="3085" ht="18" customHeight="1" s="17"/>
    <row r="3086" ht="18" customHeight="1" s="17"/>
    <row r="3087" ht="18" customHeight="1" s="17"/>
    <row r="3088" ht="18" customHeight="1" s="17"/>
    <row r="3089" ht="18" customHeight="1" s="17"/>
    <row r="3090" ht="18" customHeight="1" s="17"/>
    <row r="3091" ht="18" customHeight="1" s="17"/>
    <row r="3092" ht="18" customHeight="1" s="17"/>
    <row r="3093" ht="18" customHeight="1" s="17"/>
    <row r="3094" ht="18" customHeight="1" s="17"/>
    <row r="3095" ht="18" customHeight="1" s="17"/>
    <row r="3096" ht="18" customHeight="1" s="17"/>
    <row r="3097" ht="18" customHeight="1" s="17"/>
    <row r="3098" ht="18" customHeight="1" s="17"/>
    <row r="3099" ht="18" customHeight="1" s="17"/>
    <row r="3100" ht="18" customHeight="1" s="17"/>
    <row r="3101" ht="18" customHeight="1" s="17"/>
    <row r="3102" ht="18" customHeight="1" s="17"/>
    <row r="3103" ht="18" customHeight="1" s="17"/>
    <row r="3104" ht="18" customHeight="1" s="17"/>
    <row r="3105" ht="18" customHeight="1" s="17"/>
    <row r="3106" ht="18" customHeight="1" s="17"/>
    <row r="3107" ht="18" customHeight="1" s="17"/>
    <row r="3108" ht="18" customHeight="1" s="17"/>
    <row r="3109" ht="18" customHeight="1" s="17"/>
    <row r="3110" ht="18" customHeight="1" s="17"/>
    <row r="3111" ht="18" customHeight="1" s="17"/>
    <row r="3112" ht="18" customHeight="1" s="17"/>
    <row r="3113" ht="18" customHeight="1" s="17"/>
    <row r="3114" ht="18" customHeight="1" s="17"/>
    <row r="3115" ht="18" customHeight="1" s="17"/>
    <row r="3116" ht="18" customHeight="1" s="17"/>
    <row r="3117" ht="18" customHeight="1" s="17"/>
    <row r="3118" ht="18" customHeight="1" s="17"/>
    <row r="3119" ht="18" customHeight="1" s="17"/>
    <row r="3120" ht="18" customHeight="1" s="17"/>
    <row r="3121" ht="18" customHeight="1" s="17"/>
    <row r="3122" ht="18" customHeight="1" s="17"/>
    <row r="3123" ht="18" customHeight="1" s="17"/>
    <row r="3124" ht="18" customHeight="1" s="17"/>
    <row r="3125" ht="18" customHeight="1" s="17"/>
    <row r="3126" ht="18" customHeight="1" s="17"/>
    <row r="3127" ht="18" customHeight="1" s="17"/>
    <row r="3128" ht="18" customHeight="1" s="17"/>
    <row r="3129" ht="18" customHeight="1" s="17"/>
    <row r="3130" ht="18" customHeight="1" s="17"/>
    <row r="3131" ht="18" customHeight="1" s="17"/>
    <row r="3132" ht="18" customHeight="1" s="17"/>
    <row r="3133" ht="18" customHeight="1" s="17"/>
    <row r="3134" ht="18" customHeight="1" s="17"/>
    <row r="3135" ht="18" customHeight="1" s="17"/>
    <row r="3136" ht="18" customHeight="1" s="17"/>
    <row r="3137" ht="18" customHeight="1" s="17"/>
    <row r="3138" ht="18" customHeight="1" s="17"/>
    <row r="3139" ht="18" customHeight="1" s="17"/>
    <row r="3140" ht="18" customHeight="1" s="17"/>
    <row r="3141" ht="18" customHeight="1" s="17"/>
    <row r="3142" ht="18" customHeight="1" s="17"/>
    <row r="3143" ht="18" customHeight="1" s="17"/>
    <row r="3144" ht="18" customHeight="1" s="17"/>
    <row r="3145" ht="18" customHeight="1" s="17"/>
    <row r="3146" ht="18" customHeight="1" s="17"/>
    <row r="3147" ht="18" customHeight="1" s="17"/>
    <row r="3148" ht="18" customHeight="1" s="17"/>
    <row r="3149" ht="18" customHeight="1" s="17"/>
    <row r="3150" ht="18" customHeight="1" s="17"/>
    <row r="3151" ht="18" customHeight="1" s="17"/>
    <row r="3152" ht="18" customHeight="1" s="17"/>
    <row r="3153" ht="18" customHeight="1" s="17"/>
    <row r="3154" ht="18" customHeight="1" s="17"/>
    <row r="3155" ht="18" customHeight="1" s="17"/>
    <row r="3156" ht="18" customHeight="1" s="17"/>
    <row r="3157" ht="18" customHeight="1" s="17"/>
    <row r="3158" ht="18" customHeight="1" s="17"/>
    <row r="3159" ht="18" customHeight="1" s="17"/>
    <row r="3160" ht="18" customHeight="1" s="17"/>
    <row r="3161" ht="18" customHeight="1" s="17"/>
    <row r="3162" ht="18" customHeight="1" s="17"/>
    <row r="3163" ht="18" customHeight="1" s="17"/>
    <row r="3164" ht="18" customHeight="1" s="17"/>
    <row r="3165" ht="18" customHeight="1" s="17"/>
    <row r="3166" ht="18" customHeight="1" s="17"/>
    <row r="3167" ht="18" customHeight="1" s="17"/>
    <row r="3168" ht="18" customHeight="1" s="17"/>
    <row r="3169" ht="18" customHeight="1" s="17"/>
    <row r="3170" ht="18" customHeight="1" s="17"/>
    <row r="3171" ht="18" customHeight="1" s="17"/>
    <row r="3172" ht="18" customHeight="1" s="17"/>
    <row r="3173" ht="18" customHeight="1" s="17"/>
    <row r="3174" ht="18" customHeight="1" s="17"/>
    <row r="3175" ht="18" customHeight="1" s="17"/>
    <row r="3176" ht="18" customHeight="1" s="17"/>
    <row r="3177" ht="18" customHeight="1" s="17"/>
    <row r="3178" ht="18" customHeight="1" s="17"/>
    <row r="3179" ht="18" customHeight="1" s="17"/>
    <row r="3180" ht="18" customHeight="1" s="17"/>
    <row r="3181" ht="18" customHeight="1" s="17"/>
    <row r="3182" ht="18" customHeight="1" s="17"/>
    <row r="3183" ht="18" customHeight="1" s="17"/>
    <row r="3184" ht="18" customHeight="1" s="17"/>
    <row r="3185" ht="18" customHeight="1" s="17"/>
    <row r="3186" ht="18" customHeight="1" s="17"/>
    <row r="3187" ht="18" customHeight="1" s="17"/>
    <row r="3188" ht="18" customHeight="1" s="17"/>
    <row r="3189" ht="18" customHeight="1" s="17"/>
    <row r="3190" ht="18" customHeight="1" s="17"/>
    <row r="3191" ht="18" customHeight="1" s="17"/>
    <row r="3192" ht="18" customHeight="1" s="17"/>
    <row r="3193" ht="18" customHeight="1" s="17"/>
    <row r="3194" ht="18" customHeight="1" s="17"/>
    <row r="3195" ht="18" customHeight="1" s="17"/>
    <row r="3196" ht="18" customHeight="1" s="17"/>
    <row r="3197" ht="18" customHeight="1" s="17"/>
    <row r="3198" ht="18" customHeight="1" s="17"/>
    <row r="3199" ht="18" customHeight="1" s="17"/>
    <row r="3200" ht="18" customHeight="1" s="17"/>
    <row r="3201" ht="18" customHeight="1" s="17"/>
    <row r="3202" ht="18" customHeight="1" s="17"/>
    <row r="3203" ht="18" customHeight="1" s="17"/>
    <row r="3204" ht="18" customHeight="1" s="17"/>
    <row r="3205" ht="18" customHeight="1" s="17"/>
    <row r="3206" ht="18" customHeight="1" s="17"/>
    <row r="3207" ht="18" customHeight="1" s="17"/>
    <row r="3208" ht="18" customHeight="1" s="17"/>
    <row r="3209" ht="18" customHeight="1" s="17"/>
    <row r="3210" ht="18" customHeight="1" s="17"/>
    <row r="3211" ht="18" customHeight="1" s="17"/>
    <row r="3212" ht="18" customHeight="1" s="17"/>
    <row r="3213" ht="18" customHeight="1" s="17"/>
    <row r="3214" ht="18" customHeight="1" s="17"/>
    <row r="3215" ht="18" customHeight="1" s="17"/>
    <row r="3216" ht="18" customHeight="1" s="17"/>
    <row r="3217" ht="18" customHeight="1" s="17"/>
    <row r="3218" ht="18" customHeight="1" s="17"/>
    <row r="3219" ht="18" customHeight="1" s="17"/>
    <row r="3220" ht="18" customHeight="1" s="17"/>
    <row r="3221" ht="18" customHeight="1" s="17"/>
    <row r="3222" ht="18" customHeight="1" s="17"/>
    <row r="3223" ht="18" customHeight="1" s="17"/>
    <row r="3224" ht="18" customHeight="1" s="17"/>
    <row r="3225" ht="18" customHeight="1" s="17"/>
    <row r="3226" ht="18" customHeight="1" s="17"/>
    <row r="3227" ht="18" customHeight="1" s="17"/>
    <row r="3228" ht="18" customHeight="1" s="17"/>
    <row r="3229" ht="18" customHeight="1" s="17"/>
    <row r="3230" ht="18" customHeight="1" s="17"/>
    <row r="3231" ht="18" customHeight="1" s="17"/>
    <row r="3232" ht="18" customHeight="1" s="17"/>
    <row r="3233" ht="18" customHeight="1" s="17"/>
    <row r="3234" ht="18" customHeight="1" s="17"/>
    <row r="3235" ht="18" customHeight="1" s="17"/>
    <row r="3236" ht="18" customHeight="1" s="17"/>
    <row r="3237" ht="18" customHeight="1" s="17"/>
    <row r="3238" ht="18" customHeight="1" s="17"/>
    <row r="3239" ht="18" customHeight="1" s="17"/>
    <row r="3240" ht="18" customHeight="1" s="17"/>
    <row r="3241" ht="18" customHeight="1" s="17"/>
    <row r="3242" ht="18" customHeight="1" s="17"/>
    <row r="3243" ht="18" customHeight="1" s="17"/>
    <row r="3244" ht="18" customHeight="1" s="17"/>
    <row r="3245" ht="18" customHeight="1" s="17"/>
    <row r="3246" ht="18" customHeight="1" s="17"/>
    <row r="3247" ht="18" customHeight="1" s="17"/>
    <row r="3248" ht="18" customHeight="1" s="17"/>
    <row r="3249" ht="18" customHeight="1" s="17"/>
    <row r="3250" ht="18" customHeight="1" s="17"/>
    <row r="3251" ht="18" customHeight="1" s="17"/>
    <row r="3252" ht="18" customHeight="1" s="17"/>
    <row r="3253" ht="18" customHeight="1" s="17"/>
    <row r="3254" ht="18" customHeight="1" s="17"/>
    <row r="3255" ht="18" customHeight="1" s="17"/>
    <row r="3256" ht="18" customHeight="1" s="17"/>
    <row r="3257" ht="18" customHeight="1" s="17"/>
    <row r="3258" ht="18" customHeight="1" s="17"/>
    <row r="3259" ht="18" customHeight="1" s="17"/>
    <row r="3260" ht="18" customHeight="1" s="17"/>
    <row r="3261" ht="18" customHeight="1" s="17"/>
    <row r="3262" ht="18" customHeight="1" s="17"/>
    <row r="3263" ht="18" customHeight="1" s="17"/>
    <row r="3264" ht="18" customHeight="1" s="17"/>
    <row r="3265" ht="18" customHeight="1" s="17"/>
    <row r="3266" ht="18" customHeight="1" s="17"/>
    <row r="3267" ht="18" customHeight="1" s="17"/>
    <row r="3268" ht="18" customHeight="1" s="17"/>
    <row r="3269" ht="18" customHeight="1" s="17"/>
    <row r="3270" ht="18" customHeight="1" s="17"/>
    <row r="3271" ht="18" customHeight="1" s="17"/>
    <row r="3272" ht="18" customHeight="1" s="17"/>
    <row r="3273" ht="18" customHeight="1" s="17"/>
    <row r="3274" ht="18" customHeight="1" s="17"/>
    <row r="3275" ht="18" customHeight="1" s="17"/>
    <row r="3276" ht="18" customHeight="1" s="17"/>
    <row r="3277" ht="18" customHeight="1" s="17"/>
    <row r="3278" ht="18" customHeight="1" s="17"/>
    <row r="3279" ht="18" customHeight="1" s="17"/>
    <row r="3280" ht="18" customHeight="1" s="17"/>
    <row r="3281" ht="18" customHeight="1" s="17"/>
    <row r="3282" ht="18" customHeight="1" s="17"/>
    <row r="3283" ht="18" customHeight="1" s="17"/>
    <row r="3284" ht="18" customHeight="1" s="17"/>
    <row r="3285" ht="18" customHeight="1" s="17"/>
    <row r="3286" ht="18" customHeight="1" s="17"/>
    <row r="3287" ht="18" customHeight="1" s="17"/>
    <row r="3288" ht="18" customHeight="1" s="17"/>
    <row r="3289" ht="18" customHeight="1" s="17"/>
    <row r="3290" ht="18" customHeight="1" s="17"/>
    <row r="3291" ht="18" customHeight="1" s="17"/>
    <row r="3292" ht="18" customHeight="1" s="17"/>
    <row r="3293" ht="18" customHeight="1" s="17"/>
    <row r="3294" ht="18" customHeight="1" s="17"/>
    <row r="3295" ht="18" customHeight="1" s="17"/>
    <row r="3296" ht="18" customHeight="1" s="17"/>
    <row r="3297" ht="18" customHeight="1" s="17"/>
    <row r="3298" ht="18" customHeight="1" s="17"/>
    <row r="3299" ht="18" customHeight="1" s="17"/>
    <row r="3300" ht="18" customHeight="1" s="17"/>
    <row r="3301" ht="18" customHeight="1" s="17"/>
    <row r="3302" ht="18" customHeight="1" s="17"/>
    <row r="3303" ht="18" customHeight="1" s="17"/>
    <row r="3304" ht="18" customHeight="1" s="17"/>
    <row r="3305" ht="18" customHeight="1" s="17"/>
    <row r="3306" ht="18" customHeight="1" s="17"/>
    <row r="3307" ht="18" customHeight="1" s="17"/>
    <row r="3308" ht="18" customHeight="1" s="17"/>
    <row r="3309" ht="18" customHeight="1" s="17"/>
    <row r="3310" ht="18" customHeight="1" s="17"/>
    <row r="3311" ht="18" customHeight="1" s="17"/>
    <row r="3312" ht="18" customHeight="1" s="17"/>
    <row r="3313" ht="18" customHeight="1" s="17"/>
    <row r="3314" ht="18" customHeight="1" s="17"/>
    <row r="3315" ht="18" customHeight="1" s="17"/>
    <row r="3316" ht="18" customHeight="1" s="17"/>
    <row r="3317" ht="18" customHeight="1" s="17"/>
    <row r="3318" ht="18" customHeight="1" s="17"/>
    <row r="3319" ht="18" customHeight="1" s="17"/>
    <row r="3320" ht="18" customHeight="1" s="17"/>
    <row r="3321" ht="18" customHeight="1" s="17"/>
    <row r="3322" ht="18" customHeight="1" s="17"/>
    <row r="3323" ht="18" customHeight="1" s="17"/>
    <row r="3324" ht="18" customHeight="1" s="17"/>
    <row r="3325" ht="18" customHeight="1" s="17"/>
    <row r="3326" ht="18" customHeight="1" s="17"/>
    <row r="3327" ht="18" customHeight="1" s="17"/>
    <row r="3328" ht="18" customHeight="1" s="17"/>
    <row r="3329" ht="18" customHeight="1" s="17"/>
    <row r="3330" ht="18" customHeight="1" s="17"/>
    <row r="3331" ht="18" customHeight="1" s="17"/>
    <row r="3332" ht="18" customHeight="1" s="17"/>
    <row r="3333" ht="18" customHeight="1" s="17"/>
    <row r="3334" ht="18" customHeight="1" s="17"/>
    <row r="3335" ht="18" customHeight="1" s="17"/>
    <row r="3336" ht="18" customHeight="1" s="17"/>
    <row r="3337" ht="18" customHeight="1" s="17"/>
    <row r="3338" ht="18" customHeight="1" s="17"/>
    <row r="3339" ht="18" customHeight="1" s="17"/>
    <row r="3340" ht="18" customHeight="1" s="17"/>
    <row r="3341" ht="18" customHeight="1" s="17"/>
    <row r="3342" ht="18" customHeight="1" s="17"/>
    <row r="3343" ht="18" customHeight="1" s="17"/>
    <row r="3344" ht="18" customHeight="1" s="17"/>
    <row r="3345" ht="18" customHeight="1" s="17"/>
    <row r="3346" ht="18" customHeight="1" s="17"/>
    <row r="3347" ht="18" customHeight="1" s="17"/>
    <row r="3348" ht="18" customHeight="1" s="17"/>
    <row r="3349" ht="18" customHeight="1" s="17"/>
    <row r="3350" ht="18" customHeight="1" s="17"/>
    <row r="3351" ht="18" customHeight="1" s="17"/>
    <row r="3352" ht="18" customHeight="1" s="17"/>
    <row r="3353" ht="18" customHeight="1" s="17"/>
    <row r="3354" ht="18" customHeight="1" s="17"/>
    <row r="3355" ht="18" customHeight="1" s="17"/>
    <row r="3356" ht="18" customHeight="1" s="17"/>
    <row r="3357" ht="18" customHeight="1" s="17"/>
    <row r="3358" ht="18" customHeight="1" s="17"/>
    <row r="3359" ht="18" customHeight="1" s="17"/>
    <row r="3360" ht="18" customHeight="1" s="17"/>
    <row r="3361" ht="18" customHeight="1" s="17"/>
    <row r="3362" ht="18" customHeight="1" s="17"/>
    <row r="3363" ht="18" customHeight="1" s="17"/>
    <row r="3364" ht="18" customHeight="1" s="17"/>
    <row r="3365" ht="18" customHeight="1" s="17"/>
    <row r="3366" ht="18" customHeight="1" s="17"/>
    <row r="3367" ht="18" customHeight="1" s="17"/>
    <row r="3368" ht="18" customHeight="1" s="17"/>
    <row r="3369" ht="18" customHeight="1" s="17"/>
    <row r="3370" ht="18" customHeight="1" s="17"/>
    <row r="3371" ht="18" customHeight="1" s="17"/>
    <row r="3372" ht="18" customHeight="1" s="17"/>
    <row r="3373" ht="18" customHeight="1" s="17"/>
    <row r="3374" ht="18" customHeight="1" s="17"/>
    <row r="3375" ht="18" customHeight="1" s="17"/>
    <row r="3376" ht="18" customHeight="1" s="17"/>
    <row r="3377" ht="18" customHeight="1" s="17"/>
    <row r="3378" ht="18" customHeight="1" s="17"/>
    <row r="3379" ht="18" customHeight="1" s="17"/>
    <row r="3380" ht="18" customHeight="1" s="17"/>
    <row r="3381" ht="18" customHeight="1" s="17"/>
    <row r="3382" ht="18" customHeight="1" s="17"/>
    <row r="3383" ht="18" customHeight="1" s="17"/>
    <row r="3384" ht="18" customHeight="1" s="17"/>
    <row r="3385" ht="18" customHeight="1" s="17"/>
    <row r="3386" ht="18" customHeight="1" s="17"/>
    <row r="3387" ht="18" customHeight="1" s="17"/>
    <row r="3388" ht="18" customHeight="1" s="17"/>
    <row r="3389" ht="18" customHeight="1" s="17"/>
    <row r="3390" ht="18" customHeight="1" s="17"/>
    <row r="3391" ht="18" customHeight="1" s="17"/>
    <row r="3392" ht="18" customHeight="1" s="17"/>
    <row r="3393" ht="18" customHeight="1" s="17"/>
    <row r="3394" ht="18" customHeight="1" s="17"/>
    <row r="3395" ht="18" customHeight="1" s="17"/>
    <row r="3396" ht="18" customHeight="1" s="17"/>
    <row r="3397" ht="18" customHeight="1" s="17"/>
    <row r="3398" ht="18" customHeight="1" s="17"/>
    <row r="3399" ht="18" customHeight="1" s="17"/>
    <row r="3400" ht="18" customHeight="1" s="17"/>
    <row r="3401" ht="18" customHeight="1" s="17"/>
    <row r="3402" ht="18" customHeight="1" s="17"/>
    <row r="3403" ht="18" customHeight="1" s="17"/>
    <row r="3404" ht="18" customHeight="1" s="17"/>
    <row r="3405" ht="18" customHeight="1" s="17"/>
    <row r="3406" ht="18" customHeight="1" s="17"/>
    <row r="3407" ht="18" customHeight="1" s="17"/>
    <row r="3408" ht="18" customHeight="1" s="17"/>
    <row r="3409" ht="18" customHeight="1" s="17"/>
    <row r="3410" ht="18" customHeight="1" s="17"/>
    <row r="3411" ht="18" customHeight="1" s="17"/>
    <row r="3412" ht="18" customHeight="1" s="17"/>
    <row r="3413" ht="18" customHeight="1" s="17"/>
    <row r="3414" ht="18" customHeight="1" s="17"/>
    <row r="3415" ht="18" customHeight="1" s="17"/>
    <row r="3416" ht="18" customHeight="1" s="17"/>
    <row r="3417" ht="18" customHeight="1" s="17"/>
    <row r="3418" ht="18" customHeight="1" s="17"/>
    <row r="3419" ht="18" customHeight="1" s="17"/>
    <row r="3420" ht="18" customHeight="1" s="17"/>
    <row r="3421" ht="18" customHeight="1" s="17"/>
    <row r="3422" ht="18" customHeight="1" s="17"/>
    <row r="3423" ht="18" customHeight="1" s="17"/>
    <row r="3424" ht="18" customHeight="1" s="17"/>
    <row r="3425" ht="18" customHeight="1" s="17"/>
    <row r="3426" ht="18" customHeight="1" s="17"/>
    <row r="3427" ht="18" customHeight="1" s="17"/>
    <row r="3428" ht="18" customHeight="1" s="17"/>
    <row r="3429" ht="18" customHeight="1" s="17"/>
    <row r="3430" ht="18" customHeight="1" s="17"/>
    <row r="3431" ht="18" customHeight="1" s="17"/>
    <row r="3432" ht="18" customHeight="1" s="17"/>
    <row r="3433" ht="18" customHeight="1" s="17"/>
    <row r="3434" ht="18" customHeight="1" s="17"/>
    <row r="3435" ht="18" customHeight="1" s="17"/>
    <row r="3436" ht="18" customHeight="1" s="17"/>
    <row r="3437" ht="18" customHeight="1" s="17"/>
    <row r="3438" ht="18" customHeight="1" s="17"/>
    <row r="3439" ht="18" customHeight="1" s="17"/>
    <row r="3440" ht="18" customHeight="1" s="17"/>
    <row r="3441" ht="18" customHeight="1" s="17"/>
    <row r="3442" ht="18" customHeight="1" s="17"/>
    <row r="3443" ht="18" customHeight="1" s="17"/>
    <row r="3444" ht="18" customHeight="1" s="17"/>
    <row r="3445" ht="18" customHeight="1" s="17"/>
    <row r="3446" ht="18" customHeight="1" s="17"/>
    <row r="3447" ht="18" customHeight="1" s="17"/>
    <row r="3448" ht="18" customHeight="1" s="17"/>
    <row r="3449" ht="18" customHeight="1" s="17"/>
    <row r="3450" ht="18" customHeight="1" s="17"/>
    <row r="3451" ht="18" customHeight="1" s="17"/>
    <row r="3452" ht="18" customHeight="1" s="17"/>
    <row r="3453" ht="18" customHeight="1" s="17"/>
    <row r="3454" ht="18" customHeight="1" s="17"/>
    <row r="3455" ht="18" customHeight="1" s="17"/>
    <row r="3456" ht="18" customHeight="1" s="17"/>
    <row r="3457" ht="18" customHeight="1" s="17"/>
    <row r="3458" ht="18" customHeight="1" s="17"/>
    <row r="3459" ht="18" customHeight="1" s="17"/>
    <row r="3460" ht="18" customHeight="1" s="17"/>
    <row r="3461" ht="18" customHeight="1" s="17"/>
    <row r="3462" ht="18" customHeight="1" s="17"/>
    <row r="3463" ht="18" customHeight="1" s="17"/>
    <row r="3464" ht="18" customHeight="1" s="17"/>
    <row r="3465" ht="18" customHeight="1" s="17"/>
    <row r="3466" ht="18" customHeight="1" s="17"/>
    <row r="3467" ht="18" customHeight="1" s="17"/>
    <row r="3468" ht="18" customHeight="1" s="17"/>
    <row r="3469" ht="18" customHeight="1" s="17"/>
    <row r="3470" ht="18" customHeight="1" s="17"/>
    <row r="3471" ht="18" customHeight="1" s="17"/>
    <row r="3472" ht="18" customHeight="1" s="17"/>
    <row r="3473" ht="18" customHeight="1" s="17"/>
    <row r="3474" ht="18" customHeight="1" s="17"/>
    <row r="3475" ht="18" customHeight="1" s="17"/>
    <row r="3476" ht="18" customHeight="1" s="17"/>
    <row r="3477" ht="18" customHeight="1" s="17"/>
    <row r="3478" ht="18" customHeight="1" s="17"/>
    <row r="3479" ht="18" customHeight="1" s="17"/>
    <row r="3480" ht="18" customHeight="1" s="17"/>
    <row r="3481" ht="18" customHeight="1" s="17"/>
    <row r="3482" ht="18" customHeight="1" s="17"/>
    <row r="3483" ht="18" customHeight="1" s="17"/>
    <row r="3484" ht="18" customHeight="1" s="17"/>
    <row r="3485" ht="18" customHeight="1" s="17"/>
    <row r="3486" ht="18" customHeight="1" s="17"/>
    <row r="3487" ht="18" customHeight="1" s="17"/>
    <row r="3488" ht="18" customHeight="1" s="17"/>
    <row r="3489" ht="18" customHeight="1" s="17"/>
    <row r="3490" ht="18" customHeight="1" s="17"/>
    <row r="3491" ht="18" customHeight="1" s="17"/>
    <row r="3492" ht="18" customHeight="1" s="17"/>
    <row r="3493" ht="18" customHeight="1" s="17"/>
    <row r="3494" ht="18" customHeight="1" s="17"/>
    <row r="3495" ht="18" customHeight="1" s="17"/>
    <row r="3496" ht="18" customHeight="1" s="17"/>
    <row r="3497" ht="18" customHeight="1" s="17"/>
    <row r="3498" ht="18" customHeight="1" s="17"/>
    <row r="3499" ht="18" customHeight="1" s="17"/>
    <row r="3500" ht="18" customHeight="1" s="17"/>
    <row r="3501" ht="18" customHeight="1" s="17"/>
    <row r="3502" ht="18" customHeight="1" s="17"/>
    <row r="3503" ht="18" customHeight="1" s="17"/>
    <row r="3504" ht="18" customHeight="1" s="17"/>
    <row r="3505" ht="18" customHeight="1" s="17"/>
    <row r="3506" ht="18" customHeight="1" s="17"/>
    <row r="3507" ht="18" customHeight="1" s="17"/>
    <row r="3508" ht="18" customHeight="1" s="17"/>
    <row r="3509" ht="18" customHeight="1" s="17"/>
    <row r="3510" ht="18" customHeight="1" s="17"/>
    <row r="3511" ht="18" customHeight="1" s="17"/>
    <row r="3512" ht="18" customHeight="1" s="17"/>
    <row r="3513" ht="18" customHeight="1" s="17"/>
    <row r="3514" ht="18" customHeight="1" s="17"/>
    <row r="3515" ht="18" customHeight="1" s="17"/>
    <row r="3516" ht="18" customHeight="1" s="17"/>
    <row r="3517" ht="18" customHeight="1" s="17"/>
    <row r="3518" ht="18" customHeight="1" s="17"/>
    <row r="3519" ht="18" customHeight="1" s="17"/>
    <row r="3520" ht="18" customHeight="1" s="17"/>
    <row r="3521" ht="18" customHeight="1" s="17"/>
    <row r="3522" ht="18" customHeight="1" s="17"/>
    <row r="3523" ht="18" customHeight="1" s="17"/>
    <row r="3524" ht="18" customHeight="1" s="17"/>
    <row r="3525" ht="18" customHeight="1" s="17"/>
    <row r="3526" ht="18" customHeight="1" s="17"/>
    <row r="3527" ht="18" customHeight="1" s="17"/>
    <row r="3528" ht="18" customHeight="1" s="17"/>
    <row r="3529" ht="18" customHeight="1" s="17"/>
    <row r="3530" ht="18" customHeight="1" s="17"/>
    <row r="3531" ht="18" customHeight="1" s="17"/>
    <row r="3532" ht="18" customHeight="1" s="17"/>
    <row r="3533" ht="18" customHeight="1" s="17"/>
    <row r="3534" ht="18" customHeight="1" s="17"/>
    <row r="3535" ht="18" customHeight="1" s="17"/>
    <row r="3536" ht="18" customHeight="1" s="17"/>
    <row r="3537" ht="18" customHeight="1" s="17"/>
    <row r="3538" ht="18" customHeight="1" s="17"/>
    <row r="3539" ht="18" customHeight="1" s="17"/>
    <row r="3540" ht="18" customHeight="1" s="17"/>
    <row r="3541" ht="18" customHeight="1" s="17"/>
    <row r="3542" ht="18" customHeight="1" s="17"/>
    <row r="3543" ht="18" customHeight="1" s="17"/>
    <row r="3544" ht="18" customHeight="1" s="17"/>
    <row r="3545" ht="18" customHeight="1" s="17"/>
    <row r="3546" ht="18" customHeight="1" s="17"/>
    <row r="3547" ht="18" customHeight="1" s="17"/>
    <row r="3548" ht="18" customHeight="1" s="17"/>
    <row r="3549" ht="18" customHeight="1" s="17"/>
    <row r="3550" ht="18" customHeight="1" s="17"/>
    <row r="3551" ht="18" customHeight="1" s="17"/>
    <row r="3552" ht="18" customHeight="1" s="17"/>
    <row r="3553" ht="18" customHeight="1" s="17"/>
    <row r="3554" ht="18" customHeight="1" s="17"/>
    <row r="3555" ht="18" customHeight="1" s="17"/>
    <row r="3556" ht="18" customHeight="1" s="17"/>
    <row r="3557" ht="18" customHeight="1" s="17"/>
    <row r="3558" ht="18" customHeight="1" s="17"/>
    <row r="3559" ht="18" customHeight="1" s="17"/>
    <row r="3560" ht="18" customHeight="1" s="17"/>
    <row r="3561" ht="18" customHeight="1" s="17"/>
    <row r="3562" ht="18" customHeight="1" s="17"/>
    <row r="3563" ht="18" customHeight="1" s="17"/>
    <row r="3564" ht="18" customHeight="1" s="17"/>
    <row r="3565" ht="18" customHeight="1" s="17"/>
    <row r="3566" ht="18" customHeight="1" s="17"/>
    <row r="3567" ht="18" customHeight="1" s="17"/>
    <row r="3568" ht="18" customHeight="1" s="17"/>
    <row r="3569" ht="18" customHeight="1" s="17"/>
    <row r="3570" ht="18" customHeight="1" s="17"/>
    <row r="3571" ht="18" customHeight="1" s="17"/>
    <row r="3572" ht="18" customHeight="1" s="17"/>
    <row r="3573" ht="18" customHeight="1" s="17"/>
    <row r="3574" ht="18" customHeight="1" s="17"/>
    <row r="3575" ht="18" customHeight="1" s="17"/>
    <row r="3576" ht="18" customHeight="1" s="17"/>
    <row r="3577" ht="18" customHeight="1" s="17"/>
    <row r="3578" ht="18" customHeight="1" s="17"/>
    <row r="3579" ht="18" customHeight="1" s="17"/>
    <row r="3580" ht="18" customHeight="1" s="17"/>
    <row r="3581" ht="18" customHeight="1" s="17"/>
    <row r="3582" ht="18" customHeight="1" s="17"/>
    <row r="3583" ht="18" customHeight="1" s="17"/>
    <row r="3584" ht="18" customHeight="1" s="17"/>
    <row r="3585" ht="18" customHeight="1" s="17"/>
    <row r="3586" ht="18" customHeight="1" s="17"/>
    <row r="3587" ht="18" customHeight="1" s="17"/>
    <row r="3588" ht="18" customHeight="1" s="17"/>
    <row r="3589" ht="18" customHeight="1" s="17"/>
    <row r="3590" ht="18" customHeight="1" s="17"/>
    <row r="3591" ht="18" customHeight="1" s="17"/>
    <row r="3592" ht="18" customHeight="1" s="17"/>
    <row r="3593" ht="18" customHeight="1" s="17"/>
    <row r="3594" ht="18" customHeight="1" s="17"/>
    <row r="3595" ht="18" customHeight="1" s="17"/>
    <row r="3596" ht="18" customHeight="1" s="17"/>
    <row r="3597" ht="18" customHeight="1" s="17"/>
    <row r="3598" ht="18" customHeight="1" s="17"/>
    <row r="3599" ht="18" customHeight="1" s="17"/>
    <row r="3600" ht="18" customHeight="1" s="17"/>
    <row r="3601" ht="18" customHeight="1" s="17"/>
    <row r="3602" ht="18" customHeight="1" s="17"/>
    <row r="3603" ht="18" customHeight="1" s="17"/>
    <row r="3604" ht="18" customHeight="1" s="17"/>
    <row r="3605" ht="18" customHeight="1" s="17"/>
    <row r="3606" ht="18" customHeight="1" s="17"/>
    <row r="3607" ht="18" customHeight="1" s="17"/>
    <row r="3608" ht="18" customHeight="1" s="17"/>
    <row r="3609" ht="18" customHeight="1" s="17"/>
    <row r="3610" ht="18" customHeight="1" s="17"/>
    <row r="3611" ht="18" customHeight="1" s="17"/>
    <row r="3612" ht="18" customHeight="1" s="17"/>
    <row r="3613" ht="18" customHeight="1" s="17"/>
    <row r="3614" ht="18" customHeight="1" s="17"/>
    <row r="3615" ht="18" customHeight="1" s="17"/>
    <row r="3616" ht="18" customHeight="1" s="17"/>
    <row r="3617" ht="18" customHeight="1" s="17"/>
    <row r="3618" ht="18" customHeight="1" s="17"/>
    <row r="3619" ht="18" customHeight="1" s="17"/>
    <row r="3620" ht="18" customHeight="1" s="17"/>
    <row r="3621" ht="18" customHeight="1" s="17"/>
    <row r="3622" ht="18" customHeight="1" s="17"/>
    <row r="3623" ht="18" customHeight="1" s="17"/>
    <row r="3624" ht="18" customHeight="1" s="17"/>
    <row r="3625" ht="18" customHeight="1" s="17"/>
    <row r="3626" ht="18" customHeight="1" s="17"/>
    <row r="3627" ht="18" customHeight="1" s="17"/>
    <row r="3628" ht="18" customHeight="1" s="17"/>
    <row r="3629" ht="18" customHeight="1" s="17"/>
    <row r="3630" ht="18" customHeight="1" s="17"/>
    <row r="3631" ht="18" customHeight="1" s="17"/>
    <row r="3632" ht="18" customHeight="1" s="17"/>
    <row r="3633" ht="18" customHeight="1" s="17"/>
    <row r="3634" ht="18" customHeight="1" s="17"/>
    <row r="3635" ht="18" customHeight="1" s="17"/>
    <row r="3636" ht="18" customHeight="1" s="17"/>
    <row r="3637" ht="18" customHeight="1" s="17"/>
    <row r="3638" ht="18" customHeight="1" s="17"/>
    <row r="3639" ht="18" customHeight="1" s="17"/>
    <row r="3640" ht="18" customHeight="1" s="17"/>
    <row r="3641" ht="18" customHeight="1" s="17"/>
    <row r="3642" ht="18" customHeight="1" s="17"/>
    <row r="3643" ht="18" customHeight="1" s="17"/>
    <row r="3644" ht="18" customHeight="1" s="17"/>
    <row r="3645" ht="18" customHeight="1" s="17"/>
    <row r="3646" ht="18" customHeight="1" s="17"/>
    <row r="3647" ht="18" customHeight="1" s="17"/>
    <row r="3648" ht="18" customHeight="1" s="17"/>
    <row r="3649" ht="18" customHeight="1" s="17"/>
    <row r="3650" ht="18" customHeight="1" s="17"/>
    <row r="3651" ht="18" customHeight="1" s="17"/>
    <row r="3652" ht="18" customHeight="1" s="17"/>
    <row r="3653" ht="18" customHeight="1" s="17"/>
    <row r="3654" ht="18" customHeight="1" s="17"/>
    <row r="3655" ht="18" customHeight="1" s="17"/>
    <row r="3656" ht="18" customHeight="1" s="17"/>
    <row r="3657" ht="18" customHeight="1" s="17"/>
    <row r="3658" ht="18" customHeight="1" s="17"/>
    <row r="3659" ht="18" customHeight="1" s="17"/>
    <row r="3660" ht="18" customHeight="1" s="17"/>
    <row r="3661" ht="18" customHeight="1" s="17"/>
    <row r="3662" ht="18" customHeight="1" s="17"/>
    <row r="3663" ht="18" customHeight="1" s="17"/>
    <row r="3664" ht="18" customHeight="1" s="17"/>
    <row r="3665" ht="18" customHeight="1" s="17"/>
    <row r="3666" ht="18" customHeight="1" s="17"/>
    <row r="3667" ht="18" customHeight="1" s="17"/>
    <row r="3668" ht="18" customHeight="1" s="17"/>
    <row r="3669" ht="18" customHeight="1" s="17"/>
    <row r="3670" ht="18" customHeight="1" s="17"/>
    <row r="3671" ht="18" customHeight="1" s="17"/>
    <row r="3672" ht="18" customHeight="1" s="17"/>
    <row r="3673" ht="18" customHeight="1" s="17"/>
    <row r="3674" ht="18" customHeight="1" s="17"/>
    <row r="3675" ht="18" customHeight="1" s="17"/>
    <row r="3676" ht="18" customHeight="1" s="17"/>
    <row r="3677" ht="18" customHeight="1" s="17"/>
    <row r="3678" ht="18" customHeight="1" s="17"/>
    <row r="3679" ht="18" customHeight="1" s="17"/>
    <row r="3680" ht="18" customHeight="1" s="17"/>
    <row r="3681" ht="18" customHeight="1" s="17"/>
    <row r="3682" ht="18" customHeight="1" s="17"/>
    <row r="3683" ht="18" customHeight="1" s="17"/>
    <row r="3684" ht="18" customHeight="1" s="17"/>
    <row r="3685" ht="18" customHeight="1" s="17"/>
    <row r="3686" ht="18" customHeight="1" s="17"/>
    <row r="3687" ht="18" customHeight="1" s="17"/>
    <row r="3688" ht="18" customHeight="1" s="17"/>
    <row r="3689" ht="18" customHeight="1" s="17"/>
    <row r="3690" ht="18" customHeight="1" s="17"/>
    <row r="3691" ht="18" customHeight="1" s="17"/>
    <row r="3692" ht="18" customHeight="1" s="17"/>
    <row r="3693" ht="18" customHeight="1" s="17"/>
    <row r="3694" ht="18" customHeight="1" s="17"/>
    <row r="3695" ht="18" customHeight="1" s="17"/>
    <row r="3696" ht="18" customHeight="1" s="17"/>
    <row r="3697" ht="18" customHeight="1" s="17"/>
    <row r="3698" ht="18" customHeight="1" s="17"/>
    <row r="3699" ht="18" customHeight="1" s="17"/>
    <row r="3700" ht="18" customHeight="1" s="17"/>
    <row r="3701" ht="18" customHeight="1" s="17"/>
    <row r="3702" ht="18" customHeight="1" s="17"/>
    <row r="3703" ht="18" customHeight="1" s="17"/>
    <row r="3704" ht="18" customHeight="1" s="17"/>
    <row r="3705" ht="18" customHeight="1" s="17"/>
    <row r="3706" ht="18" customHeight="1" s="17"/>
    <row r="3707" ht="18" customHeight="1" s="17"/>
    <row r="3708" ht="18" customHeight="1" s="17"/>
    <row r="3709" ht="18" customHeight="1" s="17"/>
    <row r="3710" ht="18" customHeight="1" s="17"/>
    <row r="3711" ht="18" customHeight="1" s="17"/>
    <row r="3712" ht="18" customHeight="1" s="17"/>
    <row r="3713" ht="18" customHeight="1" s="17"/>
    <row r="3714" ht="18" customHeight="1" s="17"/>
    <row r="3715" ht="18" customHeight="1" s="17"/>
    <row r="3716" ht="18" customHeight="1" s="17"/>
    <row r="3717" ht="18" customHeight="1" s="17"/>
    <row r="3718" ht="18" customHeight="1" s="17"/>
    <row r="3719" ht="18" customHeight="1" s="17"/>
    <row r="3720" ht="18" customHeight="1" s="17"/>
    <row r="3721" ht="18" customHeight="1" s="17"/>
    <row r="3722" ht="18" customHeight="1" s="17"/>
    <row r="3723" ht="18" customHeight="1" s="17"/>
    <row r="3724" ht="18" customHeight="1" s="17"/>
    <row r="3725" ht="18" customHeight="1" s="17"/>
    <row r="3726" ht="18" customHeight="1" s="17"/>
    <row r="3727" ht="18" customHeight="1" s="17"/>
    <row r="3728" ht="18" customHeight="1" s="17"/>
    <row r="3729" ht="18" customHeight="1" s="17"/>
    <row r="3730" ht="18" customHeight="1" s="17"/>
    <row r="3731" ht="18" customHeight="1" s="17"/>
    <row r="3732" ht="18" customHeight="1" s="17"/>
    <row r="3733" ht="18" customHeight="1" s="17"/>
    <row r="3734" ht="18" customHeight="1" s="17"/>
    <row r="3735" ht="18" customHeight="1" s="17"/>
    <row r="3736" ht="18" customHeight="1" s="17"/>
    <row r="3737" ht="18" customHeight="1" s="17"/>
    <row r="3738" ht="18" customHeight="1" s="17"/>
    <row r="3739" ht="18" customHeight="1" s="17"/>
    <row r="3740" ht="18" customHeight="1" s="17"/>
    <row r="3741" ht="18" customHeight="1" s="17"/>
    <row r="3742" ht="18" customHeight="1" s="17"/>
    <row r="3743" ht="18" customHeight="1" s="17"/>
    <row r="3744" ht="18" customHeight="1" s="17"/>
    <row r="3745" ht="18" customHeight="1" s="17"/>
    <row r="3746" ht="18" customHeight="1" s="17"/>
    <row r="3747" ht="18" customHeight="1" s="17"/>
    <row r="3748" ht="18" customHeight="1" s="17"/>
    <row r="3749" ht="18" customHeight="1" s="17"/>
    <row r="3750" ht="18" customHeight="1" s="17"/>
    <row r="3751" ht="18" customHeight="1" s="17"/>
    <row r="3752" ht="18" customHeight="1" s="17"/>
    <row r="3753" ht="18" customHeight="1" s="17"/>
    <row r="3754" ht="18" customHeight="1" s="17"/>
    <row r="3755" ht="18" customHeight="1" s="17"/>
    <row r="3756" ht="18" customHeight="1" s="17"/>
    <row r="3757" ht="18" customHeight="1" s="17"/>
    <row r="3758" ht="18" customHeight="1" s="17"/>
    <row r="3759" ht="18" customHeight="1" s="17"/>
    <row r="3760" ht="18" customHeight="1" s="17"/>
    <row r="3761" ht="18" customHeight="1" s="17"/>
    <row r="3762" ht="18" customHeight="1" s="17"/>
    <row r="3763" ht="18" customHeight="1" s="17"/>
    <row r="3764" ht="18" customHeight="1" s="17"/>
    <row r="3765" ht="18" customHeight="1" s="17"/>
    <row r="3766" ht="18" customHeight="1" s="17"/>
    <row r="3767" ht="18" customHeight="1" s="17"/>
    <row r="3768" ht="18" customHeight="1" s="17"/>
    <row r="3769" ht="18" customHeight="1" s="17"/>
    <row r="3770" ht="18" customHeight="1" s="17"/>
    <row r="3771" ht="18" customHeight="1" s="17"/>
    <row r="3772" ht="18" customHeight="1" s="17"/>
    <row r="3773" ht="18" customHeight="1" s="17"/>
    <row r="3774" ht="18" customHeight="1" s="17"/>
    <row r="3775" ht="18" customHeight="1" s="17"/>
    <row r="3776" ht="18" customHeight="1" s="17"/>
    <row r="3777" ht="18" customHeight="1" s="17"/>
    <row r="3778" ht="18" customHeight="1" s="17"/>
    <row r="3779" ht="18" customHeight="1" s="17"/>
    <row r="3780" ht="18" customHeight="1" s="17"/>
    <row r="3781" ht="18" customHeight="1" s="17"/>
    <row r="3782" ht="18" customHeight="1" s="17"/>
    <row r="3783" ht="18" customHeight="1" s="17"/>
    <row r="3784" ht="18" customHeight="1" s="17"/>
    <row r="3785" ht="18" customHeight="1" s="17"/>
    <row r="3786" ht="18" customHeight="1" s="17"/>
    <row r="3787" ht="18" customHeight="1" s="17"/>
    <row r="3788" ht="18" customHeight="1" s="17"/>
    <row r="3789" ht="18" customHeight="1" s="17"/>
    <row r="3790" ht="18" customHeight="1" s="17"/>
    <row r="3791" ht="18" customHeight="1" s="17"/>
    <row r="3792" ht="18" customHeight="1" s="17"/>
    <row r="3793" ht="18" customHeight="1" s="17"/>
    <row r="3794" ht="18" customHeight="1" s="17"/>
    <row r="3795" ht="18" customHeight="1" s="17"/>
    <row r="3796" ht="18" customHeight="1" s="17"/>
    <row r="3797" ht="18" customHeight="1" s="17"/>
    <row r="3798" ht="18" customHeight="1" s="17"/>
    <row r="3799" ht="18" customHeight="1" s="17"/>
    <row r="3800" ht="18" customHeight="1" s="17"/>
    <row r="3801" ht="18" customHeight="1" s="17"/>
    <row r="3802" ht="18" customHeight="1" s="17"/>
    <row r="3803" ht="18" customHeight="1" s="17"/>
    <row r="3804" ht="18" customHeight="1" s="17"/>
    <row r="3805" ht="18" customHeight="1" s="17"/>
    <row r="3806" ht="18" customHeight="1" s="17"/>
    <row r="3807" ht="18" customHeight="1" s="17"/>
    <row r="3808" ht="18" customHeight="1" s="17"/>
    <row r="3809" ht="18" customHeight="1" s="17"/>
    <row r="3810" ht="18" customHeight="1" s="17"/>
    <row r="3811" ht="18" customHeight="1" s="17"/>
    <row r="3812" ht="18" customHeight="1" s="17"/>
    <row r="3813" ht="18" customHeight="1" s="17"/>
    <row r="3814" ht="18" customHeight="1" s="17"/>
    <row r="3815" ht="18" customHeight="1" s="17"/>
    <row r="3816" ht="18" customHeight="1" s="17"/>
    <row r="3817" ht="18" customHeight="1" s="17"/>
    <row r="3818" ht="18" customHeight="1" s="17"/>
    <row r="3819" ht="18" customHeight="1" s="17"/>
    <row r="3820" ht="18" customHeight="1" s="17"/>
    <row r="3821" ht="18" customHeight="1" s="17"/>
    <row r="3822" ht="18" customHeight="1" s="17"/>
    <row r="3823" ht="18" customHeight="1" s="17"/>
    <row r="3824" ht="18" customHeight="1" s="17"/>
    <row r="3825" ht="18" customHeight="1" s="17"/>
    <row r="3826" ht="18" customHeight="1" s="17"/>
    <row r="3827" ht="18" customHeight="1" s="17"/>
    <row r="3828" ht="18" customHeight="1" s="17"/>
    <row r="3829" ht="18" customHeight="1" s="17"/>
    <row r="3830" ht="18" customHeight="1" s="17"/>
    <row r="3831" ht="18" customHeight="1" s="17"/>
    <row r="3832" ht="18" customHeight="1" s="17"/>
    <row r="3833" ht="18" customHeight="1" s="17"/>
    <row r="3834" ht="18" customHeight="1" s="17"/>
    <row r="3835" ht="18" customHeight="1" s="17"/>
    <row r="3836" ht="18" customHeight="1" s="17"/>
    <row r="3837" ht="18" customHeight="1" s="17"/>
    <row r="3838" ht="18" customHeight="1" s="17"/>
    <row r="3839" ht="18" customHeight="1" s="17"/>
    <row r="3840" ht="18" customHeight="1" s="17"/>
    <row r="3841" ht="18" customHeight="1" s="17"/>
    <row r="3842" ht="18" customHeight="1" s="17"/>
    <row r="3843" ht="18" customHeight="1" s="17"/>
    <row r="3844" ht="18" customHeight="1" s="17"/>
    <row r="3845" ht="18" customHeight="1" s="17"/>
    <row r="3846" ht="18" customHeight="1" s="17"/>
    <row r="3847" ht="18" customHeight="1" s="17"/>
    <row r="3848" ht="18" customHeight="1" s="17"/>
    <row r="3849" ht="18" customHeight="1" s="17"/>
    <row r="3850" ht="18" customHeight="1" s="17"/>
    <row r="3851" ht="18" customHeight="1" s="17"/>
    <row r="3852" ht="18" customHeight="1" s="17"/>
    <row r="3853" ht="18" customHeight="1" s="17"/>
    <row r="3854" ht="18" customHeight="1" s="17"/>
    <row r="3855" ht="18" customHeight="1" s="17"/>
    <row r="3856" ht="18" customHeight="1" s="17"/>
    <row r="3857" ht="18" customHeight="1" s="17"/>
    <row r="3858" ht="18" customHeight="1" s="17"/>
    <row r="3859" ht="18" customHeight="1" s="17"/>
    <row r="3860" ht="18" customHeight="1" s="17"/>
    <row r="3861" ht="18" customHeight="1" s="17"/>
    <row r="3862" ht="18" customHeight="1" s="17"/>
    <row r="3863" ht="18" customHeight="1" s="17"/>
    <row r="3864" ht="18" customHeight="1" s="17"/>
    <row r="3865" ht="18" customHeight="1" s="17"/>
    <row r="3866" ht="18" customHeight="1" s="17"/>
    <row r="3867" ht="18" customHeight="1" s="17"/>
    <row r="3868" ht="18" customHeight="1" s="17"/>
    <row r="3869" ht="18" customHeight="1" s="17"/>
    <row r="3870" ht="18" customHeight="1" s="17"/>
    <row r="3871" ht="18" customHeight="1" s="17"/>
    <row r="3872" ht="18" customHeight="1" s="17"/>
    <row r="3873" ht="18" customHeight="1" s="17"/>
    <row r="3874" ht="18" customHeight="1" s="17"/>
    <row r="3875" ht="18" customHeight="1" s="17"/>
    <row r="3876" ht="18" customHeight="1" s="17"/>
    <row r="3877" ht="18" customHeight="1" s="17"/>
    <row r="3878" ht="18" customHeight="1" s="17"/>
    <row r="3879" ht="18" customHeight="1" s="17"/>
    <row r="3880" ht="18" customHeight="1" s="17"/>
    <row r="3881" ht="18" customHeight="1" s="17"/>
    <row r="3882" ht="18" customHeight="1" s="17"/>
    <row r="3883" ht="18" customHeight="1" s="17"/>
    <row r="3884" ht="18" customHeight="1" s="17"/>
    <row r="3885" ht="18" customHeight="1" s="17"/>
    <row r="3886" ht="18" customHeight="1" s="17"/>
    <row r="3887" ht="18" customHeight="1" s="17"/>
    <row r="3888" ht="18" customHeight="1" s="17"/>
    <row r="3889" ht="18" customHeight="1" s="17"/>
    <row r="3890" ht="18" customHeight="1" s="17"/>
    <row r="3891" ht="18" customHeight="1" s="17"/>
    <row r="3892" ht="18" customHeight="1" s="17"/>
    <row r="3893" ht="18" customHeight="1" s="17"/>
    <row r="3894" ht="18" customHeight="1" s="17"/>
    <row r="3895" ht="18" customHeight="1" s="17"/>
    <row r="3896" ht="18" customHeight="1" s="17"/>
    <row r="3897" ht="18" customHeight="1" s="17"/>
    <row r="3898" ht="18" customHeight="1" s="17"/>
    <row r="3899" ht="18" customHeight="1" s="17"/>
    <row r="3900" ht="18" customHeight="1" s="17"/>
    <row r="3901" ht="18" customHeight="1" s="17"/>
    <row r="3902" ht="18" customHeight="1" s="17"/>
    <row r="3903" ht="18" customHeight="1" s="17"/>
    <row r="3904" ht="18" customHeight="1" s="17"/>
    <row r="3905" ht="18" customHeight="1" s="17"/>
    <row r="3906" ht="18" customHeight="1" s="17"/>
    <row r="3907" ht="18" customHeight="1" s="17"/>
    <row r="3908" ht="18" customHeight="1" s="17"/>
    <row r="3909" ht="18" customHeight="1" s="17"/>
    <row r="3910" ht="18" customHeight="1" s="17"/>
    <row r="3911" ht="18" customHeight="1" s="17"/>
    <row r="3912" ht="18" customHeight="1" s="17"/>
    <row r="3913" ht="18" customHeight="1" s="17"/>
    <row r="3914" ht="18" customHeight="1" s="17"/>
    <row r="3915" ht="18" customHeight="1" s="17"/>
    <row r="3916" ht="18" customHeight="1" s="17"/>
    <row r="3917" ht="18" customHeight="1" s="17"/>
    <row r="3918" ht="18" customHeight="1" s="17"/>
    <row r="3919" ht="18" customHeight="1" s="17"/>
    <row r="3920" ht="18" customHeight="1" s="17"/>
    <row r="3921" ht="18" customHeight="1" s="17"/>
    <row r="3922" ht="18" customHeight="1" s="17"/>
    <row r="3923" ht="18" customHeight="1" s="17"/>
    <row r="3924" ht="18" customHeight="1" s="17"/>
    <row r="3925" ht="18" customHeight="1" s="17"/>
    <row r="3926" ht="18" customHeight="1" s="17"/>
    <row r="3927" ht="18" customHeight="1" s="17"/>
    <row r="3928" ht="18" customHeight="1" s="17"/>
    <row r="3929" ht="18" customHeight="1" s="17"/>
    <row r="3930" ht="18" customHeight="1" s="17"/>
    <row r="3931" ht="18" customHeight="1" s="17"/>
    <row r="3932" ht="18" customHeight="1" s="17"/>
    <row r="3933" ht="18" customHeight="1" s="17"/>
    <row r="3934" ht="18" customHeight="1" s="17"/>
    <row r="3935" ht="18" customHeight="1" s="17"/>
    <row r="3936" ht="18" customHeight="1" s="17"/>
    <row r="3937" ht="18" customHeight="1" s="17"/>
    <row r="3938" ht="18" customHeight="1" s="17"/>
    <row r="3939" ht="18" customHeight="1" s="17"/>
    <row r="3940" ht="18" customHeight="1" s="17"/>
    <row r="3941" ht="18" customHeight="1" s="17"/>
    <row r="3942" ht="18" customHeight="1" s="17"/>
    <row r="3943" ht="18" customHeight="1" s="17"/>
    <row r="3944" ht="18" customHeight="1" s="17"/>
    <row r="3945" ht="18" customHeight="1" s="17"/>
    <row r="3946" ht="18" customHeight="1" s="17"/>
    <row r="3947" ht="18" customHeight="1" s="17"/>
    <row r="3948" ht="18" customHeight="1" s="17"/>
    <row r="3949" ht="18" customHeight="1" s="17"/>
    <row r="3950" ht="18" customHeight="1" s="17"/>
    <row r="3951" ht="18" customHeight="1" s="17"/>
    <row r="3952" ht="18" customHeight="1" s="17"/>
    <row r="3953" ht="18" customHeight="1" s="17"/>
    <row r="3954" ht="18" customHeight="1" s="17"/>
    <row r="3955" ht="18" customHeight="1" s="17"/>
    <row r="3956" ht="18" customHeight="1" s="17"/>
    <row r="3957" ht="18" customHeight="1" s="17"/>
    <row r="3958" ht="18" customHeight="1" s="17"/>
    <row r="3959" ht="18" customHeight="1" s="17"/>
    <row r="3960" ht="18" customHeight="1" s="17"/>
    <row r="3961" ht="18" customHeight="1" s="17"/>
    <row r="3962" ht="18" customHeight="1" s="17"/>
    <row r="3963" ht="18" customHeight="1" s="17"/>
    <row r="3964" ht="18" customHeight="1" s="17"/>
    <row r="3965" ht="18" customHeight="1" s="17"/>
    <row r="3966" ht="18" customHeight="1" s="17"/>
    <row r="3967" ht="18" customHeight="1" s="17"/>
    <row r="3968" ht="18" customHeight="1" s="17"/>
    <row r="3969" ht="18" customHeight="1" s="17"/>
    <row r="3970" ht="18" customHeight="1" s="17"/>
    <row r="3971" ht="18" customHeight="1" s="17"/>
    <row r="3972" ht="18" customHeight="1" s="17"/>
    <row r="3973" ht="18" customHeight="1" s="17"/>
    <row r="3974" ht="18" customHeight="1" s="17"/>
    <row r="3975" ht="18" customHeight="1" s="17"/>
    <row r="3976" ht="18" customHeight="1" s="17"/>
    <row r="3977" ht="18" customHeight="1" s="17"/>
    <row r="3978" ht="18" customHeight="1" s="17"/>
    <row r="3979" ht="18" customHeight="1" s="17"/>
    <row r="3980" ht="18" customHeight="1" s="17"/>
    <row r="3981" ht="18" customHeight="1" s="17"/>
    <row r="3982" ht="18" customHeight="1" s="17"/>
    <row r="3983" ht="18" customHeight="1" s="17"/>
    <row r="3984" ht="18" customHeight="1" s="17"/>
    <row r="3985" ht="18" customHeight="1" s="17"/>
    <row r="3986" ht="18" customHeight="1" s="17"/>
    <row r="3987" ht="18" customHeight="1" s="17"/>
    <row r="3988" ht="18" customHeight="1" s="17"/>
    <row r="3989" ht="18" customHeight="1" s="17"/>
    <row r="3990" ht="18" customHeight="1" s="17"/>
    <row r="3991" ht="18" customHeight="1" s="17"/>
    <row r="3992" ht="18" customHeight="1" s="17"/>
    <row r="3993" ht="18" customHeight="1" s="17"/>
    <row r="3994" ht="18" customHeight="1" s="17"/>
    <row r="3995" ht="18" customHeight="1" s="17"/>
    <row r="3996" ht="18" customHeight="1" s="17"/>
    <row r="3997" ht="18" customHeight="1" s="17"/>
    <row r="3998" ht="18" customHeight="1" s="17"/>
    <row r="3999" ht="18" customHeight="1" s="17"/>
    <row r="4000" ht="18" customHeight="1" s="17"/>
    <row r="4001" ht="18" customHeight="1" s="17"/>
    <row r="4002" ht="18" customHeight="1" s="17"/>
    <row r="4003" ht="18" customHeight="1" s="17"/>
    <row r="4004" ht="18" customHeight="1" s="17"/>
    <row r="4005" ht="18" customHeight="1" s="17"/>
    <row r="4006" ht="18" customHeight="1" s="17"/>
    <row r="4007" ht="18" customHeight="1" s="17"/>
    <row r="4008" ht="18" customHeight="1" s="17"/>
    <row r="4009" ht="18" customHeight="1" s="17"/>
    <row r="4010" ht="18" customHeight="1" s="17"/>
    <row r="4011" ht="18" customHeight="1" s="17"/>
    <row r="4012" ht="18" customHeight="1" s="17"/>
    <row r="4013" ht="18" customHeight="1" s="17"/>
    <row r="4014" ht="18" customHeight="1" s="17"/>
    <row r="4015" ht="18" customHeight="1" s="17"/>
    <row r="4016" ht="18" customHeight="1" s="17"/>
    <row r="4017" ht="18" customHeight="1" s="17"/>
    <row r="4018" ht="18" customHeight="1" s="17"/>
    <row r="4019" ht="18" customHeight="1" s="17"/>
    <row r="4020" ht="18" customHeight="1" s="17"/>
    <row r="4021" ht="18" customHeight="1" s="17"/>
    <row r="4022" ht="18" customHeight="1" s="17"/>
    <row r="4023" ht="18" customHeight="1" s="17"/>
    <row r="4024" ht="18" customHeight="1" s="17"/>
    <row r="4025" ht="18" customHeight="1" s="17"/>
    <row r="4026" ht="18" customHeight="1" s="17"/>
    <row r="4027" ht="18" customHeight="1" s="17"/>
    <row r="4028" ht="18" customHeight="1" s="17"/>
    <row r="4029" ht="18" customHeight="1" s="17"/>
    <row r="4030" ht="18" customHeight="1" s="17"/>
    <row r="4031" ht="18" customHeight="1" s="17"/>
    <row r="4032" ht="18" customHeight="1" s="17"/>
    <row r="4033" ht="18" customHeight="1" s="17"/>
    <row r="4034" ht="18" customHeight="1" s="17"/>
    <row r="4035" ht="18" customHeight="1" s="17"/>
    <row r="4036" ht="18" customHeight="1" s="17"/>
    <row r="4037" ht="18" customHeight="1" s="17"/>
    <row r="4038" ht="18" customHeight="1" s="17"/>
    <row r="4039" ht="18" customHeight="1" s="17"/>
    <row r="4040" ht="18" customHeight="1" s="17"/>
    <row r="4041" ht="18" customHeight="1" s="17"/>
    <row r="4042" ht="18" customHeight="1" s="17"/>
    <row r="4043" ht="18" customHeight="1" s="17"/>
    <row r="4044" ht="18" customHeight="1" s="17"/>
    <row r="4045" ht="18" customHeight="1" s="17"/>
    <row r="4046" ht="18" customHeight="1" s="17"/>
    <row r="4047" ht="18" customHeight="1" s="17"/>
    <row r="4048" ht="18" customHeight="1" s="17"/>
    <row r="4049" ht="18" customHeight="1" s="17"/>
    <row r="4050" ht="18" customHeight="1" s="17"/>
    <row r="4051" ht="18" customHeight="1" s="17"/>
    <row r="4052" ht="18" customHeight="1" s="17"/>
    <row r="4053" ht="18" customHeight="1" s="17"/>
    <row r="4054" ht="18" customHeight="1" s="17"/>
    <row r="4055" ht="18" customHeight="1" s="17"/>
    <row r="4056" ht="18" customHeight="1" s="17"/>
    <row r="4057" ht="18" customHeight="1" s="17"/>
    <row r="4058" ht="18" customHeight="1" s="17"/>
    <row r="4059" ht="18" customHeight="1" s="17"/>
    <row r="4060" ht="18" customHeight="1" s="17"/>
    <row r="4061" ht="18" customHeight="1" s="17"/>
    <row r="4062" ht="18" customHeight="1" s="17"/>
    <row r="4063" ht="18" customHeight="1" s="17"/>
    <row r="4064" ht="18" customHeight="1" s="17"/>
    <row r="4065" ht="18" customHeight="1" s="17"/>
    <row r="4066" ht="18" customHeight="1" s="17"/>
    <row r="4067" ht="18" customHeight="1" s="17"/>
    <row r="4068" ht="18" customHeight="1" s="17"/>
    <row r="4069" ht="18" customHeight="1" s="17"/>
    <row r="4070" ht="18" customHeight="1" s="17"/>
    <row r="4071" ht="18" customHeight="1" s="17"/>
    <row r="4072" ht="18" customHeight="1" s="17"/>
    <row r="4073" ht="18" customHeight="1" s="17"/>
    <row r="4074" ht="18" customHeight="1" s="17"/>
    <row r="4075" ht="18" customHeight="1" s="17"/>
    <row r="4076" ht="18" customHeight="1" s="17"/>
    <row r="4077" ht="18" customHeight="1" s="17"/>
    <row r="4078" ht="18" customHeight="1" s="17"/>
    <row r="4079" ht="18" customHeight="1" s="17"/>
    <row r="4080" ht="18" customHeight="1" s="17"/>
    <row r="4081" ht="18" customHeight="1" s="17"/>
    <row r="4082" ht="18" customHeight="1" s="17"/>
    <row r="4083" ht="18" customHeight="1" s="17"/>
    <row r="4084" ht="18" customHeight="1" s="17"/>
    <row r="4085" ht="18" customHeight="1" s="17"/>
    <row r="4086" ht="18" customHeight="1" s="17"/>
    <row r="4087" ht="18" customHeight="1" s="17"/>
    <row r="4088" ht="18" customHeight="1" s="17"/>
    <row r="4089" ht="18" customHeight="1" s="17"/>
    <row r="4090" ht="18" customHeight="1" s="17"/>
    <row r="4091" ht="18" customHeight="1" s="17"/>
    <row r="4092" ht="18" customHeight="1" s="17"/>
    <row r="4093" ht="18" customHeight="1" s="17"/>
    <row r="4094" ht="18" customHeight="1" s="17"/>
    <row r="4095" ht="18" customHeight="1" s="17"/>
    <row r="4096" ht="18" customHeight="1" s="17"/>
    <row r="4097" ht="18" customHeight="1" s="17"/>
    <row r="4098" ht="18" customHeight="1" s="17"/>
    <row r="4099" ht="18" customHeight="1" s="17"/>
    <row r="4100" ht="18" customHeight="1" s="17"/>
    <row r="4101" ht="18" customHeight="1" s="17"/>
    <row r="4102" ht="18" customHeight="1" s="17"/>
    <row r="4103" ht="18" customHeight="1" s="17"/>
    <row r="4104" ht="18" customHeight="1" s="17"/>
    <row r="4105" ht="18" customHeight="1" s="17"/>
    <row r="4106" ht="18" customHeight="1" s="17"/>
    <row r="4107" ht="18" customHeight="1" s="17"/>
    <row r="4108" ht="18" customHeight="1" s="17"/>
    <row r="4109" ht="18" customHeight="1" s="17"/>
    <row r="4110" ht="18" customHeight="1" s="17"/>
    <row r="4111" ht="18" customHeight="1" s="17"/>
    <row r="4112" ht="18" customHeight="1" s="17"/>
    <row r="4113" ht="18" customHeight="1" s="17"/>
    <row r="4114" ht="18" customHeight="1" s="17"/>
    <row r="4115" ht="18" customHeight="1" s="17"/>
    <row r="4116" ht="18" customHeight="1" s="17"/>
    <row r="4117" ht="18" customHeight="1" s="17"/>
    <row r="4118" ht="18" customHeight="1" s="17"/>
    <row r="4119" ht="18" customHeight="1" s="17"/>
    <row r="4120" ht="18" customHeight="1" s="17"/>
    <row r="4121" ht="18" customHeight="1" s="17"/>
    <row r="4122" ht="18" customHeight="1" s="17"/>
    <row r="4123" ht="18" customHeight="1" s="17"/>
    <row r="4124" ht="18" customHeight="1" s="17"/>
    <row r="4125" ht="18" customHeight="1" s="17"/>
    <row r="4126" ht="18" customHeight="1" s="17"/>
    <row r="4127" ht="18" customHeight="1" s="17"/>
    <row r="4128" ht="18" customHeight="1" s="17"/>
    <row r="4129" ht="18" customHeight="1" s="17"/>
    <row r="4130" ht="18" customHeight="1" s="17"/>
    <row r="4131" ht="18" customHeight="1" s="17"/>
    <row r="4132" ht="18" customHeight="1" s="17"/>
    <row r="4133" ht="18" customHeight="1" s="17"/>
    <row r="4134" ht="18" customHeight="1" s="17"/>
    <row r="4135" ht="18" customHeight="1" s="17"/>
    <row r="4136" ht="18" customHeight="1" s="17"/>
    <row r="4137" ht="18" customHeight="1" s="17"/>
    <row r="4138" ht="18" customHeight="1" s="17"/>
    <row r="4139" ht="18" customHeight="1" s="17"/>
    <row r="4140" ht="18" customHeight="1" s="17"/>
    <row r="4141" ht="18" customHeight="1" s="17"/>
    <row r="4142" ht="18" customHeight="1" s="17"/>
    <row r="4143" ht="18" customHeight="1" s="17"/>
    <row r="4144" ht="18" customHeight="1" s="17"/>
    <row r="4145" ht="18" customHeight="1" s="17"/>
    <row r="4146" ht="18" customHeight="1" s="17"/>
    <row r="4147" ht="18" customHeight="1" s="17"/>
    <row r="4148" ht="18" customHeight="1" s="17"/>
    <row r="4149" ht="18" customHeight="1" s="17"/>
    <row r="4150" ht="18" customHeight="1" s="17"/>
    <row r="4151" ht="18" customHeight="1" s="17"/>
    <row r="4152" ht="18" customHeight="1" s="17"/>
    <row r="4153" ht="18" customHeight="1" s="17"/>
    <row r="4154" ht="18" customHeight="1" s="17"/>
    <row r="4155" ht="18" customHeight="1" s="17"/>
    <row r="4156" ht="18" customHeight="1" s="17"/>
    <row r="4157" ht="18" customHeight="1" s="17"/>
    <row r="4158" ht="18" customHeight="1" s="17"/>
    <row r="4159" ht="18" customHeight="1" s="17"/>
    <row r="4160" ht="18" customHeight="1" s="17"/>
    <row r="4161" ht="18" customHeight="1" s="17"/>
    <row r="4162" ht="18" customHeight="1" s="17"/>
    <row r="4163" ht="18" customHeight="1" s="17"/>
    <row r="4164" ht="18" customHeight="1" s="17"/>
    <row r="4165" ht="18" customHeight="1" s="17"/>
    <row r="4166" ht="18" customHeight="1" s="17"/>
    <row r="4167" ht="18" customHeight="1" s="17"/>
    <row r="4168" ht="18" customHeight="1" s="17"/>
    <row r="4169" ht="18" customHeight="1" s="17"/>
    <row r="4170" ht="18" customHeight="1" s="17"/>
    <row r="4171" ht="18" customHeight="1" s="17"/>
    <row r="4172" ht="18" customHeight="1" s="17"/>
    <row r="4173" ht="18" customHeight="1" s="17"/>
    <row r="4174" ht="18" customHeight="1" s="17"/>
    <row r="4175" ht="18" customHeight="1" s="17"/>
    <row r="4176" ht="18" customHeight="1" s="17"/>
    <row r="4177" ht="18" customHeight="1" s="17"/>
    <row r="4178" ht="18" customHeight="1" s="17"/>
    <row r="4179" ht="18" customHeight="1" s="17"/>
    <row r="4180" ht="18" customHeight="1" s="17"/>
    <row r="4181" ht="18" customHeight="1" s="17"/>
    <row r="4182" ht="18" customHeight="1" s="17"/>
    <row r="4183" ht="18" customHeight="1" s="17"/>
    <row r="4184" ht="18" customHeight="1" s="17"/>
    <row r="4185" ht="18" customHeight="1" s="17"/>
    <row r="4186" ht="18" customHeight="1" s="17"/>
    <row r="4187" ht="18" customHeight="1" s="17"/>
    <row r="4188" ht="18" customHeight="1" s="17"/>
    <row r="4189" ht="18" customHeight="1" s="17"/>
    <row r="4190" ht="18" customHeight="1" s="17"/>
    <row r="4191" ht="18" customHeight="1" s="17"/>
    <row r="4192" ht="18" customHeight="1" s="17"/>
    <row r="4193" ht="18" customHeight="1" s="17"/>
    <row r="4194" ht="18" customHeight="1" s="17"/>
    <row r="4195" ht="18" customHeight="1" s="17"/>
    <row r="4196" ht="18" customHeight="1" s="17"/>
    <row r="4197" ht="18" customHeight="1" s="17"/>
    <row r="4198" ht="18" customHeight="1" s="17"/>
    <row r="4199" ht="18" customHeight="1" s="17"/>
    <row r="4200" ht="18" customHeight="1" s="17"/>
    <row r="4201" ht="18" customHeight="1" s="17"/>
    <row r="4202" ht="18" customHeight="1" s="17"/>
    <row r="4203" ht="18" customHeight="1" s="17"/>
    <row r="4204" ht="18" customHeight="1" s="17"/>
    <row r="4205" ht="18" customHeight="1" s="17"/>
    <row r="4206" ht="18" customHeight="1" s="17"/>
    <row r="4207" ht="18" customHeight="1" s="17"/>
    <row r="4208" ht="18" customHeight="1" s="17"/>
    <row r="4209" ht="18" customHeight="1" s="17"/>
    <row r="4210" ht="18" customHeight="1" s="17"/>
    <row r="4211" ht="18" customHeight="1" s="17"/>
    <row r="4212" ht="18" customHeight="1" s="17"/>
    <row r="4213" ht="18" customHeight="1" s="17"/>
    <row r="4214" ht="18" customHeight="1" s="17"/>
    <row r="4215" ht="18" customHeight="1" s="17"/>
    <row r="4216" ht="18" customHeight="1" s="17"/>
    <row r="4217" ht="18" customHeight="1" s="17"/>
    <row r="4218" ht="18" customHeight="1" s="17"/>
    <row r="4219" ht="18" customHeight="1" s="17"/>
    <row r="4220" ht="18" customHeight="1" s="17"/>
    <row r="4221" ht="18" customHeight="1" s="17"/>
    <row r="4222" ht="18" customHeight="1" s="17"/>
    <row r="4223" ht="18" customHeight="1" s="17"/>
    <row r="4224" ht="18" customHeight="1" s="17"/>
    <row r="4225" ht="18" customHeight="1" s="17"/>
    <row r="4226" ht="18" customHeight="1" s="17"/>
    <row r="4227" ht="18" customHeight="1" s="17"/>
    <row r="4228" ht="18" customHeight="1" s="17"/>
    <row r="4229" ht="18" customHeight="1" s="17"/>
    <row r="4230" ht="18" customHeight="1" s="17"/>
    <row r="4231" ht="18" customHeight="1" s="17"/>
    <row r="4232" ht="18" customHeight="1" s="17"/>
    <row r="4233" ht="18" customHeight="1" s="17"/>
    <row r="4234" ht="18" customHeight="1" s="17"/>
    <row r="4235" ht="18" customHeight="1" s="17"/>
    <row r="4236" ht="18" customHeight="1" s="17"/>
    <row r="4237" ht="18" customHeight="1" s="17"/>
    <row r="4238" ht="18" customHeight="1" s="17"/>
    <row r="4239" ht="18" customHeight="1" s="17"/>
    <row r="4240" ht="18" customHeight="1" s="17"/>
    <row r="4241" ht="18" customHeight="1" s="17"/>
    <row r="4242" ht="18" customHeight="1" s="17"/>
    <row r="4243" ht="18" customHeight="1" s="17"/>
    <row r="4244" ht="18" customHeight="1" s="17"/>
    <row r="4245" ht="18" customHeight="1" s="17"/>
    <row r="4246" ht="18" customHeight="1" s="17"/>
    <row r="4247" ht="18" customHeight="1" s="17"/>
    <row r="4248" ht="18" customHeight="1" s="17"/>
    <row r="4249" ht="18" customHeight="1" s="17"/>
    <row r="4250" ht="18" customHeight="1" s="17"/>
    <row r="4251" ht="18" customHeight="1" s="17"/>
    <row r="4252" ht="18" customHeight="1" s="17"/>
    <row r="4253" ht="18" customHeight="1" s="17"/>
    <row r="4254" ht="18" customHeight="1" s="17"/>
    <row r="4255" ht="18" customHeight="1" s="17"/>
    <row r="4256" ht="18" customHeight="1" s="17"/>
    <row r="4257" ht="18" customHeight="1" s="17"/>
    <row r="4258" ht="18" customHeight="1" s="17"/>
    <row r="4259" ht="18" customHeight="1" s="17"/>
    <row r="4260" ht="18" customHeight="1" s="17"/>
    <row r="4261" ht="18" customHeight="1" s="17"/>
    <row r="4262" ht="18" customHeight="1" s="17"/>
    <row r="4263" ht="18" customHeight="1" s="17"/>
    <row r="4264" ht="18" customHeight="1" s="17"/>
    <row r="4265" ht="18" customHeight="1" s="17"/>
    <row r="4266" ht="18" customHeight="1" s="17"/>
    <row r="4267" ht="18" customHeight="1" s="17"/>
    <row r="4268" ht="18" customHeight="1" s="17"/>
    <row r="4269" ht="18" customHeight="1" s="17"/>
    <row r="4270" ht="18" customHeight="1" s="17"/>
    <row r="4271" ht="18" customHeight="1" s="17"/>
    <row r="4272" ht="18" customHeight="1" s="17"/>
    <row r="4273" ht="18" customHeight="1" s="17"/>
    <row r="4274" ht="18" customHeight="1" s="17"/>
    <row r="4275" ht="18" customHeight="1" s="17"/>
    <row r="4276" ht="18" customHeight="1" s="17"/>
    <row r="4277" ht="18" customHeight="1" s="17"/>
    <row r="4278" ht="18" customHeight="1" s="17"/>
    <row r="4279" ht="18" customHeight="1" s="17"/>
    <row r="4280" ht="18" customHeight="1" s="17"/>
    <row r="4281" ht="18" customHeight="1" s="17"/>
    <row r="4282" ht="18" customHeight="1" s="17"/>
    <row r="4283" ht="18" customHeight="1" s="17"/>
    <row r="4284" ht="18" customHeight="1" s="17"/>
    <row r="4285" ht="18" customHeight="1" s="17"/>
    <row r="4286" ht="18" customHeight="1" s="17"/>
    <row r="4287" ht="18" customHeight="1" s="17"/>
    <row r="4288" ht="18" customHeight="1" s="17"/>
    <row r="4289" ht="18" customHeight="1" s="17"/>
    <row r="4290" ht="18" customHeight="1" s="17"/>
    <row r="4291" ht="18" customHeight="1" s="17"/>
    <row r="4292" ht="18" customHeight="1" s="17"/>
    <row r="4293" ht="18" customHeight="1" s="17"/>
    <row r="4294" ht="18" customHeight="1" s="17"/>
    <row r="4295" ht="18" customHeight="1" s="17"/>
    <row r="4296" ht="18" customHeight="1" s="17"/>
    <row r="4297" ht="18" customHeight="1" s="17"/>
    <row r="4298" ht="18" customHeight="1" s="17"/>
    <row r="4299" ht="18" customHeight="1" s="17"/>
    <row r="4300" ht="18" customHeight="1" s="17"/>
    <row r="4301" ht="18" customHeight="1" s="17"/>
    <row r="4302" ht="18" customHeight="1" s="17"/>
    <row r="4303" ht="18" customHeight="1" s="17"/>
    <row r="4304" ht="18" customHeight="1" s="17"/>
    <row r="4305" ht="18" customHeight="1" s="17"/>
    <row r="4306" ht="18" customHeight="1" s="17"/>
    <row r="4307" ht="18" customHeight="1" s="17"/>
    <row r="4308" ht="18" customHeight="1" s="17"/>
    <row r="4309" ht="18" customHeight="1" s="17"/>
    <row r="4310" ht="18" customHeight="1" s="17"/>
    <row r="4311" ht="18" customHeight="1" s="17"/>
    <row r="4312" ht="18" customHeight="1" s="17"/>
    <row r="4313" ht="18" customHeight="1" s="17"/>
    <row r="4314" ht="18" customHeight="1" s="17"/>
    <row r="4315" ht="18" customHeight="1" s="17"/>
    <row r="4316" ht="18" customHeight="1" s="17"/>
    <row r="4317" ht="18" customHeight="1" s="17"/>
    <row r="4318" ht="18" customHeight="1" s="17"/>
    <row r="4319" ht="18" customHeight="1" s="17"/>
    <row r="4320" ht="18" customHeight="1" s="17"/>
    <row r="4321" ht="18" customHeight="1" s="17"/>
    <row r="4322" ht="18" customHeight="1" s="17"/>
    <row r="4323" ht="18" customHeight="1" s="17"/>
    <row r="4324" ht="18" customHeight="1" s="17"/>
    <row r="4325" ht="18" customHeight="1" s="17"/>
    <row r="4326" ht="18" customHeight="1" s="17"/>
    <row r="4327" ht="18" customHeight="1" s="17"/>
    <row r="4328" ht="18" customHeight="1" s="17"/>
    <row r="4329" ht="18" customHeight="1" s="17"/>
    <row r="4330" ht="18" customHeight="1" s="17"/>
    <row r="4331" ht="18" customHeight="1" s="17"/>
    <row r="4332" ht="18" customHeight="1" s="17"/>
    <row r="4333" ht="18" customHeight="1" s="17"/>
    <row r="4334" ht="18" customHeight="1" s="17"/>
    <row r="4335" ht="18" customHeight="1" s="17"/>
    <row r="4336" ht="18" customHeight="1" s="17"/>
    <row r="4337" ht="18" customHeight="1" s="17"/>
    <row r="4338" ht="18" customHeight="1" s="17"/>
    <row r="4339" ht="18" customHeight="1" s="17"/>
    <row r="4340" ht="18" customHeight="1" s="17"/>
    <row r="4341" ht="18" customHeight="1" s="17"/>
    <row r="4342" ht="18" customHeight="1" s="17"/>
    <row r="4343" ht="18" customHeight="1" s="17"/>
    <row r="4344" ht="18" customHeight="1" s="17"/>
    <row r="4345" ht="18" customHeight="1" s="17"/>
    <row r="4346" ht="18" customHeight="1" s="17"/>
    <row r="4347" ht="18" customHeight="1" s="17"/>
    <row r="4348" ht="18" customHeight="1" s="17"/>
    <row r="4349" ht="18" customHeight="1" s="17"/>
    <row r="4350" ht="18" customHeight="1" s="17"/>
    <row r="4351" ht="18" customHeight="1" s="17"/>
    <row r="4352" ht="18" customHeight="1" s="17"/>
    <row r="4353" ht="18" customHeight="1" s="17"/>
    <row r="4354" ht="18" customHeight="1" s="17"/>
    <row r="4355" ht="18" customHeight="1" s="17"/>
    <row r="4356" ht="18" customHeight="1" s="17"/>
    <row r="4357" ht="18" customHeight="1" s="17"/>
    <row r="4358" ht="18" customHeight="1" s="17"/>
    <row r="4359" ht="18" customHeight="1" s="17"/>
    <row r="4360" ht="18" customHeight="1" s="17"/>
    <row r="4361" ht="18" customHeight="1" s="17"/>
    <row r="4362" ht="18" customHeight="1" s="17"/>
    <row r="4363" ht="18" customHeight="1" s="17"/>
    <row r="4364" ht="18" customHeight="1" s="17"/>
    <row r="4365" ht="18" customHeight="1" s="17"/>
    <row r="4366" ht="18" customHeight="1" s="17"/>
    <row r="4367" ht="18" customHeight="1" s="17"/>
    <row r="4368" ht="18" customHeight="1" s="17"/>
    <row r="4369" ht="18" customHeight="1" s="17"/>
    <row r="4370" ht="18" customHeight="1" s="17"/>
    <row r="4371" ht="18" customHeight="1" s="17"/>
    <row r="4372" ht="18" customHeight="1" s="17"/>
    <row r="4373" ht="18" customHeight="1" s="17"/>
    <row r="4374" ht="18" customHeight="1" s="17"/>
    <row r="4375" ht="18" customHeight="1" s="17"/>
    <row r="4376" ht="18" customHeight="1" s="17"/>
    <row r="4377" ht="18" customHeight="1" s="17"/>
    <row r="4378" ht="18" customHeight="1" s="17"/>
    <row r="4379" ht="18" customHeight="1" s="17"/>
    <row r="4380" ht="18" customHeight="1" s="17"/>
    <row r="4381" ht="18" customHeight="1" s="17"/>
    <row r="4382" ht="18" customHeight="1" s="17"/>
    <row r="4383" ht="18" customHeight="1" s="17"/>
    <row r="4384" ht="18" customHeight="1" s="17"/>
    <row r="4385" ht="18" customHeight="1" s="17"/>
    <row r="4386" ht="18" customHeight="1" s="17"/>
    <row r="4387" ht="18" customHeight="1" s="17"/>
    <row r="4388" ht="18" customHeight="1" s="17"/>
    <row r="4389" ht="18" customHeight="1" s="17"/>
    <row r="4390" ht="18" customHeight="1" s="17"/>
    <row r="4391" ht="18" customHeight="1" s="17"/>
    <row r="4392" ht="18" customHeight="1" s="17"/>
    <row r="4393" ht="18" customHeight="1" s="17"/>
    <row r="4394" ht="18" customHeight="1" s="17"/>
    <row r="4395" ht="18" customHeight="1" s="17"/>
    <row r="4396" ht="18" customHeight="1" s="17"/>
    <row r="4397" ht="18" customHeight="1" s="17"/>
    <row r="4398" ht="18" customHeight="1" s="17"/>
    <row r="4399" ht="18" customHeight="1" s="17"/>
    <row r="4400" ht="18" customHeight="1" s="17"/>
    <row r="4401" ht="18" customHeight="1" s="17"/>
    <row r="4402" ht="18" customHeight="1" s="17"/>
    <row r="4403" ht="18" customHeight="1" s="17"/>
    <row r="4404" ht="18" customHeight="1" s="17"/>
    <row r="4405" ht="18" customHeight="1" s="17"/>
    <row r="4406" ht="18" customHeight="1" s="17"/>
    <row r="4407" ht="18" customHeight="1" s="17"/>
    <row r="4408" ht="18" customHeight="1" s="17"/>
    <row r="4409" ht="18" customHeight="1" s="17"/>
    <row r="4410" ht="18" customHeight="1" s="17"/>
    <row r="4411" ht="18" customHeight="1" s="17"/>
    <row r="4412" ht="18" customHeight="1" s="17"/>
    <row r="4413" ht="18" customHeight="1" s="17"/>
    <row r="4414" ht="18" customHeight="1" s="17"/>
    <row r="4415" ht="18" customHeight="1" s="17"/>
    <row r="4416" ht="18" customHeight="1" s="17"/>
    <row r="4417" ht="18" customHeight="1" s="17"/>
    <row r="4418" ht="18" customHeight="1" s="17"/>
    <row r="4419" ht="18" customHeight="1" s="17"/>
    <row r="4420" ht="18" customHeight="1" s="17"/>
    <row r="4421" ht="18" customHeight="1" s="17"/>
    <row r="4422" ht="18" customHeight="1" s="17"/>
    <row r="4423" ht="18" customHeight="1" s="17"/>
    <row r="4424" ht="18" customHeight="1" s="17"/>
    <row r="4425" ht="18" customHeight="1" s="17"/>
    <row r="4426" ht="18" customHeight="1" s="17"/>
    <row r="4427" ht="18" customHeight="1" s="17"/>
    <row r="4428" ht="18" customHeight="1" s="17"/>
    <row r="4429" ht="18" customHeight="1" s="17"/>
    <row r="4430" ht="18" customHeight="1" s="17"/>
    <row r="4431" ht="18" customHeight="1" s="17"/>
    <row r="4432" ht="18" customHeight="1" s="17"/>
    <row r="4433" ht="18" customHeight="1" s="17"/>
    <row r="4434" ht="18" customHeight="1" s="17"/>
    <row r="4435" ht="18" customHeight="1" s="17"/>
    <row r="4436" ht="18" customHeight="1" s="17"/>
    <row r="4437" ht="18" customHeight="1" s="17"/>
    <row r="4438" ht="18" customHeight="1" s="17"/>
    <row r="4439" ht="18" customHeight="1" s="17"/>
    <row r="4440" ht="18" customHeight="1" s="17"/>
    <row r="4441" ht="18" customHeight="1" s="17"/>
    <row r="4442" ht="18" customHeight="1" s="17"/>
    <row r="4443" ht="18" customHeight="1" s="17"/>
    <row r="4444" ht="18" customHeight="1" s="17"/>
    <row r="4445" ht="18" customHeight="1" s="17"/>
    <row r="4446" ht="18" customHeight="1" s="17"/>
    <row r="4447" ht="18" customHeight="1" s="17"/>
    <row r="4448" ht="18" customHeight="1" s="17"/>
    <row r="4449" ht="18" customHeight="1" s="17"/>
    <row r="4450" ht="18" customHeight="1" s="17"/>
    <row r="4451" ht="18" customHeight="1" s="17"/>
    <row r="4452" ht="18" customHeight="1" s="17"/>
    <row r="4453" ht="18" customHeight="1" s="17"/>
    <row r="4454" ht="18" customHeight="1" s="17"/>
    <row r="4455" ht="18" customHeight="1" s="17"/>
    <row r="4456" ht="18" customHeight="1" s="17"/>
    <row r="4457" ht="18" customHeight="1" s="17"/>
    <row r="4458" ht="18" customHeight="1" s="17"/>
    <row r="4459" ht="18" customHeight="1" s="17"/>
    <row r="4460" ht="18" customHeight="1" s="17"/>
    <row r="4461" ht="18" customHeight="1" s="17"/>
    <row r="4462" ht="18" customHeight="1" s="17"/>
    <row r="4463" ht="18" customHeight="1" s="17"/>
    <row r="4464" ht="18" customHeight="1" s="17"/>
    <row r="4465" ht="18" customHeight="1" s="17"/>
    <row r="4466" ht="18" customHeight="1" s="17"/>
    <row r="4467" ht="18" customHeight="1" s="17"/>
    <row r="4468" ht="18" customHeight="1" s="17"/>
    <row r="4469" ht="18" customHeight="1" s="17"/>
    <row r="4470" ht="18" customHeight="1" s="17"/>
    <row r="4471" ht="18" customHeight="1" s="17"/>
    <row r="4472" ht="18" customHeight="1" s="17"/>
    <row r="4473" ht="18" customHeight="1" s="17"/>
    <row r="4474" ht="18" customHeight="1" s="17"/>
    <row r="4475" ht="18" customHeight="1" s="17"/>
    <row r="4476" ht="18" customHeight="1" s="17"/>
    <row r="4477" ht="18" customHeight="1" s="17"/>
    <row r="4478" ht="18" customHeight="1" s="17"/>
    <row r="4479" ht="18" customHeight="1" s="17"/>
    <row r="4480" ht="18" customHeight="1" s="17"/>
    <row r="4481" ht="18" customHeight="1" s="17"/>
    <row r="4482" ht="18" customHeight="1" s="17"/>
    <row r="4483" ht="18" customHeight="1" s="17"/>
    <row r="4484" ht="18" customHeight="1" s="17"/>
    <row r="4485" ht="18" customHeight="1" s="17"/>
    <row r="4486" ht="18" customHeight="1" s="17"/>
    <row r="4487" ht="18" customHeight="1" s="17"/>
    <row r="4488" ht="18" customHeight="1" s="17"/>
    <row r="4489" ht="18" customHeight="1" s="17"/>
    <row r="4490" ht="18" customHeight="1" s="17"/>
    <row r="4491" ht="18" customHeight="1" s="17"/>
    <row r="4492" ht="18" customHeight="1" s="17"/>
    <row r="4493" ht="18" customHeight="1" s="17"/>
    <row r="4494" ht="18" customHeight="1" s="17"/>
    <row r="4495" ht="18" customHeight="1" s="17"/>
    <row r="4496" ht="18" customHeight="1" s="17"/>
    <row r="4497" ht="18" customHeight="1" s="17"/>
    <row r="4498" ht="18" customHeight="1" s="17"/>
    <row r="4499" ht="18" customHeight="1" s="17"/>
    <row r="4500" ht="18" customHeight="1" s="17"/>
    <row r="4501" ht="18" customHeight="1" s="17"/>
    <row r="4502" ht="18" customHeight="1" s="17"/>
    <row r="4503" ht="18" customHeight="1" s="17"/>
    <row r="4504" ht="18" customHeight="1" s="17"/>
    <row r="4505" ht="18" customHeight="1" s="17"/>
    <row r="4506" ht="18" customHeight="1" s="17"/>
    <row r="4507" ht="18" customHeight="1" s="17"/>
    <row r="4508" ht="18" customHeight="1" s="17"/>
    <row r="4509" ht="18" customHeight="1" s="17"/>
    <row r="4510" ht="18" customHeight="1" s="17"/>
    <row r="4511" ht="18" customHeight="1" s="17"/>
    <row r="4512" ht="18" customHeight="1" s="17"/>
    <row r="4513" ht="18" customHeight="1" s="17"/>
    <row r="4514" ht="18" customHeight="1" s="17"/>
    <row r="4515" ht="18" customHeight="1" s="17"/>
    <row r="4516" ht="18" customHeight="1" s="17"/>
    <row r="4517" ht="18" customHeight="1" s="17"/>
    <row r="4518" ht="18" customHeight="1" s="17"/>
    <row r="4519" ht="18" customHeight="1" s="17"/>
    <row r="4520" ht="18" customHeight="1" s="17"/>
    <row r="4521" ht="18" customHeight="1" s="17"/>
    <row r="4522" ht="18" customHeight="1" s="17"/>
    <row r="4523" ht="18" customHeight="1" s="17"/>
    <row r="4524" ht="18" customHeight="1" s="17"/>
    <row r="4525" ht="18" customHeight="1" s="17"/>
    <row r="4526" ht="18" customHeight="1" s="17"/>
    <row r="4527" ht="18" customHeight="1" s="17"/>
    <row r="4528" ht="18" customHeight="1" s="17"/>
    <row r="4529" ht="18" customHeight="1" s="17"/>
    <row r="4530" ht="18" customHeight="1" s="17"/>
    <row r="4531" ht="18" customHeight="1" s="17"/>
    <row r="4532" ht="18" customHeight="1" s="17"/>
    <row r="4533" ht="18" customHeight="1" s="17"/>
    <row r="4534" ht="18" customHeight="1" s="17"/>
    <row r="4535" ht="18" customHeight="1" s="17"/>
    <row r="4536" ht="18" customHeight="1" s="17"/>
    <row r="4537" ht="18" customHeight="1" s="17"/>
    <row r="4538" ht="18" customHeight="1" s="17"/>
    <row r="4539" ht="18" customHeight="1" s="17"/>
    <row r="4540" ht="18" customHeight="1" s="17"/>
    <row r="4541" ht="18" customHeight="1" s="17"/>
    <row r="4542" ht="18" customHeight="1" s="17"/>
    <row r="4543" ht="18" customHeight="1" s="17"/>
    <row r="4544" ht="18" customHeight="1" s="17"/>
    <row r="4545" ht="18" customHeight="1" s="17"/>
    <row r="4546" ht="18" customHeight="1" s="17"/>
    <row r="4547" ht="18" customHeight="1" s="17"/>
    <row r="4548" ht="18" customHeight="1" s="17"/>
    <row r="4549" ht="18" customHeight="1" s="17"/>
    <row r="4550" ht="18" customHeight="1" s="17"/>
    <row r="4551" ht="18" customHeight="1" s="17"/>
    <row r="4552" ht="18" customHeight="1" s="17"/>
    <row r="4553" ht="18" customHeight="1" s="17"/>
    <row r="4554" ht="18" customHeight="1" s="17"/>
    <row r="4555" ht="18" customHeight="1" s="17"/>
    <row r="4556" ht="18" customHeight="1" s="17"/>
    <row r="4557" ht="18" customHeight="1" s="17"/>
    <row r="4558" ht="18" customHeight="1" s="17"/>
    <row r="4559" ht="18" customHeight="1" s="17"/>
    <row r="4560" ht="18" customHeight="1" s="17"/>
    <row r="4561" ht="18" customHeight="1" s="17"/>
    <row r="4562" ht="18" customHeight="1" s="17"/>
    <row r="4563" ht="18" customHeight="1" s="17"/>
    <row r="4564" ht="18" customHeight="1" s="17"/>
    <row r="4565" ht="18" customHeight="1" s="17"/>
    <row r="4566" ht="18" customHeight="1" s="17"/>
    <row r="4567" ht="18" customHeight="1" s="17"/>
    <row r="4568" ht="18" customHeight="1" s="17"/>
    <row r="4569" ht="18" customHeight="1" s="17"/>
    <row r="4570" ht="18" customHeight="1" s="17"/>
    <row r="4571" ht="18" customHeight="1" s="17"/>
    <row r="4572" ht="18" customHeight="1" s="17"/>
    <row r="4573" ht="18" customHeight="1" s="17"/>
    <row r="4574" ht="18" customHeight="1" s="17"/>
    <row r="4575" ht="18" customHeight="1" s="17"/>
    <row r="4576" ht="18" customHeight="1" s="17"/>
    <row r="4577" ht="18" customHeight="1" s="17"/>
    <row r="4578" ht="18" customHeight="1" s="17"/>
    <row r="4579" ht="18" customHeight="1" s="17"/>
    <row r="4580" ht="18" customHeight="1" s="17"/>
    <row r="4581" ht="18" customHeight="1" s="17"/>
    <row r="4582" ht="18" customHeight="1" s="17"/>
    <row r="4583" ht="18" customHeight="1" s="17"/>
    <row r="4584" ht="18" customHeight="1" s="17"/>
    <row r="4585" ht="18" customHeight="1" s="17"/>
    <row r="4586" ht="18" customHeight="1" s="17"/>
    <row r="4587" ht="18" customHeight="1" s="17"/>
    <row r="4588" ht="18" customHeight="1" s="17"/>
    <row r="4589" ht="18" customHeight="1" s="17"/>
    <row r="4590" ht="18" customHeight="1" s="17"/>
    <row r="4591" ht="18" customHeight="1" s="17"/>
    <row r="4592" ht="18" customHeight="1" s="17"/>
    <row r="4593" ht="18" customHeight="1" s="17"/>
    <row r="4594" ht="18" customHeight="1" s="17"/>
    <row r="4595" ht="18" customHeight="1" s="17"/>
    <row r="4596" ht="18" customHeight="1" s="17"/>
    <row r="4597" ht="18" customHeight="1" s="17"/>
    <row r="4598" ht="18" customHeight="1" s="17"/>
    <row r="4599" ht="18" customHeight="1" s="17"/>
    <row r="4600" ht="18" customHeight="1" s="17"/>
    <row r="4601" ht="18" customHeight="1" s="17"/>
    <row r="4602" ht="18" customHeight="1" s="17"/>
    <row r="4603" ht="18" customHeight="1" s="17"/>
    <row r="4604" ht="18" customHeight="1" s="17"/>
    <row r="4605" ht="18" customHeight="1" s="17"/>
    <row r="4606" ht="18" customHeight="1" s="17"/>
    <row r="4607" ht="18" customHeight="1" s="17"/>
    <row r="4608" ht="18" customHeight="1" s="17"/>
    <row r="4609" ht="18" customHeight="1" s="17"/>
    <row r="4610" ht="18" customHeight="1" s="17"/>
    <row r="4611" ht="18" customHeight="1" s="17"/>
    <row r="4612" ht="18" customHeight="1" s="17"/>
    <row r="4613" ht="18" customHeight="1" s="17"/>
    <row r="4614" ht="18" customHeight="1" s="17"/>
    <row r="4615" ht="18" customHeight="1" s="17"/>
    <row r="4616" ht="18" customHeight="1" s="17"/>
    <row r="4617" ht="18" customHeight="1" s="17"/>
    <row r="4618" ht="18" customHeight="1" s="17"/>
    <row r="4619" ht="18" customHeight="1" s="17"/>
    <row r="4620" ht="18" customHeight="1" s="17"/>
    <row r="4621" ht="18" customHeight="1" s="17"/>
    <row r="4622" ht="18" customHeight="1" s="17"/>
    <row r="4623" ht="18" customHeight="1" s="17"/>
    <row r="4624" ht="18" customHeight="1" s="17"/>
    <row r="4625" ht="18" customHeight="1" s="17"/>
    <row r="4626" ht="18" customHeight="1" s="17"/>
    <row r="4627" ht="18" customHeight="1" s="17"/>
    <row r="4628" ht="18" customHeight="1" s="17"/>
    <row r="4629" ht="18" customHeight="1" s="17"/>
    <row r="4630" ht="18" customHeight="1" s="17"/>
    <row r="4631" ht="18" customHeight="1" s="17"/>
    <row r="4632" ht="18" customHeight="1" s="17"/>
    <row r="4633" ht="18" customHeight="1" s="17"/>
    <row r="4634" ht="18" customHeight="1" s="17"/>
    <row r="4635" ht="18" customHeight="1" s="17"/>
    <row r="4636" ht="18" customHeight="1" s="17"/>
    <row r="4637" ht="18" customHeight="1" s="17"/>
    <row r="4638" ht="18" customHeight="1" s="17"/>
    <row r="4639" ht="18" customHeight="1" s="17"/>
    <row r="4640" ht="18" customHeight="1" s="17"/>
    <row r="4641" ht="18" customHeight="1" s="17"/>
    <row r="4642" ht="18" customHeight="1" s="17"/>
    <row r="4643" ht="18" customHeight="1" s="17"/>
    <row r="4644" ht="18" customHeight="1" s="17"/>
    <row r="4645" ht="18" customHeight="1" s="17"/>
    <row r="4646" ht="18" customHeight="1" s="17"/>
    <row r="4647" ht="18" customHeight="1" s="17"/>
    <row r="4648" ht="18" customHeight="1" s="17"/>
    <row r="4649" ht="18" customHeight="1" s="17"/>
    <row r="4650" ht="18" customHeight="1" s="17"/>
    <row r="4651" ht="18" customHeight="1" s="17"/>
    <row r="4652" ht="18" customHeight="1" s="17"/>
    <row r="4653" ht="18" customHeight="1" s="17"/>
    <row r="4654" ht="18" customHeight="1" s="17"/>
    <row r="4655" ht="18" customHeight="1" s="17"/>
    <row r="4656" ht="18" customHeight="1" s="17"/>
    <row r="4657" ht="18" customHeight="1" s="17"/>
    <row r="4658" ht="18" customHeight="1" s="17"/>
    <row r="4659" ht="18" customHeight="1" s="17"/>
    <row r="4660" ht="18" customHeight="1" s="17"/>
    <row r="4661" ht="18" customHeight="1" s="17"/>
    <row r="4662" ht="18" customHeight="1" s="17"/>
    <row r="4663" ht="18" customHeight="1" s="17"/>
    <row r="4664" ht="18" customHeight="1" s="17"/>
    <row r="4665" ht="18" customHeight="1" s="17"/>
    <row r="4666" ht="18" customHeight="1" s="17"/>
    <row r="4667" ht="18" customHeight="1" s="17"/>
    <row r="4668" ht="18" customHeight="1" s="17"/>
    <row r="4669" ht="18" customHeight="1" s="17"/>
    <row r="4670" ht="18" customHeight="1" s="17"/>
    <row r="4671" ht="18" customHeight="1" s="17"/>
    <row r="4672" ht="18" customHeight="1" s="17"/>
    <row r="4673" ht="18" customHeight="1" s="17"/>
    <row r="4674" ht="18" customHeight="1" s="17"/>
    <row r="4675" ht="18" customHeight="1" s="17"/>
    <row r="4676" ht="18" customHeight="1" s="17"/>
    <row r="4677" ht="18" customHeight="1" s="17"/>
    <row r="4678" ht="18" customHeight="1" s="17"/>
    <row r="4679" ht="18" customHeight="1" s="17"/>
    <row r="4680" ht="18" customHeight="1" s="17"/>
    <row r="4681" ht="18" customHeight="1" s="17"/>
    <row r="4682" ht="18" customHeight="1" s="17"/>
    <row r="4683" ht="18" customHeight="1" s="17"/>
    <row r="4684" ht="18" customHeight="1" s="17"/>
    <row r="4685" ht="18" customHeight="1" s="17"/>
    <row r="4686" ht="18" customHeight="1" s="17"/>
    <row r="4687" ht="18" customHeight="1" s="17"/>
    <row r="4688" ht="18" customHeight="1" s="17"/>
    <row r="4689" ht="18" customHeight="1" s="17"/>
    <row r="4690" ht="18" customHeight="1" s="17"/>
    <row r="4691" ht="18" customHeight="1" s="17"/>
    <row r="4692" ht="18" customHeight="1" s="17"/>
    <row r="4693" ht="18" customHeight="1" s="17"/>
    <row r="4694" ht="18" customHeight="1" s="17"/>
    <row r="4695" ht="18" customHeight="1" s="17"/>
    <row r="4696" ht="18" customHeight="1" s="17"/>
    <row r="4697" ht="18" customHeight="1" s="17"/>
    <row r="4698" ht="18" customHeight="1" s="17"/>
    <row r="4699" ht="18" customHeight="1" s="17"/>
    <row r="4700" ht="18" customHeight="1" s="17"/>
    <row r="4701" ht="18" customHeight="1" s="17"/>
    <row r="4702" ht="18" customHeight="1" s="17"/>
    <row r="4703" ht="18" customHeight="1" s="17"/>
    <row r="4704" ht="18" customHeight="1" s="17"/>
    <row r="4705" ht="18" customHeight="1" s="17"/>
    <row r="4706" ht="18" customHeight="1" s="17"/>
    <row r="4707" ht="18" customHeight="1" s="17"/>
    <row r="4708" ht="18" customHeight="1" s="17"/>
    <row r="4709" ht="18" customHeight="1" s="17"/>
    <row r="4710" ht="18" customHeight="1" s="17"/>
    <row r="4711" ht="18" customHeight="1" s="17"/>
    <row r="4712" ht="18" customHeight="1" s="17"/>
    <row r="4713" ht="18" customHeight="1" s="17"/>
    <row r="4714" ht="18" customHeight="1" s="17"/>
    <row r="4715" ht="18" customHeight="1" s="17"/>
    <row r="4716" ht="18" customHeight="1" s="17"/>
    <row r="4717" ht="18" customHeight="1" s="17"/>
    <row r="4718" ht="18" customHeight="1" s="17"/>
    <row r="4719" ht="18" customHeight="1" s="17"/>
    <row r="4720" ht="18" customHeight="1" s="17"/>
    <row r="4721" ht="18" customHeight="1" s="17"/>
    <row r="4722" ht="18" customHeight="1" s="17"/>
    <row r="4723" ht="18" customHeight="1" s="17"/>
    <row r="4724" ht="18" customHeight="1" s="17"/>
    <row r="4725" ht="18" customHeight="1" s="17"/>
    <row r="4726" ht="18" customHeight="1" s="17"/>
    <row r="4727" ht="18" customHeight="1" s="17"/>
    <row r="4728" ht="18" customHeight="1" s="17"/>
    <row r="4729" ht="18" customHeight="1" s="17"/>
    <row r="4730" ht="18" customHeight="1" s="17"/>
    <row r="4731" ht="18" customHeight="1" s="17"/>
    <row r="4732" ht="18" customHeight="1" s="17"/>
    <row r="4733" ht="18" customHeight="1" s="17"/>
    <row r="4734" ht="18" customHeight="1" s="17"/>
    <row r="4735" ht="18" customHeight="1" s="17"/>
    <row r="4736" ht="18" customHeight="1" s="17"/>
    <row r="4737" ht="18" customHeight="1" s="17"/>
    <row r="4738" ht="18" customHeight="1" s="17"/>
    <row r="4739" ht="18" customHeight="1" s="17"/>
    <row r="4740" ht="18" customHeight="1" s="17"/>
    <row r="4741" ht="18" customHeight="1" s="17"/>
    <row r="4742" ht="18" customHeight="1" s="17"/>
    <row r="4743" ht="18" customHeight="1" s="17"/>
    <row r="4744" ht="18" customHeight="1" s="17"/>
    <row r="4745" ht="18" customHeight="1" s="17"/>
    <row r="4746" ht="18" customHeight="1" s="17"/>
    <row r="4747" ht="18" customHeight="1" s="17"/>
    <row r="4748" ht="18" customHeight="1" s="17"/>
    <row r="4749" ht="18" customHeight="1" s="17"/>
    <row r="4750" ht="18" customHeight="1" s="17"/>
    <row r="4751" ht="18" customHeight="1" s="17"/>
    <row r="4752" ht="18" customHeight="1" s="17"/>
    <row r="4753" ht="18" customHeight="1" s="17"/>
    <row r="4754" ht="18" customHeight="1" s="17"/>
    <row r="4755" ht="18" customHeight="1" s="17"/>
    <row r="4756" ht="18" customHeight="1" s="17"/>
    <row r="4757" ht="18" customHeight="1" s="17"/>
    <row r="4758" ht="18" customHeight="1" s="17"/>
    <row r="4759" ht="18" customHeight="1" s="17"/>
    <row r="4760" ht="18" customHeight="1" s="17"/>
    <row r="4761" ht="18" customHeight="1" s="17"/>
    <row r="4762" ht="18" customHeight="1" s="17"/>
    <row r="4763" ht="18" customHeight="1" s="17"/>
    <row r="4764" ht="18" customHeight="1" s="17"/>
    <row r="4765" ht="18" customHeight="1" s="17"/>
    <row r="4766" ht="18" customHeight="1" s="17"/>
    <row r="4767" ht="18" customHeight="1" s="17"/>
    <row r="4768" ht="18" customHeight="1" s="17"/>
    <row r="4769" ht="18" customHeight="1" s="17"/>
    <row r="4770" ht="18" customHeight="1" s="17"/>
    <row r="4771" ht="18" customHeight="1" s="17"/>
    <row r="4772" ht="18" customHeight="1" s="17"/>
    <row r="4773" ht="18" customHeight="1" s="17"/>
    <row r="4774" ht="18" customHeight="1" s="17"/>
    <row r="4775" ht="18" customHeight="1" s="17"/>
    <row r="4776" ht="18" customHeight="1" s="17"/>
    <row r="4777" ht="18" customHeight="1" s="17"/>
    <row r="4778" ht="18" customHeight="1" s="17"/>
    <row r="4779" ht="18" customHeight="1" s="17"/>
    <row r="4780" ht="18" customHeight="1" s="17"/>
    <row r="4781" ht="18" customHeight="1" s="17"/>
    <row r="4782" ht="18" customHeight="1" s="17"/>
    <row r="4783" ht="18" customHeight="1" s="17"/>
    <row r="4784" ht="18" customHeight="1" s="17"/>
    <row r="4785" ht="18" customHeight="1" s="17"/>
    <row r="4786" ht="18" customHeight="1" s="17"/>
    <row r="4787" ht="18" customHeight="1" s="17"/>
    <row r="4788" ht="18" customHeight="1" s="17"/>
    <row r="4789" ht="18" customHeight="1" s="17"/>
    <row r="4790" ht="18" customHeight="1" s="17"/>
    <row r="4791" ht="18" customHeight="1" s="17"/>
    <row r="4792" ht="18" customHeight="1" s="17"/>
    <row r="4793" ht="18" customHeight="1" s="17"/>
    <row r="4794" ht="18" customHeight="1" s="17"/>
    <row r="4795" ht="18" customHeight="1" s="17"/>
    <row r="4796" ht="18" customHeight="1" s="17"/>
    <row r="4797" ht="18" customHeight="1" s="17"/>
    <row r="4798" ht="18" customHeight="1" s="17"/>
    <row r="4799" ht="18" customHeight="1" s="17"/>
    <row r="4800" ht="18" customHeight="1" s="17"/>
    <row r="4801" ht="18" customHeight="1" s="17"/>
    <row r="4802" ht="18" customHeight="1" s="17"/>
    <row r="4803" ht="18" customHeight="1" s="17"/>
    <row r="4804" ht="18" customHeight="1" s="17"/>
    <row r="4805" ht="18" customHeight="1" s="17"/>
    <row r="4806" ht="18" customHeight="1" s="17"/>
    <row r="4807" ht="18" customHeight="1" s="17"/>
    <row r="4808" ht="18" customHeight="1" s="17"/>
    <row r="4809" ht="18" customHeight="1" s="17"/>
    <row r="4810" ht="18" customHeight="1" s="17"/>
    <row r="4811" ht="18" customHeight="1" s="17"/>
    <row r="4812" ht="18" customHeight="1" s="17"/>
    <row r="4813" ht="18" customHeight="1" s="17"/>
    <row r="4814" ht="18" customHeight="1" s="17"/>
    <row r="4815" ht="18" customHeight="1" s="17"/>
    <row r="4816" ht="18" customHeight="1" s="17"/>
    <row r="4817" ht="18" customHeight="1" s="17"/>
    <row r="4818" ht="18" customHeight="1" s="17"/>
    <row r="4819" ht="18" customHeight="1" s="17"/>
    <row r="4820" ht="18" customHeight="1" s="17"/>
    <row r="4821" ht="18" customHeight="1" s="17"/>
    <row r="4822" ht="18" customHeight="1" s="17"/>
    <row r="4823" ht="18" customHeight="1" s="17"/>
    <row r="4824" ht="18" customHeight="1" s="17"/>
    <row r="4825" ht="18" customHeight="1" s="17"/>
    <row r="4826" ht="18" customHeight="1" s="17"/>
    <row r="4827" ht="18" customHeight="1" s="17"/>
    <row r="4828" ht="18" customHeight="1" s="17"/>
    <row r="4829" ht="18" customHeight="1" s="17"/>
    <row r="4830" ht="18" customHeight="1" s="17"/>
    <row r="4831" ht="18" customHeight="1" s="17"/>
    <row r="4832" ht="18" customHeight="1" s="17"/>
    <row r="4833" ht="18" customHeight="1" s="17"/>
    <row r="4834" ht="18" customHeight="1" s="17"/>
    <row r="4835" ht="18" customHeight="1" s="17"/>
    <row r="4836" ht="18" customHeight="1" s="17"/>
    <row r="4837" ht="18" customHeight="1" s="17"/>
    <row r="4838" ht="18" customHeight="1" s="17"/>
    <row r="4839" ht="18" customHeight="1" s="17"/>
    <row r="4840" ht="18" customHeight="1" s="17"/>
    <row r="4841" ht="18" customHeight="1" s="17"/>
    <row r="4842" ht="18" customHeight="1" s="17"/>
    <row r="4843" ht="18" customHeight="1" s="17"/>
    <row r="4844" ht="18" customHeight="1" s="17"/>
    <row r="4845" ht="18" customHeight="1" s="17"/>
    <row r="4846" ht="18" customHeight="1" s="17"/>
    <row r="4847" ht="18" customHeight="1" s="17"/>
    <row r="4848" ht="18" customHeight="1" s="17"/>
    <row r="4849" ht="18" customHeight="1" s="17"/>
    <row r="4850" ht="18" customHeight="1" s="17"/>
    <row r="4851" ht="18" customHeight="1" s="17"/>
    <row r="4852" ht="18" customHeight="1" s="17"/>
    <row r="4853" ht="18" customHeight="1" s="17"/>
    <row r="4854" ht="18" customHeight="1" s="17"/>
    <row r="4855" ht="18" customHeight="1" s="17"/>
    <row r="4856" ht="18" customHeight="1" s="17"/>
    <row r="4857" ht="18" customHeight="1" s="17"/>
    <row r="4858" ht="18" customHeight="1" s="17"/>
    <row r="4859" ht="18" customHeight="1" s="17"/>
    <row r="4860" ht="18" customHeight="1" s="17"/>
    <row r="4861" ht="18" customHeight="1" s="17"/>
    <row r="4862" ht="18" customHeight="1" s="17"/>
    <row r="4863" ht="18" customHeight="1" s="17"/>
    <row r="4864" ht="18" customHeight="1" s="17"/>
    <row r="4865" ht="18" customHeight="1" s="17"/>
    <row r="4866" ht="18" customHeight="1" s="17"/>
    <row r="4867" ht="18" customHeight="1" s="17"/>
    <row r="4868" ht="18" customHeight="1" s="17"/>
    <row r="4869" ht="18" customHeight="1" s="17"/>
    <row r="4870" ht="18" customHeight="1" s="17"/>
    <row r="4871" ht="18" customHeight="1" s="17"/>
    <row r="4872" ht="18" customHeight="1" s="17"/>
    <row r="4873" ht="18" customHeight="1" s="17"/>
    <row r="4874" ht="18" customHeight="1" s="17"/>
    <row r="4875" ht="18" customHeight="1" s="17"/>
    <row r="4876" ht="18" customHeight="1" s="17"/>
    <row r="4877" ht="18" customHeight="1" s="17"/>
    <row r="4878" ht="18" customHeight="1" s="17"/>
    <row r="4879" ht="18" customHeight="1" s="17"/>
    <row r="4880" ht="18" customHeight="1" s="17"/>
    <row r="4881" ht="18" customHeight="1" s="17"/>
    <row r="4882" ht="18" customHeight="1" s="17"/>
    <row r="4883" ht="18" customHeight="1" s="17"/>
    <row r="4884" ht="18" customHeight="1" s="17"/>
    <row r="4885" ht="18" customHeight="1" s="17"/>
    <row r="4886" ht="18" customHeight="1" s="17"/>
    <row r="4887" ht="18" customHeight="1" s="17"/>
    <row r="4888" ht="18" customHeight="1" s="17"/>
    <row r="4889" ht="18" customHeight="1" s="17"/>
    <row r="4890" ht="18" customHeight="1" s="17"/>
    <row r="4891" ht="18" customHeight="1" s="17"/>
    <row r="4892" ht="18" customHeight="1" s="17"/>
    <row r="4893" ht="18" customHeight="1" s="17"/>
    <row r="4894" ht="18" customHeight="1" s="17"/>
    <row r="4895" ht="18" customHeight="1" s="17"/>
    <row r="4896" ht="18" customHeight="1" s="17"/>
    <row r="4897" ht="18" customHeight="1" s="17"/>
    <row r="4898" ht="18" customHeight="1" s="17"/>
    <row r="4899" ht="18" customHeight="1" s="17"/>
    <row r="4900" ht="18" customHeight="1" s="17"/>
    <row r="4901" ht="18" customHeight="1" s="17"/>
    <row r="4902" ht="18" customHeight="1" s="17"/>
    <row r="4903" ht="18" customHeight="1" s="17"/>
    <row r="4904" ht="18" customHeight="1" s="17"/>
    <row r="4905" ht="18" customHeight="1" s="17"/>
    <row r="4906" ht="18" customHeight="1" s="17"/>
    <row r="4907" ht="18" customHeight="1" s="17"/>
    <row r="4908" ht="18" customHeight="1" s="17"/>
    <row r="4909" ht="18" customHeight="1" s="17"/>
    <row r="4910" ht="18" customHeight="1" s="17"/>
    <row r="4911" ht="18" customHeight="1" s="17"/>
    <row r="4912" ht="18" customHeight="1" s="17"/>
    <row r="4913" ht="18" customHeight="1" s="17"/>
    <row r="4914" ht="18" customHeight="1" s="17"/>
    <row r="4915" ht="18" customHeight="1" s="17"/>
    <row r="4916" ht="18" customHeight="1" s="17"/>
    <row r="4917" ht="18" customHeight="1" s="17"/>
    <row r="4918" ht="18" customHeight="1" s="17"/>
    <row r="4919" ht="18" customHeight="1" s="17"/>
    <row r="4920" ht="18" customHeight="1" s="17"/>
    <row r="4921" ht="18" customHeight="1" s="17"/>
    <row r="4922" ht="18" customHeight="1" s="17"/>
    <row r="4923" ht="18" customHeight="1" s="17"/>
    <row r="4924" ht="18" customHeight="1" s="17"/>
    <row r="4925" ht="18" customHeight="1" s="17"/>
    <row r="4926" ht="18" customHeight="1" s="17"/>
    <row r="4927" ht="18" customHeight="1" s="17"/>
    <row r="4928" ht="18" customHeight="1" s="17"/>
    <row r="4929" ht="18" customHeight="1" s="17"/>
    <row r="4930" ht="18" customHeight="1" s="17"/>
    <row r="4931" ht="18" customHeight="1" s="17"/>
    <row r="4932" ht="18" customHeight="1" s="17"/>
    <row r="4933" ht="18" customHeight="1" s="17"/>
    <row r="4934" ht="18" customHeight="1" s="17"/>
    <row r="4935" ht="18" customHeight="1" s="17"/>
    <row r="4936" ht="18" customHeight="1" s="17"/>
    <row r="4937" ht="18" customHeight="1" s="17"/>
    <row r="4938" ht="18" customHeight="1" s="17"/>
    <row r="4939" ht="18" customHeight="1" s="17"/>
    <row r="4940" ht="18" customHeight="1" s="17"/>
    <row r="4941" ht="18" customHeight="1" s="17"/>
    <row r="4942" ht="18" customHeight="1" s="17"/>
    <row r="4943" ht="18" customHeight="1" s="17"/>
    <row r="4944" ht="18" customHeight="1" s="17"/>
    <row r="4945" ht="18" customHeight="1" s="17"/>
    <row r="4946" ht="18" customHeight="1" s="17"/>
    <row r="4947" ht="18" customHeight="1" s="17"/>
    <row r="4948" ht="18" customHeight="1" s="17"/>
    <row r="4949" ht="18" customHeight="1" s="17"/>
    <row r="4950" ht="18" customHeight="1" s="17"/>
    <row r="4951" ht="18" customHeight="1" s="17"/>
    <row r="4952" ht="18" customHeight="1" s="17"/>
    <row r="4953" ht="18" customHeight="1" s="17"/>
    <row r="4954" ht="18" customHeight="1" s="17"/>
    <row r="4955" ht="18" customHeight="1" s="17"/>
    <row r="4956" ht="18" customHeight="1" s="17"/>
    <row r="4957" ht="18" customHeight="1" s="17"/>
    <row r="4958" ht="18" customHeight="1" s="17"/>
    <row r="4959" ht="18" customHeight="1" s="17"/>
    <row r="4960" ht="18" customHeight="1" s="17"/>
    <row r="4961" ht="18" customHeight="1" s="17"/>
    <row r="4962" ht="18" customHeight="1" s="17"/>
    <row r="4963" ht="18" customHeight="1" s="17"/>
    <row r="4964" ht="18" customHeight="1" s="17"/>
    <row r="4965" ht="18" customHeight="1" s="17"/>
    <row r="4966" ht="18" customHeight="1" s="17"/>
    <row r="4967" ht="18" customHeight="1" s="17"/>
    <row r="4968" ht="18" customHeight="1" s="17"/>
    <row r="4969" ht="18" customHeight="1" s="17"/>
    <row r="4970" ht="18" customHeight="1" s="17"/>
    <row r="4971" ht="18" customHeight="1" s="17"/>
    <row r="4972" ht="18" customHeight="1" s="17"/>
    <row r="4973" ht="18" customHeight="1" s="17"/>
    <row r="4974" ht="18" customHeight="1" s="17"/>
    <row r="4975" ht="18" customHeight="1" s="17"/>
    <row r="4976" ht="18" customHeight="1" s="17"/>
    <row r="4977" ht="18" customHeight="1" s="17"/>
    <row r="4978" ht="18" customHeight="1" s="17"/>
    <row r="4979" ht="18" customHeight="1" s="17"/>
    <row r="4980" ht="18" customHeight="1" s="17"/>
    <row r="4981" ht="18" customHeight="1" s="17"/>
    <row r="4982" ht="18" customHeight="1" s="17"/>
    <row r="4983" ht="18" customHeight="1" s="17"/>
    <row r="4984" ht="18" customHeight="1" s="17"/>
    <row r="4985" ht="18" customHeight="1" s="17"/>
    <row r="4986" ht="18" customHeight="1" s="17"/>
    <row r="4987" ht="18" customHeight="1" s="17"/>
    <row r="4988" ht="18" customHeight="1" s="17"/>
    <row r="4989" ht="18" customHeight="1" s="17"/>
    <row r="4990" ht="18" customHeight="1" s="17"/>
    <row r="4991" ht="18" customHeight="1" s="17"/>
    <row r="4992" ht="18" customHeight="1" s="17"/>
    <row r="4993" ht="18" customHeight="1" s="17"/>
    <row r="4994" ht="18" customHeight="1" s="17"/>
    <row r="4995" ht="18" customHeight="1" s="17"/>
    <row r="4996" ht="18" customHeight="1" s="17"/>
    <row r="4997" ht="18" customHeight="1" s="17"/>
    <row r="4998" ht="18" customHeight="1" s="17"/>
    <row r="4999" ht="18" customHeight="1" s="17"/>
  </sheetData>
  <mergeCells count="1">
    <mergeCell ref="B1: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H20"/>
  <sheetViews>
    <sheetView showGridLines="0" workbookViewId="0">
      <selection activeCell="A1" sqref="A1"/>
    </sheetView>
  </sheetViews>
  <sheetFormatPr baseColWidth="8" defaultRowHeight="15"/>
  <cols>
    <col width="22" customWidth="1" style="17" min="1" max="1"/>
    <col width="22" customWidth="1" style="17" min="2" max="2"/>
    <col width="22" customWidth="1" style="17" min="3" max="3"/>
    <col width="22" customWidth="1" style="17" min="4" max="4"/>
    <col width="22" customWidth="1" style="17" min="5" max="5"/>
    <col width="22" customWidth="1" style="17" min="6" max="6"/>
    <col width="22" customWidth="1" style="17" min="7" max="7"/>
    <col width="22" customWidth="1" style="17" min="8" max="8"/>
  </cols>
  <sheetData>
    <row r="1" ht="24" customHeight="1" s="17">
      <c r="A1" s="25" t="inlineStr">
        <is>
          <t>Interface de génération QTI – Version 2</t>
        </is>
      </c>
    </row>
    <row r="2" ht="24" customHeight="1" s="17"/>
    <row r="3" ht="24" customHeight="1" s="17">
      <c r="A3" s="26" t="inlineStr">
        <is>
          <t>Paramètres</t>
        </is>
      </c>
      <c r="D3" s="26" t="inlineStr">
        <is>
          <t>Tableau de bord</t>
        </is>
      </c>
    </row>
    <row r="4" ht="24" customHeight="1" s="17"/>
    <row r="5" ht="24" customHeight="1" s="17">
      <c r="A5" s="24" t="inlineStr">
        <is>
          <t>Auteur par défaut</t>
        </is>
      </c>
      <c r="B5" s="27" t="inlineStr">
        <is>
          <t>Auteur non renseigné</t>
        </is>
      </c>
      <c r="D5" s="24" t="inlineStr">
        <is>
          <t>Questions OK</t>
        </is>
      </c>
      <c r="E5" s="28">
        <f>COUNTIF(Saisie_Questions!O5:O104,"OK")</f>
        <v/>
      </c>
    </row>
    <row r="6" ht="24" customHeight="1" s="17">
      <c r="A6" s="24" t="inlineStr">
        <is>
          <t>Fichier généré par la macro</t>
        </is>
      </c>
      <c r="B6" s="29" t="inlineStr">
        <is>
          <t>qti_ilias8.xml</t>
        </is>
      </c>
      <c r="D6" s="24" t="inlineStr">
        <is>
          <t>Questions en erreur</t>
        </is>
      </c>
      <c r="E6" s="28">
        <f>COUNTIF(Saisie_Questions!O5:O104,"Erreur*")</f>
        <v/>
      </c>
    </row>
    <row r="7" ht="24" customHeight="1" s="17">
      <c r="A7" s="24" t="inlineStr">
        <is>
          <t>Maximum questions</t>
        </is>
      </c>
      <c r="B7" s="29" t="n">
        <v>100</v>
      </c>
      <c r="D7" s="24" t="inlineStr">
        <is>
          <t>Questions avec auteur saisi</t>
        </is>
      </c>
      <c r="E7" s="28">
        <f>COUNTIFS(Saisie_Questions!O5:O104,"OK",Saisie_Questions!P5:P104,"&lt;&gt;")</f>
        <v/>
      </c>
    </row>
    <row r="8" ht="24" customHeight="1" s="17">
      <c r="A8" s="24" t="inlineStr">
        <is>
          <t>Type de question</t>
        </is>
      </c>
      <c r="B8" s="29" t="inlineStr">
        <is>
          <t>QCU</t>
        </is>
      </c>
      <c r="D8" s="24" t="inlineStr">
        <is>
          <t>Questions avec explication</t>
        </is>
      </c>
      <c r="E8" s="28">
        <f>COUNTIFS(Saisie_Questions!O5:O104,"OK",Saisie_Questions!Q5:Q104,"&lt;&gt;")</f>
        <v/>
      </c>
    </row>
    <row r="9" ht="24" customHeight="1" s="17">
      <c r="A9" s="24" t="inlineStr">
        <is>
          <t>Version cible ILIAS</t>
        </is>
      </c>
      <c r="B9" s="29" t="inlineStr">
        <is>
          <t>8</t>
        </is>
      </c>
      <c r="D9" s="24" t="inlineStr">
        <is>
          <t>Feedbacks réponse renseignés</t>
        </is>
      </c>
      <c r="E9" s="28">
        <f>SUM(COUNTIFS(Saisie_Questions!O5:O104,"OK",Saisie_Questions!R5:R104,"&lt;&gt;"),COUNTIFS(Saisie_Questions!O5:O104,"OK",Saisie_Questions!S5:S104,"&lt;&gt;"),COUNTIFS(Saisie_Questions!O5:O104,"OK",Saisie_Questions!T5:T104,"&lt;&gt;"),COUNTIFS(Saisie_Questions!O5:O104,"OK",Saisie_Questions!U5:U104,"&lt;&gt;"),COUNTIFS(Saisie_Questions!O5:O104,"OK",Saisie_Questions!V5:V104,"&lt;&gt;"),COUNTIFS(Saisie_Questions!O5:O104,"OK",Saisie_Questions!W5:W104,"&lt;&gt;"),COUNTIFS(Saisie_Questions!O5:O104,"OK",Saisie_Questions!X5:X104,"&lt;&gt;"),COUNTIFS(Saisie_Questions!O5:O104,"OK",Saisie_Questions!Y5:Y104,"&lt;&gt;"))</f>
        <v/>
      </c>
    </row>
    <row r="10" ht="24" customHeight="1" s="17"/>
    <row r="11" ht="24" customHeight="1" s="17"/>
    <row r="12" ht="24" customHeight="1" s="17">
      <c r="A12" s="26" t="inlineStr">
        <is>
          <t>Procédure de génération</t>
        </is>
      </c>
      <c r="D12" s="26" t="inlineStr">
        <is>
          <t>Liens rapides</t>
        </is>
      </c>
    </row>
    <row r="13" ht="24" customHeight="1" s="17"/>
    <row r="14" ht="24" customHeight="1" s="17">
      <c r="A14" s="30" t="inlineStr">
        <is>
          <t>1. Compléter les lignes dans Saisie_Questions.</t>
        </is>
      </c>
      <c r="B14" s="51" t="n"/>
      <c r="C14" s="52" t="n"/>
      <c r="D14" s="31" t="inlineStr">
        <is>
          <t>Aller à la saisie</t>
        </is>
      </c>
    </row>
    <row r="15" ht="24" customHeight="1" s="17">
      <c r="A15" s="30" t="inlineStr">
        <is>
          <t>2. Vérifier que la colonne Contrôle affiche OK.</t>
        </is>
      </c>
      <c r="B15" s="51" t="n"/>
      <c r="C15" s="52" t="n"/>
      <c r="D15" s="31" t="inlineStr">
        <is>
          <t>Voir XML calculé</t>
        </is>
      </c>
    </row>
    <row r="16" ht="24" customHeight="1" s="17">
      <c r="A16" s="30" t="inlineStr">
        <is>
          <t>3. Enregistrer le classeur XLSM dans un dossier local.</t>
        </is>
      </c>
      <c r="B16" s="51" t="n"/>
      <c r="C16" s="52" t="n"/>
      <c r="D16" s="31" t="inlineStr">
        <is>
          <t>Voir feuille technique</t>
        </is>
      </c>
    </row>
    <row r="17" ht="24" customHeight="1" s="17">
      <c r="A17" s="30" t="inlineStr">
        <is>
          <t>4. Cliquer sur Générer XML dans la feuille Saisie_Questions.</t>
        </is>
      </c>
      <c r="B17" s="51" t="n"/>
      <c r="C17" s="52" t="n"/>
      <c r="D17" s="31" t="inlineStr">
        <is>
          <t>Lire la notice</t>
        </is>
      </c>
    </row>
    <row r="18" ht="24" customHeight="1" s="17">
      <c r="A18" s="30" t="inlineStr">
        <is>
          <t>5. Importer qti_ilias8.xml dans ILIAS puis tester quelques questions.</t>
        </is>
      </c>
      <c r="B18" s="51" t="n"/>
      <c r="C18" s="52" t="n"/>
      <c r="D18" s="32" t="inlineStr">
        <is>
          <t>Note : la macro existante est conservée. Elle recalcule les formules puis écrit les lignes non vides de XML_QTI dans le fichier XML.</t>
        </is>
      </c>
      <c r="E18" s="53" t="n"/>
      <c r="F18" s="53" t="n"/>
      <c r="G18" s="53" t="n"/>
      <c r="H18" s="54" t="n"/>
    </row>
    <row r="19" ht="24" customHeight="1" s="17">
      <c r="D19" s="55" t="n"/>
      <c r="H19" s="56" t="n"/>
    </row>
    <row r="20" ht="24" customHeight="1" s="17">
      <c r="D20" s="57" t="n"/>
      <c r="E20" s="58" t="n"/>
      <c r="F20" s="58" t="n"/>
      <c r="G20" s="58" t="n"/>
      <c r="H20" s="59" t="n"/>
    </row>
    <row r="21" ht="24" customHeight="1" s="17"/>
  </sheetData>
  <mergeCells count="7">
    <mergeCell ref="A14:C14"/>
    <mergeCell ref="A17:C17"/>
    <mergeCell ref="A18:C18"/>
    <mergeCell ref="D18:H20"/>
    <mergeCell ref="A1:H1"/>
    <mergeCell ref="A15:C15"/>
    <mergeCell ref="A16:C16"/>
  </mergeCells>
  <hyperlinks>
    <hyperlink xmlns:r="http://schemas.openxmlformats.org/officeDocument/2006/relationships" ref="D14" r:id="rId1"/>
    <hyperlink xmlns:r="http://schemas.openxmlformats.org/officeDocument/2006/relationships" ref="D15" r:id="rId2"/>
    <hyperlink xmlns:r="http://schemas.openxmlformats.org/officeDocument/2006/relationships" ref="D16" r:id="rId3"/>
    <hyperlink xmlns:r="http://schemas.openxmlformats.org/officeDocument/2006/relationships" ref="D17" r:id="rId4"/>
  </hyperlink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Y104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3" sqref="A3:O3"/>
    </sheetView>
  </sheetViews>
  <sheetFormatPr baseColWidth="10" defaultColWidth="9" defaultRowHeight="14.25"/>
  <cols>
    <col width="6" customWidth="1" style="17" min="1" max="1"/>
    <col hidden="1" width="13" customWidth="1" style="17" min="2" max="2"/>
    <col width="26" customWidth="1" style="17" min="3" max="3"/>
    <col width="52" customWidth="1" style="17" min="4" max="4"/>
    <col width="22" customWidth="1" style="17" min="5" max="12"/>
    <col width="22" customWidth="1" style="17" min="6" max="6"/>
    <col width="22" customWidth="1" style="17" min="7" max="7"/>
    <col width="22" customWidth="1" style="17" min="8" max="8"/>
    <col width="18" customWidth="1" style="17" min="9" max="9"/>
    <col width="18" customWidth="1" style="17" min="10" max="10"/>
    <col width="18" customWidth="1" style="17" min="11" max="11"/>
    <col width="18" customWidth="1" style="17" min="12" max="12"/>
    <col width="16" customWidth="1" style="17" min="13" max="13"/>
    <col width="12" customWidth="1" style="17" min="14" max="14"/>
    <col width="38" customWidth="1" style="17" min="15" max="15"/>
    <col width="24" customWidth="1" style="17" min="16" max="16"/>
    <col width="48" customWidth="1" style="17" min="17" max="17"/>
    <col width="34" customWidth="1" style="17" min="18" max="18"/>
    <col width="34" customWidth="1" style="17" min="19" max="19"/>
    <col width="34" customWidth="1" style="17" min="20" max="20"/>
    <col width="34" customWidth="1" style="17" min="21" max="21"/>
    <col width="34" customWidth="1" style="17" min="22" max="22"/>
    <col width="34" customWidth="1" style="17" min="23" max="23"/>
    <col width="34" customWidth="1" style="17" min="24" max="24"/>
    <col width="34" customWidth="1" style="17" min="25" max="25"/>
  </cols>
  <sheetData>
    <row r="1" ht="28" customHeight="1" s="17">
      <c r="A1" s="33" t="inlineStr">
        <is>
          <t>Saisie des questions QCU – Version 2</t>
        </is>
      </c>
    </row>
    <row r="2" ht="24" customHeight="1" s="17">
      <c r="A2" s="34" t="inlineStr">
        <is>
          <t>Champs V2 : auteur par question, feedbacks optionnels par réponse, explication/correction détaillée optionnelle.</t>
        </is>
      </c>
    </row>
    <row r="3" ht="38" customHeight="1" s="17">
      <c r="A3" s="35" t="inlineStr">
        <is>
          <t>Compléter les colonnes A à N pour générer la question. Colonnes P à Y optionnelles. La colonne O doit afficher OK pour être intégrée au XML. Bonne réponse : saisir un seul numéro de 1 à 8.</t>
        </is>
      </c>
    </row>
    <row r="4" ht="42" customHeight="1" s="17">
      <c r="A4" s="36" t="inlineStr">
        <is>
          <t>N°</t>
        </is>
      </c>
      <c r="B4" s="36" t="inlineStr">
        <is>
          <t>Type auto</t>
        </is>
      </c>
      <c r="C4" s="36" t="inlineStr">
        <is>
          <t>Titre</t>
        </is>
      </c>
      <c r="D4" s="36" t="inlineStr">
        <is>
          <t>Question</t>
        </is>
      </c>
      <c r="E4" s="36" t="inlineStr">
        <is>
          <t>Réponse 1</t>
        </is>
      </c>
      <c r="F4" s="36" t="inlineStr">
        <is>
          <t>Réponse 2</t>
        </is>
      </c>
      <c r="G4" s="36" t="inlineStr">
        <is>
          <t>Réponse 3</t>
        </is>
      </c>
      <c r="H4" s="36" t="inlineStr">
        <is>
          <t>Réponse 4</t>
        </is>
      </c>
      <c r="I4" s="36" t="inlineStr">
        <is>
          <t>Réponse 5</t>
        </is>
      </c>
      <c r="J4" s="36" t="inlineStr">
        <is>
          <t>Réponse 6</t>
        </is>
      </c>
      <c r="K4" s="36" t="inlineStr">
        <is>
          <t>Réponse 7</t>
        </is>
      </c>
      <c r="L4" s="36" t="inlineStr">
        <is>
          <t>Réponse 8</t>
        </is>
      </c>
      <c r="M4" s="36" t="inlineStr">
        <is>
          <t>Bonne réponse</t>
        </is>
      </c>
      <c r="N4" s="36" t="inlineStr">
        <is>
          <t>Pondération</t>
        </is>
      </c>
      <c r="O4" s="36" t="inlineStr">
        <is>
          <t>Contrôle</t>
        </is>
      </c>
      <c r="P4" s="36" t="inlineStr">
        <is>
          <t>Auteur</t>
        </is>
      </c>
      <c r="Q4" s="36" t="inlineStr">
        <is>
          <t>Explication / correction détaillée</t>
        </is>
      </c>
      <c r="R4" s="36" t="inlineStr">
        <is>
          <t>Feedback réponse 1</t>
        </is>
      </c>
      <c r="S4" s="36" t="inlineStr">
        <is>
          <t>Feedback réponse 2</t>
        </is>
      </c>
      <c r="T4" s="36" t="inlineStr">
        <is>
          <t>Feedback réponse 3</t>
        </is>
      </c>
      <c r="U4" s="36" t="inlineStr">
        <is>
          <t>Feedback réponse 4</t>
        </is>
      </c>
      <c r="V4" s="36" t="inlineStr">
        <is>
          <t>Feedback réponse 5</t>
        </is>
      </c>
      <c r="W4" s="36" t="inlineStr">
        <is>
          <t>Feedback réponse 6</t>
        </is>
      </c>
      <c r="X4" s="36" t="inlineStr">
        <is>
          <t>Feedback réponse 7</t>
        </is>
      </c>
      <c r="Y4" s="36" t="inlineStr">
        <is>
          <t>Feedback réponse 8</t>
        </is>
      </c>
    </row>
    <row r="5" ht="45" customHeight="1" s="17">
      <c r="A5" s="37">
        <f>IF(COUNTA(C5:N5)=0,"",ROW()-4)</f>
        <v/>
      </c>
      <c r="B5" s="37">
        <f>IF(COUNTA(C5:N5)=0,"","qcu")</f>
        <v/>
      </c>
      <c r="C5" s="38" t="inlineStr">
        <is>
          <t>Exemple QCU V2</t>
        </is>
      </c>
      <c r="D5" s="38" t="inlineStr">
        <is>
          <t>Quelle est la capitale de la France ?</t>
        </is>
      </c>
      <c r="E5" s="38" t="inlineStr">
        <is>
          <t>Paris</t>
        </is>
      </c>
      <c r="F5" s="38" t="inlineStr">
        <is>
          <t>Lyon</t>
        </is>
      </c>
      <c r="G5" s="38" t="inlineStr">
        <is>
          <t>Marseille</t>
        </is>
      </c>
      <c r="H5" s="38" t="inlineStr">
        <is>
          <t>Toulouse</t>
        </is>
      </c>
      <c r="I5" s="38" t="n"/>
      <c r="J5" s="38" t="n"/>
      <c r="K5" s="38" t="n"/>
      <c r="L5" s="38" t="n"/>
      <c r="M5" s="39" t="n">
        <v>1</v>
      </c>
      <c r="N5" s="40" t="n">
        <v>1</v>
      </c>
      <c r="O5" s="37">
        <f>IF(COUNTA(C5:N5)=0,"",IF(D5="","Erreur : question manquante",IF((IF(E5="",0,1)+IF(F5="",0,1)+IF(G5="",0,1)+IF(H5="",0,1)+IF(I5="",0,1)+IF(J5="",0,1)+IF(K5="",0,1)+IF(L5="",0,1))&lt;2,"Erreur : au moins 2 réponses",IF(M5="","Erreur : bonne réponse manquante",IF(NOT(ISNUMBER(N5)),"Erreur : pondération numérique",IF(N5&lt;=0,"Erreur : pondération &gt; 0",IF(ISNUMBER(SEARCH(";",M5&amp;"")),"Erreur : QCU = 1 seule bonne réponse",IFERROR(IF(OR(VALUE(M5)&lt;1,VALUE(M5)&gt;8,VALUE(M5)&lt;&gt;INT(VALUE(M5))),"Erreur : bonne réponse 1-8",IF(INDEX(E5:L5,1,VALUE(M5))="","Erreur : réponse correcte vide","OK")),"Erreur : bonne réponse 1-8"))))))))</f>
        <v/>
      </c>
      <c r="P5" s="41" t="inlineStr">
        <is>
          <t>Formateur exemple</t>
        </is>
      </c>
      <c r="Q5" s="41" t="inlineStr">
        <is>
          <t>La capitale de la France est Paris.</t>
        </is>
      </c>
      <c r="R5" s="41" t="inlineStr">
        <is>
          <t>Bonne réponse : Paris est bien la capitale de la France.</t>
        </is>
      </c>
      <c r="S5" s="41" t="inlineStr">
        <is>
          <t>Lyon est une grande ville française, mais ce n’est pas la capitale.</t>
        </is>
      </c>
      <c r="T5" s="41" t="inlineStr">
        <is>
          <t>Marseille n’est pas la capitale de la France.</t>
        </is>
      </c>
      <c r="U5" s="41" t="inlineStr">
        <is>
          <t>Toulouse n’est pas la capitale de la France.</t>
        </is>
      </c>
      <c r="V5" s="41" t="n"/>
      <c r="W5" s="41" t="n"/>
      <c r="X5" s="41" t="n"/>
      <c r="Y5" s="41" t="n"/>
    </row>
    <row r="6" ht="28" customHeight="1" s="17">
      <c r="A6" s="37">
        <f>IF(COUNTA(C6:N6)=0,"",ROW()-4)</f>
        <v/>
      </c>
      <c r="B6" s="37">
        <f>IF(COUNTA(C6:N6)=0,"","qcu")</f>
        <v/>
      </c>
      <c r="C6" s="38" t="n"/>
      <c r="D6" s="38" t="n"/>
      <c r="E6" s="38" t="n"/>
      <c r="F6" s="38" t="n"/>
      <c r="G6" s="38" t="n"/>
      <c r="H6" s="38" t="n"/>
      <c r="I6" s="38" t="n"/>
      <c r="J6" s="38" t="n"/>
      <c r="K6" s="38" t="n"/>
      <c r="L6" s="38" t="n"/>
      <c r="M6" s="39" t="n"/>
      <c r="N6" s="40" t="n"/>
      <c r="O6" s="37">
        <f>IF(COUNTA(C6:N6)=0,"",IF(D6="","Erreur : question manquante",IF((IF(E6="",0,1)+IF(F6="",0,1)+IF(G6="",0,1)+IF(H6="",0,1)+IF(I6="",0,1)+IF(J6="",0,1)+IF(K6="",0,1)+IF(L6="",0,1))&lt;2,"Erreur : au moins 2 réponses",IF(M6="","Erreur : bonne réponse manquante",IF(NOT(ISNUMBER(N6)),"Erreur : pondération numérique",IF(N6&lt;=0,"Erreur : pondération &gt; 0",IF(ISNUMBER(SEARCH(";",M6&amp;"")),"Erreur : QCU = 1 seule bonne réponse",IFERROR(IF(OR(VALUE(M6)&lt;1,VALUE(M6)&gt;8,VALUE(M6)&lt;&gt;INT(VALUE(M6))),"Erreur : bonne réponse 1-8",IF(INDEX(E6:L6,1,VALUE(M6))="","Erreur : réponse correcte vide","OK")),"Erreur : bonne réponse 1-8"))))))))</f>
        <v/>
      </c>
      <c r="P6" s="41" t="n"/>
      <c r="Q6" s="41" t="n"/>
      <c r="R6" s="41" t="n"/>
      <c r="S6" s="41" t="n"/>
      <c r="T6" s="41" t="n"/>
      <c r="U6" s="41" t="n"/>
      <c r="V6" s="41" t="n"/>
      <c r="W6" s="41" t="n"/>
      <c r="X6" s="41" t="n"/>
      <c r="Y6" s="41" t="n"/>
    </row>
    <row r="7" ht="28" customHeight="1" s="17">
      <c r="A7" s="37">
        <f>IF(COUNTA(C7:N7)=0,"",ROW()-4)</f>
        <v/>
      </c>
      <c r="B7" s="37">
        <f>IF(COUNTA(C7:N7)=0,"","qcu")</f>
        <v/>
      </c>
      <c r="C7" s="38" t="n"/>
      <c r="D7" s="38" t="n"/>
      <c r="E7" s="38" t="n"/>
      <c r="F7" s="38" t="n"/>
      <c r="G7" s="38" t="n"/>
      <c r="H7" s="38" t="n"/>
      <c r="I7" s="38" t="n"/>
      <c r="J7" s="38" t="n"/>
      <c r="K7" s="38" t="n"/>
      <c r="L7" s="38" t="n"/>
      <c r="M7" s="39" t="n"/>
      <c r="N7" s="40" t="n"/>
      <c r="O7" s="37">
        <f>IF(COUNTA(C7:N7)=0,"",IF(D7="","Erreur : question manquante",IF((IF(E7="",0,1)+IF(F7="",0,1)+IF(G7="",0,1)+IF(H7="",0,1)+IF(I7="",0,1)+IF(J7="",0,1)+IF(K7="",0,1)+IF(L7="",0,1))&lt;2,"Erreur : au moins 2 réponses",IF(M7="","Erreur : bonne réponse manquante",IF(NOT(ISNUMBER(N7)),"Erreur : pondération numérique",IF(N7&lt;=0,"Erreur : pondération &gt; 0",IF(ISNUMBER(SEARCH(";",M7&amp;"")),"Erreur : QCU = 1 seule bonne réponse",IFERROR(IF(OR(VALUE(M7)&lt;1,VALUE(M7)&gt;8,VALUE(M7)&lt;&gt;INT(VALUE(M7))),"Erreur : bonne réponse 1-8",IF(INDEX(E7:L7,1,VALUE(M7))="","Erreur : réponse correcte vide","OK")),"Erreur : bonne réponse 1-8"))))))))</f>
        <v/>
      </c>
      <c r="P7" s="41" t="n"/>
      <c r="Q7" s="41" t="n"/>
      <c r="R7" s="41" t="n"/>
      <c r="S7" s="41" t="n"/>
      <c r="T7" s="41" t="n"/>
      <c r="U7" s="41" t="n"/>
      <c r="V7" s="41" t="n"/>
      <c r="W7" s="41" t="n"/>
      <c r="X7" s="41" t="n"/>
      <c r="Y7" s="41" t="n"/>
    </row>
    <row r="8" ht="28" customHeight="1" s="17">
      <c r="A8" s="37">
        <f>IF(COUNTA(C8:N8)=0,"",ROW()-4)</f>
        <v/>
      </c>
      <c r="B8" s="37">
        <f>IF(COUNTA(C8:N8)=0,"","qcu")</f>
        <v/>
      </c>
      <c r="C8" s="38" t="n"/>
      <c r="D8" s="38" t="n"/>
      <c r="E8" s="38" t="n"/>
      <c r="F8" s="38" t="n"/>
      <c r="G8" s="38" t="n"/>
      <c r="H8" s="38" t="n"/>
      <c r="I8" s="38" t="n"/>
      <c r="J8" s="38" t="n"/>
      <c r="K8" s="38" t="n"/>
      <c r="L8" s="38" t="n"/>
      <c r="M8" s="39" t="n"/>
      <c r="N8" s="40" t="n"/>
      <c r="O8" s="37">
        <f>IF(COUNTA(C8:N8)=0,"",IF(D8="","Erreur : question manquante",IF((IF(E8="",0,1)+IF(F8="",0,1)+IF(G8="",0,1)+IF(H8="",0,1)+IF(I8="",0,1)+IF(J8="",0,1)+IF(K8="",0,1)+IF(L8="",0,1))&lt;2,"Erreur : au moins 2 réponses",IF(M8="","Erreur : bonne réponse manquante",IF(NOT(ISNUMBER(N8)),"Erreur : pondération numérique",IF(N8&lt;=0,"Erreur : pondération &gt; 0",IF(ISNUMBER(SEARCH(";",M8&amp;"")),"Erreur : QCU = 1 seule bonne réponse",IFERROR(IF(OR(VALUE(M8)&lt;1,VALUE(M8)&gt;8,VALUE(M8)&lt;&gt;INT(VALUE(M8))),"Erreur : bonne réponse 1-8",IF(INDEX(E8:L8,1,VALUE(M8))="","Erreur : réponse correcte vide","OK")),"Erreur : bonne réponse 1-8"))))))))</f>
        <v/>
      </c>
      <c r="P8" s="41" t="n"/>
      <c r="Q8" s="41" t="n"/>
      <c r="R8" s="41" t="n"/>
      <c r="S8" s="41" t="n"/>
      <c r="T8" s="41" t="n"/>
      <c r="U8" s="41" t="n"/>
      <c r="V8" s="41" t="n"/>
      <c r="W8" s="41" t="n"/>
      <c r="X8" s="41" t="n"/>
      <c r="Y8" s="41" t="n"/>
    </row>
    <row r="9" ht="28" customHeight="1" s="17">
      <c r="A9" s="37">
        <f>IF(COUNTA(C9:N9)=0,"",ROW()-4)</f>
        <v/>
      </c>
      <c r="B9" s="37">
        <f>IF(COUNTA(C9:N9)=0,"","qcu")</f>
        <v/>
      </c>
      <c r="C9" s="38" t="n"/>
      <c r="D9" s="38" t="n"/>
      <c r="E9" s="38" t="n"/>
      <c r="F9" s="38" t="n"/>
      <c r="G9" s="38" t="n"/>
      <c r="H9" s="38" t="n"/>
      <c r="I9" s="38" t="n"/>
      <c r="J9" s="38" t="n"/>
      <c r="K9" s="38" t="n"/>
      <c r="L9" s="38" t="n"/>
      <c r="M9" s="39" t="n"/>
      <c r="N9" s="40" t="n"/>
      <c r="O9" s="37">
        <f>IF(COUNTA(C9:N9)=0,"",IF(D9="","Erreur : question manquante",IF((IF(E9="",0,1)+IF(F9="",0,1)+IF(G9="",0,1)+IF(H9="",0,1)+IF(I9="",0,1)+IF(J9="",0,1)+IF(K9="",0,1)+IF(L9="",0,1))&lt;2,"Erreur : au moins 2 réponses",IF(M9="","Erreur : bonne réponse manquante",IF(NOT(ISNUMBER(N9)),"Erreur : pondération numérique",IF(N9&lt;=0,"Erreur : pondération &gt; 0",IF(ISNUMBER(SEARCH(";",M9&amp;"")),"Erreur : QCU = 1 seule bonne réponse",IFERROR(IF(OR(VALUE(M9)&lt;1,VALUE(M9)&gt;8,VALUE(M9)&lt;&gt;INT(VALUE(M9))),"Erreur : bonne réponse 1-8",IF(INDEX(E9:L9,1,VALUE(M9))="","Erreur : réponse correcte vide","OK")),"Erreur : bonne réponse 1-8"))))))))</f>
        <v/>
      </c>
      <c r="P9" s="41" t="n"/>
      <c r="Q9" s="41" t="n"/>
      <c r="R9" s="41" t="n"/>
      <c r="S9" s="41" t="n"/>
      <c r="T9" s="41" t="n"/>
      <c r="U9" s="41" t="n"/>
      <c r="V9" s="41" t="n"/>
      <c r="W9" s="41" t="n"/>
      <c r="X9" s="41" t="n"/>
      <c r="Y9" s="41" t="n"/>
    </row>
    <row r="10" ht="28" customHeight="1" s="17">
      <c r="A10" s="37">
        <f>IF(COUNTA(C10:N10)=0,"",ROW()-4)</f>
        <v/>
      </c>
      <c r="B10" s="37">
        <f>IF(COUNTA(C10:N10)=0,"","qcu")</f>
        <v/>
      </c>
      <c r="C10" s="38" t="n"/>
      <c r="D10" s="38" t="n"/>
      <c r="E10" s="38" t="n"/>
      <c r="F10" s="38" t="n"/>
      <c r="G10" s="38" t="n"/>
      <c r="H10" s="38" t="n"/>
      <c r="I10" s="38" t="n"/>
      <c r="J10" s="38" t="n"/>
      <c r="K10" s="38" t="n"/>
      <c r="L10" s="38" t="n"/>
      <c r="M10" s="39" t="n"/>
      <c r="N10" s="40" t="n"/>
      <c r="O10" s="37">
        <f>IF(COUNTA(C10:N10)=0,"",IF(D10="","Erreur : question manquante",IF((IF(E10="",0,1)+IF(F10="",0,1)+IF(G10="",0,1)+IF(H10="",0,1)+IF(I10="",0,1)+IF(J10="",0,1)+IF(K10="",0,1)+IF(L10="",0,1))&lt;2,"Erreur : au moins 2 réponses",IF(M10="","Erreur : bonne réponse manquante",IF(NOT(ISNUMBER(N10)),"Erreur : pondération numérique",IF(N10&lt;=0,"Erreur : pondération &gt; 0",IF(ISNUMBER(SEARCH(";",M10&amp;"")),"Erreur : QCU = 1 seule bonne réponse",IFERROR(IF(OR(VALUE(M10)&lt;1,VALUE(M10)&gt;8,VALUE(M10)&lt;&gt;INT(VALUE(M10))),"Erreur : bonne réponse 1-8",IF(INDEX(E10:L10,1,VALUE(M10))="","Erreur : réponse correcte vide","OK")),"Erreur : bonne réponse 1-8"))))))))</f>
        <v/>
      </c>
      <c r="P10" s="41" t="n"/>
      <c r="Q10" s="41" t="n"/>
      <c r="R10" s="41" t="n"/>
      <c r="S10" s="41" t="n"/>
      <c r="T10" s="41" t="n"/>
      <c r="U10" s="41" t="n"/>
      <c r="V10" s="41" t="n"/>
      <c r="W10" s="41" t="n"/>
      <c r="X10" s="41" t="n"/>
      <c r="Y10" s="41" t="n"/>
    </row>
    <row r="11" ht="28" customHeight="1" s="17">
      <c r="A11" s="37">
        <f>IF(COUNTA(C11:N11)=0,"",ROW()-4)</f>
        <v/>
      </c>
      <c r="B11" s="37">
        <f>IF(COUNTA(C11:N11)=0,"","qcu")</f>
        <v/>
      </c>
      <c r="C11" s="38" t="n"/>
      <c r="D11" s="38" t="n"/>
      <c r="E11" s="38" t="n"/>
      <c r="F11" s="38" t="n"/>
      <c r="G11" s="38" t="n"/>
      <c r="H11" s="38" t="n"/>
      <c r="I11" s="38" t="n"/>
      <c r="J11" s="38" t="n"/>
      <c r="K11" s="38" t="n"/>
      <c r="L11" s="38" t="n"/>
      <c r="M11" s="39" t="n"/>
      <c r="N11" s="40" t="n"/>
      <c r="O11" s="37">
        <f>IF(COUNTA(C11:N11)=0,"",IF(D11="","Erreur : question manquante",IF((IF(E11="",0,1)+IF(F11="",0,1)+IF(G11="",0,1)+IF(H11="",0,1)+IF(I11="",0,1)+IF(J11="",0,1)+IF(K11="",0,1)+IF(L11="",0,1))&lt;2,"Erreur : au moins 2 réponses",IF(M11="","Erreur : bonne réponse manquante",IF(NOT(ISNUMBER(N11)),"Erreur : pondération numérique",IF(N11&lt;=0,"Erreur : pondération &gt; 0",IF(ISNUMBER(SEARCH(";",M11&amp;"")),"Erreur : QCU = 1 seule bonne réponse",IFERROR(IF(OR(VALUE(M11)&lt;1,VALUE(M11)&gt;8,VALUE(M11)&lt;&gt;INT(VALUE(M11))),"Erreur : bonne réponse 1-8",IF(INDEX(E11:L11,1,VALUE(M11))="","Erreur : réponse correcte vide","OK")),"Erreur : bonne réponse 1-8"))))))))</f>
        <v/>
      </c>
      <c r="P11" s="41" t="n"/>
      <c r="Q11" s="41" t="n"/>
      <c r="R11" s="41" t="n"/>
      <c r="S11" s="41" t="n"/>
      <c r="T11" s="41" t="n"/>
      <c r="U11" s="41" t="n"/>
      <c r="V11" s="41" t="n"/>
      <c r="W11" s="41" t="n"/>
      <c r="X11" s="41" t="n"/>
      <c r="Y11" s="41" t="n"/>
    </row>
    <row r="12" ht="28" customHeight="1" s="17">
      <c r="A12" s="37">
        <f>IF(COUNTA(C12:N12)=0,"",ROW()-4)</f>
        <v/>
      </c>
      <c r="B12" s="37">
        <f>IF(COUNTA(C12:N12)=0,"","qcu")</f>
        <v/>
      </c>
      <c r="C12" s="38" t="n"/>
      <c r="D12" s="38" t="n"/>
      <c r="E12" s="38" t="n"/>
      <c r="F12" s="38" t="n"/>
      <c r="G12" s="38" t="n"/>
      <c r="H12" s="38" t="n"/>
      <c r="I12" s="38" t="n"/>
      <c r="J12" s="38" t="n"/>
      <c r="K12" s="38" t="n"/>
      <c r="L12" s="38" t="n"/>
      <c r="M12" s="39" t="n"/>
      <c r="N12" s="40" t="n"/>
      <c r="O12" s="37">
        <f>IF(COUNTA(C12:N12)=0,"",IF(D12="","Erreur : question manquante",IF((IF(E12="",0,1)+IF(F12="",0,1)+IF(G12="",0,1)+IF(H12="",0,1)+IF(I12="",0,1)+IF(J12="",0,1)+IF(K12="",0,1)+IF(L12="",0,1))&lt;2,"Erreur : au moins 2 réponses",IF(M12="","Erreur : bonne réponse manquante",IF(NOT(ISNUMBER(N12)),"Erreur : pondération numérique",IF(N12&lt;=0,"Erreur : pondération &gt; 0",IF(ISNUMBER(SEARCH(";",M12&amp;"")),"Erreur : QCU = 1 seule bonne réponse",IFERROR(IF(OR(VALUE(M12)&lt;1,VALUE(M12)&gt;8,VALUE(M12)&lt;&gt;INT(VALUE(M12))),"Erreur : bonne réponse 1-8",IF(INDEX(E12:L12,1,VALUE(M12))="","Erreur : réponse correcte vide","OK")),"Erreur : bonne réponse 1-8"))))))))</f>
        <v/>
      </c>
      <c r="P12" s="41" t="n"/>
      <c r="Q12" s="41" t="n"/>
      <c r="R12" s="41" t="n"/>
      <c r="S12" s="41" t="n"/>
      <c r="T12" s="41" t="n"/>
      <c r="U12" s="41" t="n"/>
      <c r="V12" s="41" t="n"/>
      <c r="W12" s="41" t="n"/>
      <c r="X12" s="41" t="n"/>
      <c r="Y12" s="41" t="n"/>
    </row>
    <row r="13" ht="28" customHeight="1" s="17">
      <c r="A13" s="37">
        <f>IF(COUNTA(C13:N13)=0,"",ROW()-4)</f>
        <v/>
      </c>
      <c r="B13" s="37">
        <f>IF(COUNTA(C13:N13)=0,"","qcu")</f>
        <v/>
      </c>
      <c r="C13" s="38" t="n"/>
      <c r="D13" s="38" t="n"/>
      <c r="E13" s="38" t="n"/>
      <c r="F13" s="38" t="n"/>
      <c r="G13" s="38" t="n"/>
      <c r="H13" s="38" t="n"/>
      <c r="I13" s="38" t="n"/>
      <c r="J13" s="38" t="n"/>
      <c r="K13" s="38" t="n"/>
      <c r="L13" s="38" t="n"/>
      <c r="M13" s="39" t="n"/>
      <c r="N13" s="40" t="n"/>
      <c r="O13" s="37">
        <f>IF(COUNTA(C13:N13)=0,"",IF(D13="","Erreur : question manquante",IF((IF(E13="",0,1)+IF(F13="",0,1)+IF(G13="",0,1)+IF(H13="",0,1)+IF(I13="",0,1)+IF(J13="",0,1)+IF(K13="",0,1)+IF(L13="",0,1))&lt;2,"Erreur : au moins 2 réponses",IF(M13="","Erreur : bonne réponse manquante",IF(NOT(ISNUMBER(N13)),"Erreur : pondération numérique",IF(N13&lt;=0,"Erreur : pondération &gt; 0",IF(ISNUMBER(SEARCH(";",M13&amp;"")),"Erreur : QCU = 1 seule bonne réponse",IFERROR(IF(OR(VALUE(M13)&lt;1,VALUE(M13)&gt;8,VALUE(M13)&lt;&gt;INT(VALUE(M13))),"Erreur : bonne réponse 1-8",IF(INDEX(E13:L13,1,VALUE(M13))="","Erreur : réponse correcte vide","OK")),"Erreur : bonne réponse 1-8"))))))))</f>
        <v/>
      </c>
      <c r="P13" s="41" t="n"/>
      <c r="Q13" s="41" t="n"/>
      <c r="R13" s="41" t="n"/>
      <c r="S13" s="41" t="n"/>
      <c r="T13" s="41" t="n"/>
      <c r="U13" s="41" t="n"/>
      <c r="V13" s="41" t="n"/>
      <c r="W13" s="41" t="n"/>
      <c r="X13" s="41" t="n"/>
      <c r="Y13" s="41" t="n"/>
    </row>
    <row r="14" ht="28" customHeight="1" s="17">
      <c r="A14" s="37">
        <f>IF(COUNTA(C14:N14)=0,"",ROW()-4)</f>
        <v/>
      </c>
      <c r="B14" s="37">
        <f>IF(COUNTA(C14:N14)=0,"","qcu")</f>
        <v/>
      </c>
      <c r="C14" s="38" t="n"/>
      <c r="D14" s="38" t="n"/>
      <c r="E14" s="38" t="n"/>
      <c r="F14" s="38" t="n"/>
      <c r="G14" s="38" t="n"/>
      <c r="H14" s="38" t="n"/>
      <c r="I14" s="38" t="n"/>
      <c r="J14" s="38" t="n"/>
      <c r="K14" s="38" t="n"/>
      <c r="L14" s="38" t="n"/>
      <c r="M14" s="39" t="n"/>
      <c r="N14" s="40" t="n"/>
      <c r="O14" s="37">
        <f>IF(COUNTA(C14:N14)=0,"",IF(D14="","Erreur : question manquante",IF((IF(E14="",0,1)+IF(F14="",0,1)+IF(G14="",0,1)+IF(H14="",0,1)+IF(I14="",0,1)+IF(J14="",0,1)+IF(K14="",0,1)+IF(L14="",0,1))&lt;2,"Erreur : au moins 2 réponses",IF(M14="","Erreur : bonne réponse manquante",IF(NOT(ISNUMBER(N14)),"Erreur : pondération numérique",IF(N14&lt;=0,"Erreur : pondération &gt; 0",IF(ISNUMBER(SEARCH(";",M14&amp;"")),"Erreur : QCU = 1 seule bonne réponse",IFERROR(IF(OR(VALUE(M14)&lt;1,VALUE(M14)&gt;8,VALUE(M14)&lt;&gt;INT(VALUE(M14))),"Erreur : bonne réponse 1-8",IF(INDEX(E14:L14,1,VALUE(M14))="","Erreur : réponse correcte vide","OK")),"Erreur : bonne réponse 1-8"))))))))</f>
        <v/>
      </c>
      <c r="P14" s="41" t="n"/>
      <c r="Q14" s="41" t="n"/>
      <c r="R14" s="41" t="n"/>
      <c r="S14" s="41" t="n"/>
      <c r="T14" s="41" t="n"/>
      <c r="U14" s="41" t="n"/>
      <c r="V14" s="41" t="n"/>
      <c r="W14" s="41" t="n"/>
      <c r="X14" s="41" t="n"/>
      <c r="Y14" s="41" t="n"/>
    </row>
    <row r="15" ht="28" customHeight="1" s="17">
      <c r="A15" s="37">
        <f>IF(COUNTA(C15:N15)=0,"",ROW()-4)</f>
        <v/>
      </c>
      <c r="B15" s="37">
        <f>IF(COUNTA(C15:N15)=0,"","qcu")</f>
        <v/>
      </c>
      <c r="C15" s="38" t="n"/>
      <c r="D15" s="38" t="n"/>
      <c r="E15" s="38" t="n"/>
      <c r="F15" s="38" t="n"/>
      <c r="G15" s="38" t="n"/>
      <c r="H15" s="38" t="n"/>
      <c r="I15" s="38" t="n"/>
      <c r="J15" s="38" t="n"/>
      <c r="K15" s="38" t="n"/>
      <c r="L15" s="38" t="n"/>
      <c r="M15" s="39" t="n"/>
      <c r="N15" s="40" t="n"/>
      <c r="O15" s="37">
        <f>IF(COUNTA(C15:N15)=0,"",IF(D15="","Erreur : question manquante",IF((IF(E15="",0,1)+IF(F15="",0,1)+IF(G15="",0,1)+IF(H15="",0,1)+IF(I15="",0,1)+IF(J15="",0,1)+IF(K15="",0,1)+IF(L15="",0,1))&lt;2,"Erreur : au moins 2 réponses",IF(M15="","Erreur : bonne réponse manquante",IF(NOT(ISNUMBER(N15)),"Erreur : pondération numérique",IF(N15&lt;=0,"Erreur : pondération &gt; 0",IF(ISNUMBER(SEARCH(";",M15&amp;"")),"Erreur : QCU = 1 seule bonne réponse",IFERROR(IF(OR(VALUE(M15)&lt;1,VALUE(M15)&gt;8,VALUE(M15)&lt;&gt;INT(VALUE(M15))),"Erreur : bonne réponse 1-8",IF(INDEX(E15:L15,1,VALUE(M15))="","Erreur : réponse correcte vide","OK")),"Erreur : bonne réponse 1-8"))))))))</f>
        <v/>
      </c>
      <c r="P15" s="41" t="n"/>
      <c r="Q15" s="41" t="n"/>
      <c r="R15" s="41" t="n"/>
      <c r="S15" s="41" t="n"/>
      <c r="T15" s="41" t="n"/>
      <c r="U15" s="41" t="n"/>
      <c r="V15" s="41" t="n"/>
      <c r="W15" s="41" t="n"/>
      <c r="X15" s="41" t="n"/>
      <c r="Y15" s="41" t="n"/>
    </row>
    <row r="16" ht="28" customHeight="1" s="17">
      <c r="A16" s="37">
        <f>IF(COUNTA(C16:N16)=0,"",ROW()-4)</f>
        <v/>
      </c>
      <c r="B16" s="37">
        <f>IF(COUNTA(C16:N16)=0,"","qcu")</f>
        <v/>
      </c>
      <c r="C16" s="38" t="n"/>
      <c r="D16" s="38" t="n"/>
      <c r="E16" s="38" t="n"/>
      <c r="F16" s="38" t="n"/>
      <c r="G16" s="38" t="n"/>
      <c r="H16" s="38" t="n"/>
      <c r="I16" s="38" t="n"/>
      <c r="J16" s="38" t="n"/>
      <c r="K16" s="38" t="n"/>
      <c r="L16" s="38" t="n"/>
      <c r="M16" s="39" t="n"/>
      <c r="N16" s="40" t="n"/>
      <c r="O16" s="37">
        <f>IF(COUNTA(C16:N16)=0,"",IF(D16="","Erreur : question manquante",IF((IF(E16="",0,1)+IF(F16="",0,1)+IF(G16="",0,1)+IF(H16="",0,1)+IF(I16="",0,1)+IF(J16="",0,1)+IF(K16="",0,1)+IF(L16="",0,1))&lt;2,"Erreur : au moins 2 réponses",IF(M16="","Erreur : bonne réponse manquante",IF(NOT(ISNUMBER(N16)),"Erreur : pondération numérique",IF(N16&lt;=0,"Erreur : pondération &gt; 0",IF(ISNUMBER(SEARCH(";",M16&amp;"")),"Erreur : QCU = 1 seule bonne réponse",IFERROR(IF(OR(VALUE(M16)&lt;1,VALUE(M16)&gt;8,VALUE(M16)&lt;&gt;INT(VALUE(M16))),"Erreur : bonne réponse 1-8",IF(INDEX(E16:L16,1,VALUE(M16))="","Erreur : réponse correcte vide","OK")),"Erreur : bonne réponse 1-8"))))))))</f>
        <v/>
      </c>
      <c r="P16" s="41" t="n"/>
      <c r="Q16" s="41" t="n"/>
      <c r="R16" s="41" t="n"/>
      <c r="S16" s="41" t="n"/>
      <c r="T16" s="41" t="n"/>
      <c r="U16" s="41" t="n"/>
      <c r="V16" s="41" t="n"/>
      <c r="W16" s="41" t="n"/>
      <c r="X16" s="41" t="n"/>
      <c r="Y16" s="41" t="n"/>
    </row>
    <row r="17" ht="28" customHeight="1" s="17">
      <c r="A17" s="37">
        <f>IF(COUNTA(C17:N17)=0,"",ROW()-4)</f>
        <v/>
      </c>
      <c r="B17" s="37">
        <f>IF(COUNTA(C17:N17)=0,"","qcu")</f>
        <v/>
      </c>
      <c r="C17" s="38" t="n"/>
      <c r="D17" s="38" t="n"/>
      <c r="E17" s="38" t="n"/>
      <c r="F17" s="38" t="n"/>
      <c r="G17" s="38" t="n"/>
      <c r="H17" s="38" t="n"/>
      <c r="I17" s="38" t="n"/>
      <c r="J17" s="38" t="n"/>
      <c r="K17" s="38" t="n"/>
      <c r="L17" s="38" t="n"/>
      <c r="M17" s="39" t="n"/>
      <c r="N17" s="40" t="n"/>
      <c r="O17" s="37">
        <f>IF(COUNTA(C17:N17)=0,"",IF(D17="","Erreur : question manquante",IF((IF(E17="",0,1)+IF(F17="",0,1)+IF(G17="",0,1)+IF(H17="",0,1)+IF(I17="",0,1)+IF(J17="",0,1)+IF(K17="",0,1)+IF(L17="",0,1))&lt;2,"Erreur : au moins 2 réponses",IF(M17="","Erreur : bonne réponse manquante",IF(NOT(ISNUMBER(N17)),"Erreur : pondération numérique",IF(N17&lt;=0,"Erreur : pondération &gt; 0",IF(ISNUMBER(SEARCH(";",M17&amp;"")),"Erreur : QCU = 1 seule bonne réponse",IFERROR(IF(OR(VALUE(M17)&lt;1,VALUE(M17)&gt;8,VALUE(M17)&lt;&gt;INT(VALUE(M17))),"Erreur : bonne réponse 1-8",IF(INDEX(E17:L17,1,VALUE(M17))="","Erreur : réponse correcte vide","OK")),"Erreur : bonne réponse 1-8"))))))))</f>
        <v/>
      </c>
      <c r="P17" s="41" t="n"/>
      <c r="Q17" s="41" t="n"/>
      <c r="R17" s="41" t="n"/>
      <c r="S17" s="41" t="n"/>
      <c r="T17" s="41" t="n"/>
      <c r="U17" s="41" t="n"/>
      <c r="V17" s="41" t="n"/>
      <c r="W17" s="41" t="n"/>
      <c r="X17" s="41" t="n"/>
      <c r="Y17" s="41" t="n"/>
    </row>
    <row r="18" ht="28" customHeight="1" s="17">
      <c r="A18" s="37">
        <f>IF(COUNTA(C18:N18)=0,"",ROW()-4)</f>
        <v/>
      </c>
      <c r="B18" s="37">
        <f>IF(COUNTA(C18:N18)=0,"","qcu")</f>
        <v/>
      </c>
      <c r="C18" s="38" t="n"/>
      <c r="D18" s="38" t="n"/>
      <c r="E18" s="38" t="n"/>
      <c r="F18" s="38" t="n"/>
      <c r="G18" s="38" t="n"/>
      <c r="H18" s="38" t="n"/>
      <c r="I18" s="38" t="n"/>
      <c r="J18" s="38" t="n"/>
      <c r="K18" s="38" t="n"/>
      <c r="L18" s="38" t="n"/>
      <c r="M18" s="39" t="n"/>
      <c r="N18" s="40" t="n"/>
      <c r="O18" s="37">
        <f>IF(COUNTA(C18:N18)=0,"",IF(D18="","Erreur : question manquante",IF((IF(E18="",0,1)+IF(F18="",0,1)+IF(G18="",0,1)+IF(H18="",0,1)+IF(I18="",0,1)+IF(J18="",0,1)+IF(K18="",0,1)+IF(L18="",0,1))&lt;2,"Erreur : au moins 2 réponses",IF(M18="","Erreur : bonne réponse manquante",IF(NOT(ISNUMBER(N18)),"Erreur : pondération numérique",IF(N18&lt;=0,"Erreur : pondération &gt; 0",IF(ISNUMBER(SEARCH(";",M18&amp;"")),"Erreur : QCU = 1 seule bonne réponse",IFERROR(IF(OR(VALUE(M18)&lt;1,VALUE(M18)&gt;8,VALUE(M18)&lt;&gt;INT(VALUE(M18))),"Erreur : bonne réponse 1-8",IF(INDEX(E18:L18,1,VALUE(M18))="","Erreur : réponse correcte vide","OK")),"Erreur : bonne réponse 1-8"))))))))</f>
        <v/>
      </c>
      <c r="P18" s="41" t="n"/>
      <c r="Q18" s="41" t="n"/>
      <c r="R18" s="41" t="n"/>
      <c r="S18" s="41" t="n"/>
      <c r="T18" s="41" t="n"/>
      <c r="U18" s="41" t="n"/>
      <c r="V18" s="41" t="n"/>
      <c r="W18" s="41" t="n"/>
      <c r="X18" s="41" t="n"/>
      <c r="Y18" s="41" t="n"/>
    </row>
    <row r="19" ht="28" customHeight="1" s="17">
      <c r="A19" s="37">
        <f>IF(COUNTA(C19:N19)=0,"",ROW()-4)</f>
        <v/>
      </c>
      <c r="B19" s="37">
        <f>IF(COUNTA(C19:N19)=0,"","qcu")</f>
        <v/>
      </c>
      <c r="C19" s="38" t="n"/>
      <c r="D19" s="38" t="n"/>
      <c r="E19" s="38" t="n"/>
      <c r="F19" s="38" t="n"/>
      <c r="G19" s="38" t="n"/>
      <c r="H19" s="38" t="n"/>
      <c r="I19" s="38" t="n"/>
      <c r="J19" s="38" t="n"/>
      <c r="K19" s="38" t="n"/>
      <c r="L19" s="38" t="n"/>
      <c r="M19" s="39" t="n"/>
      <c r="N19" s="40" t="n"/>
      <c r="O19" s="37">
        <f>IF(COUNTA(C19:N19)=0,"",IF(D19="","Erreur : question manquante",IF((IF(E19="",0,1)+IF(F19="",0,1)+IF(G19="",0,1)+IF(H19="",0,1)+IF(I19="",0,1)+IF(J19="",0,1)+IF(K19="",0,1)+IF(L19="",0,1))&lt;2,"Erreur : au moins 2 réponses",IF(M19="","Erreur : bonne réponse manquante",IF(NOT(ISNUMBER(N19)),"Erreur : pondération numérique",IF(N19&lt;=0,"Erreur : pondération &gt; 0",IF(ISNUMBER(SEARCH(";",M19&amp;"")),"Erreur : QCU = 1 seule bonne réponse",IFERROR(IF(OR(VALUE(M19)&lt;1,VALUE(M19)&gt;8,VALUE(M19)&lt;&gt;INT(VALUE(M19))),"Erreur : bonne réponse 1-8",IF(INDEX(E19:L19,1,VALUE(M19))="","Erreur : réponse correcte vide","OK")),"Erreur : bonne réponse 1-8"))))))))</f>
        <v/>
      </c>
      <c r="P19" s="41" t="n"/>
      <c r="Q19" s="41" t="n"/>
      <c r="R19" s="41" t="n"/>
      <c r="S19" s="41" t="n"/>
      <c r="T19" s="41" t="n"/>
      <c r="U19" s="41" t="n"/>
      <c r="V19" s="41" t="n"/>
      <c r="W19" s="41" t="n"/>
      <c r="X19" s="41" t="n"/>
      <c r="Y19" s="41" t="n"/>
    </row>
    <row r="20" ht="28" customHeight="1" s="17">
      <c r="A20" s="37">
        <f>IF(COUNTA(C20:N20)=0,"",ROW()-4)</f>
        <v/>
      </c>
      <c r="B20" s="37">
        <f>IF(COUNTA(C20:N20)=0,"","qcu")</f>
        <v/>
      </c>
      <c r="C20" s="38" t="n"/>
      <c r="D20" s="38" t="n"/>
      <c r="E20" s="38" t="n"/>
      <c r="F20" s="38" t="n"/>
      <c r="G20" s="38" t="n"/>
      <c r="H20" s="38" t="n"/>
      <c r="I20" s="38" t="n"/>
      <c r="J20" s="38" t="n"/>
      <c r="K20" s="38" t="n"/>
      <c r="L20" s="38" t="n"/>
      <c r="M20" s="39" t="n"/>
      <c r="N20" s="40" t="n"/>
      <c r="O20" s="37">
        <f>IF(COUNTA(C20:N20)=0,"",IF(D20="","Erreur : question manquante",IF((IF(E20="",0,1)+IF(F20="",0,1)+IF(G20="",0,1)+IF(H20="",0,1)+IF(I20="",0,1)+IF(J20="",0,1)+IF(K20="",0,1)+IF(L20="",0,1))&lt;2,"Erreur : au moins 2 réponses",IF(M20="","Erreur : bonne réponse manquante",IF(NOT(ISNUMBER(N20)),"Erreur : pondération numérique",IF(N20&lt;=0,"Erreur : pondération &gt; 0",IF(ISNUMBER(SEARCH(";",M20&amp;"")),"Erreur : QCU = 1 seule bonne réponse",IFERROR(IF(OR(VALUE(M20)&lt;1,VALUE(M20)&gt;8,VALUE(M20)&lt;&gt;INT(VALUE(M20))),"Erreur : bonne réponse 1-8",IF(INDEX(E20:L20,1,VALUE(M20))="","Erreur : réponse correcte vide","OK")),"Erreur : bonne réponse 1-8"))))))))</f>
        <v/>
      </c>
      <c r="P20" s="41" t="n"/>
      <c r="Q20" s="41" t="n"/>
      <c r="R20" s="41" t="n"/>
      <c r="S20" s="41" t="n"/>
      <c r="T20" s="41" t="n"/>
      <c r="U20" s="41" t="n"/>
      <c r="V20" s="41" t="n"/>
      <c r="W20" s="41" t="n"/>
      <c r="X20" s="41" t="n"/>
      <c r="Y20" s="41" t="n"/>
    </row>
    <row r="21" ht="28" customHeight="1" s="17">
      <c r="A21" s="37">
        <f>IF(COUNTA(C21:N21)=0,"",ROW()-4)</f>
        <v/>
      </c>
      <c r="B21" s="37">
        <f>IF(COUNTA(C21:N21)=0,"","qcu")</f>
        <v/>
      </c>
      <c r="C21" s="38" t="n"/>
      <c r="D21" s="38" t="n"/>
      <c r="E21" s="38" t="n"/>
      <c r="F21" s="38" t="n"/>
      <c r="G21" s="38" t="n"/>
      <c r="H21" s="38" t="n"/>
      <c r="I21" s="38" t="n"/>
      <c r="J21" s="38" t="n"/>
      <c r="K21" s="38" t="n"/>
      <c r="L21" s="38" t="n"/>
      <c r="M21" s="39" t="n"/>
      <c r="N21" s="40" t="n"/>
      <c r="O21" s="37">
        <f>IF(COUNTA(C21:N21)=0,"",IF(D21="","Erreur : question manquante",IF((IF(E21="",0,1)+IF(F21="",0,1)+IF(G21="",0,1)+IF(H21="",0,1)+IF(I21="",0,1)+IF(J21="",0,1)+IF(K21="",0,1)+IF(L21="",0,1))&lt;2,"Erreur : au moins 2 réponses",IF(M21="","Erreur : bonne réponse manquante",IF(NOT(ISNUMBER(N21)),"Erreur : pondération numérique",IF(N21&lt;=0,"Erreur : pondération &gt; 0",IF(ISNUMBER(SEARCH(";",M21&amp;"")),"Erreur : QCU = 1 seule bonne réponse",IFERROR(IF(OR(VALUE(M21)&lt;1,VALUE(M21)&gt;8,VALUE(M21)&lt;&gt;INT(VALUE(M21))),"Erreur : bonne réponse 1-8",IF(INDEX(E21:L21,1,VALUE(M21))="","Erreur : réponse correcte vide","OK")),"Erreur : bonne réponse 1-8"))))))))</f>
        <v/>
      </c>
      <c r="P21" s="41" t="n"/>
      <c r="Q21" s="41" t="n"/>
      <c r="R21" s="41" t="n"/>
      <c r="S21" s="41" t="n"/>
      <c r="T21" s="41" t="n"/>
      <c r="U21" s="41" t="n"/>
      <c r="V21" s="41" t="n"/>
      <c r="W21" s="41" t="n"/>
      <c r="X21" s="41" t="n"/>
      <c r="Y21" s="41" t="n"/>
    </row>
    <row r="22" ht="28" customHeight="1" s="17">
      <c r="A22" s="37">
        <f>IF(COUNTA(C22:N22)=0,"",ROW()-4)</f>
        <v/>
      </c>
      <c r="B22" s="37">
        <f>IF(COUNTA(C22:N22)=0,"","qcu")</f>
        <v/>
      </c>
      <c r="C22" s="38" t="n"/>
      <c r="D22" s="38" t="n"/>
      <c r="E22" s="38" t="n"/>
      <c r="F22" s="38" t="n"/>
      <c r="G22" s="38" t="n"/>
      <c r="H22" s="38" t="n"/>
      <c r="I22" s="38" t="n"/>
      <c r="J22" s="38" t="n"/>
      <c r="K22" s="38" t="n"/>
      <c r="L22" s="38" t="n"/>
      <c r="M22" s="39" t="n"/>
      <c r="N22" s="40" t="n"/>
      <c r="O22" s="37">
        <f>IF(COUNTA(C22:N22)=0,"",IF(D22="","Erreur : question manquante",IF((IF(E22="",0,1)+IF(F22="",0,1)+IF(G22="",0,1)+IF(H22="",0,1)+IF(I22="",0,1)+IF(J22="",0,1)+IF(K22="",0,1)+IF(L22="",0,1))&lt;2,"Erreur : au moins 2 réponses",IF(M22="","Erreur : bonne réponse manquante",IF(NOT(ISNUMBER(N22)),"Erreur : pondération numérique",IF(N22&lt;=0,"Erreur : pondération &gt; 0",IF(ISNUMBER(SEARCH(";",M22&amp;"")),"Erreur : QCU = 1 seule bonne réponse",IFERROR(IF(OR(VALUE(M22)&lt;1,VALUE(M22)&gt;8,VALUE(M22)&lt;&gt;INT(VALUE(M22))),"Erreur : bonne réponse 1-8",IF(INDEX(E22:L22,1,VALUE(M22))="","Erreur : réponse correcte vide","OK")),"Erreur : bonne réponse 1-8"))))))))</f>
        <v/>
      </c>
      <c r="P22" s="41" t="n"/>
      <c r="Q22" s="41" t="n"/>
      <c r="R22" s="41" t="n"/>
      <c r="S22" s="41" t="n"/>
      <c r="T22" s="41" t="n"/>
      <c r="U22" s="41" t="n"/>
      <c r="V22" s="41" t="n"/>
      <c r="W22" s="41" t="n"/>
      <c r="X22" s="41" t="n"/>
      <c r="Y22" s="41" t="n"/>
    </row>
    <row r="23" ht="28" customHeight="1" s="17">
      <c r="A23" s="37">
        <f>IF(COUNTA(C23:N23)=0,"",ROW()-4)</f>
        <v/>
      </c>
      <c r="B23" s="37">
        <f>IF(COUNTA(C23:N23)=0,"","qcu")</f>
        <v/>
      </c>
      <c r="C23" s="38" t="n"/>
      <c r="D23" s="38" t="n"/>
      <c r="E23" s="38" t="n"/>
      <c r="F23" s="38" t="n"/>
      <c r="G23" s="38" t="n"/>
      <c r="H23" s="38" t="n"/>
      <c r="I23" s="38" t="n"/>
      <c r="J23" s="38" t="n"/>
      <c r="K23" s="38" t="n"/>
      <c r="L23" s="38" t="n"/>
      <c r="M23" s="39" t="n"/>
      <c r="N23" s="40" t="n"/>
      <c r="O23" s="37">
        <f>IF(COUNTA(C23:N23)=0,"",IF(D23="","Erreur : question manquante",IF((IF(E23="",0,1)+IF(F23="",0,1)+IF(G23="",0,1)+IF(H23="",0,1)+IF(I23="",0,1)+IF(J23="",0,1)+IF(K23="",0,1)+IF(L23="",0,1))&lt;2,"Erreur : au moins 2 réponses",IF(M23="","Erreur : bonne réponse manquante",IF(NOT(ISNUMBER(N23)),"Erreur : pondération numérique",IF(N23&lt;=0,"Erreur : pondération &gt; 0",IF(ISNUMBER(SEARCH(";",M23&amp;"")),"Erreur : QCU = 1 seule bonne réponse",IFERROR(IF(OR(VALUE(M23)&lt;1,VALUE(M23)&gt;8,VALUE(M23)&lt;&gt;INT(VALUE(M23))),"Erreur : bonne réponse 1-8",IF(INDEX(E23:L23,1,VALUE(M23))="","Erreur : réponse correcte vide","OK")),"Erreur : bonne réponse 1-8"))))))))</f>
        <v/>
      </c>
      <c r="P23" s="41" t="n"/>
      <c r="Q23" s="41" t="n"/>
      <c r="R23" s="41" t="n"/>
      <c r="S23" s="41" t="n"/>
      <c r="T23" s="41" t="n"/>
      <c r="U23" s="41" t="n"/>
      <c r="V23" s="41" t="n"/>
      <c r="W23" s="41" t="n"/>
      <c r="X23" s="41" t="n"/>
      <c r="Y23" s="41" t="n"/>
    </row>
    <row r="24" ht="28" customHeight="1" s="17">
      <c r="A24" s="37">
        <f>IF(COUNTA(C24:N24)=0,"",ROW()-4)</f>
        <v/>
      </c>
      <c r="B24" s="37">
        <f>IF(COUNTA(C24:N24)=0,"","qcu")</f>
        <v/>
      </c>
      <c r="C24" s="38" t="n"/>
      <c r="D24" s="38" t="n"/>
      <c r="E24" s="38" t="n"/>
      <c r="F24" s="38" t="n"/>
      <c r="G24" s="38" t="n"/>
      <c r="H24" s="38" t="n"/>
      <c r="I24" s="38" t="n"/>
      <c r="J24" s="38" t="n"/>
      <c r="K24" s="38" t="n"/>
      <c r="L24" s="38" t="n"/>
      <c r="M24" s="39" t="n"/>
      <c r="N24" s="40" t="n"/>
      <c r="O24" s="37">
        <f>IF(COUNTA(C24:N24)=0,"",IF(D24="","Erreur : question manquante",IF((IF(E24="",0,1)+IF(F24="",0,1)+IF(G24="",0,1)+IF(H24="",0,1)+IF(I24="",0,1)+IF(J24="",0,1)+IF(K24="",0,1)+IF(L24="",0,1))&lt;2,"Erreur : au moins 2 réponses",IF(M24="","Erreur : bonne réponse manquante",IF(NOT(ISNUMBER(N24)),"Erreur : pondération numérique",IF(N24&lt;=0,"Erreur : pondération &gt; 0",IF(ISNUMBER(SEARCH(";",M24&amp;"")),"Erreur : QCU = 1 seule bonne réponse",IFERROR(IF(OR(VALUE(M24)&lt;1,VALUE(M24)&gt;8,VALUE(M24)&lt;&gt;INT(VALUE(M24))),"Erreur : bonne réponse 1-8",IF(INDEX(E24:L24,1,VALUE(M24))="","Erreur : réponse correcte vide","OK")),"Erreur : bonne réponse 1-8"))))))))</f>
        <v/>
      </c>
      <c r="P24" s="41" t="n"/>
      <c r="Q24" s="41" t="n"/>
      <c r="R24" s="41" t="n"/>
      <c r="S24" s="41" t="n"/>
      <c r="T24" s="41" t="n"/>
      <c r="U24" s="41" t="n"/>
      <c r="V24" s="41" t="n"/>
      <c r="W24" s="41" t="n"/>
      <c r="X24" s="41" t="n"/>
      <c r="Y24" s="41" t="n"/>
    </row>
    <row r="25" ht="28" customHeight="1" s="17">
      <c r="A25" s="37">
        <f>IF(COUNTA(C25:N25)=0,"",ROW()-4)</f>
        <v/>
      </c>
      <c r="B25" s="37">
        <f>IF(COUNTA(C25:N25)=0,"","qcu")</f>
        <v/>
      </c>
      <c r="C25" s="38" t="n"/>
      <c r="D25" s="38" t="n"/>
      <c r="E25" s="38" t="n"/>
      <c r="F25" s="38" t="n"/>
      <c r="G25" s="38" t="n"/>
      <c r="H25" s="38" t="n"/>
      <c r="I25" s="38" t="n"/>
      <c r="J25" s="38" t="n"/>
      <c r="K25" s="38" t="n"/>
      <c r="L25" s="38" t="n"/>
      <c r="M25" s="39" t="n"/>
      <c r="N25" s="40" t="n"/>
      <c r="O25" s="37">
        <f>IF(COUNTA(C25:N25)=0,"",IF(D25="","Erreur : question manquante",IF((IF(E25="",0,1)+IF(F25="",0,1)+IF(G25="",0,1)+IF(H25="",0,1)+IF(I25="",0,1)+IF(J25="",0,1)+IF(K25="",0,1)+IF(L25="",0,1))&lt;2,"Erreur : au moins 2 réponses",IF(M25="","Erreur : bonne réponse manquante",IF(NOT(ISNUMBER(N25)),"Erreur : pondération numérique",IF(N25&lt;=0,"Erreur : pondération &gt; 0",IF(ISNUMBER(SEARCH(";",M25&amp;"")),"Erreur : QCU = 1 seule bonne réponse",IFERROR(IF(OR(VALUE(M25)&lt;1,VALUE(M25)&gt;8,VALUE(M25)&lt;&gt;INT(VALUE(M25))),"Erreur : bonne réponse 1-8",IF(INDEX(E25:L25,1,VALUE(M25))="","Erreur : réponse correcte vide","OK")),"Erreur : bonne réponse 1-8"))))))))</f>
        <v/>
      </c>
      <c r="P25" s="41" t="n"/>
      <c r="Q25" s="41" t="n"/>
      <c r="R25" s="41" t="n"/>
      <c r="S25" s="41" t="n"/>
      <c r="T25" s="41" t="n"/>
      <c r="U25" s="41" t="n"/>
      <c r="V25" s="41" t="n"/>
      <c r="W25" s="41" t="n"/>
      <c r="X25" s="41" t="n"/>
      <c r="Y25" s="41" t="n"/>
    </row>
    <row r="26" ht="28" customHeight="1" s="17">
      <c r="A26" s="37">
        <f>IF(COUNTA(C26:N26)=0,"",ROW()-4)</f>
        <v/>
      </c>
      <c r="B26" s="37">
        <f>IF(COUNTA(C26:N26)=0,"","qcu")</f>
        <v/>
      </c>
      <c r="C26" s="38" t="n"/>
      <c r="D26" s="38" t="n"/>
      <c r="E26" s="38" t="n"/>
      <c r="F26" s="38" t="n"/>
      <c r="G26" s="38" t="n"/>
      <c r="H26" s="38" t="n"/>
      <c r="I26" s="38" t="n"/>
      <c r="J26" s="38" t="n"/>
      <c r="K26" s="38" t="n"/>
      <c r="L26" s="38" t="n"/>
      <c r="M26" s="39" t="n"/>
      <c r="N26" s="40" t="n"/>
      <c r="O26" s="37">
        <f>IF(COUNTA(C26:N26)=0,"",IF(D26="","Erreur : question manquante",IF((IF(E26="",0,1)+IF(F26="",0,1)+IF(G26="",0,1)+IF(H26="",0,1)+IF(I26="",0,1)+IF(J26="",0,1)+IF(K26="",0,1)+IF(L26="",0,1))&lt;2,"Erreur : au moins 2 réponses",IF(M26="","Erreur : bonne réponse manquante",IF(NOT(ISNUMBER(N26)),"Erreur : pondération numérique",IF(N26&lt;=0,"Erreur : pondération &gt; 0",IF(ISNUMBER(SEARCH(";",M26&amp;"")),"Erreur : QCU = 1 seule bonne réponse",IFERROR(IF(OR(VALUE(M26)&lt;1,VALUE(M26)&gt;8,VALUE(M26)&lt;&gt;INT(VALUE(M26))),"Erreur : bonne réponse 1-8",IF(INDEX(E26:L26,1,VALUE(M26))="","Erreur : réponse correcte vide","OK")),"Erreur : bonne réponse 1-8"))))))))</f>
        <v/>
      </c>
      <c r="P26" s="41" t="n"/>
      <c r="Q26" s="41" t="n"/>
      <c r="R26" s="41" t="n"/>
      <c r="S26" s="41" t="n"/>
      <c r="T26" s="41" t="n"/>
      <c r="U26" s="41" t="n"/>
      <c r="V26" s="41" t="n"/>
      <c r="W26" s="41" t="n"/>
      <c r="X26" s="41" t="n"/>
      <c r="Y26" s="41" t="n"/>
    </row>
    <row r="27" ht="28" customHeight="1" s="17">
      <c r="A27" s="37">
        <f>IF(COUNTA(C27:N27)=0,"",ROW()-4)</f>
        <v/>
      </c>
      <c r="B27" s="37">
        <f>IF(COUNTA(C27:N27)=0,"","qcu")</f>
        <v/>
      </c>
      <c r="C27" s="38" t="n"/>
      <c r="D27" s="38" t="n"/>
      <c r="E27" s="38" t="n"/>
      <c r="F27" s="38" t="n"/>
      <c r="G27" s="38" t="n"/>
      <c r="H27" s="38" t="n"/>
      <c r="I27" s="38" t="n"/>
      <c r="J27" s="38" t="n"/>
      <c r="K27" s="38" t="n"/>
      <c r="L27" s="38" t="n"/>
      <c r="M27" s="39" t="n"/>
      <c r="N27" s="40" t="n"/>
      <c r="O27" s="37">
        <f>IF(COUNTA(C27:N27)=0,"",IF(D27="","Erreur : question manquante",IF((IF(E27="",0,1)+IF(F27="",0,1)+IF(G27="",0,1)+IF(H27="",0,1)+IF(I27="",0,1)+IF(J27="",0,1)+IF(K27="",0,1)+IF(L27="",0,1))&lt;2,"Erreur : au moins 2 réponses",IF(M27="","Erreur : bonne réponse manquante",IF(NOT(ISNUMBER(N27)),"Erreur : pondération numérique",IF(N27&lt;=0,"Erreur : pondération &gt; 0",IF(ISNUMBER(SEARCH(";",M27&amp;"")),"Erreur : QCU = 1 seule bonne réponse",IFERROR(IF(OR(VALUE(M27)&lt;1,VALUE(M27)&gt;8,VALUE(M27)&lt;&gt;INT(VALUE(M27))),"Erreur : bonne réponse 1-8",IF(INDEX(E27:L27,1,VALUE(M27))="","Erreur : réponse correcte vide","OK")),"Erreur : bonne réponse 1-8"))))))))</f>
        <v/>
      </c>
      <c r="P27" s="41" t="n"/>
      <c r="Q27" s="41" t="n"/>
      <c r="R27" s="41" t="n"/>
      <c r="S27" s="41" t="n"/>
      <c r="T27" s="41" t="n"/>
      <c r="U27" s="41" t="n"/>
      <c r="V27" s="41" t="n"/>
      <c r="W27" s="41" t="n"/>
      <c r="X27" s="41" t="n"/>
      <c r="Y27" s="41" t="n"/>
    </row>
    <row r="28" ht="28" customHeight="1" s="17">
      <c r="A28" s="37">
        <f>IF(COUNTA(C28:N28)=0,"",ROW()-4)</f>
        <v/>
      </c>
      <c r="B28" s="37">
        <f>IF(COUNTA(C28:N28)=0,"","qcu")</f>
        <v/>
      </c>
      <c r="C28" s="38" t="n"/>
      <c r="D28" s="38" t="n"/>
      <c r="E28" s="38" t="n"/>
      <c r="F28" s="38" t="n"/>
      <c r="G28" s="38" t="n"/>
      <c r="H28" s="38" t="n"/>
      <c r="I28" s="38" t="n"/>
      <c r="J28" s="38" t="n"/>
      <c r="K28" s="38" t="n"/>
      <c r="L28" s="38" t="n"/>
      <c r="M28" s="39" t="n"/>
      <c r="N28" s="40" t="n"/>
      <c r="O28" s="37">
        <f>IF(COUNTA(C28:N28)=0,"",IF(D28="","Erreur : question manquante",IF((IF(E28="",0,1)+IF(F28="",0,1)+IF(G28="",0,1)+IF(H28="",0,1)+IF(I28="",0,1)+IF(J28="",0,1)+IF(K28="",0,1)+IF(L28="",0,1))&lt;2,"Erreur : au moins 2 réponses",IF(M28="","Erreur : bonne réponse manquante",IF(NOT(ISNUMBER(N28)),"Erreur : pondération numérique",IF(N28&lt;=0,"Erreur : pondération &gt; 0",IF(ISNUMBER(SEARCH(";",M28&amp;"")),"Erreur : QCU = 1 seule bonne réponse",IFERROR(IF(OR(VALUE(M28)&lt;1,VALUE(M28)&gt;8,VALUE(M28)&lt;&gt;INT(VALUE(M28))),"Erreur : bonne réponse 1-8",IF(INDEX(E28:L28,1,VALUE(M28))="","Erreur : réponse correcte vide","OK")),"Erreur : bonne réponse 1-8"))))))))</f>
        <v/>
      </c>
      <c r="P28" s="41" t="n"/>
      <c r="Q28" s="41" t="n"/>
      <c r="R28" s="41" t="n"/>
      <c r="S28" s="41" t="n"/>
      <c r="T28" s="41" t="n"/>
      <c r="U28" s="41" t="n"/>
      <c r="V28" s="41" t="n"/>
      <c r="W28" s="41" t="n"/>
      <c r="X28" s="41" t="n"/>
      <c r="Y28" s="41" t="n"/>
    </row>
    <row r="29" ht="28" customHeight="1" s="17">
      <c r="A29" s="37">
        <f>IF(COUNTA(C29:N29)=0,"",ROW()-4)</f>
        <v/>
      </c>
      <c r="B29" s="37">
        <f>IF(COUNTA(C29:N29)=0,"","qcu")</f>
        <v/>
      </c>
      <c r="C29" s="38" t="n"/>
      <c r="D29" s="38" t="n"/>
      <c r="E29" s="38" t="n"/>
      <c r="F29" s="38" t="n"/>
      <c r="G29" s="38" t="n"/>
      <c r="H29" s="38" t="n"/>
      <c r="I29" s="38" t="n"/>
      <c r="J29" s="38" t="n"/>
      <c r="K29" s="38" t="n"/>
      <c r="L29" s="38" t="n"/>
      <c r="M29" s="39" t="n"/>
      <c r="N29" s="40" t="n"/>
      <c r="O29" s="37">
        <f>IF(COUNTA(C29:N29)=0,"",IF(D29="","Erreur : question manquante",IF((IF(E29="",0,1)+IF(F29="",0,1)+IF(G29="",0,1)+IF(H29="",0,1)+IF(I29="",0,1)+IF(J29="",0,1)+IF(K29="",0,1)+IF(L29="",0,1))&lt;2,"Erreur : au moins 2 réponses",IF(M29="","Erreur : bonne réponse manquante",IF(NOT(ISNUMBER(N29)),"Erreur : pondération numérique",IF(N29&lt;=0,"Erreur : pondération &gt; 0",IF(ISNUMBER(SEARCH(";",M29&amp;"")),"Erreur : QCU = 1 seule bonne réponse",IFERROR(IF(OR(VALUE(M29)&lt;1,VALUE(M29)&gt;8,VALUE(M29)&lt;&gt;INT(VALUE(M29))),"Erreur : bonne réponse 1-8",IF(INDEX(E29:L29,1,VALUE(M29))="","Erreur : réponse correcte vide","OK")),"Erreur : bonne réponse 1-8"))))))))</f>
        <v/>
      </c>
      <c r="P29" s="41" t="n"/>
      <c r="Q29" s="41" t="n"/>
      <c r="R29" s="41" t="n"/>
      <c r="S29" s="41" t="n"/>
      <c r="T29" s="41" t="n"/>
      <c r="U29" s="41" t="n"/>
      <c r="V29" s="41" t="n"/>
      <c r="W29" s="41" t="n"/>
      <c r="X29" s="41" t="n"/>
      <c r="Y29" s="41" t="n"/>
    </row>
    <row r="30" ht="28" customHeight="1" s="17">
      <c r="A30" s="37">
        <f>IF(COUNTA(C30:N30)=0,"",ROW()-4)</f>
        <v/>
      </c>
      <c r="B30" s="37">
        <f>IF(COUNTA(C30:N30)=0,"","qcu")</f>
        <v/>
      </c>
      <c r="C30" s="38" t="n"/>
      <c r="D30" s="38" t="n"/>
      <c r="E30" s="38" t="n"/>
      <c r="F30" s="38" t="n"/>
      <c r="G30" s="38" t="n"/>
      <c r="H30" s="38" t="n"/>
      <c r="I30" s="38" t="n"/>
      <c r="J30" s="38" t="n"/>
      <c r="K30" s="38" t="n"/>
      <c r="L30" s="38" t="n"/>
      <c r="M30" s="39" t="n"/>
      <c r="N30" s="40" t="n"/>
      <c r="O30" s="37">
        <f>IF(COUNTA(C30:N30)=0,"",IF(D30="","Erreur : question manquante",IF((IF(E30="",0,1)+IF(F30="",0,1)+IF(G30="",0,1)+IF(H30="",0,1)+IF(I30="",0,1)+IF(J30="",0,1)+IF(K30="",0,1)+IF(L30="",0,1))&lt;2,"Erreur : au moins 2 réponses",IF(M30="","Erreur : bonne réponse manquante",IF(NOT(ISNUMBER(N30)),"Erreur : pondération numérique",IF(N30&lt;=0,"Erreur : pondération &gt; 0",IF(ISNUMBER(SEARCH(";",M30&amp;"")),"Erreur : QCU = 1 seule bonne réponse",IFERROR(IF(OR(VALUE(M30)&lt;1,VALUE(M30)&gt;8,VALUE(M30)&lt;&gt;INT(VALUE(M30))),"Erreur : bonne réponse 1-8",IF(INDEX(E30:L30,1,VALUE(M30))="","Erreur : réponse correcte vide","OK")),"Erreur : bonne réponse 1-8"))))))))</f>
        <v/>
      </c>
      <c r="P30" s="41" t="n"/>
      <c r="Q30" s="41" t="n"/>
      <c r="R30" s="41" t="n"/>
      <c r="S30" s="41" t="n"/>
      <c r="T30" s="41" t="n"/>
      <c r="U30" s="41" t="n"/>
      <c r="V30" s="41" t="n"/>
      <c r="W30" s="41" t="n"/>
      <c r="X30" s="41" t="n"/>
      <c r="Y30" s="41" t="n"/>
    </row>
    <row r="31" ht="28" customHeight="1" s="17">
      <c r="A31" s="37">
        <f>IF(COUNTA(C31:N31)=0,"",ROW()-4)</f>
        <v/>
      </c>
      <c r="B31" s="37">
        <f>IF(COUNTA(C31:N31)=0,"","qcu")</f>
        <v/>
      </c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9" t="n"/>
      <c r="N31" s="40" t="n"/>
      <c r="O31" s="37">
        <f>IF(COUNTA(C31:N31)=0,"",IF(D31="","Erreur : question manquante",IF((IF(E31="",0,1)+IF(F31="",0,1)+IF(G31="",0,1)+IF(H31="",0,1)+IF(I31="",0,1)+IF(J31="",0,1)+IF(K31="",0,1)+IF(L31="",0,1))&lt;2,"Erreur : au moins 2 réponses",IF(M31="","Erreur : bonne réponse manquante",IF(NOT(ISNUMBER(N31)),"Erreur : pondération numérique",IF(N31&lt;=0,"Erreur : pondération &gt; 0",IF(ISNUMBER(SEARCH(";",M31&amp;"")),"Erreur : QCU = 1 seule bonne réponse",IFERROR(IF(OR(VALUE(M31)&lt;1,VALUE(M31)&gt;8,VALUE(M31)&lt;&gt;INT(VALUE(M31))),"Erreur : bonne réponse 1-8",IF(INDEX(E31:L31,1,VALUE(M31))="","Erreur : réponse correcte vide","OK")),"Erreur : bonne réponse 1-8"))))))))</f>
        <v/>
      </c>
      <c r="P31" s="41" t="n"/>
      <c r="Q31" s="41" t="n"/>
      <c r="R31" s="41" t="n"/>
      <c r="S31" s="41" t="n"/>
      <c r="T31" s="41" t="n"/>
      <c r="U31" s="41" t="n"/>
      <c r="V31" s="41" t="n"/>
      <c r="W31" s="41" t="n"/>
      <c r="X31" s="41" t="n"/>
      <c r="Y31" s="41" t="n"/>
    </row>
    <row r="32" ht="28" customHeight="1" s="17">
      <c r="A32" s="37">
        <f>IF(COUNTA(C32:N32)=0,"",ROW()-4)</f>
        <v/>
      </c>
      <c r="B32" s="37">
        <f>IF(COUNTA(C32:N32)=0,"","qcu")</f>
        <v/>
      </c>
      <c r="C32" s="38" t="n"/>
      <c r="D32" s="38" t="n"/>
      <c r="E32" s="38" t="n"/>
      <c r="F32" s="38" t="n"/>
      <c r="G32" s="38" t="n"/>
      <c r="H32" s="38" t="n"/>
      <c r="I32" s="38" t="n"/>
      <c r="J32" s="38" t="n"/>
      <c r="K32" s="38" t="n"/>
      <c r="L32" s="38" t="n"/>
      <c r="M32" s="39" t="n"/>
      <c r="N32" s="40" t="n"/>
      <c r="O32" s="37">
        <f>IF(COUNTA(C32:N32)=0,"",IF(D32="","Erreur : question manquante",IF((IF(E32="",0,1)+IF(F32="",0,1)+IF(G32="",0,1)+IF(H32="",0,1)+IF(I32="",0,1)+IF(J32="",0,1)+IF(K32="",0,1)+IF(L32="",0,1))&lt;2,"Erreur : au moins 2 réponses",IF(M32="","Erreur : bonne réponse manquante",IF(NOT(ISNUMBER(N32)),"Erreur : pondération numérique",IF(N32&lt;=0,"Erreur : pondération &gt; 0",IF(ISNUMBER(SEARCH(";",M32&amp;"")),"Erreur : QCU = 1 seule bonne réponse",IFERROR(IF(OR(VALUE(M32)&lt;1,VALUE(M32)&gt;8,VALUE(M32)&lt;&gt;INT(VALUE(M32))),"Erreur : bonne réponse 1-8",IF(INDEX(E32:L32,1,VALUE(M32))="","Erreur : réponse correcte vide","OK")),"Erreur : bonne réponse 1-8"))))))))</f>
        <v/>
      </c>
      <c r="P32" s="41" t="n"/>
      <c r="Q32" s="41" t="n"/>
      <c r="R32" s="41" t="n"/>
      <c r="S32" s="41" t="n"/>
      <c r="T32" s="41" t="n"/>
      <c r="U32" s="41" t="n"/>
      <c r="V32" s="41" t="n"/>
      <c r="W32" s="41" t="n"/>
      <c r="X32" s="41" t="n"/>
      <c r="Y32" s="41" t="n"/>
    </row>
    <row r="33" ht="28" customHeight="1" s="17">
      <c r="A33" s="37">
        <f>IF(COUNTA(C33:N33)=0,"",ROW()-4)</f>
        <v/>
      </c>
      <c r="B33" s="37">
        <f>IF(COUNTA(C33:N33)=0,"","qcu")</f>
        <v/>
      </c>
      <c r="C33" s="38" t="n"/>
      <c r="D33" s="38" t="n"/>
      <c r="E33" s="38" t="n"/>
      <c r="F33" s="38" t="n"/>
      <c r="G33" s="38" t="n"/>
      <c r="H33" s="38" t="n"/>
      <c r="I33" s="38" t="n"/>
      <c r="J33" s="38" t="n"/>
      <c r="K33" s="38" t="n"/>
      <c r="L33" s="38" t="n"/>
      <c r="M33" s="39" t="n"/>
      <c r="N33" s="40" t="n"/>
      <c r="O33" s="37">
        <f>IF(COUNTA(C33:N33)=0,"",IF(D33="","Erreur : question manquante",IF((IF(E33="",0,1)+IF(F33="",0,1)+IF(G33="",0,1)+IF(H33="",0,1)+IF(I33="",0,1)+IF(J33="",0,1)+IF(K33="",0,1)+IF(L33="",0,1))&lt;2,"Erreur : au moins 2 réponses",IF(M33="","Erreur : bonne réponse manquante",IF(NOT(ISNUMBER(N33)),"Erreur : pondération numérique",IF(N33&lt;=0,"Erreur : pondération &gt; 0",IF(ISNUMBER(SEARCH(";",M33&amp;"")),"Erreur : QCU = 1 seule bonne réponse",IFERROR(IF(OR(VALUE(M33)&lt;1,VALUE(M33)&gt;8,VALUE(M33)&lt;&gt;INT(VALUE(M33))),"Erreur : bonne réponse 1-8",IF(INDEX(E33:L33,1,VALUE(M33))="","Erreur : réponse correcte vide","OK")),"Erreur : bonne réponse 1-8"))))))))</f>
        <v/>
      </c>
      <c r="P33" s="41" t="n"/>
      <c r="Q33" s="41" t="n"/>
      <c r="R33" s="41" t="n"/>
      <c r="S33" s="41" t="n"/>
      <c r="T33" s="41" t="n"/>
      <c r="U33" s="41" t="n"/>
      <c r="V33" s="41" t="n"/>
      <c r="W33" s="41" t="n"/>
      <c r="X33" s="41" t="n"/>
      <c r="Y33" s="41" t="n"/>
    </row>
    <row r="34" ht="28" customHeight="1" s="17">
      <c r="A34" s="37">
        <f>IF(COUNTA(C34:N34)=0,"",ROW()-4)</f>
        <v/>
      </c>
      <c r="B34" s="37">
        <f>IF(COUNTA(C34:N34)=0,"","qcu")</f>
        <v/>
      </c>
      <c r="C34" s="38" t="n"/>
      <c r="D34" s="38" t="n"/>
      <c r="E34" s="38" t="n"/>
      <c r="F34" s="38" t="n"/>
      <c r="G34" s="38" t="n"/>
      <c r="H34" s="38" t="n"/>
      <c r="I34" s="38" t="n"/>
      <c r="J34" s="38" t="n"/>
      <c r="K34" s="38" t="n"/>
      <c r="L34" s="38" t="n"/>
      <c r="M34" s="39" t="n"/>
      <c r="N34" s="40" t="n"/>
      <c r="O34" s="37">
        <f>IF(COUNTA(C34:N34)=0,"",IF(D34="","Erreur : question manquante",IF((IF(E34="",0,1)+IF(F34="",0,1)+IF(G34="",0,1)+IF(H34="",0,1)+IF(I34="",0,1)+IF(J34="",0,1)+IF(K34="",0,1)+IF(L34="",0,1))&lt;2,"Erreur : au moins 2 réponses",IF(M34="","Erreur : bonne réponse manquante",IF(NOT(ISNUMBER(N34)),"Erreur : pondération numérique",IF(N34&lt;=0,"Erreur : pondération &gt; 0",IF(ISNUMBER(SEARCH(";",M34&amp;"")),"Erreur : QCU = 1 seule bonne réponse",IFERROR(IF(OR(VALUE(M34)&lt;1,VALUE(M34)&gt;8,VALUE(M34)&lt;&gt;INT(VALUE(M34))),"Erreur : bonne réponse 1-8",IF(INDEX(E34:L34,1,VALUE(M34))="","Erreur : réponse correcte vide","OK")),"Erreur : bonne réponse 1-8"))))))))</f>
        <v/>
      </c>
      <c r="P34" s="41" t="n"/>
      <c r="Q34" s="41" t="n"/>
      <c r="R34" s="41" t="n"/>
      <c r="S34" s="41" t="n"/>
      <c r="T34" s="41" t="n"/>
      <c r="U34" s="41" t="n"/>
      <c r="V34" s="41" t="n"/>
      <c r="W34" s="41" t="n"/>
      <c r="X34" s="41" t="n"/>
      <c r="Y34" s="41" t="n"/>
    </row>
    <row r="35" ht="28" customHeight="1" s="17">
      <c r="A35" s="37">
        <f>IF(COUNTA(C35:N35)=0,"",ROW()-4)</f>
        <v/>
      </c>
      <c r="B35" s="37">
        <f>IF(COUNTA(C35:N35)=0,"","qcu")</f>
        <v/>
      </c>
      <c r="C35" s="38" t="n"/>
      <c r="D35" s="38" t="n"/>
      <c r="E35" s="38" t="n"/>
      <c r="F35" s="38" t="n"/>
      <c r="G35" s="38" t="n"/>
      <c r="H35" s="38" t="n"/>
      <c r="I35" s="38" t="n"/>
      <c r="J35" s="38" t="n"/>
      <c r="K35" s="38" t="n"/>
      <c r="L35" s="38" t="n"/>
      <c r="M35" s="39" t="n"/>
      <c r="N35" s="40" t="n"/>
      <c r="O35" s="37">
        <f>IF(COUNTA(C35:N35)=0,"",IF(D35="","Erreur : question manquante",IF((IF(E35="",0,1)+IF(F35="",0,1)+IF(G35="",0,1)+IF(H35="",0,1)+IF(I35="",0,1)+IF(J35="",0,1)+IF(K35="",0,1)+IF(L35="",0,1))&lt;2,"Erreur : au moins 2 réponses",IF(M35="","Erreur : bonne réponse manquante",IF(NOT(ISNUMBER(N35)),"Erreur : pondération numérique",IF(N35&lt;=0,"Erreur : pondération &gt; 0",IF(ISNUMBER(SEARCH(";",M35&amp;"")),"Erreur : QCU = 1 seule bonne réponse",IFERROR(IF(OR(VALUE(M35)&lt;1,VALUE(M35)&gt;8,VALUE(M35)&lt;&gt;INT(VALUE(M35))),"Erreur : bonne réponse 1-8",IF(INDEX(E35:L35,1,VALUE(M35))="","Erreur : réponse correcte vide","OK")),"Erreur : bonne réponse 1-8"))))))))</f>
        <v/>
      </c>
      <c r="P35" s="41" t="n"/>
      <c r="Q35" s="41" t="n"/>
      <c r="R35" s="41" t="n"/>
      <c r="S35" s="41" t="n"/>
      <c r="T35" s="41" t="n"/>
      <c r="U35" s="41" t="n"/>
      <c r="V35" s="41" t="n"/>
      <c r="W35" s="41" t="n"/>
      <c r="X35" s="41" t="n"/>
      <c r="Y35" s="41" t="n"/>
    </row>
    <row r="36" ht="28" customHeight="1" s="17">
      <c r="A36" s="37">
        <f>IF(COUNTA(C36:N36)=0,"",ROW()-4)</f>
        <v/>
      </c>
      <c r="B36" s="37">
        <f>IF(COUNTA(C36:N36)=0,"","qcu")</f>
        <v/>
      </c>
      <c r="C36" s="38" t="n"/>
      <c r="D36" s="38" t="n"/>
      <c r="E36" s="38" t="n"/>
      <c r="F36" s="38" t="n"/>
      <c r="G36" s="38" t="n"/>
      <c r="H36" s="38" t="n"/>
      <c r="I36" s="38" t="n"/>
      <c r="J36" s="38" t="n"/>
      <c r="K36" s="38" t="n"/>
      <c r="L36" s="38" t="n"/>
      <c r="M36" s="39" t="n"/>
      <c r="N36" s="40" t="n"/>
      <c r="O36" s="37">
        <f>IF(COUNTA(C36:N36)=0,"",IF(D36="","Erreur : question manquante",IF((IF(E36="",0,1)+IF(F36="",0,1)+IF(G36="",0,1)+IF(H36="",0,1)+IF(I36="",0,1)+IF(J36="",0,1)+IF(K36="",0,1)+IF(L36="",0,1))&lt;2,"Erreur : au moins 2 réponses",IF(M36="","Erreur : bonne réponse manquante",IF(NOT(ISNUMBER(N36)),"Erreur : pondération numérique",IF(N36&lt;=0,"Erreur : pondération &gt; 0",IF(ISNUMBER(SEARCH(";",M36&amp;"")),"Erreur : QCU = 1 seule bonne réponse",IFERROR(IF(OR(VALUE(M36)&lt;1,VALUE(M36)&gt;8,VALUE(M36)&lt;&gt;INT(VALUE(M36))),"Erreur : bonne réponse 1-8",IF(INDEX(E36:L36,1,VALUE(M36))="","Erreur : réponse correcte vide","OK")),"Erreur : bonne réponse 1-8"))))))))</f>
        <v/>
      </c>
      <c r="P36" s="41" t="n"/>
      <c r="Q36" s="41" t="n"/>
      <c r="R36" s="41" t="n"/>
      <c r="S36" s="41" t="n"/>
      <c r="T36" s="41" t="n"/>
      <c r="U36" s="41" t="n"/>
      <c r="V36" s="41" t="n"/>
      <c r="W36" s="41" t="n"/>
      <c r="X36" s="41" t="n"/>
      <c r="Y36" s="41" t="n"/>
    </row>
    <row r="37" ht="28" customHeight="1" s="17">
      <c r="A37" s="37">
        <f>IF(COUNTA(C37:N37)=0,"",ROW()-4)</f>
        <v/>
      </c>
      <c r="B37" s="37">
        <f>IF(COUNTA(C37:N37)=0,"","qcu")</f>
        <v/>
      </c>
      <c r="C37" s="38" t="n"/>
      <c r="D37" s="38" t="n"/>
      <c r="E37" s="38" t="n"/>
      <c r="F37" s="38" t="n"/>
      <c r="G37" s="38" t="n"/>
      <c r="H37" s="38" t="n"/>
      <c r="I37" s="38" t="n"/>
      <c r="J37" s="38" t="n"/>
      <c r="K37" s="38" t="n"/>
      <c r="L37" s="38" t="n"/>
      <c r="M37" s="39" t="n"/>
      <c r="N37" s="40" t="n"/>
      <c r="O37" s="37">
        <f>IF(COUNTA(C37:N37)=0,"",IF(D37="","Erreur : question manquante",IF((IF(E37="",0,1)+IF(F37="",0,1)+IF(G37="",0,1)+IF(H37="",0,1)+IF(I37="",0,1)+IF(J37="",0,1)+IF(K37="",0,1)+IF(L37="",0,1))&lt;2,"Erreur : au moins 2 réponses",IF(M37="","Erreur : bonne réponse manquante",IF(NOT(ISNUMBER(N37)),"Erreur : pondération numérique",IF(N37&lt;=0,"Erreur : pondération &gt; 0",IF(ISNUMBER(SEARCH(";",M37&amp;"")),"Erreur : QCU = 1 seule bonne réponse",IFERROR(IF(OR(VALUE(M37)&lt;1,VALUE(M37)&gt;8,VALUE(M37)&lt;&gt;INT(VALUE(M37))),"Erreur : bonne réponse 1-8",IF(INDEX(E37:L37,1,VALUE(M37))="","Erreur : réponse correcte vide","OK")),"Erreur : bonne réponse 1-8"))))))))</f>
        <v/>
      </c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</row>
    <row r="38" ht="28" customHeight="1" s="17">
      <c r="A38" s="37">
        <f>IF(COUNTA(C38:N38)=0,"",ROW()-4)</f>
        <v/>
      </c>
      <c r="B38" s="37">
        <f>IF(COUNTA(C38:N38)=0,"","qcu")</f>
        <v/>
      </c>
      <c r="C38" s="38" t="n"/>
      <c r="D38" s="38" t="n"/>
      <c r="E38" s="38" t="n"/>
      <c r="F38" s="38" t="n"/>
      <c r="G38" s="38" t="n"/>
      <c r="H38" s="38" t="n"/>
      <c r="I38" s="38" t="n"/>
      <c r="J38" s="38" t="n"/>
      <c r="K38" s="38" t="n"/>
      <c r="L38" s="38" t="n"/>
      <c r="M38" s="39" t="n"/>
      <c r="N38" s="40" t="n"/>
      <c r="O38" s="37">
        <f>IF(COUNTA(C38:N38)=0,"",IF(D38="","Erreur : question manquante",IF((IF(E38="",0,1)+IF(F38="",0,1)+IF(G38="",0,1)+IF(H38="",0,1)+IF(I38="",0,1)+IF(J38="",0,1)+IF(K38="",0,1)+IF(L38="",0,1))&lt;2,"Erreur : au moins 2 réponses",IF(M38="","Erreur : bonne réponse manquante",IF(NOT(ISNUMBER(N38)),"Erreur : pondération numérique",IF(N38&lt;=0,"Erreur : pondération &gt; 0",IF(ISNUMBER(SEARCH(";",M38&amp;"")),"Erreur : QCU = 1 seule bonne réponse",IFERROR(IF(OR(VALUE(M38)&lt;1,VALUE(M38)&gt;8,VALUE(M38)&lt;&gt;INT(VALUE(M38))),"Erreur : bonne réponse 1-8",IF(INDEX(E38:L38,1,VALUE(M38))="","Erreur : réponse correcte vide","OK")),"Erreur : bonne réponse 1-8"))))))))</f>
        <v/>
      </c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</row>
    <row r="39" ht="28" customHeight="1" s="17">
      <c r="A39" s="37">
        <f>IF(COUNTA(C39:N39)=0,"",ROW()-4)</f>
        <v/>
      </c>
      <c r="B39" s="37">
        <f>IF(COUNTA(C39:N39)=0,"","qcu")</f>
        <v/>
      </c>
      <c r="C39" s="38" t="n"/>
      <c r="D39" s="38" t="n"/>
      <c r="E39" s="38" t="n"/>
      <c r="F39" s="38" t="n"/>
      <c r="G39" s="38" t="n"/>
      <c r="H39" s="38" t="n"/>
      <c r="I39" s="38" t="n"/>
      <c r="J39" s="38" t="n"/>
      <c r="K39" s="38" t="n"/>
      <c r="L39" s="38" t="n"/>
      <c r="M39" s="39" t="n"/>
      <c r="N39" s="40" t="n"/>
      <c r="O39" s="37">
        <f>IF(COUNTA(C39:N39)=0,"",IF(D39="","Erreur : question manquante",IF((IF(E39="",0,1)+IF(F39="",0,1)+IF(G39="",0,1)+IF(H39="",0,1)+IF(I39="",0,1)+IF(J39="",0,1)+IF(K39="",0,1)+IF(L39="",0,1))&lt;2,"Erreur : au moins 2 réponses",IF(M39="","Erreur : bonne réponse manquante",IF(NOT(ISNUMBER(N39)),"Erreur : pondération numérique",IF(N39&lt;=0,"Erreur : pondération &gt; 0",IF(ISNUMBER(SEARCH(";",M39&amp;"")),"Erreur : QCU = 1 seule bonne réponse",IFERROR(IF(OR(VALUE(M39)&lt;1,VALUE(M39)&gt;8,VALUE(M39)&lt;&gt;INT(VALUE(M39))),"Erreur : bonne réponse 1-8",IF(INDEX(E39:L39,1,VALUE(M39))="","Erreur : réponse correcte vide","OK")),"Erreur : bonne réponse 1-8"))))))))</f>
        <v/>
      </c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</row>
    <row r="40" ht="28" customHeight="1" s="17">
      <c r="A40" s="37">
        <f>IF(COUNTA(C40:N40)=0,"",ROW()-4)</f>
        <v/>
      </c>
      <c r="B40" s="37">
        <f>IF(COUNTA(C40:N40)=0,"","qcu")</f>
        <v/>
      </c>
      <c r="C40" s="38" t="n"/>
      <c r="D40" s="38" t="n"/>
      <c r="E40" s="38" t="n"/>
      <c r="F40" s="38" t="n"/>
      <c r="G40" s="38" t="n"/>
      <c r="H40" s="38" t="n"/>
      <c r="I40" s="38" t="n"/>
      <c r="J40" s="38" t="n"/>
      <c r="K40" s="38" t="n"/>
      <c r="L40" s="38" t="n"/>
      <c r="M40" s="39" t="n"/>
      <c r="N40" s="40" t="n"/>
      <c r="O40" s="37">
        <f>IF(COUNTA(C40:N40)=0,"",IF(D40="","Erreur : question manquante",IF((IF(E40="",0,1)+IF(F40="",0,1)+IF(G40="",0,1)+IF(H40="",0,1)+IF(I40="",0,1)+IF(J40="",0,1)+IF(K40="",0,1)+IF(L40="",0,1))&lt;2,"Erreur : au moins 2 réponses",IF(M40="","Erreur : bonne réponse manquante",IF(NOT(ISNUMBER(N40)),"Erreur : pondération numérique",IF(N40&lt;=0,"Erreur : pondération &gt; 0",IF(ISNUMBER(SEARCH(";",M40&amp;"")),"Erreur : QCU = 1 seule bonne réponse",IFERROR(IF(OR(VALUE(M40)&lt;1,VALUE(M40)&gt;8,VALUE(M40)&lt;&gt;INT(VALUE(M40))),"Erreur : bonne réponse 1-8",IF(INDEX(E40:L40,1,VALUE(M40))="","Erreur : réponse correcte vide","OK")),"Erreur : bonne réponse 1-8"))))))))</f>
        <v/>
      </c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</row>
    <row r="41" ht="28" customHeight="1" s="17">
      <c r="A41" s="37">
        <f>IF(COUNTA(C41:N41)=0,"",ROW()-4)</f>
        <v/>
      </c>
      <c r="B41" s="37">
        <f>IF(COUNTA(C41:N41)=0,"","qcu")</f>
        <v/>
      </c>
      <c r="C41" s="38" t="n"/>
      <c r="D41" s="38" t="n"/>
      <c r="E41" s="38" t="n"/>
      <c r="F41" s="38" t="n"/>
      <c r="G41" s="38" t="n"/>
      <c r="H41" s="38" t="n"/>
      <c r="I41" s="38" t="n"/>
      <c r="J41" s="38" t="n"/>
      <c r="K41" s="38" t="n"/>
      <c r="L41" s="38" t="n"/>
      <c r="M41" s="39" t="n"/>
      <c r="N41" s="40" t="n"/>
      <c r="O41" s="37">
        <f>IF(COUNTA(C41:N41)=0,"",IF(D41="","Erreur : question manquante",IF((IF(E41="",0,1)+IF(F41="",0,1)+IF(G41="",0,1)+IF(H41="",0,1)+IF(I41="",0,1)+IF(J41="",0,1)+IF(K41="",0,1)+IF(L41="",0,1))&lt;2,"Erreur : au moins 2 réponses",IF(M41="","Erreur : bonne réponse manquante",IF(NOT(ISNUMBER(N41)),"Erreur : pondération numérique",IF(N41&lt;=0,"Erreur : pondération &gt; 0",IF(ISNUMBER(SEARCH(";",M41&amp;"")),"Erreur : QCU = 1 seule bonne réponse",IFERROR(IF(OR(VALUE(M41)&lt;1,VALUE(M41)&gt;8,VALUE(M41)&lt;&gt;INT(VALUE(M41))),"Erreur : bonne réponse 1-8",IF(INDEX(E41:L41,1,VALUE(M41))="","Erreur : réponse correcte vide","OK")),"Erreur : bonne réponse 1-8"))))))))</f>
        <v/>
      </c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</row>
    <row r="42" ht="28" customHeight="1" s="17">
      <c r="A42" s="37">
        <f>IF(COUNTA(C42:N42)=0,"",ROW()-4)</f>
        <v/>
      </c>
      <c r="B42" s="37">
        <f>IF(COUNTA(C42:N42)=0,"","qcu")</f>
        <v/>
      </c>
      <c r="C42" s="38" t="n"/>
      <c r="D42" s="38" t="n"/>
      <c r="E42" s="38" t="n"/>
      <c r="F42" s="38" t="n"/>
      <c r="G42" s="38" t="n"/>
      <c r="H42" s="38" t="n"/>
      <c r="I42" s="38" t="n"/>
      <c r="J42" s="38" t="n"/>
      <c r="K42" s="38" t="n"/>
      <c r="L42" s="38" t="n"/>
      <c r="M42" s="39" t="n"/>
      <c r="N42" s="40" t="n"/>
      <c r="O42" s="37">
        <f>IF(COUNTA(C42:N42)=0,"",IF(D42="","Erreur : question manquante",IF((IF(E42="",0,1)+IF(F42="",0,1)+IF(G42="",0,1)+IF(H42="",0,1)+IF(I42="",0,1)+IF(J42="",0,1)+IF(K42="",0,1)+IF(L42="",0,1))&lt;2,"Erreur : au moins 2 réponses",IF(M42="","Erreur : bonne réponse manquante",IF(NOT(ISNUMBER(N42)),"Erreur : pondération numérique",IF(N42&lt;=0,"Erreur : pondération &gt; 0",IF(ISNUMBER(SEARCH(";",M42&amp;"")),"Erreur : QCU = 1 seule bonne réponse",IFERROR(IF(OR(VALUE(M42)&lt;1,VALUE(M42)&gt;8,VALUE(M42)&lt;&gt;INT(VALUE(M42))),"Erreur : bonne réponse 1-8",IF(INDEX(E42:L42,1,VALUE(M42))="","Erreur : réponse correcte vide","OK")),"Erreur : bonne réponse 1-8"))))))))</f>
        <v/>
      </c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</row>
    <row r="43" ht="28" customHeight="1" s="17">
      <c r="A43" s="37">
        <f>IF(COUNTA(C43:N43)=0,"",ROW()-4)</f>
        <v/>
      </c>
      <c r="B43" s="37">
        <f>IF(COUNTA(C43:N43)=0,"","qcu")</f>
        <v/>
      </c>
      <c r="C43" s="38" t="n"/>
      <c r="D43" s="38" t="n"/>
      <c r="E43" s="38" t="n"/>
      <c r="F43" s="38" t="n"/>
      <c r="G43" s="38" t="n"/>
      <c r="H43" s="38" t="n"/>
      <c r="I43" s="38" t="n"/>
      <c r="J43" s="38" t="n"/>
      <c r="K43" s="38" t="n"/>
      <c r="L43" s="38" t="n"/>
      <c r="M43" s="39" t="n"/>
      <c r="N43" s="40" t="n"/>
      <c r="O43" s="37">
        <f>IF(COUNTA(C43:N43)=0,"",IF(D43="","Erreur : question manquante",IF((IF(E43="",0,1)+IF(F43="",0,1)+IF(G43="",0,1)+IF(H43="",0,1)+IF(I43="",0,1)+IF(J43="",0,1)+IF(K43="",0,1)+IF(L43="",0,1))&lt;2,"Erreur : au moins 2 réponses",IF(M43="","Erreur : bonne réponse manquante",IF(NOT(ISNUMBER(N43)),"Erreur : pondération numérique",IF(N43&lt;=0,"Erreur : pondération &gt; 0",IF(ISNUMBER(SEARCH(";",M43&amp;"")),"Erreur : QCU = 1 seule bonne réponse",IFERROR(IF(OR(VALUE(M43)&lt;1,VALUE(M43)&gt;8,VALUE(M43)&lt;&gt;INT(VALUE(M43))),"Erreur : bonne réponse 1-8",IF(INDEX(E43:L43,1,VALUE(M43))="","Erreur : réponse correcte vide","OK")),"Erreur : bonne réponse 1-8"))))))))</f>
        <v/>
      </c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</row>
    <row r="44" ht="28" customHeight="1" s="17">
      <c r="A44" s="37">
        <f>IF(COUNTA(C44:N44)=0,"",ROW()-4)</f>
        <v/>
      </c>
      <c r="B44" s="37">
        <f>IF(COUNTA(C44:N44)=0,"","qcu")</f>
        <v/>
      </c>
      <c r="C44" s="38" t="n"/>
      <c r="D44" s="38" t="n"/>
      <c r="E44" s="38" t="n"/>
      <c r="F44" s="38" t="n"/>
      <c r="G44" s="38" t="n"/>
      <c r="H44" s="38" t="n"/>
      <c r="I44" s="38" t="n"/>
      <c r="J44" s="38" t="n"/>
      <c r="K44" s="38" t="n"/>
      <c r="L44" s="38" t="n"/>
      <c r="M44" s="39" t="n"/>
      <c r="N44" s="40" t="n"/>
      <c r="O44" s="37">
        <f>IF(COUNTA(C44:N44)=0,"",IF(D44="","Erreur : question manquante",IF((IF(E44="",0,1)+IF(F44="",0,1)+IF(G44="",0,1)+IF(H44="",0,1)+IF(I44="",0,1)+IF(J44="",0,1)+IF(K44="",0,1)+IF(L44="",0,1))&lt;2,"Erreur : au moins 2 réponses",IF(M44="","Erreur : bonne réponse manquante",IF(NOT(ISNUMBER(N44)),"Erreur : pondération numérique",IF(N44&lt;=0,"Erreur : pondération &gt; 0",IF(ISNUMBER(SEARCH(";",M44&amp;"")),"Erreur : QCU = 1 seule bonne réponse",IFERROR(IF(OR(VALUE(M44)&lt;1,VALUE(M44)&gt;8,VALUE(M44)&lt;&gt;INT(VALUE(M44))),"Erreur : bonne réponse 1-8",IF(INDEX(E44:L44,1,VALUE(M44))="","Erreur : réponse correcte vide","OK")),"Erreur : bonne réponse 1-8"))))))))</f>
        <v/>
      </c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</row>
    <row r="45" ht="28" customHeight="1" s="17">
      <c r="A45" s="37">
        <f>IF(COUNTA(C45:N45)=0,"",ROW()-4)</f>
        <v/>
      </c>
      <c r="B45" s="37">
        <f>IF(COUNTA(C45:N45)=0,"","qcu")</f>
        <v/>
      </c>
      <c r="C45" s="38" t="n"/>
      <c r="D45" s="38" t="n"/>
      <c r="E45" s="38" t="n"/>
      <c r="F45" s="38" t="n"/>
      <c r="G45" s="38" t="n"/>
      <c r="H45" s="38" t="n"/>
      <c r="I45" s="38" t="n"/>
      <c r="J45" s="38" t="n"/>
      <c r="K45" s="38" t="n"/>
      <c r="L45" s="38" t="n"/>
      <c r="M45" s="39" t="n"/>
      <c r="N45" s="40" t="n"/>
      <c r="O45" s="37">
        <f>IF(COUNTA(C45:N45)=0,"",IF(D45="","Erreur : question manquante",IF((IF(E45="",0,1)+IF(F45="",0,1)+IF(G45="",0,1)+IF(H45="",0,1)+IF(I45="",0,1)+IF(J45="",0,1)+IF(K45="",0,1)+IF(L45="",0,1))&lt;2,"Erreur : au moins 2 réponses",IF(M45="","Erreur : bonne réponse manquante",IF(NOT(ISNUMBER(N45)),"Erreur : pondération numérique",IF(N45&lt;=0,"Erreur : pondération &gt; 0",IF(ISNUMBER(SEARCH(";",M45&amp;"")),"Erreur : QCU = 1 seule bonne réponse",IFERROR(IF(OR(VALUE(M45)&lt;1,VALUE(M45)&gt;8,VALUE(M45)&lt;&gt;INT(VALUE(M45))),"Erreur : bonne réponse 1-8",IF(INDEX(E45:L45,1,VALUE(M45))="","Erreur : réponse correcte vide","OK")),"Erreur : bonne réponse 1-8"))))))))</f>
        <v/>
      </c>
      <c r="P45" s="41" t="n"/>
      <c r="Q45" s="41" t="n"/>
      <c r="R45" s="41" t="n"/>
      <c r="S45" s="41" t="n"/>
      <c r="T45" s="41" t="n"/>
      <c r="U45" s="41" t="n"/>
      <c r="V45" s="41" t="n"/>
      <c r="W45" s="41" t="n"/>
      <c r="X45" s="41" t="n"/>
      <c r="Y45" s="41" t="n"/>
    </row>
    <row r="46" ht="28" customHeight="1" s="17">
      <c r="A46" s="37">
        <f>IF(COUNTA(C46:N46)=0,"",ROW()-4)</f>
        <v/>
      </c>
      <c r="B46" s="37">
        <f>IF(COUNTA(C46:N46)=0,"","qcu")</f>
        <v/>
      </c>
      <c r="C46" s="38" t="n"/>
      <c r="D46" s="38" t="n"/>
      <c r="E46" s="38" t="n"/>
      <c r="F46" s="38" t="n"/>
      <c r="G46" s="38" t="n"/>
      <c r="H46" s="38" t="n"/>
      <c r="I46" s="38" t="n"/>
      <c r="J46" s="38" t="n"/>
      <c r="K46" s="38" t="n"/>
      <c r="L46" s="38" t="n"/>
      <c r="M46" s="39" t="n"/>
      <c r="N46" s="40" t="n"/>
      <c r="O46" s="37">
        <f>IF(COUNTA(C46:N46)=0,"",IF(D46="","Erreur : question manquante",IF((IF(E46="",0,1)+IF(F46="",0,1)+IF(G46="",0,1)+IF(H46="",0,1)+IF(I46="",0,1)+IF(J46="",0,1)+IF(K46="",0,1)+IF(L46="",0,1))&lt;2,"Erreur : au moins 2 réponses",IF(M46="","Erreur : bonne réponse manquante",IF(NOT(ISNUMBER(N46)),"Erreur : pondération numérique",IF(N46&lt;=0,"Erreur : pondération &gt; 0",IF(ISNUMBER(SEARCH(";",M46&amp;"")),"Erreur : QCU = 1 seule bonne réponse",IFERROR(IF(OR(VALUE(M46)&lt;1,VALUE(M46)&gt;8,VALUE(M46)&lt;&gt;INT(VALUE(M46))),"Erreur : bonne réponse 1-8",IF(INDEX(E46:L46,1,VALUE(M46))="","Erreur : réponse correcte vide","OK")),"Erreur : bonne réponse 1-8"))))))))</f>
        <v/>
      </c>
      <c r="P46" s="41" t="n"/>
      <c r="Q46" s="41" t="n"/>
      <c r="R46" s="41" t="n"/>
      <c r="S46" s="41" t="n"/>
      <c r="T46" s="41" t="n"/>
      <c r="U46" s="41" t="n"/>
      <c r="V46" s="41" t="n"/>
      <c r="W46" s="41" t="n"/>
      <c r="X46" s="41" t="n"/>
      <c r="Y46" s="41" t="n"/>
    </row>
    <row r="47" ht="28" customHeight="1" s="17">
      <c r="A47" s="37">
        <f>IF(COUNTA(C47:N47)=0,"",ROW()-4)</f>
        <v/>
      </c>
      <c r="B47" s="37">
        <f>IF(COUNTA(C47:N47)=0,"","qcu")</f>
        <v/>
      </c>
      <c r="C47" s="38" t="n"/>
      <c r="D47" s="38" t="n"/>
      <c r="E47" s="38" t="n"/>
      <c r="F47" s="38" t="n"/>
      <c r="G47" s="38" t="n"/>
      <c r="H47" s="38" t="n"/>
      <c r="I47" s="38" t="n"/>
      <c r="J47" s="38" t="n"/>
      <c r="K47" s="38" t="n"/>
      <c r="L47" s="38" t="n"/>
      <c r="M47" s="39" t="n"/>
      <c r="N47" s="40" t="n"/>
      <c r="O47" s="37">
        <f>IF(COUNTA(C47:N47)=0,"",IF(D47="","Erreur : question manquante",IF((IF(E47="",0,1)+IF(F47="",0,1)+IF(G47="",0,1)+IF(H47="",0,1)+IF(I47="",0,1)+IF(J47="",0,1)+IF(K47="",0,1)+IF(L47="",0,1))&lt;2,"Erreur : au moins 2 réponses",IF(M47="","Erreur : bonne réponse manquante",IF(NOT(ISNUMBER(N47)),"Erreur : pondération numérique",IF(N47&lt;=0,"Erreur : pondération &gt; 0",IF(ISNUMBER(SEARCH(";",M47&amp;"")),"Erreur : QCU = 1 seule bonne réponse",IFERROR(IF(OR(VALUE(M47)&lt;1,VALUE(M47)&gt;8,VALUE(M47)&lt;&gt;INT(VALUE(M47))),"Erreur : bonne réponse 1-8",IF(INDEX(E47:L47,1,VALUE(M47))="","Erreur : réponse correcte vide","OK")),"Erreur : bonne réponse 1-8"))))))))</f>
        <v/>
      </c>
      <c r="P47" s="41" t="n"/>
      <c r="Q47" s="41" t="n"/>
      <c r="R47" s="41" t="n"/>
      <c r="S47" s="41" t="n"/>
      <c r="T47" s="41" t="n"/>
      <c r="U47" s="41" t="n"/>
      <c r="V47" s="41" t="n"/>
      <c r="W47" s="41" t="n"/>
      <c r="X47" s="41" t="n"/>
      <c r="Y47" s="41" t="n"/>
    </row>
    <row r="48" ht="28" customHeight="1" s="17">
      <c r="A48" s="37">
        <f>IF(COUNTA(C48:N48)=0,"",ROW()-4)</f>
        <v/>
      </c>
      <c r="B48" s="37">
        <f>IF(COUNTA(C48:N48)=0,"","qcu")</f>
        <v/>
      </c>
      <c r="C48" s="38" t="n"/>
      <c r="D48" s="38" t="n"/>
      <c r="E48" s="38" t="n"/>
      <c r="F48" s="38" t="n"/>
      <c r="G48" s="38" t="n"/>
      <c r="H48" s="38" t="n"/>
      <c r="I48" s="38" t="n"/>
      <c r="J48" s="38" t="n"/>
      <c r="K48" s="38" t="n"/>
      <c r="L48" s="38" t="n"/>
      <c r="M48" s="39" t="n"/>
      <c r="N48" s="40" t="n"/>
      <c r="O48" s="37">
        <f>IF(COUNTA(C48:N48)=0,"",IF(D48="","Erreur : question manquante",IF((IF(E48="",0,1)+IF(F48="",0,1)+IF(G48="",0,1)+IF(H48="",0,1)+IF(I48="",0,1)+IF(J48="",0,1)+IF(K48="",0,1)+IF(L48="",0,1))&lt;2,"Erreur : au moins 2 réponses",IF(M48="","Erreur : bonne réponse manquante",IF(NOT(ISNUMBER(N48)),"Erreur : pondération numérique",IF(N48&lt;=0,"Erreur : pondération &gt; 0",IF(ISNUMBER(SEARCH(";",M48&amp;"")),"Erreur : QCU = 1 seule bonne réponse",IFERROR(IF(OR(VALUE(M48)&lt;1,VALUE(M48)&gt;8,VALUE(M48)&lt;&gt;INT(VALUE(M48))),"Erreur : bonne réponse 1-8",IF(INDEX(E48:L48,1,VALUE(M48))="","Erreur : réponse correcte vide","OK")),"Erreur : bonne réponse 1-8"))))))))</f>
        <v/>
      </c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</row>
    <row r="49" ht="28" customHeight="1" s="17">
      <c r="A49" s="37">
        <f>IF(COUNTA(C49:N49)=0,"",ROW()-4)</f>
        <v/>
      </c>
      <c r="B49" s="37">
        <f>IF(COUNTA(C49:N49)=0,"","qcu")</f>
        <v/>
      </c>
      <c r="C49" s="38" t="n"/>
      <c r="D49" s="38" t="n"/>
      <c r="E49" s="38" t="n"/>
      <c r="F49" s="38" t="n"/>
      <c r="G49" s="38" t="n"/>
      <c r="H49" s="38" t="n"/>
      <c r="I49" s="38" t="n"/>
      <c r="J49" s="38" t="n"/>
      <c r="K49" s="38" t="n"/>
      <c r="L49" s="38" t="n"/>
      <c r="M49" s="39" t="n"/>
      <c r="N49" s="40" t="n"/>
      <c r="O49" s="37">
        <f>IF(COUNTA(C49:N49)=0,"",IF(D49="","Erreur : question manquante",IF((IF(E49="",0,1)+IF(F49="",0,1)+IF(G49="",0,1)+IF(H49="",0,1)+IF(I49="",0,1)+IF(J49="",0,1)+IF(K49="",0,1)+IF(L49="",0,1))&lt;2,"Erreur : au moins 2 réponses",IF(M49="","Erreur : bonne réponse manquante",IF(NOT(ISNUMBER(N49)),"Erreur : pondération numérique",IF(N49&lt;=0,"Erreur : pondération &gt; 0",IF(ISNUMBER(SEARCH(";",M49&amp;"")),"Erreur : QCU = 1 seule bonne réponse",IFERROR(IF(OR(VALUE(M49)&lt;1,VALUE(M49)&gt;8,VALUE(M49)&lt;&gt;INT(VALUE(M49))),"Erreur : bonne réponse 1-8",IF(INDEX(E49:L49,1,VALUE(M49))="","Erreur : réponse correcte vide","OK")),"Erreur : bonne réponse 1-8"))))))))</f>
        <v/>
      </c>
      <c r="P49" s="41" t="n"/>
      <c r="Q49" s="41" t="n"/>
      <c r="R49" s="41" t="n"/>
      <c r="S49" s="41" t="n"/>
      <c r="T49" s="41" t="n"/>
      <c r="U49" s="41" t="n"/>
      <c r="V49" s="41" t="n"/>
      <c r="W49" s="41" t="n"/>
      <c r="X49" s="41" t="n"/>
      <c r="Y49" s="41" t="n"/>
    </row>
    <row r="50" ht="28" customHeight="1" s="17">
      <c r="A50" s="37">
        <f>IF(COUNTA(C50:N50)=0,"",ROW()-4)</f>
        <v/>
      </c>
      <c r="B50" s="37">
        <f>IF(COUNTA(C50:N50)=0,"","qcu")</f>
        <v/>
      </c>
      <c r="C50" s="38" t="n"/>
      <c r="D50" s="38" t="n"/>
      <c r="E50" s="38" t="n"/>
      <c r="F50" s="38" t="n"/>
      <c r="G50" s="38" t="n"/>
      <c r="H50" s="38" t="n"/>
      <c r="I50" s="38" t="n"/>
      <c r="J50" s="38" t="n"/>
      <c r="K50" s="38" t="n"/>
      <c r="L50" s="38" t="n"/>
      <c r="M50" s="39" t="n"/>
      <c r="N50" s="40" t="n"/>
      <c r="O50" s="37">
        <f>IF(COUNTA(C50:N50)=0,"",IF(D50="","Erreur : question manquante",IF((IF(E50="",0,1)+IF(F50="",0,1)+IF(G50="",0,1)+IF(H50="",0,1)+IF(I50="",0,1)+IF(J50="",0,1)+IF(K50="",0,1)+IF(L50="",0,1))&lt;2,"Erreur : au moins 2 réponses",IF(M50="","Erreur : bonne réponse manquante",IF(NOT(ISNUMBER(N50)),"Erreur : pondération numérique",IF(N50&lt;=0,"Erreur : pondération &gt; 0",IF(ISNUMBER(SEARCH(";",M50&amp;"")),"Erreur : QCU = 1 seule bonne réponse",IFERROR(IF(OR(VALUE(M50)&lt;1,VALUE(M50)&gt;8,VALUE(M50)&lt;&gt;INT(VALUE(M50))),"Erreur : bonne réponse 1-8",IF(INDEX(E50:L50,1,VALUE(M50))="","Erreur : réponse correcte vide","OK")),"Erreur : bonne réponse 1-8"))))))))</f>
        <v/>
      </c>
      <c r="P50" s="41" t="n"/>
      <c r="Q50" s="41" t="n"/>
      <c r="R50" s="41" t="n"/>
      <c r="S50" s="41" t="n"/>
      <c r="T50" s="41" t="n"/>
      <c r="U50" s="41" t="n"/>
      <c r="V50" s="41" t="n"/>
      <c r="W50" s="41" t="n"/>
      <c r="X50" s="41" t="n"/>
      <c r="Y50" s="41" t="n"/>
    </row>
    <row r="51" ht="28" customHeight="1" s="17">
      <c r="A51" s="37">
        <f>IF(COUNTA(C51:N51)=0,"",ROW()-4)</f>
        <v/>
      </c>
      <c r="B51" s="37">
        <f>IF(COUNTA(C51:N51)=0,"","qcu")</f>
        <v/>
      </c>
      <c r="C51" s="38" t="n"/>
      <c r="D51" s="38" t="n"/>
      <c r="E51" s="38" t="n"/>
      <c r="F51" s="38" t="n"/>
      <c r="G51" s="38" t="n"/>
      <c r="H51" s="38" t="n"/>
      <c r="I51" s="38" t="n"/>
      <c r="J51" s="38" t="n"/>
      <c r="K51" s="38" t="n"/>
      <c r="L51" s="38" t="n"/>
      <c r="M51" s="39" t="n"/>
      <c r="N51" s="40" t="n"/>
      <c r="O51" s="37">
        <f>IF(COUNTA(C51:N51)=0,"",IF(D51="","Erreur : question manquante",IF((IF(E51="",0,1)+IF(F51="",0,1)+IF(G51="",0,1)+IF(H51="",0,1)+IF(I51="",0,1)+IF(J51="",0,1)+IF(K51="",0,1)+IF(L51="",0,1))&lt;2,"Erreur : au moins 2 réponses",IF(M51="","Erreur : bonne réponse manquante",IF(NOT(ISNUMBER(N51)),"Erreur : pondération numérique",IF(N51&lt;=0,"Erreur : pondération &gt; 0",IF(ISNUMBER(SEARCH(";",M51&amp;"")),"Erreur : QCU = 1 seule bonne réponse",IFERROR(IF(OR(VALUE(M51)&lt;1,VALUE(M51)&gt;8,VALUE(M51)&lt;&gt;INT(VALUE(M51))),"Erreur : bonne réponse 1-8",IF(INDEX(E51:L51,1,VALUE(M51))="","Erreur : réponse correcte vide","OK")),"Erreur : bonne réponse 1-8"))))))))</f>
        <v/>
      </c>
      <c r="P51" s="41" t="n"/>
      <c r="Q51" s="41" t="n"/>
      <c r="R51" s="41" t="n"/>
      <c r="S51" s="41" t="n"/>
      <c r="T51" s="41" t="n"/>
      <c r="U51" s="41" t="n"/>
      <c r="V51" s="41" t="n"/>
      <c r="W51" s="41" t="n"/>
      <c r="X51" s="41" t="n"/>
      <c r="Y51" s="41" t="n"/>
    </row>
    <row r="52" ht="28" customHeight="1" s="17">
      <c r="A52" s="37">
        <f>IF(COUNTA(C52:N52)=0,"",ROW()-4)</f>
        <v/>
      </c>
      <c r="B52" s="37">
        <f>IF(COUNTA(C52:N52)=0,"","qcu")</f>
        <v/>
      </c>
      <c r="C52" s="38" t="n"/>
      <c r="D52" s="38" t="n"/>
      <c r="E52" s="38" t="n"/>
      <c r="F52" s="38" t="n"/>
      <c r="G52" s="38" t="n"/>
      <c r="H52" s="38" t="n"/>
      <c r="I52" s="38" t="n"/>
      <c r="J52" s="38" t="n"/>
      <c r="K52" s="38" t="n"/>
      <c r="L52" s="38" t="n"/>
      <c r="M52" s="39" t="n"/>
      <c r="N52" s="40" t="n"/>
      <c r="O52" s="37">
        <f>IF(COUNTA(C52:N52)=0,"",IF(D52="","Erreur : question manquante",IF((IF(E52="",0,1)+IF(F52="",0,1)+IF(G52="",0,1)+IF(H52="",0,1)+IF(I52="",0,1)+IF(J52="",0,1)+IF(K52="",0,1)+IF(L52="",0,1))&lt;2,"Erreur : au moins 2 réponses",IF(M52="","Erreur : bonne réponse manquante",IF(NOT(ISNUMBER(N52)),"Erreur : pondération numérique",IF(N52&lt;=0,"Erreur : pondération &gt; 0",IF(ISNUMBER(SEARCH(";",M52&amp;"")),"Erreur : QCU = 1 seule bonne réponse",IFERROR(IF(OR(VALUE(M52)&lt;1,VALUE(M52)&gt;8,VALUE(M52)&lt;&gt;INT(VALUE(M52))),"Erreur : bonne réponse 1-8",IF(INDEX(E52:L52,1,VALUE(M52))="","Erreur : réponse correcte vide","OK")),"Erreur : bonne réponse 1-8"))))))))</f>
        <v/>
      </c>
      <c r="P52" s="41" t="n"/>
      <c r="Q52" s="41" t="n"/>
      <c r="R52" s="41" t="n"/>
      <c r="S52" s="41" t="n"/>
      <c r="T52" s="41" t="n"/>
      <c r="U52" s="41" t="n"/>
      <c r="V52" s="41" t="n"/>
      <c r="W52" s="41" t="n"/>
      <c r="X52" s="41" t="n"/>
      <c r="Y52" s="41" t="n"/>
    </row>
    <row r="53" ht="28" customHeight="1" s="17">
      <c r="A53" s="37">
        <f>IF(COUNTA(C53:N53)=0,"",ROW()-4)</f>
        <v/>
      </c>
      <c r="B53" s="37">
        <f>IF(COUNTA(C53:N53)=0,"","qcu")</f>
        <v/>
      </c>
      <c r="C53" s="38" t="n"/>
      <c r="D53" s="38" t="n"/>
      <c r="E53" s="38" t="n"/>
      <c r="F53" s="38" t="n"/>
      <c r="G53" s="38" t="n"/>
      <c r="H53" s="38" t="n"/>
      <c r="I53" s="38" t="n"/>
      <c r="J53" s="38" t="n"/>
      <c r="K53" s="38" t="n"/>
      <c r="L53" s="38" t="n"/>
      <c r="M53" s="39" t="n"/>
      <c r="N53" s="40" t="n"/>
      <c r="O53" s="37">
        <f>IF(COUNTA(C53:N53)=0,"",IF(D53="","Erreur : question manquante",IF((IF(E53="",0,1)+IF(F53="",0,1)+IF(G53="",0,1)+IF(H53="",0,1)+IF(I53="",0,1)+IF(J53="",0,1)+IF(K53="",0,1)+IF(L53="",0,1))&lt;2,"Erreur : au moins 2 réponses",IF(M53="","Erreur : bonne réponse manquante",IF(NOT(ISNUMBER(N53)),"Erreur : pondération numérique",IF(N53&lt;=0,"Erreur : pondération &gt; 0",IF(ISNUMBER(SEARCH(";",M53&amp;"")),"Erreur : QCU = 1 seule bonne réponse",IFERROR(IF(OR(VALUE(M53)&lt;1,VALUE(M53)&gt;8,VALUE(M53)&lt;&gt;INT(VALUE(M53))),"Erreur : bonne réponse 1-8",IF(INDEX(E53:L53,1,VALUE(M53))="","Erreur : réponse correcte vide","OK")),"Erreur : bonne réponse 1-8"))))))))</f>
        <v/>
      </c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</row>
    <row r="54" ht="28" customHeight="1" s="17">
      <c r="A54" s="37">
        <f>IF(COUNTA(C54:N54)=0,"",ROW()-4)</f>
        <v/>
      </c>
      <c r="B54" s="37">
        <f>IF(COUNTA(C54:N54)=0,"","qcu")</f>
        <v/>
      </c>
      <c r="C54" s="38" t="n"/>
      <c r="D54" s="38" t="n"/>
      <c r="E54" s="38" t="n"/>
      <c r="F54" s="38" t="n"/>
      <c r="G54" s="38" t="n"/>
      <c r="H54" s="38" t="n"/>
      <c r="I54" s="38" t="n"/>
      <c r="J54" s="38" t="n"/>
      <c r="K54" s="38" t="n"/>
      <c r="L54" s="38" t="n"/>
      <c r="M54" s="39" t="n"/>
      <c r="N54" s="40" t="n"/>
      <c r="O54" s="37">
        <f>IF(COUNTA(C54:N54)=0,"",IF(D54="","Erreur : question manquante",IF((IF(E54="",0,1)+IF(F54="",0,1)+IF(G54="",0,1)+IF(H54="",0,1)+IF(I54="",0,1)+IF(J54="",0,1)+IF(K54="",0,1)+IF(L54="",0,1))&lt;2,"Erreur : au moins 2 réponses",IF(M54="","Erreur : bonne réponse manquante",IF(NOT(ISNUMBER(N54)),"Erreur : pondération numérique",IF(N54&lt;=0,"Erreur : pondération &gt; 0",IF(ISNUMBER(SEARCH(";",M54&amp;"")),"Erreur : QCU = 1 seule bonne réponse",IFERROR(IF(OR(VALUE(M54)&lt;1,VALUE(M54)&gt;8,VALUE(M54)&lt;&gt;INT(VALUE(M54))),"Erreur : bonne réponse 1-8",IF(INDEX(E54:L54,1,VALUE(M54))="","Erreur : réponse correcte vide","OK")),"Erreur : bonne réponse 1-8"))))))))</f>
        <v/>
      </c>
      <c r="P54" s="41" t="n"/>
      <c r="Q54" s="41" t="n"/>
      <c r="R54" s="41" t="n"/>
      <c r="S54" s="41" t="n"/>
      <c r="T54" s="41" t="n"/>
      <c r="U54" s="41" t="n"/>
      <c r="V54" s="41" t="n"/>
      <c r="W54" s="41" t="n"/>
      <c r="X54" s="41" t="n"/>
      <c r="Y54" s="41" t="n"/>
    </row>
    <row r="55" ht="28" customHeight="1" s="17">
      <c r="A55" s="37">
        <f>IF(COUNTA(C55:N55)=0,"",ROW()-4)</f>
        <v/>
      </c>
      <c r="B55" s="37">
        <f>IF(COUNTA(C55:N55)=0,"","qcu")</f>
        <v/>
      </c>
      <c r="C55" s="38" t="n"/>
      <c r="D55" s="38" t="n"/>
      <c r="E55" s="38" t="n"/>
      <c r="F55" s="38" t="n"/>
      <c r="G55" s="38" t="n"/>
      <c r="H55" s="38" t="n"/>
      <c r="I55" s="38" t="n"/>
      <c r="J55" s="38" t="n"/>
      <c r="K55" s="38" t="n"/>
      <c r="L55" s="38" t="n"/>
      <c r="M55" s="39" t="n"/>
      <c r="N55" s="40" t="n"/>
      <c r="O55" s="37">
        <f>IF(COUNTA(C55:N55)=0,"",IF(D55="","Erreur : question manquante",IF((IF(E55="",0,1)+IF(F55="",0,1)+IF(G55="",0,1)+IF(H55="",0,1)+IF(I55="",0,1)+IF(J55="",0,1)+IF(K55="",0,1)+IF(L55="",0,1))&lt;2,"Erreur : au moins 2 réponses",IF(M55="","Erreur : bonne réponse manquante",IF(NOT(ISNUMBER(N55)),"Erreur : pondération numérique",IF(N55&lt;=0,"Erreur : pondération &gt; 0",IF(ISNUMBER(SEARCH(";",M55&amp;"")),"Erreur : QCU = 1 seule bonne réponse",IFERROR(IF(OR(VALUE(M55)&lt;1,VALUE(M55)&gt;8,VALUE(M55)&lt;&gt;INT(VALUE(M55))),"Erreur : bonne réponse 1-8",IF(INDEX(E55:L55,1,VALUE(M55))="","Erreur : réponse correcte vide","OK")),"Erreur : bonne réponse 1-8"))))))))</f>
        <v/>
      </c>
      <c r="P55" s="41" t="n"/>
      <c r="Q55" s="41" t="n"/>
      <c r="R55" s="41" t="n"/>
      <c r="S55" s="41" t="n"/>
      <c r="T55" s="41" t="n"/>
      <c r="U55" s="41" t="n"/>
      <c r="V55" s="41" t="n"/>
      <c r="W55" s="41" t="n"/>
      <c r="X55" s="41" t="n"/>
      <c r="Y55" s="41" t="n"/>
    </row>
    <row r="56" ht="28" customHeight="1" s="17">
      <c r="A56" s="37">
        <f>IF(COUNTA(C56:N56)=0,"",ROW()-4)</f>
        <v/>
      </c>
      <c r="B56" s="37">
        <f>IF(COUNTA(C56:N56)=0,"","qcu")</f>
        <v/>
      </c>
      <c r="C56" s="38" t="n"/>
      <c r="D56" s="38" t="n"/>
      <c r="E56" s="38" t="n"/>
      <c r="F56" s="38" t="n"/>
      <c r="G56" s="38" t="n"/>
      <c r="H56" s="38" t="n"/>
      <c r="I56" s="38" t="n"/>
      <c r="J56" s="38" t="n"/>
      <c r="K56" s="38" t="n"/>
      <c r="L56" s="38" t="n"/>
      <c r="M56" s="39" t="n"/>
      <c r="N56" s="40" t="n"/>
      <c r="O56" s="37">
        <f>IF(COUNTA(C56:N56)=0,"",IF(D56="","Erreur : question manquante",IF((IF(E56="",0,1)+IF(F56="",0,1)+IF(G56="",0,1)+IF(H56="",0,1)+IF(I56="",0,1)+IF(J56="",0,1)+IF(K56="",0,1)+IF(L56="",0,1))&lt;2,"Erreur : au moins 2 réponses",IF(M56="","Erreur : bonne réponse manquante",IF(NOT(ISNUMBER(N56)),"Erreur : pondération numérique",IF(N56&lt;=0,"Erreur : pondération &gt; 0",IF(ISNUMBER(SEARCH(";",M56&amp;"")),"Erreur : QCU = 1 seule bonne réponse",IFERROR(IF(OR(VALUE(M56)&lt;1,VALUE(M56)&gt;8,VALUE(M56)&lt;&gt;INT(VALUE(M56))),"Erreur : bonne réponse 1-8",IF(INDEX(E56:L56,1,VALUE(M56))="","Erreur : réponse correcte vide","OK")),"Erreur : bonne réponse 1-8"))))))))</f>
        <v/>
      </c>
      <c r="P56" s="41" t="n"/>
      <c r="Q56" s="41" t="n"/>
      <c r="R56" s="41" t="n"/>
      <c r="S56" s="41" t="n"/>
      <c r="T56" s="41" t="n"/>
      <c r="U56" s="41" t="n"/>
      <c r="V56" s="41" t="n"/>
      <c r="W56" s="41" t="n"/>
      <c r="X56" s="41" t="n"/>
      <c r="Y56" s="41" t="n"/>
    </row>
    <row r="57" ht="28" customHeight="1" s="17">
      <c r="A57" s="37">
        <f>IF(COUNTA(C57:N57)=0,"",ROW()-4)</f>
        <v/>
      </c>
      <c r="B57" s="37">
        <f>IF(COUNTA(C57:N57)=0,"","qcu")</f>
        <v/>
      </c>
      <c r="C57" s="38" t="n"/>
      <c r="D57" s="38" t="n"/>
      <c r="E57" s="38" t="n"/>
      <c r="F57" s="38" t="n"/>
      <c r="G57" s="38" t="n"/>
      <c r="H57" s="38" t="n"/>
      <c r="I57" s="38" t="n"/>
      <c r="J57" s="38" t="n"/>
      <c r="K57" s="38" t="n"/>
      <c r="L57" s="38" t="n"/>
      <c r="M57" s="39" t="n"/>
      <c r="N57" s="40" t="n"/>
      <c r="O57" s="37">
        <f>IF(COUNTA(C57:N57)=0,"",IF(D57="","Erreur : question manquante",IF((IF(E57="",0,1)+IF(F57="",0,1)+IF(G57="",0,1)+IF(H57="",0,1)+IF(I57="",0,1)+IF(J57="",0,1)+IF(K57="",0,1)+IF(L57="",0,1))&lt;2,"Erreur : au moins 2 réponses",IF(M57="","Erreur : bonne réponse manquante",IF(NOT(ISNUMBER(N57)),"Erreur : pondération numérique",IF(N57&lt;=0,"Erreur : pondération &gt; 0",IF(ISNUMBER(SEARCH(";",M57&amp;"")),"Erreur : QCU = 1 seule bonne réponse",IFERROR(IF(OR(VALUE(M57)&lt;1,VALUE(M57)&gt;8,VALUE(M57)&lt;&gt;INT(VALUE(M57))),"Erreur : bonne réponse 1-8",IF(INDEX(E57:L57,1,VALUE(M57))="","Erreur : réponse correcte vide","OK")),"Erreur : bonne réponse 1-8"))))))))</f>
        <v/>
      </c>
      <c r="P57" s="41" t="n"/>
      <c r="Q57" s="41" t="n"/>
      <c r="R57" s="41" t="n"/>
      <c r="S57" s="41" t="n"/>
      <c r="T57" s="41" t="n"/>
      <c r="U57" s="41" t="n"/>
      <c r="V57" s="41" t="n"/>
      <c r="W57" s="41" t="n"/>
      <c r="X57" s="41" t="n"/>
      <c r="Y57" s="41" t="n"/>
    </row>
    <row r="58" ht="28" customHeight="1" s="17">
      <c r="A58" s="37">
        <f>IF(COUNTA(C58:N58)=0,"",ROW()-4)</f>
        <v/>
      </c>
      <c r="B58" s="37">
        <f>IF(COUNTA(C58:N58)=0,"","qcu")</f>
        <v/>
      </c>
      <c r="C58" s="38" t="n"/>
      <c r="D58" s="38" t="n"/>
      <c r="E58" s="38" t="n"/>
      <c r="F58" s="38" t="n"/>
      <c r="G58" s="38" t="n"/>
      <c r="H58" s="38" t="n"/>
      <c r="I58" s="38" t="n"/>
      <c r="J58" s="38" t="n"/>
      <c r="K58" s="38" t="n"/>
      <c r="L58" s="38" t="n"/>
      <c r="M58" s="39" t="n"/>
      <c r="N58" s="40" t="n"/>
      <c r="O58" s="37">
        <f>IF(COUNTA(C58:N58)=0,"",IF(D58="","Erreur : question manquante",IF((IF(E58="",0,1)+IF(F58="",0,1)+IF(G58="",0,1)+IF(H58="",0,1)+IF(I58="",0,1)+IF(J58="",0,1)+IF(K58="",0,1)+IF(L58="",0,1))&lt;2,"Erreur : au moins 2 réponses",IF(M58="","Erreur : bonne réponse manquante",IF(NOT(ISNUMBER(N58)),"Erreur : pondération numérique",IF(N58&lt;=0,"Erreur : pondération &gt; 0",IF(ISNUMBER(SEARCH(";",M58&amp;"")),"Erreur : QCU = 1 seule bonne réponse",IFERROR(IF(OR(VALUE(M58)&lt;1,VALUE(M58)&gt;8,VALUE(M58)&lt;&gt;INT(VALUE(M58))),"Erreur : bonne réponse 1-8",IF(INDEX(E58:L58,1,VALUE(M58))="","Erreur : réponse correcte vide","OK")),"Erreur : bonne réponse 1-8"))))))))</f>
        <v/>
      </c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</row>
    <row r="59" ht="28" customHeight="1" s="17">
      <c r="A59" s="37">
        <f>IF(COUNTA(C59:N59)=0,"",ROW()-4)</f>
        <v/>
      </c>
      <c r="B59" s="37">
        <f>IF(COUNTA(C59:N59)=0,"","qcu")</f>
        <v/>
      </c>
      <c r="C59" s="38" t="n"/>
      <c r="D59" s="38" t="n"/>
      <c r="E59" s="38" t="n"/>
      <c r="F59" s="38" t="n"/>
      <c r="G59" s="38" t="n"/>
      <c r="H59" s="38" t="n"/>
      <c r="I59" s="38" t="n"/>
      <c r="J59" s="38" t="n"/>
      <c r="K59" s="38" t="n"/>
      <c r="L59" s="38" t="n"/>
      <c r="M59" s="39" t="n"/>
      <c r="N59" s="40" t="n"/>
      <c r="O59" s="37">
        <f>IF(COUNTA(C59:N59)=0,"",IF(D59="","Erreur : question manquante",IF((IF(E59="",0,1)+IF(F59="",0,1)+IF(G59="",0,1)+IF(H59="",0,1)+IF(I59="",0,1)+IF(J59="",0,1)+IF(K59="",0,1)+IF(L59="",0,1))&lt;2,"Erreur : au moins 2 réponses",IF(M59="","Erreur : bonne réponse manquante",IF(NOT(ISNUMBER(N59)),"Erreur : pondération numérique",IF(N59&lt;=0,"Erreur : pondération &gt; 0",IF(ISNUMBER(SEARCH(";",M59&amp;"")),"Erreur : QCU = 1 seule bonne réponse",IFERROR(IF(OR(VALUE(M59)&lt;1,VALUE(M59)&gt;8,VALUE(M59)&lt;&gt;INT(VALUE(M59))),"Erreur : bonne réponse 1-8",IF(INDEX(E59:L59,1,VALUE(M59))="","Erreur : réponse correcte vide","OK")),"Erreur : bonne réponse 1-8"))))))))</f>
        <v/>
      </c>
      <c r="P59" s="41" t="n"/>
      <c r="Q59" s="41" t="n"/>
      <c r="R59" s="41" t="n"/>
      <c r="S59" s="41" t="n"/>
      <c r="T59" s="41" t="n"/>
      <c r="U59" s="41" t="n"/>
      <c r="V59" s="41" t="n"/>
      <c r="W59" s="41" t="n"/>
      <c r="X59" s="41" t="n"/>
      <c r="Y59" s="41" t="n"/>
    </row>
    <row r="60" ht="28" customHeight="1" s="17">
      <c r="A60" s="37">
        <f>IF(COUNTA(C60:N60)=0,"",ROW()-4)</f>
        <v/>
      </c>
      <c r="B60" s="37">
        <f>IF(COUNTA(C60:N60)=0,"","qcu")</f>
        <v/>
      </c>
      <c r="C60" s="38" t="n"/>
      <c r="D60" s="38" t="n"/>
      <c r="E60" s="38" t="n"/>
      <c r="F60" s="38" t="n"/>
      <c r="G60" s="38" t="n"/>
      <c r="H60" s="38" t="n"/>
      <c r="I60" s="38" t="n"/>
      <c r="J60" s="38" t="n"/>
      <c r="K60" s="38" t="n"/>
      <c r="L60" s="38" t="n"/>
      <c r="M60" s="39" t="n"/>
      <c r="N60" s="40" t="n"/>
      <c r="O60" s="37">
        <f>IF(COUNTA(C60:N60)=0,"",IF(D60="","Erreur : question manquante",IF((IF(E60="",0,1)+IF(F60="",0,1)+IF(G60="",0,1)+IF(H60="",0,1)+IF(I60="",0,1)+IF(J60="",0,1)+IF(K60="",0,1)+IF(L60="",0,1))&lt;2,"Erreur : au moins 2 réponses",IF(M60="","Erreur : bonne réponse manquante",IF(NOT(ISNUMBER(N60)),"Erreur : pondération numérique",IF(N60&lt;=0,"Erreur : pondération &gt; 0",IF(ISNUMBER(SEARCH(";",M60&amp;"")),"Erreur : QCU = 1 seule bonne réponse",IFERROR(IF(OR(VALUE(M60)&lt;1,VALUE(M60)&gt;8,VALUE(M60)&lt;&gt;INT(VALUE(M60))),"Erreur : bonne réponse 1-8",IF(INDEX(E60:L60,1,VALUE(M60))="","Erreur : réponse correcte vide","OK")),"Erreur : bonne réponse 1-8"))))))))</f>
        <v/>
      </c>
      <c r="P60" s="41" t="n"/>
      <c r="Q60" s="41" t="n"/>
      <c r="R60" s="41" t="n"/>
      <c r="S60" s="41" t="n"/>
      <c r="T60" s="41" t="n"/>
      <c r="U60" s="41" t="n"/>
      <c r="V60" s="41" t="n"/>
      <c r="W60" s="41" t="n"/>
      <c r="X60" s="41" t="n"/>
      <c r="Y60" s="41" t="n"/>
    </row>
    <row r="61" ht="28" customHeight="1" s="17">
      <c r="A61" s="37">
        <f>IF(COUNTA(C61:N61)=0,"",ROW()-4)</f>
        <v/>
      </c>
      <c r="B61" s="37">
        <f>IF(COUNTA(C61:N61)=0,"","qcu")</f>
        <v/>
      </c>
      <c r="C61" s="38" t="n"/>
      <c r="D61" s="38" t="n"/>
      <c r="E61" s="38" t="n"/>
      <c r="F61" s="38" t="n"/>
      <c r="G61" s="38" t="n"/>
      <c r="H61" s="38" t="n"/>
      <c r="I61" s="38" t="n"/>
      <c r="J61" s="38" t="n"/>
      <c r="K61" s="38" t="n"/>
      <c r="L61" s="38" t="n"/>
      <c r="M61" s="39" t="n"/>
      <c r="N61" s="40" t="n"/>
      <c r="O61" s="37">
        <f>IF(COUNTA(C61:N61)=0,"",IF(D61="","Erreur : question manquante",IF((IF(E61="",0,1)+IF(F61="",0,1)+IF(G61="",0,1)+IF(H61="",0,1)+IF(I61="",0,1)+IF(J61="",0,1)+IF(K61="",0,1)+IF(L61="",0,1))&lt;2,"Erreur : au moins 2 réponses",IF(M61="","Erreur : bonne réponse manquante",IF(NOT(ISNUMBER(N61)),"Erreur : pondération numérique",IF(N61&lt;=0,"Erreur : pondération &gt; 0",IF(ISNUMBER(SEARCH(";",M61&amp;"")),"Erreur : QCU = 1 seule bonne réponse",IFERROR(IF(OR(VALUE(M61)&lt;1,VALUE(M61)&gt;8,VALUE(M61)&lt;&gt;INT(VALUE(M61))),"Erreur : bonne réponse 1-8",IF(INDEX(E61:L61,1,VALUE(M61))="","Erreur : réponse correcte vide","OK")),"Erreur : bonne réponse 1-8"))))))))</f>
        <v/>
      </c>
      <c r="P61" s="41" t="n"/>
      <c r="Q61" s="41" t="n"/>
      <c r="R61" s="41" t="n"/>
      <c r="S61" s="41" t="n"/>
      <c r="T61" s="41" t="n"/>
      <c r="U61" s="41" t="n"/>
      <c r="V61" s="41" t="n"/>
      <c r="W61" s="41" t="n"/>
      <c r="X61" s="41" t="n"/>
      <c r="Y61" s="41" t="n"/>
    </row>
    <row r="62" ht="28" customHeight="1" s="17">
      <c r="A62" s="37">
        <f>IF(COUNTA(C62:N62)=0,"",ROW()-4)</f>
        <v/>
      </c>
      <c r="B62" s="37">
        <f>IF(COUNTA(C62:N62)=0,"","qcu")</f>
        <v/>
      </c>
      <c r="C62" s="38" t="n"/>
      <c r="D62" s="38" t="n"/>
      <c r="E62" s="38" t="n"/>
      <c r="F62" s="38" t="n"/>
      <c r="G62" s="38" t="n"/>
      <c r="H62" s="38" t="n"/>
      <c r="I62" s="38" t="n"/>
      <c r="J62" s="38" t="n"/>
      <c r="K62" s="38" t="n"/>
      <c r="L62" s="38" t="n"/>
      <c r="M62" s="39" t="n"/>
      <c r="N62" s="40" t="n"/>
      <c r="O62" s="37">
        <f>IF(COUNTA(C62:N62)=0,"",IF(D62="","Erreur : question manquante",IF((IF(E62="",0,1)+IF(F62="",0,1)+IF(G62="",0,1)+IF(H62="",0,1)+IF(I62="",0,1)+IF(J62="",0,1)+IF(K62="",0,1)+IF(L62="",0,1))&lt;2,"Erreur : au moins 2 réponses",IF(M62="","Erreur : bonne réponse manquante",IF(NOT(ISNUMBER(N62)),"Erreur : pondération numérique",IF(N62&lt;=0,"Erreur : pondération &gt; 0",IF(ISNUMBER(SEARCH(";",M62&amp;"")),"Erreur : QCU = 1 seule bonne réponse",IFERROR(IF(OR(VALUE(M62)&lt;1,VALUE(M62)&gt;8,VALUE(M62)&lt;&gt;INT(VALUE(M62))),"Erreur : bonne réponse 1-8",IF(INDEX(E62:L62,1,VALUE(M62))="","Erreur : réponse correcte vide","OK")),"Erreur : bonne réponse 1-8"))))))))</f>
        <v/>
      </c>
      <c r="P62" s="41" t="n"/>
      <c r="Q62" s="41" t="n"/>
      <c r="R62" s="41" t="n"/>
      <c r="S62" s="41" t="n"/>
      <c r="T62" s="41" t="n"/>
      <c r="U62" s="41" t="n"/>
      <c r="V62" s="41" t="n"/>
      <c r="W62" s="41" t="n"/>
      <c r="X62" s="41" t="n"/>
      <c r="Y62" s="41" t="n"/>
    </row>
    <row r="63" ht="28" customHeight="1" s="17">
      <c r="A63" s="37">
        <f>IF(COUNTA(C63:N63)=0,"",ROW()-4)</f>
        <v/>
      </c>
      <c r="B63" s="37">
        <f>IF(COUNTA(C63:N63)=0,"","qcu")</f>
        <v/>
      </c>
      <c r="C63" s="38" t="n"/>
      <c r="D63" s="38" t="n"/>
      <c r="E63" s="38" t="n"/>
      <c r="F63" s="38" t="n"/>
      <c r="G63" s="38" t="n"/>
      <c r="H63" s="38" t="n"/>
      <c r="I63" s="38" t="n"/>
      <c r="J63" s="38" t="n"/>
      <c r="K63" s="38" t="n"/>
      <c r="L63" s="38" t="n"/>
      <c r="M63" s="39" t="n"/>
      <c r="N63" s="40" t="n"/>
      <c r="O63" s="37">
        <f>IF(COUNTA(C63:N63)=0,"",IF(D63="","Erreur : question manquante",IF((IF(E63="",0,1)+IF(F63="",0,1)+IF(G63="",0,1)+IF(H63="",0,1)+IF(I63="",0,1)+IF(J63="",0,1)+IF(K63="",0,1)+IF(L63="",0,1))&lt;2,"Erreur : au moins 2 réponses",IF(M63="","Erreur : bonne réponse manquante",IF(NOT(ISNUMBER(N63)),"Erreur : pondération numérique",IF(N63&lt;=0,"Erreur : pondération &gt; 0",IF(ISNUMBER(SEARCH(";",M63&amp;"")),"Erreur : QCU = 1 seule bonne réponse",IFERROR(IF(OR(VALUE(M63)&lt;1,VALUE(M63)&gt;8,VALUE(M63)&lt;&gt;INT(VALUE(M63))),"Erreur : bonne réponse 1-8",IF(INDEX(E63:L63,1,VALUE(M63))="","Erreur : réponse correcte vide","OK")),"Erreur : bonne réponse 1-8"))))))))</f>
        <v/>
      </c>
      <c r="P63" s="41" t="n"/>
      <c r="Q63" s="41" t="n"/>
      <c r="R63" s="41" t="n"/>
      <c r="S63" s="41" t="n"/>
      <c r="T63" s="41" t="n"/>
      <c r="U63" s="41" t="n"/>
      <c r="V63" s="41" t="n"/>
      <c r="W63" s="41" t="n"/>
      <c r="X63" s="41" t="n"/>
      <c r="Y63" s="41" t="n"/>
    </row>
    <row r="64" ht="28" customHeight="1" s="17">
      <c r="A64" s="37">
        <f>IF(COUNTA(C64:N64)=0,"",ROW()-4)</f>
        <v/>
      </c>
      <c r="B64" s="37">
        <f>IF(COUNTA(C64:N64)=0,"","qcu")</f>
        <v/>
      </c>
      <c r="C64" s="38" t="n"/>
      <c r="D64" s="38" t="n"/>
      <c r="E64" s="38" t="n"/>
      <c r="F64" s="38" t="n"/>
      <c r="G64" s="38" t="n"/>
      <c r="H64" s="38" t="n"/>
      <c r="I64" s="38" t="n"/>
      <c r="J64" s="38" t="n"/>
      <c r="K64" s="38" t="n"/>
      <c r="L64" s="38" t="n"/>
      <c r="M64" s="39" t="n"/>
      <c r="N64" s="40" t="n"/>
      <c r="O64" s="37">
        <f>IF(COUNTA(C64:N64)=0,"",IF(D64="","Erreur : question manquante",IF((IF(E64="",0,1)+IF(F64="",0,1)+IF(G64="",0,1)+IF(H64="",0,1)+IF(I64="",0,1)+IF(J64="",0,1)+IF(K64="",0,1)+IF(L64="",0,1))&lt;2,"Erreur : au moins 2 réponses",IF(M64="","Erreur : bonne réponse manquante",IF(NOT(ISNUMBER(N64)),"Erreur : pondération numérique",IF(N64&lt;=0,"Erreur : pondération &gt; 0",IF(ISNUMBER(SEARCH(";",M64&amp;"")),"Erreur : QCU = 1 seule bonne réponse",IFERROR(IF(OR(VALUE(M64)&lt;1,VALUE(M64)&gt;8,VALUE(M64)&lt;&gt;INT(VALUE(M64))),"Erreur : bonne réponse 1-8",IF(INDEX(E64:L64,1,VALUE(M64))="","Erreur : réponse correcte vide","OK")),"Erreur : bonne réponse 1-8"))))))))</f>
        <v/>
      </c>
      <c r="P64" s="41" t="n"/>
      <c r="Q64" s="41" t="n"/>
      <c r="R64" s="41" t="n"/>
      <c r="S64" s="41" t="n"/>
      <c r="T64" s="41" t="n"/>
      <c r="U64" s="41" t="n"/>
      <c r="V64" s="41" t="n"/>
      <c r="W64" s="41" t="n"/>
      <c r="X64" s="41" t="n"/>
      <c r="Y64" s="41" t="n"/>
    </row>
    <row r="65" ht="28" customHeight="1" s="17">
      <c r="A65" s="37">
        <f>IF(COUNTA(C65:N65)=0,"",ROW()-4)</f>
        <v/>
      </c>
      <c r="B65" s="37">
        <f>IF(COUNTA(C65:N65)=0,"","qcu")</f>
        <v/>
      </c>
      <c r="C65" s="38" t="n"/>
      <c r="D65" s="38" t="n"/>
      <c r="E65" s="38" t="n"/>
      <c r="F65" s="38" t="n"/>
      <c r="G65" s="38" t="n"/>
      <c r="H65" s="38" t="n"/>
      <c r="I65" s="38" t="n"/>
      <c r="J65" s="38" t="n"/>
      <c r="K65" s="38" t="n"/>
      <c r="L65" s="38" t="n"/>
      <c r="M65" s="39" t="n"/>
      <c r="N65" s="40" t="n"/>
      <c r="O65" s="37">
        <f>IF(COUNTA(C65:N65)=0,"",IF(D65="","Erreur : question manquante",IF((IF(E65="",0,1)+IF(F65="",0,1)+IF(G65="",0,1)+IF(H65="",0,1)+IF(I65="",0,1)+IF(J65="",0,1)+IF(K65="",0,1)+IF(L65="",0,1))&lt;2,"Erreur : au moins 2 réponses",IF(M65="","Erreur : bonne réponse manquante",IF(NOT(ISNUMBER(N65)),"Erreur : pondération numérique",IF(N65&lt;=0,"Erreur : pondération &gt; 0",IF(ISNUMBER(SEARCH(";",M65&amp;"")),"Erreur : QCU = 1 seule bonne réponse",IFERROR(IF(OR(VALUE(M65)&lt;1,VALUE(M65)&gt;8,VALUE(M65)&lt;&gt;INT(VALUE(M65))),"Erreur : bonne réponse 1-8",IF(INDEX(E65:L65,1,VALUE(M65))="","Erreur : réponse correcte vide","OK")),"Erreur : bonne réponse 1-8"))))))))</f>
        <v/>
      </c>
      <c r="P65" s="41" t="n"/>
      <c r="Q65" s="41" t="n"/>
      <c r="R65" s="41" t="n"/>
      <c r="S65" s="41" t="n"/>
      <c r="T65" s="41" t="n"/>
      <c r="U65" s="41" t="n"/>
      <c r="V65" s="41" t="n"/>
      <c r="W65" s="41" t="n"/>
      <c r="X65" s="41" t="n"/>
      <c r="Y65" s="41" t="n"/>
    </row>
    <row r="66" ht="28" customHeight="1" s="17">
      <c r="A66" s="37">
        <f>IF(COUNTA(C66:N66)=0,"",ROW()-4)</f>
        <v/>
      </c>
      <c r="B66" s="37">
        <f>IF(COUNTA(C66:N66)=0,"","qcu")</f>
        <v/>
      </c>
      <c r="C66" s="38" t="n"/>
      <c r="D66" s="38" t="n"/>
      <c r="E66" s="38" t="n"/>
      <c r="F66" s="38" t="n"/>
      <c r="G66" s="38" t="n"/>
      <c r="H66" s="38" t="n"/>
      <c r="I66" s="38" t="n"/>
      <c r="J66" s="38" t="n"/>
      <c r="K66" s="38" t="n"/>
      <c r="L66" s="38" t="n"/>
      <c r="M66" s="39" t="n"/>
      <c r="N66" s="40" t="n"/>
      <c r="O66" s="37">
        <f>IF(COUNTA(C66:N66)=0,"",IF(D66="","Erreur : question manquante",IF((IF(E66="",0,1)+IF(F66="",0,1)+IF(G66="",0,1)+IF(H66="",0,1)+IF(I66="",0,1)+IF(J66="",0,1)+IF(K66="",0,1)+IF(L66="",0,1))&lt;2,"Erreur : au moins 2 réponses",IF(M66="","Erreur : bonne réponse manquante",IF(NOT(ISNUMBER(N66)),"Erreur : pondération numérique",IF(N66&lt;=0,"Erreur : pondération &gt; 0",IF(ISNUMBER(SEARCH(";",M66&amp;"")),"Erreur : QCU = 1 seule bonne réponse",IFERROR(IF(OR(VALUE(M66)&lt;1,VALUE(M66)&gt;8,VALUE(M66)&lt;&gt;INT(VALUE(M66))),"Erreur : bonne réponse 1-8",IF(INDEX(E66:L66,1,VALUE(M66))="","Erreur : réponse correcte vide","OK")),"Erreur : bonne réponse 1-8"))))))))</f>
        <v/>
      </c>
      <c r="P66" s="41" t="n"/>
      <c r="Q66" s="41" t="n"/>
      <c r="R66" s="41" t="n"/>
      <c r="S66" s="41" t="n"/>
      <c r="T66" s="41" t="n"/>
      <c r="U66" s="41" t="n"/>
      <c r="V66" s="41" t="n"/>
      <c r="W66" s="41" t="n"/>
      <c r="X66" s="41" t="n"/>
      <c r="Y66" s="41" t="n"/>
    </row>
    <row r="67" ht="28" customHeight="1" s="17">
      <c r="A67" s="37">
        <f>IF(COUNTA(C67:N67)=0,"",ROW()-4)</f>
        <v/>
      </c>
      <c r="B67" s="37">
        <f>IF(COUNTA(C67:N67)=0,"","qcu")</f>
        <v/>
      </c>
      <c r="C67" s="38" t="n"/>
      <c r="D67" s="38" t="n"/>
      <c r="E67" s="38" t="n"/>
      <c r="F67" s="38" t="n"/>
      <c r="G67" s="38" t="n"/>
      <c r="H67" s="38" t="n"/>
      <c r="I67" s="38" t="n"/>
      <c r="J67" s="38" t="n"/>
      <c r="K67" s="38" t="n"/>
      <c r="L67" s="38" t="n"/>
      <c r="M67" s="39" t="n"/>
      <c r="N67" s="40" t="n"/>
      <c r="O67" s="37">
        <f>IF(COUNTA(C67:N67)=0,"",IF(D67="","Erreur : question manquante",IF((IF(E67="",0,1)+IF(F67="",0,1)+IF(G67="",0,1)+IF(H67="",0,1)+IF(I67="",0,1)+IF(J67="",0,1)+IF(K67="",0,1)+IF(L67="",0,1))&lt;2,"Erreur : au moins 2 réponses",IF(M67="","Erreur : bonne réponse manquante",IF(NOT(ISNUMBER(N67)),"Erreur : pondération numérique",IF(N67&lt;=0,"Erreur : pondération &gt; 0",IF(ISNUMBER(SEARCH(";",M67&amp;"")),"Erreur : QCU = 1 seule bonne réponse",IFERROR(IF(OR(VALUE(M67)&lt;1,VALUE(M67)&gt;8,VALUE(M67)&lt;&gt;INT(VALUE(M67))),"Erreur : bonne réponse 1-8",IF(INDEX(E67:L67,1,VALUE(M67))="","Erreur : réponse correcte vide","OK")),"Erreur : bonne réponse 1-8"))))))))</f>
        <v/>
      </c>
      <c r="P67" s="41" t="n"/>
      <c r="Q67" s="41" t="n"/>
      <c r="R67" s="41" t="n"/>
      <c r="S67" s="41" t="n"/>
      <c r="T67" s="41" t="n"/>
      <c r="U67" s="41" t="n"/>
      <c r="V67" s="41" t="n"/>
      <c r="W67" s="41" t="n"/>
      <c r="X67" s="41" t="n"/>
      <c r="Y67" s="41" t="n"/>
    </row>
    <row r="68" ht="28" customHeight="1" s="17">
      <c r="A68" s="37">
        <f>IF(COUNTA(C68:N68)=0,"",ROW()-4)</f>
        <v/>
      </c>
      <c r="B68" s="37">
        <f>IF(COUNTA(C68:N68)=0,"","qcu")</f>
        <v/>
      </c>
      <c r="C68" s="38" t="n"/>
      <c r="D68" s="38" t="n"/>
      <c r="E68" s="38" t="n"/>
      <c r="F68" s="38" t="n"/>
      <c r="G68" s="38" t="n"/>
      <c r="H68" s="38" t="n"/>
      <c r="I68" s="38" t="n"/>
      <c r="J68" s="38" t="n"/>
      <c r="K68" s="38" t="n"/>
      <c r="L68" s="38" t="n"/>
      <c r="M68" s="39" t="n"/>
      <c r="N68" s="40" t="n"/>
      <c r="O68" s="37">
        <f>IF(COUNTA(C68:N68)=0,"",IF(D68="","Erreur : question manquante",IF((IF(E68="",0,1)+IF(F68="",0,1)+IF(G68="",0,1)+IF(H68="",0,1)+IF(I68="",0,1)+IF(J68="",0,1)+IF(K68="",0,1)+IF(L68="",0,1))&lt;2,"Erreur : au moins 2 réponses",IF(M68="","Erreur : bonne réponse manquante",IF(NOT(ISNUMBER(N68)),"Erreur : pondération numérique",IF(N68&lt;=0,"Erreur : pondération &gt; 0",IF(ISNUMBER(SEARCH(";",M68&amp;"")),"Erreur : QCU = 1 seule bonne réponse",IFERROR(IF(OR(VALUE(M68)&lt;1,VALUE(M68)&gt;8,VALUE(M68)&lt;&gt;INT(VALUE(M68))),"Erreur : bonne réponse 1-8",IF(INDEX(E68:L68,1,VALUE(M68))="","Erreur : réponse correcte vide","OK")),"Erreur : bonne réponse 1-8"))))))))</f>
        <v/>
      </c>
      <c r="P68" s="41" t="n"/>
      <c r="Q68" s="41" t="n"/>
      <c r="R68" s="41" t="n"/>
      <c r="S68" s="41" t="n"/>
      <c r="T68" s="41" t="n"/>
      <c r="U68" s="41" t="n"/>
      <c r="V68" s="41" t="n"/>
      <c r="W68" s="41" t="n"/>
      <c r="X68" s="41" t="n"/>
      <c r="Y68" s="41" t="n"/>
    </row>
    <row r="69" ht="28" customHeight="1" s="17">
      <c r="A69" s="37">
        <f>IF(COUNTA(C69:N69)=0,"",ROW()-4)</f>
        <v/>
      </c>
      <c r="B69" s="37">
        <f>IF(COUNTA(C69:N69)=0,"","qcu")</f>
        <v/>
      </c>
      <c r="C69" s="38" t="n"/>
      <c r="D69" s="38" t="n"/>
      <c r="E69" s="38" t="n"/>
      <c r="F69" s="38" t="n"/>
      <c r="G69" s="38" t="n"/>
      <c r="H69" s="38" t="n"/>
      <c r="I69" s="38" t="n"/>
      <c r="J69" s="38" t="n"/>
      <c r="K69" s="38" t="n"/>
      <c r="L69" s="38" t="n"/>
      <c r="M69" s="39" t="n"/>
      <c r="N69" s="40" t="n"/>
      <c r="O69" s="37">
        <f>IF(COUNTA(C69:N69)=0,"",IF(D69="","Erreur : question manquante",IF((IF(E69="",0,1)+IF(F69="",0,1)+IF(G69="",0,1)+IF(H69="",0,1)+IF(I69="",0,1)+IF(J69="",0,1)+IF(K69="",0,1)+IF(L69="",0,1))&lt;2,"Erreur : au moins 2 réponses",IF(M69="","Erreur : bonne réponse manquante",IF(NOT(ISNUMBER(N69)),"Erreur : pondération numérique",IF(N69&lt;=0,"Erreur : pondération &gt; 0",IF(ISNUMBER(SEARCH(";",M69&amp;"")),"Erreur : QCU = 1 seule bonne réponse",IFERROR(IF(OR(VALUE(M69)&lt;1,VALUE(M69)&gt;8,VALUE(M69)&lt;&gt;INT(VALUE(M69))),"Erreur : bonne réponse 1-8",IF(INDEX(E69:L69,1,VALUE(M69))="","Erreur : réponse correcte vide","OK")),"Erreur : bonne réponse 1-8"))))))))</f>
        <v/>
      </c>
      <c r="P69" s="41" t="n"/>
      <c r="Q69" s="41" t="n"/>
      <c r="R69" s="41" t="n"/>
      <c r="S69" s="41" t="n"/>
      <c r="T69" s="41" t="n"/>
      <c r="U69" s="41" t="n"/>
      <c r="V69" s="41" t="n"/>
      <c r="W69" s="41" t="n"/>
      <c r="X69" s="41" t="n"/>
      <c r="Y69" s="41" t="n"/>
    </row>
    <row r="70" ht="28" customHeight="1" s="17">
      <c r="A70" s="37">
        <f>IF(COUNTA(C70:N70)=0,"",ROW()-4)</f>
        <v/>
      </c>
      <c r="B70" s="37">
        <f>IF(COUNTA(C70:N70)=0,"","qcu")</f>
        <v/>
      </c>
      <c r="C70" s="38" t="n"/>
      <c r="D70" s="38" t="n"/>
      <c r="E70" s="38" t="n"/>
      <c r="F70" s="38" t="n"/>
      <c r="G70" s="38" t="n"/>
      <c r="H70" s="38" t="n"/>
      <c r="I70" s="38" t="n"/>
      <c r="J70" s="38" t="n"/>
      <c r="K70" s="38" t="n"/>
      <c r="L70" s="38" t="n"/>
      <c r="M70" s="39" t="n"/>
      <c r="N70" s="40" t="n"/>
      <c r="O70" s="37">
        <f>IF(COUNTA(C70:N70)=0,"",IF(D70="","Erreur : question manquante",IF((IF(E70="",0,1)+IF(F70="",0,1)+IF(G70="",0,1)+IF(H70="",0,1)+IF(I70="",0,1)+IF(J70="",0,1)+IF(K70="",0,1)+IF(L70="",0,1))&lt;2,"Erreur : au moins 2 réponses",IF(M70="","Erreur : bonne réponse manquante",IF(NOT(ISNUMBER(N70)),"Erreur : pondération numérique",IF(N70&lt;=0,"Erreur : pondération &gt; 0",IF(ISNUMBER(SEARCH(";",M70&amp;"")),"Erreur : QCU = 1 seule bonne réponse",IFERROR(IF(OR(VALUE(M70)&lt;1,VALUE(M70)&gt;8,VALUE(M70)&lt;&gt;INT(VALUE(M70))),"Erreur : bonne réponse 1-8",IF(INDEX(E70:L70,1,VALUE(M70))="","Erreur : réponse correcte vide","OK")),"Erreur : bonne réponse 1-8"))))))))</f>
        <v/>
      </c>
      <c r="P70" s="41" t="n"/>
      <c r="Q70" s="41" t="n"/>
      <c r="R70" s="41" t="n"/>
      <c r="S70" s="41" t="n"/>
      <c r="T70" s="41" t="n"/>
      <c r="U70" s="41" t="n"/>
      <c r="V70" s="41" t="n"/>
      <c r="W70" s="41" t="n"/>
      <c r="X70" s="41" t="n"/>
      <c r="Y70" s="41" t="n"/>
    </row>
    <row r="71" ht="28" customHeight="1" s="17">
      <c r="A71" s="37">
        <f>IF(COUNTA(C71:N71)=0,"",ROW()-4)</f>
        <v/>
      </c>
      <c r="B71" s="37">
        <f>IF(COUNTA(C71:N71)=0,"","qcu")</f>
        <v/>
      </c>
      <c r="C71" s="38" t="n"/>
      <c r="D71" s="38" t="n"/>
      <c r="E71" s="38" t="n"/>
      <c r="F71" s="38" t="n"/>
      <c r="G71" s="38" t="n"/>
      <c r="H71" s="38" t="n"/>
      <c r="I71" s="38" t="n"/>
      <c r="J71" s="38" t="n"/>
      <c r="K71" s="38" t="n"/>
      <c r="L71" s="38" t="n"/>
      <c r="M71" s="39" t="n"/>
      <c r="N71" s="40" t="n"/>
      <c r="O71" s="37">
        <f>IF(COUNTA(C71:N71)=0,"",IF(D71="","Erreur : question manquante",IF((IF(E71="",0,1)+IF(F71="",0,1)+IF(G71="",0,1)+IF(H71="",0,1)+IF(I71="",0,1)+IF(J71="",0,1)+IF(K71="",0,1)+IF(L71="",0,1))&lt;2,"Erreur : au moins 2 réponses",IF(M71="","Erreur : bonne réponse manquante",IF(NOT(ISNUMBER(N71)),"Erreur : pondération numérique",IF(N71&lt;=0,"Erreur : pondération &gt; 0",IF(ISNUMBER(SEARCH(";",M71&amp;"")),"Erreur : QCU = 1 seule bonne réponse",IFERROR(IF(OR(VALUE(M71)&lt;1,VALUE(M71)&gt;8,VALUE(M71)&lt;&gt;INT(VALUE(M71))),"Erreur : bonne réponse 1-8",IF(INDEX(E71:L71,1,VALUE(M71))="","Erreur : réponse correcte vide","OK")),"Erreur : bonne réponse 1-8"))))))))</f>
        <v/>
      </c>
      <c r="P71" s="41" t="n"/>
      <c r="Q71" s="41" t="n"/>
      <c r="R71" s="41" t="n"/>
      <c r="S71" s="41" t="n"/>
      <c r="T71" s="41" t="n"/>
      <c r="U71" s="41" t="n"/>
      <c r="V71" s="41" t="n"/>
      <c r="W71" s="41" t="n"/>
      <c r="X71" s="41" t="n"/>
      <c r="Y71" s="41" t="n"/>
    </row>
    <row r="72" ht="28" customHeight="1" s="17">
      <c r="A72" s="37">
        <f>IF(COUNTA(C72:N72)=0,"",ROW()-4)</f>
        <v/>
      </c>
      <c r="B72" s="37">
        <f>IF(COUNTA(C72:N72)=0,"","qcu")</f>
        <v/>
      </c>
      <c r="C72" s="38" t="n"/>
      <c r="D72" s="38" t="n"/>
      <c r="E72" s="38" t="n"/>
      <c r="F72" s="38" t="n"/>
      <c r="G72" s="38" t="n"/>
      <c r="H72" s="38" t="n"/>
      <c r="I72" s="38" t="n"/>
      <c r="J72" s="38" t="n"/>
      <c r="K72" s="38" t="n"/>
      <c r="L72" s="38" t="n"/>
      <c r="M72" s="39" t="n"/>
      <c r="N72" s="40" t="n"/>
      <c r="O72" s="37">
        <f>IF(COUNTA(C72:N72)=0,"",IF(D72="","Erreur : question manquante",IF((IF(E72="",0,1)+IF(F72="",0,1)+IF(G72="",0,1)+IF(H72="",0,1)+IF(I72="",0,1)+IF(J72="",0,1)+IF(K72="",0,1)+IF(L72="",0,1))&lt;2,"Erreur : au moins 2 réponses",IF(M72="","Erreur : bonne réponse manquante",IF(NOT(ISNUMBER(N72)),"Erreur : pondération numérique",IF(N72&lt;=0,"Erreur : pondération &gt; 0",IF(ISNUMBER(SEARCH(";",M72&amp;"")),"Erreur : QCU = 1 seule bonne réponse",IFERROR(IF(OR(VALUE(M72)&lt;1,VALUE(M72)&gt;8,VALUE(M72)&lt;&gt;INT(VALUE(M72))),"Erreur : bonne réponse 1-8",IF(INDEX(E72:L72,1,VALUE(M72))="","Erreur : réponse correcte vide","OK")),"Erreur : bonne réponse 1-8"))))))))</f>
        <v/>
      </c>
      <c r="P72" s="41" t="n"/>
      <c r="Q72" s="41" t="n"/>
      <c r="R72" s="41" t="n"/>
      <c r="S72" s="41" t="n"/>
      <c r="T72" s="41" t="n"/>
      <c r="U72" s="41" t="n"/>
      <c r="V72" s="41" t="n"/>
      <c r="W72" s="41" t="n"/>
      <c r="X72" s="41" t="n"/>
      <c r="Y72" s="41" t="n"/>
    </row>
    <row r="73" ht="28" customHeight="1" s="17">
      <c r="A73" s="37">
        <f>IF(COUNTA(C73:N73)=0,"",ROW()-4)</f>
        <v/>
      </c>
      <c r="B73" s="37">
        <f>IF(COUNTA(C73:N73)=0,"","qcu")</f>
        <v/>
      </c>
      <c r="C73" s="38" t="n"/>
      <c r="D73" s="38" t="n"/>
      <c r="E73" s="38" t="n"/>
      <c r="F73" s="38" t="n"/>
      <c r="G73" s="38" t="n"/>
      <c r="H73" s="38" t="n"/>
      <c r="I73" s="38" t="n"/>
      <c r="J73" s="38" t="n"/>
      <c r="K73" s="38" t="n"/>
      <c r="L73" s="38" t="n"/>
      <c r="M73" s="39" t="n"/>
      <c r="N73" s="40" t="n"/>
      <c r="O73" s="37">
        <f>IF(COUNTA(C73:N73)=0,"",IF(D73="","Erreur : question manquante",IF((IF(E73="",0,1)+IF(F73="",0,1)+IF(G73="",0,1)+IF(H73="",0,1)+IF(I73="",0,1)+IF(J73="",0,1)+IF(K73="",0,1)+IF(L73="",0,1))&lt;2,"Erreur : au moins 2 réponses",IF(M73="","Erreur : bonne réponse manquante",IF(NOT(ISNUMBER(N73)),"Erreur : pondération numérique",IF(N73&lt;=0,"Erreur : pondération &gt; 0",IF(ISNUMBER(SEARCH(";",M73&amp;"")),"Erreur : QCU = 1 seule bonne réponse",IFERROR(IF(OR(VALUE(M73)&lt;1,VALUE(M73)&gt;8,VALUE(M73)&lt;&gt;INT(VALUE(M73))),"Erreur : bonne réponse 1-8",IF(INDEX(E73:L73,1,VALUE(M73))="","Erreur : réponse correcte vide","OK")),"Erreur : bonne réponse 1-8"))))))))</f>
        <v/>
      </c>
      <c r="P73" s="41" t="n"/>
      <c r="Q73" s="41" t="n"/>
      <c r="R73" s="41" t="n"/>
      <c r="S73" s="41" t="n"/>
      <c r="T73" s="41" t="n"/>
      <c r="U73" s="41" t="n"/>
      <c r="V73" s="41" t="n"/>
      <c r="W73" s="41" t="n"/>
      <c r="X73" s="41" t="n"/>
      <c r="Y73" s="41" t="n"/>
    </row>
    <row r="74" ht="28" customHeight="1" s="17">
      <c r="A74" s="37">
        <f>IF(COUNTA(C74:N74)=0,"",ROW()-4)</f>
        <v/>
      </c>
      <c r="B74" s="37">
        <f>IF(COUNTA(C74:N74)=0,"","qcu")</f>
        <v/>
      </c>
      <c r="C74" s="38" t="n"/>
      <c r="D74" s="38" t="n"/>
      <c r="E74" s="38" t="n"/>
      <c r="F74" s="38" t="n"/>
      <c r="G74" s="38" t="n"/>
      <c r="H74" s="38" t="n"/>
      <c r="I74" s="38" t="n"/>
      <c r="J74" s="38" t="n"/>
      <c r="K74" s="38" t="n"/>
      <c r="L74" s="38" t="n"/>
      <c r="M74" s="39" t="n"/>
      <c r="N74" s="40" t="n"/>
      <c r="O74" s="37">
        <f>IF(COUNTA(C74:N74)=0,"",IF(D74="","Erreur : question manquante",IF((IF(E74="",0,1)+IF(F74="",0,1)+IF(G74="",0,1)+IF(H74="",0,1)+IF(I74="",0,1)+IF(J74="",0,1)+IF(K74="",0,1)+IF(L74="",0,1))&lt;2,"Erreur : au moins 2 réponses",IF(M74="","Erreur : bonne réponse manquante",IF(NOT(ISNUMBER(N74)),"Erreur : pondération numérique",IF(N74&lt;=0,"Erreur : pondération &gt; 0",IF(ISNUMBER(SEARCH(";",M74&amp;"")),"Erreur : QCU = 1 seule bonne réponse",IFERROR(IF(OR(VALUE(M74)&lt;1,VALUE(M74)&gt;8,VALUE(M74)&lt;&gt;INT(VALUE(M74))),"Erreur : bonne réponse 1-8",IF(INDEX(E74:L74,1,VALUE(M74))="","Erreur : réponse correcte vide","OK")),"Erreur : bonne réponse 1-8"))))))))</f>
        <v/>
      </c>
      <c r="P74" s="41" t="n"/>
      <c r="Q74" s="41" t="n"/>
      <c r="R74" s="41" t="n"/>
      <c r="S74" s="41" t="n"/>
      <c r="T74" s="41" t="n"/>
      <c r="U74" s="41" t="n"/>
      <c r="V74" s="41" t="n"/>
      <c r="W74" s="41" t="n"/>
      <c r="X74" s="41" t="n"/>
      <c r="Y74" s="41" t="n"/>
    </row>
    <row r="75" ht="28" customHeight="1" s="17">
      <c r="A75" s="37">
        <f>IF(COUNTA(C75:N75)=0,"",ROW()-4)</f>
        <v/>
      </c>
      <c r="B75" s="37">
        <f>IF(COUNTA(C75:N75)=0,"","qcu")</f>
        <v/>
      </c>
      <c r="C75" s="38" t="n"/>
      <c r="D75" s="38" t="n"/>
      <c r="E75" s="38" t="n"/>
      <c r="F75" s="38" t="n"/>
      <c r="G75" s="38" t="n"/>
      <c r="H75" s="38" t="n"/>
      <c r="I75" s="38" t="n"/>
      <c r="J75" s="38" t="n"/>
      <c r="K75" s="38" t="n"/>
      <c r="L75" s="38" t="n"/>
      <c r="M75" s="39" t="n"/>
      <c r="N75" s="40" t="n"/>
      <c r="O75" s="37">
        <f>IF(COUNTA(C75:N75)=0,"",IF(D75="","Erreur : question manquante",IF((IF(E75="",0,1)+IF(F75="",0,1)+IF(G75="",0,1)+IF(H75="",0,1)+IF(I75="",0,1)+IF(J75="",0,1)+IF(K75="",0,1)+IF(L75="",0,1))&lt;2,"Erreur : au moins 2 réponses",IF(M75="","Erreur : bonne réponse manquante",IF(NOT(ISNUMBER(N75)),"Erreur : pondération numérique",IF(N75&lt;=0,"Erreur : pondération &gt; 0",IF(ISNUMBER(SEARCH(";",M75&amp;"")),"Erreur : QCU = 1 seule bonne réponse",IFERROR(IF(OR(VALUE(M75)&lt;1,VALUE(M75)&gt;8,VALUE(M75)&lt;&gt;INT(VALUE(M75))),"Erreur : bonne réponse 1-8",IF(INDEX(E75:L75,1,VALUE(M75))="","Erreur : réponse correcte vide","OK")),"Erreur : bonne réponse 1-8"))))))))</f>
        <v/>
      </c>
      <c r="P75" s="41" t="n"/>
      <c r="Q75" s="41" t="n"/>
      <c r="R75" s="41" t="n"/>
      <c r="S75" s="41" t="n"/>
      <c r="T75" s="41" t="n"/>
      <c r="U75" s="41" t="n"/>
      <c r="V75" s="41" t="n"/>
      <c r="W75" s="41" t="n"/>
      <c r="X75" s="41" t="n"/>
      <c r="Y75" s="41" t="n"/>
    </row>
    <row r="76" ht="28" customHeight="1" s="17">
      <c r="A76" s="37">
        <f>IF(COUNTA(C76:N76)=0,"",ROW()-4)</f>
        <v/>
      </c>
      <c r="B76" s="37">
        <f>IF(COUNTA(C76:N76)=0,"","qcu")</f>
        <v/>
      </c>
      <c r="C76" s="38" t="n"/>
      <c r="D76" s="38" t="n"/>
      <c r="E76" s="38" t="n"/>
      <c r="F76" s="38" t="n"/>
      <c r="G76" s="38" t="n"/>
      <c r="H76" s="38" t="n"/>
      <c r="I76" s="38" t="n"/>
      <c r="J76" s="38" t="n"/>
      <c r="K76" s="38" t="n"/>
      <c r="L76" s="38" t="n"/>
      <c r="M76" s="39" t="n"/>
      <c r="N76" s="40" t="n"/>
      <c r="O76" s="37">
        <f>IF(COUNTA(C76:N76)=0,"",IF(D76="","Erreur : question manquante",IF((IF(E76="",0,1)+IF(F76="",0,1)+IF(G76="",0,1)+IF(H76="",0,1)+IF(I76="",0,1)+IF(J76="",0,1)+IF(K76="",0,1)+IF(L76="",0,1))&lt;2,"Erreur : au moins 2 réponses",IF(M76="","Erreur : bonne réponse manquante",IF(NOT(ISNUMBER(N76)),"Erreur : pondération numérique",IF(N76&lt;=0,"Erreur : pondération &gt; 0",IF(ISNUMBER(SEARCH(";",M76&amp;"")),"Erreur : QCU = 1 seule bonne réponse",IFERROR(IF(OR(VALUE(M76)&lt;1,VALUE(M76)&gt;8,VALUE(M76)&lt;&gt;INT(VALUE(M76))),"Erreur : bonne réponse 1-8",IF(INDEX(E76:L76,1,VALUE(M76))="","Erreur : réponse correcte vide","OK")),"Erreur : bonne réponse 1-8"))))))))</f>
        <v/>
      </c>
      <c r="P76" s="41" t="n"/>
      <c r="Q76" s="41" t="n"/>
      <c r="R76" s="41" t="n"/>
      <c r="S76" s="41" t="n"/>
      <c r="T76" s="41" t="n"/>
      <c r="U76" s="41" t="n"/>
      <c r="V76" s="41" t="n"/>
      <c r="W76" s="41" t="n"/>
      <c r="X76" s="41" t="n"/>
      <c r="Y76" s="41" t="n"/>
    </row>
    <row r="77" ht="28" customHeight="1" s="17">
      <c r="A77" s="37">
        <f>IF(COUNTA(C77:N77)=0,"",ROW()-4)</f>
        <v/>
      </c>
      <c r="B77" s="37">
        <f>IF(COUNTA(C77:N77)=0,"","qcu")</f>
        <v/>
      </c>
      <c r="C77" s="38" t="n"/>
      <c r="D77" s="38" t="n"/>
      <c r="E77" s="38" t="n"/>
      <c r="F77" s="38" t="n"/>
      <c r="G77" s="38" t="n"/>
      <c r="H77" s="38" t="n"/>
      <c r="I77" s="38" t="n"/>
      <c r="J77" s="38" t="n"/>
      <c r="K77" s="38" t="n"/>
      <c r="L77" s="38" t="n"/>
      <c r="M77" s="39" t="n"/>
      <c r="N77" s="40" t="n"/>
      <c r="O77" s="37">
        <f>IF(COUNTA(C77:N77)=0,"",IF(D77="","Erreur : question manquante",IF((IF(E77="",0,1)+IF(F77="",0,1)+IF(G77="",0,1)+IF(H77="",0,1)+IF(I77="",0,1)+IF(J77="",0,1)+IF(K77="",0,1)+IF(L77="",0,1))&lt;2,"Erreur : au moins 2 réponses",IF(M77="","Erreur : bonne réponse manquante",IF(NOT(ISNUMBER(N77)),"Erreur : pondération numérique",IF(N77&lt;=0,"Erreur : pondération &gt; 0",IF(ISNUMBER(SEARCH(";",M77&amp;"")),"Erreur : QCU = 1 seule bonne réponse",IFERROR(IF(OR(VALUE(M77)&lt;1,VALUE(M77)&gt;8,VALUE(M77)&lt;&gt;INT(VALUE(M77))),"Erreur : bonne réponse 1-8",IF(INDEX(E77:L77,1,VALUE(M77))="","Erreur : réponse correcte vide","OK")),"Erreur : bonne réponse 1-8"))))))))</f>
        <v/>
      </c>
      <c r="P77" s="41" t="n"/>
      <c r="Q77" s="41" t="n"/>
      <c r="R77" s="41" t="n"/>
      <c r="S77" s="41" t="n"/>
      <c r="T77" s="41" t="n"/>
      <c r="U77" s="41" t="n"/>
      <c r="V77" s="41" t="n"/>
      <c r="W77" s="41" t="n"/>
      <c r="X77" s="41" t="n"/>
      <c r="Y77" s="41" t="n"/>
    </row>
    <row r="78" ht="28" customHeight="1" s="17">
      <c r="A78" s="37">
        <f>IF(COUNTA(C78:N78)=0,"",ROW()-4)</f>
        <v/>
      </c>
      <c r="B78" s="37">
        <f>IF(COUNTA(C78:N78)=0,"","qcu")</f>
        <v/>
      </c>
      <c r="C78" s="38" t="n"/>
      <c r="D78" s="38" t="n"/>
      <c r="E78" s="38" t="n"/>
      <c r="F78" s="38" t="n"/>
      <c r="G78" s="38" t="n"/>
      <c r="H78" s="38" t="n"/>
      <c r="I78" s="38" t="n"/>
      <c r="J78" s="38" t="n"/>
      <c r="K78" s="38" t="n"/>
      <c r="L78" s="38" t="n"/>
      <c r="M78" s="39" t="n"/>
      <c r="N78" s="40" t="n"/>
      <c r="O78" s="37">
        <f>IF(COUNTA(C78:N78)=0,"",IF(D78="","Erreur : question manquante",IF((IF(E78="",0,1)+IF(F78="",0,1)+IF(G78="",0,1)+IF(H78="",0,1)+IF(I78="",0,1)+IF(J78="",0,1)+IF(K78="",0,1)+IF(L78="",0,1))&lt;2,"Erreur : au moins 2 réponses",IF(M78="","Erreur : bonne réponse manquante",IF(NOT(ISNUMBER(N78)),"Erreur : pondération numérique",IF(N78&lt;=0,"Erreur : pondération &gt; 0",IF(ISNUMBER(SEARCH(";",M78&amp;"")),"Erreur : QCU = 1 seule bonne réponse",IFERROR(IF(OR(VALUE(M78)&lt;1,VALUE(M78)&gt;8,VALUE(M78)&lt;&gt;INT(VALUE(M78))),"Erreur : bonne réponse 1-8",IF(INDEX(E78:L78,1,VALUE(M78))="","Erreur : réponse correcte vide","OK")),"Erreur : bonne réponse 1-8"))))))))</f>
        <v/>
      </c>
      <c r="P78" s="41" t="n"/>
      <c r="Q78" s="41" t="n"/>
      <c r="R78" s="41" t="n"/>
      <c r="S78" s="41" t="n"/>
      <c r="T78" s="41" t="n"/>
      <c r="U78" s="41" t="n"/>
      <c r="V78" s="41" t="n"/>
      <c r="W78" s="41" t="n"/>
      <c r="X78" s="41" t="n"/>
      <c r="Y78" s="41" t="n"/>
    </row>
    <row r="79" ht="28" customHeight="1" s="17">
      <c r="A79" s="37">
        <f>IF(COUNTA(C79:N79)=0,"",ROW()-4)</f>
        <v/>
      </c>
      <c r="B79" s="37">
        <f>IF(COUNTA(C79:N79)=0,"","qcu")</f>
        <v/>
      </c>
      <c r="C79" s="38" t="n"/>
      <c r="D79" s="38" t="n"/>
      <c r="E79" s="38" t="n"/>
      <c r="F79" s="38" t="n"/>
      <c r="G79" s="38" t="n"/>
      <c r="H79" s="38" t="n"/>
      <c r="I79" s="38" t="n"/>
      <c r="J79" s="38" t="n"/>
      <c r="K79" s="38" t="n"/>
      <c r="L79" s="38" t="n"/>
      <c r="M79" s="39" t="n"/>
      <c r="N79" s="40" t="n"/>
      <c r="O79" s="37">
        <f>IF(COUNTA(C79:N79)=0,"",IF(D79="","Erreur : question manquante",IF((IF(E79="",0,1)+IF(F79="",0,1)+IF(G79="",0,1)+IF(H79="",0,1)+IF(I79="",0,1)+IF(J79="",0,1)+IF(K79="",0,1)+IF(L79="",0,1))&lt;2,"Erreur : au moins 2 réponses",IF(M79="","Erreur : bonne réponse manquante",IF(NOT(ISNUMBER(N79)),"Erreur : pondération numérique",IF(N79&lt;=0,"Erreur : pondération &gt; 0",IF(ISNUMBER(SEARCH(";",M79&amp;"")),"Erreur : QCU = 1 seule bonne réponse",IFERROR(IF(OR(VALUE(M79)&lt;1,VALUE(M79)&gt;8,VALUE(M79)&lt;&gt;INT(VALUE(M79))),"Erreur : bonne réponse 1-8",IF(INDEX(E79:L79,1,VALUE(M79))="","Erreur : réponse correcte vide","OK")),"Erreur : bonne réponse 1-8"))))))))</f>
        <v/>
      </c>
      <c r="P79" s="41" t="n"/>
      <c r="Q79" s="41" t="n"/>
      <c r="R79" s="41" t="n"/>
      <c r="S79" s="41" t="n"/>
      <c r="T79" s="41" t="n"/>
      <c r="U79" s="41" t="n"/>
      <c r="V79" s="41" t="n"/>
      <c r="W79" s="41" t="n"/>
      <c r="X79" s="41" t="n"/>
      <c r="Y79" s="41" t="n"/>
    </row>
    <row r="80" ht="28" customHeight="1" s="17">
      <c r="A80" s="37">
        <f>IF(COUNTA(C80:N80)=0,"",ROW()-4)</f>
        <v/>
      </c>
      <c r="B80" s="37">
        <f>IF(COUNTA(C80:N80)=0,"","qcu")</f>
        <v/>
      </c>
      <c r="C80" s="38" t="n"/>
      <c r="D80" s="38" t="n"/>
      <c r="E80" s="38" t="n"/>
      <c r="F80" s="38" t="n"/>
      <c r="G80" s="38" t="n"/>
      <c r="H80" s="38" t="n"/>
      <c r="I80" s="38" t="n"/>
      <c r="J80" s="38" t="n"/>
      <c r="K80" s="38" t="n"/>
      <c r="L80" s="38" t="n"/>
      <c r="M80" s="39" t="n"/>
      <c r="N80" s="40" t="n"/>
      <c r="O80" s="37">
        <f>IF(COUNTA(C80:N80)=0,"",IF(D80="","Erreur : question manquante",IF((IF(E80="",0,1)+IF(F80="",0,1)+IF(G80="",0,1)+IF(H80="",0,1)+IF(I80="",0,1)+IF(J80="",0,1)+IF(K80="",0,1)+IF(L80="",0,1))&lt;2,"Erreur : au moins 2 réponses",IF(M80="","Erreur : bonne réponse manquante",IF(NOT(ISNUMBER(N80)),"Erreur : pondération numérique",IF(N80&lt;=0,"Erreur : pondération &gt; 0",IF(ISNUMBER(SEARCH(";",M80&amp;"")),"Erreur : QCU = 1 seule bonne réponse",IFERROR(IF(OR(VALUE(M80)&lt;1,VALUE(M80)&gt;8,VALUE(M80)&lt;&gt;INT(VALUE(M80))),"Erreur : bonne réponse 1-8",IF(INDEX(E80:L80,1,VALUE(M80))="","Erreur : réponse correcte vide","OK")),"Erreur : bonne réponse 1-8"))))))))</f>
        <v/>
      </c>
      <c r="P80" s="41" t="n"/>
      <c r="Q80" s="41" t="n"/>
      <c r="R80" s="41" t="n"/>
      <c r="S80" s="41" t="n"/>
      <c r="T80" s="41" t="n"/>
      <c r="U80" s="41" t="n"/>
      <c r="V80" s="41" t="n"/>
      <c r="W80" s="41" t="n"/>
      <c r="X80" s="41" t="n"/>
      <c r="Y80" s="41" t="n"/>
    </row>
    <row r="81" ht="28" customHeight="1" s="17">
      <c r="A81" s="37">
        <f>IF(COUNTA(C81:N81)=0,"",ROW()-4)</f>
        <v/>
      </c>
      <c r="B81" s="37">
        <f>IF(COUNTA(C81:N81)=0,"","qcu")</f>
        <v/>
      </c>
      <c r="C81" s="38" t="n"/>
      <c r="D81" s="38" t="n"/>
      <c r="E81" s="38" t="n"/>
      <c r="F81" s="38" t="n"/>
      <c r="G81" s="38" t="n"/>
      <c r="H81" s="38" t="n"/>
      <c r="I81" s="38" t="n"/>
      <c r="J81" s="38" t="n"/>
      <c r="K81" s="38" t="n"/>
      <c r="L81" s="38" t="n"/>
      <c r="M81" s="39" t="n"/>
      <c r="N81" s="40" t="n"/>
      <c r="O81" s="37">
        <f>IF(COUNTA(C81:N81)=0,"",IF(D81="","Erreur : question manquante",IF((IF(E81="",0,1)+IF(F81="",0,1)+IF(G81="",0,1)+IF(H81="",0,1)+IF(I81="",0,1)+IF(J81="",0,1)+IF(K81="",0,1)+IF(L81="",0,1))&lt;2,"Erreur : au moins 2 réponses",IF(M81="","Erreur : bonne réponse manquante",IF(NOT(ISNUMBER(N81)),"Erreur : pondération numérique",IF(N81&lt;=0,"Erreur : pondération &gt; 0",IF(ISNUMBER(SEARCH(";",M81&amp;"")),"Erreur : QCU = 1 seule bonne réponse",IFERROR(IF(OR(VALUE(M81)&lt;1,VALUE(M81)&gt;8,VALUE(M81)&lt;&gt;INT(VALUE(M81))),"Erreur : bonne réponse 1-8",IF(INDEX(E81:L81,1,VALUE(M81))="","Erreur : réponse correcte vide","OK")),"Erreur : bonne réponse 1-8"))))))))</f>
        <v/>
      </c>
      <c r="P81" s="41" t="n"/>
      <c r="Q81" s="41" t="n"/>
      <c r="R81" s="41" t="n"/>
      <c r="S81" s="41" t="n"/>
      <c r="T81" s="41" t="n"/>
      <c r="U81" s="41" t="n"/>
      <c r="V81" s="41" t="n"/>
      <c r="W81" s="41" t="n"/>
      <c r="X81" s="41" t="n"/>
      <c r="Y81" s="41" t="n"/>
    </row>
    <row r="82" ht="28" customHeight="1" s="17">
      <c r="A82" s="37">
        <f>IF(COUNTA(C82:N82)=0,"",ROW()-4)</f>
        <v/>
      </c>
      <c r="B82" s="37">
        <f>IF(COUNTA(C82:N82)=0,"","qcu")</f>
        <v/>
      </c>
      <c r="C82" s="38" t="n"/>
      <c r="D82" s="38" t="n"/>
      <c r="E82" s="38" t="n"/>
      <c r="F82" s="38" t="n"/>
      <c r="G82" s="38" t="n"/>
      <c r="H82" s="38" t="n"/>
      <c r="I82" s="38" t="n"/>
      <c r="J82" s="38" t="n"/>
      <c r="K82" s="38" t="n"/>
      <c r="L82" s="38" t="n"/>
      <c r="M82" s="39" t="n"/>
      <c r="N82" s="40" t="n"/>
      <c r="O82" s="37">
        <f>IF(COUNTA(C82:N82)=0,"",IF(D82="","Erreur : question manquante",IF((IF(E82="",0,1)+IF(F82="",0,1)+IF(G82="",0,1)+IF(H82="",0,1)+IF(I82="",0,1)+IF(J82="",0,1)+IF(K82="",0,1)+IF(L82="",0,1))&lt;2,"Erreur : au moins 2 réponses",IF(M82="","Erreur : bonne réponse manquante",IF(NOT(ISNUMBER(N82)),"Erreur : pondération numérique",IF(N82&lt;=0,"Erreur : pondération &gt; 0",IF(ISNUMBER(SEARCH(";",M82&amp;"")),"Erreur : QCU = 1 seule bonne réponse",IFERROR(IF(OR(VALUE(M82)&lt;1,VALUE(M82)&gt;8,VALUE(M82)&lt;&gt;INT(VALUE(M82))),"Erreur : bonne réponse 1-8",IF(INDEX(E82:L82,1,VALUE(M82))="","Erreur : réponse correcte vide","OK")),"Erreur : bonne réponse 1-8"))))))))</f>
        <v/>
      </c>
      <c r="P82" s="41" t="n"/>
      <c r="Q82" s="41" t="n"/>
      <c r="R82" s="41" t="n"/>
      <c r="S82" s="41" t="n"/>
      <c r="T82" s="41" t="n"/>
      <c r="U82" s="41" t="n"/>
      <c r="V82" s="41" t="n"/>
      <c r="W82" s="41" t="n"/>
      <c r="X82" s="41" t="n"/>
      <c r="Y82" s="41" t="n"/>
    </row>
    <row r="83" ht="28" customHeight="1" s="17">
      <c r="A83" s="37">
        <f>IF(COUNTA(C83:N83)=0,"",ROW()-4)</f>
        <v/>
      </c>
      <c r="B83" s="37">
        <f>IF(COUNTA(C83:N83)=0,"","qcu")</f>
        <v/>
      </c>
      <c r="C83" s="38" t="n"/>
      <c r="D83" s="38" t="n"/>
      <c r="E83" s="38" t="n"/>
      <c r="F83" s="38" t="n"/>
      <c r="G83" s="38" t="n"/>
      <c r="H83" s="38" t="n"/>
      <c r="I83" s="38" t="n"/>
      <c r="J83" s="38" t="n"/>
      <c r="K83" s="38" t="n"/>
      <c r="L83" s="38" t="n"/>
      <c r="M83" s="39" t="n"/>
      <c r="N83" s="40" t="n"/>
      <c r="O83" s="37">
        <f>IF(COUNTA(C83:N83)=0,"",IF(D83="","Erreur : question manquante",IF((IF(E83="",0,1)+IF(F83="",0,1)+IF(G83="",0,1)+IF(H83="",0,1)+IF(I83="",0,1)+IF(J83="",0,1)+IF(K83="",0,1)+IF(L83="",0,1))&lt;2,"Erreur : au moins 2 réponses",IF(M83="","Erreur : bonne réponse manquante",IF(NOT(ISNUMBER(N83)),"Erreur : pondération numérique",IF(N83&lt;=0,"Erreur : pondération &gt; 0",IF(ISNUMBER(SEARCH(";",M83&amp;"")),"Erreur : QCU = 1 seule bonne réponse",IFERROR(IF(OR(VALUE(M83)&lt;1,VALUE(M83)&gt;8,VALUE(M83)&lt;&gt;INT(VALUE(M83))),"Erreur : bonne réponse 1-8",IF(INDEX(E83:L83,1,VALUE(M83))="","Erreur : réponse correcte vide","OK")),"Erreur : bonne réponse 1-8"))))))))</f>
        <v/>
      </c>
      <c r="P83" s="41" t="n"/>
      <c r="Q83" s="41" t="n"/>
      <c r="R83" s="41" t="n"/>
      <c r="S83" s="41" t="n"/>
      <c r="T83" s="41" t="n"/>
      <c r="U83" s="41" t="n"/>
      <c r="V83" s="41" t="n"/>
      <c r="W83" s="41" t="n"/>
      <c r="X83" s="41" t="n"/>
      <c r="Y83" s="41" t="n"/>
    </row>
    <row r="84" ht="28" customHeight="1" s="17">
      <c r="A84" s="37">
        <f>IF(COUNTA(C84:N84)=0,"",ROW()-4)</f>
        <v/>
      </c>
      <c r="B84" s="37">
        <f>IF(COUNTA(C84:N84)=0,"","qcu")</f>
        <v/>
      </c>
      <c r="C84" s="38" t="n"/>
      <c r="D84" s="38" t="n"/>
      <c r="E84" s="38" t="n"/>
      <c r="F84" s="38" t="n"/>
      <c r="G84" s="38" t="n"/>
      <c r="H84" s="38" t="n"/>
      <c r="I84" s="38" t="n"/>
      <c r="J84" s="38" t="n"/>
      <c r="K84" s="38" t="n"/>
      <c r="L84" s="38" t="n"/>
      <c r="M84" s="39" t="n"/>
      <c r="N84" s="40" t="n"/>
      <c r="O84" s="37">
        <f>IF(COUNTA(C84:N84)=0,"",IF(D84="","Erreur : question manquante",IF((IF(E84="",0,1)+IF(F84="",0,1)+IF(G84="",0,1)+IF(H84="",0,1)+IF(I84="",0,1)+IF(J84="",0,1)+IF(K84="",0,1)+IF(L84="",0,1))&lt;2,"Erreur : au moins 2 réponses",IF(M84="","Erreur : bonne réponse manquante",IF(NOT(ISNUMBER(N84)),"Erreur : pondération numérique",IF(N84&lt;=0,"Erreur : pondération &gt; 0",IF(ISNUMBER(SEARCH(";",M84&amp;"")),"Erreur : QCU = 1 seule bonne réponse",IFERROR(IF(OR(VALUE(M84)&lt;1,VALUE(M84)&gt;8,VALUE(M84)&lt;&gt;INT(VALUE(M84))),"Erreur : bonne réponse 1-8",IF(INDEX(E84:L84,1,VALUE(M84))="","Erreur : réponse correcte vide","OK")),"Erreur : bonne réponse 1-8"))))))))</f>
        <v/>
      </c>
      <c r="P84" s="41" t="n"/>
      <c r="Q84" s="41" t="n"/>
      <c r="R84" s="41" t="n"/>
      <c r="S84" s="41" t="n"/>
      <c r="T84" s="41" t="n"/>
      <c r="U84" s="41" t="n"/>
      <c r="V84" s="41" t="n"/>
      <c r="W84" s="41" t="n"/>
      <c r="X84" s="41" t="n"/>
      <c r="Y84" s="41" t="n"/>
    </row>
    <row r="85" ht="28" customHeight="1" s="17">
      <c r="A85" s="37">
        <f>IF(COUNTA(C85:N85)=0,"",ROW()-4)</f>
        <v/>
      </c>
      <c r="B85" s="37">
        <f>IF(COUNTA(C85:N85)=0,"","qcu")</f>
        <v/>
      </c>
      <c r="C85" s="38" t="n"/>
      <c r="D85" s="38" t="n"/>
      <c r="E85" s="38" t="n"/>
      <c r="F85" s="38" t="n"/>
      <c r="G85" s="38" t="n"/>
      <c r="H85" s="38" t="n"/>
      <c r="I85" s="38" t="n"/>
      <c r="J85" s="38" t="n"/>
      <c r="K85" s="38" t="n"/>
      <c r="L85" s="38" t="n"/>
      <c r="M85" s="39" t="n"/>
      <c r="N85" s="40" t="n"/>
      <c r="O85" s="37">
        <f>IF(COUNTA(C85:N85)=0,"",IF(D85="","Erreur : question manquante",IF((IF(E85="",0,1)+IF(F85="",0,1)+IF(G85="",0,1)+IF(H85="",0,1)+IF(I85="",0,1)+IF(J85="",0,1)+IF(K85="",0,1)+IF(L85="",0,1))&lt;2,"Erreur : au moins 2 réponses",IF(M85="","Erreur : bonne réponse manquante",IF(NOT(ISNUMBER(N85)),"Erreur : pondération numérique",IF(N85&lt;=0,"Erreur : pondération &gt; 0",IF(ISNUMBER(SEARCH(";",M85&amp;"")),"Erreur : QCU = 1 seule bonne réponse",IFERROR(IF(OR(VALUE(M85)&lt;1,VALUE(M85)&gt;8,VALUE(M85)&lt;&gt;INT(VALUE(M85))),"Erreur : bonne réponse 1-8",IF(INDEX(E85:L85,1,VALUE(M85))="","Erreur : réponse correcte vide","OK")),"Erreur : bonne réponse 1-8"))))))))</f>
        <v/>
      </c>
      <c r="P85" s="41" t="n"/>
      <c r="Q85" s="41" t="n"/>
      <c r="R85" s="41" t="n"/>
      <c r="S85" s="41" t="n"/>
      <c r="T85" s="41" t="n"/>
      <c r="U85" s="41" t="n"/>
      <c r="V85" s="41" t="n"/>
      <c r="W85" s="41" t="n"/>
      <c r="X85" s="41" t="n"/>
      <c r="Y85" s="41" t="n"/>
    </row>
    <row r="86" ht="28" customHeight="1" s="17">
      <c r="A86" s="37">
        <f>IF(COUNTA(C86:N86)=0,"",ROW()-4)</f>
        <v/>
      </c>
      <c r="B86" s="37">
        <f>IF(COUNTA(C86:N86)=0,"","qcu")</f>
        <v/>
      </c>
      <c r="C86" s="38" t="n"/>
      <c r="D86" s="38" t="n"/>
      <c r="E86" s="38" t="n"/>
      <c r="F86" s="38" t="n"/>
      <c r="G86" s="38" t="n"/>
      <c r="H86" s="38" t="n"/>
      <c r="I86" s="38" t="n"/>
      <c r="J86" s="38" t="n"/>
      <c r="K86" s="38" t="n"/>
      <c r="L86" s="38" t="n"/>
      <c r="M86" s="39" t="n"/>
      <c r="N86" s="40" t="n"/>
      <c r="O86" s="37">
        <f>IF(COUNTA(C86:N86)=0,"",IF(D86="","Erreur : question manquante",IF((IF(E86="",0,1)+IF(F86="",0,1)+IF(G86="",0,1)+IF(H86="",0,1)+IF(I86="",0,1)+IF(J86="",0,1)+IF(K86="",0,1)+IF(L86="",0,1))&lt;2,"Erreur : au moins 2 réponses",IF(M86="","Erreur : bonne réponse manquante",IF(NOT(ISNUMBER(N86)),"Erreur : pondération numérique",IF(N86&lt;=0,"Erreur : pondération &gt; 0",IF(ISNUMBER(SEARCH(";",M86&amp;"")),"Erreur : QCU = 1 seule bonne réponse",IFERROR(IF(OR(VALUE(M86)&lt;1,VALUE(M86)&gt;8,VALUE(M86)&lt;&gt;INT(VALUE(M86))),"Erreur : bonne réponse 1-8",IF(INDEX(E86:L86,1,VALUE(M86))="","Erreur : réponse correcte vide","OK")),"Erreur : bonne réponse 1-8"))))))))</f>
        <v/>
      </c>
      <c r="P86" s="41" t="n"/>
      <c r="Q86" s="41" t="n"/>
      <c r="R86" s="41" t="n"/>
      <c r="S86" s="41" t="n"/>
      <c r="T86" s="41" t="n"/>
      <c r="U86" s="41" t="n"/>
      <c r="V86" s="41" t="n"/>
      <c r="W86" s="41" t="n"/>
      <c r="X86" s="41" t="n"/>
      <c r="Y86" s="41" t="n"/>
    </row>
    <row r="87" ht="28" customHeight="1" s="17">
      <c r="A87" s="37">
        <f>IF(COUNTA(C87:N87)=0,"",ROW()-4)</f>
        <v/>
      </c>
      <c r="B87" s="37">
        <f>IF(COUNTA(C87:N87)=0,"","qcu")</f>
        <v/>
      </c>
      <c r="C87" s="38" t="n"/>
      <c r="D87" s="38" t="n"/>
      <c r="E87" s="38" t="n"/>
      <c r="F87" s="38" t="n"/>
      <c r="G87" s="38" t="n"/>
      <c r="H87" s="38" t="n"/>
      <c r="I87" s="38" t="n"/>
      <c r="J87" s="38" t="n"/>
      <c r="K87" s="38" t="n"/>
      <c r="L87" s="38" t="n"/>
      <c r="M87" s="39" t="n"/>
      <c r="N87" s="40" t="n"/>
      <c r="O87" s="37">
        <f>IF(COUNTA(C87:N87)=0,"",IF(D87="","Erreur : question manquante",IF((IF(E87="",0,1)+IF(F87="",0,1)+IF(G87="",0,1)+IF(H87="",0,1)+IF(I87="",0,1)+IF(J87="",0,1)+IF(K87="",0,1)+IF(L87="",0,1))&lt;2,"Erreur : au moins 2 réponses",IF(M87="","Erreur : bonne réponse manquante",IF(NOT(ISNUMBER(N87)),"Erreur : pondération numérique",IF(N87&lt;=0,"Erreur : pondération &gt; 0",IF(ISNUMBER(SEARCH(";",M87&amp;"")),"Erreur : QCU = 1 seule bonne réponse",IFERROR(IF(OR(VALUE(M87)&lt;1,VALUE(M87)&gt;8,VALUE(M87)&lt;&gt;INT(VALUE(M87))),"Erreur : bonne réponse 1-8",IF(INDEX(E87:L87,1,VALUE(M87))="","Erreur : réponse correcte vide","OK")),"Erreur : bonne réponse 1-8"))))))))</f>
        <v/>
      </c>
      <c r="P87" s="41" t="n"/>
      <c r="Q87" s="41" t="n"/>
      <c r="R87" s="41" t="n"/>
      <c r="S87" s="41" t="n"/>
      <c r="T87" s="41" t="n"/>
      <c r="U87" s="41" t="n"/>
      <c r="V87" s="41" t="n"/>
      <c r="W87" s="41" t="n"/>
      <c r="X87" s="41" t="n"/>
      <c r="Y87" s="41" t="n"/>
    </row>
    <row r="88" ht="28" customHeight="1" s="17">
      <c r="A88" s="37">
        <f>IF(COUNTA(C88:N88)=0,"",ROW()-4)</f>
        <v/>
      </c>
      <c r="B88" s="37">
        <f>IF(COUNTA(C88:N88)=0,"","qcu")</f>
        <v/>
      </c>
      <c r="C88" s="38" t="n"/>
      <c r="D88" s="38" t="n"/>
      <c r="E88" s="38" t="n"/>
      <c r="F88" s="38" t="n"/>
      <c r="G88" s="38" t="n"/>
      <c r="H88" s="38" t="n"/>
      <c r="I88" s="38" t="n"/>
      <c r="J88" s="38" t="n"/>
      <c r="K88" s="38" t="n"/>
      <c r="L88" s="38" t="n"/>
      <c r="M88" s="39" t="n"/>
      <c r="N88" s="40" t="n"/>
      <c r="O88" s="37">
        <f>IF(COUNTA(C88:N88)=0,"",IF(D88="","Erreur : question manquante",IF((IF(E88="",0,1)+IF(F88="",0,1)+IF(G88="",0,1)+IF(H88="",0,1)+IF(I88="",0,1)+IF(J88="",0,1)+IF(K88="",0,1)+IF(L88="",0,1))&lt;2,"Erreur : au moins 2 réponses",IF(M88="","Erreur : bonne réponse manquante",IF(NOT(ISNUMBER(N88)),"Erreur : pondération numérique",IF(N88&lt;=0,"Erreur : pondération &gt; 0",IF(ISNUMBER(SEARCH(";",M88&amp;"")),"Erreur : QCU = 1 seule bonne réponse",IFERROR(IF(OR(VALUE(M88)&lt;1,VALUE(M88)&gt;8,VALUE(M88)&lt;&gt;INT(VALUE(M88))),"Erreur : bonne réponse 1-8",IF(INDEX(E88:L88,1,VALUE(M88))="","Erreur : réponse correcte vide","OK")),"Erreur : bonne réponse 1-8"))))))))</f>
        <v/>
      </c>
      <c r="P88" s="41" t="n"/>
      <c r="Q88" s="41" t="n"/>
      <c r="R88" s="41" t="n"/>
      <c r="S88" s="41" t="n"/>
      <c r="T88" s="41" t="n"/>
      <c r="U88" s="41" t="n"/>
      <c r="V88" s="41" t="n"/>
      <c r="W88" s="41" t="n"/>
      <c r="X88" s="41" t="n"/>
      <c r="Y88" s="41" t="n"/>
    </row>
    <row r="89" ht="28" customHeight="1" s="17">
      <c r="A89" s="37">
        <f>IF(COUNTA(C89:N89)=0,"",ROW()-4)</f>
        <v/>
      </c>
      <c r="B89" s="37">
        <f>IF(COUNTA(C89:N89)=0,"","qcu")</f>
        <v/>
      </c>
      <c r="C89" s="38" t="n"/>
      <c r="D89" s="38" t="n"/>
      <c r="E89" s="38" t="n"/>
      <c r="F89" s="38" t="n"/>
      <c r="G89" s="38" t="n"/>
      <c r="H89" s="38" t="n"/>
      <c r="I89" s="38" t="n"/>
      <c r="J89" s="38" t="n"/>
      <c r="K89" s="38" t="n"/>
      <c r="L89" s="38" t="n"/>
      <c r="M89" s="39" t="n"/>
      <c r="N89" s="40" t="n"/>
      <c r="O89" s="37">
        <f>IF(COUNTA(C89:N89)=0,"",IF(D89="","Erreur : question manquante",IF((IF(E89="",0,1)+IF(F89="",0,1)+IF(G89="",0,1)+IF(H89="",0,1)+IF(I89="",0,1)+IF(J89="",0,1)+IF(K89="",0,1)+IF(L89="",0,1))&lt;2,"Erreur : au moins 2 réponses",IF(M89="","Erreur : bonne réponse manquante",IF(NOT(ISNUMBER(N89)),"Erreur : pondération numérique",IF(N89&lt;=0,"Erreur : pondération &gt; 0",IF(ISNUMBER(SEARCH(";",M89&amp;"")),"Erreur : QCU = 1 seule bonne réponse",IFERROR(IF(OR(VALUE(M89)&lt;1,VALUE(M89)&gt;8,VALUE(M89)&lt;&gt;INT(VALUE(M89))),"Erreur : bonne réponse 1-8",IF(INDEX(E89:L89,1,VALUE(M89))="","Erreur : réponse correcte vide","OK")),"Erreur : bonne réponse 1-8"))))))))</f>
        <v/>
      </c>
      <c r="P89" s="41" t="n"/>
      <c r="Q89" s="41" t="n"/>
      <c r="R89" s="41" t="n"/>
      <c r="S89" s="41" t="n"/>
      <c r="T89" s="41" t="n"/>
      <c r="U89" s="41" t="n"/>
      <c r="V89" s="41" t="n"/>
      <c r="W89" s="41" t="n"/>
      <c r="X89" s="41" t="n"/>
      <c r="Y89" s="41" t="n"/>
    </row>
    <row r="90" ht="28" customHeight="1" s="17">
      <c r="A90" s="37">
        <f>IF(COUNTA(C90:N90)=0,"",ROW()-4)</f>
        <v/>
      </c>
      <c r="B90" s="37">
        <f>IF(COUNTA(C90:N90)=0,"","qcu")</f>
        <v/>
      </c>
      <c r="C90" s="38" t="n"/>
      <c r="D90" s="38" t="n"/>
      <c r="E90" s="38" t="n"/>
      <c r="F90" s="38" t="n"/>
      <c r="G90" s="38" t="n"/>
      <c r="H90" s="38" t="n"/>
      <c r="I90" s="38" t="n"/>
      <c r="J90" s="38" t="n"/>
      <c r="K90" s="38" t="n"/>
      <c r="L90" s="38" t="n"/>
      <c r="M90" s="39" t="n"/>
      <c r="N90" s="40" t="n"/>
      <c r="O90" s="37">
        <f>IF(COUNTA(C90:N90)=0,"",IF(D90="","Erreur : question manquante",IF((IF(E90="",0,1)+IF(F90="",0,1)+IF(G90="",0,1)+IF(H90="",0,1)+IF(I90="",0,1)+IF(J90="",0,1)+IF(K90="",0,1)+IF(L90="",0,1))&lt;2,"Erreur : au moins 2 réponses",IF(M90="","Erreur : bonne réponse manquante",IF(NOT(ISNUMBER(N90)),"Erreur : pondération numérique",IF(N90&lt;=0,"Erreur : pondération &gt; 0",IF(ISNUMBER(SEARCH(";",M90&amp;"")),"Erreur : QCU = 1 seule bonne réponse",IFERROR(IF(OR(VALUE(M90)&lt;1,VALUE(M90)&gt;8,VALUE(M90)&lt;&gt;INT(VALUE(M90))),"Erreur : bonne réponse 1-8",IF(INDEX(E90:L90,1,VALUE(M90))="","Erreur : réponse correcte vide","OK")),"Erreur : bonne réponse 1-8"))))))))</f>
        <v/>
      </c>
      <c r="P90" s="41" t="n"/>
      <c r="Q90" s="41" t="n"/>
      <c r="R90" s="41" t="n"/>
      <c r="S90" s="41" t="n"/>
      <c r="T90" s="41" t="n"/>
      <c r="U90" s="41" t="n"/>
      <c r="V90" s="41" t="n"/>
      <c r="W90" s="41" t="n"/>
      <c r="X90" s="41" t="n"/>
      <c r="Y90" s="41" t="n"/>
    </row>
    <row r="91" ht="28" customHeight="1" s="17">
      <c r="A91" s="37">
        <f>IF(COUNTA(C91:N91)=0,"",ROW()-4)</f>
        <v/>
      </c>
      <c r="B91" s="37">
        <f>IF(COUNTA(C91:N91)=0,"","qcu")</f>
        <v/>
      </c>
      <c r="C91" s="38" t="n"/>
      <c r="D91" s="38" t="n"/>
      <c r="E91" s="38" t="n"/>
      <c r="F91" s="38" t="n"/>
      <c r="G91" s="38" t="n"/>
      <c r="H91" s="38" t="n"/>
      <c r="I91" s="38" t="n"/>
      <c r="J91" s="38" t="n"/>
      <c r="K91" s="38" t="n"/>
      <c r="L91" s="38" t="n"/>
      <c r="M91" s="39" t="n"/>
      <c r="N91" s="40" t="n"/>
      <c r="O91" s="37">
        <f>IF(COUNTA(C91:N91)=0,"",IF(D91="","Erreur : question manquante",IF((IF(E91="",0,1)+IF(F91="",0,1)+IF(G91="",0,1)+IF(H91="",0,1)+IF(I91="",0,1)+IF(J91="",0,1)+IF(K91="",0,1)+IF(L91="",0,1))&lt;2,"Erreur : au moins 2 réponses",IF(M91="","Erreur : bonne réponse manquante",IF(NOT(ISNUMBER(N91)),"Erreur : pondération numérique",IF(N91&lt;=0,"Erreur : pondération &gt; 0",IF(ISNUMBER(SEARCH(";",M91&amp;"")),"Erreur : QCU = 1 seule bonne réponse",IFERROR(IF(OR(VALUE(M91)&lt;1,VALUE(M91)&gt;8,VALUE(M91)&lt;&gt;INT(VALUE(M91))),"Erreur : bonne réponse 1-8",IF(INDEX(E91:L91,1,VALUE(M91))="","Erreur : réponse correcte vide","OK")),"Erreur : bonne réponse 1-8"))))))))</f>
        <v/>
      </c>
      <c r="P91" s="41" t="n"/>
      <c r="Q91" s="41" t="n"/>
      <c r="R91" s="41" t="n"/>
      <c r="S91" s="41" t="n"/>
      <c r="T91" s="41" t="n"/>
      <c r="U91" s="41" t="n"/>
      <c r="V91" s="41" t="n"/>
      <c r="W91" s="41" t="n"/>
      <c r="X91" s="41" t="n"/>
      <c r="Y91" s="41" t="n"/>
    </row>
    <row r="92" ht="28" customHeight="1" s="17">
      <c r="A92" s="37">
        <f>IF(COUNTA(C92:N92)=0,"",ROW()-4)</f>
        <v/>
      </c>
      <c r="B92" s="37">
        <f>IF(COUNTA(C92:N92)=0,"","qcu")</f>
        <v/>
      </c>
      <c r="C92" s="38" t="n"/>
      <c r="D92" s="38" t="n"/>
      <c r="E92" s="38" t="n"/>
      <c r="F92" s="38" t="n"/>
      <c r="G92" s="38" t="n"/>
      <c r="H92" s="38" t="n"/>
      <c r="I92" s="38" t="n"/>
      <c r="J92" s="38" t="n"/>
      <c r="K92" s="38" t="n"/>
      <c r="L92" s="38" t="n"/>
      <c r="M92" s="39" t="n"/>
      <c r="N92" s="40" t="n"/>
      <c r="O92" s="37">
        <f>IF(COUNTA(C92:N92)=0,"",IF(D92="","Erreur : question manquante",IF((IF(E92="",0,1)+IF(F92="",0,1)+IF(G92="",0,1)+IF(H92="",0,1)+IF(I92="",0,1)+IF(J92="",0,1)+IF(K92="",0,1)+IF(L92="",0,1))&lt;2,"Erreur : au moins 2 réponses",IF(M92="","Erreur : bonne réponse manquante",IF(NOT(ISNUMBER(N92)),"Erreur : pondération numérique",IF(N92&lt;=0,"Erreur : pondération &gt; 0",IF(ISNUMBER(SEARCH(";",M92&amp;"")),"Erreur : QCU = 1 seule bonne réponse",IFERROR(IF(OR(VALUE(M92)&lt;1,VALUE(M92)&gt;8,VALUE(M92)&lt;&gt;INT(VALUE(M92))),"Erreur : bonne réponse 1-8",IF(INDEX(E92:L92,1,VALUE(M92))="","Erreur : réponse correcte vide","OK")),"Erreur : bonne réponse 1-8"))))))))</f>
        <v/>
      </c>
      <c r="P92" s="41" t="n"/>
      <c r="Q92" s="41" t="n"/>
      <c r="R92" s="41" t="n"/>
      <c r="S92" s="41" t="n"/>
      <c r="T92" s="41" t="n"/>
      <c r="U92" s="41" t="n"/>
      <c r="V92" s="41" t="n"/>
      <c r="W92" s="41" t="n"/>
      <c r="X92" s="41" t="n"/>
      <c r="Y92" s="41" t="n"/>
    </row>
    <row r="93" ht="28" customHeight="1" s="17">
      <c r="A93" s="37">
        <f>IF(COUNTA(C93:N93)=0,"",ROW()-4)</f>
        <v/>
      </c>
      <c r="B93" s="37">
        <f>IF(COUNTA(C93:N93)=0,"","qcu")</f>
        <v/>
      </c>
      <c r="C93" s="38" t="n"/>
      <c r="D93" s="38" t="n"/>
      <c r="E93" s="38" t="n"/>
      <c r="F93" s="38" t="n"/>
      <c r="G93" s="38" t="n"/>
      <c r="H93" s="38" t="n"/>
      <c r="I93" s="38" t="n"/>
      <c r="J93" s="38" t="n"/>
      <c r="K93" s="38" t="n"/>
      <c r="L93" s="38" t="n"/>
      <c r="M93" s="39" t="n"/>
      <c r="N93" s="40" t="n"/>
      <c r="O93" s="37">
        <f>IF(COUNTA(C93:N93)=0,"",IF(D93="","Erreur : question manquante",IF((IF(E93="",0,1)+IF(F93="",0,1)+IF(G93="",0,1)+IF(H93="",0,1)+IF(I93="",0,1)+IF(J93="",0,1)+IF(K93="",0,1)+IF(L93="",0,1))&lt;2,"Erreur : au moins 2 réponses",IF(M93="","Erreur : bonne réponse manquante",IF(NOT(ISNUMBER(N93)),"Erreur : pondération numérique",IF(N93&lt;=0,"Erreur : pondération &gt; 0",IF(ISNUMBER(SEARCH(";",M93&amp;"")),"Erreur : QCU = 1 seule bonne réponse",IFERROR(IF(OR(VALUE(M93)&lt;1,VALUE(M93)&gt;8,VALUE(M93)&lt;&gt;INT(VALUE(M93))),"Erreur : bonne réponse 1-8",IF(INDEX(E93:L93,1,VALUE(M93))="","Erreur : réponse correcte vide","OK")),"Erreur : bonne réponse 1-8"))))))))</f>
        <v/>
      </c>
      <c r="P93" s="41" t="n"/>
      <c r="Q93" s="41" t="n"/>
      <c r="R93" s="41" t="n"/>
      <c r="S93" s="41" t="n"/>
      <c r="T93" s="41" t="n"/>
      <c r="U93" s="41" t="n"/>
      <c r="V93" s="41" t="n"/>
      <c r="W93" s="41" t="n"/>
      <c r="X93" s="41" t="n"/>
      <c r="Y93" s="41" t="n"/>
    </row>
    <row r="94" ht="28" customHeight="1" s="17">
      <c r="A94" s="37">
        <f>IF(COUNTA(C94:N94)=0,"",ROW()-4)</f>
        <v/>
      </c>
      <c r="B94" s="37">
        <f>IF(COUNTA(C94:N94)=0,"","qcu")</f>
        <v/>
      </c>
      <c r="C94" s="38" t="n"/>
      <c r="D94" s="38" t="n"/>
      <c r="E94" s="38" t="n"/>
      <c r="F94" s="38" t="n"/>
      <c r="G94" s="38" t="n"/>
      <c r="H94" s="38" t="n"/>
      <c r="I94" s="38" t="n"/>
      <c r="J94" s="38" t="n"/>
      <c r="K94" s="38" t="n"/>
      <c r="L94" s="38" t="n"/>
      <c r="M94" s="39" t="n"/>
      <c r="N94" s="40" t="n"/>
      <c r="O94" s="37">
        <f>IF(COUNTA(C94:N94)=0,"",IF(D94="","Erreur : question manquante",IF((IF(E94="",0,1)+IF(F94="",0,1)+IF(G94="",0,1)+IF(H94="",0,1)+IF(I94="",0,1)+IF(J94="",0,1)+IF(K94="",0,1)+IF(L94="",0,1))&lt;2,"Erreur : au moins 2 réponses",IF(M94="","Erreur : bonne réponse manquante",IF(NOT(ISNUMBER(N94)),"Erreur : pondération numérique",IF(N94&lt;=0,"Erreur : pondération &gt; 0",IF(ISNUMBER(SEARCH(";",M94&amp;"")),"Erreur : QCU = 1 seule bonne réponse",IFERROR(IF(OR(VALUE(M94)&lt;1,VALUE(M94)&gt;8,VALUE(M94)&lt;&gt;INT(VALUE(M94))),"Erreur : bonne réponse 1-8",IF(INDEX(E94:L94,1,VALUE(M94))="","Erreur : réponse correcte vide","OK")),"Erreur : bonne réponse 1-8"))))))))</f>
        <v/>
      </c>
      <c r="P94" s="41" t="n"/>
      <c r="Q94" s="41" t="n"/>
      <c r="R94" s="41" t="n"/>
      <c r="S94" s="41" t="n"/>
      <c r="T94" s="41" t="n"/>
      <c r="U94" s="41" t="n"/>
      <c r="V94" s="41" t="n"/>
      <c r="W94" s="41" t="n"/>
      <c r="X94" s="41" t="n"/>
      <c r="Y94" s="41" t="n"/>
    </row>
    <row r="95" ht="28" customHeight="1" s="17">
      <c r="A95" s="37">
        <f>IF(COUNTA(C95:N95)=0,"",ROW()-4)</f>
        <v/>
      </c>
      <c r="B95" s="37">
        <f>IF(COUNTA(C95:N95)=0,"","qcu")</f>
        <v/>
      </c>
      <c r="C95" s="38" t="n"/>
      <c r="D95" s="38" t="n"/>
      <c r="E95" s="38" t="n"/>
      <c r="F95" s="38" t="n"/>
      <c r="G95" s="38" t="n"/>
      <c r="H95" s="38" t="n"/>
      <c r="I95" s="38" t="n"/>
      <c r="J95" s="38" t="n"/>
      <c r="K95" s="38" t="n"/>
      <c r="L95" s="38" t="n"/>
      <c r="M95" s="39" t="n"/>
      <c r="N95" s="40" t="n"/>
      <c r="O95" s="37">
        <f>IF(COUNTA(C95:N95)=0,"",IF(D95="","Erreur : question manquante",IF((IF(E95="",0,1)+IF(F95="",0,1)+IF(G95="",0,1)+IF(H95="",0,1)+IF(I95="",0,1)+IF(J95="",0,1)+IF(K95="",0,1)+IF(L95="",0,1))&lt;2,"Erreur : au moins 2 réponses",IF(M95="","Erreur : bonne réponse manquante",IF(NOT(ISNUMBER(N95)),"Erreur : pondération numérique",IF(N95&lt;=0,"Erreur : pondération &gt; 0",IF(ISNUMBER(SEARCH(";",M95&amp;"")),"Erreur : QCU = 1 seule bonne réponse",IFERROR(IF(OR(VALUE(M95)&lt;1,VALUE(M95)&gt;8,VALUE(M95)&lt;&gt;INT(VALUE(M95))),"Erreur : bonne réponse 1-8",IF(INDEX(E95:L95,1,VALUE(M95))="","Erreur : réponse correcte vide","OK")),"Erreur : bonne réponse 1-8"))))))))</f>
        <v/>
      </c>
      <c r="P95" s="41" t="n"/>
      <c r="Q95" s="41" t="n"/>
      <c r="R95" s="41" t="n"/>
      <c r="S95" s="41" t="n"/>
      <c r="T95" s="41" t="n"/>
      <c r="U95" s="41" t="n"/>
      <c r="V95" s="41" t="n"/>
      <c r="W95" s="41" t="n"/>
      <c r="X95" s="41" t="n"/>
      <c r="Y95" s="41" t="n"/>
    </row>
    <row r="96" ht="28" customHeight="1" s="17">
      <c r="A96" s="37">
        <f>IF(COUNTA(C96:N96)=0,"",ROW()-4)</f>
        <v/>
      </c>
      <c r="B96" s="37">
        <f>IF(COUNTA(C96:N96)=0,"","qcu")</f>
        <v/>
      </c>
      <c r="C96" s="38" t="n"/>
      <c r="D96" s="38" t="n"/>
      <c r="E96" s="38" t="n"/>
      <c r="F96" s="38" t="n"/>
      <c r="G96" s="38" t="n"/>
      <c r="H96" s="38" t="n"/>
      <c r="I96" s="38" t="n"/>
      <c r="J96" s="38" t="n"/>
      <c r="K96" s="38" t="n"/>
      <c r="L96" s="38" t="n"/>
      <c r="M96" s="39" t="n"/>
      <c r="N96" s="40" t="n"/>
      <c r="O96" s="37">
        <f>IF(COUNTA(C96:N96)=0,"",IF(D96="","Erreur : question manquante",IF((IF(E96="",0,1)+IF(F96="",0,1)+IF(G96="",0,1)+IF(H96="",0,1)+IF(I96="",0,1)+IF(J96="",0,1)+IF(K96="",0,1)+IF(L96="",0,1))&lt;2,"Erreur : au moins 2 réponses",IF(M96="","Erreur : bonne réponse manquante",IF(NOT(ISNUMBER(N96)),"Erreur : pondération numérique",IF(N96&lt;=0,"Erreur : pondération &gt; 0",IF(ISNUMBER(SEARCH(";",M96&amp;"")),"Erreur : QCU = 1 seule bonne réponse",IFERROR(IF(OR(VALUE(M96)&lt;1,VALUE(M96)&gt;8,VALUE(M96)&lt;&gt;INT(VALUE(M96))),"Erreur : bonne réponse 1-8",IF(INDEX(E96:L96,1,VALUE(M96))="","Erreur : réponse correcte vide","OK")),"Erreur : bonne réponse 1-8"))))))))</f>
        <v/>
      </c>
      <c r="P96" s="41" t="n"/>
      <c r="Q96" s="41" t="n"/>
      <c r="R96" s="41" t="n"/>
      <c r="S96" s="41" t="n"/>
      <c r="T96" s="41" t="n"/>
      <c r="U96" s="41" t="n"/>
      <c r="V96" s="41" t="n"/>
      <c r="W96" s="41" t="n"/>
      <c r="X96" s="41" t="n"/>
      <c r="Y96" s="41" t="n"/>
    </row>
    <row r="97" ht="28" customHeight="1" s="17">
      <c r="A97" s="37">
        <f>IF(COUNTA(C97:N97)=0,"",ROW()-4)</f>
        <v/>
      </c>
      <c r="B97" s="37">
        <f>IF(COUNTA(C97:N97)=0,"","qcu")</f>
        <v/>
      </c>
      <c r="C97" s="38" t="n"/>
      <c r="D97" s="38" t="n"/>
      <c r="E97" s="38" t="n"/>
      <c r="F97" s="38" t="n"/>
      <c r="G97" s="38" t="n"/>
      <c r="H97" s="38" t="n"/>
      <c r="I97" s="38" t="n"/>
      <c r="J97" s="38" t="n"/>
      <c r="K97" s="38" t="n"/>
      <c r="L97" s="38" t="n"/>
      <c r="M97" s="39" t="n"/>
      <c r="N97" s="40" t="n"/>
      <c r="O97" s="37">
        <f>IF(COUNTA(C97:N97)=0,"",IF(D97="","Erreur : question manquante",IF((IF(E97="",0,1)+IF(F97="",0,1)+IF(G97="",0,1)+IF(H97="",0,1)+IF(I97="",0,1)+IF(J97="",0,1)+IF(K97="",0,1)+IF(L97="",0,1))&lt;2,"Erreur : au moins 2 réponses",IF(M97="","Erreur : bonne réponse manquante",IF(NOT(ISNUMBER(N97)),"Erreur : pondération numérique",IF(N97&lt;=0,"Erreur : pondération &gt; 0",IF(ISNUMBER(SEARCH(";",M97&amp;"")),"Erreur : QCU = 1 seule bonne réponse",IFERROR(IF(OR(VALUE(M97)&lt;1,VALUE(M97)&gt;8,VALUE(M97)&lt;&gt;INT(VALUE(M97))),"Erreur : bonne réponse 1-8",IF(INDEX(E97:L97,1,VALUE(M97))="","Erreur : réponse correcte vide","OK")),"Erreur : bonne réponse 1-8"))))))))</f>
        <v/>
      </c>
      <c r="P97" s="41" t="n"/>
      <c r="Q97" s="41" t="n"/>
      <c r="R97" s="41" t="n"/>
      <c r="S97" s="41" t="n"/>
      <c r="T97" s="41" t="n"/>
      <c r="U97" s="41" t="n"/>
      <c r="V97" s="41" t="n"/>
      <c r="W97" s="41" t="n"/>
      <c r="X97" s="41" t="n"/>
      <c r="Y97" s="41" t="n"/>
    </row>
    <row r="98" ht="28" customHeight="1" s="17">
      <c r="A98" s="37">
        <f>IF(COUNTA(C98:N98)=0,"",ROW()-4)</f>
        <v/>
      </c>
      <c r="B98" s="37">
        <f>IF(COUNTA(C98:N98)=0,"","qcu")</f>
        <v/>
      </c>
      <c r="C98" s="38" t="n"/>
      <c r="D98" s="38" t="n"/>
      <c r="E98" s="38" t="n"/>
      <c r="F98" s="38" t="n"/>
      <c r="G98" s="38" t="n"/>
      <c r="H98" s="38" t="n"/>
      <c r="I98" s="38" t="n"/>
      <c r="J98" s="38" t="n"/>
      <c r="K98" s="38" t="n"/>
      <c r="L98" s="38" t="n"/>
      <c r="M98" s="39" t="n"/>
      <c r="N98" s="40" t="n"/>
      <c r="O98" s="37">
        <f>IF(COUNTA(C98:N98)=0,"",IF(D98="","Erreur : question manquante",IF((IF(E98="",0,1)+IF(F98="",0,1)+IF(G98="",0,1)+IF(H98="",0,1)+IF(I98="",0,1)+IF(J98="",0,1)+IF(K98="",0,1)+IF(L98="",0,1))&lt;2,"Erreur : au moins 2 réponses",IF(M98="","Erreur : bonne réponse manquante",IF(NOT(ISNUMBER(N98)),"Erreur : pondération numérique",IF(N98&lt;=0,"Erreur : pondération &gt; 0",IF(ISNUMBER(SEARCH(";",M98&amp;"")),"Erreur : QCU = 1 seule bonne réponse",IFERROR(IF(OR(VALUE(M98)&lt;1,VALUE(M98)&gt;8,VALUE(M98)&lt;&gt;INT(VALUE(M98))),"Erreur : bonne réponse 1-8",IF(INDEX(E98:L98,1,VALUE(M98))="","Erreur : réponse correcte vide","OK")),"Erreur : bonne réponse 1-8"))))))))</f>
        <v/>
      </c>
      <c r="P98" s="41" t="n"/>
      <c r="Q98" s="41" t="n"/>
      <c r="R98" s="41" t="n"/>
      <c r="S98" s="41" t="n"/>
      <c r="T98" s="41" t="n"/>
      <c r="U98" s="41" t="n"/>
      <c r="V98" s="41" t="n"/>
      <c r="W98" s="41" t="n"/>
      <c r="X98" s="41" t="n"/>
      <c r="Y98" s="41" t="n"/>
    </row>
    <row r="99" ht="28" customHeight="1" s="17">
      <c r="A99" s="37">
        <f>IF(COUNTA(C99:N99)=0,"",ROW()-4)</f>
        <v/>
      </c>
      <c r="B99" s="37">
        <f>IF(COUNTA(C99:N99)=0,"","qcu")</f>
        <v/>
      </c>
      <c r="C99" s="38" t="n"/>
      <c r="D99" s="38" t="n"/>
      <c r="E99" s="38" t="n"/>
      <c r="F99" s="38" t="n"/>
      <c r="G99" s="38" t="n"/>
      <c r="H99" s="38" t="n"/>
      <c r="I99" s="38" t="n"/>
      <c r="J99" s="38" t="n"/>
      <c r="K99" s="38" t="n"/>
      <c r="L99" s="38" t="n"/>
      <c r="M99" s="39" t="n"/>
      <c r="N99" s="40" t="n"/>
      <c r="O99" s="37">
        <f>IF(COUNTA(C99:N99)=0,"",IF(D99="","Erreur : question manquante",IF((IF(E99="",0,1)+IF(F99="",0,1)+IF(G99="",0,1)+IF(H99="",0,1)+IF(I99="",0,1)+IF(J99="",0,1)+IF(K99="",0,1)+IF(L99="",0,1))&lt;2,"Erreur : au moins 2 réponses",IF(M99="","Erreur : bonne réponse manquante",IF(NOT(ISNUMBER(N99)),"Erreur : pondération numérique",IF(N99&lt;=0,"Erreur : pondération &gt; 0",IF(ISNUMBER(SEARCH(";",M99&amp;"")),"Erreur : QCU = 1 seule bonne réponse",IFERROR(IF(OR(VALUE(M99)&lt;1,VALUE(M99)&gt;8,VALUE(M99)&lt;&gt;INT(VALUE(M99))),"Erreur : bonne réponse 1-8",IF(INDEX(E99:L99,1,VALUE(M99))="","Erreur : réponse correcte vide","OK")),"Erreur : bonne réponse 1-8"))))))))</f>
        <v/>
      </c>
      <c r="P99" s="41" t="n"/>
      <c r="Q99" s="41" t="n"/>
      <c r="R99" s="41" t="n"/>
      <c r="S99" s="41" t="n"/>
      <c r="T99" s="41" t="n"/>
      <c r="U99" s="41" t="n"/>
      <c r="V99" s="41" t="n"/>
      <c r="W99" s="41" t="n"/>
      <c r="X99" s="41" t="n"/>
      <c r="Y99" s="41" t="n"/>
    </row>
    <row r="100" ht="28" customHeight="1" s="17">
      <c r="A100" s="37">
        <f>IF(COUNTA(C100:N100)=0,"",ROW()-4)</f>
        <v/>
      </c>
      <c r="B100" s="37">
        <f>IF(COUNTA(C100:N100)=0,"","qcu")</f>
        <v/>
      </c>
      <c r="C100" s="38" t="n"/>
      <c r="D100" s="38" t="n"/>
      <c r="E100" s="38" t="n"/>
      <c r="F100" s="38" t="n"/>
      <c r="G100" s="38" t="n"/>
      <c r="H100" s="38" t="n"/>
      <c r="I100" s="38" t="n"/>
      <c r="J100" s="38" t="n"/>
      <c r="K100" s="38" t="n"/>
      <c r="L100" s="38" t="n"/>
      <c r="M100" s="39" t="n"/>
      <c r="N100" s="40" t="n"/>
      <c r="O100" s="37">
        <f>IF(COUNTA(C100:N100)=0,"",IF(D100="","Erreur : question manquante",IF((IF(E100="",0,1)+IF(F100="",0,1)+IF(G100="",0,1)+IF(H100="",0,1)+IF(I100="",0,1)+IF(J100="",0,1)+IF(K100="",0,1)+IF(L100="",0,1))&lt;2,"Erreur : au moins 2 réponses",IF(M100="","Erreur : bonne réponse manquante",IF(NOT(ISNUMBER(N100)),"Erreur : pondération numérique",IF(N100&lt;=0,"Erreur : pondération &gt; 0",IF(ISNUMBER(SEARCH(";",M100&amp;"")),"Erreur : QCU = 1 seule bonne réponse",IFERROR(IF(OR(VALUE(M100)&lt;1,VALUE(M100)&gt;8,VALUE(M100)&lt;&gt;INT(VALUE(M100))),"Erreur : bonne réponse 1-8",IF(INDEX(E100:L100,1,VALUE(M100))="","Erreur : réponse correcte vide","OK")),"Erreur : bonne réponse 1-8"))))))))</f>
        <v/>
      </c>
      <c r="P100" s="41" t="n"/>
      <c r="Q100" s="41" t="n"/>
      <c r="R100" s="41" t="n"/>
      <c r="S100" s="41" t="n"/>
      <c r="T100" s="41" t="n"/>
      <c r="U100" s="41" t="n"/>
      <c r="V100" s="41" t="n"/>
      <c r="W100" s="41" t="n"/>
      <c r="X100" s="41" t="n"/>
      <c r="Y100" s="41" t="n"/>
    </row>
    <row r="101" ht="28" customHeight="1" s="17">
      <c r="A101" s="37">
        <f>IF(COUNTA(C101:N101)=0,"",ROW()-4)</f>
        <v/>
      </c>
      <c r="B101" s="37">
        <f>IF(COUNTA(C101:N101)=0,"","qcu")</f>
        <v/>
      </c>
      <c r="C101" s="38" t="n"/>
      <c r="D101" s="38" t="n"/>
      <c r="E101" s="38" t="n"/>
      <c r="F101" s="38" t="n"/>
      <c r="G101" s="38" t="n"/>
      <c r="H101" s="38" t="n"/>
      <c r="I101" s="38" t="n"/>
      <c r="J101" s="38" t="n"/>
      <c r="K101" s="38" t="n"/>
      <c r="L101" s="38" t="n"/>
      <c r="M101" s="39" t="n"/>
      <c r="N101" s="40" t="n"/>
      <c r="O101" s="37">
        <f>IF(COUNTA(C101:N101)=0,"",IF(D101="","Erreur : question manquante",IF((IF(E101="",0,1)+IF(F101="",0,1)+IF(G101="",0,1)+IF(H101="",0,1)+IF(I101="",0,1)+IF(J101="",0,1)+IF(K101="",0,1)+IF(L101="",0,1))&lt;2,"Erreur : au moins 2 réponses",IF(M101="","Erreur : bonne réponse manquante",IF(NOT(ISNUMBER(N101)),"Erreur : pondération numérique",IF(N101&lt;=0,"Erreur : pondération &gt; 0",IF(ISNUMBER(SEARCH(";",M101&amp;"")),"Erreur : QCU = 1 seule bonne réponse",IFERROR(IF(OR(VALUE(M101)&lt;1,VALUE(M101)&gt;8,VALUE(M101)&lt;&gt;INT(VALUE(M101))),"Erreur : bonne réponse 1-8",IF(INDEX(E101:L101,1,VALUE(M101))="","Erreur : réponse correcte vide","OK")),"Erreur : bonne réponse 1-8"))))))))</f>
        <v/>
      </c>
      <c r="P101" s="41" t="n"/>
      <c r="Q101" s="41" t="n"/>
      <c r="R101" s="41" t="n"/>
      <c r="S101" s="41" t="n"/>
      <c r="T101" s="41" t="n"/>
      <c r="U101" s="41" t="n"/>
      <c r="V101" s="41" t="n"/>
      <c r="W101" s="41" t="n"/>
      <c r="X101" s="41" t="n"/>
      <c r="Y101" s="41" t="n"/>
    </row>
    <row r="102" ht="28" customHeight="1" s="17">
      <c r="A102" s="37">
        <f>IF(COUNTA(C102:N102)=0,"",ROW()-4)</f>
        <v/>
      </c>
      <c r="B102" s="37">
        <f>IF(COUNTA(C102:N102)=0,"","qcu")</f>
        <v/>
      </c>
      <c r="C102" s="38" t="n"/>
      <c r="D102" s="38" t="n"/>
      <c r="E102" s="38" t="n"/>
      <c r="F102" s="38" t="n"/>
      <c r="G102" s="38" t="n"/>
      <c r="H102" s="38" t="n"/>
      <c r="I102" s="38" t="n"/>
      <c r="J102" s="38" t="n"/>
      <c r="K102" s="38" t="n"/>
      <c r="L102" s="38" t="n"/>
      <c r="M102" s="39" t="n"/>
      <c r="N102" s="40" t="n"/>
      <c r="O102" s="37">
        <f>IF(COUNTA(C102:N102)=0,"",IF(D102="","Erreur : question manquante",IF((IF(E102="",0,1)+IF(F102="",0,1)+IF(G102="",0,1)+IF(H102="",0,1)+IF(I102="",0,1)+IF(J102="",0,1)+IF(K102="",0,1)+IF(L102="",0,1))&lt;2,"Erreur : au moins 2 réponses",IF(M102="","Erreur : bonne réponse manquante",IF(NOT(ISNUMBER(N102)),"Erreur : pondération numérique",IF(N102&lt;=0,"Erreur : pondération &gt; 0",IF(ISNUMBER(SEARCH(";",M102&amp;"")),"Erreur : QCU = 1 seule bonne réponse",IFERROR(IF(OR(VALUE(M102)&lt;1,VALUE(M102)&gt;8,VALUE(M102)&lt;&gt;INT(VALUE(M102))),"Erreur : bonne réponse 1-8",IF(INDEX(E102:L102,1,VALUE(M102))="","Erreur : réponse correcte vide","OK")),"Erreur : bonne réponse 1-8"))))))))</f>
        <v/>
      </c>
      <c r="P102" s="41" t="n"/>
      <c r="Q102" s="41" t="n"/>
      <c r="R102" s="41" t="n"/>
      <c r="S102" s="41" t="n"/>
      <c r="T102" s="41" t="n"/>
      <c r="U102" s="41" t="n"/>
      <c r="V102" s="41" t="n"/>
      <c r="W102" s="41" t="n"/>
      <c r="X102" s="41" t="n"/>
      <c r="Y102" s="41" t="n"/>
    </row>
    <row r="103" ht="28" customHeight="1" s="17">
      <c r="A103" s="37">
        <f>IF(COUNTA(C103:N103)=0,"",ROW()-4)</f>
        <v/>
      </c>
      <c r="B103" s="37">
        <f>IF(COUNTA(C103:N103)=0,"","qcu")</f>
        <v/>
      </c>
      <c r="C103" s="38" t="n"/>
      <c r="D103" s="38" t="n"/>
      <c r="E103" s="38" t="n"/>
      <c r="F103" s="38" t="n"/>
      <c r="G103" s="38" t="n"/>
      <c r="H103" s="38" t="n"/>
      <c r="I103" s="38" t="n"/>
      <c r="J103" s="38" t="n"/>
      <c r="K103" s="38" t="n"/>
      <c r="L103" s="38" t="n"/>
      <c r="M103" s="39" t="n"/>
      <c r="N103" s="40" t="n"/>
      <c r="O103" s="37">
        <f>IF(COUNTA(C103:N103)=0,"",IF(D103="","Erreur : question manquante",IF((IF(E103="",0,1)+IF(F103="",0,1)+IF(G103="",0,1)+IF(H103="",0,1)+IF(I103="",0,1)+IF(J103="",0,1)+IF(K103="",0,1)+IF(L103="",0,1))&lt;2,"Erreur : au moins 2 réponses",IF(M103="","Erreur : bonne réponse manquante",IF(NOT(ISNUMBER(N103)),"Erreur : pondération numérique",IF(N103&lt;=0,"Erreur : pondération &gt; 0",IF(ISNUMBER(SEARCH(";",M103&amp;"")),"Erreur : QCU = 1 seule bonne réponse",IFERROR(IF(OR(VALUE(M103)&lt;1,VALUE(M103)&gt;8,VALUE(M103)&lt;&gt;INT(VALUE(M103))),"Erreur : bonne réponse 1-8",IF(INDEX(E103:L103,1,VALUE(M103))="","Erreur : réponse correcte vide","OK")),"Erreur : bonne réponse 1-8"))))))))</f>
        <v/>
      </c>
      <c r="P103" s="41" t="n"/>
      <c r="Q103" s="41" t="n"/>
      <c r="R103" s="41" t="n"/>
      <c r="S103" s="41" t="n"/>
      <c r="T103" s="41" t="n"/>
      <c r="U103" s="41" t="n"/>
      <c r="V103" s="41" t="n"/>
      <c r="W103" s="41" t="n"/>
      <c r="X103" s="41" t="n"/>
      <c r="Y103" s="41" t="n"/>
    </row>
    <row r="104" ht="28" customHeight="1" s="17">
      <c r="A104" s="37">
        <f>IF(COUNTA(C104:N104)=0,"",ROW()-4)</f>
        <v/>
      </c>
      <c r="B104" s="37">
        <f>IF(COUNTA(C104:N104)=0,"","qcu")</f>
        <v/>
      </c>
      <c r="C104" s="38" t="n"/>
      <c r="D104" s="38" t="n"/>
      <c r="E104" s="38" t="n"/>
      <c r="F104" s="38" t="n"/>
      <c r="G104" s="38" t="n"/>
      <c r="H104" s="38" t="n"/>
      <c r="I104" s="38" t="n"/>
      <c r="J104" s="38" t="n"/>
      <c r="K104" s="38" t="n"/>
      <c r="L104" s="38" t="n"/>
      <c r="M104" s="39" t="n"/>
      <c r="N104" s="40" t="n"/>
      <c r="O104" s="37">
        <f>IF(COUNTA(C104:N104)=0,"",IF(D104="","Erreur : question manquante",IF((IF(E104="",0,1)+IF(F104="",0,1)+IF(G104="",0,1)+IF(H104="",0,1)+IF(I104="",0,1)+IF(J104="",0,1)+IF(K104="",0,1)+IF(L104="",0,1))&lt;2,"Erreur : au moins 2 réponses",IF(M104="","Erreur : bonne réponse manquante",IF(NOT(ISNUMBER(N104)),"Erreur : pondération numérique",IF(N104&lt;=0,"Erreur : pondération &gt; 0",IF(ISNUMBER(SEARCH(";",M104&amp;"")),"Erreur : QCU = 1 seule bonne réponse",IFERROR(IF(OR(VALUE(M104)&lt;1,VALUE(M104)&gt;8,VALUE(M104)&lt;&gt;INT(VALUE(M104))),"Erreur : bonne réponse 1-8",IF(INDEX(E104:L104,1,VALUE(M104))="","Erreur : réponse correcte vide","OK")),"Erreur : bonne réponse 1-8"))))))))</f>
        <v/>
      </c>
      <c r="P104" s="41" t="n"/>
      <c r="Q104" s="41" t="n"/>
      <c r="R104" s="41" t="n"/>
      <c r="S104" s="41" t="n"/>
      <c r="T104" s="41" t="n"/>
      <c r="U104" s="41" t="n"/>
      <c r="V104" s="41" t="n"/>
      <c r="W104" s="41" t="n"/>
      <c r="X104" s="41" t="n"/>
      <c r="Y104" s="41" t="n"/>
    </row>
    <row r="105" ht="18" customHeight="1" s="17"/>
    <row r="106" ht="18" customHeight="1" s="17"/>
    <row r="107" ht="18" customHeight="1" s="17"/>
    <row r="108" ht="18" customHeight="1" s="17"/>
    <row r="109" ht="18" customHeight="1" s="17"/>
    <row r="110" ht="18" customHeight="1" s="17"/>
    <row r="111" ht="18" customHeight="1" s="17"/>
    <row r="112" ht="18" customHeight="1" s="17"/>
    <row r="113" ht="18" customHeight="1" s="17"/>
    <row r="114" ht="18" customHeight="1" s="17"/>
    <row r="115" ht="18" customHeight="1" s="17"/>
    <row r="116" ht="18" customHeight="1" s="17"/>
    <row r="117" ht="18" customHeight="1" s="17"/>
    <row r="118" ht="18" customHeight="1" s="17"/>
    <row r="119" ht="18" customHeight="1" s="17"/>
    <row r="120" ht="18" customHeight="1" s="17"/>
    <row r="121" ht="18" customHeight="1" s="17"/>
    <row r="122" ht="18" customHeight="1" s="17"/>
    <row r="123" ht="18" customHeight="1" s="17"/>
    <row r="124" ht="18" customHeight="1" s="17"/>
    <row r="125" ht="18" customHeight="1" s="17"/>
    <row r="126" ht="18" customHeight="1" s="17"/>
    <row r="127" ht="18" customHeight="1" s="17"/>
    <row r="128" ht="18" customHeight="1" s="17"/>
    <row r="129" ht="18" customHeight="1" s="17"/>
    <row r="130" ht="18" customHeight="1" s="17"/>
    <row r="131" ht="18" customHeight="1" s="17"/>
    <row r="132" ht="18" customHeight="1" s="17"/>
    <row r="133" ht="18" customHeight="1" s="17"/>
    <row r="134" ht="18" customHeight="1" s="17"/>
    <row r="135" ht="18" customHeight="1" s="17"/>
    <row r="136" ht="18" customHeight="1" s="17"/>
    <row r="137" ht="18" customHeight="1" s="17"/>
    <row r="138" ht="18" customHeight="1" s="17"/>
    <row r="139" ht="18" customHeight="1" s="17"/>
    <row r="140" ht="18" customHeight="1" s="17"/>
    <row r="141" ht="18" customHeight="1" s="17"/>
    <row r="142" ht="18" customHeight="1" s="17"/>
    <row r="143" ht="18" customHeight="1" s="17"/>
    <row r="144" ht="18" customHeight="1" s="17"/>
    <row r="145" ht="18" customHeight="1" s="17"/>
    <row r="146" ht="18" customHeight="1" s="17"/>
    <row r="147" ht="18" customHeight="1" s="17"/>
    <row r="148" ht="18" customHeight="1" s="17"/>
    <row r="149" ht="18" customHeight="1" s="17"/>
    <row r="150" ht="18" customHeight="1" s="17"/>
    <row r="151" ht="18" customHeight="1" s="17"/>
    <row r="152" ht="18" customHeight="1" s="17"/>
    <row r="153" ht="18" customHeight="1" s="17"/>
    <row r="154" ht="18" customHeight="1" s="17"/>
    <row r="155" ht="18" customHeight="1" s="17"/>
    <row r="156" ht="18" customHeight="1" s="17"/>
    <row r="157" ht="18" customHeight="1" s="17"/>
    <row r="158" ht="18" customHeight="1" s="17"/>
    <row r="159" ht="18" customHeight="1" s="17"/>
    <row r="160" ht="18" customHeight="1" s="17"/>
    <row r="161" ht="18" customHeight="1" s="17"/>
    <row r="162" ht="18" customHeight="1" s="17"/>
    <row r="163" ht="18" customHeight="1" s="17"/>
    <row r="164" ht="18" customHeight="1" s="17"/>
    <row r="165" ht="18" customHeight="1" s="17"/>
    <row r="166" ht="18" customHeight="1" s="17"/>
    <row r="167" ht="18" customHeight="1" s="17"/>
    <row r="168" ht="18" customHeight="1" s="17"/>
    <row r="169" ht="18" customHeight="1" s="17"/>
    <row r="170" ht="18" customHeight="1" s="17"/>
    <row r="171" ht="18" customHeight="1" s="17"/>
    <row r="172" ht="18" customHeight="1" s="17"/>
    <row r="173" ht="18" customHeight="1" s="17"/>
    <row r="174" ht="18" customHeight="1" s="17"/>
    <row r="175" ht="18" customHeight="1" s="17"/>
    <row r="176" ht="18" customHeight="1" s="17"/>
    <row r="177" ht="18" customHeight="1" s="17"/>
    <row r="178" ht="18" customHeight="1" s="17"/>
    <row r="179" ht="18" customHeight="1" s="17"/>
    <row r="180" ht="18" customHeight="1" s="17"/>
    <row r="181" ht="18" customHeight="1" s="17"/>
    <row r="182" ht="18" customHeight="1" s="17"/>
    <row r="183" ht="18" customHeight="1" s="17"/>
    <row r="184" ht="18" customHeight="1" s="17"/>
    <row r="185" ht="18" customHeight="1" s="17"/>
    <row r="186" ht="18" customHeight="1" s="17"/>
    <row r="187" ht="18" customHeight="1" s="17"/>
    <row r="188" ht="18" customHeight="1" s="17"/>
    <row r="189" ht="18" customHeight="1" s="17"/>
    <row r="190" ht="18" customHeight="1" s="17"/>
    <row r="191" ht="18" customHeight="1" s="17"/>
    <row r="192" ht="18" customHeight="1" s="17"/>
    <row r="193" ht="18" customHeight="1" s="17"/>
    <row r="194" ht="18" customHeight="1" s="17"/>
    <row r="195" ht="18" customHeight="1" s="17"/>
    <row r="196" ht="18" customHeight="1" s="17"/>
    <row r="197" ht="18" customHeight="1" s="17"/>
    <row r="198" ht="18" customHeight="1" s="17"/>
    <row r="199" ht="18" customHeight="1" s="17"/>
    <row r="200" ht="18" customHeight="1" s="17"/>
    <row r="201" ht="18" customHeight="1" s="17"/>
    <row r="202" ht="18" customHeight="1" s="17"/>
    <row r="203" ht="18" customHeight="1" s="17"/>
    <row r="204" ht="18" customHeight="1" s="17"/>
    <row r="205" ht="18" customHeight="1" s="17"/>
    <row r="206" ht="18" customHeight="1" s="17"/>
    <row r="207" ht="18" customHeight="1" s="17"/>
    <row r="208" ht="18" customHeight="1" s="17"/>
    <row r="209" ht="18" customHeight="1" s="17"/>
    <row r="210" ht="18" customHeight="1" s="17"/>
    <row r="211" ht="18" customHeight="1" s="17"/>
    <row r="212" ht="18" customHeight="1" s="17"/>
    <row r="213" ht="18" customHeight="1" s="17"/>
    <row r="214" ht="18" customHeight="1" s="17"/>
    <row r="215" ht="18" customHeight="1" s="17"/>
    <row r="216" ht="18" customHeight="1" s="17"/>
    <row r="217" ht="18" customHeight="1" s="17"/>
    <row r="218" ht="18" customHeight="1" s="17"/>
    <row r="219" ht="18" customHeight="1" s="17"/>
    <row r="220" ht="18" customHeight="1" s="17"/>
    <row r="221" ht="18" customHeight="1" s="17"/>
    <row r="222" ht="18" customHeight="1" s="17"/>
    <row r="223" ht="18" customHeight="1" s="17"/>
    <row r="224" ht="18" customHeight="1" s="17"/>
    <row r="225" ht="18" customHeight="1" s="17"/>
    <row r="226" ht="18" customHeight="1" s="17"/>
    <row r="227" ht="18" customHeight="1" s="17"/>
    <row r="228" ht="18" customHeight="1" s="17"/>
    <row r="229" ht="18" customHeight="1" s="17"/>
    <row r="230" ht="18" customHeight="1" s="17"/>
    <row r="231" ht="18" customHeight="1" s="17"/>
    <row r="232" ht="18" customHeight="1" s="17"/>
    <row r="233" ht="18" customHeight="1" s="17"/>
    <row r="234" ht="18" customHeight="1" s="17"/>
    <row r="235" ht="18" customHeight="1" s="17"/>
    <row r="236" ht="18" customHeight="1" s="17"/>
    <row r="237" ht="18" customHeight="1" s="17"/>
    <row r="238" ht="18" customHeight="1" s="17"/>
    <row r="239" ht="18" customHeight="1" s="17"/>
    <row r="240" ht="18" customHeight="1" s="17"/>
    <row r="241" ht="18" customHeight="1" s="17"/>
    <row r="242" ht="18" customHeight="1" s="17"/>
    <row r="243" ht="18" customHeight="1" s="17"/>
    <row r="244" ht="18" customHeight="1" s="17"/>
    <row r="245" ht="18" customHeight="1" s="17"/>
    <row r="246" ht="18" customHeight="1" s="17"/>
    <row r="247" ht="18" customHeight="1" s="17"/>
    <row r="248" ht="18" customHeight="1" s="17"/>
    <row r="249" ht="18" customHeight="1" s="17"/>
    <row r="250" ht="18" customHeight="1" s="17"/>
    <row r="251" ht="18" customHeight="1" s="17"/>
    <row r="252" ht="18" customHeight="1" s="17"/>
    <row r="253" ht="18" customHeight="1" s="17"/>
    <row r="254" ht="18" customHeight="1" s="17"/>
    <row r="255" ht="18" customHeight="1" s="17"/>
    <row r="256" ht="18" customHeight="1" s="17"/>
    <row r="257" ht="18" customHeight="1" s="17"/>
    <row r="258" ht="18" customHeight="1" s="17"/>
    <row r="259" ht="18" customHeight="1" s="17"/>
    <row r="260" ht="18" customHeight="1" s="17"/>
    <row r="261" ht="18" customHeight="1" s="17"/>
    <row r="262" ht="18" customHeight="1" s="17"/>
    <row r="263" ht="18" customHeight="1" s="17"/>
    <row r="264" ht="18" customHeight="1" s="17"/>
    <row r="265" ht="18" customHeight="1" s="17"/>
    <row r="266" ht="18" customHeight="1" s="17"/>
    <row r="267" ht="18" customHeight="1" s="17"/>
    <row r="268" ht="18" customHeight="1" s="17"/>
    <row r="269" ht="18" customHeight="1" s="17"/>
    <row r="270" ht="18" customHeight="1" s="17"/>
    <row r="271" ht="18" customHeight="1" s="17"/>
    <row r="272" ht="18" customHeight="1" s="17"/>
    <row r="273" ht="18" customHeight="1" s="17"/>
    <row r="274" ht="18" customHeight="1" s="17"/>
    <row r="275" ht="18" customHeight="1" s="17"/>
    <row r="276" ht="18" customHeight="1" s="17"/>
    <row r="277" ht="18" customHeight="1" s="17"/>
    <row r="278" ht="18" customHeight="1" s="17"/>
    <row r="279" ht="18" customHeight="1" s="17"/>
    <row r="280" ht="18" customHeight="1" s="17"/>
    <row r="281" ht="18" customHeight="1" s="17"/>
    <row r="282" ht="18" customHeight="1" s="17"/>
    <row r="283" ht="18" customHeight="1" s="17"/>
    <row r="284" ht="18" customHeight="1" s="17"/>
    <row r="285" ht="18" customHeight="1" s="17"/>
    <row r="286" ht="18" customHeight="1" s="17"/>
    <row r="287" ht="18" customHeight="1" s="17"/>
    <row r="288" ht="18" customHeight="1" s="17"/>
    <row r="289" ht="18" customHeight="1" s="17"/>
    <row r="290" ht="18" customHeight="1" s="17"/>
    <row r="291" ht="18" customHeight="1" s="17"/>
    <row r="292" ht="18" customHeight="1" s="17"/>
    <row r="293" ht="18" customHeight="1" s="17"/>
    <row r="294" ht="18" customHeight="1" s="17"/>
    <row r="295" ht="18" customHeight="1" s="17"/>
    <row r="296" ht="18" customHeight="1" s="17"/>
    <row r="297" ht="18" customHeight="1" s="17"/>
    <row r="298" ht="18" customHeight="1" s="17"/>
    <row r="299" ht="18" customHeight="1" s="17"/>
    <row r="300" ht="18" customHeight="1" s="17"/>
    <row r="301" ht="18" customHeight="1" s="17"/>
    <row r="302" ht="18" customHeight="1" s="17"/>
    <row r="303" ht="18" customHeight="1" s="17"/>
    <row r="304" ht="18" customHeight="1" s="17"/>
    <row r="305" ht="18" customHeight="1" s="17"/>
    <row r="306" ht="18" customHeight="1" s="17"/>
    <row r="307" ht="18" customHeight="1" s="17"/>
    <row r="308" ht="18" customHeight="1" s="17"/>
    <row r="309" ht="18" customHeight="1" s="17"/>
    <row r="310" ht="18" customHeight="1" s="17"/>
    <row r="311" ht="18" customHeight="1" s="17"/>
    <row r="312" ht="18" customHeight="1" s="17"/>
    <row r="313" ht="18" customHeight="1" s="17"/>
    <row r="314" ht="18" customHeight="1" s="17"/>
    <row r="315" ht="18" customHeight="1" s="17"/>
    <row r="316" ht="18" customHeight="1" s="17"/>
    <row r="317" ht="18" customHeight="1" s="17"/>
    <row r="318" ht="18" customHeight="1" s="17"/>
    <row r="319" ht="18" customHeight="1" s="17"/>
    <row r="320" ht="18" customHeight="1" s="17"/>
    <row r="321" ht="18" customHeight="1" s="17"/>
    <row r="322" ht="18" customHeight="1" s="17"/>
    <row r="323" ht="18" customHeight="1" s="17"/>
    <row r="324" ht="18" customHeight="1" s="17"/>
    <row r="325" ht="18" customHeight="1" s="17"/>
    <row r="326" ht="18" customHeight="1" s="17"/>
    <row r="327" ht="18" customHeight="1" s="17"/>
    <row r="328" ht="18" customHeight="1" s="17"/>
    <row r="329" ht="18" customHeight="1" s="17"/>
    <row r="330" ht="18" customHeight="1" s="17"/>
    <row r="331" ht="18" customHeight="1" s="17"/>
    <row r="332" ht="18" customHeight="1" s="17"/>
    <row r="333" ht="18" customHeight="1" s="17"/>
    <row r="334" ht="18" customHeight="1" s="17"/>
    <row r="335" ht="18" customHeight="1" s="17"/>
    <row r="336" ht="18" customHeight="1" s="17"/>
    <row r="337" ht="18" customHeight="1" s="17"/>
    <row r="338" ht="18" customHeight="1" s="17"/>
    <row r="339" ht="18" customHeight="1" s="17"/>
    <row r="340" ht="18" customHeight="1" s="17"/>
    <row r="341" ht="18" customHeight="1" s="17"/>
    <row r="342" ht="18" customHeight="1" s="17"/>
    <row r="343" ht="18" customHeight="1" s="17"/>
    <row r="344" ht="18" customHeight="1" s="17"/>
    <row r="345" ht="18" customHeight="1" s="17"/>
    <row r="346" ht="18" customHeight="1" s="17"/>
    <row r="347" ht="18" customHeight="1" s="17"/>
    <row r="348" ht="18" customHeight="1" s="17"/>
    <row r="349" ht="18" customHeight="1" s="17"/>
    <row r="350" ht="18" customHeight="1" s="17"/>
    <row r="351" ht="18" customHeight="1" s="17"/>
    <row r="352" ht="18" customHeight="1" s="17"/>
    <row r="353" ht="18" customHeight="1" s="17"/>
    <row r="354" ht="18" customHeight="1" s="17"/>
    <row r="355" ht="18" customHeight="1" s="17"/>
    <row r="356" ht="18" customHeight="1" s="17"/>
    <row r="357" ht="18" customHeight="1" s="17"/>
    <row r="358" ht="18" customHeight="1" s="17"/>
    <row r="359" ht="18" customHeight="1" s="17"/>
    <row r="360" ht="18" customHeight="1" s="17"/>
    <row r="361" ht="18" customHeight="1" s="17"/>
    <row r="362" ht="18" customHeight="1" s="17"/>
    <row r="363" ht="18" customHeight="1" s="17"/>
    <row r="364" ht="18" customHeight="1" s="17"/>
    <row r="365" ht="18" customHeight="1" s="17"/>
    <row r="366" ht="18" customHeight="1" s="17"/>
    <row r="367" ht="18" customHeight="1" s="17"/>
    <row r="368" ht="18" customHeight="1" s="17"/>
    <row r="369" ht="18" customHeight="1" s="17"/>
    <row r="370" ht="18" customHeight="1" s="17"/>
    <row r="371" ht="18" customHeight="1" s="17"/>
    <row r="372" ht="18" customHeight="1" s="17"/>
    <row r="373" ht="18" customHeight="1" s="17"/>
    <row r="374" ht="18" customHeight="1" s="17"/>
    <row r="375" ht="18" customHeight="1" s="17"/>
    <row r="376" ht="18" customHeight="1" s="17"/>
    <row r="377" ht="18" customHeight="1" s="17"/>
    <row r="378" ht="18" customHeight="1" s="17"/>
    <row r="379" ht="18" customHeight="1" s="17"/>
    <row r="380" ht="18" customHeight="1" s="17"/>
    <row r="381" ht="18" customHeight="1" s="17"/>
    <row r="382" ht="18" customHeight="1" s="17"/>
    <row r="383" ht="18" customHeight="1" s="17"/>
    <row r="384" ht="18" customHeight="1" s="17"/>
    <row r="385" ht="18" customHeight="1" s="17"/>
    <row r="386" ht="18" customHeight="1" s="17"/>
    <row r="387" ht="18" customHeight="1" s="17"/>
    <row r="388" ht="18" customHeight="1" s="17"/>
    <row r="389" ht="18" customHeight="1" s="17"/>
    <row r="390" ht="18" customHeight="1" s="17"/>
    <row r="391" ht="18" customHeight="1" s="17"/>
    <row r="392" ht="18" customHeight="1" s="17"/>
    <row r="393" ht="18" customHeight="1" s="17"/>
    <row r="394" ht="18" customHeight="1" s="17"/>
    <row r="395" ht="18" customHeight="1" s="17"/>
    <row r="396" ht="18" customHeight="1" s="17"/>
    <row r="397" ht="18" customHeight="1" s="17"/>
    <row r="398" ht="18" customHeight="1" s="17"/>
    <row r="399" ht="18" customHeight="1" s="17"/>
    <row r="400" ht="18" customHeight="1" s="17"/>
    <row r="401" ht="18" customHeight="1" s="17"/>
    <row r="402" ht="18" customHeight="1" s="17"/>
    <row r="403" ht="18" customHeight="1" s="17"/>
    <row r="404" ht="18" customHeight="1" s="17"/>
    <row r="405" ht="18" customHeight="1" s="17"/>
    <row r="406" ht="18" customHeight="1" s="17"/>
    <row r="407" ht="18" customHeight="1" s="17"/>
    <row r="408" ht="18" customHeight="1" s="17"/>
    <row r="409" ht="18" customHeight="1" s="17"/>
    <row r="410" ht="18" customHeight="1" s="17"/>
    <row r="411" ht="18" customHeight="1" s="17"/>
    <row r="412" ht="18" customHeight="1" s="17"/>
    <row r="413" ht="18" customHeight="1" s="17"/>
    <row r="414" ht="18" customHeight="1" s="17"/>
    <row r="415" ht="18" customHeight="1" s="17"/>
    <row r="416" ht="18" customHeight="1" s="17"/>
    <row r="417" ht="18" customHeight="1" s="17"/>
    <row r="418" ht="18" customHeight="1" s="17"/>
    <row r="419" ht="18" customHeight="1" s="17"/>
    <row r="420" ht="18" customHeight="1" s="17"/>
    <row r="421" ht="18" customHeight="1" s="17"/>
    <row r="422" ht="18" customHeight="1" s="17"/>
    <row r="423" ht="18" customHeight="1" s="17"/>
    <row r="424" ht="18" customHeight="1" s="17"/>
    <row r="425" ht="18" customHeight="1" s="17"/>
    <row r="426" ht="18" customHeight="1" s="17"/>
    <row r="427" ht="18" customHeight="1" s="17"/>
    <row r="428" ht="18" customHeight="1" s="17"/>
    <row r="429" ht="18" customHeight="1" s="17"/>
    <row r="430" ht="18" customHeight="1" s="17"/>
    <row r="431" ht="18" customHeight="1" s="17"/>
    <row r="432" ht="18" customHeight="1" s="17"/>
    <row r="433" ht="18" customHeight="1" s="17"/>
    <row r="434" ht="18" customHeight="1" s="17"/>
    <row r="435" ht="18" customHeight="1" s="17"/>
    <row r="436" ht="18" customHeight="1" s="17"/>
    <row r="437" ht="18" customHeight="1" s="17"/>
    <row r="438" ht="18" customHeight="1" s="17"/>
    <row r="439" ht="18" customHeight="1" s="17"/>
    <row r="440" ht="18" customHeight="1" s="17"/>
    <row r="441" ht="18" customHeight="1" s="17"/>
    <row r="442" ht="18" customHeight="1" s="17"/>
    <row r="443" ht="18" customHeight="1" s="17"/>
    <row r="444" ht="18" customHeight="1" s="17"/>
    <row r="445" ht="18" customHeight="1" s="17"/>
    <row r="446" ht="18" customHeight="1" s="17"/>
    <row r="447" ht="18" customHeight="1" s="17"/>
    <row r="448" ht="18" customHeight="1" s="17"/>
    <row r="449" ht="18" customHeight="1" s="17"/>
    <row r="450" ht="18" customHeight="1" s="17"/>
    <row r="451" ht="18" customHeight="1" s="17"/>
    <row r="452" ht="18" customHeight="1" s="17"/>
    <row r="453" ht="18" customHeight="1" s="17"/>
    <row r="454" ht="18" customHeight="1" s="17"/>
    <row r="455" ht="18" customHeight="1" s="17"/>
    <row r="456" ht="18" customHeight="1" s="17"/>
    <row r="457" ht="18" customHeight="1" s="17"/>
    <row r="458" ht="18" customHeight="1" s="17"/>
    <row r="459" ht="18" customHeight="1" s="17"/>
    <row r="460" ht="18" customHeight="1" s="17"/>
    <row r="461" ht="18" customHeight="1" s="17"/>
    <row r="462" ht="18" customHeight="1" s="17"/>
    <row r="463" ht="18" customHeight="1" s="17"/>
    <row r="464" ht="18" customHeight="1" s="17"/>
    <row r="465" ht="18" customHeight="1" s="17"/>
    <row r="466" ht="18" customHeight="1" s="17"/>
    <row r="467" ht="18" customHeight="1" s="17"/>
    <row r="468" ht="18" customHeight="1" s="17"/>
    <row r="469" ht="18" customHeight="1" s="17"/>
    <row r="470" ht="18" customHeight="1" s="17"/>
    <row r="471" ht="18" customHeight="1" s="17"/>
    <row r="472" ht="18" customHeight="1" s="17"/>
    <row r="473" ht="18" customHeight="1" s="17"/>
    <row r="474" ht="18" customHeight="1" s="17"/>
    <row r="475" ht="18" customHeight="1" s="17"/>
    <row r="476" ht="18" customHeight="1" s="17"/>
    <row r="477" ht="18" customHeight="1" s="17"/>
    <row r="478" ht="18" customHeight="1" s="17"/>
    <row r="479" ht="18" customHeight="1" s="17"/>
    <row r="480" ht="18" customHeight="1" s="17"/>
    <row r="481" ht="18" customHeight="1" s="17"/>
    <row r="482" ht="18" customHeight="1" s="17"/>
    <row r="483" ht="18" customHeight="1" s="17"/>
    <row r="484" ht="18" customHeight="1" s="17"/>
    <row r="485" ht="18" customHeight="1" s="17"/>
    <row r="486" ht="18" customHeight="1" s="17"/>
    <row r="487" ht="18" customHeight="1" s="17"/>
    <row r="488" ht="18" customHeight="1" s="17"/>
    <row r="489" ht="18" customHeight="1" s="17"/>
    <row r="490" ht="18" customHeight="1" s="17"/>
    <row r="491" ht="18" customHeight="1" s="17"/>
    <row r="492" ht="18" customHeight="1" s="17"/>
    <row r="493" ht="18" customHeight="1" s="17"/>
    <row r="494" ht="18" customHeight="1" s="17"/>
    <row r="495" ht="18" customHeight="1" s="17"/>
    <row r="496" ht="18" customHeight="1" s="17"/>
    <row r="497" ht="18" customHeight="1" s="17"/>
    <row r="498" ht="18" customHeight="1" s="17"/>
    <row r="499" ht="18" customHeight="1" s="17"/>
    <row r="500" ht="18" customHeight="1" s="17"/>
    <row r="501" ht="18" customHeight="1" s="17"/>
    <row r="502" ht="18" customHeight="1" s="17"/>
    <row r="503" ht="18" customHeight="1" s="17"/>
    <row r="504" ht="18" customHeight="1" s="17"/>
    <row r="505" ht="18" customHeight="1" s="17"/>
    <row r="506" ht="18" customHeight="1" s="17"/>
    <row r="507" ht="18" customHeight="1" s="17"/>
    <row r="508" ht="18" customHeight="1" s="17"/>
    <row r="509" ht="18" customHeight="1" s="17"/>
    <row r="510" ht="18" customHeight="1" s="17"/>
    <row r="511" ht="18" customHeight="1" s="17"/>
    <row r="512" ht="18" customHeight="1" s="17"/>
    <row r="513" ht="18" customHeight="1" s="17"/>
    <row r="514" ht="18" customHeight="1" s="17"/>
    <row r="515" ht="18" customHeight="1" s="17"/>
    <row r="516" ht="18" customHeight="1" s="17"/>
    <row r="517" ht="18" customHeight="1" s="17"/>
    <row r="518" ht="18" customHeight="1" s="17"/>
    <row r="519" ht="18" customHeight="1" s="17"/>
    <row r="520" ht="18" customHeight="1" s="17"/>
    <row r="521" ht="18" customHeight="1" s="17"/>
    <row r="522" ht="18" customHeight="1" s="17"/>
    <row r="523" ht="18" customHeight="1" s="17"/>
    <row r="524" ht="18" customHeight="1" s="17"/>
    <row r="525" ht="18" customHeight="1" s="17"/>
    <row r="526" ht="18" customHeight="1" s="17"/>
    <row r="527" ht="18" customHeight="1" s="17"/>
    <row r="528" ht="18" customHeight="1" s="17"/>
    <row r="529" ht="18" customHeight="1" s="17"/>
    <row r="530" ht="18" customHeight="1" s="17"/>
    <row r="531" ht="18" customHeight="1" s="17"/>
    <row r="532" ht="18" customHeight="1" s="17"/>
    <row r="533" ht="18" customHeight="1" s="17"/>
    <row r="534" ht="18" customHeight="1" s="17"/>
    <row r="535" ht="18" customHeight="1" s="17"/>
    <row r="536" ht="18" customHeight="1" s="17"/>
    <row r="537" ht="18" customHeight="1" s="17"/>
    <row r="538" ht="18" customHeight="1" s="17"/>
    <row r="539" ht="18" customHeight="1" s="17"/>
    <row r="540" ht="18" customHeight="1" s="17"/>
    <row r="541" ht="18" customHeight="1" s="17"/>
    <row r="542" ht="18" customHeight="1" s="17"/>
    <row r="543" ht="18" customHeight="1" s="17"/>
    <row r="544" ht="18" customHeight="1" s="17"/>
    <row r="545" ht="18" customHeight="1" s="17"/>
    <row r="546" ht="18" customHeight="1" s="17"/>
    <row r="547" ht="18" customHeight="1" s="17"/>
    <row r="548" ht="18" customHeight="1" s="17"/>
    <row r="549" ht="18" customHeight="1" s="17"/>
    <row r="550" ht="18" customHeight="1" s="17"/>
    <row r="551" ht="18" customHeight="1" s="17"/>
    <row r="552" ht="18" customHeight="1" s="17"/>
    <row r="553" ht="18" customHeight="1" s="17"/>
    <row r="554" ht="18" customHeight="1" s="17"/>
    <row r="555" ht="18" customHeight="1" s="17"/>
    <row r="556" ht="18" customHeight="1" s="17"/>
    <row r="557" ht="18" customHeight="1" s="17"/>
    <row r="558" ht="18" customHeight="1" s="17"/>
    <row r="559" ht="18" customHeight="1" s="17"/>
    <row r="560" ht="18" customHeight="1" s="17"/>
    <row r="561" ht="18" customHeight="1" s="17"/>
    <row r="562" ht="18" customHeight="1" s="17"/>
    <row r="563" ht="18" customHeight="1" s="17"/>
    <row r="564" ht="18" customHeight="1" s="17"/>
    <row r="565" ht="18" customHeight="1" s="17"/>
    <row r="566" ht="18" customHeight="1" s="17"/>
    <row r="567" ht="18" customHeight="1" s="17"/>
    <row r="568" ht="18" customHeight="1" s="17"/>
    <row r="569" ht="18" customHeight="1" s="17"/>
    <row r="570" ht="18" customHeight="1" s="17"/>
    <row r="571" ht="18" customHeight="1" s="17"/>
    <row r="572" ht="18" customHeight="1" s="17"/>
    <row r="573" ht="18" customHeight="1" s="17"/>
    <row r="574" ht="18" customHeight="1" s="17"/>
    <row r="575" ht="18" customHeight="1" s="17"/>
    <row r="576" ht="18" customHeight="1" s="17"/>
    <row r="577" ht="18" customHeight="1" s="17"/>
    <row r="578" ht="18" customHeight="1" s="17"/>
    <row r="579" ht="18" customHeight="1" s="17"/>
    <row r="580" ht="18" customHeight="1" s="17"/>
    <row r="581" ht="18" customHeight="1" s="17"/>
    <row r="582" ht="18" customHeight="1" s="17"/>
    <row r="583" ht="18" customHeight="1" s="17"/>
    <row r="584" ht="18" customHeight="1" s="17"/>
    <row r="585" ht="18" customHeight="1" s="17"/>
    <row r="586" ht="18" customHeight="1" s="17"/>
    <row r="587" ht="18" customHeight="1" s="17"/>
    <row r="588" ht="18" customHeight="1" s="17"/>
    <row r="589" ht="18" customHeight="1" s="17"/>
    <row r="590" ht="18" customHeight="1" s="17"/>
    <row r="591" ht="18" customHeight="1" s="17"/>
    <row r="592" ht="18" customHeight="1" s="17"/>
    <row r="593" ht="18" customHeight="1" s="17"/>
    <row r="594" ht="18" customHeight="1" s="17"/>
    <row r="595" ht="18" customHeight="1" s="17"/>
    <row r="596" ht="18" customHeight="1" s="17"/>
    <row r="597" ht="18" customHeight="1" s="17"/>
    <row r="598" ht="18" customHeight="1" s="17"/>
    <row r="599" ht="18" customHeight="1" s="17"/>
    <row r="600" ht="18" customHeight="1" s="17"/>
    <row r="601" ht="18" customHeight="1" s="17"/>
    <row r="602" ht="18" customHeight="1" s="17"/>
    <row r="603" ht="18" customHeight="1" s="17"/>
    <row r="604" ht="18" customHeight="1" s="17"/>
    <row r="605" ht="18" customHeight="1" s="17"/>
    <row r="606" ht="18" customHeight="1" s="17"/>
    <row r="607" ht="18" customHeight="1" s="17"/>
    <row r="608" ht="18" customHeight="1" s="17"/>
    <row r="609" ht="18" customHeight="1" s="17"/>
    <row r="610" ht="18" customHeight="1" s="17"/>
    <row r="611" ht="18" customHeight="1" s="17"/>
    <row r="612" ht="18" customHeight="1" s="17"/>
    <row r="613" ht="18" customHeight="1" s="17"/>
    <row r="614" ht="18" customHeight="1" s="17"/>
    <row r="615" ht="18" customHeight="1" s="17"/>
    <row r="616" ht="18" customHeight="1" s="17"/>
    <row r="617" ht="18" customHeight="1" s="17"/>
    <row r="618" ht="18" customHeight="1" s="17"/>
    <row r="619" ht="18" customHeight="1" s="17"/>
    <row r="620" ht="18" customHeight="1" s="17"/>
    <row r="621" ht="18" customHeight="1" s="17"/>
    <row r="622" ht="18" customHeight="1" s="17"/>
    <row r="623" ht="18" customHeight="1" s="17"/>
    <row r="624" ht="18" customHeight="1" s="17"/>
    <row r="625" ht="18" customHeight="1" s="17"/>
    <row r="626" ht="18" customHeight="1" s="17"/>
    <row r="627" ht="18" customHeight="1" s="17"/>
    <row r="628" ht="18" customHeight="1" s="17"/>
    <row r="629" ht="18" customHeight="1" s="17"/>
    <row r="630" ht="18" customHeight="1" s="17"/>
    <row r="631" ht="18" customHeight="1" s="17"/>
    <row r="632" ht="18" customHeight="1" s="17"/>
    <row r="633" ht="18" customHeight="1" s="17"/>
    <row r="634" ht="18" customHeight="1" s="17"/>
    <row r="635" ht="18" customHeight="1" s="17"/>
    <row r="636" ht="18" customHeight="1" s="17"/>
    <row r="637" ht="18" customHeight="1" s="17"/>
    <row r="638" ht="18" customHeight="1" s="17"/>
    <row r="639" ht="18" customHeight="1" s="17"/>
    <row r="640" ht="18" customHeight="1" s="17"/>
    <row r="641" ht="18" customHeight="1" s="17"/>
    <row r="642" ht="18" customHeight="1" s="17"/>
    <row r="643" ht="18" customHeight="1" s="17"/>
    <row r="644" ht="18" customHeight="1" s="17"/>
    <row r="645" ht="18" customHeight="1" s="17"/>
    <row r="646" ht="18" customHeight="1" s="17"/>
    <row r="647" ht="18" customHeight="1" s="17"/>
    <row r="648" ht="18" customHeight="1" s="17"/>
    <row r="649" ht="18" customHeight="1" s="17"/>
    <row r="650" ht="18" customHeight="1" s="17"/>
    <row r="651" ht="18" customHeight="1" s="17"/>
    <row r="652" ht="18" customHeight="1" s="17"/>
    <row r="653" ht="18" customHeight="1" s="17"/>
    <row r="654" ht="18" customHeight="1" s="17"/>
    <row r="655" ht="18" customHeight="1" s="17"/>
    <row r="656" ht="18" customHeight="1" s="17"/>
    <row r="657" ht="18" customHeight="1" s="17"/>
    <row r="658" ht="18" customHeight="1" s="17"/>
    <row r="659" ht="18" customHeight="1" s="17"/>
    <row r="660" ht="18" customHeight="1" s="17"/>
    <row r="661" ht="18" customHeight="1" s="17"/>
    <row r="662" ht="18" customHeight="1" s="17"/>
    <row r="663" ht="18" customHeight="1" s="17"/>
    <row r="664" ht="18" customHeight="1" s="17"/>
    <row r="665" ht="18" customHeight="1" s="17"/>
    <row r="666" ht="18" customHeight="1" s="17"/>
    <row r="667" ht="18" customHeight="1" s="17"/>
    <row r="668" ht="18" customHeight="1" s="17"/>
    <row r="669" ht="18" customHeight="1" s="17"/>
    <row r="670" ht="18" customHeight="1" s="17"/>
    <row r="671" ht="18" customHeight="1" s="17"/>
    <row r="672" ht="18" customHeight="1" s="17"/>
    <row r="673" ht="18" customHeight="1" s="17"/>
    <row r="674" ht="18" customHeight="1" s="17"/>
    <row r="675" ht="18" customHeight="1" s="17"/>
    <row r="676" ht="18" customHeight="1" s="17"/>
    <row r="677" ht="18" customHeight="1" s="17"/>
    <row r="678" ht="18" customHeight="1" s="17"/>
    <row r="679" ht="18" customHeight="1" s="17"/>
    <row r="680" ht="18" customHeight="1" s="17"/>
    <row r="681" ht="18" customHeight="1" s="17"/>
    <row r="682" ht="18" customHeight="1" s="17"/>
    <row r="683" ht="18" customHeight="1" s="17"/>
    <row r="684" ht="18" customHeight="1" s="17"/>
    <row r="685" ht="18" customHeight="1" s="17"/>
    <row r="686" ht="18" customHeight="1" s="17"/>
    <row r="687" ht="18" customHeight="1" s="17"/>
    <row r="688" ht="18" customHeight="1" s="17"/>
    <row r="689" ht="18" customHeight="1" s="17"/>
    <row r="690" ht="18" customHeight="1" s="17"/>
    <row r="691" ht="18" customHeight="1" s="17"/>
    <row r="692" ht="18" customHeight="1" s="17"/>
    <row r="693" ht="18" customHeight="1" s="17"/>
    <row r="694" ht="18" customHeight="1" s="17"/>
    <row r="695" ht="18" customHeight="1" s="17"/>
    <row r="696" ht="18" customHeight="1" s="17"/>
    <row r="697" ht="18" customHeight="1" s="17"/>
    <row r="698" ht="18" customHeight="1" s="17"/>
    <row r="699" ht="18" customHeight="1" s="17"/>
    <row r="700" ht="18" customHeight="1" s="17"/>
    <row r="701" ht="18" customHeight="1" s="17"/>
    <row r="702" ht="18" customHeight="1" s="17"/>
    <row r="703" ht="18" customHeight="1" s="17"/>
    <row r="704" ht="18" customHeight="1" s="17"/>
    <row r="705" ht="18" customHeight="1" s="17"/>
    <row r="706" ht="18" customHeight="1" s="17"/>
    <row r="707" ht="18" customHeight="1" s="17"/>
    <row r="708" ht="18" customHeight="1" s="17"/>
    <row r="709" ht="18" customHeight="1" s="17"/>
    <row r="710" ht="18" customHeight="1" s="17"/>
    <row r="711" ht="18" customHeight="1" s="17"/>
    <row r="712" ht="18" customHeight="1" s="17"/>
    <row r="713" ht="18" customHeight="1" s="17"/>
    <row r="714" ht="18" customHeight="1" s="17"/>
    <row r="715" ht="18" customHeight="1" s="17"/>
    <row r="716" ht="18" customHeight="1" s="17"/>
    <row r="717" ht="18" customHeight="1" s="17"/>
    <row r="718" ht="18" customHeight="1" s="17"/>
    <row r="719" ht="18" customHeight="1" s="17"/>
    <row r="720" ht="18" customHeight="1" s="17"/>
    <row r="721" ht="18" customHeight="1" s="17"/>
    <row r="722" ht="18" customHeight="1" s="17"/>
    <row r="723" ht="18" customHeight="1" s="17"/>
    <row r="724" ht="18" customHeight="1" s="17"/>
    <row r="725" ht="18" customHeight="1" s="17"/>
    <row r="726" ht="18" customHeight="1" s="17"/>
    <row r="727" ht="18" customHeight="1" s="17"/>
    <row r="728" ht="18" customHeight="1" s="17"/>
    <row r="729" ht="18" customHeight="1" s="17"/>
    <row r="730" ht="18" customHeight="1" s="17"/>
    <row r="731" ht="18" customHeight="1" s="17"/>
    <row r="732" ht="18" customHeight="1" s="17"/>
    <row r="733" ht="18" customHeight="1" s="17"/>
    <row r="734" ht="18" customHeight="1" s="17"/>
    <row r="735" ht="18" customHeight="1" s="17"/>
    <row r="736" ht="18" customHeight="1" s="17"/>
    <row r="737" ht="18" customHeight="1" s="17"/>
    <row r="738" ht="18" customHeight="1" s="17"/>
    <row r="739" ht="18" customHeight="1" s="17"/>
    <row r="740" ht="18" customHeight="1" s="17"/>
    <row r="741" ht="18" customHeight="1" s="17"/>
    <row r="742" ht="18" customHeight="1" s="17"/>
    <row r="743" ht="18" customHeight="1" s="17"/>
    <row r="744" ht="18" customHeight="1" s="17"/>
    <row r="745" ht="18" customHeight="1" s="17"/>
    <row r="746" ht="18" customHeight="1" s="17"/>
    <row r="747" ht="18" customHeight="1" s="17"/>
    <row r="748" ht="18" customHeight="1" s="17"/>
    <row r="749" ht="18" customHeight="1" s="17"/>
    <row r="750" ht="18" customHeight="1" s="17"/>
    <row r="751" ht="18" customHeight="1" s="17"/>
    <row r="752" ht="18" customHeight="1" s="17"/>
    <row r="753" ht="18" customHeight="1" s="17"/>
    <row r="754" ht="18" customHeight="1" s="17"/>
    <row r="755" ht="18" customHeight="1" s="17"/>
    <row r="756" ht="18" customHeight="1" s="17"/>
    <row r="757" ht="18" customHeight="1" s="17"/>
    <row r="758" ht="18" customHeight="1" s="17"/>
    <row r="759" ht="18" customHeight="1" s="17"/>
    <row r="760" ht="18" customHeight="1" s="17"/>
    <row r="761" ht="18" customHeight="1" s="17"/>
    <row r="762" ht="18" customHeight="1" s="17"/>
    <row r="763" ht="18" customHeight="1" s="17"/>
    <row r="764" ht="18" customHeight="1" s="17"/>
    <row r="765" ht="18" customHeight="1" s="17"/>
    <row r="766" ht="18" customHeight="1" s="17"/>
    <row r="767" ht="18" customHeight="1" s="17"/>
    <row r="768" ht="18" customHeight="1" s="17"/>
    <row r="769" ht="18" customHeight="1" s="17"/>
    <row r="770" ht="18" customHeight="1" s="17"/>
    <row r="771" ht="18" customHeight="1" s="17"/>
    <row r="772" ht="18" customHeight="1" s="17"/>
    <row r="773" ht="18" customHeight="1" s="17"/>
    <row r="774" ht="18" customHeight="1" s="17"/>
    <row r="775" ht="18" customHeight="1" s="17"/>
    <row r="776" ht="18" customHeight="1" s="17"/>
    <row r="777" ht="18" customHeight="1" s="17"/>
    <row r="778" ht="18" customHeight="1" s="17"/>
    <row r="779" ht="18" customHeight="1" s="17"/>
    <row r="780" ht="18" customHeight="1" s="17"/>
    <row r="781" ht="18" customHeight="1" s="17"/>
    <row r="782" ht="18" customHeight="1" s="17"/>
    <row r="783" ht="18" customHeight="1" s="17"/>
    <row r="784" ht="18" customHeight="1" s="17"/>
    <row r="785" ht="18" customHeight="1" s="17"/>
    <row r="786" ht="18" customHeight="1" s="17"/>
    <row r="787" ht="18" customHeight="1" s="17"/>
    <row r="788" ht="18" customHeight="1" s="17"/>
    <row r="789" ht="18" customHeight="1" s="17"/>
    <row r="790" ht="18" customHeight="1" s="17"/>
    <row r="791" ht="18" customHeight="1" s="17"/>
    <row r="792" ht="18" customHeight="1" s="17"/>
    <row r="793" ht="18" customHeight="1" s="17"/>
    <row r="794" ht="18" customHeight="1" s="17"/>
    <row r="795" ht="18" customHeight="1" s="17"/>
    <row r="796" ht="18" customHeight="1" s="17"/>
    <row r="797" ht="18" customHeight="1" s="17"/>
    <row r="798" ht="18" customHeight="1" s="17"/>
    <row r="799" ht="18" customHeight="1" s="17"/>
    <row r="800" ht="18" customHeight="1" s="17"/>
    <row r="801" ht="18" customHeight="1" s="17"/>
    <row r="802" ht="18" customHeight="1" s="17"/>
    <row r="803" ht="18" customHeight="1" s="17"/>
    <row r="804" ht="18" customHeight="1" s="17"/>
    <row r="805" ht="18" customHeight="1" s="17"/>
    <row r="806" ht="18" customHeight="1" s="17"/>
    <row r="807" ht="18" customHeight="1" s="17"/>
    <row r="808" ht="18" customHeight="1" s="17"/>
    <row r="809" ht="18" customHeight="1" s="17"/>
    <row r="810" ht="18" customHeight="1" s="17"/>
    <row r="811" ht="18" customHeight="1" s="17"/>
    <row r="812" ht="18" customHeight="1" s="17"/>
    <row r="813" ht="18" customHeight="1" s="17"/>
    <row r="814" ht="18" customHeight="1" s="17"/>
    <row r="815" ht="18" customHeight="1" s="17"/>
    <row r="816" ht="18" customHeight="1" s="17"/>
    <row r="817" ht="18" customHeight="1" s="17"/>
    <row r="818" ht="18" customHeight="1" s="17"/>
    <row r="819" ht="18" customHeight="1" s="17"/>
    <row r="820" ht="18" customHeight="1" s="17"/>
    <row r="821" ht="18" customHeight="1" s="17"/>
    <row r="822" ht="18" customHeight="1" s="17"/>
    <row r="823" ht="18" customHeight="1" s="17"/>
    <row r="824" ht="18" customHeight="1" s="17"/>
    <row r="825" ht="18" customHeight="1" s="17"/>
    <row r="826" ht="18" customHeight="1" s="17"/>
    <row r="827" ht="18" customHeight="1" s="17"/>
    <row r="828" ht="18" customHeight="1" s="17"/>
    <row r="829" ht="18" customHeight="1" s="17"/>
    <row r="830" ht="18" customHeight="1" s="17"/>
    <row r="831" ht="18" customHeight="1" s="17"/>
    <row r="832" ht="18" customHeight="1" s="17"/>
    <row r="833" ht="18" customHeight="1" s="17"/>
    <row r="834" ht="18" customHeight="1" s="17"/>
    <row r="835" ht="18" customHeight="1" s="17"/>
    <row r="836" ht="18" customHeight="1" s="17"/>
    <row r="837" ht="18" customHeight="1" s="17"/>
    <row r="838" ht="18" customHeight="1" s="17"/>
    <row r="839" ht="18" customHeight="1" s="17"/>
    <row r="840" ht="18" customHeight="1" s="17"/>
    <row r="841" ht="18" customHeight="1" s="17"/>
    <row r="842" ht="18" customHeight="1" s="17"/>
    <row r="843" ht="18" customHeight="1" s="17"/>
    <row r="844" ht="18" customHeight="1" s="17"/>
    <row r="845" ht="18" customHeight="1" s="17"/>
    <row r="846" ht="18" customHeight="1" s="17"/>
    <row r="847" ht="18" customHeight="1" s="17"/>
    <row r="848" ht="18" customHeight="1" s="17"/>
    <row r="849" ht="18" customHeight="1" s="17"/>
    <row r="850" ht="18" customHeight="1" s="17"/>
    <row r="851" ht="18" customHeight="1" s="17"/>
    <row r="852" ht="18" customHeight="1" s="17"/>
    <row r="853" ht="18" customHeight="1" s="17"/>
    <row r="854" ht="18" customHeight="1" s="17"/>
    <row r="855" ht="18" customHeight="1" s="17"/>
    <row r="856" ht="18" customHeight="1" s="17"/>
    <row r="857" ht="18" customHeight="1" s="17"/>
    <row r="858" ht="18" customHeight="1" s="17"/>
    <row r="859" ht="18" customHeight="1" s="17"/>
    <row r="860" ht="18" customHeight="1" s="17"/>
    <row r="861" ht="18" customHeight="1" s="17"/>
    <row r="862" ht="18" customHeight="1" s="17"/>
    <row r="863" ht="18" customHeight="1" s="17"/>
    <row r="864" ht="18" customHeight="1" s="17"/>
    <row r="865" ht="18" customHeight="1" s="17"/>
    <row r="866" ht="18" customHeight="1" s="17"/>
    <row r="867" ht="18" customHeight="1" s="17"/>
    <row r="868" ht="18" customHeight="1" s="17"/>
    <row r="869" ht="18" customHeight="1" s="17"/>
    <row r="870" ht="18" customHeight="1" s="17"/>
    <row r="871" ht="18" customHeight="1" s="17"/>
    <row r="872" ht="18" customHeight="1" s="17"/>
    <row r="873" ht="18" customHeight="1" s="17"/>
    <row r="874" ht="18" customHeight="1" s="17"/>
    <row r="875" ht="18" customHeight="1" s="17"/>
    <row r="876" ht="18" customHeight="1" s="17"/>
    <row r="877" ht="18" customHeight="1" s="17"/>
    <row r="878" ht="18" customHeight="1" s="17"/>
    <row r="879" ht="18" customHeight="1" s="17"/>
    <row r="880" ht="18" customHeight="1" s="17"/>
    <row r="881" ht="18" customHeight="1" s="17"/>
    <row r="882" ht="18" customHeight="1" s="17"/>
    <row r="883" ht="18" customHeight="1" s="17"/>
    <row r="884" ht="18" customHeight="1" s="17"/>
    <row r="885" ht="18" customHeight="1" s="17"/>
    <row r="886" ht="18" customHeight="1" s="17"/>
    <row r="887" ht="18" customHeight="1" s="17"/>
    <row r="888" ht="18" customHeight="1" s="17"/>
    <row r="889" ht="18" customHeight="1" s="17"/>
    <row r="890" ht="18" customHeight="1" s="17"/>
    <row r="891" ht="18" customHeight="1" s="17"/>
    <row r="892" ht="18" customHeight="1" s="17"/>
    <row r="893" ht="18" customHeight="1" s="17"/>
    <row r="894" ht="18" customHeight="1" s="17"/>
    <row r="895" ht="18" customHeight="1" s="17"/>
    <row r="896" ht="18" customHeight="1" s="17"/>
    <row r="897" ht="18" customHeight="1" s="17"/>
    <row r="898" ht="18" customHeight="1" s="17"/>
    <row r="899" ht="18" customHeight="1" s="17"/>
    <row r="900" ht="18" customHeight="1" s="17"/>
    <row r="901" ht="18" customHeight="1" s="17"/>
    <row r="902" ht="18" customHeight="1" s="17"/>
    <row r="903" ht="18" customHeight="1" s="17"/>
    <row r="904" ht="18" customHeight="1" s="17"/>
    <row r="905" ht="18" customHeight="1" s="17"/>
    <row r="906" ht="18" customHeight="1" s="17"/>
    <row r="907" ht="18" customHeight="1" s="17"/>
    <row r="908" ht="18" customHeight="1" s="17"/>
    <row r="909" ht="18" customHeight="1" s="17"/>
    <row r="910" ht="18" customHeight="1" s="17"/>
    <row r="911" ht="18" customHeight="1" s="17"/>
    <row r="912" ht="18" customHeight="1" s="17"/>
    <row r="913" ht="18" customHeight="1" s="17"/>
    <row r="914" ht="18" customHeight="1" s="17"/>
    <row r="915" ht="18" customHeight="1" s="17"/>
    <row r="916" ht="18" customHeight="1" s="17"/>
    <row r="917" ht="18" customHeight="1" s="17"/>
    <row r="918" ht="18" customHeight="1" s="17"/>
    <row r="919" ht="18" customHeight="1" s="17"/>
    <row r="920" ht="18" customHeight="1" s="17"/>
    <row r="921" ht="18" customHeight="1" s="17"/>
    <row r="922" ht="18" customHeight="1" s="17"/>
    <row r="923" ht="18" customHeight="1" s="17"/>
    <row r="924" ht="18" customHeight="1" s="17"/>
    <row r="925" ht="18" customHeight="1" s="17"/>
    <row r="926" ht="18" customHeight="1" s="17"/>
    <row r="927" ht="18" customHeight="1" s="17"/>
    <row r="928" ht="18" customHeight="1" s="17"/>
    <row r="929" ht="18" customHeight="1" s="17"/>
    <row r="930" ht="18" customHeight="1" s="17"/>
    <row r="931" ht="18" customHeight="1" s="17"/>
    <row r="932" ht="18" customHeight="1" s="17"/>
    <row r="933" ht="18" customHeight="1" s="17"/>
    <row r="934" ht="18" customHeight="1" s="17"/>
    <row r="935" ht="18" customHeight="1" s="17"/>
    <row r="936" ht="18" customHeight="1" s="17"/>
    <row r="937" ht="18" customHeight="1" s="17"/>
    <row r="938" ht="18" customHeight="1" s="17"/>
    <row r="939" ht="18" customHeight="1" s="17"/>
    <row r="940" ht="18" customHeight="1" s="17"/>
    <row r="941" ht="18" customHeight="1" s="17"/>
    <row r="942" ht="18" customHeight="1" s="17"/>
    <row r="943" ht="18" customHeight="1" s="17"/>
    <row r="944" ht="18" customHeight="1" s="17"/>
    <row r="945" ht="18" customHeight="1" s="17"/>
    <row r="946" ht="18" customHeight="1" s="17"/>
    <row r="947" ht="18" customHeight="1" s="17"/>
    <row r="948" ht="18" customHeight="1" s="17"/>
    <row r="949" ht="18" customHeight="1" s="17"/>
    <row r="950" ht="18" customHeight="1" s="17"/>
    <row r="951" ht="18" customHeight="1" s="17"/>
    <row r="952" ht="18" customHeight="1" s="17"/>
    <row r="953" ht="18" customHeight="1" s="17"/>
    <row r="954" ht="18" customHeight="1" s="17"/>
    <row r="955" ht="18" customHeight="1" s="17"/>
    <row r="956" ht="18" customHeight="1" s="17"/>
    <row r="957" ht="18" customHeight="1" s="17"/>
    <row r="958" ht="18" customHeight="1" s="17"/>
    <row r="959" ht="18" customHeight="1" s="17"/>
    <row r="960" ht="18" customHeight="1" s="17"/>
    <row r="961" ht="18" customHeight="1" s="17"/>
    <row r="962" ht="18" customHeight="1" s="17"/>
    <row r="963" ht="18" customHeight="1" s="17"/>
    <row r="964" ht="18" customHeight="1" s="17"/>
    <row r="965" ht="18" customHeight="1" s="17"/>
    <row r="966" ht="18" customHeight="1" s="17"/>
    <row r="967" ht="18" customHeight="1" s="17"/>
    <row r="968" ht="18" customHeight="1" s="17"/>
    <row r="969" ht="18" customHeight="1" s="17"/>
    <row r="970" ht="18" customHeight="1" s="17"/>
    <row r="971" ht="18" customHeight="1" s="17"/>
    <row r="972" ht="18" customHeight="1" s="17"/>
    <row r="973" ht="18" customHeight="1" s="17"/>
    <row r="974" ht="18" customHeight="1" s="17"/>
    <row r="975" ht="18" customHeight="1" s="17"/>
    <row r="976" ht="18" customHeight="1" s="17"/>
    <row r="977" ht="18" customHeight="1" s="17"/>
    <row r="978" ht="18" customHeight="1" s="17"/>
    <row r="979" ht="18" customHeight="1" s="17"/>
    <row r="980" ht="18" customHeight="1" s="17"/>
    <row r="981" ht="18" customHeight="1" s="17"/>
    <row r="982" ht="18" customHeight="1" s="17"/>
    <row r="983" ht="18" customHeight="1" s="17"/>
    <row r="984" ht="18" customHeight="1" s="17"/>
    <row r="985" ht="18" customHeight="1" s="17"/>
    <row r="986" ht="18" customHeight="1" s="17"/>
    <row r="987" ht="18" customHeight="1" s="17"/>
    <row r="988" ht="18" customHeight="1" s="17"/>
    <row r="989" ht="18" customHeight="1" s="17"/>
    <row r="990" ht="18" customHeight="1" s="17"/>
    <row r="991" ht="18" customHeight="1" s="17"/>
    <row r="992" ht="18" customHeight="1" s="17"/>
    <row r="993" ht="18" customHeight="1" s="17"/>
    <row r="994" ht="18" customHeight="1" s="17"/>
    <row r="995" ht="18" customHeight="1" s="17"/>
    <row r="996" ht="18" customHeight="1" s="17"/>
    <row r="997" ht="18" customHeight="1" s="17"/>
    <row r="998" ht="18" customHeight="1" s="17"/>
    <row r="999" ht="18" customHeight="1" s="17"/>
    <row r="1000" ht="18" customHeight="1" s="17"/>
    <row r="1001" ht="18" customHeight="1" s="17"/>
    <row r="1002" ht="18" customHeight="1" s="17"/>
    <row r="1003" ht="18" customHeight="1" s="17"/>
    <row r="1004" ht="18" customHeight="1" s="17"/>
    <row r="1005" ht="18" customHeight="1" s="17"/>
    <row r="1006" ht="18" customHeight="1" s="17"/>
    <row r="1007" ht="18" customHeight="1" s="17"/>
    <row r="1008" ht="18" customHeight="1" s="17"/>
    <row r="1009" ht="18" customHeight="1" s="17"/>
    <row r="1010" ht="18" customHeight="1" s="17"/>
    <row r="1011" ht="18" customHeight="1" s="17"/>
    <row r="1012" ht="18" customHeight="1" s="17"/>
    <row r="1013" ht="18" customHeight="1" s="17"/>
    <row r="1014" ht="18" customHeight="1" s="17"/>
    <row r="1015" ht="18" customHeight="1" s="17"/>
    <row r="1016" ht="18" customHeight="1" s="17"/>
    <row r="1017" ht="18" customHeight="1" s="17"/>
    <row r="1018" ht="18" customHeight="1" s="17"/>
    <row r="1019" ht="18" customHeight="1" s="17"/>
    <row r="1020" ht="18" customHeight="1" s="17"/>
    <row r="1021" ht="18" customHeight="1" s="17"/>
    <row r="1022" ht="18" customHeight="1" s="17"/>
    <row r="1023" ht="18" customHeight="1" s="17"/>
    <row r="1024" ht="18" customHeight="1" s="17"/>
    <row r="1025" ht="18" customHeight="1" s="17"/>
    <row r="1026" ht="18" customHeight="1" s="17"/>
    <row r="1027" ht="18" customHeight="1" s="17"/>
    <row r="1028" ht="18" customHeight="1" s="17"/>
    <row r="1029" ht="18" customHeight="1" s="17"/>
    <row r="1030" ht="18" customHeight="1" s="17"/>
    <row r="1031" ht="18" customHeight="1" s="17"/>
    <row r="1032" ht="18" customHeight="1" s="17"/>
    <row r="1033" ht="18" customHeight="1" s="17"/>
    <row r="1034" ht="18" customHeight="1" s="17"/>
    <row r="1035" ht="18" customHeight="1" s="17"/>
    <row r="1036" ht="18" customHeight="1" s="17"/>
    <row r="1037" ht="18" customHeight="1" s="17"/>
    <row r="1038" ht="18" customHeight="1" s="17"/>
    <row r="1039" ht="18" customHeight="1" s="17"/>
    <row r="1040" ht="18" customHeight="1" s="17"/>
    <row r="1041" ht="18" customHeight="1" s="17"/>
    <row r="1042" ht="18" customHeight="1" s="17"/>
    <row r="1043" ht="18" customHeight="1" s="17"/>
    <row r="1044" ht="18" customHeight="1" s="17"/>
    <row r="1045" ht="18" customHeight="1" s="17"/>
    <row r="1046" ht="18" customHeight="1" s="17"/>
    <row r="1047" ht="18" customHeight="1" s="17"/>
    <row r="1048" ht="18" customHeight="1" s="17"/>
    <row r="1049" ht="18" customHeight="1" s="17"/>
    <row r="1050" ht="18" customHeight="1" s="17"/>
    <row r="1051" ht="18" customHeight="1" s="17"/>
    <row r="1052" ht="18" customHeight="1" s="17"/>
    <row r="1053" ht="18" customHeight="1" s="17"/>
    <row r="1054" ht="18" customHeight="1" s="17"/>
    <row r="1055" ht="18" customHeight="1" s="17"/>
    <row r="1056" ht="18" customHeight="1" s="17"/>
    <row r="1057" ht="18" customHeight="1" s="17"/>
    <row r="1058" ht="18" customHeight="1" s="17"/>
    <row r="1059" ht="18" customHeight="1" s="17"/>
    <row r="1060" ht="18" customHeight="1" s="17"/>
    <row r="1061" ht="18" customHeight="1" s="17"/>
    <row r="1062" ht="18" customHeight="1" s="17"/>
    <row r="1063" ht="18" customHeight="1" s="17"/>
    <row r="1064" ht="18" customHeight="1" s="17"/>
    <row r="1065" ht="18" customHeight="1" s="17"/>
    <row r="1066" ht="18" customHeight="1" s="17"/>
    <row r="1067" ht="18" customHeight="1" s="17"/>
    <row r="1068" ht="18" customHeight="1" s="17"/>
    <row r="1069" ht="18" customHeight="1" s="17"/>
    <row r="1070" ht="18" customHeight="1" s="17"/>
    <row r="1071" ht="18" customHeight="1" s="17"/>
    <row r="1072" ht="18" customHeight="1" s="17"/>
    <row r="1073" ht="18" customHeight="1" s="17"/>
    <row r="1074" ht="18" customHeight="1" s="17"/>
    <row r="1075" ht="18" customHeight="1" s="17"/>
    <row r="1076" ht="18" customHeight="1" s="17"/>
    <row r="1077" ht="18" customHeight="1" s="17"/>
    <row r="1078" ht="18" customHeight="1" s="17"/>
    <row r="1079" ht="18" customHeight="1" s="17"/>
    <row r="1080" ht="18" customHeight="1" s="17"/>
    <row r="1081" ht="18" customHeight="1" s="17"/>
    <row r="1082" ht="18" customHeight="1" s="17"/>
    <row r="1083" ht="18" customHeight="1" s="17"/>
    <row r="1084" ht="18" customHeight="1" s="17"/>
    <row r="1085" ht="18" customHeight="1" s="17"/>
    <row r="1086" ht="18" customHeight="1" s="17"/>
    <row r="1087" ht="18" customHeight="1" s="17"/>
    <row r="1088" ht="18" customHeight="1" s="17"/>
    <row r="1089" ht="18" customHeight="1" s="17"/>
    <row r="1090" ht="18" customHeight="1" s="17"/>
    <row r="1091" ht="18" customHeight="1" s="17"/>
    <row r="1092" ht="18" customHeight="1" s="17"/>
    <row r="1093" ht="18" customHeight="1" s="17"/>
    <row r="1094" ht="18" customHeight="1" s="17"/>
    <row r="1095" ht="18" customHeight="1" s="17"/>
    <row r="1096" ht="18" customHeight="1" s="17"/>
    <row r="1097" ht="18" customHeight="1" s="17"/>
    <row r="1098" ht="18" customHeight="1" s="17"/>
    <row r="1099" ht="18" customHeight="1" s="17"/>
    <row r="1100" ht="18" customHeight="1" s="17"/>
    <row r="1101" ht="18" customHeight="1" s="17"/>
    <row r="1102" ht="18" customHeight="1" s="17"/>
    <row r="1103" ht="18" customHeight="1" s="17"/>
    <row r="1104" ht="18" customHeight="1" s="17"/>
    <row r="1105" ht="18" customHeight="1" s="17"/>
    <row r="1106" ht="18" customHeight="1" s="17"/>
    <row r="1107" ht="18" customHeight="1" s="17"/>
    <row r="1108" ht="18" customHeight="1" s="17"/>
    <row r="1109" ht="18" customHeight="1" s="17"/>
    <row r="1110" ht="18" customHeight="1" s="17"/>
    <row r="1111" ht="18" customHeight="1" s="17"/>
    <row r="1112" ht="18" customHeight="1" s="17"/>
    <row r="1113" ht="18" customHeight="1" s="17"/>
    <row r="1114" ht="18" customHeight="1" s="17"/>
    <row r="1115" ht="18" customHeight="1" s="17"/>
    <row r="1116" ht="18" customHeight="1" s="17"/>
    <row r="1117" ht="18" customHeight="1" s="17"/>
    <row r="1118" ht="18" customHeight="1" s="17"/>
    <row r="1119" ht="18" customHeight="1" s="17"/>
    <row r="1120" ht="18" customHeight="1" s="17"/>
    <row r="1121" ht="18" customHeight="1" s="17"/>
    <row r="1122" ht="18" customHeight="1" s="17"/>
    <row r="1123" ht="18" customHeight="1" s="17"/>
    <row r="1124" ht="18" customHeight="1" s="17"/>
    <row r="1125" ht="18" customHeight="1" s="17"/>
    <row r="1126" ht="18" customHeight="1" s="17"/>
    <row r="1127" ht="18" customHeight="1" s="17"/>
    <row r="1128" ht="18" customHeight="1" s="17"/>
    <row r="1129" ht="18" customHeight="1" s="17"/>
    <row r="1130" ht="18" customHeight="1" s="17"/>
    <row r="1131" ht="18" customHeight="1" s="17"/>
    <row r="1132" ht="18" customHeight="1" s="17"/>
    <row r="1133" ht="18" customHeight="1" s="17"/>
    <row r="1134" ht="18" customHeight="1" s="17"/>
    <row r="1135" ht="18" customHeight="1" s="17"/>
    <row r="1136" ht="18" customHeight="1" s="17"/>
    <row r="1137" ht="18" customHeight="1" s="17"/>
    <row r="1138" ht="18" customHeight="1" s="17"/>
    <row r="1139" ht="18" customHeight="1" s="17"/>
    <row r="1140" ht="18" customHeight="1" s="17"/>
    <row r="1141" ht="18" customHeight="1" s="17"/>
    <row r="1142" ht="18" customHeight="1" s="17"/>
    <row r="1143" ht="18" customHeight="1" s="17"/>
    <row r="1144" ht="18" customHeight="1" s="17"/>
    <row r="1145" ht="18" customHeight="1" s="17"/>
    <row r="1146" ht="18" customHeight="1" s="17"/>
    <row r="1147" ht="18" customHeight="1" s="17"/>
    <row r="1148" ht="18" customHeight="1" s="17"/>
    <row r="1149" ht="18" customHeight="1" s="17"/>
    <row r="1150" ht="18" customHeight="1" s="17"/>
    <row r="1151" ht="18" customHeight="1" s="17"/>
    <row r="1152" ht="18" customHeight="1" s="17"/>
    <row r="1153" ht="18" customHeight="1" s="17"/>
    <row r="1154" ht="18" customHeight="1" s="17"/>
    <row r="1155" ht="18" customHeight="1" s="17"/>
    <row r="1156" ht="18" customHeight="1" s="17"/>
    <row r="1157" ht="18" customHeight="1" s="17"/>
    <row r="1158" ht="18" customHeight="1" s="17"/>
    <row r="1159" ht="18" customHeight="1" s="17"/>
    <row r="1160" ht="18" customHeight="1" s="17"/>
    <row r="1161" ht="18" customHeight="1" s="17"/>
    <row r="1162" ht="18" customHeight="1" s="17"/>
    <row r="1163" ht="18" customHeight="1" s="17"/>
    <row r="1164" ht="18" customHeight="1" s="17"/>
    <row r="1165" ht="18" customHeight="1" s="17"/>
    <row r="1166" ht="18" customHeight="1" s="17"/>
    <row r="1167" ht="18" customHeight="1" s="17"/>
    <row r="1168" ht="18" customHeight="1" s="17"/>
    <row r="1169" ht="18" customHeight="1" s="17"/>
    <row r="1170" ht="18" customHeight="1" s="17"/>
    <row r="1171" ht="18" customHeight="1" s="17"/>
    <row r="1172" ht="18" customHeight="1" s="17"/>
    <row r="1173" ht="18" customHeight="1" s="17"/>
    <row r="1174" ht="18" customHeight="1" s="17"/>
    <row r="1175" ht="18" customHeight="1" s="17"/>
    <row r="1176" ht="18" customHeight="1" s="17"/>
    <row r="1177" ht="18" customHeight="1" s="17"/>
    <row r="1178" ht="18" customHeight="1" s="17"/>
    <row r="1179" ht="18" customHeight="1" s="17"/>
    <row r="1180" ht="18" customHeight="1" s="17"/>
    <row r="1181" ht="18" customHeight="1" s="17"/>
    <row r="1182" ht="18" customHeight="1" s="17"/>
    <row r="1183" ht="18" customHeight="1" s="17"/>
    <row r="1184" ht="18" customHeight="1" s="17"/>
    <row r="1185" ht="18" customHeight="1" s="17"/>
    <row r="1186" ht="18" customHeight="1" s="17"/>
    <row r="1187" ht="18" customHeight="1" s="17"/>
    <row r="1188" ht="18" customHeight="1" s="17"/>
    <row r="1189" ht="18" customHeight="1" s="17"/>
    <row r="1190" ht="18" customHeight="1" s="17"/>
    <row r="1191" ht="18" customHeight="1" s="17"/>
    <row r="1192" ht="18" customHeight="1" s="17"/>
    <row r="1193" ht="18" customHeight="1" s="17"/>
    <row r="1194" ht="18" customHeight="1" s="17"/>
    <row r="1195" ht="18" customHeight="1" s="17"/>
    <row r="1196" ht="18" customHeight="1" s="17"/>
    <row r="1197" ht="18" customHeight="1" s="17"/>
    <row r="1198" ht="18" customHeight="1" s="17"/>
    <row r="1199" ht="18" customHeight="1" s="17"/>
    <row r="1200" ht="18" customHeight="1" s="17"/>
    <row r="1201" ht="18" customHeight="1" s="17"/>
    <row r="1202" ht="18" customHeight="1" s="17"/>
    <row r="1203" ht="18" customHeight="1" s="17"/>
    <row r="1204" ht="18" customHeight="1" s="17"/>
    <row r="1205" ht="18" customHeight="1" s="17"/>
    <row r="1206" ht="18" customHeight="1" s="17"/>
    <row r="1207" ht="18" customHeight="1" s="17"/>
    <row r="1208" ht="18" customHeight="1" s="17"/>
    <row r="1209" ht="18" customHeight="1" s="17"/>
    <row r="1210" ht="18" customHeight="1" s="17"/>
    <row r="1211" ht="18" customHeight="1" s="17"/>
    <row r="1212" ht="18" customHeight="1" s="17"/>
    <row r="1213" ht="18" customHeight="1" s="17"/>
    <row r="1214" ht="18" customHeight="1" s="17"/>
    <row r="1215" ht="18" customHeight="1" s="17"/>
    <row r="1216" ht="18" customHeight="1" s="17"/>
    <row r="1217" ht="18" customHeight="1" s="17"/>
    <row r="1218" ht="18" customHeight="1" s="17"/>
    <row r="1219" ht="18" customHeight="1" s="17"/>
    <row r="1220" ht="18" customHeight="1" s="17"/>
    <row r="1221" ht="18" customHeight="1" s="17"/>
    <row r="1222" ht="18" customHeight="1" s="17"/>
    <row r="1223" ht="18" customHeight="1" s="17"/>
    <row r="1224" ht="18" customHeight="1" s="17"/>
    <row r="1225" ht="18" customHeight="1" s="17"/>
    <row r="1226" ht="18" customHeight="1" s="17"/>
    <row r="1227" ht="18" customHeight="1" s="17"/>
    <row r="1228" ht="18" customHeight="1" s="17"/>
    <row r="1229" ht="18" customHeight="1" s="17"/>
    <row r="1230" ht="18" customHeight="1" s="17"/>
    <row r="1231" ht="18" customHeight="1" s="17"/>
    <row r="1232" ht="18" customHeight="1" s="17"/>
    <row r="1233" ht="18" customHeight="1" s="17"/>
    <row r="1234" ht="18" customHeight="1" s="17"/>
    <row r="1235" ht="18" customHeight="1" s="17"/>
    <row r="1236" ht="18" customHeight="1" s="17"/>
    <row r="1237" ht="18" customHeight="1" s="17"/>
    <row r="1238" ht="18" customHeight="1" s="17"/>
    <row r="1239" ht="18" customHeight="1" s="17"/>
    <row r="1240" ht="18" customHeight="1" s="17"/>
    <row r="1241" ht="18" customHeight="1" s="17"/>
    <row r="1242" ht="18" customHeight="1" s="17"/>
    <row r="1243" ht="18" customHeight="1" s="17"/>
    <row r="1244" ht="18" customHeight="1" s="17"/>
    <row r="1245" ht="18" customHeight="1" s="17"/>
    <row r="1246" ht="18" customHeight="1" s="17"/>
    <row r="1247" ht="18" customHeight="1" s="17"/>
    <row r="1248" ht="18" customHeight="1" s="17"/>
    <row r="1249" ht="18" customHeight="1" s="17"/>
    <row r="1250" ht="18" customHeight="1" s="17"/>
    <row r="1251" ht="18" customHeight="1" s="17"/>
    <row r="1252" ht="18" customHeight="1" s="17"/>
    <row r="1253" ht="18" customHeight="1" s="17"/>
    <row r="1254" ht="18" customHeight="1" s="17"/>
    <row r="1255" ht="18" customHeight="1" s="17"/>
    <row r="1256" ht="18" customHeight="1" s="17"/>
    <row r="1257" ht="18" customHeight="1" s="17"/>
    <row r="1258" ht="18" customHeight="1" s="17"/>
    <row r="1259" ht="18" customHeight="1" s="17"/>
    <row r="1260" ht="18" customHeight="1" s="17"/>
    <row r="1261" ht="18" customHeight="1" s="17"/>
    <row r="1262" ht="18" customHeight="1" s="17"/>
    <row r="1263" ht="18" customHeight="1" s="17"/>
    <row r="1264" ht="18" customHeight="1" s="17"/>
    <row r="1265" ht="18" customHeight="1" s="17"/>
    <row r="1266" ht="18" customHeight="1" s="17"/>
    <row r="1267" ht="18" customHeight="1" s="17"/>
    <row r="1268" ht="18" customHeight="1" s="17"/>
    <row r="1269" ht="18" customHeight="1" s="17"/>
    <row r="1270" ht="18" customHeight="1" s="17"/>
    <row r="1271" ht="18" customHeight="1" s="17"/>
    <row r="1272" ht="18" customHeight="1" s="17"/>
    <row r="1273" ht="18" customHeight="1" s="17"/>
    <row r="1274" ht="18" customHeight="1" s="17"/>
    <row r="1275" ht="18" customHeight="1" s="17"/>
    <row r="1276" ht="18" customHeight="1" s="17"/>
    <row r="1277" ht="18" customHeight="1" s="17"/>
    <row r="1278" ht="18" customHeight="1" s="17"/>
    <row r="1279" ht="18" customHeight="1" s="17"/>
    <row r="1280" ht="18" customHeight="1" s="17"/>
    <row r="1281" ht="18" customHeight="1" s="17"/>
    <row r="1282" ht="18" customHeight="1" s="17"/>
    <row r="1283" ht="18" customHeight="1" s="17"/>
    <row r="1284" ht="18" customHeight="1" s="17"/>
    <row r="1285" ht="18" customHeight="1" s="17"/>
    <row r="1286" ht="18" customHeight="1" s="17"/>
    <row r="1287" ht="18" customHeight="1" s="17"/>
    <row r="1288" ht="18" customHeight="1" s="17"/>
    <row r="1289" ht="18" customHeight="1" s="17"/>
    <row r="1290" ht="18" customHeight="1" s="17"/>
    <row r="1291" ht="18" customHeight="1" s="17"/>
    <row r="1292" ht="18" customHeight="1" s="17"/>
    <row r="1293" ht="18" customHeight="1" s="17"/>
    <row r="1294" ht="18" customHeight="1" s="17"/>
    <row r="1295" ht="18" customHeight="1" s="17"/>
    <row r="1296" ht="18" customHeight="1" s="17"/>
    <row r="1297" ht="18" customHeight="1" s="17"/>
    <row r="1298" ht="18" customHeight="1" s="17"/>
    <row r="1299" ht="18" customHeight="1" s="17"/>
    <row r="1300" ht="18" customHeight="1" s="17"/>
    <row r="1301" ht="18" customHeight="1" s="17"/>
    <row r="1302" ht="18" customHeight="1" s="17"/>
    <row r="1303" ht="18" customHeight="1" s="17"/>
    <row r="1304" ht="18" customHeight="1" s="17"/>
    <row r="1305" ht="18" customHeight="1" s="17"/>
    <row r="1306" ht="18" customHeight="1" s="17"/>
    <row r="1307" ht="18" customHeight="1" s="17"/>
    <row r="1308" ht="18" customHeight="1" s="17"/>
    <row r="1309" ht="18" customHeight="1" s="17"/>
    <row r="1310" ht="18" customHeight="1" s="17"/>
    <row r="1311" ht="18" customHeight="1" s="17"/>
    <row r="1312" ht="18" customHeight="1" s="17"/>
    <row r="1313" ht="18" customHeight="1" s="17"/>
    <row r="1314" ht="18" customHeight="1" s="17"/>
    <row r="1315" ht="18" customHeight="1" s="17"/>
    <row r="1316" ht="18" customHeight="1" s="17"/>
    <row r="1317" ht="18" customHeight="1" s="17"/>
    <row r="1318" ht="18" customHeight="1" s="17"/>
    <row r="1319" ht="18" customHeight="1" s="17"/>
    <row r="1320" ht="18" customHeight="1" s="17"/>
    <row r="1321" ht="18" customHeight="1" s="17"/>
    <row r="1322" ht="18" customHeight="1" s="17"/>
    <row r="1323" ht="18" customHeight="1" s="17"/>
    <row r="1324" ht="18" customHeight="1" s="17"/>
    <row r="1325" ht="18" customHeight="1" s="17"/>
    <row r="1326" ht="18" customHeight="1" s="17"/>
    <row r="1327" ht="18" customHeight="1" s="17"/>
    <row r="1328" ht="18" customHeight="1" s="17"/>
    <row r="1329" ht="18" customHeight="1" s="17"/>
    <row r="1330" ht="18" customHeight="1" s="17"/>
    <row r="1331" ht="18" customHeight="1" s="17"/>
    <row r="1332" ht="18" customHeight="1" s="17"/>
    <row r="1333" ht="18" customHeight="1" s="17"/>
    <row r="1334" ht="18" customHeight="1" s="17"/>
    <row r="1335" ht="18" customHeight="1" s="17"/>
    <row r="1336" ht="18" customHeight="1" s="17"/>
    <row r="1337" ht="18" customHeight="1" s="17"/>
    <row r="1338" ht="18" customHeight="1" s="17"/>
    <row r="1339" ht="18" customHeight="1" s="17"/>
    <row r="1340" ht="18" customHeight="1" s="17"/>
    <row r="1341" ht="18" customHeight="1" s="17"/>
    <row r="1342" ht="18" customHeight="1" s="17"/>
    <row r="1343" ht="18" customHeight="1" s="17"/>
    <row r="1344" ht="18" customHeight="1" s="17"/>
    <row r="1345" ht="18" customHeight="1" s="17"/>
    <row r="1346" ht="18" customHeight="1" s="17"/>
    <row r="1347" ht="18" customHeight="1" s="17"/>
    <row r="1348" ht="18" customHeight="1" s="17"/>
    <row r="1349" ht="18" customHeight="1" s="17"/>
    <row r="1350" ht="18" customHeight="1" s="17"/>
    <row r="1351" ht="18" customHeight="1" s="17"/>
    <row r="1352" ht="18" customHeight="1" s="17"/>
    <row r="1353" ht="18" customHeight="1" s="17"/>
    <row r="1354" ht="18" customHeight="1" s="17"/>
    <row r="1355" ht="18" customHeight="1" s="17"/>
    <row r="1356" ht="18" customHeight="1" s="17"/>
    <row r="1357" ht="18" customHeight="1" s="17"/>
    <row r="1358" ht="18" customHeight="1" s="17"/>
    <row r="1359" ht="18" customHeight="1" s="17"/>
    <row r="1360" ht="18" customHeight="1" s="17"/>
    <row r="1361" ht="18" customHeight="1" s="17"/>
    <row r="1362" ht="18" customHeight="1" s="17"/>
    <row r="1363" ht="18" customHeight="1" s="17"/>
    <row r="1364" ht="18" customHeight="1" s="17"/>
    <row r="1365" ht="18" customHeight="1" s="17"/>
    <row r="1366" ht="18" customHeight="1" s="17"/>
    <row r="1367" ht="18" customHeight="1" s="17"/>
    <row r="1368" ht="18" customHeight="1" s="17"/>
    <row r="1369" ht="18" customHeight="1" s="17"/>
    <row r="1370" ht="18" customHeight="1" s="17"/>
    <row r="1371" ht="18" customHeight="1" s="17"/>
    <row r="1372" ht="18" customHeight="1" s="17"/>
    <row r="1373" ht="18" customHeight="1" s="17"/>
    <row r="1374" ht="18" customHeight="1" s="17"/>
    <row r="1375" ht="18" customHeight="1" s="17"/>
    <row r="1376" ht="18" customHeight="1" s="17"/>
    <row r="1377" ht="18" customHeight="1" s="17"/>
    <row r="1378" ht="18" customHeight="1" s="17"/>
    <row r="1379" ht="18" customHeight="1" s="17"/>
    <row r="1380" ht="18" customHeight="1" s="17"/>
    <row r="1381" ht="18" customHeight="1" s="17"/>
    <row r="1382" ht="18" customHeight="1" s="17"/>
    <row r="1383" ht="18" customHeight="1" s="17"/>
    <row r="1384" ht="18" customHeight="1" s="17"/>
    <row r="1385" ht="18" customHeight="1" s="17"/>
    <row r="1386" ht="18" customHeight="1" s="17"/>
    <row r="1387" ht="18" customHeight="1" s="17"/>
    <row r="1388" ht="18" customHeight="1" s="17"/>
    <row r="1389" ht="18" customHeight="1" s="17"/>
    <row r="1390" ht="18" customHeight="1" s="17"/>
    <row r="1391" ht="18" customHeight="1" s="17"/>
    <row r="1392" ht="18" customHeight="1" s="17"/>
    <row r="1393" ht="18" customHeight="1" s="17"/>
    <row r="1394" ht="18" customHeight="1" s="17"/>
    <row r="1395" ht="18" customHeight="1" s="17"/>
    <row r="1396" ht="18" customHeight="1" s="17"/>
    <row r="1397" ht="18" customHeight="1" s="17"/>
    <row r="1398" ht="18" customHeight="1" s="17"/>
    <row r="1399" ht="18" customHeight="1" s="17"/>
    <row r="1400" ht="18" customHeight="1" s="17"/>
    <row r="1401" ht="18" customHeight="1" s="17"/>
    <row r="1402" ht="18" customHeight="1" s="17"/>
    <row r="1403" ht="18" customHeight="1" s="17"/>
    <row r="1404" ht="18" customHeight="1" s="17"/>
    <row r="1405" ht="18" customHeight="1" s="17"/>
    <row r="1406" ht="18" customHeight="1" s="17"/>
    <row r="1407" ht="18" customHeight="1" s="17"/>
    <row r="1408" ht="18" customHeight="1" s="17"/>
    <row r="1409" ht="18" customHeight="1" s="17"/>
    <row r="1410" ht="18" customHeight="1" s="17"/>
    <row r="1411" ht="18" customHeight="1" s="17"/>
    <row r="1412" ht="18" customHeight="1" s="17"/>
    <row r="1413" ht="18" customHeight="1" s="17"/>
    <row r="1414" ht="18" customHeight="1" s="17"/>
    <row r="1415" ht="18" customHeight="1" s="17"/>
    <row r="1416" ht="18" customHeight="1" s="17"/>
    <row r="1417" ht="18" customHeight="1" s="17"/>
    <row r="1418" ht="18" customHeight="1" s="17"/>
    <row r="1419" ht="18" customHeight="1" s="17"/>
    <row r="1420" ht="18" customHeight="1" s="17"/>
    <row r="1421" ht="18" customHeight="1" s="17"/>
    <row r="1422" ht="18" customHeight="1" s="17"/>
    <row r="1423" ht="18" customHeight="1" s="17"/>
    <row r="1424" ht="18" customHeight="1" s="17"/>
    <row r="1425" ht="18" customHeight="1" s="17"/>
    <row r="1426" ht="18" customHeight="1" s="17"/>
    <row r="1427" ht="18" customHeight="1" s="17"/>
    <row r="1428" ht="18" customHeight="1" s="17"/>
    <row r="1429" ht="18" customHeight="1" s="17"/>
    <row r="1430" ht="18" customHeight="1" s="17"/>
    <row r="1431" ht="18" customHeight="1" s="17"/>
    <row r="1432" ht="18" customHeight="1" s="17"/>
    <row r="1433" ht="18" customHeight="1" s="17"/>
    <row r="1434" ht="18" customHeight="1" s="17"/>
    <row r="1435" ht="18" customHeight="1" s="17"/>
    <row r="1436" ht="18" customHeight="1" s="17"/>
    <row r="1437" ht="18" customHeight="1" s="17"/>
    <row r="1438" ht="18" customHeight="1" s="17"/>
    <row r="1439" ht="18" customHeight="1" s="17"/>
    <row r="1440" ht="18" customHeight="1" s="17"/>
    <row r="1441" ht="18" customHeight="1" s="17"/>
    <row r="1442" ht="18" customHeight="1" s="17"/>
    <row r="1443" ht="18" customHeight="1" s="17"/>
    <row r="1444" ht="18" customHeight="1" s="17"/>
    <row r="1445" ht="18" customHeight="1" s="17"/>
    <row r="1446" ht="18" customHeight="1" s="17"/>
    <row r="1447" ht="18" customHeight="1" s="17"/>
    <row r="1448" ht="18" customHeight="1" s="17"/>
    <row r="1449" ht="18" customHeight="1" s="17"/>
    <row r="1450" ht="18" customHeight="1" s="17"/>
    <row r="1451" ht="18" customHeight="1" s="17"/>
    <row r="1452" ht="18" customHeight="1" s="17"/>
    <row r="1453" ht="18" customHeight="1" s="17"/>
    <row r="1454" ht="18" customHeight="1" s="17"/>
    <row r="1455" ht="18" customHeight="1" s="17"/>
    <row r="1456" ht="18" customHeight="1" s="17"/>
    <row r="1457" ht="18" customHeight="1" s="17"/>
    <row r="1458" ht="18" customHeight="1" s="17"/>
    <row r="1459" ht="18" customHeight="1" s="17"/>
    <row r="1460" ht="18" customHeight="1" s="17"/>
    <row r="1461" ht="18" customHeight="1" s="17"/>
    <row r="1462" ht="18" customHeight="1" s="17"/>
    <row r="1463" ht="18" customHeight="1" s="17"/>
    <row r="1464" ht="18" customHeight="1" s="17"/>
    <row r="1465" ht="18" customHeight="1" s="17"/>
    <row r="1466" ht="18" customHeight="1" s="17"/>
    <row r="1467" ht="18" customHeight="1" s="17"/>
    <row r="1468" ht="18" customHeight="1" s="17"/>
    <row r="1469" ht="18" customHeight="1" s="17"/>
    <row r="1470" ht="18" customHeight="1" s="17"/>
    <row r="1471" ht="18" customHeight="1" s="17"/>
    <row r="1472" ht="18" customHeight="1" s="17"/>
    <row r="1473" ht="18" customHeight="1" s="17"/>
    <row r="1474" ht="18" customHeight="1" s="17"/>
    <row r="1475" ht="18" customHeight="1" s="17"/>
    <row r="1476" ht="18" customHeight="1" s="17"/>
    <row r="1477" ht="18" customHeight="1" s="17"/>
    <row r="1478" ht="18" customHeight="1" s="17"/>
    <row r="1479" ht="18" customHeight="1" s="17"/>
    <row r="1480" ht="18" customHeight="1" s="17"/>
    <row r="1481" ht="18" customHeight="1" s="17"/>
    <row r="1482" ht="18" customHeight="1" s="17"/>
    <row r="1483" ht="18" customHeight="1" s="17"/>
    <row r="1484" ht="18" customHeight="1" s="17"/>
    <row r="1485" ht="18" customHeight="1" s="17"/>
    <row r="1486" ht="18" customHeight="1" s="17"/>
    <row r="1487" ht="18" customHeight="1" s="17"/>
    <row r="1488" ht="18" customHeight="1" s="17"/>
    <row r="1489" ht="18" customHeight="1" s="17"/>
    <row r="1490" ht="18" customHeight="1" s="17"/>
    <row r="1491" ht="18" customHeight="1" s="17"/>
    <row r="1492" ht="18" customHeight="1" s="17"/>
    <row r="1493" ht="18" customHeight="1" s="17"/>
    <row r="1494" ht="18" customHeight="1" s="17"/>
    <row r="1495" ht="18" customHeight="1" s="17"/>
    <row r="1496" ht="18" customHeight="1" s="17"/>
    <row r="1497" ht="18" customHeight="1" s="17"/>
    <row r="1498" ht="18" customHeight="1" s="17"/>
    <row r="1499" ht="18" customHeight="1" s="17"/>
    <row r="1500" ht="18" customHeight="1" s="17"/>
    <row r="1501" ht="18" customHeight="1" s="17"/>
    <row r="1502" ht="18" customHeight="1" s="17"/>
    <row r="1503" ht="18" customHeight="1" s="17"/>
    <row r="1504" ht="18" customHeight="1" s="17"/>
    <row r="1505" ht="18" customHeight="1" s="17"/>
    <row r="1506" ht="18" customHeight="1" s="17"/>
    <row r="1507" ht="18" customHeight="1" s="17"/>
    <row r="1508" ht="18" customHeight="1" s="17"/>
    <row r="1509" ht="18" customHeight="1" s="17"/>
    <row r="1510" ht="18" customHeight="1" s="17"/>
    <row r="1511" ht="18" customHeight="1" s="17"/>
    <row r="1512" ht="18" customHeight="1" s="17"/>
    <row r="1513" ht="18" customHeight="1" s="17"/>
    <row r="1514" ht="18" customHeight="1" s="17"/>
    <row r="1515" ht="18" customHeight="1" s="17"/>
    <row r="1516" ht="18" customHeight="1" s="17"/>
    <row r="1517" ht="18" customHeight="1" s="17"/>
    <row r="1518" ht="18" customHeight="1" s="17"/>
    <row r="1519" ht="18" customHeight="1" s="17"/>
    <row r="1520" ht="18" customHeight="1" s="17"/>
    <row r="1521" ht="18" customHeight="1" s="17"/>
    <row r="1522" ht="18" customHeight="1" s="17"/>
    <row r="1523" ht="18" customHeight="1" s="17"/>
    <row r="1524" ht="18" customHeight="1" s="17"/>
    <row r="1525" ht="18" customHeight="1" s="17"/>
    <row r="1526" ht="18" customHeight="1" s="17"/>
    <row r="1527" ht="18" customHeight="1" s="17"/>
    <row r="1528" ht="18" customHeight="1" s="17"/>
    <row r="1529" ht="18" customHeight="1" s="17"/>
    <row r="1530" ht="18" customHeight="1" s="17"/>
    <row r="1531" ht="18" customHeight="1" s="17"/>
    <row r="1532" ht="18" customHeight="1" s="17"/>
    <row r="1533" ht="18" customHeight="1" s="17"/>
    <row r="1534" ht="18" customHeight="1" s="17"/>
    <row r="1535" ht="18" customHeight="1" s="17"/>
    <row r="1536" ht="18" customHeight="1" s="17"/>
    <row r="1537" ht="18" customHeight="1" s="17"/>
    <row r="1538" ht="18" customHeight="1" s="17"/>
    <row r="1539" ht="18" customHeight="1" s="17"/>
    <row r="1540" ht="18" customHeight="1" s="17"/>
    <row r="1541" ht="18" customHeight="1" s="17"/>
    <row r="1542" ht="18" customHeight="1" s="17"/>
    <row r="1543" ht="18" customHeight="1" s="17"/>
    <row r="1544" ht="18" customHeight="1" s="17"/>
    <row r="1545" ht="18" customHeight="1" s="17"/>
    <row r="1546" ht="18" customHeight="1" s="17"/>
    <row r="1547" ht="18" customHeight="1" s="17"/>
    <row r="1548" ht="18" customHeight="1" s="17"/>
    <row r="1549" ht="18" customHeight="1" s="17"/>
    <row r="1550" ht="18" customHeight="1" s="17"/>
    <row r="1551" ht="18" customHeight="1" s="17"/>
    <row r="1552" ht="18" customHeight="1" s="17"/>
    <row r="1553" ht="18" customHeight="1" s="17"/>
    <row r="1554" ht="18" customHeight="1" s="17"/>
    <row r="1555" ht="18" customHeight="1" s="17"/>
    <row r="1556" ht="18" customHeight="1" s="17"/>
    <row r="1557" ht="18" customHeight="1" s="17"/>
    <row r="1558" ht="18" customHeight="1" s="17"/>
    <row r="1559" ht="18" customHeight="1" s="17"/>
    <row r="1560" ht="18" customHeight="1" s="17"/>
    <row r="1561" ht="18" customHeight="1" s="17"/>
    <row r="1562" ht="18" customHeight="1" s="17"/>
    <row r="1563" ht="18" customHeight="1" s="17"/>
    <row r="1564" ht="18" customHeight="1" s="17"/>
    <row r="1565" ht="18" customHeight="1" s="17"/>
    <row r="1566" ht="18" customHeight="1" s="17"/>
    <row r="1567" ht="18" customHeight="1" s="17"/>
    <row r="1568" ht="18" customHeight="1" s="17"/>
    <row r="1569" ht="18" customHeight="1" s="17"/>
    <row r="1570" ht="18" customHeight="1" s="17"/>
    <row r="1571" ht="18" customHeight="1" s="17"/>
    <row r="1572" ht="18" customHeight="1" s="17"/>
    <row r="1573" ht="18" customHeight="1" s="17"/>
    <row r="1574" ht="18" customHeight="1" s="17"/>
    <row r="1575" ht="18" customHeight="1" s="17"/>
    <row r="1576" ht="18" customHeight="1" s="17"/>
    <row r="1577" ht="18" customHeight="1" s="17"/>
    <row r="1578" ht="18" customHeight="1" s="17"/>
    <row r="1579" ht="18" customHeight="1" s="17"/>
    <row r="1580" ht="18" customHeight="1" s="17"/>
    <row r="1581" ht="18" customHeight="1" s="17"/>
    <row r="1582" ht="18" customHeight="1" s="17"/>
    <row r="1583" ht="18" customHeight="1" s="17"/>
    <row r="1584" ht="18" customHeight="1" s="17"/>
    <row r="1585" ht="18" customHeight="1" s="17"/>
    <row r="1586" ht="18" customHeight="1" s="17"/>
    <row r="1587" ht="18" customHeight="1" s="17"/>
    <row r="1588" ht="18" customHeight="1" s="17"/>
    <row r="1589" ht="18" customHeight="1" s="17"/>
    <row r="1590" ht="18" customHeight="1" s="17"/>
    <row r="1591" ht="18" customHeight="1" s="17"/>
    <row r="1592" ht="18" customHeight="1" s="17"/>
    <row r="1593" ht="18" customHeight="1" s="17"/>
    <row r="1594" ht="18" customHeight="1" s="17"/>
    <row r="1595" ht="18" customHeight="1" s="17"/>
    <row r="1596" ht="18" customHeight="1" s="17"/>
    <row r="1597" ht="18" customHeight="1" s="17"/>
    <row r="1598" ht="18" customHeight="1" s="17"/>
    <row r="1599" ht="18" customHeight="1" s="17"/>
    <row r="1600" ht="18" customHeight="1" s="17"/>
    <row r="1601" ht="18" customHeight="1" s="17"/>
    <row r="1602" ht="18" customHeight="1" s="17"/>
    <row r="1603" ht="18" customHeight="1" s="17"/>
    <row r="1604" ht="18" customHeight="1" s="17"/>
    <row r="1605" ht="18" customHeight="1" s="17"/>
    <row r="1606" ht="18" customHeight="1" s="17"/>
    <row r="1607" ht="18" customHeight="1" s="17"/>
    <row r="1608" ht="18" customHeight="1" s="17"/>
    <row r="1609" ht="18" customHeight="1" s="17"/>
    <row r="1610" ht="18" customHeight="1" s="17"/>
    <row r="1611" ht="18" customHeight="1" s="17"/>
    <row r="1612" ht="18" customHeight="1" s="17"/>
    <row r="1613" ht="18" customHeight="1" s="17"/>
    <row r="1614" ht="18" customHeight="1" s="17"/>
    <row r="1615" ht="18" customHeight="1" s="17"/>
    <row r="1616" ht="18" customHeight="1" s="17"/>
    <row r="1617" ht="18" customHeight="1" s="17"/>
    <row r="1618" ht="18" customHeight="1" s="17"/>
    <row r="1619" ht="18" customHeight="1" s="17"/>
    <row r="1620" ht="18" customHeight="1" s="17"/>
    <row r="1621" ht="18" customHeight="1" s="17"/>
    <row r="1622" ht="18" customHeight="1" s="17"/>
    <row r="1623" ht="18" customHeight="1" s="17"/>
    <row r="1624" ht="18" customHeight="1" s="17"/>
    <row r="1625" ht="18" customHeight="1" s="17"/>
    <row r="1626" ht="18" customHeight="1" s="17"/>
    <row r="1627" ht="18" customHeight="1" s="17"/>
    <row r="1628" ht="18" customHeight="1" s="17"/>
    <row r="1629" ht="18" customHeight="1" s="17"/>
    <row r="1630" ht="18" customHeight="1" s="17"/>
    <row r="1631" ht="18" customHeight="1" s="17"/>
    <row r="1632" ht="18" customHeight="1" s="17"/>
    <row r="1633" ht="18" customHeight="1" s="17"/>
    <row r="1634" ht="18" customHeight="1" s="17"/>
    <row r="1635" ht="18" customHeight="1" s="17"/>
    <row r="1636" ht="18" customHeight="1" s="17"/>
    <row r="1637" ht="18" customHeight="1" s="17"/>
    <row r="1638" ht="18" customHeight="1" s="17"/>
    <row r="1639" ht="18" customHeight="1" s="17"/>
    <row r="1640" ht="18" customHeight="1" s="17"/>
    <row r="1641" ht="18" customHeight="1" s="17"/>
    <row r="1642" ht="18" customHeight="1" s="17"/>
    <row r="1643" ht="18" customHeight="1" s="17"/>
    <row r="1644" ht="18" customHeight="1" s="17"/>
    <row r="1645" ht="18" customHeight="1" s="17"/>
    <row r="1646" ht="18" customHeight="1" s="17"/>
    <row r="1647" ht="18" customHeight="1" s="17"/>
    <row r="1648" ht="18" customHeight="1" s="17"/>
    <row r="1649" ht="18" customHeight="1" s="17"/>
    <row r="1650" ht="18" customHeight="1" s="17"/>
    <row r="1651" ht="18" customHeight="1" s="17"/>
    <row r="1652" ht="18" customHeight="1" s="17"/>
    <row r="1653" ht="18" customHeight="1" s="17"/>
    <row r="1654" ht="18" customHeight="1" s="17"/>
    <row r="1655" ht="18" customHeight="1" s="17"/>
    <row r="1656" ht="18" customHeight="1" s="17"/>
    <row r="1657" ht="18" customHeight="1" s="17"/>
    <row r="1658" ht="18" customHeight="1" s="17"/>
    <row r="1659" ht="18" customHeight="1" s="17"/>
    <row r="1660" ht="18" customHeight="1" s="17"/>
    <row r="1661" ht="18" customHeight="1" s="17"/>
    <row r="1662" ht="18" customHeight="1" s="17"/>
    <row r="1663" ht="18" customHeight="1" s="17"/>
    <row r="1664" ht="18" customHeight="1" s="17"/>
    <row r="1665" ht="18" customHeight="1" s="17"/>
    <row r="1666" ht="18" customHeight="1" s="17"/>
    <row r="1667" ht="18" customHeight="1" s="17"/>
    <row r="1668" ht="18" customHeight="1" s="17"/>
    <row r="1669" ht="18" customHeight="1" s="17"/>
    <row r="1670" ht="18" customHeight="1" s="17"/>
    <row r="1671" ht="18" customHeight="1" s="17"/>
    <row r="1672" ht="18" customHeight="1" s="17"/>
    <row r="1673" ht="18" customHeight="1" s="17"/>
    <row r="1674" ht="18" customHeight="1" s="17"/>
    <row r="1675" ht="18" customHeight="1" s="17"/>
    <row r="1676" ht="18" customHeight="1" s="17"/>
    <row r="1677" ht="18" customHeight="1" s="17"/>
    <row r="1678" ht="18" customHeight="1" s="17"/>
    <row r="1679" ht="18" customHeight="1" s="17"/>
    <row r="1680" ht="18" customHeight="1" s="17"/>
    <row r="1681" ht="18" customHeight="1" s="17"/>
    <row r="1682" ht="18" customHeight="1" s="17"/>
    <row r="1683" ht="18" customHeight="1" s="17"/>
    <row r="1684" ht="18" customHeight="1" s="17"/>
    <row r="1685" ht="18" customHeight="1" s="17"/>
    <row r="1686" ht="18" customHeight="1" s="17"/>
    <row r="1687" ht="18" customHeight="1" s="17"/>
    <row r="1688" ht="18" customHeight="1" s="17"/>
    <row r="1689" ht="18" customHeight="1" s="17"/>
    <row r="1690" ht="18" customHeight="1" s="17"/>
    <row r="1691" ht="18" customHeight="1" s="17"/>
    <row r="1692" ht="18" customHeight="1" s="17"/>
    <row r="1693" ht="18" customHeight="1" s="17"/>
    <row r="1694" ht="18" customHeight="1" s="17"/>
    <row r="1695" ht="18" customHeight="1" s="17"/>
    <row r="1696" ht="18" customHeight="1" s="17"/>
    <row r="1697" ht="18" customHeight="1" s="17"/>
    <row r="1698" ht="18" customHeight="1" s="17"/>
    <row r="1699" ht="18" customHeight="1" s="17"/>
    <row r="1700" ht="18" customHeight="1" s="17"/>
    <row r="1701" ht="18" customHeight="1" s="17"/>
    <row r="1702" ht="18" customHeight="1" s="17"/>
    <row r="1703" ht="18" customHeight="1" s="17"/>
    <row r="1704" ht="18" customHeight="1" s="17"/>
    <row r="1705" ht="18" customHeight="1" s="17"/>
    <row r="1706" ht="18" customHeight="1" s="17"/>
    <row r="1707" ht="18" customHeight="1" s="17"/>
    <row r="1708" ht="18" customHeight="1" s="17"/>
    <row r="1709" ht="18" customHeight="1" s="17"/>
    <row r="1710" ht="18" customHeight="1" s="17"/>
    <row r="1711" ht="18" customHeight="1" s="17"/>
    <row r="1712" ht="18" customHeight="1" s="17"/>
    <row r="1713" ht="18" customHeight="1" s="17"/>
    <row r="1714" ht="18" customHeight="1" s="17"/>
    <row r="1715" ht="18" customHeight="1" s="17"/>
    <row r="1716" ht="18" customHeight="1" s="17"/>
    <row r="1717" ht="18" customHeight="1" s="17"/>
    <row r="1718" ht="18" customHeight="1" s="17"/>
    <row r="1719" ht="18" customHeight="1" s="17"/>
    <row r="1720" ht="18" customHeight="1" s="17"/>
    <row r="1721" ht="18" customHeight="1" s="17"/>
    <row r="1722" ht="18" customHeight="1" s="17"/>
    <row r="1723" ht="18" customHeight="1" s="17"/>
    <row r="1724" ht="18" customHeight="1" s="17"/>
    <row r="1725" ht="18" customHeight="1" s="17"/>
    <row r="1726" ht="18" customHeight="1" s="17"/>
    <row r="1727" ht="18" customHeight="1" s="17"/>
    <row r="1728" ht="18" customHeight="1" s="17"/>
    <row r="1729" ht="18" customHeight="1" s="17"/>
    <row r="1730" ht="18" customHeight="1" s="17"/>
    <row r="1731" ht="18" customHeight="1" s="17"/>
    <row r="1732" ht="18" customHeight="1" s="17"/>
    <row r="1733" ht="18" customHeight="1" s="17"/>
    <row r="1734" ht="18" customHeight="1" s="17"/>
    <row r="1735" ht="18" customHeight="1" s="17"/>
    <row r="1736" ht="18" customHeight="1" s="17"/>
    <row r="1737" ht="18" customHeight="1" s="17"/>
    <row r="1738" ht="18" customHeight="1" s="17"/>
    <row r="1739" ht="18" customHeight="1" s="17"/>
    <row r="1740" ht="18" customHeight="1" s="17"/>
    <row r="1741" ht="18" customHeight="1" s="17"/>
    <row r="1742" ht="18" customHeight="1" s="17"/>
    <row r="1743" ht="18" customHeight="1" s="17"/>
    <row r="1744" ht="18" customHeight="1" s="17"/>
    <row r="1745" ht="18" customHeight="1" s="17"/>
    <row r="1746" ht="18" customHeight="1" s="17"/>
    <row r="1747" ht="18" customHeight="1" s="17"/>
    <row r="1748" ht="18" customHeight="1" s="17"/>
    <row r="1749" ht="18" customHeight="1" s="17"/>
    <row r="1750" ht="18" customHeight="1" s="17"/>
    <row r="1751" ht="18" customHeight="1" s="17"/>
    <row r="1752" ht="18" customHeight="1" s="17"/>
    <row r="1753" ht="18" customHeight="1" s="17"/>
    <row r="1754" ht="18" customHeight="1" s="17"/>
    <row r="1755" ht="18" customHeight="1" s="17"/>
    <row r="1756" ht="18" customHeight="1" s="17"/>
    <row r="1757" ht="18" customHeight="1" s="17"/>
    <row r="1758" ht="18" customHeight="1" s="17"/>
    <row r="1759" ht="18" customHeight="1" s="17"/>
    <row r="1760" ht="18" customHeight="1" s="17"/>
    <row r="1761" ht="18" customHeight="1" s="17"/>
    <row r="1762" ht="18" customHeight="1" s="17"/>
    <row r="1763" ht="18" customHeight="1" s="17"/>
    <row r="1764" ht="18" customHeight="1" s="17"/>
    <row r="1765" ht="18" customHeight="1" s="17"/>
    <row r="1766" ht="18" customHeight="1" s="17"/>
    <row r="1767" ht="18" customHeight="1" s="17"/>
    <row r="1768" ht="18" customHeight="1" s="17"/>
    <row r="1769" ht="18" customHeight="1" s="17"/>
    <row r="1770" ht="18" customHeight="1" s="17"/>
    <row r="1771" ht="18" customHeight="1" s="17"/>
    <row r="1772" ht="18" customHeight="1" s="17"/>
    <row r="1773" ht="18" customHeight="1" s="17"/>
    <row r="1774" ht="18" customHeight="1" s="17"/>
    <row r="1775" ht="18" customHeight="1" s="17"/>
    <row r="1776" ht="18" customHeight="1" s="17"/>
    <row r="1777" ht="18" customHeight="1" s="17"/>
    <row r="1778" ht="18" customHeight="1" s="17"/>
    <row r="1779" ht="18" customHeight="1" s="17"/>
    <row r="1780" ht="18" customHeight="1" s="17"/>
    <row r="1781" ht="18" customHeight="1" s="17"/>
    <row r="1782" ht="18" customHeight="1" s="17"/>
    <row r="1783" ht="18" customHeight="1" s="17"/>
    <row r="1784" ht="18" customHeight="1" s="17"/>
    <row r="1785" ht="18" customHeight="1" s="17"/>
    <row r="1786" ht="18" customHeight="1" s="17"/>
    <row r="1787" ht="18" customHeight="1" s="17"/>
    <row r="1788" ht="18" customHeight="1" s="17"/>
    <row r="1789" ht="18" customHeight="1" s="17"/>
    <row r="1790" ht="18" customHeight="1" s="17"/>
    <row r="1791" ht="18" customHeight="1" s="17"/>
    <row r="1792" ht="18" customHeight="1" s="17"/>
    <row r="1793" ht="18" customHeight="1" s="17"/>
    <row r="1794" ht="18" customHeight="1" s="17"/>
    <row r="1795" ht="18" customHeight="1" s="17"/>
    <row r="1796" ht="18" customHeight="1" s="17"/>
    <row r="1797" ht="18" customHeight="1" s="17"/>
    <row r="1798" ht="18" customHeight="1" s="17"/>
    <row r="1799" ht="18" customHeight="1" s="17"/>
    <row r="1800" ht="18" customHeight="1" s="17"/>
    <row r="1801" ht="18" customHeight="1" s="17"/>
    <row r="1802" ht="18" customHeight="1" s="17"/>
    <row r="1803" ht="18" customHeight="1" s="17"/>
    <row r="1804" ht="18" customHeight="1" s="17"/>
    <row r="1805" ht="18" customHeight="1" s="17"/>
    <row r="1806" ht="18" customHeight="1" s="17"/>
    <row r="1807" ht="18" customHeight="1" s="17"/>
    <row r="1808" ht="18" customHeight="1" s="17"/>
    <row r="1809" ht="18" customHeight="1" s="17"/>
    <row r="1810" ht="18" customHeight="1" s="17"/>
    <row r="1811" ht="18" customHeight="1" s="17"/>
    <row r="1812" ht="18" customHeight="1" s="17"/>
    <row r="1813" ht="18" customHeight="1" s="17"/>
    <row r="1814" ht="18" customHeight="1" s="17"/>
    <row r="1815" ht="18" customHeight="1" s="17"/>
    <row r="1816" ht="18" customHeight="1" s="17"/>
    <row r="1817" ht="18" customHeight="1" s="17"/>
    <row r="1818" ht="18" customHeight="1" s="17"/>
    <row r="1819" ht="18" customHeight="1" s="17"/>
    <row r="1820" ht="18" customHeight="1" s="17"/>
    <row r="1821" ht="18" customHeight="1" s="17"/>
    <row r="1822" ht="18" customHeight="1" s="17"/>
    <row r="1823" ht="18" customHeight="1" s="17"/>
    <row r="1824" ht="18" customHeight="1" s="17"/>
    <row r="1825" ht="18" customHeight="1" s="17"/>
    <row r="1826" ht="18" customHeight="1" s="17"/>
    <row r="1827" ht="18" customHeight="1" s="17"/>
    <row r="1828" ht="18" customHeight="1" s="17"/>
    <row r="1829" ht="18" customHeight="1" s="17"/>
    <row r="1830" ht="18" customHeight="1" s="17"/>
    <row r="1831" ht="18" customHeight="1" s="17"/>
    <row r="1832" ht="18" customHeight="1" s="17"/>
    <row r="1833" ht="18" customHeight="1" s="17"/>
    <row r="1834" ht="18" customHeight="1" s="17"/>
    <row r="1835" ht="18" customHeight="1" s="17"/>
    <row r="1836" ht="18" customHeight="1" s="17"/>
    <row r="1837" ht="18" customHeight="1" s="17"/>
    <row r="1838" ht="18" customHeight="1" s="17"/>
    <row r="1839" ht="18" customHeight="1" s="17"/>
    <row r="1840" ht="18" customHeight="1" s="17"/>
    <row r="1841" ht="18" customHeight="1" s="17"/>
    <row r="1842" ht="18" customHeight="1" s="17"/>
    <row r="1843" ht="18" customHeight="1" s="17"/>
    <row r="1844" ht="18" customHeight="1" s="17"/>
    <row r="1845" ht="18" customHeight="1" s="17"/>
    <row r="1846" ht="18" customHeight="1" s="17"/>
    <row r="1847" ht="18" customHeight="1" s="17"/>
    <row r="1848" ht="18" customHeight="1" s="17"/>
    <row r="1849" ht="18" customHeight="1" s="17"/>
    <row r="1850" ht="18" customHeight="1" s="17"/>
    <row r="1851" ht="18" customHeight="1" s="17"/>
    <row r="1852" ht="18" customHeight="1" s="17"/>
    <row r="1853" ht="18" customHeight="1" s="17"/>
    <row r="1854" ht="18" customHeight="1" s="17"/>
    <row r="1855" ht="18" customHeight="1" s="17"/>
    <row r="1856" ht="18" customHeight="1" s="17"/>
    <row r="1857" ht="18" customHeight="1" s="17"/>
    <row r="1858" ht="18" customHeight="1" s="17"/>
    <row r="1859" ht="18" customHeight="1" s="17"/>
    <row r="1860" ht="18" customHeight="1" s="17"/>
    <row r="1861" ht="18" customHeight="1" s="17"/>
    <row r="1862" ht="18" customHeight="1" s="17"/>
    <row r="1863" ht="18" customHeight="1" s="17"/>
    <row r="1864" ht="18" customHeight="1" s="17"/>
    <row r="1865" ht="18" customHeight="1" s="17"/>
    <row r="1866" ht="18" customHeight="1" s="17"/>
    <row r="1867" ht="18" customHeight="1" s="17"/>
    <row r="1868" ht="18" customHeight="1" s="17"/>
    <row r="1869" ht="18" customHeight="1" s="17"/>
    <row r="1870" ht="18" customHeight="1" s="17"/>
    <row r="1871" ht="18" customHeight="1" s="17"/>
    <row r="1872" ht="18" customHeight="1" s="17"/>
    <row r="1873" ht="18" customHeight="1" s="17"/>
    <row r="1874" ht="18" customHeight="1" s="17"/>
    <row r="1875" ht="18" customHeight="1" s="17"/>
    <row r="1876" ht="18" customHeight="1" s="17"/>
    <row r="1877" ht="18" customHeight="1" s="17"/>
    <row r="1878" ht="18" customHeight="1" s="17"/>
    <row r="1879" ht="18" customHeight="1" s="17"/>
    <row r="1880" ht="18" customHeight="1" s="17"/>
    <row r="1881" ht="18" customHeight="1" s="17"/>
    <row r="1882" ht="18" customHeight="1" s="17"/>
    <row r="1883" ht="18" customHeight="1" s="17"/>
    <row r="1884" ht="18" customHeight="1" s="17"/>
    <row r="1885" ht="18" customHeight="1" s="17"/>
    <row r="1886" ht="18" customHeight="1" s="17"/>
    <row r="1887" ht="18" customHeight="1" s="17"/>
    <row r="1888" ht="18" customHeight="1" s="17"/>
    <row r="1889" ht="18" customHeight="1" s="17"/>
    <row r="1890" ht="18" customHeight="1" s="17"/>
    <row r="1891" ht="18" customHeight="1" s="17"/>
    <row r="1892" ht="18" customHeight="1" s="17"/>
    <row r="1893" ht="18" customHeight="1" s="17"/>
    <row r="1894" ht="18" customHeight="1" s="17"/>
    <row r="1895" ht="18" customHeight="1" s="17"/>
    <row r="1896" ht="18" customHeight="1" s="17"/>
    <row r="1897" ht="18" customHeight="1" s="17"/>
    <row r="1898" ht="18" customHeight="1" s="17"/>
    <row r="1899" ht="18" customHeight="1" s="17"/>
    <row r="1900" ht="18" customHeight="1" s="17"/>
    <row r="1901" ht="18" customHeight="1" s="17"/>
    <row r="1902" ht="18" customHeight="1" s="17"/>
    <row r="1903" ht="18" customHeight="1" s="17"/>
    <row r="1904" ht="18" customHeight="1" s="17"/>
    <row r="1905" ht="18" customHeight="1" s="17"/>
    <row r="1906" ht="18" customHeight="1" s="17"/>
    <row r="1907" ht="18" customHeight="1" s="17"/>
    <row r="1908" ht="18" customHeight="1" s="17"/>
    <row r="1909" ht="18" customHeight="1" s="17"/>
    <row r="1910" ht="18" customHeight="1" s="17"/>
    <row r="1911" ht="18" customHeight="1" s="17"/>
    <row r="1912" ht="18" customHeight="1" s="17"/>
    <row r="1913" ht="18" customHeight="1" s="17"/>
    <row r="1914" ht="18" customHeight="1" s="17"/>
    <row r="1915" ht="18" customHeight="1" s="17"/>
    <row r="1916" ht="18" customHeight="1" s="17"/>
    <row r="1917" ht="18" customHeight="1" s="17"/>
    <row r="1918" ht="18" customHeight="1" s="17"/>
    <row r="1919" ht="18" customHeight="1" s="17"/>
    <row r="1920" ht="18" customHeight="1" s="17"/>
    <row r="1921" ht="18" customHeight="1" s="17"/>
    <row r="1922" ht="18" customHeight="1" s="17"/>
    <row r="1923" ht="18" customHeight="1" s="17"/>
    <row r="1924" ht="18" customHeight="1" s="17"/>
    <row r="1925" ht="18" customHeight="1" s="17"/>
    <row r="1926" ht="18" customHeight="1" s="17"/>
    <row r="1927" ht="18" customHeight="1" s="17"/>
    <row r="1928" ht="18" customHeight="1" s="17"/>
    <row r="1929" ht="18" customHeight="1" s="17"/>
    <row r="1930" ht="18" customHeight="1" s="17"/>
    <row r="1931" ht="18" customHeight="1" s="17"/>
    <row r="1932" ht="18" customHeight="1" s="17"/>
    <row r="1933" ht="18" customHeight="1" s="17"/>
    <row r="1934" ht="18" customHeight="1" s="17"/>
    <row r="1935" ht="18" customHeight="1" s="17"/>
    <row r="1936" ht="18" customHeight="1" s="17"/>
    <row r="1937" ht="18" customHeight="1" s="17"/>
    <row r="1938" ht="18" customHeight="1" s="17"/>
    <row r="1939" ht="18" customHeight="1" s="17"/>
    <row r="1940" ht="18" customHeight="1" s="17"/>
    <row r="1941" ht="18" customHeight="1" s="17"/>
    <row r="1942" ht="18" customHeight="1" s="17"/>
    <row r="1943" ht="18" customHeight="1" s="17"/>
    <row r="1944" ht="18" customHeight="1" s="17"/>
    <row r="1945" ht="18" customHeight="1" s="17"/>
    <row r="1946" ht="18" customHeight="1" s="17"/>
    <row r="1947" ht="18" customHeight="1" s="17"/>
    <row r="1948" ht="18" customHeight="1" s="17"/>
    <row r="1949" ht="18" customHeight="1" s="17"/>
    <row r="1950" ht="18" customHeight="1" s="17"/>
    <row r="1951" ht="18" customHeight="1" s="17"/>
    <row r="1952" ht="18" customHeight="1" s="17"/>
    <row r="1953" ht="18" customHeight="1" s="17"/>
    <row r="1954" ht="18" customHeight="1" s="17"/>
    <row r="1955" ht="18" customHeight="1" s="17"/>
    <row r="1956" ht="18" customHeight="1" s="17"/>
    <row r="1957" ht="18" customHeight="1" s="17"/>
    <row r="1958" ht="18" customHeight="1" s="17"/>
    <row r="1959" ht="18" customHeight="1" s="17"/>
    <row r="1960" ht="18" customHeight="1" s="17"/>
    <row r="1961" ht="18" customHeight="1" s="17"/>
    <row r="1962" ht="18" customHeight="1" s="17"/>
    <row r="1963" ht="18" customHeight="1" s="17"/>
    <row r="1964" ht="18" customHeight="1" s="17"/>
    <row r="1965" ht="18" customHeight="1" s="17"/>
    <row r="1966" ht="18" customHeight="1" s="17"/>
    <row r="1967" ht="18" customHeight="1" s="17"/>
    <row r="1968" ht="18" customHeight="1" s="17"/>
    <row r="1969" ht="18" customHeight="1" s="17"/>
    <row r="1970" ht="18" customHeight="1" s="17"/>
    <row r="1971" ht="18" customHeight="1" s="17"/>
    <row r="1972" ht="18" customHeight="1" s="17"/>
    <row r="1973" ht="18" customHeight="1" s="17"/>
    <row r="1974" ht="18" customHeight="1" s="17"/>
    <row r="1975" ht="18" customHeight="1" s="17"/>
    <row r="1976" ht="18" customHeight="1" s="17"/>
    <row r="1977" ht="18" customHeight="1" s="17"/>
    <row r="1978" ht="18" customHeight="1" s="17"/>
    <row r="1979" ht="18" customHeight="1" s="17"/>
    <row r="1980" ht="18" customHeight="1" s="17"/>
    <row r="1981" ht="18" customHeight="1" s="17"/>
    <row r="1982" ht="18" customHeight="1" s="17"/>
    <row r="1983" ht="18" customHeight="1" s="17"/>
    <row r="1984" ht="18" customHeight="1" s="17"/>
    <row r="1985" ht="18" customHeight="1" s="17"/>
    <row r="1986" ht="18" customHeight="1" s="17"/>
    <row r="1987" ht="18" customHeight="1" s="17"/>
    <row r="1988" ht="18" customHeight="1" s="17"/>
    <row r="1989" ht="18" customHeight="1" s="17"/>
    <row r="1990" ht="18" customHeight="1" s="17"/>
    <row r="1991" ht="18" customHeight="1" s="17"/>
    <row r="1992" ht="18" customHeight="1" s="17"/>
    <row r="1993" ht="18" customHeight="1" s="17"/>
    <row r="1994" ht="18" customHeight="1" s="17"/>
    <row r="1995" ht="18" customHeight="1" s="17"/>
    <row r="1996" ht="18" customHeight="1" s="17"/>
    <row r="1997" ht="18" customHeight="1" s="17"/>
    <row r="1998" ht="18" customHeight="1" s="17"/>
    <row r="1999" ht="18" customHeight="1" s="17"/>
    <row r="2000" ht="18" customHeight="1" s="17"/>
    <row r="2001" ht="18" customHeight="1" s="17"/>
    <row r="2002" ht="18" customHeight="1" s="17"/>
    <row r="2003" ht="18" customHeight="1" s="17"/>
    <row r="2004" ht="18" customHeight="1" s="17"/>
    <row r="2005" ht="18" customHeight="1" s="17"/>
    <row r="2006" ht="18" customHeight="1" s="17"/>
    <row r="2007" ht="18" customHeight="1" s="17"/>
    <row r="2008" ht="18" customHeight="1" s="17"/>
    <row r="2009" ht="18" customHeight="1" s="17"/>
    <row r="2010" ht="18" customHeight="1" s="17"/>
    <row r="2011" ht="18" customHeight="1" s="17"/>
    <row r="2012" ht="18" customHeight="1" s="17"/>
    <row r="2013" ht="18" customHeight="1" s="17"/>
    <row r="2014" ht="18" customHeight="1" s="17"/>
    <row r="2015" ht="18" customHeight="1" s="17"/>
    <row r="2016" ht="18" customHeight="1" s="17"/>
    <row r="2017" ht="18" customHeight="1" s="17"/>
    <row r="2018" ht="18" customHeight="1" s="17"/>
    <row r="2019" ht="18" customHeight="1" s="17"/>
    <row r="2020" ht="18" customHeight="1" s="17"/>
    <row r="2021" ht="18" customHeight="1" s="17"/>
    <row r="2022" ht="18" customHeight="1" s="17"/>
    <row r="2023" ht="18" customHeight="1" s="17"/>
    <row r="2024" ht="18" customHeight="1" s="17"/>
    <row r="2025" ht="18" customHeight="1" s="17"/>
    <row r="2026" ht="18" customHeight="1" s="17"/>
    <row r="2027" ht="18" customHeight="1" s="17"/>
    <row r="2028" ht="18" customHeight="1" s="17"/>
    <row r="2029" ht="18" customHeight="1" s="17"/>
    <row r="2030" ht="18" customHeight="1" s="17"/>
    <row r="2031" ht="18" customHeight="1" s="17"/>
    <row r="2032" ht="18" customHeight="1" s="17"/>
    <row r="2033" ht="18" customHeight="1" s="17"/>
    <row r="2034" ht="18" customHeight="1" s="17"/>
    <row r="2035" ht="18" customHeight="1" s="17"/>
    <row r="2036" ht="18" customHeight="1" s="17"/>
    <row r="2037" ht="18" customHeight="1" s="17"/>
    <row r="2038" ht="18" customHeight="1" s="17"/>
    <row r="2039" ht="18" customHeight="1" s="17"/>
    <row r="2040" ht="18" customHeight="1" s="17"/>
    <row r="2041" ht="18" customHeight="1" s="17"/>
    <row r="2042" ht="18" customHeight="1" s="17"/>
    <row r="2043" ht="18" customHeight="1" s="17"/>
    <row r="2044" ht="18" customHeight="1" s="17"/>
    <row r="2045" ht="18" customHeight="1" s="17"/>
    <row r="2046" ht="18" customHeight="1" s="17"/>
    <row r="2047" ht="18" customHeight="1" s="17"/>
    <row r="2048" ht="18" customHeight="1" s="17"/>
    <row r="2049" ht="18" customHeight="1" s="17"/>
    <row r="2050" ht="18" customHeight="1" s="17"/>
    <row r="2051" ht="18" customHeight="1" s="17"/>
    <row r="2052" ht="18" customHeight="1" s="17"/>
    <row r="2053" ht="18" customHeight="1" s="17"/>
    <row r="2054" ht="18" customHeight="1" s="17"/>
    <row r="2055" ht="18" customHeight="1" s="17"/>
    <row r="2056" ht="18" customHeight="1" s="17"/>
    <row r="2057" ht="18" customHeight="1" s="17"/>
    <row r="2058" ht="18" customHeight="1" s="17"/>
    <row r="2059" ht="18" customHeight="1" s="17"/>
    <row r="2060" ht="18" customHeight="1" s="17"/>
    <row r="2061" ht="18" customHeight="1" s="17"/>
    <row r="2062" ht="18" customHeight="1" s="17"/>
    <row r="2063" ht="18" customHeight="1" s="17"/>
    <row r="2064" ht="18" customHeight="1" s="17"/>
    <row r="2065" ht="18" customHeight="1" s="17"/>
    <row r="2066" ht="18" customHeight="1" s="17"/>
    <row r="2067" ht="18" customHeight="1" s="17"/>
    <row r="2068" ht="18" customHeight="1" s="17"/>
    <row r="2069" ht="18" customHeight="1" s="17"/>
    <row r="2070" ht="18" customHeight="1" s="17"/>
    <row r="2071" ht="18" customHeight="1" s="17"/>
    <row r="2072" ht="18" customHeight="1" s="17"/>
    <row r="2073" ht="18" customHeight="1" s="17"/>
    <row r="2074" ht="18" customHeight="1" s="17"/>
    <row r="2075" ht="18" customHeight="1" s="17"/>
    <row r="2076" ht="18" customHeight="1" s="17"/>
    <row r="2077" ht="18" customHeight="1" s="17"/>
    <row r="2078" ht="18" customHeight="1" s="17"/>
    <row r="2079" ht="18" customHeight="1" s="17"/>
    <row r="2080" ht="18" customHeight="1" s="17"/>
    <row r="2081" ht="18" customHeight="1" s="17"/>
    <row r="2082" ht="18" customHeight="1" s="17"/>
    <row r="2083" ht="18" customHeight="1" s="17"/>
    <row r="2084" ht="18" customHeight="1" s="17"/>
    <row r="2085" ht="18" customHeight="1" s="17"/>
    <row r="2086" ht="18" customHeight="1" s="17"/>
    <row r="2087" ht="18" customHeight="1" s="17"/>
    <row r="2088" ht="18" customHeight="1" s="17"/>
    <row r="2089" ht="18" customHeight="1" s="17"/>
    <row r="2090" ht="18" customHeight="1" s="17"/>
    <row r="2091" ht="18" customHeight="1" s="17"/>
    <row r="2092" ht="18" customHeight="1" s="17"/>
    <row r="2093" ht="18" customHeight="1" s="17"/>
    <row r="2094" ht="18" customHeight="1" s="17"/>
    <row r="2095" ht="18" customHeight="1" s="17"/>
    <row r="2096" ht="18" customHeight="1" s="17"/>
    <row r="2097" ht="18" customHeight="1" s="17"/>
    <row r="2098" ht="18" customHeight="1" s="17"/>
    <row r="2099" ht="18" customHeight="1" s="17"/>
    <row r="2100" ht="18" customHeight="1" s="17"/>
    <row r="2101" ht="18" customHeight="1" s="17"/>
    <row r="2102" ht="18" customHeight="1" s="17"/>
    <row r="2103" ht="18" customHeight="1" s="17"/>
    <row r="2104" ht="18" customHeight="1" s="17"/>
    <row r="2105" ht="18" customHeight="1" s="17"/>
    <row r="2106" ht="18" customHeight="1" s="17"/>
    <row r="2107" ht="18" customHeight="1" s="17"/>
    <row r="2108" ht="18" customHeight="1" s="17"/>
    <row r="2109" ht="18" customHeight="1" s="17"/>
    <row r="2110" ht="18" customHeight="1" s="17"/>
    <row r="2111" ht="18" customHeight="1" s="17"/>
    <row r="2112" ht="18" customHeight="1" s="17"/>
    <row r="2113" ht="18" customHeight="1" s="17"/>
    <row r="2114" ht="18" customHeight="1" s="17"/>
    <row r="2115" ht="18" customHeight="1" s="17"/>
    <row r="2116" ht="18" customHeight="1" s="17"/>
    <row r="2117" ht="18" customHeight="1" s="17"/>
    <row r="2118" ht="18" customHeight="1" s="17"/>
    <row r="2119" ht="18" customHeight="1" s="17"/>
    <row r="2120" ht="18" customHeight="1" s="17"/>
    <row r="2121" ht="18" customHeight="1" s="17"/>
    <row r="2122" ht="18" customHeight="1" s="17"/>
    <row r="2123" ht="18" customHeight="1" s="17"/>
    <row r="2124" ht="18" customHeight="1" s="17"/>
    <row r="2125" ht="18" customHeight="1" s="17"/>
    <row r="2126" ht="18" customHeight="1" s="17"/>
    <row r="2127" ht="18" customHeight="1" s="17"/>
    <row r="2128" ht="18" customHeight="1" s="17"/>
    <row r="2129" ht="18" customHeight="1" s="17"/>
    <row r="2130" ht="18" customHeight="1" s="17"/>
    <row r="2131" ht="18" customHeight="1" s="17"/>
    <row r="2132" ht="18" customHeight="1" s="17"/>
    <row r="2133" ht="18" customHeight="1" s="17"/>
    <row r="2134" ht="18" customHeight="1" s="17"/>
    <row r="2135" ht="18" customHeight="1" s="17"/>
    <row r="2136" ht="18" customHeight="1" s="17"/>
    <row r="2137" ht="18" customHeight="1" s="17"/>
    <row r="2138" ht="18" customHeight="1" s="17"/>
    <row r="2139" ht="18" customHeight="1" s="17"/>
    <row r="2140" ht="18" customHeight="1" s="17"/>
    <row r="2141" ht="18" customHeight="1" s="17"/>
    <row r="2142" ht="18" customHeight="1" s="17"/>
    <row r="2143" ht="18" customHeight="1" s="17"/>
    <row r="2144" ht="18" customHeight="1" s="17"/>
    <row r="2145" ht="18" customHeight="1" s="17"/>
    <row r="2146" ht="18" customHeight="1" s="17"/>
    <row r="2147" ht="18" customHeight="1" s="17"/>
    <row r="2148" ht="18" customHeight="1" s="17"/>
    <row r="2149" ht="18" customHeight="1" s="17"/>
    <row r="2150" ht="18" customHeight="1" s="17"/>
    <row r="2151" ht="18" customHeight="1" s="17"/>
    <row r="2152" ht="18" customHeight="1" s="17"/>
    <row r="2153" ht="18" customHeight="1" s="17"/>
    <row r="2154" ht="18" customHeight="1" s="17"/>
    <row r="2155" ht="18" customHeight="1" s="17"/>
    <row r="2156" ht="18" customHeight="1" s="17"/>
    <row r="2157" ht="18" customHeight="1" s="17"/>
    <row r="2158" ht="18" customHeight="1" s="17"/>
    <row r="2159" ht="18" customHeight="1" s="17"/>
    <row r="2160" ht="18" customHeight="1" s="17"/>
    <row r="2161" ht="18" customHeight="1" s="17"/>
    <row r="2162" ht="18" customHeight="1" s="17"/>
    <row r="2163" ht="18" customHeight="1" s="17"/>
    <row r="2164" ht="18" customHeight="1" s="17"/>
    <row r="2165" ht="18" customHeight="1" s="17"/>
    <row r="2166" ht="18" customHeight="1" s="17"/>
    <row r="2167" ht="18" customHeight="1" s="17"/>
    <row r="2168" ht="18" customHeight="1" s="17"/>
    <row r="2169" ht="18" customHeight="1" s="17"/>
    <row r="2170" ht="18" customHeight="1" s="17"/>
    <row r="2171" ht="18" customHeight="1" s="17"/>
    <row r="2172" ht="18" customHeight="1" s="17"/>
    <row r="2173" ht="18" customHeight="1" s="17"/>
    <row r="2174" ht="18" customHeight="1" s="17"/>
    <row r="2175" ht="18" customHeight="1" s="17"/>
    <row r="2176" ht="18" customHeight="1" s="17"/>
    <row r="2177" ht="18" customHeight="1" s="17"/>
    <row r="2178" ht="18" customHeight="1" s="17"/>
    <row r="2179" ht="18" customHeight="1" s="17"/>
    <row r="2180" ht="18" customHeight="1" s="17"/>
    <row r="2181" ht="18" customHeight="1" s="17"/>
    <row r="2182" ht="18" customHeight="1" s="17"/>
    <row r="2183" ht="18" customHeight="1" s="17"/>
    <row r="2184" ht="18" customHeight="1" s="17"/>
    <row r="2185" ht="18" customHeight="1" s="17"/>
    <row r="2186" ht="18" customHeight="1" s="17"/>
    <row r="2187" ht="18" customHeight="1" s="17"/>
    <row r="2188" ht="18" customHeight="1" s="17"/>
    <row r="2189" ht="18" customHeight="1" s="17"/>
    <row r="2190" ht="18" customHeight="1" s="17"/>
    <row r="2191" ht="18" customHeight="1" s="17"/>
    <row r="2192" ht="18" customHeight="1" s="17"/>
    <row r="2193" ht="18" customHeight="1" s="17"/>
    <row r="2194" ht="18" customHeight="1" s="17"/>
    <row r="2195" ht="18" customHeight="1" s="17"/>
    <row r="2196" ht="18" customHeight="1" s="17"/>
    <row r="2197" ht="18" customHeight="1" s="17"/>
    <row r="2198" ht="18" customHeight="1" s="17"/>
    <row r="2199" ht="18" customHeight="1" s="17"/>
    <row r="2200" ht="18" customHeight="1" s="17"/>
    <row r="2201" ht="18" customHeight="1" s="17"/>
    <row r="2202" ht="18" customHeight="1" s="17"/>
    <row r="2203" ht="18" customHeight="1" s="17"/>
    <row r="2204" ht="18" customHeight="1" s="17"/>
    <row r="2205" ht="18" customHeight="1" s="17"/>
    <row r="2206" ht="18" customHeight="1" s="17"/>
    <row r="2207" ht="18" customHeight="1" s="17"/>
    <row r="2208" ht="18" customHeight="1" s="17"/>
    <row r="2209" ht="18" customHeight="1" s="17"/>
    <row r="2210" ht="18" customHeight="1" s="17"/>
    <row r="2211" ht="18" customHeight="1" s="17"/>
    <row r="2212" ht="18" customHeight="1" s="17"/>
    <row r="2213" ht="18" customHeight="1" s="17"/>
    <row r="2214" ht="18" customHeight="1" s="17"/>
    <row r="2215" ht="18" customHeight="1" s="17"/>
    <row r="2216" ht="18" customHeight="1" s="17"/>
    <row r="2217" ht="18" customHeight="1" s="17"/>
    <row r="2218" ht="18" customHeight="1" s="17"/>
    <row r="2219" ht="18" customHeight="1" s="17"/>
    <row r="2220" ht="18" customHeight="1" s="17"/>
    <row r="2221" ht="18" customHeight="1" s="17"/>
    <row r="2222" ht="18" customHeight="1" s="17"/>
    <row r="2223" ht="18" customHeight="1" s="17"/>
    <row r="2224" ht="18" customHeight="1" s="17"/>
    <row r="2225" ht="18" customHeight="1" s="17"/>
    <row r="2226" ht="18" customHeight="1" s="17"/>
    <row r="2227" ht="18" customHeight="1" s="17"/>
    <row r="2228" ht="18" customHeight="1" s="17"/>
    <row r="2229" ht="18" customHeight="1" s="17"/>
    <row r="2230" ht="18" customHeight="1" s="17"/>
    <row r="2231" ht="18" customHeight="1" s="17"/>
    <row r="2232" ht="18" customHeight="1" s="17"/>
    <row r="2233" ht="18" customHeight="1" s="17"/>
    <row r="2234" ht="18" customHeight="1" s="17"/>
    <row r="2235" ht="18" customHeight="1" s="17"/>
    <row r="2236" ht="18" customHeight="1" s="17"/>
    <row r="2237" ht="18" customHeight="1" s="17"/>
    <row r="2238" ht="18" customHeight="1" s="17"/>
    <row r="2239" ht="18" customHeight="1" s="17"/>
    <row r="2240" ht="18" customHeight="1" s="17"/>
    <row r="2241" ht="18" customHeight="1" s="17"/>
    <row r="2242" ht="18" customHeight="1" s="17"/>
    <row r="2243" ht="18" customHeight="1" s="17"/>
    <row r="2244" ht="18" customHeight="1" s="17"/>
    <row r="2245" ht="18" customHeight="1" s="17"/>
    <row r="2246" ht="18" customHeight="1" s="17"/>
    <row r="2247" ht="18" customHeight="1" s="17"/>
    <row r="2248" ht="18" customHeight="1" s="17"/>
    <row r="2249" ht="18" customHeight="1" s="17"/>
    <row r="2250" ht="18" customHeight="1" s="17"/>
    <row r="2251" ht="18" customHeight="1" s="17"/>
    <row r="2252" ht="18" customHeight="1" s="17"/>
    <row r="2253" ht="18" customHeight="1" s="17"/>
    <row r="2254" ht="18" customHeight="1" s="17"/>
    <row r="2255" ht="18" customHeight="1" s="17"/>
    <row r="2256" ht="18" customHeight="1" s="17"/>
    <row r="2257" ht="18" customHeight="1" s="17"/>
    <row r="2258" ht="18" customHeight="1" s="17"/>
    <row r="2259" ht="18" customHeight="1" s="17"/>
    <row r="2260" ht="18" customHeight="1" s="17"/>
    <row r="2261" ht="18" customHeight="1" s="17"/>
    <row r="2262" ht="18" customHeight="1" s="17"/>
    <row r="2263" ht="18" customHeight="1" s="17"/>
    <row r="2264" ht="18" customHeight="1" s="17"/>
    <row r="2265" ht="18" customHeight="1" s="17"/>
    <row r="2266" ht="18" customHeight="1" s="17"/>
    <row r="2267" ht="18" customHeight="1" s="17"/>
    <row r="2268" ht="18" customHeight="1" s="17"/>
    <row r="2269" ht="18" customHeight="1" s="17"/>
    <row r="2270" ht="18" customHeight="1" s="17"/>
    <row r="2271" ht="18" customHeight="1" s="17"/>
    <row r="2272" ht="18" customHeight="1" s="17"/>
    <row r="2273" ht="18" customHeight="1" s="17"/>
    <row r="2274" ht="18" customHeight="1" s="17"/>
    <row r="2275" ht="18" customHeight="1" s="17"/>
    <row r="2276" ht="18" customHeight="1" s="17"/>
    <row r="2277" ht="18" customHeight="1" s="17"/>
    <row r="2278" ht="18" customHeight="1" s="17"/>
    <row r="2279" ht="18" customHeight="1" s="17"/>
    <row r="2280" ht="18" customHeight="1" s="17"/>
    <row r="2281" ht="18" customHeight="1" s="17"/>
    <row r="2282" ht="18" customHeight="1" s="17"/>
    <row r="2283" ht="18" customHeight="1" s="17"/>
    <row r="2284" ht="18" customHeight="1" s="17"/>
    <row r="2285" ht="18" customHeight="1" s="17"/>
    <row r="2286" ht="18" customHeight="1" s="17"/>
    <row r="2287" ht="18" customHeight="1" s="17"/>
    <row r="2288" ht="18" customHeight="1" s="17"/>
    <row r="2289" ht="18" customHeight="1" s="17"/>
    <row r="2290" ht="18" customHeight="1" s="17"/>
    <row r="2291" ht="18" customHeight="1" s="17"/>
    <row r="2292" ht="18" customHeight="1" s="17"/>
    <row r="2293" ht="18" customHeight="1" s="17"/>
    <row r="2294" ht="18" customHeight="1" s="17"/>
    <row r="2295" ht="18" customHeight="1" s="17"/>
    <row r="2296" ht="18" customHeight="1" s="17"/>
    <row r="2297" ht="18" customHeight="1" s="17"/>
    <row r="2298" ht="18" customHeight="1" s="17"/>
    <row r="2299" ht="18" customHeight="1" s="17"/>
    <row r="2300" ht="18" customHeight="1" s="17"/>
    <row r="2301" ht="18" customHeight="1" s="17"/>
    <row r="2302" ht="18" customHeight="1" s="17"/>
    <row r="2303" ht="18" customHeight="1" s="17"/>
    <row r="2304" ht="18" customHeight="1" s="17"/>
    <row r="2305" ht="18" customHeight="1" s="17"/>
    <row r="2306" ht="18" customHeight="1" s="17"/>
    <row r="2307" ht="18" customHeight="1" s="17"/>
    <row r="2308" ht="18" customHeight="1" s="17"/>
    <row r="2309" ht="18" customHeight="1" s="17"/>
    <row r="2310" ht="18" customHeight="1" s="17"/>
    <row r="2311" ht="18" customHeight="1" s="17"/>
    <row r="2312" ht="18" customHeight="1" s="17"/>
    <row r="2313" ht="18" customHeight="1" s="17"/>
    <row r="2314" ht="18" customHeight="1" s="17"/>
    <row r="2315" ht="18" customHeight="1" s="17"/>
    <row r="2316" ht="18" customHeight="1" s="17"/>
    <row r="2317" ht="18" customHeight="1" s="17"/>
    <row r="2318" ht="18" customHeight="1" s="17"/>
    <row r="2319" ht="18" customHeight="1" s="17"/>
    <row r="2320" ht="18" customHeight="1" s="17"/>
    <row r="2321" ht="18" customHeight="1" s="17"/>
    <row r="2322" ht="18" customHeight="1" s="17"/>
    <row r="2323" ht="18" customHeight="1" s="17"/>
    <row r="2324" ht="18" customHeight="1" s="17"/>
    <row r="2325" ht="18" customHeight="1" s="17"/>
    <row r="2326" ht="18" customHeight="1" s="17"/>
    <row r="2327" ht="18" customHeight="1" s="17"/>
    <row r="2328" ht="18" customHeight="1" s="17"/>
    <row r="2329" ht="18" customHeight="1" s="17"/>
    <row r="2330" ht="18" customHeight="1" s="17"/>
    <row r="2331" ht="18" customHeight="1" s="17"/>
    <row r="2332" ht="18" customHeight="1" s="17"/>
    <row r="2333" ht="18" customHeight="1" s="17"/>
    <row r="2334" ht="18" customHeight="1" s="17"/>
    <row r="2335" ht="18" customHeight="1" s="17"/>
    <row r="2336" ht="18" customHeight="1" s="17"/>
    <row r="2337" ht="18" customHeight="1" s="17"/>
    <row r="2338" ht="18" customHeight="1" s="17"/>
    <row r="2339" ht="18" customHeight="1" s="17"/>
    <row r="2340" ht="18" customHeight="1" s="17"/>
    <row r="2341" ht="18" customHeight="1" s="17"/>
    <row r="2342" ht="18" customHeight="1" s="17"/>
    <row r="2343" ht="18" customHeight="1" s="17"/>
    <row r="2344" ht="18" customHeight="1" s="17"/>
    <row r="2345" ht="18" customHeight="1" s="17"/>
    <row r="2346" ht="18" customHeight="1" s="17"/>
    <row r="2347" ht="18" customHeight="1" s="17"/>
    <row r="2348" ht="18" customHeight="1" s="17"/>
    <row r="2349" ht="18" customHeight="1" s="17"/>
    <row r="2350" ht="18" customHeight="1" s="17"/>
    <row r="2351" ht="18" customHeight="1" s="17"/>
    <row r="2352" ht="18" customHeight="1" s="17"/>
    <row r="2353" ht="18" customHeight="1" s="17"/>
    <row r="2354" ht="18" customHeight="1" s="17"/>
    <row r="2355" ht="18" customHeight="1" s="17"/>
    <row r="2356" ht="18" customHeight="1" s="17"/>
    <row r="2357" ht="18" customHeight="1" s="17"/>
    <row r="2358" ht="18" customHeight="1" s="17"/>
    <row r="2359" ht="18" customHeight="1" s="17"/>
    <row r="2360" ht="18" customHeight="1" s="17"/>
    <row r="2361" ht="18" customHeight="1" s="17"/>
    <row r="2362" ht="18" customHeight="1" s="17"/>
    <row r="2363" ht="18" customHeight="1" s="17"/>
    <row r="2364" ht="18" customHeight="1" s="17"/>
    <row r="2365" ht="18" customHeight="1" s="17"/>
    <row r="2366" ht="18" customHeight="1" s="17"/>
    <row r="2367" ht="18" customHeight="1" s="17"/>
    <row r="2368" ht="18" customHeight="1" s="17"/>
    <row r="2369" ht="18" customHeight="1" s="17"/>
    <row r="2370" ht="18" customHeight="1" s="17"/>
    <row r="2371" ht="18" customHeight="1" s="17"/>
    <row r="2372" ht="18" customHeight="1" s="17"/>
    <row r="2373" ht="18" customHeight="1" s="17"/>
    <row r="2374" ht="18" customHeight="1" s="17"/>
    <row r="2375" ht="18" customHeight="1" s="17"/>
    <row r="2376" ht="18" customHeight="1" s="17"/>
    <row r="2377" ht="18" customHeight="1" s="17"/>
    <row r="2378" ht="18" customHeight="1" s="17"/>
    <row r="2379" ht="18" customHeight="1" s="17"/>
    <row r="2380" ht="18" customHeight="1" s="17"/>
    <row r="2381" ht="18" customHeight="1" s="17"/>
    <row r="2382" ht="18" customHeight="1" s="17"/>
    <row r="2383" ht="18" customHeight="1" s="17"/>
    <row r="2384" ht="18" customHeight="1" s="17"/>
    <row r="2385" ht="18" customHeight="1" s="17"/>
    <row r="2386" ht="18" customHeight="1" s="17"/>
    <row r="2387" ht="18" customHeight="1" s="17"/>
    <row r="2388" ht="18" customHeight="1" s="17"/>
    <row r="2389" ht="18" customHeight="1" s="17"/>
    <row r="2390" ht="18" customHeight="1" s="17"/>
    <row r="2391" ht="18" customHeight="1" s="17"/>
    <row r="2392" ht="18" customHeight="1" s="17"/>
    <row r="2393" ht="18" customHeight="1" s="17"/>
    <row r="2394" ht="18" customHeight="1" s="17"/>
    <row r="2395" ht="18" customHeight="1" s="17"/>
    <row r="2396" ht="18" customHeight="1" s="17"/>
    <row r="2397" ht="18" customHeight="1" s="17"/>
    <row r="2398" ht="18" customHeight="1" s="17"/>
    <row r="2399" ht="18" customHeight="1" s="17"/>
    <row r="2400" ht="18" customHeight="1" s="17"/>
    <row r="2401" ht="18" customHeight="1" s="17"/>
    <row r="2402" ht="18" customHeight="1" s="17"/>
    <row r="2403" ht="18" customHeight="1" s="17"/>
    <row r="2404" ht="18" customHeight="1" s="17"/>
    <row r="2405" ht="18" customHeight="1" s="17"/>
    <row r="2406" ht="18" customHeight="1" s="17"/>
    <row r="2407" ht="18" customHeight="1" s="17"/>
    <row r="2408" ht="18" customHeight="1" s="17"/>
    <row r="2409" ht="18" customHeight="1" s="17"/>
    <row r="2410" ht="18" customHeight="1" s="17"/>
    <row r="2411" ht="18" customHeight="1" s="17"/>
    <row r="2412" ht="18" customHeight="1" s="17"/>
    <row r="2413" ht="18" customHeight="1" s="17"/>
    <row r="2414" ht="18" customHeight="1" s="17"/>
    <row r="2415" ht="18" customHeight="1" s="17"/>
    <row r="2416" ht="18" customHeight="1" s="17"/>
    <row r="2417" ht="18" customHeight="1" s="17"/>
    <row r="2418" ht="18" customHeight="1" s="17"/>
    <row r="2419" ht="18" customHeight="1" s="17"/>
    <row r="2420" ht="18" customHeight="1" s="17"/>
    <row r="2421" ht="18" customHeight="1" s="17"/>
    <row r="2422" ht="18" customHeight="1" s="17"/>
    <row r="2423" ht="18" customHeight="1" s="17"/>
    <row r="2424" ht="18" customHeight="1" s="17"/>
    <row r="2425" ht="18" customHeight="1" s="17"/>
    <row r="2426" ht="18" customHeight="1" s="17"/>
    <row r="2427" ht="18" customHeight="1" s="17"/>
    <row r="2428" ht="18" customHeight="1" s="17"/>
    <row r="2429" ht="18" customHeight="1" s="17"/>
    <row r="2430" ht="18" customHeight="1" s="17"/>
    <row r="2431" ht="18" customHeight="1" s="17"/>
    <row r="2432" ht="18" customHeight="1" s="17"/>
    <row r="2433" ht="18" customHeight="1" s="17"/>
    <row r="2434" ht="18" customHeight="1" s="17"/>
    <row r="2435" ht="18" customHeight="1" s="17"/>
    <row r="2436" ht="18" customHeight="1" s="17"/>
    <row r="2437" ht="18" customHeight="1" s="17"/>
    <row r="2438" ht="18" customHeight="1" s="17"/>
    <row r="2439" ht="18" customHeight="1" s="17"/>
    <row r="2440" ht="18" customHeight="1" s="17"/>
    <row r="2441" ht="18" customHeight="1" s="17"/>
    <row r="2442" ht="18" customHeight="1" s="17"/>
    <row r="2443" ht="18" customHeight="1" s="17"/>
    <row r="2444" ht="18" customHeight="1" s="17"/>
    <row r="2445" ht="18" customHeight="1" s="17"/>
    <row r="2446" ht="18" customHeight="1" s="17"/>
    <row r="2447" ht="18" customHeight="1" s="17"/>
    <row r="2448" ht="18" customHeight="1" s="17"/>
    <row r="2449" ht="18" customHeight="1" s="17"/>
    <row r="2450" ht="18" customHeight="1" s="17"/>
    <row r="2451" ht="18" customHeight="1" s="17"/>
    <row r="2452" ht="18" customHeight="1" s="17"/>
    <row r="2453" ht="18" customHeight="1" s="17"/>
    <row r="2454" ht="18" customHeight="1" s="17"/>
    <row r="2455" ht="18" customHeight="1" s="17"/>
    <row r="2456" ht="18" customHeight="1" s="17"/>
    <row r="2457" ht="18" customHeight="1" s="17"/>
    <row r="2458" ht="18" customHeight="1" s="17"/>
    <row r="2459" ht="18" customHeight="1" s="17"/>
    <row r="2460" ht="18" customHeight="1" s="17"/>
    <row r="2461" ht="18" customHeight="1" s="17"/>
    <row r="2462" ht="18" customHeight="1" s="17"/>
    <row r="2463" ht="18" customHeight="1" s="17"/>
    <row r="2464" ht="18" customHeight="1" s="17"/>
    <row r="2465" ht="18" customHeight="1" s="17"/>
    <row r="2466" ht="18" customHeight="1" s="17"/>
    <row r="2467" ht="18" customHeight="1" s="17"/>
    <row r="2468" ht="18" customHeight="1" s="17"/>
    <row r="2469" ht="18" customHeight="1" s="17"/>
    <row r="2470" ht="18" customHeight="1" s="17"/>
    <row r="2471" ht="18" customHeight="1" s="17"/>
    <row r="2472" ht="18" customHeight="1" s="17"/>
    <row r="2473" ht="18" customHeight="1" s="17"/>
    <row r="2474" ht="18" customHeight="1" s="17"/>
    <row r="2475" ht="18" customHeight="1" s="17"/>
    <row r="2476" ht="18" customHeight="1" s="17"/>
    <row r="2477" ht="18" customHeight="1" s="17"/>
    <row r="2478" ht="18" customHeight="1" s="17"/>
    <row r="2479" ht="18" customHeight="1" s="17"/>
    <row r="2480" ht="18" customHeight="1" s="17"/>
    <row r="2481" ht="18" customHeight="1" s="17"/>
    <row r="2482" ht="18" customHeight="1" s="17"/>
    <row r="2483" ht="18" customHeight="1" s="17"/>
    <row r="2484" ht="18" customHeight="1" s="17"/>
    <row r="2485" ht="18" customHeight="1" s="17"/>
    <row r="2486" ht="18" customHeight="1" s="17"/>
    <row r="2487" ht="18" customHeight="1" s="17"/>
    <row r="2488" ht="18" customHeight="1" s="17"/>
    <row r="2489" ht="18" customHeight="1" s="17"/>
    <row r="2490" ht="18" customHeight="1" s="17"/>
    <row r="2491" ht="18" customHeight="1" s="17"/>
    <row r="2492" ht="18" customHeight="1" s="17"/>
    <row r="2493" ht="18" customHeight="1" s="17"/>
    <row r="2494" ht="18" customHeight="1" s="17"/>
    <row r="2495" ht="18" customHeight="1" s="17"/>
    <row r="2496" ht="18" customHeight="1" s="17"/>
    <row r="2497" ht="18" customHeight="1" s="17"/>
    <row r="2498" ht="18" customHeight="1" s="17"/>
    <row r="2499" ht="18" customHeight="1" s="17"/>
    <row r="2500" ht="18" customHeight="1" s="17"/>
    <row r="2501" ht="18" customHeight="1" s="17"/>
    <row r="2502" ht="18" customHeight="1" s="17"/>
    <row r="2503" ht="18" customHeight="1" s="17"/>
    <row r="2504" ht="18" customHeight="1" s="17"/>
    <row r="2505" ht="18" customHeight="1" s="17"/>
    <row r="2506" ht="18" customHeight="1" s="17"/>
    <row r="2507" ht="18" customHeight="1" s="17"/>
    <row r="2508" ht="18" customHeight="1" s="17"/>
    <row r="2509" ht="18" customHeight="1" s="17"/>
    <row r="2510" ht="18" customHeight="1" s="17"/>
    <row r="2511" ht="18" customHeight="1" s="17"/>
    <row r="2512" ht="18" customHeight="1" s="17"/>
    <row r="2513" ht="18" customHeight="1" s="17"/>
    <row r="2514" ht="18" customHeight="1" s="17"/>
    <row r="2515" ht="18" customHeight="1" s="17"/>
    <row r="2516" ht="18" customHeight="1" s="17"/>
    <row r="2517" ht="18" customHeight="1" s="17"/>
    <row r="2518" ht="18" customHeight="1" s="17"/>
    <row r="2519" ht="18" customHeight="1" s="17"/>
    <row r="2520" ht="18" customHeight="1" s="17"/>
    <row r="2521" ht="18" customHeight="1" s="17"/>
    <row r="2522" ht="18" customHeight="1" s="17"/>
    <row r="2523" ht="18" customHeight="1" s="17"/>
    <row r="2524" ht="18" customHeight="1" s="17"/>
    <row r="2525" ht="18" customHeight="1" s="17"/>
    <row r="2526" ht="18" customHeight="1" s="17"/>
    <row r="2527" ht="18" customHeight="1" s="17"/>
    <row r="2528" ht="18" customHeight="1" s="17"/>
    <row r="2529" ht="18" customHeight="1" s="17"/>
    <row r="2530" ht="18" customHeight="1" s="17"/>
    <row r="2531" ht="18" customHeight="1" s="17"/>
    <row r="2532" ht="18" customHeight="1" s="17"/>
    <row r="2533" ht="18" customHeight="1" s="17"/>
    <row r="2534" ht="18" customHeight="1" s="17"/>
    <row r="2535" ht="18" customHeight="1" s="17"/>
    <row r="2536" ht="18" customHeight="1" s="17"/>
    <row r="2537" ht="18" customHeight="1" s="17"/>
    <row r="2538" ht="18" customHeight="1" s="17"/>
    <row r="2539" ht="18" customHeight="1" s="17"/>
    <row r="2540" ht="18" customHeight="1" s="17"/>
    <row r="2541" ht="18" customHeight="1" s="17"/>
    <row r="2542" ht="18" customHeight="1" s="17"/>
    <row r="2543" ht="18" customHeight="1" s="17"/>
    <row r="2544" ht="18" customHeight="1" s="17"/>
    <row r="2545" ht="18" customHeight="1" s="17"/>
    <row r="2546" ht="18" customHeight="1" s="17"/>
    <row r="2547" ht="18" customHeight="1" s="17"/>
    <row r="2548" ht="18" customHeight="1" s="17"/>
    <row r="2549" ht="18" customHeight="1" s="17"/>
    <row r="2550" ht="18" customHeight="1" s="17"/>
    <row r="2551" ht="18" customHeight="1" s="17"/>
    <row r="2552" ht="18" customHeight="1" s="17"/>
    <row r="2553" ht="18" customHeight="1" s="17"/>
    <row r="2554" ht="18" customHeight="1" s="17"/>
    <row r="2555" ht="18" customHeight="1" s="17"/>
    <row r="2556" ht="18" customHeight="1" s="17"/>
    <row r="2557" ht="18" customHeight="1" s="17"/>
    <row r="2558" ht="18" customHeight="1" s="17"/>
    <row r="2559" ht="18" customHeight="1" s="17"/>
    <row r="2560" ht="18" customHeight="1" s="17"/>
    <row r="2561" ht="18" customHeight="1" s="17"/>
    <row r="2562" ht="18" customHeight="1" s="17"/>
    <row r="2563" ht="18" customHeight="1" s="17"/>
    <row r="2564" ht="18" customHeight="1" s="17"/>
    <row r="2565" ht="18" customHeight="1" s="17"/>
    <row r="2566" ht="18" customHeight="1" s="17"/>
    <row r="2567" ht="18" customHeight="1" s="17"/>
    <row r="2568" ht="18" customHeight="1" s="17"/>
    <row r="2569" ht="18" customHeight="1" s="17"/>
    <row r="2570" ht="18" customHeight="1" s="17"/>
    <row r="2571" ht="18" customHeight="1" s="17"/>
    <row r="2572" ht="18" customHeight="1" s="17"/>
    <row r="2573" ht="18" customHeight="1" s="17"/>
    <row r="2574" ht="18" customHeight="1" s="17"/>
    <row r="2575" ht="18" customHeight="1" s="17"/>
    <row r="2576" ht="18" customHeight="1" s="17"/>
    <row r="2577" ht="18" customHeight="1" s="17"/>
    <row r="2578" ht="18" customHeight="1" s="17"/>
    <row r="2579" ht="18" customHeight="1" s="17"/>
    <row r="2580" ht="18" customHeight="1" s="17"/>
    <row r="2581" ht="18" customHeight="1" s="17"/>
    <row r="2582" ht="18" customHeight="1" s="17"/>
    <row r="2583" ht="18" customHeight="1" s="17"/>
    <row r="2584" ht="18" customHeight="1" s="17"/>
    <row r="2585" ht="18" customHeight="1" s="17"/>
    <row r="2586" ht="18" customHeight="1" s="17"/>
    <row r="2587" ht="18" customHeight="1" s="17"/>
    <row r="2588" ht="18" customHeight="1" s="17"/>
    <row r="2589" ht="18" customHeight="1" s="17"/>
    <row r="2590" ht="18" customHeight="1" s="17"/>
    <row r="2591" ht="18" customHeight="1" s="17"/>
    <row r="2592" ht="18" customHeight="1" s="17"/>
    <row r="2593" ht="18" customHeight="1" s="17"/>
    <row r="2594" ht="18" customHeight="1" s="17"/>
    <row r="2595" ht="18" customHeight="1" s="17"/>
    <row r="2596" ht="18" customHeight="1" s="17"/>
    <row r="2597" ht="18" customHeight="1" s="17"/>
    <row r="2598" ht="18" customHeight="1" s="17"/>
    <row r="2599" ht="18" customHeight="1" s="17"/>
    <row r="2600" ht="18" customHeight="1" s="17"/>
    <row r="2601" ht="18" customHeight="1" s="17"/>
    <row r="2602" ht="18" customHeight="1" s="17"/>
    <row r="2603" ht="18" customHeight="1" s="17"/>
    <row r="2604" ht="18" customHeight="1" s="17"/>
    <row r="2605" ht="18" customHeight="1" s="17"/>
    <row r="2606" ht="18" customHeight="1" s="17"/>
    <row r="2607" ht="18" customHeight="1" s="17"/>
    <row r="2608" ht="18" customHeight="1" s="17"/>
    <row r="2609" ht="18" customHeight="1" s="17"/>
    <row r="2610" ht="18" customHeight="1" s="17"/>
    <row r="2611" ht="18" customHeight="1" s="17"/>
    <row r="2612" ht="18" customHeight="1" s="17"/>
    <row r="2613" ht="18" customHeight="1" s="17"/>
    <row r="2614" ht="18" customHeight="1" s="17"/>
    <row r="2615" ht="18" customHeight="1" s="17"/>
    <row r="2616" ht="18" customHeight="1" s="17"/>
    <row r="2617" ht="18" customHeight="1" s="17"/>
    <row r="2618" ht="18" customHeight="1" s="17"/>
    <row r="2619" ht="18" customHeight="1" s="17"/>
    <row r="2620" ht="18" customHeight="1" s="17"/>
    <row r="2621" ht="18" customHeight="1" s="17"/>
    <row r="2622" ht="18" customHeight="1" s="17"/>
    <row r="2623" ht="18" customHeight="1" s="17"/>
    <row r="2624" ht="18" customHeight="1" s="17"/>
    <row r="2625" ht="18" customHeight="1" s="17"/>
    <row r="2626" ht="18" customHeight="1" s="17"/>
    <row r="2627" ht="18" customHeight="1" s="17"/>
    <row r="2628" ht="18" customHeight="1" s="17"/>
    <row r="2629" ht="18" customHeight="1" s="17"/>
    <row r="2630" ht="18" customHeight="1" s="17"/>
    <row r="2631" ht="18" customHeight="1" s="17"/>
    <row r="2632" ht="18" customHeight="1" s="17"/>
    <row r="2633" ht="18" customHeight="1" s="17"/>
    <row r="2634" ht="18" customHeight="1" s="17"/>
    <row r="2635" ht="18" customHeight="1" s="17"/>
    <row r="2636" ht="18" customHeight="1" s="17"/>
    <row r="2637" ht="18" customHeight="1" s="17"/>
    <row r="2638" ht="18" customHeight="1" s="17"/>
    <row r="2639" ht="18" customHeight="1" s="17"/>
    <row r="2640" ht="18" customHeight="1" s="17"/>
    <row r="2641" ht="18" customHeight="1" s="17"/>
    <row r="2642" ht="18" customHeight="1" s="17"/>
    <row r="2643" ht="18" customHeight="1" s="17"/>
    <row r="2644" ht="18" customHeight="1" s="17"/>
    <row r="2645" ht="18" customHeight="1" s="17"/>
    <row r="2646" ht="18" customHeight="1" s="17"/>
    <row r="2647" ht="18" customHeight="1" s="17"/>
    <row r="2648" ht="18" customHeight="1" s="17"/>
    <row r="2649" ht="18" customHeight="1" s="17"/>
    <row r="2650" ht="18" customHeight="1" s="17"/>
    <row r="2651" ht="18" customHeight="1" s="17"/>
    <row r="2652" ht="18" customHeight="1" s="17"/>
    <row r="2653" ht="18" customHeight="1" s="17"/>
    <row r="2654" ht="18" customHeight="1" s="17"/>
    <row r="2655" ht="18" customHeight="1" s="17"/>
    <row r="2656" ht="18" customHeight="1" s="17"/>
    <row r="2657" ht="18" customHeight="1" s="17"/>
    <row r="2658" ht="18" customHeight="1" s="17"/>
    <row r="2659" ht="18" customHeight="1" s="17"/>
    <row r="2660" ht="18" customHeight="1" s="17"/>
    <row r="2661" ht="18" customHeight="1" s="17"/>
    <row r="2662" ht="18" customHeight="1" s="17"/>
    <row r="2663" ht="18" customHeight="1" s="17"/>
    <row r="2664" ht="18" customHeight="1" s="17"/>
    <row r="2665" ht="18" customHeight="1" s="17"/>
    <row r="2666" ht="18" customHeight="1" s="17"/>
    <row r="2667" ht="18" customHeight="1" s="17"/>
    <row r="2668" ht="18" customHeight="1" s="17"/>
    <row r="2669" ht="18" customHeight="1" s="17"/>
    <row r="2670" ht="18" customHeight="1" s="17"/>
    <row r="2671" ht="18" customHeight="1" s="17"/>
    <row r="2672" ht="18" customHeight="1" s="17"/>
    <row r="2673" ht="18" customHeight="1" s="17"/>
    <row r="2674" ht="18" customHeight="1" s="17"/>
    <row r="2675" ht="18" customHeight="1" s="17"/>
    <row r="2676" ht="18" customHeight="1" s="17"/>
    <row r="2677" ht="18" customHeight="1" s="17"/>
    <row r="2678" ht="18" customHeight="1" s="17"/>
    <row r="2679" ht="18" customHeight="1" s="17"/>
    <row r="2680" ht="18" customHeight="1" s="17"/>
    <row r="2681" ht="18" customHeight="1" s="17"/>
    <row r="2682" ht="18" customHeight="1" s="17"/>
    <row r="2683" ht="18" customHeight="1" s="17"/>
    <row r="2684" ht="18" customHeight="1" s="17"/>
    <row r="2685" ht="18" customHeight="1" s="17"/>
    <row r="2686" ht="18" customHeight="1" s="17"/>
    <row r="2687" ht="18" customHeight="1" s="17"/>
    <row r="2688" ht="18" customHeight="1" s="17"/>
    <row r="2689" ht="18" customHeight="1" s="17"/>
    <row r="2690" ht="18" customHeight="1" s="17"/>
    <row r="2691" ht="18" customHeight="1" s="17"/>
    <row r="2692" ht="18" customHeight="1" s="17"/>
    <row r="2693" ht="18" customHeight="1" s="17"/>
    <row r="2694" ht="18" customHeight="1" s="17"/>
    <row r="2695" ht="18" customHeight="1" s="17"/>
    <row r="2696" ht="18" customHeight="1" s="17"/>
    <row r="2697" ht="18" customHeight="1" s="17"/>
    <row r="2698" ht="18" customHeight="1" s="17"/>
    <row r="2699" ht="18" customHeight="1" s="17"/>
    <row r="2700" ht="18" customHeight="1" s="17"/>
    <row r="2701" ht="18" customHeight="1" s="17"/>
    <row r="2702" ht="18" customHeight="1" s="17"/>
    <row r="2703" ht="18" customHeight="1" s="17"/>
    <row r="2704" ht="18" customHeight="1" s="17"/>
    <row r="2705" ht="18" customHeight="1" s="17"/>
    <row r="2706" ht="18" customHeight="1" s="17"/>
    <row r="2707" ht="18" customHeight="1" s="17"/>
    <row r="2708" ht="18" customHeight="1" s="17"/>
    <row r="2709" ht="18" customHeight="1" s="17"/>
    <row r="2710" ht="18" customHeight="1" s="17"/>
    <row r="2711" ht="18" customHeight="1" s="17"/>
    <row r="2712" ht="18" customHeight="1" s="17"/>
    <row r="2713" ht="18" customHeight="1" s="17"/>
    <row r="2714" ht="18" customHeight="1" s="17"/>
    <row r="2715" ht="18" customHeight="1" s="17"/>
    <row r="2716" ht="18" customHeight="1" s="17"/>
    <row r="2717" ht="18" customHeight="1" s="17"/>
    <row r="2718" ht="18" customHeight="1" s="17"/>
    <row r="2719" ht="18" customHeight="1" s="17"/>
    <row r="2720" ht="18" customHeight="1" s="17"/>
    <row r="2721" ht="18" customHeight="1" s="17"/>
    <row r="2722" ht="18" customHeight="1" s="17"/>
    <row r="2723" ht="18" customHeight="1" s="17"/>
    <row r="2724" ht="18" customHeight="1" s="17"/>
    <row r="2725" ht="18" customHeight="1" s="17"/>
    <row r="2726" ht="18" customHeight="1" s="17"/>
    <row r="2727" ht="18" customHeight="1" s="17"/>
    <row r="2728" ht="18" customHeight="1" s="17"/>
    <row r="2729" ht="18" customHeight="1" s="17"/>
    <row r="2730" ht="18" customHeight="1" s="17"/>
    <row r="2731" ht="18" customHeight="1" s="17"/>
    <row r="2732" ht="18" customHeight="1" s="17"/>
    <row r="2733" ht="18" customHeight="1" s="17"/>
    <row r="2734" ht="18" customHeight="1" s="17"/>
    <row r="2735" ht="18" customHeight="1" s="17"/>
    <row r="2736" ht="18" customHeight="1" s="17"/>
    <row r="2737" ht="18" customHeight="1" s="17"/>
    <row r="2738" ht="18" customHeight="1" s="17"/>
    <row r="2739" ht="18" customHeight="1" s="17"/>
    <row r="2740" ht="18" customHeight="1" s="17"/>
    <row r="2741" ht="18" customHeight="1" s="17"/>
    <row r="2742" ht="18" customHeight="1" s="17"/>
    <row r="2743" ht="18" customHeight="1" s="17"/>
    <row r="2744" ht="18" customHeight="1" s="17"/>
    <row r="2745" ht="18" customHeight="1" s="17"/>
    <row r="2746" ht="18" customHeight="1" s="17"/>
    <row r="2747" ht="18" customHeight="1" s="17"/>
    <row r="2748" ht="18" customHeight="1" s="17"/>
    <row r="2749" ht="18" customHeight="1" s="17"/>
    <row r="2750" ht="18" customHeight="1" s="17"/>
    <row r="2751" ht="18" customHeight="1" s="17"/>
    <row r="2752" ht="18" customHeight="1" s="17"/>
    <row r="2753" ht="18" customHeight="1" s="17"/>
    <row r="2754" ht="18" customHeight="1" s="17"/>
    <row r="2755" ht="18" customHeight="1" s="17"/>
    <row r="2756" ht="18" customHeight="1" s="17"/>
    <row r="2757" ht="18" customHeight="1" s="17"/>
    <row r="2758" ht="18" customHeight="1" s="17"/>
    <row r="2759" ht="18" customHeight="1" s="17"/>
    <row r="2760" ht="18" customHeight="1" s="17"/>
    <row r="2761" ht="18" customHeight="1" s="17"/>
    <row r="2762" ht="18" customHeight="1" s="17"/>
    <row r="2763" ht="18" customHeight="1" s="17"/>
    <row r="2764" ht="18" customHeight="1" s="17"/>
    <row r="2765" ht="18" customHeight="1" s="17"/>
    <row r="2766" ht="18" customHeight="1" s="17"/>
    <row r="2767" ht="18" customHeight="1" s="17"/>
    <row r="2768" ht="18" customHeight="1" s="17"/>
    <row r="2769" ht="18" customHeight="1" s="17"/>
    <row r="2770" ht="18" customHeight="1" s="17"/>
    <row r="2771" ht="18" customHeight="1" s="17"/>
    <row r="2772" ht="18" customHeight="1" s="17"/>
    <row r="2773" ht="18" customHeight="1" s="17"/>
    <row r="2774" ht="18" customHeight="1" s="17"/>
    <row r="2775" ht="18" customHeight="1" s="17"/>
    <row r="2776" ht="18" customHeight="1" s="17"/>
    <row r="2777" ht="18" customHeight="1" s="17"/>
    <row r="2778" ht="18" customHeight="1" s="17"/>
    <row r="2779" ht="18" customHeight="1" s="17"/>
    <row r="2780" ht="18" customHeight="1" s="17"/>
    <row r="2781" ht="18" customHeight="1" s="17"/>
    <row r="2782" ht="18" customHeight="1" s="17"/>
    <row r="2783" ht="18" customHeight="1" s="17"/>
    <row r="2784" ht="18" customHeight="1" s="17"/>
    <row r="2785" ht="18" customHeight="1" s="17"/>
    <row r="2786" ht="18" customHeight="1" s="17"/>
    <row r="2787" ht="18" customHeight="1" s="17"/>
    <row r="2788" ht="18" customHeight="1" s="17"/>
    <row r="2789" ht="18" customHeight="1" s="17"/>
    <row r="2790" ht="18" customHeight="1" s="17"/>
    <row r="2791" ht="18" customHeight="1" s="17"/>
    <row r="2792" ht="18" customHeight="1" s="17"/>
    <row r="2793" ht="18" customHeight="1" s="17"/>
    <row r="2794" ht="18" customHeight="1" s="17"/>
    <row r="2795" ht="18" customHeight="1" s="17"/>
    <row r="2796" ht="18" customHeight="1" s="17"/>
    <row r="2797" ht="18" customHeight="1" s="17"/>
    <row r="2798" ht="18" customHeight="1" s="17"/>
    <row r="2799" ht="18" customHeight="1" s="17"/>
    <row r="2800" ht="18" customHeight="1" s="17"/>
    <row r="2801" ht="18" customHeight="1" s="17"/>
    <row r="2802" ht="18" customHeight="1" s="17"/>
    <row r="2803" ht="18" customHeight="1" s="17"/>
    <row r="2804" ht="18" customHeight="1" s="17"/>
    <row r="2805" ht="18" customHeight="1" s="17"/>
    <row r="2806" ht="18" customHeight="1" s="17"/>
    <row r="2807" ht="18" customHeight="1" s="17"/>
    <row r="2808" ht="18" customHeight="1" s="17"/>
    <row r="2809" ht="18" customHeight="1" s="17"/>
    <row r="2810" ht="18" customHeight="1" s="17"/>
    <row r="2811" ht="18" customHeight="1" s="17"/>
    <row r="2812" ht="18" customHeight="1" s="17"/>
    <row r="2813" ht="18" customHeight="1" s="17"/>
    <row r="2814" ht="18" customHeight="1" s="17"/>
    <row r="2815" ht="18" customHeight="1" s="17"/>
    <row r="2816" ht="18" customHeight="1" s="17"/>
    <row r="2817" ht="18" customHeight="1" s="17"/>
    <row r="2818" ht="18" customHeight="1" s="17"/>
    <row r="2819" ht="18" customHeight="1" s="17"/>
    <row r="2820" ht="18" customHeight="1" s="17"/>
    <row r="2821" ht="18" customHeight="1" s="17"/>
    <row r="2822" ht="18" customHeight="1" s="17"/>
    <row r="2823" ht="18" customHeight="1" s="17"/>
    <row r="2824" ht="18" customHeight="1" s="17"/>
    <row r="2825" ht="18" customHeight="1" s="17"/>
    <row r="2826" ht="18" customHeight="1" s="17"/>
    <row r="2827" ht="18" customHeight="1" s="17"/>
    <row r="2828" ht="18" customHeight="1" s="17"/>
    <row r="2829" ht="18" customHeight="1" s="17"/>
    <row r="2830" ht="18" customHeight="1" s="17"/>
    <row r="2831" ht="18" customHeight="1" s="17"/>
    <row r="2832" ht="18" customHeight="1" s="17"/>
    <row r="2833" ht="18" customHeight="1" s="17"/>
    <row r="2834" ht="18" customHeight="1" s="17"/>
    <row r="2835" ht="18" customHeight="1" s="17"/>
    <row r="2836" ht="18" customHeight="1" s="17"/>
    <row r="2837" ht="18" customHeight="1" s="17"/>
    <row r="2838" ht="18" customHeight="1" s="17"/>
    <row r="2839" ht="18" customHeight="1" s="17"/>
    <row r="2840" ht="18" customHeight="1" s="17"/>
    <row r="2841" ht="18" customHeight="1" s="17"/>
    <row r="2842" ht="18" customHeight="1" s="17"/>
    <row r="2843" ht="18" customHeight="1" s="17"/>
    <row r="2844" ht="18" customHeight="1" s="17"/>
    <row r="2845" ht="18" customHeight="1" s="17"/>
    <row r="2846" ht="18" customHeight="1" s="17"/>
    <row r="2847" ht="18" customHeight="1" s="17"/>
    <row r="2848" ht="18" customHeight="1" s="17"/>
    <row r="2849" ht="18" customHeight="1" s="17"/>
    <row r="2850" ht="18" customHeight="1" s="17"/>
    <row r="2851" ht="18" customHeight="1" s="17"/>
    <row r="2852" ht="18" customHeight="1" s="17"/>
    <row r="2853" ht="18" customHeight="1" s="17"/>
    <row r="2854" ht="18" customHeight="1" s="17"/>
    <row r="2855" ht="18" customHeight="1" s="17"/>
    <row r="2856" ht="18" customHeight="1" s="17"/>
    <row r="2857" ht="18" customHeight="1" s="17"/>
    <row r="2858" ht="18" customHeight="1" s="17"/>
    <row r="2859" ht="18" customHeight="1" s="17"/>
    <row r="2860" ht="18" customHeight="1" s="17"/>
    <row r="2861" ht="18" customHeight="1" s="17"/>
    <row r="2862" ht="18" customHeight="1" s="17"/>
    <row r="2863" ht="18" customHeight="1" s="17"/>
    <row r="2864" ht="18" customHeight="1" s="17"/>
    <row r="2865" ht="18" customHeight="1" s="17"/>
    <row r="2866" ht="18" customHeight="1" s="17"/>
    <row r="2867" ht="18" customHeight="1" s="17"/>
    <row r="2868" ht="18" customHeight="1" s="17"/>
    <row r="2869" ht="18" customHeight="1" s="17"/>
    <row r="2870" ht="18" customHeight="1" s="17"/>
    <row r="2871" ht="18" customHeight="1" s="17"/>
    <row r="2872" ht="18" customHeight="1" s="17"/>
    <row r="2873" ht="18" customHeight="1" s="17"/>
    <row r="2874" ht="18" customHeight="1" s="17"/>
    <row r="2875" ht="18" customHeight="1" s="17"/>
    <row r="2876" ht="18" customHeight="1" s="17"/>
    <row r="2877" ht="18" customHeight="1" s="17"/>
    <row r="2878" ht="18" customHeight="1" s="17"/>
    <row r="2879" ht="18" customHeight="1" s="17"/>
    <row r="2880" ht="18" customHeight="1" s="17"/>
    <row r="2881" ht="18" customHeight="1" s="17"/>
    <row r="2882" ht="18" customHeight="1" s="17"/>
    <row r="2883" ht="18" customHeight="1" s="17"/>
    <row r="2884" ht="18" customHeight="1" s="17"/>
    <row r="2885" ht="18" customHeight="1" s="17"/>
    <row r="2886" ht="18" customHeight="1" s="17"/>
    <row r="2887" ht="18" customHeight="1" s="17"/>
    <row r="2888" ht="18" customHeight="1" s="17"/>
    <row r="2889" ht="18" customHeight="1" s="17"/>
    <row r="2890" ht="18" customHeight="1" s="17"/>
    <row r="2891" ht="18" customHeight="1" s="17"/>
    <row r="2892" ht="18" customHeight="1" s="17"/>
    <row r="2893" ht="18" customHeight="1" s="17"/>
    <row r="2894" ht="18" customHeight="1" s="17"/>
    <row r="2895" ht="18" customHeight="1" s="17"/>
    <row r="2896" ht="18" customHeight="1" s="17"/>
    <row r="2897" ht="18" customHeight="1" s="17"/>
    <row r="2898" ht="18" customHeight="1" s="17"/>
    <row r="2899" ht="18" customHeight="1" s="17"/>
    <row r="2900" ht="18" customHeight="1" s="17"/>
    <row r="2901" ht="18" customHeight="1" s="17"/>
    <row r="2902" ht="18" customHeight="1" s="17"/>
    <row r="2903" ht="18" customHeight="1" s="17"/>
    <row r="2904" ht="18" customHeight="1" s="17"/>
    <row r="2905" ht="18" customHeight="1" s="17"/>
    <row r="2906" ht="18" customHeight="1" s="17"/>
    <row r="2907" ht="18" customHeight="1" s="17"/>
    <row r="2908" ht="18" customHeight="1" s="17"/>
    <row r="2909" ht="18" customHeight="1" s="17"/>
    <row r="2910" ht="18" customHeight="1" s="17"/>
    <row r="2911" ht="18" customHeight="1" s="17"/>
    <row r="2912" ht="18" customHeight="1" s="17"/>
    <row r="2913" ht="18" customHeight="1" s="17"/>
    <row r="2914" ht="18" customHeight="1" s="17"/>
    <row r="2915" ht="18" customHeight="1" s="17"/>
    <row r="2916" ht="18" customHeight="1" s="17"/>
    <row r="2917" ht="18" customHeight="1" s="17"/>
    <row r="2918" ht="18" customHeight="1" s="17"/>
    <row r="2919" ht="18" customHeight="1" s="17"/>
    <row r="2920" ht="18" customHeight="1" s="17"/>
    <row r="2921" ht="18" customHeight="1" s="17"/>
    <row r="2922" ht="18" customHeight="1" s="17"/>
    <row r="2923" ht="18" customHeight="1" s="17"/>
    <row r="2924" ht="18" customHeight="1" s="17"/>
    <row r="2925" ht="18" customHeight="1" s="17"/>
    <row r="2926" ht="18" customHeight="1" s="17"/>
    <row r="2927" ht="18" customHeight="1" s="17"/>
    <row r="2928" ht="18" customHeight="1" s="17"/>
    <row r="2929" ht="18" customHeight="1" s="17"/>
    <row r="2930" ht="18" customHeight="1" s="17"/>
    <row r="2931" ht="18" customHeight="1" s="17"/>
    <row r="2932" ht="18" customHeight="1" s="17"/>
    <row r="2933" ht="18" customHeight="1" s="17"/>
    <row r="2934" ht="18" customHeight="1" s="17"/>
    <row r="2935" ht="18" customHeight="1" s="17"/>
    <row r="2936" ht="18" customHeight="1" s="17"/>
    <row r="2937" ht="18" customHeight="1" s="17"/>
    <row r="2938" ht="18" customHeight="1" s="17"/>
    <row r="2939" ht="18" customHeight="1" s="17"/>
    <row r="2940" ht="18" customHeight="1" s="17"/>
    <row r="2941" ht="18" customHeight="1" s="17"/>
    <row r="2942" ht="18" customHeight="1" s="17"/>
    <row r="2943" ht="18" customHeight="1" s="17"/>
    <row r="2944" ht="18" customHeight="1" s="17"/>
    <row r="2945" ht="18" customHeight="1" s="17"/>
    <row r="2946" ht="18" customHeight="1" s="17"/>
    <row r="2947" ht="18" customHeight="1" s="17"/>
    <row r="2948" ht="18" customHeight="1" s="17"/>
    <row r="2949" ht="18" customHeight="1" s="17"/>
    <row r="2950" ht="18" customHeight="1" s="17"/>
    <row r="2951" ht="18" customHeight="1" s="17"/>
    <row r="2952" ht="18" customHeight="1" s="17"/>
    <row r="2953" ht="18" customHeight="1" s="17"/>
    <row r="2954" ht="18" customHeight="1" s="17"/>
    <row r="2955" ht="18" customHeight="1" s="17"/>
    <row r="2956" ht="18" customHeight="1" s="17"/>
    <row r="2957" ht="18" customHeight="1" s="17"/>
    <row r="2958" ht="18" customHeight="1" s="17"/>
    <row r="2959" ht="18" customHeight="1" s="17"/>
    <row r="2960" ht="18" customHeight="1" s="17"/>
    <row r="2961" ht="18" customHeight="1" s="17"/>
    <row r="2962" ht="18" customHeight="1" s="17"/>
    <row r="2963" ht="18" customHeight="1" s="17"/>
    <row r="2964" ht="18" customHeight="1" s="17"/>
    <row r="2965" ht="18" customHeight="1" s="17"/>
    <row r="2966" ht="18" customHeight="1" s="17"/>
    <row r="2967" ht="18" customHeight="1" s="17"/>
    <row r="2968" ht="18" customHeight="1" s="17"/>
    <row r="2969" ht="18" customHeight="1" s="17"/>
    <row r="2970" ht="18" customHeight="1" s="17"/>
    <row r="2971" ht="18" customHeight="1" s="17"/>
    <row r="2972" ht="18" customHeight="1" s="17"/>
    <row r="2973" ht="18" customHeight="1" s="17"/>
    <row r="2974" ht="18" customHeight="1" s="17"/>
    <row r="2975" ht="18" customHeight="1" s="17"/>
    <row r="2976" ht="18" customHeight="1" s="17"/>
    <row r="2977" ht="18" customHeight="1" s="17"/>
    <row r="2978" ht="18" customHeight="1" s="17"/>
    <row r="2979" ht="18" customHeight="1" s="17"/>
    <row r="2980" ht="18" customHeight="1" s="17"/>
    <row r="2981" ht="18" customHeight="1" s="17"/>
    <row r="2982" ht="18" customHeight="1" s="17"/>
    <row r="2983" ht="18" customHeight="1" s="17"/>
    <row r="2984" ht="18" customHeight="1" s="17"/>
    <row r="2985" ht="18" customHeight="1" s="17"/>
    <row r="2986" ht="18" customHeight="1" s="17"/>
    <row r="2987" ht="18" customHeight="1" s="17"/>
    <row r="2988" ht="18" customHeight="1" s="17"/>
    <row r="2989" ht="18" customHeight="1" s="17"/>
    <row r="2990" ht="18" customHeight="1" s="17"/>
    <row r="2991" ht="18" customHeight="1" s="17"/>
    <row r="2992" ht="18" customHeight="1" s="17"/>
    <row r="2993" ht="18" customHeight="1" s="17"/>
    <row r="2994" ht="18" customHeight="1" s="17"/>
    <row r="2995" ht="18" customHeight="1" s="17"/>
    <row r="2996" ht="18" customHeight="1" s="17"/>
    <row r="2997" ht="18" customHeight="1" s="17"/>
    <row r="2998" ht="18" customHeight="1" s="17"/>
    <row r="2999" ht="18" customHeight="1" s="17"/>
    <row r="3000" ht="18" customHeight="1" s="17"/>
    <row r="3001" ht="18" customHeight="1" s="17"/>
    <row r="3002" ht="18" customHeight="1" s="17"/>
    <row r="3003" ht="18" customHeight="1" s="17"/>
    <row r="3004" ht="18" customHeight="1" s="17"/>
    <row r="3005" ht="18" customHeight="1" s="17"/>
    <row r="3006" ht="18" customHeight="1" s="17"/>
    <row r="3007" ht="18" customHeight="1" s="17"/>
    <row r="3008" ht="18" customHeight="1" s="17"/>
    <row r="3009" ht="18" customHeight="1" s="17"/>
    <row r="3010" ht="18" customHeight="1" s="17"/>
    <row r="3011" ht="18" customHeight="1" s="17"/>
    <row r="3012" ht="18" customHeight="1" s="17"/>
    <row r="3013" ht="18" customHeight="1" s="17"/>
    <row r="3014" ht="18" customHeight="1" s="17"/>
    <row r="3015" ht="18" customHeight="1" s="17"/>
    <row r="3016" ht="18" customHeight="1" s="17"/>
    <row r="3017" ht="18" customHeight="1" s="17"/>
    <row r="3018" ht="18" customHeight="1" s="17"/>
    <row r="3019" ht="18" customHeight="1" s="17"/>
    <row r="3020" ht="18" customHeight="1" s="17"/>
    <row r="3021" ht="18" customHeight="1" s="17"/>
    <row r="3022" ht="18" customHeight="1" s="17"/>
    <row r="3023" ht="18" customHeight="1" s="17"/>
    <row r="3024" ht="18" customHeight="1" s="17"/>
    <row r="3025" ht="18" customHeight="1" s="17"/>
    <row r="3026" ht="18" customHeight="1" s="17"/>
    <row r="3027" ht="18" customHeight="1" s="17"/>
    <row r="3028" ht="18" customHeight="1" s="17"/>
    <row r="3029" ht="18" customHeight="1" s="17"/>
    <row r="3030" ht="18" customHeight="1" s="17"/>
    <row r="3031" ht="18" customHeight="1" s="17"/>
    <row r="3032" ht="18" customHeight="1" s="17"/>
    <row r="3033" ht="18" customHeight="1" s="17"/>
    <row r="3034" ht="18" customHeight="1" s="17"/>
    <row r="3035" ht="18" customHeight="1" s="17"/>
    <row r="3036" ht="18" customHeight="1" s="17"/>
    <row r="3037" ht="18" customHeight="1" s="17"/>
    <row r="3038" ht="18" customHeight="1" s="17"/>
    <row r="3039" ht="18" customHeight="1" s="17"/>
    <row r="3040" ht="18" customHeight="1" s="17"/>
    <row r="3041" ht="18" customHeight="1" s="17"/>
    <row r="3042" ht="18" customHeight="1" s="17"/>
    <row r="3043" ht="18" customHeight="1" s="17"/>
    <row r="3044" ht="18" customHeight="1" s="17"/>
    <row r="3045" ht="18" customHeight="1" s="17"/>
    <row r="3046" ht="18" customHeight="1" s="17"/>
    <row r="3047" ht="18" customHeight="1" s="17"/>
    <row r="3048" ht="18" customHeight="1" s="17"/>
    <row r="3049" ht="18" customHeight="1" s="17"/>
    <row r="3050" ht="18" customHeight="1" s="17"/>
    <row r="3051" ht="18" customHeight="1" s="17"/>
    <row r="3052" ht="18" customHeight="1" s="17"/>
    <row r="3053" ht="18" customHeight="1" s="17"/>
    <row r="3054" ht="18" customHeight="1" s="17"/>
    <row r="3055" ht="18" customHeight="1" s="17"/>
    <row r="3056" ht="18" customHeight="1" s="17"/>
    <row r="3057" ht="18" customHeight="1" s="17"/>
    <row r="3058" ht="18" customHeight="1" s="17"/>
    <row r="3059" ht="18" customHeight="1" s="17"/>
    <row r="3060" ht="18" customHeight="1" s="17"/>
    <row r="3061" ht="18" customHeight="1" s="17"/>
    <row r="3062" ht="18" customHeight="1" s="17"/>
    <row r="3063" ht="18" customHeight="1" s="17"/>
    <row r="3064" ht="18" customHeight="1" s="17"/>
    <row r="3065" ht="18" customHeight="1" s="17"/>
    <row r="3066" ht="18" customHeight="1" s="17"/>
    <row r="3067" ht="18" customHeight="1" s="17"/>
    <row r="3068" ht="18" customHeight="1" s="17"/>
    <row r="3069" ht="18" customHeight="1" s="17"/>
    <row r="3070" ht="18" customHeight="1" s="17"/>
    <row r="3071" ht="18" customHeight="1" s="17"/>
    <row r="3072" ht="18" customHeight="1" s="17"/>
    <row r="3073" ht="18" customHeight="1" s="17"/>
    <row r="3074" ht="18" customHeight="1" s="17"/>
    <row r="3075" ht="18" customHeight="1" s="17"/>
    <row r="3076" ht="18" customHeight="1" s="17"/>
    <row r="3077" ht="18" customHeight="1" s="17"/>
    <row r="3078" ht="18" customHeight="1" s="17"/>
    <row r="3079" ht="18" customHeight="1" s="17"/>
    <row r="3080" ht="18" customHeight="1" s="17"/>
    <row r="3081" ht="18" customHeight="1" s="17"/>
    <row r="3082" ht="18" customHeight="1" s="17"/>
    <row r="3083" ht="18" customHeight="1" s="17"/>
    <row r="3084" ht="18" customHeight="1" s="17"/>
    <row r="3085" ht="18" customHeight="1" s="17"/>
    <row r="3086" ht="18" customHeight="1" s="17"/>
    <row r="3087" ht="18" customHeight="1" s="17"/>
    <row r="3088" ht="18" customHeight="1" s="17"/>
    <row r="3089" ht="18" customHeight="1" s="17"/>
    <row r="3090" ht="18" customHeight="1" s="17"/>
    <row r="3091" ht="18" customHeight="1" s="17"/>
    <row r="3092" ht="18" customHeight="1" s="17"/>
    <row r="3093" ht="18" customHeight="1" s="17"/>
    <row r="3094" ht="18" customHeight="1" s="17"/>
    <row r="3095" ht="18" customHeight="1" s="17"/>
    <row r="3096" ht="18" customHeight="1" s="17"/>
    <row r="3097" ht="18" customHeight="1" s="17"/>
    <row r="3098" ht="18" customHeight="1" s="17"/>
    <row r="3099" ht="18" customHeight="1" s="17"/>
    <row r="3100" ht="18" customHeight="1" s="17"/>
    <row r="3101" ht="18" customHeight="1" s="17"/>
    <row r="3102" ht="18" customHeight="1" s="17"/>
    <row r="3103" ht="18" customHeight="1" s="17"/>
    <row r="3104" ht="18" customHeight="1" s="17"/>
    <row r="3105" ht="18" customHeight="1" s="17"/>
    <row r="3106" ht="18" customHeight="1" s="17"/>
    <row r="3107" ht="18" customHeight="1" s="17"/>
    <row r="3108" ht="18" customHeight="1" s="17"/>
    <row r="3109" ht="18" customHeight="1" s="17"/>
    <row r="3110" ht="18" customHeight="1" s="17"/>
    <row r="3111" ht="18" customHeight="1" s="17"/>
    <row r="3112" ht="18" customHeight="1" s="17"/>
    <row r="3113" ht="18" customHeight="1" s="17"/>
    <row r="3114" ht="18" customHeight="1" s="17"/>
    <row r="3115" ht="18" customHeight="1" s="17"/>
    <row r="3116" ht="18" customHeight="1" s="17"/>
    <row r="3117" ht="18" customHeight="1" s="17"/>
    <row r="3118" ht="18" customHeight="1" s="17"/>
    <row r="3119" ht="18" customHeight="1" s="17"/>
    <row r="3120" ht="18" customHeight="1" s="17"/>
    <row r="3121" ht="18" customHeight="1" s="17"/>
    <row r="3122" ht="18" customHeight="1" s="17"/>
    <row r="3123" ht="18" customHeight="1" s="17"/>
    <row r="3124" ht="18" customHeight="1" s="17"/>
    <row r="3125" ht="18" customHeight="1" s="17"/>
    <row r="3126" ht="18" customHeight="1" s="17"/>
    <row r="3127" ht="18" customHeight="1" s="17"/>
    <row r="3128" ht="18" customHeight="1" s="17"/>
    <row r="3129" ht="18" customHeight="1" s="17"/>
    <row r="3130" ht="18" customHeight="1" s="17"/>
    <row r="3131" ht="18" customHeight="1" s="17"/>
    <row r="3132" ht="18" customHeight="1" s="17"/>
    <row r="3133" ht="18" customHeight="1" s="17"/>
    <row r="3134" ht="18" customHeight="1" s="17"/>
    <row r="3135" ht="18" customHeight="1" s="17"/>
    <row r="3136" ht="18" customHeight="1" s="17"/>
    <row r="3137" ht="18" customHeight="1" s="17"/>
    <row r="3138" ht="18" customHeight="1" s="17"/>
    <row r="3139" ht="18" customHeight="1" s="17"/>
    <row r="3140" ht="18" customHeight="1" s="17"/>
    <row r="3141" ht="18" customHeight="1" s="17"/>
    <row r="3142" ht="18" customHeight="1" s="17"/>
    <row r="3143" ht="18" customHeight="1" s="17"/>
    <row r="3144" ht="18" customHeight="1" s="17"/>
    <row r="3145" ht="18" customHeight="1" s="17"/>
    <row r="3146" ht="18" customHeight="1" s="17"/>
    <row r="3147" ht="18" customHeight="1" s="17"/>
    <row r="3148" ht="18" customHeight="1" s="17"/>
    <row r="3149" ht="18" customHeight="1" s="17"/>
    <row r="3150" ht="18" customHeight="1" s="17"/>
    <row r="3151" ht="18" customHeight="1" s="17"/>
    <row r="3152" ht="18" customHeight="1" s="17"/>
    <row r="3153" ht="18" customHeight="1" s="17"/>
    <row r="3154" ht="18" customHeight="1" s="17"/>
    <row r="3155" ht="18" customHeight="1" s="17"/>
    <row r="3156" ht="18" customHeight="1" s="17"/>
    <row r="3157" ht="18" customHeight="1" s="17"/>
    <row r="3158" ht="18" customHeight="1" s="17"/>
    <row r="3159" ht="18" customHeight="1" s="17"/>
    <row r="3160" ht="18" customHeight="1" s="17"/>
    <row r="3161" ht="18" customHeight="1" s="17"/>
    <row r="3162" ht="18" customHeight="1" s="17"/>
    <row r="3163" ht="18" customHeight="1" s="17"/>
    <row r="3164" ht="18" customHeight="1" s="17"/>
    <row r="3165" ht="18" customHeight="1" s="17"/>
    <row r="3166" ht="18" customHeight="1" s="17"/>
    <row r="3167" ht="18" customHeight="1" s="17"/>
    <row r="3168" ht="18" customHeight="1" s="17"/>
    <row r="3169" ht="18" customHeight="1" s="17"/>
    <row r="3170" ht="18" customHeight="1" s="17"/>
    <row r="3171" ht="18" customHeight="1" s="17"/>
    <row r="3172" ht="18" customHeight="1" s="17"/>
    <row r="3173" ht="18" customHeight="1" s="17"/>
    <row r="3174" ht="18" customHeight="1" s="17"/>
    <row r="3175" ht="18" customHeight="1" s="17"/>
    <row r="3176" ht="18" customHeight="1" s="17"/>
    <row r="3177" ht="18" customHeight="1" s="17"/>
    <row r="3178" ht="18" customHeight="1" s="17"/>
    <row r="3179" ht="18" customHeight="1" s="17"/>
    <row r="3180" ht="18" customHeight="1" s="17"/>
    <row r="3181" ht="18" customHeight="1" s="17"/>
    <row r="3182" ht="18" customHeight="1" s="17"/>
    <row r="3183" ht="18" customHeight="1" s="17"/>
    <row r="3184" ht="18" customHeight="1" s="17"/>
    <row r="3185" ht="18" customHeight="1" s="17"/>
    <row r="3186" ht="18" customHeight="1" s="17"/>
    <row r="3187" ht="18" customHeight="1" s="17"/>
    <row r="3188" ht="18" customHeight="1" s="17"/>
    <row r="3189" ht="18" customHeight="1" s="17"/>
    <row r="3190" ht="18" customHeight="1" s="17"/>
    <row r="3191" ht="18" customHeight="1" s="17"/>
    <row r="3192" ht="18" customHeight="1" s="17"/>
    <row r="3193" ht="18" customHeight="1" s="17"/>
    <row r="3194" ht="18" customHeight="1" s="17"/>
    <row r="3195" ht="18" customHeight="1" s="17"/>
    <row r="3196" ht="18" customHeight="1" s="17"/>
    <row r="3197" ht="18" customHeight="1" s="17"/>
    <row r="3198" ht="18" customHeight="1" s="17"/>
    <row r="3199" ht="18" customHeight="1" s="17"/>
    <row r="3200" ht="18" customHeight="1" s="17"/>
    <row r="3201" ht="18" customHeight="1" s="17"/>
    <row r="3202" ht="18" customHeight="1" s="17"/>
    <row r="3203" ht="18" customHeight="1" s="17"/>
    <row r="3204" ht="18" customHeight="1" s="17"/>
    <row r="3205" ht="18" customHeight="1" s="17"/>
    <row r="3206" ht="18" customHeight="1" s="17"/>
    <row r="3207" ht="18" customHeight="1" s="17"/>
    <row r="3208" ht="18" customHeight="1" s="17"/>
    <row r="3209" ht="18" customHeight="1" s="17"/>
    <row r="3210" ht="18" customHeight="1" s="17"/>
    <row r="3211" ht="18" customHeight="1" s="17"/>
    <row r="3212" ht="18" customHeight="1" s="17"/>
    <row r="3213" ht="18" customHeight="1" s="17"/>
    <row r="3214" ht="18" customHeight="1" s="17"/>
    <row r="3215" ht="18" customHeight="1" s="17"/>
    <row r="3216" ht="18" customHeight="1" s="17"/>
    <row r="3217" ht="18" customHeight="1" s="17"/>
    <row r="3218" ht="18" customHeight="1" s="17"/>
    <row r="3219" ht="18" customHeight="1" s="17"/>
    <row r="3220" ht="18" customHeight="1" s="17"/>
    <row r="3221" ht="18" customHeight="1" s="17"/>
    <row r="3222" ht="18" customHeight="1" s="17"/>
    <row r="3223" ht="18" customHeight="1" s="17"/>
    <row r="3224" ht="18" customHeight="1" s="17"/>
    <row r="3225" ht="18" customHeight="1" s="17"/>
    <row r="3226" ht="18" customHeight="1" s="17"/>
    <row r="3227" ht="18" customHeight="1" s="17"/>
    <row r="3228" ht="18" customHeight="1" s="17"/>
    <row r="3229" ht="18" customHeight="1" s="17"/>
    <row r="3230" ht="18" customHeight="1" s="17"/>
    <row r="3231" ht="18" customHeight="1" s="17"/>
    <row r="3232" ht="18" customHeight="1" s="17"/>
    <row r="3233" ht="18" customHeight="1" s="17"/>
    <row r="3234" ht="18" customHeight="1" s="17"/>
    <row r="3235" ht="18" customHeight="1" s="17"/>
    <row r="3236" ht="18" customHeight="1" s="17"/>
    <row r="3237" ht="18" customHeight="1" s="17"/>
    <row r="3238" ht="18" customHeight="1" s="17"/>
    <row r="3239" ht="18" customHeight="1" s="17"/>
    <row r="3240" ht="18" customHeight="1" s="17"/>
    <row r="3241" ht="18" customHeight="1" s="17"/>
    <row r="3242" ht="18" customHeight="1" s="17"/>
    <row r="3243" ht="18" customHeight="1" s="17"/>
    <row r="3244" ht="18" customHeight="1" s="17"/>
    <row r="3245" ht="18" customHeight="1" s="17"/>
    <row r="3246" ht="18" customHeight="1" s="17"/>
    <row r="3247" ht="18" customHeight="1" s="17"/>
    <row r="3248" ht="18" customHeight="1" s="17"/>
    <row r="3249" ht="18" customHeight="1" s="17"/>
    <row r="3250" ht="18" customHeight="1" s="17"/>
    <row r="3251" ht="18" customHeight="1" s="17"/>
    <row r="3252" ht="18" customHeight="1" s="17"/>
    <row r="3253" ht="18" customHeight="1" s="17"/>
    <row r="3254" ht="18" customHeight="1" s="17"/>
    <row r="3255" ht="18" customHeight="1" s="17"/>
    <row r="3256" ht="18" customHeight="1" s="17"/>
    <row r="3257" ht="18" customHeight="1" s="17"/>
    <row r="3258" ht="18" customHeight="1" s="17"/>
    <row r="3259" ht="18" customHeight="1" s="17"/>
    <row r="3260" ht="18" customHeight="1" s="17"/>
    <row r="3261" ht="18" customHeight="1" s="17"/>
    <row r="3262" ht="18" customHeight="1" s="17"/>
    <row r="3263" ht="18" customHeight="1" s="17"/>
    <row r="3264" ht="18" customHeight="1" s="17"/>
    <row r="3265" ht="18" customHeight="1" s="17"/>
    <row r="3266" ht="18" customHeight="1" s="17"/>
    <row r="3267" ht="18" customHeight="1" s="17"/>
    <row r="3268" ht="18" customHeight="1" s="17"/>
    <row r="3269" ht="18" customHeight="1" s="17"/>
    <row r="3270" ht="18" customHeight="1" s="17"/>
    <row r="3271" ht="18" customHeight="1" s="17"/>
    <row r="3272" ht="18" customHeight="1" s="17"/>
    <row r="3273" ht="18" customHeight="1" s="17"/>
    <row r="3274" ht="18" customHeight="1" s="17"/>
    <row r="3275" ht="18" customHeight="1" s="17"/>
    <row r="3276" ht="18" customHeight="1" s="17"/>
    <row r="3277" ht="18" customHeight="1" s="17"/>
    <row r="3278" ht="18" customHeight="1" s="17"/>
    <row r="3279" ht="18" customHeight="1" s="17"/>
    <row r="3280" ht="18" customHeight="1" s="17"/>
    <row r="3281" ht="18" customHeight="1" s="17"/>
    <row r="3282" ht="18" customHeight="1" s="17"/>
    <row r="3283" ht="18" customHeight="1" s="17"/>
    <row r="3284" ht="18" customHeight="1" s="17"/>
    <row r="3285" ht="18" customHeight="1" s="17"/>
    <row r="3286" ht="18" customHeight="1" s="17"/>
    <row r="3287" ht="18" customHeight="1" s="17"/>
    <row r="3288" ht="18" customHeight="1" s="17"/>
    <row r="3289" ht="18" customHeight="1" s="17"/>
    <row r="3290" ht="18" customHeight="1" s="17"/>
    <row r="3291" ht="18" customHeight="1" s="17"/>
    <row r="3292" ht="18" customHeight="1" s="17"/>
    <row r="3293" ht="18" customHeight="1" s="17"/>
    <row r="3294" ht="18" customHeight="1" s="17"/>
    <row r="3295" ht="18" customHeight="1" s="17"/>
    <row r="3296" ht="18" customHeight="1" s="17"/>
    <row r="3297" ht="18" customHeight="1" s="17"/>
    <row r="3298" ht="18" customHeight="1" s="17"/>
    <row r="3299" ht="18" customHeight="1" s="17"/>
    <row r="3300" ht="18" customHeight="1" s="17"/>
    <row r="3301" ht="18" customHeight="1" s="17"/>
    <row r="3302" ht="18" customHeight="1" s="17"/>
    <row r="3303" ht="18" customHeight="1" s="17"/>
    <row r="3304" ht="18" customHeight="1" s="17"/>
    <row r="3305" ht="18" customHeight="1" s="17"/>
    <row r="3306" ht="18" customHeight="1" s="17"/>
    <row r="3307" ht="18" customHeight="1" s="17"/>
    <row r="3308" ht="18" customHeight="1" s="17"/>
    <row r="3309" ht="18" customHeight="1" s="17"/>
    <row r="3310" ht="18" customHeight="1" s="17"/>
    <row r="3311" ht="18" customHeight="1" s="17"/>
    <row r="3312" ht="18" customHeight="1" s="17"/>
    <row r="3313" ht="18" customHeight="1" s="17"/>
    <row r="3314" ht="18" customHeight="1" s="17"/>
    <row r="3315" ht="18" customHeight="1" s="17"/>
    <row r="3316" ht="18" customHeight="1" s="17"/>
    <row r="3317" ht="18" customHeight="1" s="17"/>
    <row r="3318" ht="18" customHeight="1" s="17"/>
    <row r="3319" ht="18" customHeight="1" s="17"/>
    <row r="3320" ht="18" customHeight="1" s="17"/>
    <row r="3321" ht="18" customHeight="1" s="17"/>
    <row r="3322" ht="18" customHeight="1" s="17"/>
    <row r="3323" ht="18" customHeight="1" s="17"/>
    <row r="3324" ht="18" customHeight="1" s="17"/>
    <row r="3325" ht="18" customHeight="1" s="17"/>
    <row r="3326" ht="18" customHeight="1" s="17"/>
    <row r="3327" ht="18" customHeight="1" s="17"/>
    <row r="3328" ht="18" customHeight="1" s="17"/>
    <row r="3329" ht="18" customHeight="1" s="17"/>
    <row r="3330" ht="18" customHeight="1" s="17"/>
    <row r="3331" ht="18" customHeight="1" s="17"/>
    <row r="3332" ht="18" customHeight="1" s="17"/>
    <row r="3333" ht="18" customHeight="1" s="17"/>
    <row r="3334" ht="18" customHeight="1" s="17"/>
    <row r="3335" ht="18" customHeight="1" s="17"/>
    <row r="3336" ht="18" customHeight="1" s="17"/>
    <row r="3337" ht="18" customHeight="1" s="17"/>
    <row r="3338" ht="18" customHeight="1" s="17"/>
    <row r="3339" ht="18" customHeight="1" s="17"/>
    <row r="3340" ht="18" customHeight="1" s="17"/>
    <row r="3341" ht="18" customHeight="1" s="17"/>
    <row r="3342" ht="18" customHeight="1" s="17"/>
    <row r="3343" ht="18" customHeight="1" s="17"/>
    <row r="3344" ht="18" customHeight="1" s="17"/>
    <row r="3345" ht="18" customHeight="1" s="17"/>
    <row r="3346" ht="18" customHeight="1" s="17"/>
    <row r="3347" ht="18" customHeight="1" s="17"/>
    <row r="3348" ht="18" customHeight="1" s="17"/>
    <row r="3349" ht="18" customHeight="1" s="17"/>
    <row r="3350" ht="18" customHeight="1" s="17"/>
    <row r="3351" ht="18" customHeight="1" s="17"/>
    <row r="3352" ht="18" customHeight="1" s="17"/>
    <row r="3353" ht="18" customHeight="1" s="17"/>
    <row r="3354" ht="18" customHeight="1" s="17"/>
    <row r="3355" ht="18" customHeight="1" s="17"/>
    <row r="3356" ht="18" customHeight="1" s="17"/>
    <row r="3357" ht="18" customHeight="1" s="17"/>
    <row r="3358" ht="18" customHeight="1" s="17"/>
    <row r="3359" ht="18" customHeight="1" s="17"/>
    <row r="3360" ht="18" customHeight="1" s="17"/>
    <row r="3361" ht="18" customHeight="1" s="17"/>
    <row r="3362" ht="18" customHeight="1" s="17"/>
    <row r="3363" ht="18" customHeight="1" s="17"/>
    <row r="3364" ht="18" customHeight="1" s="17"/>
    <row r="3365" ht="18" customHeight="1" s="17"/>
    <row r="3366" ht="18" customHeight="1" s="17"/>
    <row r="3367" ht="18" customHeight="1" s="17"/>
    <row r="3368" ht="18" customHeight="1" s="17"/>
    <row r="3369" ht="18" customHeight="1" s="17"/>
    <row r="3370" ht="18" customHeight="1" s="17"/>
    <row r="3371" ht="18" customHeight="1" s="17"/>
    <row r="3372" ht="18" customHeight="1" s="17"/>
    <row r="3373" ht="18" customHeight="1" s="17"/>
    <row r="3374" ht="18" customHeight="1" s="17"/>
    <row r="3375" ht="18" customHeight="1" s="17"/>
    <row r="3376" ht="18" customHeight="1" s="17"/>
    <row r="3377" ht="18" customHeight="1" s="17"/>
    <row r="3378" ht="18" customHeight="1" s="17"/>
    <row r="3379" ht="18" customHeight="1" s="17"/>
    <row r="3380" ht="18" customHeight="1" s="17"/>
    <row r="3381" ht="18" customHeight="1" s="17"/>
    <row r="3382" ht="18" customHeight="1" s="17"/>
    <row r="3383" ht="18" customHeight="1" s="17"/>
    <row r="3384" ht="18" customHeight="1" s="17"/>
    <row r="3385" ht="18" customHeight="1" s="17"/>
    <row r="3386" ht="18" customHeight="1" s="17"/>
    <row r="3387" ht="18" customHeight="1" s="17"/>
    <row r="3388" ht="18" customHeight="1" s="17"/>
    <row r="3389" ht="18" customHeight="1" s="17"/>
    <row r="3390" ht="18" customHeight="1" s="17"/>
    <row r="3391" ht="18" customHeight="1" s="17"/>
    <row r="3392" ht="18" customHeight="1" s="17"/>
    <row r="3393" ht="18" customHeight="1" s="17"/>
    <row r="3394" ht="18" customHeight="1" s="17"/>
    <row r="3395" ht="18" customHeight="1" s="17"/>
    <row r="3396" ht="18" customHeight="1" s="17"/>
    <row r="3397" ht="18" customHeight="1" s="17"/>
    <row r="3398" ht="18" customHeight="1" s="17"/>
    <row r="3399" ht="18" customHeight="1" s="17"/>
    <row r="3400" ht="18" customHeight="1" s="17"/>
    <row r="3401" ht="18" customHeight="1" s="17"/>
    <row r="3402" ht="18" customHeight="1" s="17"/>
    <row r="3403" ht="18" customHeight="1" s="17"/>
    <row r="3404" ht="18" customHeight="1" s="17"/>
    <row r="3405" ht="18" customHeight="1" s="17"/>
    <row r="3406" ht="18" customHeight="1" s="17"/>
    <row r="3407" ht="18" customHeight="1" s="17"/>
    <row r="3408" ht="18" customHeight="1" s="17"/>
    <row r="3409" ht="18" customHeight="1" s="17"/>
    <row r="3410" ht="18" customHeight="1" s="17"/>
    <row r="3411" ht="18" customHeight="1" s="17"/>
    <row r="3412" ht="18" customHeight="1" s="17"/>
    <row r="3413" ht="18" customHeight="1" s="17"/>
    <row r="3414" ht="18" customHeight="1" s="17"/>
    <row r="3415" ht="18" customHeight="1" s="17"/>
    <row r="3416" ht="18" customHeight="1" s="17"/>
    <row r="3417" ht="18" customHeight="1" s="17"/>
    <row r="3418" ht="18" customHeight="1" s="17"/>
    <row r="3419" ht="18" customHeight="1" s="17"/>
    <row r="3420" ht="18" customHeight="1" s="17"/>
    <row r="3421" ht="18" customHeight="1" s="17"/>
    <row r="3422" ht="18" customHeight="1" s="17"/>
    <row r="3423" ht="18" customHeight="1" s="17"/>
    <row r="3424" ht="18" customHeight="1" s="17"/>
    <row r="3425" ht="18" customHeight="1" s="17"/>
    <row r="3426" ht="18" customHeight="1" s="17"/>
    <row r="3427" ht="18" customHeight="1" s="17"/>
    <row r="3428" ht="18" customHeight="1" s="17"/>
    <row r="3429" ht="18" customHeight="1" s="17"/>
    <row r="3430" ht="18" customHeight="1" s="17"/>
    <row r="3431" ht="18" customHeight="1" s="17"/>
    <row r="3432" ht="18" customHeight="1" s="17"/>
    <row r="3433" ht="18" customHeight="1" s="17"/>
    <row r="3434" ht="18" customHeight="1" s="17"/>
    <row r="3435" ht="18" customHeight="1" s="17"/>
    <row r="3436" ht="18" customHeight="1" s="17"/>
    <row r="3437" ht="18" customHeight="1" s="17"/>
    <row r="3438" ht="18" customHeight="1" s="17"/>
    <row r="3439" ht="18" customHeight="1" s="17"/>
    <row r="3440" ht="18" customHeight="1" s="17"/>
    <row r="3441" ht="18" customHeight="1" s="17"/>
    <row r="3442" ht="18" customHeight="1" s="17"/>
    <row r="3443" ht="18" customHeight="1" s="17"/>
    <row r="3444" ht="18" customHeight="1" s="17"/>
    <row r="3445" ht="18" customHeight="1" s="17"/>
    <row r="3446" ht="18" customHeight="1" s="17"/>
    <row r="3447" ht="18" customHeight="1" s="17"/>
    <row r="3448" ht="18" customHeight="1" s="17"/>
    <row r="3449" ht="18" customHeight="1" s="17"/>
    <row r="3450" ht="18" customHeight="1" s="17"/>
    <row r="3451" ht="18" customHeight="1" s="17"/>
    <row r="3452" ht="18" customHeight="1" s="17"/>
    <row r="3453" ht="18" customHeight="1" s="17"/>
    <row r="3454" ht="18" customHeight="1" s="17"/>
    <row r="3455" ht="18" customHeight="1" s="17"/>
    <row r="3456" ht="18" customHeight="1" s="17"/>
    <row r="3457" ht="18" customHeight="1" s="17"/>
    <row r="3458" ht="18" customHeight="1" s="17"/>
    <row r="3459" ht="18" customHeight="1" s="17"/>
    <row r="3460" ht="18" customHeight="1" s="17"/>
    <row r="3461" ht="18" customHeight="1" s="17"/>
    <row r="3462" ht="18" customHeight="1" s="17"/>
    <row r="3463" ht="18" customHeight="1" s="17"/>
    <row r="3464" ht="18" customHeight="1" s="17"/>
    <row r="3465" ht="18" customHeight="1" s="17"/>
    <row r="3466" ht="18" customHeight="1" s="17"/>
    <row r="3467" ht="18" customHeight="1" s="17"/>
    <row r="3468" ht="18" customHeight="1" s="17"/>
    <row r="3469" ht="18" customHeight="1" s="17"/>
    <row r="3470" ht="18" customHeight="1" s="17"/>
    <row r="3471" ht="18" customHeight="1" s="17"/>
    <row r="3472" ht="18" customHeight="1" s="17"/>
    <row r="3473" ht="18" customHeight="1" s="17"/>
    <row r="3474" ht="18" customHeight="1" s="17"/>
    <row r="3475" ht="18" customHeight="1" s="17"/>
    <row r="3476" ht="18" customHeight="1" s="17"/>
    <row r="3477" ht="18" customHeight="1" s="17"/>
    <row r="3478" ht="18" customHeight="1" s="17"/>
    <row r="3479" ht="18" customHeight="1" s="17"/>
    <row r="3480" ht="18" customHeight="1" s="17"/>
    <row r="3481" ht="18" customHeight="1" s="17"/>
    <row r="3482" ht="18" customHeight="1" s="17"/>
    <row r="3483" ht="18" customHeight="1" s="17"/>
    <row r="3484" ht="18" customHeight="1" s="17"/>
    <row r="3485" ht="18" customHeight="1" s="17"/>
    <row r="3486" ht="18" customHeight="1" s="17"/>
    <row r="3487" ht="18" customHeight="1" s="17"/>
    <row r="3488" ht="18" customHeight="1" s="17"/>
    <row r="3489" ht="18" customHeight="1" s="17"/>
    <row r="3490" ht="18" customHeight="1" s="17"/>
    <row r="3491" ht="18" customHeight="1" s="17"/>
    <row r="3492" ht="18" customHeight="1" s="17"/>
    <row r="3493" ht="18" customHeight="1" s="17"/>
    <row r="3494" ht="18" customHeight="1" s="17"/>
    <row r="3495" ht="18" customHeight="1" s="17"/>
    <row r="3496" ht="18" customHeight="1" s="17"/>
    <row r="3497" ht="18" customHeight="1" s="17"/>
    <row r="3498" ht="18" customHeight="1" s="17"/>
    <row r="3499" ht="18" customHeight="1" s="17"/>
    <row r="3500" ht="18" customHeight="1" s="17"/>
    <row r="3501" ht="18" customHeight="1" s="17"/>
    <row r="3502" ht="18" customHeight="1" s="17"/>
    <row r="3503" ht="18" customHeight="1" s="17"/>
    <row r="3504" ht="18" customHeight="1" s="17"/>
    <row r="3505" ht="18" customHeight="1" s="17"/>
    <row r="3506" ht="18" customHeight="1" s="17"/>
    <row r="3507" ht="18" customHeight="1" s="17"/>
    <row r="3508" ht="18" customHeight="1" s="17"/>
    <row r="3509" ht="18" customHeight="1" s="17"/>
    <row r="3510" ht="18" customHeight="1" s="17"/>
    <row r="3511" ht="18" customHeight="1" s="17"/>
    <row r="3512" ht="18" customHeight="1" s="17"/>
    <row r="3513" ht="18" customHeight="1" s="17"/>
    <row r="3514" ht="18" customHeight="1" s="17"/>
    <row r="3515" ht="18" customHeight="1" s="17"/>
    <row r="3516" ht="18" customHeight="1" s="17"/>
    <row r="3517" ht="18" customHeight="1" s="17"/>
    <row r="3518" ht="18" customHeight="1" s="17"/>
    <row r="3519" ht="18" customHeight="1" s="17"/>
    <row r="3520" ht="18" customHeight="1" s="17"/>
    <row r="3521" ht="18" customHeight="1" s="17"/>
    <row r="3522" ht="18" customHeight="1" s="17"/>
    <row r="3523" ht="18" customHeight="1" s="17"/>
    <row r="3524" ht="18" customHeight="1" s="17"/>
    <row r="3525" ht="18" customHeight="1" s="17"/>
    <row r="3526" ht="18" customHeight="1" s="17"/>
    <row r="3527" ht="18" customHeight="1" s="17"/>
    <row r="3528" ht="18" customHeight="1" s="17"/>
    <row r="3529" ht="18" customHeight="1" s="17"/>
    <row r="3530" ht="18" customHeight="1" s="17"/>
    <row r="3531" ht="18" customHeight="1" s="17"/>
    <row r="3532" ht="18" customHeight="1" s="17"/>
    <row r="3533" ht="18" customHeight="1" s="17"/>
    <row r="3534" ht="18" customHeight="1" s="17"/>
    <row r="3535" ht="18" customHeight="1" s="17"/>
    <row r="3536" ht="18" customHeight="1" s="17"/>
    <row r="3537" ht="18" customHeight="1" s="17"/>
    <row r="3538" ht="18" customHeight="1" s="17"/>
    <row r="3539" ht="18" customHeight="1" s="17"/>
    <row r="3540" ht="18" customHeight="1" s="17"/>
    <row r="3541" ht="18" customHeight="1" s="17"/>
    <row r="3542" ht="18" customHeight="1" s="17"/>
    <row r="3543" ht="18" customHeight="1" s="17"/>
    <row r="3544" ht="18" customHeight="1" s="17"/>
    <row r="3545" ht="18" customHeight="1" s="17"/>
    <row r="3546" ht="18" customHeight="1" s="17"/>
    <row r="3547" ht="18" customHeight="1" s="17"/>
    <row r="3548" ht="18" customHeight="1" s="17"/>
    <row r="3549" ht="18" customHeight="1" s="17"/>
    <row r="3550" ht="18" customHeight="1" s="17"/>
    <row r="3551" ht="18" customHeight="1" s="17"/>
    <row r="3552" ht="18" customHeight="1" s="17"/>
    <row r="3553" ht="18" customHeight="1" s="17"/>
    <row r="3554" ht="18" customHeight="1" s="17"/>
    <row r="3555" ht="18" customHeight="1" s="17"/>
    <row r="3556" ht="18" customHeight="1" s="17"/>
    <row r="3557" ht="18" customHeight="1" s="17"/>
    <row r="3558" ht="18" customHeight="1" s="17"/>
    <row r="3559" ht="18" customHeight="1" s="17"/>
    <row r="3560" ht="18" customHeight="1" s="17"/>
    <row r="3561" ht="18" customHeight="1" s="17"/>
    <row r="3562" ht="18" customHeight="1" s="17"/>
    <row r="3563" ht="18" customHeight="1" s="17"/>
    <row r="3564" ht="18" customHeight="1" s="17"/>
    <row r="3565" ht="18" customHeight="1" s="17"/>
    <row r="3566" ht="18" customHeight="1" s="17"/>
    <row r="3567" ht="18" customHeight="1" s="17"/>
    <row r="3568" ht="18" customHeight="1" s="17"/>
    <row r="3569" ht="18" customHeight="1" s="17"/>
    <row r="3570" ht="18" customHeight="1" s="17"/>
    <row r="3571" ht="18" customHeight="1" s="17"/>
    <row r="3572" ht="18" customHeight="1" s="17"/>
    <row r="3573" ht="18" customHeight="1" s="17"/>
    <row r="3574" ht="18" customHeight="1" s="17"/>
    <row r="3575" ht="18" customHeight="1" s="17"/>
    <row r="3576" ht="18" customHeight="1" s="17"/>
    <row r="3577" ht="18" customHeight="1" s="17"/>
    <row r="3578" ht="18" customHeight="1" s="17"/>
    <row r="3579" ht="18" customHeight="1" s="17"/>
    <row r="3580" ht="18" customHeight="1" s="17"/>
    <row r="3581" ht="18" customHeight="1" s="17"/>
    <row r="3582" ht="18" customHeight="1" s="17"/>
    <row r="3583" ht="18" customHeight="1" s="17"/>
    <row r="3584" ht="18" customHeight="1" s="17"/>
    <row r="3585" ht="18" customHeight="1" s="17"/>
    <row r="3586" ht="18" customHeight="1" s="17"/>
    <row r="3587" ht="18" customHeight="1" s="17"/>
    <row r="3588" ht="18" customHeight="1" s="17"/>
    <row r="3589" ht="18" customHeight="1" s="17"/>
    <row r="3590" ht="18" customHeight="1" s="17"/>
    <row r="3591" ht="18" customHeight="1" s="17"/>
    <row r="3592" ht="18" customHeight="1" s="17"/>
    <row r="3593" ht="18" customHeight="1" s="17"/>
    <row r="3594" ht="18" customHeight="1" s="17"/>
    <row r="3595" ht="18" customHeight="1" s="17"/>
    <row r="3596" ht="18" customHeight="1" s="17"/>
    <row r="3597" ht="18" customHeight="1" s="17"/>
    <row r="3598" ht="18" customHeight="1" s="17"/>
    <row r="3599" ht="18" customHeight="1" s="17"/>
    <row r="3600" ht="18" customHeight="1" s="17"/>
    <row r="3601" ht="18" customHeight="1" s="17"/>
    <row r="3602" ht="18" customHeight="1" s="17"/>
    <row r="3603" ht="18" customHeight="1" s="17"/>
    <row r="3604" ht="18" customHeight="1" s="17"/>
    <row r="3605" ht="18" customHeight="1" s="17"/>
    <row r="3606" ht="18" customHeight="1" s="17"/>
    <row r="3607" ht="18" customHeight="1" s="17"/>
    <row r="3608" ht="18" customHeight="1" s="17"/>
    <row r="3609" ht="18" customHeight="1" s="17"/>
    <row r="3610" ht="18" customHeight="1" s="17"/>
    <row r="3611" ht="18" customHeight="1" s="17"/>
    <row r="3612" ht="18" customHeight="1" s="17"/>
    <row r="3613" ht="18" customHeight="1" s="17"/>
    <row r="3614" ht="18" customHeight="1" s="17"/>
    <row r="3615" ht="18" customHeight="1" s="17"/>
    <row r="3616" ht="18" customHeight="1" s="17"/>
    <row r="3617" ht="18" customHeight="1" s="17"/>
    <row r="3618" ht="18" customHeight="1" s="17"/>
    <row r="3619" ht="18" customHeight="1" s="17"/>
    <row r="3620" ht="18" customHeight="1" s="17"/>
    <row r="3621" ht="18" customHeight="1" s="17"/>
    <row r="3622" ht="18" customHeight="1" s="17"/>
    <row r="3623" ht="18" customHeight="1" s="17"/>
    <row r="3624" ht="18" customHeight="1" s="17"/>
    <row r="3625" ht="18" customHeight="1" s="17"/>
    <row r="3626" ht="18" customHeight="1" s="17"/>
    <row r="3627" ht="18" customHeight="1" s="17"/>
    <row r="3628" ht="18" customHeight="1" s="17"/>
    <row r="3629" ht="18" customHeight="1" s="17"/>
    <row r="3630" ht="18" customHeight="1" s="17"/>
    <row r="3631" ht="18" customHeight="1" s="17"/>
    <row r="3632" ht="18" customHeight="1" s="17"/>
    <row r="3633" ht="18" customHeight="1" s="17"/>
    <row r="3634" ht="18" customHeight="1" s="17"/>
    <row r="3635" ht="18" customHeight="1" s="17"/>
    <row r="3636" ht="18" customHeight="1" s="17"/>
    <row r="3637" ht="18" customHeight="1" s="17"/>
    <row r="3638" ht="18" customHeight="1" s="17"/>
    <row r="3639" ht="18" customHeight="1" s="17"/>
    <row r="3640" ht="18" customHeight="1" s="17"/>
    <row r="3641" ht="18" customHeight="1" s="17"/>
    <row r="3642" ht="18" customHeight="1" s="17"/>
    <row r="3643" ht="18" customHeight="1" s="17"/>
    <row r="3644" ht="18" customHeight="1" s="17"/>
    <row r="3645" ht="18" customHeight="1" s="17"/>
    <row r="3646" ht="18" customHeight="1" s="17"/>
    <row r="3647" ht="18" customHeight="1" s="17"/>
    <row r="3648" ht="18" customHeight="1" s="17"/>
    <row r="3649" ht="18" customHeight="1" s="17"/>
    <row r="3650" ht="18" customHeight="1" s="17"/>
    <row r="3651" ht="18" customHeight="1" s="17"/>
    <row r="3652" ht="18" customHeight="1" s="17"/>
    <row r="3653" ht="18" customHeight="1" s="17"/>
    <row r="3654" ht="18" customHeight="1" s="17"/>
    <row r="3655" ht="18" customHeight="1" s="17"/>
    <row r="3656" ht="18" customHeight="1" s="17"/>
    <row r="3657" ht="18" customHeight="1" s="17"/>
    <row r="3658" ht="18" customHeight="1" s="17"/>
    <row r="3659" ht="18" customHeight="1" s="17"/>
    <row r="3660" ht="18" customHeight="1" s="17"/>
    <row r="3661" ht="18" customHeight="1" s="17"/>
    <row r="3662" ht="18" customHeight="1" s="17"/>
    <row r="3663" ht="18" customHeight="1" s="17"/>
    <row r="3664" ht="18" customHeight="1" s="17"/>
    <row r="3665" ht="18" customHeight="1" s="17"/>
    <row r="3666" ht="18" customHeight="1" s="17"/>
    <row r="3667" ht="18" customHeight="1" s="17"/>
    <row r="3668" ht="18" customHeight="1" s="17"/>
    <row r="3669" ht="18" customHeight="1" s="17"/>
    <row r="3670" ht="18" customHeight="1" s="17"/>
    <row r="3671" ht="18" customHeight="1" s="17"/>
    <row r="3672" ht="18" customHeight="1" s="17"/>
    <row r="3673" ht="18" customHeight="1" s="17"/>
    <row r="3674" ht="18" customHeight="1" s="17"/>
    <row r="3675" ht="18" customHeight="1" s="17"/>
    <row r="3676" ht="18" customHeight="1" s="17"/>
    <row r="3677" ht="18" customHeight="1" s="17"/>
    <row r="3678" ht="18" customHeight="1" s="17"/>
    <row r="3679" ht="18" customHeight="1" s="17"/>
    <row r="3680" ht="18" customHeight="1" s="17"/>
    <row r="3681" ht="18" customHeight="1" s="17"/>
    <row r="3682" ht="18" customHeight="1" s="17"/>
    <row r="3683" ht="18" customHeight="1" s="17"/>
    <row r="3684" ht="18" customHeight="1" s="17"/>
    <row r="3685" ht="18" customHeight="1" s="17"/>
    <row r="3686" ht="18" customHeight="1" s="17"/>
    <row r="3687" ht="18" customHeight="1" s="17"/>
    <row r="3688" ht="18" customHeight="1" s="17"/>
    <row r="3689" ht="18" customHeight="1" s="17"/>
    <row r="3690" ht="18" customHeight="1" s="17"/>
    <row r="3691" ht="18" customHeight="1" s="17"/>
    <row r="3692" ht="18" customHeight="1" s="17"/>
    <row r="3693" ht="18" customHeight="1" s="17"/>
    <row r="3694" ht="18" customHeight="1" s="17"/>
    <row r="3695" ht="18" customHeight="1" s="17"/>
    <row r="3696" ht="18" customHeight="1" s="17"/>
    <row r="3697" ht="18" customHeight="1" s="17"/>
    <row r="3698" ht="18" customHeight="1" s="17"/>
    <row r="3699" ht="18" customHeight="1" s="17"/>
    <row r="3700" ht="18" customHeight="1" s="17"/>
    <row r="3701" ht="18" customHeight="1" s="17"/>
    <row r="3702" ht="18" customHeight="1" s="17"/>
    <row r="3703" ht="18" customHeight="1" s="17"/>
    <row r="3704" ht="18" customHeight="1" s="17"/>
    <row r="3705" ht="18" customHeight="1" s="17"/>
    <row r="3706" ht="18" customHeight="1" s="17"/>
    <row r="3707" ht="18" customHeight="1" s="17"/>
    <row r="3708" ht="18" customHeight="1" s="17"/>
    <row r="3709" ht="18" customHeight="1" s="17"/>
    <row r="3710" ht="18" customHeight="1" s="17"/>
    <row r="3711" ht="18" customHeight="1" s="17"/>
    <row r="3712" ht="18" customHeight="1" s="17"/>
    <row r="3713" ht="18" customHeight="1" s="17"/>
    <row r="3714" ht="18" customHeight="1" s="17"/>
    <row r="3715" ht="18" customHeight="1" s="17"/>
    <row r="3716" ht="18" customHeight="1" s="17"/>
    <row r="3717" ht="18" customHeight="1" s="17"/>
    <row r="3718" ht="18" customHeight="1" s="17"/>
    <row r="3719" ht="18" customHeight="1" s="17"/>
    <row r="3720" ht="18" customHeight="1" s="17"/>
    <row r="3721" ht="18" customHeight="1" s="17"/>
    <row r="3722" ht="18" customHeight="1" s="17"/>
    <row r="3723" ht="18" customHeight="1" s="17"/>
    <row r="3724" ht="18" customHeight="1" s="17"/>
    <row r="3725" ht="18" customHeight="1" s="17"/>
    <row r="3726" ht="18" customHeight="1" s="17"/>
    <row r="3727" ht="18" customHeight="1" s="17"/>
    <row r="3728" ht="18" customHeight="1" s="17"/>
    <row r="3729" ht="18" customHeight="1" s="17"/>
    <row r="3730" ht="18" customHeight="1" s="17"/>
    <row r="3731" ht="18" customHeight="1" s="17"/>
    <row r="3732" ht="18" customHeight="1" s="17"/>
    <row r="3733" ht="18" customHeight="1" s="17"/>
    <row r="3734" ht="18" customHeight="1" s="17"/>
    <row r="3735" ht="18" customHeight="1" s="17"/>
    <row r="3736" ht="18" customHeight="1" s="17"/>
    <row r="3737" ht="18" customHeight="1" s="17"/>
    <row r="3738" ht="18" customHeight="1" s="17"/>
    <row r="3739" ht="18" customHeight="1" s="17"/>
    <row r="3740" ht="18" customHeight="1" s="17"/>
    <row r="3741" ht="18" customHeight="1" s="17"/>
    <row r="3742" ht="18" customHeight="1" s="17"/>
    <row r="3743" ht="18" customHeight="1" s="17"/>
    <row r="3744" ht="18" customHeight="1" s="17"/>
    <row r="3745" ht="18" customHeight="1" s="17"/>
    <row r="3746" ht="18" customHeight="1" s="17"/>
    <row r="3747" ht="18" customHeight="1" s="17"/>
    <row r="3748" ht="18" customHeight="1" s="17"/>
    <row r="3749" ht="18" customHeight="1" s="17"/>
    <row r="3750" ht="18" customHeight="1" s="17"/>
    <row r="3751" ht="18" customHeight="1" s="17"/>
    <row r="3752" ht="18" customHeight="1" s="17"/>
    <row r="3753" ht="18" customHeight="1" s="17"/>
    <row r="3754" ht="18" customHeight="1" s="17"/>
    <row r="3755" ht="18" customHeight="1" s="17"/>
    <row r="3756" ht="18" customHeight="1" s="17"/>
    <row r="3757" ht="18" customHeight="1" s="17"/>
    <row r="3758" ht="18" customHeight="1" s="17"/>
    <row r="3759" ht="18" customHeight="1" s="17"/>
    <row r="3760" ht="18" customHeight="1" s="17"/>
    <row r="3761" ht="18" customHeight="1" s="17"/>
    <row r="3762" ht="18" customHeight="1" s="17"/>
    <row r="3763" ht="18" customHeight="1" s="17"/>
    <row r="3764" ht="18" customHeight="1" s="17"/>
    <row r="3765" ht="18" customHeight="1" s="17"/>
    <row r="3766" ht="18" customHeight="1" s="17"/>
    <row r="3767" ht="18" customHeight="1" s="17"/>
    <row r="3768" ht="18" customHeight="1" s="17"/>
    <row r="3769" ht="18" customHeight="1" s="17"/>
    <row r="3770" ht="18" customHeight="1" s="17"/>
    <row r="3771" ht="18" customHeight="1" s="17"/>
    <row r="3772" ht="18" customHeight="1" s="17"/>
    <row r="3773" ht="18" customHeight="1" s="17"/>
    <row r="3774" ht="18" customHeight="1" s="17"/>
    <row r="3775" ht="18" customHeight="1" s="17"/>
    <row r="3776" ht="18" customHeight="1" s="17"/>
    <row r="3777" ht="18" customHeight="1" s="17"/>
    <row r="3778" ht="18" customHeight="1" s="17"/>
    <row r="3779" ht="18" customHeight="1" s="17"/>
    <row r="3780" ht="18" customHeight="1" s="17"/>
    <row r="3781" ht="18" customHeight="1" s="17"/>
    <row r="3782" ht="18" customHeight="1" s="17"/>
    <row r="3783" ht="18" customHeight="1" s="17"/>
    <row r="3784" ht="18" customHeight="1" s="17"/>
    <row r="3785" ht="18" customHeight="1" s="17"/>
    <row r="3786" ht="18" customHeight="1" s="17"/>
    <row r="3787" ht="18" customHeight="1" s="17"/>
    <row r="3788" ht="18" customHeight="1" s="17"/>
    <row r="3789" ht="18" customHeight="1" s="17"/>
    <row r="3790" ht="18" customHeight="1" s="17"/>
    <row r="3791" ht="18" customHeight="1" s="17"/>
    <row r="3792" ht="18" customHeight="1" s="17"/>
    <row r="3793" ht="18" customHeight="1" s="17"/>
    <row r="3794" ht="18" customHeight="1" s="17"/>
    <row r="3795" ht="18" customHeight="1" s="17"/>
    <row r="3796" ht="18" customHeight="1" s="17"/>
    <row r="3797" ht="18" customHeight="1" s="17"/>
    <row r="3798" ht="18" customHeight="1" s="17"/>
    <row r="3799" ht="18" customHeight="1" s="17"/>
    <row r="3800" ht="18" customHeight="1" s="17"/>
    <row r="3801" ht="18" customHeight="1" s="17"/>
    <row r="3802" ht="18" customHeight="1" s="17"/>
    <row r="3803" ht="18" customHeight="1" s="17"/>
    <row r="3804" ht="18" customHeight="1" s="17"/>
    <row r="3805" ht="18" customHeight="1" s="17"/>
    <row r="3806" ht="18" customHeight="1" s="17"/>
    <row r="3807" ht="18" customHeight="1" s="17"/>
    <row r="3808" ht="18" customHeight="1" s="17"/>
    <row r="3809" ht="18" customHeight="1" s="17"/>
    <row r="3810" ht="18" customHeight="1" s="17"/>
    <row r="3811" ht="18" customHeight="1" s="17"/>
    <row r="3812" ht="18" customHeight="1" s="17"/>
    <row r="3813" ht="18" customHeight="1" s="17"/>
    <row r="3814" ht="18" customHeight="1" s="17"/>
    <row r="3815" ht="18" customHeight="1" s="17"/>
    <row r="3816" ht="18" customHeight="1" s="17"/>
    <row r="3817" ht="18" customHeight="1" s="17"/>
    <row r="3818" ht="18" customHeight="1" s="17"/>
    <row r="3819" ht="18" customHeight="1" s="17"/>
    <row r="3820" ht="18" customHeight="1" s="17"/>
    <row r="3821" ht="18" customHeight="1" s="17"/>
    <row r="3822" ht="18" customHeight="1" s="17"/>
    <row r="3823" ht="18" customHeight="1" s="17"/>
    <row r="3824" ht="18" customHeight="1" s="17"/>
    <row r="3825" ht="18" customHeight="1" s="17"/>
    <row r="3826" ht="18" customHeight="1" s="17"/>
    <row r="3827" ht="18" customHeight="1" s="17"/>
    <row r="3828" ht="18" customHeight="1" s="17"/>
    <row r="3829" ht="18" customHeight="1" s="17"/>
    <row r="3830" ht="18" customHeight="1" s="17"/>
    <row r="3831" ht="18" customHeight="1" s="17"/>
    <row r="3832" ht="18" customHeight="1" s="17"/>
    <row r="3833" ht="18" customHeight="1" s="17"/>
    <row r="3834" ht="18" customHeight="1" s="17"/>
    <row r="3835" ht="18" customHeight="1" s="17"/>
    <row r="3836" ht="18" customHeight="1" s="17"/>
    <row r="3837" ht="18" customHeight="1" s="17"/>
    <row r="3838" ht="18" customHeight="1" s="17"/>
    <row r="3839" ht="18" customHeight="1" s="17"/>
    <row r="3840" ht="18" customHeight="1" s="17"/>
    <row r="3841" ht="18" customHeight="1" s="17"/>
    <row r="3842" ht="18" customHeight="1" s="17"/>
    <row r="3843" ht="18" customHeight="1" s="17"/>
    <row r="3844" ht="18" customHeight="1" s="17"/>
    <row r="3845" ht="18" customHeight="1" s="17"/>
    <row r="3846" ht="18" customHeight="1" s="17"/>
    <row r="3847" ht="18" customHeight="1" s="17"/>
    <row r="3848" ht="18" customHeight="1" s="17"/>
    <row r="3849" ht="18" customHeight="1" s="17"/>
    <row r="3850" ht="18" customHeight="1" s="17"/>
    <row r="3851" ht="18" customHeight="1" s="17"/>
    <row r="3852" ht="18" customHeight="1" s="17"/>
    <row r="3853" ht="18" customHeight="1" s="17"/>
    <row r="3854" ht="18" customHeight="1" s="17"/>
    <row r="3855" ht="18" customHeight="1" s="17"/>
    <row r="3856" ht="18" customHeight="1" s="17"/>
    <row r="3857" ht="18" customHeight="1" s="17"/>
    <row r="3858" ht="18" customHeight="1" s="17"/>
    <row r="3859" ht="18" customHeight="1" s="17"/>
    <row r="3860" ht="18" customHeight="1" s="17"/>
    <row r="3861" ht="18" customHeight="1" s="17"/>
    <row r="3862" ht="18" customHeight="1" s="17"/>
    <row r="3863" ht="18" customHeight="1" s="17"/>
    <row r="3864" ht="18" customHeight="1" s="17"/>
    <row r="3865" ht="18" customHeight="1" s="17"/>
    <row r="3866" ht="18" customHeight="1" s="17"/>
    <row r="3867" ht="18" customHeight="1" s="17"/>
    <row r="3868" ht="18" customHeight="1" s="17"/>
    <row r="3869" ht="18" customHeight="1" s="17"/>
    <row r="3870" ht="18" customHeight="1" s="17"/>
    <row r="3871" ht="18" customHeight="1" s="17"/>
    <row r="3872" ht="18" customHeight="1" s="17"/>
    <row r="3873" ht="18" customHeight="1" s="17"/>
    <row r="3874" ht="18" customHeight="1" s="17"/>
    <row r="3875" ht="18" customHeight="1" s="17"/>
    <row r="3876" ht="18" customHeight="1" s="17"/>
    <row r="3877" ht="18" customHeight="1" s="17"/>
    <row r="3878" ht="18" customHeight="1" s="17"/>
    <row r="3879" ht="18" customHeight="1" s="17"/>
    <row r="3880" ht="18" customHeight="1" s="17"/>
    <row r="3881" ht="18" customHeight="1" s="17"/>
    <row r="3882" ht="18" customHeight="1" s="17"/>
    <row r="3883" ht="18" customHeight="1" s="17"/>
    <row r="3884" ht="18" customHeight="1" s="17"/>
    <row r="3885" ht="18" customHeight="1" s="17"/>
    <row r="3886" ht="18" customHeight="1" s="17"/>
    <row r="3887" ht="18" customHeight="1" s="17"/>
    <row r="3888" ht="18" customHeight="1" s="17"/>
    <row r="3889" ht="18" customHeight="1" s="17"/>
    <row r="3890" ht="18" customHeight="1" s="17"/>
    <row r="3891" ht="18" customHeight="1" s="17"/>
    <row r="3892" ht="18" customHeight="1" s="17"/>
    <row r="3893" ht="18" customHeight="1" s="17"/>
    <row r="3894" ht="18" customHeight="1" s="17"/>
    <row r="3895" ht="18" customHeight="1" s="17"/>
    <row r="3896" ht="18" customHeight="1" s="17"/>
    <row r="3897" ht="18" customHeight="1" s="17"/>
    <row r="3898" ht="18" customHeight="1" s="17"/>
    <row r="3899" ht="18" customHeight="1" s="17"/>
    <row r="3900" ht="18" customHeight="1" s="17"/>
    <row r="3901" ht="18" customHeight="1" s="17"/>
    <row r="3902" ht="18" customHeight="1" s="17"/>
    <row r="3903" ht="18" customHeight="1" s="17"/>
    <row r="3904" ht="18" customHeight="1" s="17"/>
    <row r="3905" ht="18" customHeight="1" s="17"/>
    <row r="3906" ht="18" customHeight="1" s="17"/>
    <row r="3907" ht="18" customHeight="1" s="17"/>
    <row r="3908" ht="18" customHeight="1" s="17"/>
    <row r="3909" ht="18" customHeight="1" s="17"/>
    <row r="3910" ht="18" customHeight="1" s="17"/>
    <row r="3911" ht="18" customHeight="1" s="17"/>
    <row r="3912" ht="18" customHeight="1" s="17"/>
    <row r="3913" ht="18" customHeight="1" s="17"/>
    <row r="3914" ht="18" customHeight="1" s="17"/>
    <row r="3915" ht="18" customHeight="1" s="17"/>
    <row r="3916" ht="18" customHeight="1" s="17"/>
    <row r="3917" ht="18" customHeight="1" s="17"/>
    <row r="3918" ht="18" customHeight="1" s="17"/>
    <row r="3919" ht="18" customHeight="1" s="17"/>
    <row r="3920" ht="18" customHeight="1" s="17"/>
    <row r="3921" ht="18" customHeight="1" s="17"/>
    <row r="3922" ht="18" customHeight="1" s="17"/>
    <row r="3923" ht="18" customHeight="1" s="17"/>
    <row r="3924" ht="18" customHeight="1" s="17"/>
    <row r="3925" ht="18" customHeight="1" s="17"/>
    <row r="3926" ht="18" customHeight="1" s="17"/>
    <row r="3927" ht="18" customHeight="1" s="17"/>
    <row r="3928" ht="18" customHeight="1" s="17"/>
    <row r="3929" ht="18" customHeight="1" s="17"/>
    <row r="3930" ht="18" customHeight="1" s="17"/>
    <row r="3931" ht="18" customHeight="1" s="17"/>
    <row r="3932" ht="18" customHeight="1" s="17"/>
    <row r="3933" ht="18" customHeight="1" s="17"/>
    <row r="3934" ht="18" customHeight="1" s="17"/>
    <row r="3935" ht="18" customHeight="1" s="17"/>
    <row r="3936" ht="18" customHeight="1" s="17"/>
    <row r="3937" ht="18" customHeight="1" s="17"/>
    <row r="3938" ht="18" customHeight="1" s="17"/>
    <row r="3939" ht="18" customHeight="1" s="17"/>
    <row r="3940" ht="18" customHeight="1" s="17"/>
    <row r="3941" ht="18" customHeight="1" s="17"/>
    <row r="3942" ht="18" customHeight="1" s="17"/>
    <row r="3943" ht="18" customHeight="1" s="17"/>
    <row r="3944" ht="18" customHeight="1" s="17"/>
    <row r="3945" ht="18" customHeight="1" s="17"/>
    <row r="3946" ht="18" customHeight="1" s="17"/>
    <row r="3947" ht="18" customHeight="1" s="17"/>
    <row r="3948" ht="18" customHeight="1" s="17"/>
    <row r="3949" ht="18" customHeight="1" s="17"/>
    <row r="3950" ht="18" customHeight="1" s="17"/>
    <row r="3951" ht="18" customHeight="1" s="17"/>
    <row r="3952" ht="18" customHeight="1" s="17"/>
    <row r="3953" ht="18" customHeight="1" s="17"/>
    <row r="3954" ht="18" customHeight="1" s="17"/>
    <row r="3955" ht="18" customHeight="1" s="17"/>
    <row r="3956" ht="18" customHeight="1" s="17"/>
    <row r="3957" ht="18" customHeight="1" s="17"/>
    <row r="3958" ht="18" customHeight="1" s="17"/>
    <row r="3959" ht="18" customHeight="1" s="17"/>
    <row r="3960" ht="18" customHeight="1" s="17"/>
    <row r="3961" ht="18" customHeight="1" s="17"/>
    <row r="3962" ht="18" customHeight="1" s="17"/>
    <row r="3963" ht="18" customHeight="1" s="17"/>
    <row r="3964" ht="18" customHeight="1" s="17"/>
    <row r="3965" ht="18" customHeight="1" s="17"/>
    <row r="3966" ht="18" customHeight="1" s="17"/>
    <row r="3967" ht="18" customHeight="1" s="17"/>
    <row r="3968" ht="18" customHeight="1" s="17"/>
    <row r="3969" ht="18" customHeight="1" s="17"/>
    <row r="3970" ht="18" customHeight="1" s="17"/>
    <row r="3971" ht="18" customHeight="1" s="17"/>
    <row r="3972" ht="18" customHeight="1" s="17"/>
    <row r="3973" ht="18" customHeight="1" s="17"/>
    <row r="3974" ht="18" customHeight="1" s="17"/>
    <row r="3975" ht="18" customHeight="1" s="17"/>
    <row r="3976" ht="18" customHeight="1" s="17"/>
    <row r="3977" ht="18" customHeight="1" s="17"/>
    <row r="3978" ht="18" customHeight="1" s="17"/>
    <row r="3979" ht="18" customHeight="1" s="17"/>
    <row r="3980" ht="18" customHeight="1" s="17"/>
    <row r="3981" ht="18" customHeight="1" s="17"/>
    <row r="3982" ht="18" customHeight="1" s="17"/>
    <row r="3983" ht="18" customHeight="1" s="17"/>
    <row r="3984" ht="18" customHeight="1" s="17"/>
    <row r="3985" ht="18" customHeight="1" s="17"/>
    <row r="3986" ht="18" customHeight="1" s="17"/>
    <row r="3987" ht="18" customHeight="1" s="17"/>
    <row r="3988" ht="18" customHeight="1" s="17"/>
    <row r="3989" ht="18" customHeight="1" s="17"/>
    <row r="3990" ht="18" customHeight="1" s="17"/>
    <row r="3991" ht="18" customHeight="1" s="17"/>
    <row r="3992" ht="18" customHeight="1" s="17"/>
    <row r="3993" ht="18" customHeight="1" s="17"/>
    <row r="3994" ht="18" customHeight="1" s="17"/>
    <row r="3995" ht="18" customHeight="1" s="17"/>
    <row r="3996" ht="18" customHeight="1" s="17"/>
    <row r="3997" ht="18" customHeight="1" s="17"/>
    <row r="3998" ht="18" customHeight="1" s="17"/>
    <row r="3999" ht="18" customHeight="1" s="17"/>
    <row r="4000" ht="18" customHeight="1" s="17"/>
    <row r="4001" ht="18" customHeight="1" s="17"/>
    <row r="4002" ht="18" customHeight="1" s="17"/>
    <row r="4003" ht="18" customHeight="1" s="17"/>
    <row r="4004" ht="18" customHeight="1" s="17"/>
    <row r="4005" ht="18" customHeight="1" s="17"/>
    <row r="4006" ht="18" customHeight="1" s="17"/>
    <row r="4007" ht="18" customHeight="1" s="17"/>
    <row r="4008" ht="18" customHeight="1" s="17"/>
    <row r="4009" ht="18" customHeight="1" s="17"/>
    <row r="4010" ht="18" customHeight="1" s="17"/>
    <row r="4011" ht="18" customHeight="1" s="17"/>
    <row r="4012" ht="18" customHeight="1" s="17"/>
    <row r="4013" ht="18" customHeight="1" s="17"/>
    <row r="4014" ht="18" customHeight="1" s="17"/>
    <row r="4015" ht="18" customHeight="1" s="17"/>
    <row r="4016" ht="18" customHeight="1" s="17"/>
    <row r="4017" ht="18" customHeight="1" s="17"/>
    <row r="4018" ht="18" customHeight="1" s="17"/>
    <row r="4019" ht="18" customHeight="1" s="17"/>
    <row r="4020" ht="18" customHeight="1" s="17"/>
    <row r="4021" ht="18" customHeight="1" s="17"/>
    <row r="4022" ht="18" customHeight="1" s="17"/>
    <row r="4023" ht="18" customHeight="1" s="17"/>
    <row r="4024" ht="18" customHeight="1" s="17"/>
    <row r="4025" ht="18" customHeight="1" s="17"/>
    <row r="4026" ht="18" customHeight="1" s="17"/>
    <row r="4027" ht="18" customHeight="1" s="17"/>
    <row r="4028" ht="18" customHeight="1" s="17"/>
    <row r="4029" ht="18" customHeight="1" s="17"/>
    <row r="4030" ht="18" customHeight="1" s="17"/>
    <row r="4031" ht="18" customHeight="1" s="17"/>
    <row r="4032" ht="18" customHeight="1" s="17"/>
    <row r="4033" ht="18" customHeight="1" s="17"/>
    <row r="4034" ht="18" customHeight="1" s="17"/>
    <row r="4035" ht="18" customHeight="1" s="17"/>
    <row r="4036" ht="18" customHeight="1" s="17"/>
    <row r="4037" ht="18" customHeight="1" s="17"/>
    <row r="4038" ht="18" customHeight="1" s="17"/>
    <row r="4039" ht="18" customHeight="1" s="17"/>
    <row r="4040" ht="18" customHeight="1" s="17"/>
    <row r="4041" ht="18" customHeight="1" s="17"/>
    <row r="4042" ht="18" customHeight="1" s="17"/>
    <row r="4043" ht="18" customHeight="1" s="17"/>
    <row r="4044" ht="18" customHeight="1" s="17"/>
    <row r="4045" ht="18" customHeight="1" s="17"/>
    <row r="4046" ht="18" customHeight="1" s="17"/>
    <row r="4047" ht="18" customHeight="1" s="17"/>
    <row r="4048" ht="18" customHeight="1" s="17"/>
    <row r="4049" ht="18" customHeight="1" s="17"/>
    <row r="4050" ht="18" customHeight="1" s="17"/>
    <row r="4051" ht="18" customHeight="1" s="17"/>
    <row r="4052" ht="18" customHeight="1" s="17"/>
    <row r="4053" ht="18" customHeight="1" s="17"/>
    <row r="4054" ht="18" customHeight="1" s="17"/>
    <row r="4055" ht="18" customHeight="1" s="17"/>
    <row r="4056" ht="18" customHeight="1" s="17"/>
    <row r="4057" ht="18" customHeight="1" s="17"/>
    <row r="4058" ht="18" customHeight="1" s="17"/>
    <row r="4059" ht="18" customHeight="1" s="17"/>
    <row r="4060" ht="18" customHeight="1" s="17"/>
    <row r="4061" ht="18" customHeight="1" s="17"/>
    <row r="4062" ht="18" customHeight="1" s="17"/>
    <row r="4063" ht="18" customHeight="1" s="17"/>
    <row r="4064" ht="18" customHeight="1" s="17"/>
    <row r="4065" ht="18" customHeight="1" s="17"/>
    <row r="4066" ht="18" customHeight="1" s="17"/>
    <row r="4067" ht="18" customHeight="1" s="17"/>
    <row r="4068" ht="18" customHeight="1" s="17"/>
    <row r="4069" ht="18" customHeight="1" s="17"/>
    <row r="4070" ht="18" customHeight="1" s="17"/>
    <row r="4071" ht="18" customHeight="1" s="17"/>
    <row r="4072" ht="18" customHeight="1" s="17"/>
    <row r="4073" ht="18" customHeight="1" s="17"/>
    <row r="4074" ht="18" customHeight="1" s="17"/>
    <row r="4075" ht="18" customHeight="1" s="17"/>
    <row r="4076" ht="18" customHeight="1" s="17"/>
    <row r="4077" ht="18" customHeight="1" s="17"/>
    <row r="4078" ht="18" customHeight="1" s="17"/>
    <row r="4079" ht="18" customHeight="1" s="17"/>
    <row r="4080" ht="18" customHeight="1" s="17"/>
    <row r="4081" ht="18" customHeight="1" s="17"/>
    <row r="4082" ht="18" customHeight="1" s="17"/>
    <row r="4083" ht="18" customHeight="1" s="17"/>
    <row r="4084" ht="18" customHeight="1" s="17"/>
    <row r="4085" ht="18" customHeight="1" s="17"/>
    <row r="4086" ht="18" customHeight="1" s="17"/>
    <row r="4087" ht="18" customHeight="1" s="17"/>
    <row r="4088" ht="18" customHeight="1" s="17"/>
    <row r="4089" ht="18" customHeight="1" s="17"/>
    <row r="4090" ht="18" customHeight="1" s="17"/>
    <row r="4091" ht="18" customHeight="1" s="17"/>
    <row r="4092" ht="18" customHeight="1" s="17"/>
    <row r="4093" ht="18" customHeight="1" s="17"/>
    <row r="4094" ht="18" customHeight="1" s="17"/>
    <row r="4095" ht="18" customHeight="1" s="17"/>
    <row r="4096" ht="18" customHeight="1" s="17"/>
    <row r="4097" ht="18" customHeight="1" s="17"/>
    <row r="4098" ht="18" customHeight="1" s="17"/>
    <row r="4099" ht="18" customHeight="1" s="17"/>
    <row r="4100" ht="18" customHeight="1" s="17"/>
    <row r="4101" ht="18" customHeight="1" s="17"/>
    <row r="4102" ht="18" customHeight="1" s="17"/>
    <row r="4103" ht="18" customHeight="1" s="17"/>
    <row r="4104" ht="18" customHeight="1" s="17"/>
    <row r="4105" ht="18" customHeight="1" s="17"/>
    <row r="4106" ht="18" customHeight="1" s="17"/>
    <row r="4107" ht="18" customHeight="1" s="17"/>
    <row r="4108" ht="18" customHeight="1" s="17"/>
    <row r="4109" ht="18" customHeight="1" s="17"/>
    <row r="4110" ht="18" customHeight="1" s="17"/>
    <row r="4111" ht="18" customHeight="1" s="17"/>
    <row r="4112" ht="18" customHeight="1" s="17"/>
    <row r="4113" ht="18" customHeight="1" s="17"/>
    <row r="4114" ht="18" customHeight="1" s="17"/>
    <row r="4115" ht="18" customHeight="1" s="17"/>
    <row r="4116" ht="18" customHeight="1" s="17"/>
    <row r="4117" ht="18" customHeight="1" s="17"/>
    <row r="4118" ht="18" customHeight="1" s="17"/>
    <row r="4119" ht="18" customHeight="1" s="17"/>
    <row r="4120" ht="18" customHeight="1" s="17"/>
    <row r="4121" ht="18" customHeight="1" s="17"/>
    <row r="4122" ht="18" customHeight="1" s="17"/>
    <row r="4123" ht="18" customHeight="1" s="17"/>
    <row r="4124" ht="18" customHeight="1" s="17"/>
    <row r="4125" ht="18" customHeight="1" s="17"/>
    <row r="4126" ht="18" customHeight="1" s="17"/>
    <row r="4127" ht="18" customHeight="1" s="17"/>
    <row r="4128" ht="18" customHeight="1" s="17"/>
    <row r="4129" ht="18" customHeight="1" s="17"/>
    <row r="4130" ht="18" customHeight="1" s="17"/>
    <row r="4131" ht="18" customHeight="1" s="17"/>
    <row r="4132" ht="18" customHeight="1" s="17"/>
    <row r="4133" ht="18" customHeight="1" s="17"/>
    <row r="4134" ht="18" customHeight="1" s="17"/>
    <row r="4135" ht="18" customHeight="1" s="17"/>
    <row r="4136" ht="18" customHeight="1" s="17"/>
    <row r="4137" ht="18" customHeight="1" s="17"/>
    <row r="4138" ht="18" customHeight="1" s="17"/>
    <row r="4139" ht="18" customHeight="1" s="17"/>
    <row r="4140" ht="18" customHeight="1" s="17"/>
    <row r="4141" ht="18" customHeight="1" s="17"/>
    <row r="4142" ht="18" customHeight="1" s="17"/>
    <row r="4143" ht="18" customHeight="1" s="17"/>
    <row r="4144" ht="18" customHeight="1" s="17"/>
    <row r="4145" ht="18" customHeight="1" s="17"/>
    <row r="4146" ht="18" customHeight="1" s="17"/>
    <row r="4147" ht="18" customHeight="1" s="17"/>
    <row r="4148" ht="18" customHeight="1" s="17"/>
    <row r="4149" ht="18" customHeight="1" s="17"/>
    <row r="4150" ht="18" customHeight="1" s="17"/>
    <row r="4151" ht="18" customHeight="1" s="17"/>
    <row r="4152" ht="18" customHeight="1" s="17"/>
    <row r="4153" ht="18" customHeight="1" s="17"/>
    <row r="4154" ht="18" customHeight="1" s="17"/>
    <row r="4155" ht="18" customHeight="1" s="17"/>
    <row r="4156" ht="18" customHeight="1" s="17"/>
    <row r="4157" ht="18" customHeight="1" s="17"/>
    <row r="4158" ht="18" customHeight="1" s="17"/>
    <row r="4159" ht="18" customHeight="1" s="17"/>
    <row r="4160" ht="18" customHeight="1" s="17"/>
    <row r="4161" ht="18" customHeight="1" s="17"/>
    <row r="4162" ht="18" customHeight="1" s="17"/>
    <row r="4163" ht="18" customHeight="1" s="17"/>
    <row r="4164" ht="18" customHeight="1" s="17"/>
    <row r="4165" ht="18" customHeight="1" s="17"/>
    <row r="4166" ht="18" customHeight="1" s="17"/>
    <row r="4167" ht="18" customHeight="1" s="17"/>
    <row r="4168" ht="18" customHeight="1" s="17"/>
    <row r="4169" ht="18" customHeight="1" s="17"/>
    <row r="4170" ht="18" customHeight="1" s="17"/>
    <row r="4171" ht="18" customHeight="1" s="17"/>
    <row r="4172" ht="18" customHeight="1" s="17"/>
    <row r="4173" ht="18" customHeight="1" s="17"/>
    <row r="4174" ht="18" customHeight="1" s="17"/>
    <row r="4175" ht="18" customHeight="1" s="17"/>
    <row r="4176" ht="18" customHeight="1" s="17"/>
    <row r="4177" ht="18" customHeight="1" s="17"/>
    <row r="4178" ht="18" customHeight="1" s="17"/>
    <row r="4179" ht="18" customHeight="1" s="17"/>
    <row r="4180" ht="18" customHeight="1" s="17"/>
    <row r="4181" ht="18" customHeight="1" s="17"/>
    <row r="4182" ht="18" customHeight="1" s="17"/>
    <row r="4183" ht="18" customHeight="1" s="17"/>
    <row r="4184" ht="18" customHeight="1" s="17"/>
    <row r="4185" ht="18" customHeight="1" s="17"/>
    <row r="4186" ht="18" customHeight="1" s="17"/>
    <row r="4187" ht="18" customHeight="1" s="17"/>
    <row r="4188" ht="18" customHeight="1" s="17"/>
    <row r="4189" ht="18" customHeight="1" s="17"/>
    <row r="4190" ht="18" customHeight="1" s="17"/>
    <row r="4191" ht="18" customHeight="1" s="17"/>
    <row r="4192" ht="18" customHeight="1" s="17"/>
    <row r="4193" ht="18" customHeight="1" s="17"/>
    <row r="4194" ht="18" customHeight="1" s="17"/>
    <row r="4195" ht="18" customHeight="1" s="17"/>
    <row r="4196" ht="18" customHeight="1" s="17"/>
    <row r="4197" ht="18" customHeight="1" s="17"/>
    <row r="4198" ht="18" customHeight="1" s="17"/>
    <row r="4199" ht="18" customHeight="1" s="17"/>
    <row r="4200" ht="18" customHeight="1" s="17"/>
    <row r="4201" ht="18" customHeight="1" s="17"/>
    <row r="4202" ht="18" customHeight="1" s="17"/>
    <row r="4203" ht="18" customHeight="1" s="17"/>
    <row r="4204" ht="18" customHeight="1" s="17"/>
    <row r="4205" ht="18" customHeight="1" s="17"/>
    <row r="4206" ht="18" customHeight="1" s="17"/>
    <row r="4207" ht="18" customHeight="1" s="17"/>
    <row r="4208" ht="18" customHeight="1" s="17"/>
    <row r="4209" ht="18" customHeight="1" s="17"/>
    <row r="4210" ht="18" customHeight="1" s="17"/>
    <row r="4211" ht="18" customHeight="1" s="17"/>
    <row r="4212" ht="18" customHeight="1" s="17"/>
    <row r="4213" ht="18" customHeight="1" s="17"/>
    <row r="4214" ht="18" customHeight="1" s="17"/>
    <row r="4215" ht="18" customHeight="1" s="17"/>
    <row r="4216" ht="18" customHeight="1" s="17"/>
    <row r="4217" ht="18" customHeight="1" s="17"/>
    <row r="4218" ht="18" customHeight="1" s="17"/>
    <row r="4219" ht="18" customHeight="1" s="17"/>
    <row r="4220" ht="18" customHeight="1" s="17"/>
    <row r="4221" ht="18" customHeight="1" s="17"/>
    <row r="4222" ht="18" customHeight="1" s="17"/>
    <row r="4223" ht="18" customHeight="1" s="17"/>
    <row r="4224" ht="18" customHeight="1" s="17"/>
    <row r="4225" ht="18" customHeight="1" s="17"/>
    <row r="4226" ht="18" customHeight="1" s="17"/>
    <row r="4227" ht="18" customHeight="1" s="17"/>
    <row r="4228" ht="18" customHeight="1" s="17"/>
    <row r="4229" ht="18" customHeight="1" s="17"/>
    <row r="4230" ht="18" customHeight="1" s="17"/>
    <row r="4231" ht="18" customHeight="1" s="17"/>
    <row r="4232" ht="18" customHeight="1" s="17"/>
    <row r="4233" ht="18" customHeight="1" s="17"/>
    <row r="4234" ht="18" customHeight="1" s="17"/>
    <row r="4235" ht="18" customHeight="1" s="17"/>
    <row r="4236" ht="18" customHeight="1" s="17"/>
    <row r="4237" ht="18" customHeight="1" s="17"/>
    <row r="4238" ht="18" customHeight="1" s="17"/>
    <row r="4239" ht="18" customHeight="1" s="17"/>
    <row r="4240" ht="18" customHeight="1" s="17"/>
    <row r="4241" ht="18" customHeight="1" s="17"/>
    <row r="4242" ht="18" customHeight="1" s="17"/>
    <row r="4243" ht="18" customHeight="1" s="17"/>
    <row r="4244" ht="18" customHeight="1" s="17"/>
    <row r="4245" ht="18" customHeight="1" s="17"/>
    <row r="4246" ht="18" customHeight="1" s="17"/>
    <row r="4247" ht="18" customHeight="1" s="17"/>
    <row r="4248" ht="18" customHeight="1" s="17"/>
    <row r="4249" ht="18" customHeight="1" s="17"/>
    <row r="4250" ht="18" customHeight="1" s="17"/>
    <row r="4251" ht="18" customHeight="1" s="17"/>
    <row r="4252" ht="18" customHeight="1" s="17"/>
    <row r="4253" ht="18" customHeight="1" s="17"/>
    <row r="4254" ht="18" customHeight="1" s="17"/>
    <row r="4255" ht="18" customHeight="1" s="17"/>
    <row r="4256" ht="18" customHeight="1" s="17"/>
    <row r="4257" ht="18" customHeight="1" s="17"/>
    <row r="4258" ht="18" customHeight="1" s="17"/>
    <row r="4259" ht="18" customHeight="1" s="17"/>
    <row r="4260" ht="18" customHeight="1" s="17"/>
    <row r="4261" ht="18" customHeight="1" s="17"/>
    <row r="4262" ht="18" customHeight="1" s="17"/>
    <row r="4263" ht="18" customHeight="1" s="17"/>
    <row r="4264" ht="18" customHeight="1" s="17"/>
    <row r="4265" ht="18" customHeight="1" s="17"/>
    <row r="4266" ht="18" customHeight="1" s="17"/>
    <row r="4267" ht="18" customHeight="1" s="17"/>
    <row r="4268" ht="18" customHeight="1" s="17"/>
    <row r="4269" ht="18" customHeight="1" s="17"/>
    <row r="4270" ht="18" customHeight="1" s="17"/>
    <row r="4271" ht="18" customHeight="1" s="17"/>
    <row r="4272" ht="18" customHeight="1" s="17"/>
    <row r="4273" ht="18" customHeight="1" s="17"/>
    <row r="4274" ht="18" customHeight="1" s="17"/>
    <row r="4275" ht="18" customHeight="1" s="17"/>
    <row r="4276" ht="18" customHeight="1" s="17"/>
    <row r="4277" ht="18" customHeight="1" s="17"/>
    <row r="4278" ht="18" customHeight="1" s="17"/>
    <row r="4279" ht="18" customHeight="1" s="17"/>
    <row r="4280" ht="18" customHeight="1" s="17"/>
    <row r="4281" ht="18" customHeight="1" s="17"/>
    <row r="4282" ht="18" customHeight="1" s="17"/>
    <row r="4283" ht="18" customHeight="1" s="17"/>
    <row r="4284" ht="18" customHeight="1" s="17"/>
    <row r="4285" ht="18" customHeight="1" s="17"/>
    <row r="4286" ht="18" customHeight="1" s="17"/>
    <row r="4287" ht="18" customHeight="1" s="17"/>
    <row r="4288" ht="18" customHeight="1" s="17"/>
    <row r="4289" ht="18" customHeight="1" s="17"/>
    <row r="4290" ht="18" customHeight="1" s="17"/>
    <row r="4291" ht="18" customHeight="1" s="17"/>
    <row r="4292" ht="18" customHeight="1" s="17"/>
    <row r="4293" ht="18" customHeight="1" s="17"/>
    <row r="4294" ht="18" customHeight="1" s="17"/>
    <row r="4295" ht="18" customHeight="1" s="17"/>
    <row r="4296" ht="18" customHeight="1" s="17"/>
    <row r="4297" ht="18" customHeight="1" s="17"/>
    <row r="4298" ht="18" customHeight="1" s="17"/>
    <row r="4299" ht="18" customHeight="1" s="17"/>
    <row r="4300" ht="18" customHeight="1" s="17"/>
    <row r="4301" ht="18" customHeight="1" s="17"/>
    <row r="4302" ht="18" customHeight="1" s="17"/>
    <row r="4303" ht="18" customHeight="1" s="17"/>
    <row r="4304" ht="18" customHeight="1" s="17"/>
    <row r="4305" ht="18" customHeight="1" s="17"/>
    <row r="4306" ht="18" customHeight="1" s="17"/>
    <row r="4307" ht="18" customHeight="1" s="17"/>
    <row r="4308" ht="18" customHeight="1" s="17"/>
    <row r="4309" ht="18" customHeight="1" s="17"/>
    <row r="4310" ht="18" customHeight="1" s="17"/>
    <row r="4311" ht="18" customHeight="1" s="17"/>
    <row r="4312" ht="18" customHeight="1" s="17"/>
    <row r="4313" ht="18" customHeight="1" s="17"/>
    <row r="4314" ht="18" customHeight="1" s="17"/>
    <row r="4315" ht="18" customHeight="1" s="17"/>
    <row r="4316" ht="18" customHeight="1" s="17"/>
    <row r="4317" ht="18" customHeight="1" s="17"/>
    <row r="4318" ht="18" customHeight="1" s="17"/>
    <row r="4319" ht="18" customHeight="1" s="17"/>
    <row r="4320" ht="18" customHeight="1" s="17"/>
    <row r="4321" ht="18" customHeight="1" s="17"/>
    <row r="4322" ht="18" customHeight="1" s="17"/>
    <row r="4323" ht="18" customHeight="1" s="17"/>
    <row r="4324" ht="18" customHeight="1" s="17"/>
    <row r="4325" ht="18" customHeight="1" s="17"/>
    <row r="4326" ht="18" customHeight="1" s="17"/>
    <row r="4327" ht="18" customHeight="1" s="17"/>
    <row r="4328" ht="18" customHeight="1" s="17"/>
    <row r="4329" ht="18" customHeight="1" s="17"/>
    <row r="4330" ht="18" customHeight="1" s="17"/>
    <row r="4331" ht="18" customHeight="1" s="17"/>
    <row r="4332" ht="18" customHeight="1" s="17"/>
    <row r="4333" ht="18" customHeight="1" s="17"/>
    <row r="4334" ht="18" customHeight="1" s="17"/>
    <row r="4335" ht="18" customHeight="1" s="17"/>
    <row r="4336" ht="18" customHeight="1" s="17"/>
    <row r="4337" ht="18" customHeight="1" s="17"/>
    <row r="4338" ht="18" customHeight="1" s="17"/>
    <row r="4339" ht="18" customHeight="1" s="17"/>
    <row r="4340" ht="18" customHeight="1" s="17"/>
    <row r="4341" ht="18" customHeight="1" s="17"/>
    <row r="4342" ht="18" customHeight="1" s="17"/>
    <row r="4343" ht="18" customHeight="1" s="17"/>
    <row r="4344" ht="18" customHeight="1" s="17"/>
    <row r="4345" ht="18" customHeight="1" s="17"/>
    <row r="4346" ht="18" customHeight="1" s="17"/>
    <row r="4347" ht="18" customHeight="1" s="17"/>
    <row r="4348" ht="18" customHeight="1" s="17"/>
    <row r="4349" ht="18" customHeight="1" s="17"/>
    <row r="4350" ht="18" customHeight="1" s="17"/>
    <row r="4351" ht="18" customHeight="1" s="17"/>
    <row r="4352" ht="18" customHeight="1" s="17"/>
    <row r="4353" ht="18" customHeight="1" s="17"/>
    <row r="4354" ht="18" customHeight="1" s="17"/>
    <row r="4355" ht="18" customHeight="1" s="17"/>
    <row r="4356" ht="18" customHeight="1" s="17"/>
    <row r="4357" ht="18" customHeight="1" s="17"/>
    <row r="4358" ht="18" customHeight="1" s="17"/>
    <row r="4359" ht="18" customHeight="1" s="17"/>
    <row r="4360" ht="18" customHeight="1" s="17"/>
    <row r="4361" ht="18" customHeight="1" s="17"/>
    <row r="4362" ht="18" customHeight="1" s="17"/>
    <row r="4363" ht="18" customHeight="1" s="17"/>
    <row r="4364" ht="18" customHeight="1" s="17"/>
    <row r="4365" ht="18" customHeight="1" s="17"/>
    <row r="4366" ht="18" customHeight="1" s="17"/>
    <row r="4367" ht="18" customHeight="1" s="17"/>
    <row r="4368" ht="18" customHeight="1" s="17"/>
    <row r="4369" ht="18" customHeight="1" s="17"/>
    <row r="4370" ht="18" customHeight="1" s="17"/>
    <row r="4371" ht="18" customHeight="1" s="17"/>
    <row r="4372" ht="18" customHeight="1" s="17"/>
    <row r="4373" ht="18" customHeight="1" s="17"/>
    <row r="4374" ht="18" customHeight="1" s="17"/>
    <row r="4375" ht="18" customHeight="1" s="17"/>
    <row r="4376" ht="18" customHeight="1" s="17"/>
    <row r="4377" ht="18" customHeight="1" s="17"/>
    <row r="4378" ht="18" customHeight="1" s="17"/>
    <row r="4379" ht="18" customHeight="1" s="17"/>
    <row r="4380" ht="18" customHeight="1" s="17"/>
    <row r="4381" ht="18" customHeight="1" s="17"/>
    <row r="4382" ht="18" customHeight="1" s="17"/>
    <row r="4383" ht="18" customHeight="1" s="17"/>
    <row r="4384" ht="18" customHeight="1" s="17"/>
    <row r="4385" ht="18" customHeight="1" s="17"/>
    <row r="4386" ht="18" customHeight="1" s="17"/>
    <row r="4387" ht="18" customHeight="1" s="17"/>
    <row r="4388" ht="18" customHeight="1" s="17"/>
    <row r="4389" ht="18" customHeight="1" s="17"/>
    <row r="4390" ht="18" customHeight="1" s="17"/>
    <row r="4391" ht="18" customHeight="1" s="17"/>
    <row r="4392" ht="18" customHeight="1" s="17"/>
    <row r="4393" ht="18" customHeight="1" s="17"/>
    <row r="4394" ht="18" customHeight="1" s="17"/>
    <row r="4395" ht="18" customHeight="1" s="17"/>
    <row r="4396" ht="18" customHeight="1" s="17"/>
    <row r="4397" ht="18" customHeight="1" s="17"/>
    <row r="4398" ht="18" customHeight="1" s="17"/>
    <row r="4399" ht="18" customHeight="1" s="17"/>
    <row r="4400" ht="18" customHeight="1" s="17"/>
    <row r="4401" ht="18" customHeight="1" s="17"/>
    <row r="4402" ht="18" customHeight="1" s="17"/>
    <row r="4403" ht="18" customHeight="1" s="17"/>
    <row r="4404" ht="18" customHeight="1" s="17"/>
    <row r="4405" ht="18" customHeight="1" s="17"/>
    <row r="4406" ht="18" customHeight="1" s="17"/>
    <row r="4407" ht="18" customHeight="1" s="17"/>
    <row r="4408" ht="18" customHeight="1" s="17"/>
    <row r="4409" ht="18" customHeight="1" s="17"/>
    <row r="4410" ht="18" customHeight="1" s="17"/>
    <row r="4411" ht="18" customHeight="1" s="17"/>
    <row r="4412" ht="18" customHeight="1" s="17"/>
    <row r="4413" ht="18" customHeight="1" s="17"/>
    <row r="4414" ht="18" customHeight="1" s="17"/>
    <row r="4415" ht="18" customHeight="1" s="17"/>
    <row r="4416" ht="18" customHeight="1" s="17"/>
    <row r="4417" ht="18" customHeight="1" s="17"/>
    <row r="4418" ht="18" customHeight="1" s="17"/>
    <row r="4419" ht="18" customHeight="1" s="17"/>
    <row r="4420" ht="18" customHeight="1" s="17"/>
    <row r="4421" ht="18" customHeight="1" s="17"/>
    <row r="4422" ht="18" customHeight="1" s="17"/>
    <row r="4423" ht="18" customHeight="1" s="17"/>
    <row r="4424" ht="18" customHeight="1" s="17"/>
    <row r="4425" ht="18" customHeight="1" s="17"/>
    <row r="4426" ht="18" customHeight="1" s="17"/>
    <row r="4427" ht="18" customHeight="1" s="17"/>
    <row r="4428" ht="18" customHeight="1" s="17"/>
    <row r="4429" ht="18" customHeight="1" s="17"/>
    <row r="4430" ht="18" customHeight="1" s="17"/>
    <row r="4431" ht="18" customHeight="1" s="17"/>
    <row r="4432" ht="18" customHeight="1" s="17"/>
    <row r="4433" ht="18" customHeight="1" s="17"/>
    <row r="4434" ht="18" customHeight="1" s="17"/>
    <row r="4435" ht="18" customHeight="1" s="17"/>
    <row r="4436" ht="18" customHeight="1" s="17"/>
    <row r="4437" ht="18" customHeight="1" s="17"/>
    <row r="4438" ht="18" customHeight="1" s="17"/>
    <row r="4439" ht="18" customHeight="1" s="17"/>
    <row r="4440" ht="18" customHeight="1" s="17"/>
    <row r="4441" ht="18" customHeight="1" s="17"/>
    <row r="4442" ht="18" customHeight="1" s="17"/>
    <row r="4443" ht="18" customHeight="1" s="17"/>
    <row r="4444" ht="18" customHeight="1" s="17"/>
    <row r="4445" ht="18" customHeight="1" s="17"/>
    <row r="4446" ht="18" customHeight="1" s="17"/>
    <row r="4447" ht="18" customHeight="1" s="17"/>
    <row r="4448" ht="18" customHeight="1" s="17"/>
    <row r="4449" ht="18" customHeight="1" s="17"/>
    <row r="4450" ht="18" customHeight="1" s="17"/>
    <row r="4451" ht="18" customHeight="1" s="17"/>
    <row r="4452" ht="18" customHeight="1" s="17"/>
    <row r="4453" ht="18" customHeight="1" s="17"/>
    <row r="4454" ht="18" customHeight="1" s="17"/>
    <row r="4455" ht="18" customHeight="1" s="17"/>
    <row r="4456" ht="18" customHeight="1" s="17"/>
    <row r="4457" ht="18" customHeight="1" s="17"/>
    <row r="4458" ht="18" customHeight="1" s="17"/>
    <row r="4459" ht="18" customHeight="1" s="17"/>
    <row r="4460" ht="18" customHeight="1" s="17"/>
    <row r="4461" ht="18" customHeight="1" s="17"/>
    <row r="4462" ht="18" customHeight="1" s="17"/>
    <row r="4463" ht="18" customHeight="1" s="17"/>
    <row r="4464" ht="18" customHeight="1" s="17"/>
    <row r="4465" ht="18" customHeight="1" s="17"/>
    <row r="4466" ht="18" customHeight="1" s="17"/>
    <row r="4467" ht="18" customHeight="1" s="17"/>
    <row r="4468" ht="18" customHeight="1" s="17"/>
    <row r="4469" ht="18" customHeight="1" s="17"/>
    <row r="4470" ht="18" customHeight="1" s="17"/>
    <row r="4471" ht="18" customHeight="1" s="17"/>
    <row r="4472" ht="18" customHeight="1" s="17"/>
    <row r="4473" ht="18" customHeight="1" s="17"/>
    <row r="4474" ht="18" customHeight="1" s="17"/>
    <row r="4475" ht="18" customHeight="1" s="17"/>
    <row r="4476" ht="18" customHeight="1" s="17"/>
    <row r="4477" ht="18" customHeight="1" s="17"/>
    <row r="4478" ht="18" customHeight="1" s="17"/>
    <row r="4479" ht="18" customHeight="1" s="17"/>
    <row r="4480" ht="18" customHeight="1" s="17"/>
    <row r="4481" ht="18" customHeight="1" s="17"/>
    <row r="4482" ht="18" customHeight="1" s="17"/>
    <row r="4483" ht="18" customHeight="1" s="17"/>
    <row r="4484" ht="18" customHeight="1" s="17"/>
    <row r="4485" ht="18" customHeight="1" s="17"/>
    <row r="4486" ht="18" customHeight="1" s="17"/>
    <row r="4487" ht="18" customHeight="1" s="17"/>
    <row r="4488" ht="18" customHeight="1" s="17"/>
    <row r="4489" ht="18" customHeight="1" s="17"/>
    <row r="4490" ht="18" customHeight="1" s="17"/>
    <row r="4491" ht="18" customHeight="1" s="17"/>
    <row r="4492" ht="18" customHeight="1" s="17"/>
    <row r="4493" ht="18" customHeight="1" s="17"/>
    <row r="4494" ht="18" customHeight="1" s="17"/>
    <row r="4495" ht="18" customHeight="1" s="17"/>
    <row r="4496" ht="18" customHeight="1" s="17"/>
    <row r="4497" ht="18" customHeight="1" s="17"/>
    <row r="4498" ht="18" customHeight="1" s="17"/>
    <row r="4499" ht="18" customHeight="1" s="17"/>
    <row r="4500" ht="18" customHeight="1" s="17"/>
    <row r="4501" ht="18" customHeight="1" s="17"/>
    <row r="4502" ht="18" customHeight="1" s="17"/>
    <row r="4503" ht="18" customHeight="1" s="17"/>
    <row r="4504" ht="18" customHeight="1" s="17"/>
    <row r="4505" ht="18" customHeight="1" s="17"/>
    <row r="4506" ht="18" customHeight="1" s="17"/>
    <row r="4507" ht="18" customHeight="1" s="17"/>
    <row r="4508" ht="18" customHeight="1" s="17"/>
    <row r="4509" ht="18" customHeight="1" s="17"/>
    <row r="4510" ht="18" customHeight="1" s="17"/>
    <row r="4511" ht="18" customHeight="1" s="17"/>
    <row r="4512" ht="18" customHeight="1" s="17"/>
    <row r="4513" ht="18" customHeight="1" s="17"/>
    <row r="4514" ht="18" customHeight="1" s="17"/>
    <row r="4515" ht="18" customHeight="1" s="17"/>
    <row r="4516" ht="18" customHeight="1" s="17"/>
    <row r="4517" ht="18" customHeight="1" s="17"/>
    <row r="4518" ht="18" customHeight="1" s="17"/>
    <row r="4519" ht="18" customHeight="1" s="17"/>
    <row r="4520" ht="18" customHeight="1" s="17"/>
    <row r="4521" ht="18" customHeight="1" s="17"/>
    <row r="4522" ht="18" customHeight="1" s="17"/>
    <row r="4523" ht="18" customHeight="1" s="17"/>
    <row r="4524" ht="18" customHeight="1" s="17"/>
    <row r="4525" ht="18" customHeight="1" s="17"/>
    <row r="4526" ht="18" customHeight="1" s="17"/>
    <row r="4527" ht="18" customHeight="1" s="17"/>
    <row r="4528" ht="18" customHeight="1" s="17"/>
    <row r="4529" ht="18" customHeight="1" s="17"/>
    <row r="4530" ht="18" customHeight="1" s="17"/>
    <row r="4531" ht="18" customHeight="1" s="17"/>
    <row r="4532" ht="18" customHeight="1" s="17"/>
    <row r="4533" ht="18" customHeight="1" s="17"/>
    <row r="4534" ht="18" customHeight="1" s="17"/>
    <row r="4535" ht="18" customHeight="1" s="17"/>
    <row r="4536" ht="18" customHeight="1" s="17"/>
    <row r="4537" ht="18" customHeight="1" s="17"/>
    <row r="4538" ht="18" customHeight="1" s="17"/>
    <row r="4539" ht="18" customHeight="1" s="17"/>
    <row r="4540" ht="18" customHeight="1" s="17"/>
    <row r="4541" ht="18" customHeight="1" s="17"/>
    <row r="4542" ht="18" customHeight="1" s="17"/>
    <row r="4543" ht="18" customHeight="1" s="17"/>
    <row r="4544" ht="18" customHeight="1" s="17"/>
    <row r="4545" ht="18" customHeight="1" s="17"/>
    <row r="4546" ht="18" customHeight="1" s="17"/>
    <row r="4547" ht="18" customHeight="1" s="17"/>
    <row r="4548" ht="18" customHeight="1" s="17"/>
    <row r="4549" ht="18" customHeight="1" s="17"/>
    <row r="4550" ht="18" customHeight="1" s="17"/>
    <row r="4551" ht="18" customHeight="1" s="17"/>
    <row r="4552" ht="18" customHeight="1" s="17"/>
    <row r="4553" ht="18" customHeight="1" s="17"/>
    <row r="4554" ht="18" customHeight="1" s="17"/>
    <row r="4555" ht="18" customHeight="1" s="17"/>
    <row r="4556" ht="18" customHeight="1" s="17"/>
    <row r="4557" ht="18" customHeight="1" s="17"/>
    <row r="4558" ht="18" customHeight="1" s="17"/>
    <row r="4559" ht="18" customHeight="1" s="17"/>
    <row r="4560" ht="18" customHeight="1" s="17"/>
    <row r="4561" ht="18" customHeight="1" s="17"/>
    <row r="4562" ht="18" customHeight="1" s="17"/>
    <row r="4563" ht="18" customHeight="1" s="17"/>
    <row r="4564" ht="18" customHeight="1" s="17"/>
    <row r="4565" ht="18" customHeight="1" s="17"/>
    <row r="4566" ht="18" customHeight="1" s="17"/>
    <row r="4567" ht="18" customHeight="1" s="17"/>
    <row r="4568" ht="18" customHeight="1" s="17"/>
    <row r="4569" ht="18" customHeight="1" s="17"/>
    <row r="4570" ht="18" customHeight="1" s="17"/>
    <row r="4571" ht="18" customHeight="1" s="17"/>
    <row r="4572" ht="18" customHeight="1" s="17"/>
    <row r="4573" ht="18" customHeight="1" s="17"/>
    <row r="4574" ht="18" customHeight="1" s="17"/>
    <row r="4575" ht="18" customHeight="1" s="17"/>
    <row r="4576" ht="18" customHeight="1" s="17"/>
    <row r="4577" ht="18" customHeight="1" s="17"/>
    <row r="4578" ht="18" customHeight="1" s="17"/>
    <row r="4579" ht="18" customHeight="1" s="17"/>
    <row r="4580" ht="18" customHeight="1" s="17"/>
    <row r="4581" ht="18" customHeight="1" s="17"/>
    <row r="4582" ht="18" customHeight="1" s="17"/>
    <row r="4583" ht="18" customHeight="1" s="17"/>
    <row r="4584" ht="18" customHeight="1" s="17"/>
    <row r="4585" ht="18" customHeight="1" s="17"/>
    <row r="4586" ht="18" customHeight="1" s="17"/>
    <row r="4587" ht="18" customHeight="1" s="17"/>
    <row r="4588" ht="18" customHeight="1" s="17"/>
    <row r="4589" ht="18" customHeight="1" s="17"/>
    <row r="4590" ht="18" customHeight="1" s="17"/>
    <row r="4591" ht="18" customHeight="1" s="17"/>
    <row r="4592" ht="18" customHeight="1" s="17"/>
    <row r="4593" ht="18" customHeight="1" s="17"/>
    <row r="4594" ht="18" customHeight="1" s="17"/>
    <row r="4595" ht="18" customHeight="1" s="17"/>
    <row r="4596" ht="18" customHeight="1" s="17"/>
    <row r="4597" ht="18" customHeight="1" s="17"/>
    <row r="4598" ht="18" customHeight="1" s="17"/>
    <row r="4599" ht="18" customHeight="1" s="17"/>
    <row r="4600" ht="18" customHeight="1" s="17"/>
    <row r="4601" ht="18" customHeight="1" s="17"/>
    <row r="4602" ht="18" customHeight="1" s="17"/>
    <row r="4603" ht="18" customHeight="1" s="17"/>
    <row r="4604" ht="18" customHeight="1" s="17"/>
    <row r="4605" ht="18" customHeight="1" s="17"/>
    <row r="4606" ht="18" customHeight="1" s="17"/>
    <row r="4607" ht="18" customHeight="1" s="17"/>
    <row r="4608" ht="18" customHeight="1" s="17"/>
    <row r="4609" ht="18" customHeight="1" s="17"/>
    <row r="4610" ht="18" customHeight="1" s="17"/>
    <row r="4611" ht="18" customHeight="1" s="17"/>
    <row r="4612" ht="18" customHeight="1" s="17"/>
    <row r="4613" ht="18" customHeight="1" s="17"/>
    <row r="4614" ht="18" customHeight="1" s="17"/>
    <row r="4615" ht="18" customHeight="1" s="17"/>
    <row r="4616" ht="18" customHeight="1" s="17"/>
    <row r="4617" ht="18" customHeight="1" s="17"/>
    <row r="4618" ht="18" customHeight="1" s="17"/>
    <row r="4619" ht="18" customHeight="1" s="17"/>
    <row r="4620" ht="18" customHeight="1" s="17"/>
    <row r="4621" ht="18" customHeight="1" s="17"/>
    <row r="4622" ht="18" customHeight="1" s="17"/>
    <row r="4623" ht="18" customHeight="1" s="17"/>
    <row r="4624" ht="18" customHeight="1" s="17"/>
    <row r="4625" ht="18" customHeight="1" s="17"/>
    <row r="4626" ht="18" customHeight="1" s="17"/>
    <row r="4627" ht="18" customHeight="1" s="17"/>
    <row r="4628" ht="18" customHeight="1" s="17"/>
    <row r="4629" ht="18" customHeight="1" s="17"/>
    <row r="4630" ht="18" customHeight="1" s="17"/>
    <row r="4631" ht="18" customHeight="1" s="17"/>
    <row r="4632" ht="18" customHeight="1" s="17"/>
    <row r="4633" ht="18" customHeight="1" s="17"/>
    <row r="4634" ht="18" customHeight="1" s="17"/>
    <row r="4635" ht="18" customHeight="1" s="17"/>
    <row r="4636" ht="18" customHeight="1" s="17"/>
    <row r="4637" ht="18" customHeight="1" s="17"/>
    <row r="4638" ht="18" customHeight="1" s="17"/>
    <row r="4639" ht="18" customHeight="1" s="17"/>
    <row r="4640" ht="18" customHeight="1" s="17"/>
    <row r="4641" ht="18" customHeight="1" s="17"/>
    <row r="4642" ht="18" customHeight="1" s="17"/>
    <row r="4643" ht="18" customHeight="1" s="17"/>
    <row r="4644" ht="18" customHeight="1" s="17"/>
    <row r="4645" ht="18" customHeight="1" s="17"/>
    <row r="4646" ht="18" customHeight="1" s="17"/>
    <row r="4647" ht="18" customHeight="1" s="17"/>
    <row r="4648" ht="18" customHeight="1" s="17"/>
    <row r="4649" ht="18" customHeight="1" s="17"/>
    <row r="4650" ht="18" customHeight="1" s="17"/>
    <row r="4651" ht="18" customHeight="1" s="17"/>
    <row r="4652" ht="18" customHeight="1" s="17"/>
    <row r="4653" ht="18" customHeight="1" s="17"/>
    <row r="4654" ht="18" customHeight="1" s="17"/>
    <row r="4655" ht="18" customHeight="1" s="17"/>
    <row r="4656" ht="18" customHeight="1" s="17"/>
    <row r="4657" ht="18" customHeight="1" s="17"/>
    <row r="4658" ht="18" customHeight="1" s="17"/>
    <row r="4659" ht="18" customHeight="1" s="17"/>
    <row r="4660" ht="18" customHeight="1" s="17"/>
    <row r="4661" ht="18" customHeight="1" s="17"/>
    <row r="4662" ht="18" customHeight="1" s="17"/>
    <row r="4663" ht="18" customHeight="1" s="17"/>
    <row r="4664" ht="18" customHeight="1" s="17"/>
    <row r="4665" ht="18" customHeight="1" s="17"/>
    <row r="4666" ht="18" customHeight="1" s="17"/>
    <row r="4667" ht="18" customHeight="1" s="17"/>
    <row r="4668" ht="18" customHeight="1" s="17"/>
    <row r="4669" ht="18" customHeight="1" s="17"/>
    <row r="4670" ht="18" customHeight="1" s="17"/>
    <row r="4671" ht="18" customHeight="1" s="17"/>
    <row r="4672" ht="18" customHeight="1" s="17"/>
    <row r="4673" ht="18" customHeight="1" s="17"/>
    <row r="4674" ht="18" customHeight="1" s="17"/>
    <row r="4675" ht="18" customHeight="1" s="17"/>
    <row r="4676" ht="18" customHeight="1" s="17"/>
    <row r="4677" ht="18" customHeight="1" s="17"/>
    <row r="4678" ht="18" customHeight="1" s="17"/>
    <row r="4679" ht="18" customHeight="1" s="17"/>
    <row r="4680" ht="18" customHeight="1" s="17"/>
    <row r="4681" ht="18" customHeight="1" s="17"/>
    <row r="4682" ht="18" customHeight="1" s="17"/>
    <row r="4683" ht="18" customHeight="1" s="17"/>
    <row r="4684" ht="18" customHeight="1" s="17"/>
    <row r="4685" ht="18" customHeight="1" s="17"/>
    <row r="4686" ht="18" customHeight="1" s="17"/>
    <row r="4687" ht="18" customHeight="1" s="17"/>
    <row r="4688" ht="18" customHeight="1" s="17"/>
    <row r="4689" ht="18" customHeight="1" s="17"/>
    <row r="4690" ht="18" customHeight="1" s="17"/>
    <row r="4691" ht="18" customHeight="1" s="17"/>
    <row r="4692" ht="18" customHeight="1" s="17"/>
    <row r="4693" ht="18" customHeight="1" s="17"/>
    <row r="4694" ht="18" customHeight="1" s="17"/>
    <row r="4695" ht="18" customHeight="1" s="17"/>
    <row r="4696" ht="18" customHeight="1" s="17"/>
    <row r="4697" ht="18" customHeight="1" s="17"/>
    <row r="4698" ht="18" customHeight="1" s="17"/>
    <row r="4699" ht="18" customHeight="1" s="17"/>
    <row r="4700" ht="18" customHeight="1" s="17"/>
    <row r="4701" ht="18" customHeight="1" s="17"/>
    <row r="4702" ht="18" customHeight="1" s="17"/>
    <row r="4703" ht="18" customHeight="1" s="17"/>
    <row r="4704" ht="18" customHeight="1" s="17"/>
    <row r="4705" ht="18" customHeight="1" s="17"/>
    <row r="4706" ht="18" customHeight="1" s="17"/>
    <row r="4707" ht="18" customHeight="1" s="17"/>
    <row r="4708" ht="18" customHeight="1" s="17"/>
    <row r="4709" ht="18" customHeight="1" s="17"/>
    <row r="4710" ht="18" customHeight="1" s="17"/>
    <row r="4711" ht="18" customHeight="1" s="17"/>
    <row r="4712" ht="18" customHeight="1" s="17"/>
    <row r="4713" ht="18" customHeight="1" s="17"/>
    <row r="4714" ht="18" customHeight="1" s="17"/>
    <row r="4715" ht="18" customHeight="1" s="17"/>
    <row r="4716" ht="18" customHeight="1" s="17"/>
    <row r="4717" ht="18" customHeight="1" s="17"/>
    <row r="4718" ht="18" customHeight="1" s="17"/>
    <row r="4719" ht="18" customHeight="1" s="17"/>
    <row r="4720" ht="18" customHeight="1" s="17"/>
    <row r="4721" ht="18" customHeight="1" s="17"/>
    <row r="4722" ht="18" customHeight="1" s="17"/>
    <row r="4723" ht="18" customHeight="1" s="17"/>
    <row r="4724" ht="18" customHeight="1" s="17"/>
    <row r="4725" ht="18" customHeight="1" s="17"/>
    <row r="4726" ht="18" customHeight="1" s="17"/>
    <row r="4727" ht="18" customHeight="1" s="17"/>
    <row r="4728" ht="18" customHeight="1" s="17"/>
    <row r="4729" ht="18" customHeight="1" s="17"/>
    <row r="4730" ht="18" customHeight="1" s="17"/>
    <row r="4731" ht="18" customHeight="1" s="17"/>
    <row r="4732" ht="18" customHeight="1" s="17"/>
    <row r="4733" ht="18" customHeight="1" s="17"/>
    <row r="4734" ht="18" customHeight="1" s="17"/>
    <row r="4735" ht="18" customHeight="1" s="17"/>
    <row r="4736" ht="18" customHeight="1" s="17"/>
    <row r="4737" ht="18" customHeight="1" s="17"/>
    <row r="4738" ht="18" customHeight="1" s="17"/>
    <row r="4739" ht="18" customHeight="1" s="17"/>
    <row r="4740" ht="18" customHeight="1" s="17"/>
    <row r="4741" ht="18" customHeight="1" s="17"/>
    <row r="4742" ht="18" customHeight="1" s="17"/>
    <row r="4743" ht="18" customHeight="1" s="17"/>
    <row r="4744" ht="18" customHeight="1" s="17"/>
    <row r="4745" ht="18" customHeight="1" s="17"/>
    <row r="4746" ht="18" customHeight="1" s="17"/>
    <row r="4747" ht="18" customHeight="1" s="17"/>
    <row r="4748" ht="18" customHeight="1" s="17"/>
    <row r="4749" ht="18" customHeight="1" s="17"/>
    <row r="4750" ht="18" customHeight="1" s="17"/>
    <row r="4751" ht="18" customHeight="1" s="17"/>
    <row r="4752" ht="18" customHeight="1" s="17"/>
    <row r="4753" ht="18" customHeight="1" s="17"/>
    <row r="4754" ht="18" customHeight="1" s="17"/>
    <row r="4755" ht="18" customHeight="1" s="17"/>
    <row r="4756" ht="18" customHeight="1" s="17"/>
    <row r="4757" ht="18" customHeight="1" s="17"/>
    <row r="4758" ht="18" customHeight="1" s="17"/>
    <row r="4759" ht="18" customHeight="1" s="17"/>
    <row r="4760" ht="18" customHeight="1" s="17"/>
    <row r="4761" ht="18" customHeight="1" s="17"/>
    <row r="4762" ht="18" customHeight="1" s="17"/>
    <row r="4763" ht="18" customHeight="1" s="17"/>
    <row r="4764" ht="18" customHeight="1" s="17"/>
    <row r="4765" ht="18" customHeight="1" s="17"/>
    <row r="4766" ht="18" customHeight="1" s="17"/>
    <row r="4767" ht="18" customHeight="1" s="17"/>
    <row r="4768" ht="18" customHeight="1" s="17"/>
    <row r="4769" ht="18" customHeight="1" s="17"/>
    <row r="4770" ht="18" customHeight="1" s="17"/>
    <row r="4771" ht="18" customHeight="1" s="17"/>
    <row r="4772" ht="18" customHeight="1" s="17"/>
    <row r="4773" ht="18" customHeight="1" s="17"/>
    <row r="4774" ht="18" customHeight="1" s="17"/>
    <row r="4775" ht="18" customHeight="1" s="17"/>
    <row r="4776" ht="18" customHeight="1" s="17"/>
    <row r="4777" ht="18" customHeight="1" s="17"/>
    <row r="4778" ht="18" customHeight="1" s="17"/>
    <row r="4779" ht="18" customHeight="1" s="17"/>
    <row r="4780" ht="18" customHeight="1" s="17"/>
    <row r="4781" ht="18" customHeight="1" s="17"/>
    <row r="4782" ht="18" customHeight="1" s="17"/>
    <row r="4783" ht="18" customHeight="1" s="17"/>
    <row r="4784" ht="18" customHeight="1" s="17"/>
    <row r="4785" ht="18" customHeight="1" s="17"/>
    <row r="4786" ht="18" customHeight="1" s="17"/>
    <row r="4787" ht="18" customHeight="1" s="17"/>
    <row r="4788" ht="18" customHeight="1" s="17"/>
    <row r="4789" ht="18" customHeight="1" s="17"/>
    <row r="4790" ht="18" customHeight="1" s="17"/>
    <row r="4791" ht="18" customHeight="1" s="17"/>
    <row r="4792" ht="18" customHeight="1" s="17"/>
    <row r="4793" ht="18" customHeight="1" s="17"/>
    <row r="4794" ht="18" customHeight="1" s="17"/>
    <row r="4795" ht="18" customHeight="1" s="17"/>
    <row r="4796" ht="18" customHeight="1" s="17"/>
    <row r="4797" ht="18" customHeight="1" s="17"/>
    <row r="4798" ht="18" customHeight="1" s="17"/>
    <row r="4799" ht="18" customHeight="1" s="17"/>
    <row r="4800" ht="18" customHeight="1" s="17"/>
    <row r="4801" ht="18" customHeight="1" s="17"/>
    <row r="4802" ht="18" customHeight="1" s="17"/>
    <row r="4803" ht="18" customHeight="1" s="17"/>
    <row r="4804" ht="18" customHeight="1" s="17"/>
    <row r="4805" ht="18" customHeight="1" s="17"/>
    <row r="4806" ht="18" customHeight="1" s="17"/>
    <row r="4807" ht="18" customHeight="1" s="17"/>
    <row r="4808" ht="18" customHeight="1" s="17"/>
    <row r="4809" ht="18" customHeight="1" s="17"/>
    <row r="4810" ht="18" customHeight="1" s="17"/>
    <row r="4811" ht="18" customHeight="1" s="17"/>
    <row r="4812" ht="18" customHeight="1" s="17"/>
    <row r="4813" ht="18" customHeight="1" s="17"/>
    <row r="4814" ht="18" customHeight="1" s="17"/>
    <row r="4815" ht="18" customHeight="1" s="17"/>
    <row r="4816" ht="18" customHeight="1" s="17"/>
    <row r="4817" ht="18" customHeight="1" s="17"/>
    <row r="4818" ht="18" customHeight="1" s="17"/>
    <row r="4819" ht="18" customHeight="1" s="17"/>
    <row r="4820" ht="18" customHeight="1" s="17"/>
    <row r="4821" ht="18" customHeight="1" s="17"/>
    <row r="4822" ht="18" customHeight="1" s="17"/>
    <row r="4823" ht="18" customHeight="1" s="17"/>
    <row r="4824" ht="18" customHeight="1" s="17"/>
    <row r="4825" ht="18" customHeight="1" s="17"/>
    <row r="4826" ht="18" customHeight="1" s="17"/>
    <row r="4827" ht="18" customHeight="1" s="17"/>
    <row r="4828" ht="18" customHeight="1" s="17"/>
    <row r="4829" ht="18" customHeight="1" s="17"/>
    <row r="4830" ht="18" customHeight="1" s="17"/>
    <row r="4831" ht="18" customHeight="1" s="17"/>
    <row r="4832" ht="18" customHeight="1" s="17"/>
    <row r="4833" ht="18" customHeight="1" s="17"/>
    <row r="4834" ht="18" customHeight="1" s="17"/>
    <row r="4835" ht="18" customHeight="1" s="17"/>
    <row r="4836" ht="18" customHeight="1" s="17"/>
    <row r="4837" ht="18" customHeight="1" s="17"/>
    <row r="4838" ht="18" customHeight="1" s="17"/>
    <row r="4839" ht="18" customHeight="1" s="17"/>
    <row r="4840" ht="18" customHeight="1" s="17"/>
    <row r="4841" ht="18" customHeight="1" s="17"/>
    <row r="4842" ht="18" customHeight="1" s="17"/>
    <row r="4843" ht="18" customHeight="1" s="17"/>
    <row r="4844" ht="18" customHeight="1" s="17"/>
    <row r="4845" ht="18" customHeight="1" s="17"/>
    <row r="4846" ht="18" customHeight="1" s="17"/>
    <row r="4847" ht="18" customHeight="1" s="17"/>
    <row r="4848" ht="18" customHeight="1" s="17"/>
    <row r="4849" ht="18" customHeight="1" s="17"/>
    <row r="4850" ht="18" customHeight="1" s="17"/>
    <row r="4851" ht="18" customHeight="1" s="17"/>
    <row r="4852" ht="18" customHeight="1" s="17"/>
    <row r="4853" ht="18" customHeight="1" s="17"/>
    <row r="4854" ht="18" customHeight="1" s="17"/>
    <row r="4855" ht="18" customHeight="1" s="17"/>
    <row r="4856" ht="18" customHeight="1" s="17"/>
    <row r="4857" ht="18" customHeight="1" s="17"/>
    <row r="4858" ht="18" customHeight="1" s="17"/>
    <row r="4859" ht="18" customHeight="1" s="17"/>
    <row r="4860" ht="18" customHeight="1" s="17"/>
    <row r="4861" ht="18" customHeight="1" s="17"/>
    <row r="4862" ht="18" customHeight="1" s="17"/>
    <row r="4863" ht="18" customHeight="1" s="17"/>
    <row r="4864" ht="18" customHeight="1" s="17"/>
    <row r="4865" ht="18" customHeight="1" s="17"/>
    <row r="4866" ht="18" customHeight="1" s="17"/>
    <row r="4867" ht="18" customHeight="1" s="17"/>
    <row r="4868" ht="18" customHeight="1" s="17"/>
    <row r="4869" ht="18" customHeight="1" s="17"/>
    <row r="4870" ht="18" customHeight="1" s="17"/>
    <row r="4871" ht="18" customHeight="1" s="17"/>
    <row r="4872" ht="18" customHeight="1" s="17"/>
    <row r="4873" ht="18" customHeight="1" s="17"/>
    <row r="4874" ht="18" customHeight="1" s="17"/>
    <row r="4875" ht="18" customHeight="1" s="17"/>
    <row r="4876" ht="18" customHeight="1" s="17"/>
    <row r="4877" ht="18" customHeight="1" s="17"/>
    <row r="4878" ht="18" customHeight="1" s="17"/>
    <row r="4879" ht="18" customHeight="1" s="17"/>
    <row r="4880" ht="18" customHeight="1" s="17"/>
    <row r="4881" ht="18" customHeight="1" s="17"/>
    <row r="4882" ht="18" customHeight="1" s="17"/>
    <row r="4883" ht="18" customHeight="1" s="17"/>
    <row r="4884" ht="18" customHeight="1" s="17"/>
    <row r="4885" ht="18" customHeight="1" s="17"/>
    <row r="4886" ht="18" customHeight="1" s="17"/>
    <row r="4887" ht="18" customHeight="1" s="17"/>
    <row r="4888" ht="18" customHeight="1" s="17"/>
    <row r="4889" ht="18" customHeight="1" s="17"/>
    <row r="4890" ht="18" customHeight="1" s="17"/>
    <row r="4891" ht="18" customHeight="1" s="17"/>
    <row r="4892" ht="18" customHeight="1" s="17"/>
    <row r="4893" ht="18" customHeight="1" s="17"/>
    <row r="4894" ht="18" customHeight="1" s="17"/>
    <row r="4895" ht="18" customHeight="1" s="17"/>
    <row r="4896" ht="18" customHeight="1" s="17"/>
    <row r="4897" ht="18" customHeight="1" s="17"/>
    <row r="4898" ht="18" customHeight="1" s="17"/>
    <row r="4899" ht="18" customHeight="1" s="17"/>
    <row r="4900" ht="18" customHeight="1" s="17"/>
    <row r="4901" ht="18" customHeight="1" s="17"/>
    <row r="4902" ht="18" customHeight="1" s="17"/>
    <row r="4903" ht="18" customHeight="1" s="17"/>
    <row r="4904" ht="18" customHeight="1" s="17"/>
    <row r="4905" ht="18" customHeight="1" s="17"/>
    <row r="4906" ht="18" customHeight="1" s="17"/>
    <row r="4907" ht="18" customHeight="1" s="17"/>
    <row r="4908" ht="18" customHeight="1" s="17"/>
    <row r="4909" ht="18" customHeight="1" s="17"/>
    <row r="4910" ht="18" customHeight="1" s="17"/>
    <row r="4911" ht="18" customHeight="1" s="17"/>
    <row r="4912" ht="18" customHeight="1" s="17"/>
    <row r="4913" ht="18" customHeight="1" s="17"/>
    <row r="4914" ht="18" customHeight="1" s="17"/>
    <row r="4915" ht="18" customHeight="1" s="17"/>
    <row r="4916" ht="18" customHeight="1" s="17"/>
    <row r="4917" ht="18" customHeight="1" s="17"/>
    <row r="4918" ht="18" customHeight="1" s="17"/>
    <row r="4919" ht="18" customHeight="1" s="17"/>
    <row r="4920" ht="18" customHeight="1" s="17"/>
    <row r="4921" ht="18" customHeight="1" s="17"/>
    <row r="4922" ht="18" customHeight="1" s="17"/>
    <row r="4923" ht="18" customHeight="1" s="17"/>
    <row r="4924" ht="18" customHeight="1" s="17"/>
    <row r="4925" ht="18" customHeight="1" s="17"/>
    <row r="4926" ht="18" customHeight="1" s="17"/>
    <row r="4927" ht="18" customHeight="1" s="17"/>
    <row r="4928" ht="18" customHeight="1" s="17"/>
    <row r="4929" ht="18" customHeight="1" s="17"/>
    <row r="4930" ht="18" customHeight="1" s="17"/>
    <row r="4931" ht="18" customHeight="1" s="17"/>
    <row r="4932" ht="18" customHeight="1" s="17"/>
    <row r="4933" ht="18" customHeight="1" s="17"/>
    <row r="4934" ht="18" customHeight="1" s="17"/>
    <row r="4935" ht="18" customHeight="1" s="17"/>
    <row r="4936" ht="18" customHeight="1" s="17"/>
    <row r="4937" ht="18" customHeight="1" s="17"/>
    <row r="4938" ht="18" customHeight="1" s="17"/>
    <row r="4939" ht="18" customHeight="1" s="17"/>
    <row r="4940" ht="18" customHeight="1" s="17"/>
    <row r="4941" ht="18" customHeight="1" s="17"/>
    <row r="4942" ht="18" customHeight="1" s="17"/>
    <row r="4943" ht="18" customHeight="1" s="17"/>
    <row r="4944" ht="18" customHeight="1" s="17"/>
    <row r="4945" ht="18" customHeight="1" s="17"/>
    <row r="4946" ht="18" customHeight="1" s="17"/>
    <row r="4947" ht="18" customHeight="1" s="17"/>
    <row r="4948" ht="18" customHeight="1" s="17"/>
    <row r="4949" ht="18" customHeight="1" s="17"/>
    <row r="4950" ht="18" customHeight="1" s="17"/>
    <row r="4951" ht="18" customHeight="1" s="17"/>
    <row r="4952" ht="18" customHeight="1" s="17"/>
    <row r="4953" ht="18" customHeight="1" s="17"/>
    <row r="4954" ht="18" customHeight="1" s="17"/>
    <row r="4955" ht="18" customHeight="1" s="17"/>
    <row r="4956" ht="18" customHeight="1" s="17"/>
    <row r="4957" ht="18" customHeight="1" s="17"/>
    <row r="4958" ht="18" customHeight="1" s="17"/>
    <row r="4959" ht="18" customHeight="1" s="17"/>
    <row r="4960" ht="18" customHeight="1" s="17"/>
    <row r="4961" ht="18" customHeight="1" s="17"/>
    <row r="4962" ht="18" customHeight="1" s="17"/>
    <row r="4963" ht="18" customHeight="1" s="17"/>
    <row r="4964" ht="18" customHeight="1" s="17"/>
    <row r="4965" ht="18" customHeight="1" s="17"/>
    <row r="4966" ht="18" customHeight="1" s="17"/>
    <row r="4967" ht="18" customHeight="1" s="17"/>
    <row r="4968" ht="18" customHeight="1" s="17"/>
    <row r="4969" ht="18" customHeight="1" s="17"/>
    <row r="4970" ht="18" customHeight="1" s="17"/>
    <row r="4971" ht="18" customHeight="1" s="17"/>
    <row r="4972" ht="18" customHeight="1" s="17"/>
    <row r="4973" ht="18" customHeight="1" s="17"/>
    <row r="4974" ht="18" customHeight="1" s="17"/>
    <row r="4975" ht="18" customHeight="1" s="17"/>
    <row r="4976" ht="18" customHeight="1" s="17"/>
    <row r="4977" ht="18" customHeight="1" s="17"/>
    <row r="4978" ht="18" customHeight="1" s="17"/>
    <row r="4979" ht="18" customHeight="1" s="17"/>
    <row r="4980" ht="18" customHeight="1" s="17"/>
    <row r="4981" ht="18" customHeight="1" s="17"/>
    <row r="4982" ht="18" customHeight="1" s="17"/>
    <row r="4983" ht="18" customHeight="1" s="17"/>
    <row r="4984" ht="18" customHeight="1" s="17"/>
    <row r="4985" ht="18" customHeight="1" s="17"/>
    <row r="4986" ht="18" customHeight="1" s="17"/>
    <row r="4987" ht="18" customHeight="1" s="17"/>
    <row r="4988" ht="18" customHeight="1" s="17"/>
    <row r="4989" ht="18" customHeight="1" s="17"/>
    <row r="4990" ht="18" customHeight="1" s="17"/>
    <row r="4991" ht="18" customHeight="1" s="17"/>
    <row r="4992" ht="18" customHeight="1" s="17"/>
    <row r="4993" ht="18" customHeight="1" s="17"/>
    <row r="4994" ht="18" customHeight="1" s="17"/>
    <row r="4995" ht="18" customHeight="1" s="17"/>
    <row r="4996" ht="18" customHeight="1" s="17"/>
    <row r="4997" ht="18" customHeight="1" s="17"/>
    <row r="4998" ht="18" customHeight="1" s="17"/>
    <row r="4999" ht="18" customHeight="1" s="17"/>
    <row r="5000" ht="18" customHeight="1" s="17"/>
  </sheetData>
  <mergeCells count="3">
    <mergeCell ref="A3:Y3"/>
    <mergeCell ref="A2:Y2"/>
    <mergeCell ref="A1:Y1"/>
  </mergeCells>
  <conditionalFormatting sqref="O5:O104">
    <cfRule type="expression" priority="3" dxfId="2">
      <formula>LEFT($O5,2)="OK"</formula>
    </cfRule>
    <cfRule type="expression" priority="4" dxfId="3">
      <formula>LEFT($O5,6)="Erreur"</formula>
    </cfRule>
  </conditionalFormatting>
  <dataValidations count="2">
    <dataValidation sqref="M5:M104" showDropDown="0" showInputMessage="0" showErrorMessage="0" allowBlank="1" type="list">
      <formula1>"1,2,3,4,5,6,7,8"</formula1>
    </dataValidation>
    <dataValidation sqref="N5:N104" showDropDown="0" showInputMessage="0" showErrorMessage="0" allowBlank="1" type="decimal" operator="greaterThan">
      <formula1>0</formula1>
    </dataValidation>
  </dataValidations>
  <pageMargins left="0.7" right="0.7" top="0.75" bottom="0.75" header="0.3" footer="0.3"/>
  <pageSetup orientation="portrait" paperSize="9" horizontalDpi="1200" verticalDpi="12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510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10" defaultColWidth="9" defaultRowHeight="14.25"/>
  <cols>
    <col width="145" customWidth="1" style="17" min="1" max="1"/>
    <col width="24" customWidth="1" style="17" min="2" max="3"/>
    <col width="80" customWidth="1" style="17" min="3" max="3"/>
  </cols>
  <sheetData>
    <row r="1" ht="18" customHeight="1" s="17">
      <c r="A1" s="42" t="inlineStr">
        <is>
          <t>&lt;?xml version="1.0" encoding="UTF-8"?&gt;</t>
        </is>
      </c>
      <c r="B1" s="43" t="inlineStr">
        <is>
          <t>Questions QCU OK</t>
        </is>
      </c>
      <c r="C1" s="44">
        <f>COUNTIF(Saisie_Questions!O5:O104,"OK")</f>
        <v/>
      </c>
    </row>
    <row r="2" ht="18" customHeight="1" s="17">
      <c r="A2" s="42" t="inlineStr">
        <is>
          <t>&lt;!DOCTYPE questestinterop SYSTEM "ims_qtiasiv1p2p1.dtd"&gt;</t>
        </is>
      </c>
      <c r="B2" s="43" t="inlineStr">
        <is>
          <t>Questions en erreur</t>
        </is>
      </c>
      <c r="C2" s="44">
        <f>COUNTIF(Saisie_Questions!O5:O104,"Erreur*")</f>
        <v/>
      </c>
    </row>
    <row r="3" ht="18" customHeight="1" s="17">
      <c r="A3" s="42" t="inlineStr">
        <is>
          <t>&lt;questestinterop&gt;</t>
        </is>
      </c>
      <c r="B3" s="45" t="n"/>
      <c r="C3" s="46" t="n"/>
    </row>
    <row r="4" ht="18" customHeight="1" s="17">
      <c r="A4" s="46">
        <f>IF(Generation!$B5,"  &lt;item ident=""il_0_qst_"&amp;TEXT(Generation!$A5,"000")&amp;""" title="""&amp;Generation!$F5&amp;"""&gt;","")</f>
        <v/>
      </c>
      <c r="B4" s="43" t="inlineStr">
        <is>
          <t>Instruction</t>
        </is>
      </c>
      <c r="C4" s="47" t="inlineStr">
        <is>
          <t>Cliquer sur le bouton Générer XML dans Saisie_Questions. Le fichier qti_ilias8.xml sera créé automatiquement.</t>
        </is>
      </c>
    </row>
    <row r="5" ht="18" customHeight="1" s="17">
      <c r="A5" s="46">
        <f>IF(Generation!$B5,"    &lt;duration&gt;P0Y0M0DT0H1M0S&lt;/duration&gt;","")</f>
        <v/>
      </c>
      <c r="B5" s="46" t="n"/>
      <c r="C5" s="46" t="n"/>
    </row>
    <row r="6" ht="18" customHeight="1" s="17">
      <c r="A6" s="46">
        <f>IF(Generation!$B5,"    &lt;itemmetadata&gt;","")</f>
        <v/>
      </c>
      <c r="B6" s="46" t="n"/>
      <c r="C6" s="46" t="n"/>
    </row>
    <row r="7" ht="18" customHeight="1" s="17">
      <c r="A7" s="46">
        <f>IF(Generation!$B5,"      &lt;qtimetadata&gt;","")</f>
        <v/>
      </c>
      <c r="B7" s="46" t="n"/>
      <c r="C7" s="46" t="n"/>
    </row>
    <row r="8" ht="18" customHeight="1" s="17">
      <c r="A8" s="46">
        <f>IF(Generation!$B5,"        &lt;qtimetadatafield&gt;&lt;fieldlabel&gt;ILIAS_VERSION&lt;/fieldlabel&gt;&lt;fieldentry&gt;8&lt;/fieldentry&gt;&lt;/qtimetadatafield&gt;","")</f>
        <v/>
      </c>
      <c r="B8" s="46" t="n"/>
      <c r="C8" s="46" t="n"/>
    </row>
    <row r="9" ht="18" customHeight="1" s="17">
      <c r="A9" s="46">
        <f>IF(Generation!$B5,"        &lt;qtimetadatafield&gt;&lt;fieldlabel&gt;QUESTIONTYPE&lt;/fieldlabel&gt;&lt;fieldentry&gt;"&amp;Generation!$D5&amp;"&lt;/fieldentry&gt;&lt;/qtimetadatafield&gt;","")</f>
        <v/>
      </c>
      <c r="B9" s="46" t="n"/>
      <c r="C9" s="46" t="n"/>
    </row>
    <row r="10" ht="18" customHeight="1" s="17">
      <c r="A10" s="46">
        <f>IF(Generation!$B5,"        &lt;qtimetadatafield&gt;&lt;fieldlabel&gt;AUTHOR&lt;/fieldlabel&gt;&lt;fieldentry&gt;"&amp;Generation!$AR5&amp;"&lt;/fieldentry&gt;&lt;/qtimetadatafield&gt;","")</f>
        <v/>
      </c>
      <c r="B10" s="46" t="n"/>
      <c r="C10" s="46" t="n"/>
    </row>
    <row r="11" ht="18" customHeight="1" s="17">
      <c r="A11" s="46">
        <f>IF(Generation!$B5,"        &lt;qtimetadatafield&gt;&lt;fieldlabel&gt;identicalScoring&lt;/fieldlabel&gt;&lt;fieldentry&gt;1&lt;/fieldentry&gt;&lt;/qtimetadatafield&gt;","")</f>
        <v/>
      </c>
      <c r="B11" s="46" t="n"/>
      <c r="C11" s="46" t="n"/>
    </row>
    <row r="12" ht="18" customHeight="1" s="17">
      <c r="A12" s="46">
        <f>IF(Generation!$B5,"      &lt;/qtimetadata&gt;","")</f>
        <v/>
      </c>
      <c r="B12" s="46" t="n"/>
      <c r="C12" s="46" t="n"/>
    </row>
    <row r="13" ht="18" customHeight="1" s="17">
      <c r="A13" s="46">
        <f>IF(Generation!$B5,"    &lt;/itemmetadata&gt;","")</f>
        <v/>
      </c>
      <c r="B13" s="46" t="n"/>
      <c r="C13" s="46" t="n"/>
    </row>
    <row r="14" ht="18" customHeight="1" s="17">
      <c r="A14" s="46">
        <f>IF(Generation!$B5,"    &lt;presentation label="""&amp;Generation!$F5&amp;"""&gt;","")</f>
        <v/>
      </c>
      <c r="B14" s="46" t="n"/>
      <c r="C14" s="46" t="n"/>
    </row>
    <row r="15" ht="18" customHeight="1" s="17">
      <c r="A15" s="46">
        <f>IF(Generation!$B5,"      &lt;material&gt;&lt;mattext texttype=""text/html""&gt;"&amp;Generation!$G5&amp;"&lt;/mattext&gt;&lt;/material&gt;","")</f>
        <v/>
      </c>
      <c r="B15" s="46" t="n"/>
      <c r="C15" s="46" t="n"/>
    </row>
    <row r="16" ht="18" customHeight="1" s="17">
      <c r="A16" s="46">
        <f>IF(Generation!$B5,"      &lt;response_lid ident=""RESPONSE"" rcardinality="""&amp;Generation!$E5&amp;"""&gt;","")</f>
        <v/>
      </c>
      <c r="B16" s="46" t="n"/>
      <c r="C16" s="46" t="n"/>
    </row>
    <row r="17" ht="18" customHeight="1" s="17">
      <c r="A17" s="46">
        <f>IF(Generation!$B5,"        &lt;render_choice shuffle=""No""&gt;","")</f>
        <v/>
      </c>
      <c r="B17" s="46" t="n"/>
      <c r="C17" s="46" t="n"/>
    </row>
    <row r="18" ht="18" customHeight="1" s="17">
      <c r="A18" s="46">
        <f>IF(Generation!AB5="","",Generation!AB5)</f>
        <v/>
      </c>
      <c r="B18" s="46" t="n"/>
      <c r="C18" s="46" t="n"/>
    </row>
    <row r="19" ht="18" customHeight="1" s="17">
      <c r="A19" s="46">
        <f>IF(Generation!AC5="","",Generation!AC5)</f>
        <v/>
      </c>
      <c r="B19" s="46" t="n"/>
      <c r="C19" s="46" t="n"/>
    </row>
    <row r="20" ht="18" customHeight="1" s="17">
      <c r="A20" s="46">
        <f>IF(Generation!AD5="","",Generation!AD5)</f>
        <v/>
      </c>
      <c r="B20" s="46" t="n"/>
      <c r="C20" s="46" t="n"/>
    </row>
    <row r="21" ht="18" customHeight="1" s="17">
      <c r="A21" s="48">
        <f>IF(Generation!AE5="","",Generation!AE5)</f>
        <v/>
      </c>
      <c r="B21" s="48" t="n"/>
      <c r="C21" s="48" t="n"/>
    </row>
    <row r="22" ht="18" customHeight="1" s="17">
      <c r="A22" s="48">
        <f>IF(Generation!AF5="","",Generation!AF5)</f>
        <v/>
      </c>
      <c r="B22" s="48" t="n"/>
      <c r="C22" s="48" t="n"/>
    </row>
    <row r="23" ht="18" customHeight="1" s="17">
      <c r="A23" s="48">
        <f>IF(Generation!AG5="","",Generation!AG5)</f>
        <v/>
      </c>
      <c r="B23" s="48" t="n"/>
      <c r="C23" s="48" t="n"/>
    </row>
    <row r="24" ht="18" customHeight="1" s="17">
      <c r="A24" s="48">
        <f>IF(Generation!AH5="","",Generation!AH5)</f>
        <v/>
      </c>
      <c r="B24" s="48" t="n"/>
      <c r="C24" s="48" t="n"/>
    </row>
    <row r="25" ht="18" customHeight="1" s="17">
      <c r="A25" s="48">
        <f>IF(Generation!AI5="","",Generation!AI5)</f>
        <v/>
      </c>
      <c r="B25" s="48" t="n"/>
      <c r="C25" s="48" t="n"/>
    </row>
    <row r="26" ht="18" customHeight="1" s="17">
      <c r="A26" s="48">
        <f>IF(Generation!$B5,"        &lt;/render_choice&gt;","")</f>
        <v/>
      </c>
      <c r="B26" s="48" t="n"/>
      <c r="C26" s="48" t="n"/>
    </row>
    <row r="27" ht="18" customHeight="1" s="17">
      <c r="A27" s="48">
        <f>IF(Generation!$B5,"      &lt;/response_lid&gt;","")</f>
        <v/>
      </c>
      <c r="B27" s="48" t="n"/>
      <c r="C27" s="48" t="n"/>
    </row>
    <row r="28" ht="18" customHeight="1" s="17">
      <c r="A28" s="48">
        <f>IF(Generation!$B5,"    &lt;/presentation&gt;","")</f>
        <v/>
      </c>
      <c r="B28" s="48" t="n"/>
      <c r="C28" s="48" t="n"/>
    </row>
    <row r="29" ht="18" customHeight="1" s="17">
      <c r="A29" s="48">
        <f>IF(Generation!$B5,"    &lt;resprocessing&gt;","")</f>
        <v/>
      </c>
      <c r="B29" s="48" t="n"/>
      <c r="C29" s="48" t="n"/>
    </row>
    <row r="30" ht="18" customHeight="1" s="17">
      <c r="A30" s="48">
        <f>IF(Generation!$B5,"      &lt;outcomes&gt;&lt;decvar varname=""SCORE"" vartype=""Decimal"" minvalue=""0"" maxvalue="""&amp;Generation!$H5&amp;"""/&gt;&lt;/outcomes&gt;","")</f>
        <v/>
      </c>
      <c r="B30" s="48" t="n"/>
      <c r="C30" s="48" t="n"/>
    </row>
    <row r="31" ht="18" customHeight="1" s="17">
      <c r="A31" s="48">
        <f>IF(Generation!AJ5="","",Generation!AJ5)</f>
        <v/>
      </c>
      <c r="B31" s="48" t="n"/>
      <c r="C31" s="48" t="n"/>
    </row>
    <row r="32" ht="18" customHeight="1" s="17">
      <c r="A32" s="48">
        <f>IF(Generation!AK5="","",Generation!AK5)</f>
        <v/>
      </c>
      <c r="B32" s="48" t="n"/>
      <c r="C32" s="48" t="n"/>
    </row>
    <row r="33" ht="18" customHeight="1" s="17">
      <c r="A33" s="48">
        <f>IF(Generation!AL5="","",Generation!AL5)</f>
        <v/>
      </c>
      <c r="B33" s="48" t="n"/>
      <c r="C33" s="48" t="n"/>
    </row>
    <row r="34" ht="18" customHeight="1" s="17">
      <c r="A34" s="48">
        <f>IF(Generation!AM5="","",Generation!AM5)</f>
        <v/>
      </c>
      <c r="B34" s="48" t="n"/>
      <c r="C34" s="48" t="n"/>
    </row>
    <row r="35" ht="18" customHeight="1" s="17">
      <c r="A35" s="48">
        <f>IF(Generation!AN5="","",Generation!AN5)</f>
        <v/>
      </c>
      <c r="B35" s="48" t="n"/>
      <c r="C35" s="48" t="n"/>
    </row>
    <row r="36" ht="18" customHeight="1" s="17">
      <c r="A36" s="48">
        <f>IF(Generation!AO5="","",Generation!AO5)</f>
        <v/>
      </c>
      <c r="B36" s="48" t="n"/>
      <c r="C36" s="48" t="n"/>
    </row>
    <row r="37" ht="18" customHeight="1" s="17">
      <c r="A37" s="48">
        <f>IF(Generation!AP5="","",Generation!AP5)</f>
        <v/>
      </c>
      <c r="B37" s="48" t="n"/>
      <c r="C37" s="48" t="n"/>
    </row>
    <row r="38" ht="18" customHeight="1" s="17">
      <c r="A38" s="48">
        <f>IF(Generation!AQ5="","",Generation!AQ5)</f>
        <v/>
      </c>
      <c r="B38" s="48" t="n"/>
      <c r="C38" s="48" t="n"/>
    </row>
    <row r="39" ht="18" customHeight="1" s="17">
      <c r="A39" s="48">
        <f>IF(Generation!$B5,"    &lt;/resprocessing&gt;","")</f>
        <v/>
      </c>
      <c r="B39" s="48" t="n"/>
      <c r="C39" s="48" t="n"/>
    </row>
    <row r="40" ht="18" customHeight="1" s="17">
      <c r="A40" s="48">
        <f>IF(Generation!BB5="","",Generation!BB5)</f>
        <v/>
      </c>
      <c r="B40" s="48" t="n"/>
      <c r="C40" s="48" t="n"/>
    </row>
    <row r="41" ht="18" customHeight="1" s="17">
      <c r="A41" s="48">
        <f>IF(Generation!BC5="","",Generation!BC5)</f>
        <v/>
      </c>
      <c r="B41" s="48" t="n"/>
      <c r="C41" s="48" t="n"/>
    </row>
    <row r="42" ht="18" customHeight="1" s="17">
      <c r="A42" s="48">
        <f>IF(Generation!BD5="","",Generation!BD5)</f>
        <v/>
      </c>
      <c r="B42" s="48" t="n"/>
      <c r="C42" s="48" t="n"/>
    </row>
    <row r="43" ht="18" customHeight="1" s="17">
      <c r="A43" s="48">
        <f>IF(Generation!BE5="","",Generation!BE5)</f>
        <v/>
      </c>
      <c r="B43" s="48" t="n"/>
      <c r="C43" s="48" t="n"/>
    </row>
    <row r="44" ht="18" customHeight="1" s="17">
      <c r="A44" s="48">
        <f>IF(Generation!BF5="","",Generation!BF5)</f>
        <v/>
      </c>
      <c r="B44" s="48" t="n"/>
      <c r="C44" s="48" t="n"/>
    </row>
    <row r="45" ht="18" customHeight="1" s="17">
      <c r="A45" s="48">
        <f>IF(Generation!BG5="","",Generation!BG5)</f>
        <v/>
      </c>
      <c r="B45" s="48" t="n"/>
      <c r="C45" s="48" t="n"/>
    </row>
    <row r="46" ht="18" customHeight="1" s="17">
      <c r="A46" s="48">
        <f>IF(Generation!BH5="","",Generation!BH5)</f>
        <v/>
      </c>
      <c r="B46" s="48" t="n"/>
      <c r="C46" s="48" t="n"/>
    </row>
    <row r="47" ht="18" customHeight="1" s="17">
      <c r="A47" s="48">
        <f>IF(Generation!BI5="","",Generation!BI5)</f>
        <v/>
      </c>
      <c r="B47" s="48" t="n"/>
      <c r="C47" s="48" t="n"/>
    </row>
    <row r="48" ht="18" customHeight="1" s="17">
      <c r="A48" s="48">
        <f>IF(Generation!BJ5="","",Generation!BJ5)</f>
        <v/>
      </c>
      <c r="B48" s="48" t="n"/>
      <c r="C48" s="48" t="n"/>
    </row>
    <row r="49" ht="18" customHeight="1" s="17">
      <c r="A49" s="48">
        <f>IF(Generation!$B5,"  &lt;/item&gt;","")</f>
        <v/>
      </c>
      <c r="B49" s="48" t="n"/>
      <c r="C49" s="48" t="n"/>
    </row>
    <row r="50" ht="18" customHeight="1" s="17">
      <c r="A50" s="48">
        <f>""</f>
        <v/>
      </c>
      <c r="B50" s="48" t="n"/>
      <c r="C50" s="48" t="n"/>
    </row>
    <row r="51" ht="18" customHeight="1" s="17">
      <c r="A51" s="48">
        <f>""</f>
        <v/>
      </c>
      <c r="B51" s="48" t="n"/>
      <c r="C51" s="48" t="n"/>
    </row>
    <row r="52" ht="18" customHeight="1" s="17">
      <c r="A52" s="48">
        <f>""</f>
        <v/>
      </c>
      <c r="B52" s="48" t="n"/>
      <c r="C52" s="48" t="n"/>
    </row>
    <row r="53" ht="18" customHeight="1" s="17">
      <c r="A53" s="48">
        <f>""</f>
        <v/>
      </c>
      <c r="B53" s="48" t="n"/>
      <c r="C53" s="48" t="n"/>
    </row>
    <row r="54" ht="18" customHeight="1" s="17">
      <c r="A54" s="48">
        <f>IF(Generation!$B6,"  &lt;item ident=""il_0_qst_"&amp;TEXT(Generation!$A6,"000")&amp;""" title="""&amp;Generation!$F6&amp;"""&gt;","")</f>
        <v/>
      </c>
      <c r="B54" s="48" t="n"/>
      <c r="C54" s="48" t="n"/>
    </row>
    <row r="55" ht="18" customHeight="1" s="17">
      <c r="A55" s="48">
        <f>IF(Generation!$B6,"    &lt;duration&gt;P0Y0M0DT0H1M0S&lt;/duration&gt;","")</f>
        <v/>
      </c>
      <c r="B55" s="48" t="n"/>
      <c r="C55" s="48" t="n"/>
    </row>
    <row r="56" ht="18" customHeight="1" s="17">
      <c r="A56" s="48">
        <f>IF(Generation!$B6,"    &lt;itemmetadata&gt;","")</f>
        <v/>
      </c>
      <c r="B56" s="48" t="n"/>
      <c r="C56" s="48" t="n"/>
    </row>
    <row r="57" ht="18" customHeight="1" s="17">
      <c r="A57" s="48">
        <f>IF(Generation!$B6,"      &lt;qtimetadata&gt;","")</f>
        <v/>
      </c>
      <c r="B57" s="48" t="n"/>
      <c r="C57" s="48" t="n"/>
    </row>
    <row r="58" ht="18" customHeight="1" s="17">
      <c r="A58" s="48">
        <f>IF(Generation!$B6,"        &lt;qtimetadatafield&gt;&lt;fieldlabel&gt;ILIAS_VERSION&lt;/fieldlabel&gt;&lt;fieldentry&gt;8&lt;/fieldentry&gt;&lt;/qtimetadatafield&gt;","")</f>
        <v/>
      </c>
      <c r="B58" s="48" t="n"/>
      <c r="C58" s="48" t="n"/>
    </row>
    <row r="59" ht="18" customHeight="1" s="17">
      <c r="A59" s="48">
        <f>IF(Generation!$B6,"        &lt;qtimetadatafield&gt;&lt;fieldlabel&gt;QUESTIONTYPE&lt;/fieldlabel&gt;&lt;fieldentry&gt;"&amp;Generation!$D6&amp;"&lt;/fieldentry&gt;&lt;/qtimetadatafield&gt;","")</f>
        <v/>
      </c>
      <c r="B59" s="48" t="n"/>
      <c r="C59" s="48" t="n"/>
    </row>
    <row r="60" ht="18" customHeight="1" s="17">
      <c r="A60" s="48">
        <f>IF(Generation!$B6,"        &lt;qtimetadatafield&gt;&lt;fieldlabel&gt;AUTHOR&lt;/fieldlabel&gt;&lt;fieldentry&gt;"&amp;Generation!$AR6&amp;"&lt;/fieldentry&gt;&lt;/qtimetadatafield&gt;","")</f>
        <v/>
      </c>
      <c r="B60" s="48" t="n"/>
      <c r="C60" s="48" t="n"/>
    </row>
    <row r="61" ht="18" customHeight="1" s="17">
      <c r="A61" s="48">
        <f>IF(Generation!$B6,"        &lt;qtimetadatafield&gt;&lt;fieldlabel&gt;identicalScoring&lt;/fieldlabel&gt;&lt;fieldentry&gt;1&lt;/fieldentry&gt;&lt;/qtimetadatafield&gt;","")</f>
        <v/>
      </c>
      <c r="B61" s="48" t="n"/>
      <c r="C61" s="48" t="n"/>
    </row>
    <row r="62" ht="18" customHeight="1" s="17">
      <c r="A62" s="48">
        <f>IF(Generation!$B6,"      &lt;/qtimetadata&gt;","")</f>
        <v/>
      </c>
      <c r="B62" s="48" t="n"/>
      <c r="C62" s="48" t="n"/>
    </row>
    <row r="63" ht="18" customHeight="1" s="17">
      <c r="A63" s="48">
        <f>IF(Generation!$B6,"    &lt;/itemmetadata&gt;","")</f>
        <v/>
      </c>
      <c r="B63" s="48" t="n"/>
      <c r="C63" s="48" t="n"/>
    </row>
    <row r="64" ht="18" customHeight="1" s="17">
      <c r="A64" s="48">
        <f>IF(Generation!$B6,"    &lt;presentation label="""&amp;Generation!$F6&amp;"""&gt;","")</f>
        <v/>
      </c>
      <c r="B64" s="48" t="n"/>
      <c r="C64" s="48" t="n"/>
    </row>
    <row r="65" ht="18" customHeight="1" s="17">
      <c r="A65" s="48">
        <f>IF(Generation!$B6,"      &lt;material&gt;&lt;mattext texttype=""text/html""&gt;"&amp;Generation!$G6&amp;"&lt;/mattext&gt;&lt;/material&gt;","")</f>
        <v/>
      </c>
      <c r="B65" s="48" t="n"/>
      <c r="C65" s="48" t="n"/>
    </row>
    <row r="66" ht="18" customHeight="1" s="17">
      <c r="A66" s="48">
        <f>IF(Generation!$B6,"      &lt;response_lid ident=""RESPONSE"" rcardinality="""&amp;Generation!$E6&amp;"""&gt;","")</f>
        <v/>
      </c>
      <c r="B66" s="48" t="n"/>
      <c r="C66" s="48" t="n"/>
    </row>
    <row r="67" ht="18" customHeight="1" s="17">
      <c r="A67" s="48">
        <f>IF(Generation!$B6,"        &lt;render_choice shuffle=""No""&gt;","")</f>
        <v/>
      </c>
      <c r="B67" s="48" t="n"/>
      <c r="C67" s="48" t="n"/>
    </row>
    <row r="68" ht="18" customHeight="1" s="17">
      <c r="A68" s="48">
        <f>IF(Generation!AB6="","",Generation!AB6)</f>
        <v/>
      </c>
      <c r="B68" s="48" t="n"/>
      <c r="C68" s="48" t="n"/>
    </row>
    <row r="69" ht="18" customHeight="1" s="17">
      <c r="A69" s="48">
        <f>IF(Generation!AC6="","",Generation!AC6)</f>
        <v/>
      </c>
      <c r="B69" s="48" t="n"/>
      <c r="C69" s="48" t="n"/>
    </row>
    <row r="70" ht="18" customHeight="1" s="17">
      <c r="A70" s="48">
        <f>IF(Generation!AD6="","",Generation!AD6)</f>
        <v/>
      </c>
      <c r="B70" s="48" t="n"/>
      <c r="C70" s="48" t="n"/>
    </row>
    <row r="71" ht="18" customHeight="1" s="17">
      <c r="A71" s="48">
        <f>IF(Generation!AE6="","",Generation!AE6)</f>
        <v/>
      </c>
      <c r="B71" s="48" t="n"/>
      <c r="C71" s="48" t="n"/>
    </row>
    <row r="72" ht="18" customHeight="1" s="17">
      <c r="A72" s="48">
        <f>IF(Generation!AF6="","",Generation!AF6)</f>
        <v/>
      </c>
      <c r="B72" s="48" t="n"/>
      <c r="C72" s="48" t="n"/>
    </row>
    <row r="73" ht="18" customHeight="1" s="17">
      <c r="A73" s="48">
        <f>IF(Generation!AG6="","",Generation!AG6)</f>
        <v/>
      </c>
      <c r="B73" s="48" t="n"/>
      <c r="C73" s="48" t="n"/>
    </row>
    <row r="74" ht="18" customHeight="1" s="17">
      <c r="A74" s="48">
        <f>IF(Generation!AH6="","",Generation!AH6)</f>
        <v/>
      </c>
      <c r="B74" s="48" t="n"/>
      <c r="C74" s="48" t="n"/>
    </row>
    <row r="75" ht="18" customHeight="1" s="17">
      <c r="A75" s="48">
        <f>IF(Generation!AI6="","",Generation!AI6)</f>
        <v/>
      </c>
      <c r="B75" s="48" t="n"/>
      <c r="C75" s="48" t="n"/>
    </row>
    <row r="76" ht="18" customHeight="1" s="17">
      <c r="A76" s="48">
        <f>IF(Generation!$B6,"        &lt;/render_choice&gt;","")</f>
        <v/>
      </c>
      <c r="B76" s="48" t="n"/>
      <c r="C76" s="48" t="n"/>
    </row>
    <row r="77" ht="18" customHeight="1" s="17">
      <c r="A77" s="48">
        <f>IF(Generation!$B6,"      &lt;/response_lid&gt;","")</f>
        <v/>
      </c>
      <c r="B77" s="48" t="n"/>
      <c r="C77" s="48" t="n"/>
    </row>
    <row r="78" ht="18" customHeight="1" s="17">
      <c r="A78" s="48">
        <f>IF(Generation!$B6,"    &lt;/presentation&gt;","")</f>
        <v/>
      </c>
      <c r="B78" s="48" t="n"/>
      <c r="C78" s="48" t="n"/>
    </row>
    <row r="79" ht="18" customHeight="1" s="17">
      <c r="A79" s="48">
        <f>IF(Generation!$B6,"    &lt;resprocessing&gt;","")</f>
        <v/>
      </c>
      <c r="B79" s="48" t="n"/>
      <c r="C79" s="48" t="n"/>
    </row>
    <row r="80" ht="18" customHeight="1" s="17">
      <c r="A80" s="48">
        <f>IF(Generation!$B6,"      &lt;outcomes&gt;&lt;decvar varname=""SCORE"" vartype=""Decimal"" minvalue=""0"" maxvalue="""&amp;Generation!$H6&amp;"""/&gt;&lt;/outcomes&gt;","")</f>
        <v/>
      </c>
      <c r="B80" s="48" t="n"/>
      <c r="C80" s="48" t="n"/>
    </row>
    <row r="81" ht="18" customHeight="1" s="17">
      <c r="A81" s="48">
        <f>IF(Generation!AJ6="","",Generation!AJ6)</f>
        <v/>
      </c>
      <c r="B81" s="48" t="n"/>
      <c r="C81" s="48" t="n"/>
    </row>
    <row r="82" ht="18" customHeight="1" s="17">
      <c r="A82" s="48">
        <f>IF(Generation!AK6="","",Generation!AK6)</f>
        <v/>
      </c>
      <c r="B82" s="48" t="n"/>
      <c r="C82" s="48" t="n"/>
    </row>
    <row r="83" ht="18" customHeight="1" s="17">
      <c r="A83" s="48">
        <f>IF(Generation!AL6="","",Generation!AL6)</f>
        <v/>
      </c>
      <c r="B83" s="48" t="n"/>
      <c r="C83" s="48" t="n"/>
    </row>
    <row r="84" ht="18" customHeight="1" s="17">
      <c r="A84" s="48">
        <f>IF(Generation!AM6="","",Generation!AM6)</f>
        <v/>
      </c>
      <c r="B84" s="48" t="n"/>
      <c r="C84" s="48" t="n"/>
    </row>
    <row r="85" ht="18" customHeight="1" s="17">
      <c r="A85" s="48">
        <f>IF(Generation!AN6="","",Generation!AN6)</f>
        <v/>
      </c>
      <c r="B85" s="48" t="n"/>
      <c r="C85" s="48" t="n"/>
    </row>
    <row r="86" ht="18" customHeight="1" s="17">
      <c r="A86" s="48">
        <f>IF(Generation!AO6="","",Generation!AO6)</f>
        <v/>
      </c>
      <c r="B86" s="48" t="n"/>
      <c r="C86" s="48" t="n"/>
    </row>
    <row r="87" ht="18" customHeight="1" s="17">
      <c r="A87" s="48">
        <f>IF(Generation!AP6="","",Generation!AP6)</f>
        <v/>
      </c>
      <c r="B87" s="48" t="n"/>
      <c r="C87" s="48" t="n"/>
    </row>
    <row r="88" ht="18" customHeight="1" s="17">
      <c r="A88" s="48">
        <f>IF(Generation!AQ6="","",Generation!AQ6)</f>
        <v/>
      </c>
      <c r="B88" s="48" t="n"/>
      <c r="C88" s="48" t="n"/>
    </row>
    <row r="89" ht="18" customHeight="1" s="17">
      <c r="A89" s="48">
        <f>IF(Generation!$B6,"    &lt;/resprocessing&gt;","")</f>
        <v/>
      </c>
      <c r="B89" s="48" t="n"/>
      <c r="C89" s="48" t="n"/>
    </row>
    <row r="90" ht="18" customHeight="1" s="17">
      <c r="A90" s="48">
        <f>IF(Generation!BB6="","",Generation!BB6)</f>
        <v/>
      </c>
      <c r="B90" s="48" t="n"/>
      <c r="C90" s="48" t="n"/>
    </row>
    <row r="91" ht="18" customHeight="1" s="17">
      <c r="A91" s="48">
        <f>IF(Generation!BC6="","",Generation!BC6)</f>
        <v/>
      </c>
      <c r="B91" s="48" t="n"/>
      <c r="C91" s="48" t="n"/>
    </row>
    <row r="92" ht="18" customHeight="1" s="17">
      <c r="A92" s="48">
        <f>IF(Generation!BD6="","",Generation!BD6)</f>
        <v/>
      </c>
      <c r="B92" s="48" t="n"/>
      <c r="C92" s="48" t="n"/>
    </row>
    <row r="93" ht="18" customHeight="1" s="17">
      <c r="A93" s="48">
        <f>IF(Generation!BE6="","",Generation!BE6)</f>
        <v/>
      </c>
      <c r="B93" s="48" t="n"/>
      <c r="C93" s="48" t="n"/>
    </row>
    <row r="94" ht="18" customHeight="1" s="17">
      <c r="A94" s="48">
        <f>IF(Generation!BF6="","",Generation!BF6)</f>
        <v/>
      </c>
      <c r="B94" s="48" t="n"/>
      <c r="C94" s="48" t="n"/>
    </row>
    <row r="95" ht="18" customHeight="1" s="17">
      <c r="A95" s="48">
        <f>IF(Generation!BG6="","",Generation!BG6)</f>
        <v/>
      </c>
      <c r="B95" s="48" t="n"/>
      <c r="C95" s="48" t="n"/>
    </row>
    <row r="96" ht="18" customHeight="1" s="17">
      <c r="A96" s="48">
        <f>IF(Generation!BH6="","",Generation!BH6)</f>
        <v/>
      </c>
      <c r="B96" s="48" t="n"/>
      <c r="C96" s="48" t="n"/>
    </row>
    <row r="97" ht="18" customHeight="1" s="17">
      <c r="A97" s="48">
        <f>IF(Generation!BI6="","",Generation!BI6)</f>
        <v/>
      </c>
      <c r="B97" s="48" t="n"/>
      <c r="C97" s="48" t="n"/>
    </row>
    <row r="98" ht="18" customHeight="1" s="17">
      <c r="A98" s="48">
        <f>IF(Generation!BJ6="","",Generation!BJ6)</f>
        <v/>
      </c>
      <c r="B98" s="48" t="n"/>
      <c r="C98" s="48" t="n"/>
    </row>
    <row r="99" ht="18" customHeight="1" s="17">
      <c r="A99" s="48">
        <f>IF(Generation!$B6,"  &lt;/item&gt;","")</f>
        <v/>
      </c>
      <c r="B99" s="48" t="n"/>
      <c r="C99" s="48" t="n"/>
    </row>
    <row r="100" ht="18" customHeight="1" s="17">
      <c r="A100" s="48">
        <f>""</f>
        <v/>
      </c>
      <c r="B100" s="48" t="n"/>
      <c r="C100" s="48" t="n"/>
    </row>
    <row r="101" ht="18" customHeight="1" s="17">
      <c r="A101" s="48">
        <f>""</f>
        <v/>
      </c>
      <c r="B101" s="48" t="n"/>
      <c r="C101" s="48" t="n"/>
    </row>
    <row r="102" ht="18" customHeight="1" s="17">
      <c r="A102" s="48">
        <f>""</f>
        <v/>
      </c>
      <c r="B102" s="48" t="n"/>
      <c r="C102" s="48" t="n"/>
    </row>
    <row r="103" ht="18" customHeight="1" s="17">
      <c r="A103" s="48">
        <f>""</f>
        <v/>
      </c>
      <c r="B103" s="48" t="n"/>
      <c r="C103" s="48" t="n"/>
    </row>
    <row r="104" ht="18" customHeight="1" s="17">
      <c r="A104" s="48">
        <f>IF(Generation!$B7,"  &lt;item ident=""il_0_qst_"&amp;TEXT(Generation!$A7,"000")&amp;""" title="""&amp;Generation!$F7&amp;"""&gt;","")</f>
        <v/>
      </c>
      <c r="B104" s="48" t="n"/>
      <c r="C104" s="48" t="n"/>
    </row>
    <row r="105" ht="18" customHeight="1" s="17">
      <c r="A105" s="48">
        <f>IF(Generation!$B7,"    &lt;duration&gt;P0Y0M0DT0H1M0S&lt;/duration&gt;","")</f>
        <v/>
      </c>
      <c r="B105" s="48" t="n"/>
      <c r="C105" s="48" t="n"/>
    </row>
    <row r="106" ht="18" customHeight="1" s="17">
      <c r="A106" s="48">
        <f>IF(Generation!$B7,"    &lt;itemmetadata&gt;","")</f>
        <v/>
      </c>
      <c r="B106" s="48" t="n"/>
      <c r="C106" s="48" t="n"/>
    </row>
    <row r="107" ht="18" customHeight="1" s="17">
      <c r="A107" s="48">
        <f>IF(Generation!$B7,"      &lt;qtimetadata&gt;","")</f>
        <v/>
      </c>
      <c r="B107" s="48" t="n"/>
      <c r="C107" s="48" t="n"/>
    </row>
    <row r="108" ht="18" customHeight="1" s="17">
      <c r="A108" s="48">
        <f>IF(Generation!$B7,"        &lt;qtimetadatafield&gt;&lt;fieldlabel&gt;ILIAS_VERSION&lt;/fieldlabel&gt;&lt;fieldentry&gt;8&lt;/fieldentry&gt;&lt;/qtimetadatafield&gt;","")</f>
        <v/>
      </c>
      <c r="B108" s="48" t="n"/>
      <c r="C108" s="48" t="n"/>
    </row>
    <row r="109" ht="18" customHeight="1" s="17">
      <c r="A109" s="48">
        <f>IF(Generation!$B7,"        &lt;qtimetadatafield&gt;&lt;fieldlabel&gt;QUESTIONTYPE&lt;/fieldlabel&gt;&lt;fieldentry&gt;"&amp;Generation!$D7&amp;"&lt;/fieldentry&gt;&lt;/qtimetadatafield&gt;","")</f>
        <v/>
      </c>
      <c r="B109" s="48" t="n"/>
      <c r="C109" s="48" t="n"/>
    </row>
    <row r="110" ht="18" customHeight="1" s="17">
      <c r="A110" s="48">
        <f>IF(Generation!$B7,"        &lt;qtimetadatafield&gt;&lt;fieldlabel&gt;AUTHOR&lt;/fieldlabel&gt;&lt;fieldentry&gt;"&amp;Generation!$AR7&amp;"&lt;/fieldentry&gt;&lt;/qtimetadatafield&gt;","")</f>
        <v/>
      </c>
      <c r="B110" s="48" t="n"/>
      <c r="C110" s="48" t="n"/>
    </row>
    <row r="111" ht="18" customHeight="1" s="17">
      <c r="A111" s="48">
        <f>IF(Generation!$B7,"        &lt;qtimetadatafield&gt;&lt;fieldlabel&gt;identicalScoring&lt;/fieldlabel&gt;&lt;fieldentry&gt;1&lt;/fieldentry&gt;&lt;/qtimetadatafield&gt;","")</f>
        <v/>
      </c>
      <c r="B111" s="48" t="n"/>
      <c r="C111" s="48" t="n"/>
    </row>
    <row r="112" ht="18" customHeight="1" s="17">
      <c r="A112" s="48">
        <f>IF(Generation!$B7,"      &lt;/qtimetadata&gt;","")</f>
        <v/>
      </c>
      <c r="B112" s="48" t="n"/>
      <c r="C112" s="48" t="n"/>
    </row>
    <row r="113" ht="18" customHeight="1" s="17">
      <c r="A113" s="48">
        <f>IF(Generation!$B7,"    &lt;/itemmetadata&gt;","")</f>
        <v/>
      </c>
      <c r="B113" s="48" t="n"/>
      <c r="C113" s="48" t="n"/>
    </row>
    <row r="114" ht="18" customHeight="1" s="17">
      <c r="A114" s="48">
        <f>IF(Generation!$B7,"    &lt;presentation label="""&amp;Generation!$F7&amp;"""&gt;","")</f>
        <v/>
      </c>
      <c r="B114" s="48" t="n"/>
      <c r="C114" s="48" t="n"/>
    </row>
    <row r="115" ht="18" customHeight="1" s="17">
      <c r="A115" s="48">
        <f>IF(Generation!$B7,"      &lt;material&gt;&lt;mattext texttype=""text/html""&gt;"&amp;Generation!$G7&amp;"&lt;/mattext&gt;&lt;/material&gt;","")</f>
        <v/>
      </c>
      <c r="B115" s="48" t="n"/>
      <c r="C115" s="48" t="n"/>
    </row>
    <row r="116" ht="18" customHeight="1" s="17">
      <c r="A116" s="48">
        <f>IF(Generation!$B7,"      &lt;response_lid ident=""RESPONSE"" rcardinality="""&amp;Generation!$E7&amp;"""&gt;","")</f>
        <v/>
      </c>
      <c r="B116" s="48" t="n"/>
      <c r="C116" s="48" t="n"/>
    </row>
    <row r="117" ht="18" customHeight="1" s="17">
      <c r="A117" s="48">
        <f>IF(Generation!$B7,"        &lt;render_choice shuffle=""No""&gt;","")</f>
        <v/>
      </c>
      <c r="B117" s="48" t="n"/>
      <c r="C117" s="48" t="n"/>
    </row>
    <row r="118" ht="18" customHeight="1" s="17">
      <c r="A118" s="48">
        <f>IF(Generation!AB7="","",Generation!AB7)</f>
        <v/>
      </c>
      <c r="B118" s="48" t="n"/>
      <c r="C118" s="48" t="n"/>
    </row>
    <row r="119" ht="18" customHeight="1" s="17">
      <c r="A119" s="48">
        <f>IF(Generation!AC7="","",Generation!AC7)</f>
        <v/>
      </c>
      <c r="B119" s="48" t="n"/>
      <c r="C119" s="48" t="n"/>
    </row>
    <row r="120" ht="18" customHeight="1" s="17">
      <c r="A120" s="48">
        <f>IF(Generation!AD7="","",Generation!AD7)</f>
        <v/>
      </c>
      <c r="B120" s="48" t="n"/>
      <c r="C120" s="48" t="n"/>
    </row>
    <row r="121" ht="18" customHeight="1" s="17">
      <c r="A121" s="48">
        <f>IF(Generation!AE7="","",Generation!AE7)</f>
        <v/>
      </c>
      <c r="B121" s="48" t="n"/>
      <c r="C121" s="48" t="n"/>
    </row>
    <row r="122" ht="18" customHeight="1" s="17">
      <c r="A122" s="48">
        <f>IF(Generation!AF7="","",Generation!AF7)</f>
        <v/>
      </c>
      <c r="B122" s="48" t="n"/>
      <c r="C122" s="48" t="n"/>
    </row>
    <row r="123" ht="18" customHeight="1" s="17">
      <c r="A123" s="48">
        <f>IF(Generation!AG7="","",Generation!AG7)</f>
        <v/>
      </c>
      <c r="B123" s="48" t="n"/>
      <c r="C123" s="48" t="n"/>
    </row>
    <row r="124" ht="18" customHeight="1" s="17">
      <c r="A124" s="48">
        <f>IF(Generation!AH7="","",Generation!AH7)</f>
        <v/>
      </c>
      <c r="B124" s="48" t="n"/>
      <c r="C124" s="48" t="n"/>
    </row>
    <row r="125" ht="18" customHeight="1" s="17">
      <c r="A125" s="48">
        <f>IF(Generation!AI7="","",Generation!AI7)</f>
        <v/>
      </c>
      <c r="B125" s="48" t="n"/>
      <c r="C125" s="48" t="n"/>
    </row>
    <row r="126" ht="18" customHeight="1" s="17">
      <c r="A126" s="48">
        <f>IF(Generation!$B7,"        &lt;/render_choice&gt;","")</f>
        <v/>
      </c>
      <c r="B126" s="48" t="n"/>
      <c r="C126" s="48" t="n"/>
    </row>
    <row r="127" ht="18" customHeight="1" s="17">
      <c r="A127" s="48">
        <f>IF(Generation!$B7,"      &lt;/response_lid&gt;","")</f>
        <v/>
      </c>
      <c r="B127" s="48" t="n"/>
      <c r="C127" s="48" t="n"/>
    </row>
    <row r="128" ht="18" customHeight="1" s="17">
      <c r="A128" s="48">
        <f>IF(Generation!$B7,"    &lt;/presentation&gt;","")</f>
        <v/>
      </c>
      <c r="B128" s="48" t="n"/>
      <c r="C128" s="48" t="n"/>
    </row>
    <row r="129" ht="18" customHeight="1" s="17">
      <c r="A129" s="48">
        <f>IF(Generation!$B7,"    &lt;resprocessing&gt;","")</f>
        <v/>
      </c>
      <c r="B129" s="48" t="n"/>
      <c r="C129" s="48" t="n"/>
    </row>
    <row r="130" ht="18" customHeight="1" s="17">
      <c r="A130" s="48">
        <f>IF(Generation!$B7,"      &lt;outcomes&gt;&lt;decvar varname=""SCORE"" vartype=""Decimal"" minvalue=""0"" maxvalue="""&amp;Generation!$H7&amp;"""/&gt;&lt;/outcomes&gt;","")</f>
        <v/>
      </c>
      <c r="B130" s="48" t="n"/>
      <c r="C130" s="48" t="n"/>
    </row>
    <row r="131" ht="18" customHeight="1" s="17">
      <c r="A131" s="48">
        <f>IF(Generation!AJ7="","",Generation!AJ7)</f>
        <v/>
      </c>
      <c r="B131" s="48" t="n"/>
      <c r="C131" s="48" t="n"/>
    </row>
    <row r="132" ht="18" customHeight="1" s="17">
      <c r="A132" s="48">
        <f>IF(Generation!AK7="","",Generation!AK7)</f>
        <v/>
      </c>
      <c r="B132" s="48" t="n"/>
      <c r="C132" s="48" t="n"/>
    </row>
    <row r="133" ht="18" customHeight="1" s="17">
      <c r="A133" s="48">
        <f>IF(Generation!AL7="","",Generation!AL7)</f>
        <v/>
      </c>
      <c r="B133" s="48" t="n"/>
      <c r="C133" s="48" t="n"/>
    </row>
    <row r="134" ht="18" customHeight="1" s="17">
      <c r="A134" s="48">
        <f>IF(Generation!AM7="","",Generation!AM7)</f>
        <v/>
      </c>
      <c r="B134" s="48" t="n"/>
      <c r="C134" s="48" t="n"/>
    </row>
    <row r="135" ht="18" customHeight="1" s="17">
      <c r="A135" s="48">
        <f>IF(Generation!AN7="","",Generation!AN7)</f>
        <v/>
      </c>
      <c r="B135" s="48" t="n"/>
      <c r="C135" s="48" t="n"/>
    </row>
    <row r="136" ht="18" customHeight="1" s="17">
      <c r="A136" s="48">
        <f>IF(Generation!AO7="","",Generation!AO7)</f>
        <v/>
      </c>
      <c r="B136" s="48" t="n"/>
      <c r="C136" s="48" t="n"/>
    </row>
    <row r="137" ht="18" customHeight="1" s="17">
      <c r="A137" s="48">
        <f>IF(Generation!AP7="","",Generation!AP7)</f>
        <v/>
      </c>
      <c r="B137" s="48" t="n"/>
      <c r="C137" s="48" t="n"/>
    </row>
    <row r="138" ht="18" customHeight="1" s="17">
      <c r="A138" s="48">
        <f>IF(Generation!AQ7="","",Generation!AQ7)</f>
        <v/>
      </c>
      <c r="B138" s="48" t="n"/>
      <c r="C138" s="48" t="n"/>
    </row>
    <row r="139" ht="18" customHeight="1" s="17">
      <c r="A139" s="48">
        <f>IF(Generation!$B7,"    &lt;/resprocessing&gt;","")</f>
        <v/>
      </c>
      <c r="B139" s="48" t="n"/>
      <c r="C139" s="48" t="n"/>
    </row>
    <row r="140" ht="18" customHeight="1" s="17">
      <c r="A140" s="48">
        <f>IF(Generation!BB7="","",Generation!BB7)</f>
        <v/>
      </c>
      <c r="B140" s="48" t="n"/>
      <c r="C140" s="48" t="n"/>
    </row>
    <row r="141" ht="18" customHeight="1" s="17">
      <c r="A141" s="48">
        <f>IF(Generation!BC7="","",Generation!BC7)</f>
        <v/>
      </c>
      <c r="B141" s="48" t="n"/>
      <c r="C141" s="48" t="n"/>
    </row>
    <row r="142" ht="18" customHeight="1" s="17">
      <c r="A142" s="48">
        <f>IF(Generation!BD7="","",Generation!BD7)</f>
        <v/>
      </c>
      <c r="B142" s="48" t="n"/>
      <c r="C142" s="48" t="n"/>
    </row>
    <row r="143" ht="18" customHeight="1" s="17">
      <c r="A143" s="48">
        <f>IF(Generation!BE7="","",Generation!BE7)</f>
        <v/>
      </c>
      <c r="B143" s="48" t="n"/>
      <c r="C143" s="48" t="n"/>
    </row>
    <row r="144" ht="18" customHeight="1" s="17">
      <c r="A144" s="48">
        <f>IF(Generation!BF7="","",Generation!BF7)</f>
        <v/>
      </c>
      <c r="B144" s="48" t="n"/>
      <c r="C144" s="48" t="n"/>
    </row>
    <row r="145" ht="18" customHeight="1" s="17">
      <c r="A145" s="48">
        <f>IF(Generation!BG7="","",Generation!BG7)</f>
        <v/>
      </c>
      <c r="B145" s="48" t="n"/>
      <c r="C145" s="48" t="n"/>
    </row>
    <row r="146" ht="18" customHeight="1" s="17">
      <c r="A146" s="48">
        <f>IF(Generation!BH7="","",Generation!BH7)</f>
        <v/>
      </c>
      <c r="B146" s="48" t="n"/>
      <c r="C146" s="48" t="n"/>
    </row>
    <row r="147" ht="18" customHeight="1" s="17">
      <c r="A147" s="48">
        <f>IF(Generation!BI7="","",Generation!BI7)</f>
        <v/>
      </c>
      <c r="B147" s="48" t="n"/>
      <c r="C147" s="48" t="n"/>
    </row>
    <row r="148" ht="18" customHeight="1" s="17">
      <c r="A148" s="48">
        <f>IF(Generation!BJ7="","",Generation!BJ7)</f>
        <v/>
      </c>
      <c r="B148" s="48" t="n"/>
      <c r="C148" s="48" t="n"/>
    </row>
    <row r="149" ht="18" customHeight="1" s="17">
      <c r="A149" s="48">
        <f>IF(Generation!$B7,"  &lt;/item&gt;","")</f>
        <v/>
      </c>
      <c r="B149" s="48" t="n"/>
      <c r="C149" s="48" t="n"/>
    </row>
    <row r="150" ht="18" customHeight="1" s="17">
      <c r="A150" s="48">
        <f>""</f>
        <v/>
      </c>
      <c r="B150" s="48" t="n"/>
      <c r="C150" s="48" t="n"/>
    </row>
    <row r="151" ht="18" customHeight="1" s="17">
      <c r="A151" s="48">
        <f>""</f>
        <v/>
      </c>
      <c r="B151" s="48" t="n"/>
      <c r="C151" s="48" t="n"/>
    </row>
    <row r="152" ht="18" customHeight="1" s="17">
      <c r="A152" s="48">
        <f>""</f>
        <v/>
      </c>
      <c r="B152" s="48" t="n"/>
      <c r="C152" s="48" t="n"/>
    </row>
    <row r="153" ht="18" customHeight="1" s="17">
      <c r="A153" s="48">
        <f>""</f>
        <v/>
      </c>
      <c r="B153" s="48" t="n"/>
      <c r="C153" s="48" t="n"/>
    </row>
    <row r="154" ht="18" customHeight="1" s="17">
      <c r="A154" s="48">
        <f>IF(Generation!$B8,"  &lt;item ident=""il_0_qst_"&amp;TEXT(Generation!$A8,"000")&amp;""" title="""&amp;Generation!$F8&amp;"""&gt;","")</f>
        <v/>
      </c>
      <c r="B154" s="48" t="n"/>
      <c r="C154" s="48" t="n"/>
    </row>
    <row r="155" ht="18" customHeight="1" s="17">
      <c r="A155" s="48">
        <f>IF(Generation!$B8,"    &lt;duration&gt;P0Y0M0DT0H1M0S&lt;/duration&gt;","")</f>
        <v/>
      </c>
      <c r="B155" s="48" t="n"/>
      <c r="C155" s="48" t="n"/>
    </row>
    <row r="156" ht="18" customHeight="1" s="17">
      <c r="A156" s="48">
        <f>IF(Generation!$B8,"    &lt;itemmetadata&gt;","")</f>
        <v/>
      </c>
      <c r="B156" s="48" t="n"/>
      <c r="C156" s="48" t="n"/>
    </row>
    <row r="157" ht="18" customHeight="1" s="17">
      <c r="A157" s="48">
        <f>IF(Generation!$B8,"      &lt;qtimetadata&gt;","")</f>
        <v/>
      </c>
      <c r="B157" s="48" t="n"/>
      <c r="C157" s="48" t="n"/>
    </row>
    <row r="158" ht="18" customHeight="1" s="17">
      <c r="A158" s="48">
        <f>IF(Generation!$B8,"        &lt;qtimetadatafield&gt;&lt;fieldlabel&gt;ILIAS_VERSION&lt;/fieldlabel&gt;&lt;fieldentry&gt;8&lt;/fieldentry&gt;&lt;/qtimetadatafield&gt;","")</f>
        <v/>
      </c>
      <c r="B158" s="48" t="n"/>
      <c r="C158" s="48" t="n"/>
    </row>
    <row r="159" ht="18" customHeight="1" s="17">
      <c r="A159" s="48">
        <f>IF(Generation!$B8,"        &lt;qtimetadatafield&gt;&lt;fieldlabel&gt;QUESTIONTYPE&lt;/fieldlabel&gt;&lt;fieldentry&gt;"&amp;Generation!$D8&amp;"&lt;/fieldentry&gt;&lt;/qtimetadatafield&gt;","")</f>
        <v/>
      </c>
      <c r="B159" s="48" t="n"/>
      <c r="C159" s="48" t="n"/>
    </row>
    <row r="160" ht="18" customHeight="1" s="17">
      <c r="A160" s="48">
        <f>IF(Generation!$B8,"        &lt;qtimetadatafield&gt;&lt;fieldlabel&gt;AUTHOR&lt;/fieldlabel&gt;&lt;fieldentry&gt;"&amp;Generation!$AR8&amp;"&lt;/fieldentry&gt;&lt;/qtimetadatafield&gt;","")</f>
        <v/>
      </c>
      <c r="B160" s="48" t="n"/>
      <c r="C160" s="48" t="n"/>
    </row>
    <row r="161" ht="18" customHeight="1" s="17">
      <c r="A161" s="48">
        <f>IF(Generation!$B8,"        &lt;qtimetadatafield&gt;&lt;fieldlabel&gt;identicalScoring&lt;/fieldlabel&gt;&lt;fieldentry&gt;1&lt;/fieldentry&gt;&lt;/qtimetadatafield&gt;","")</f>
        <v/>
      </c>
      <c r="B161" s="48" t="n"/>
      <c r="C161" s="48" t="n"/>
    </row>
    <row r="162" ht="18" customHeight="1" s="17">
      <c r="A162" s="48">
        <f>IF(Generation!$B8,"      &lt;/qtimetadata&gt;","")</f>
        <v/>
      </c>
      <c r="B162" s="48" t="n"/>
      <c r="C162" s="48" t="n"/>
    </row>
    <row r="163" ht="18" customHeight="1" s="17">
      <c r="A163" s="48">
        <f>IF(Generation!$B8,"    &lt;/itemmetadata&gt;","")</f>
        <v/>
      </c>
      <c r="B163" s="48" t="n"/>
      <c r="C163" s="48" t="n"/>
    </row>
    <row r="164" ht="18" customHeight="1" s="17">
      <c r="A164" s="48">
        <f>IF(Generation!$B8,"    &lt;presentation label="""&amp;Generation!$F8&amp;"""&gt;","")</f>
        <v/>
      </c>
      <c r="B164" s="48" t="n"/>
      <c r="C164" s="48" t="n"/>
    </row>
    <row r="165" ht="18" customHeight="1" s="17">
      <c r="A165" s="48">
        <f>IF(Generation!$B8,"      &lt;material&gt;&lt;mattext texttype=""text/html""&gt;"&amp;Generation!$G8&amp;"&lt;/mattext&gt;&lt;/material&gt;","")</f>
        <v/>
      </c>
      <c r="B165" s="48" t="n"/>
      <c r="C165" s="48" t="n"/>
    </row>
    <row r="166" ht="18" customHeight="1" s="17">
      <c r="A166" s="48">
        <f>IF(Generation!$B8,"      &lt;response_lid ident=""RESPONSE"" rcardinality="""&amp;Generation!$E8&amp;"""&gt;","")</f>
        <v/>
      </c>
      <c r="B166" s="48" t="n"/>
      <c r="C166" s="48" t="n"/>
    </row>
    <row r="167" ht="18" customHeight="1" s="17">
      <c r="A167" s="48">
        <f>IF(Generation!$B8,"        &lt;render_choice shuffle=""No""&gt;","")</f>
        <v/>
      </c>
      <c r="B167" s="48" t="n"/>
      <c r="C167" s="48" t="n"/>
    </row>
    <row r="168" ht="18" customHeight="1" s="17">
      <c r="A168" s="48">
        <f>IF(Generation!AB8="","",Generation!AB8)</f>
        <v/>
      </c>
      <c r="B168" s="48" t="n"/>
      <c r="C168" s="48" t="n"/>
    </row>
    <row r="169" ht="18" customHeight="1" s="17">
      <c r="A169" s="48">
        <f>IF(Generation!AC8="","",Generation!AC8)</f>
        <v/>
      </c>
      <c r="B169" s="48" t="n"/>
      <c r="C169" s="48" t="n"/>
    </row>
    <row r="170" ht="18" customHeight="1" s="17">
      <c r="A170" s="48">
        <f>IF(Generation!AD8="","",Generation!AD8)</f>
        <v/>
      </c>
      <c r="B170" s="48" t="n"/>
      <c r="C170" s="48" t="n"/>
    </row>
    <row r="171" ht="18" customHeight="1" s="17">
      <c r="A171" s="48">
        <f>IF(Generation!AE8="","",Generation!AE8)</f>
        <v/>
      </c>
      <c r="B171" s="48" t="n"/>
      <c r="C171" s="48" t="n"/>
    </row>
    <row r="172" ht="18" customHeight="1" s="17">
      <c r="A172" s="48">
        <f>IF(Generation!AF8="","",Generation!AF8)</f>
        <v/>
      </c>
      <c r="B172" s="48" t="n"/>
      <c r="C172" s="48" t="n"/>
    </row>
    <row r="173" ht="18" customHeight="1" s="17">
      <c r="A173" s="48">
        <f>IF(Generation!AG8="","",Generation!AG8)</f>
        <v/>
      </c>
      <c r="B173" s="48" t="n"/>
      <c r="C173" s="48" t="n"/>
    </row>
    <row r="174" ht="18" customHeight="1" s="17">
      <c r="A174" s="48">
        <f>IF(Generation!AH8="","",Generation!AH8)</f>
        <v/>
      </c>
      <c r="B174" s="48" t="n"/>
      <c r="C174" s="48" t="n"/>
    </row>
    <row r="175" ht="18" customHeight="1" s="17">
      <c r="A175" s="48">
        <f>IF(Generation!AI8="","",Generation!AI8)</f>
        <v/>
      </c>
      <c r="B175" s="48" t="n"/>
      <c r="C175" s="48" t="n"/>
    </row>
    <row r="176" ht="18" customHeight="1" s="17">
      <c r="A176" s="48">
        <f>IF(Generation!$B8,"        &lt;/render_choice&gt;","")</f>
        <v/>
      </c>
      <c r="B176" s="48" t="n"/>
      <c r="C176" s="48" t="n"/>
    </row>
    <row r="177" ht="18" customHeight="1" s="17">
      <c r="A177" s="48">
        <f>IF(Generation!$B8,"      &lt;/response_lid&gt;","")</f>
        <v/>
      </c>
      <c r="B177" s="48" t="n"/>
      <c r="C177" s="48" t="n"/>
    </row>
    <row r="178" ht="18" customHeight="1" s="17">
      <c r="A178" s="48">
        <f>IF(Generation!$B8,"    &lt;/presentation&gt;","")</f>
        <v/>
      </c>
      <c r="B178" s="48" t="n"/>
      <c r="C178" s="48" t="n"/>
    </row>
    <row r="179" ht="18" customHeight="1" s="17">
      <c r="A179" s="48">
        <f>IF(Generation!$B8,"    &lt;resprocessing&gt;","")</f>
        <v/>
      </c>
      <c r="B179" s="48" t="n"/>
      <c r="C179" s="48" t="n"/>
    </row>
    <row r="180" ht="18" customHeight="1" s="17">
      <c r="A180" s="48">
        <f>IF(Generation!$B8,"      &lt;outcomes&gt;&lt;decvar varname=""SCORE"" vartype=""Decimal"" minvalue=""0"" maxvalue="""&amp;Generation!$H8&amp;"""/&gt;&lt;/outcomes&gt;","")</f>
        <v/>
      </c>
      <c r="B180" s="48" t="n"/>
      <c r="C180" s="48" t="n"/>
    </row>
    <row r="181" ht="18" customHeight="1" s="17">
      <c r="A181" s="48">
        <f>IF(Generation!AJ8="","",Generation!AJ8)</f>
        <v/>
      </c>
      <c r="B181" s="48" t="n"/>
      <c r="C181" s="48" t="n"/>
    </row>
    <row r="182" ht="18" customHeight="1" s="17">
      <c r="A182" s="48">
        <f>IF(Generation!AK8="","",Generation!AK8)</f>
        <v/>
      </c>
      <c r="B182" s="48" t="n"/>
      <c r="C182" s="48" t="n"/>
    </row>
    <row r="183" ht="18" customHeight="1" s="17">
      <c r="A183" s="48">
        <f>IF(Generation!AL8="","",Generation!AL8)</f>
        <v/>
      </c>
      <c r="B183" s="48" t="n"/>
      <c r="C183" s="48" t="n"/>
    </row>
    <row r="184" ht="18" customHeight="1" s="17">
      <c r="A184" s="48">
        <f>IF(Generation!AM8="","",Generation!AM8)</f>
        <v/>
      </c>
      <c r="B184" s="48" t="n"/>
      <c r="C184" s="48" t="n"/>
    </row>
    <row r="185" ht="18" customHeight="1" s="17">
      <c r="A185" s="48">
        <f>IF(Generation!AN8="","",Generation!AN8)</f>
        <v/>
      </c>
      <c r="B185" s="48" t="n"/>
      <c r="C185" s="48" t="n"/>
    </row>
    <row r="186" ht="18" customHeight="1" s="17">
      <c r="A186" s="48">
        <f>IF(Generation!AO8="","",Generation!AO8)</f>
        <v/>
      </c>
      <c r="B186" s="48" t="n"/>
      <c r="C186" s="48" t="n"/>
    </row>
    <row r="187" ht="18" customHeight="1" s="17">
      <c r="A187" s="48">
        <f>IF(Generation!AP8="","",Generation!AP8)</f>
        <v/>
      </c>
      <c r="B187" s="48" t="n"/>
      <c r="C187" s="48" t="n"/>
    </row>
    <row r="188" ht="18" customHeight="1" s="17">
      <c r="A188" s="48">
        <f>IF(Generation!AQ8="","",Generation!AQ8)</f>
        <v/>
      </c>
      <c r="B188" s="48" t="n"/>
      <c r="C188" s="48" t="n"/>
    </row>
    <row r="189" ht="18" customHeight="1" s="17">
      <c r="A189" s="48">
        <f>IF(Generation!$B8,"    &lt;/resprocessing&gt;","")</f>
        <v/>
      </c>
      <c r="B189" s="48" t="n"/>
      <c r="C189" s="48" t="n"/>
    </row>
    <row r="190" ht="18" customHeight="1" s="17">
      <c r="A190" s="48">
        <f>IF(Generation!BB8="","",Generation!BB8)</f>
        <v/>
      </c>
      <c r="B190" s="48" t="n"/>
      <c r="C190" s="48" t="n"/>
    </row>
    <row r="191" ht="18" customHeight="1" s="17">
      <c r="A191" s="48">
        <f>IF(Generation!BC8="","",Generation!BC8)</f>
        <v/>
      </c>
      <c r="B191" s="48" t="n"/>
      <c r="C191" s="48" t="n"/>
    </row>
    <row r="192" ht="18" customHeight="1" s="17">
      <c r="A192" s="48">
        <f>IF(Generation!BD8="","",Generation!BD8)</f>
        <v/>
      </c>
      <c r="B192" s="48" t="n"/>
      <c r="C192" s="48" t="n"/>
    </row>
    <row r="193" ht="18" customHeight="1" s="17">
      <c r="A193" s="48">
        <f>IF(Generation!BE8="","",Generation!BE8)</f>
        <v/>
      </c>
      <c r="B193" s="48" t="n"/>
      <c r="C193" s="48" t="n"/>
    </row>
    <row r="194" ht="18" customHeight="1" s="17">
      <c r="A194" s="48">
        <f>IF(Generation!BF8="","",Generation!BF8)</f>
        <v/>
      </c>
      <c r="B194" s="48" t="n"/>
      <c r="C194" s="48" t="n"/>
    </row>
    <row r="195" ht="18" customHeight="1" s="17">
      <c r="A195" s="48">
        <f>IF(Generation!BG8="","",Generation!BG8)</f>
        <v/>
      </c>
      <c r="B195" s="48" t="n"/>
      <c r="C195" s="48" t="n"/>
    </row>
    <row r="196" ht="18" customHeight="1" s="17">
      <c r="A196" s="48">
        <f>IF(Generation!BH8="","",Generation!BH8)</f>
        <v/>
      </c>
      <c r="B196" s="48" t="n"/>
      <c r="C196" s="48" t="n"/>
    </row>
    <row r="197" ht="18" customHeight="1" s="17">
      <c r="A197" s="48">
        <f>IF(Generation!BI8="","",Generation!BI8)</f>
        <v/>
      </c>
      <c r="B197" s="48" t="n"/>
      <c r="C197" s="48" t="n"/>
    </row>
    <row r="198" ht="18" customHeight="1" s="17">
      <c r="A198" s="48">
        <f>IF(Generation!BJ8="","",Generation!BJ8)</f>
        <v/>
      </c>
      <c r="B198" s="48" t="n"/>
      <c r="C198" s="48" t="n"/>
    </row>
    <row r="199" ht="18" customHeight="1" s="17">
      <c r="A199" s="48">
        <f>IF(Generation!$B8,"  &lt;/item&gt;","")</f>
        <v/>
      </c>
      <c r="B199" s="48" t="n"/>
      <c r="C199" s="48" t="n"/>
    </row>
    <row r="200" ht="18" customHeight="1" s="17">
      <c r="A200" s="48">
        <f>""</f>
        <v/>
      </c>
      <c r="B200" s="48" t="n"/>
      <c r="C200" s="48" t="n"/>
    </row>
    <row r="201" ht="18" customHeight="1" s="17">
      <c r="A201" s="48">
        <f>""</f>
        <v/>
      </c>
      <c r="B201" s="48" t="n"/>
      <c r="C201" s="48" t="n"/>
    </row>
    <row r="202" ht="18" customHeight="1" s="17">
      <c r="A202" s="48">
        <f>""</f>
        <v/>
      </c>
      <c r="B202" s="48" t="n"/>
      <c r="C202" s="48" t="n"/>
    </row>
    <row r="203" ht="18" customHeight="1" s="17">
      <c r="A203" s="48">
        <f>""</f>
        <v/>
      </c>
      <c r="B203" s="48" t="n"/>
      <c r="C203" s="48" t="n"/>
    </row>
    <row r="204" ht="18" customHeight="1" s="17">
      <c r="A204" s="48">
        <f>IF(Generation!$B9,"  &lt;item ident=""il_0_qst_"&amp;TEXT(Generation!$A9,"000")&amp;""" title="""&amp;Generation!$F9&amp;"""&gt;","")</f>
        <v/>
      </c>
      <c r="B204" s="48" t="n"/>
      <c r="C204" s="48" t="n"/>
    </row>
    <row r="205" ht="18" customHeight="1" s="17">
      <c r="A205" s="48">
        <f>IF(Generation!$B9,"    &lt;duration&gt;P0Y0M0DT0H1M0S&lt;/duration&gt;","")</f>
        <v/>
      </c>
      <c r="B205" s="48" t="n"/>
      <c r="C205" s="48" t="n"/>
    </row>
    <row r="206" ht="18" customHeight="1" s="17">
      <c r="A206" s="48">
        <f>IF(Generation!$B9,"    &lt;itemmetadata&gt;","")</f>
        <v/>
      </c>
      <c r="B206" s="48" t="n"/>
      <c r="C206" s="48" t="n"/>
    </row>
    <row r="207" ht="18" customHeight="1" s="17">
      <c r="A207" s="48">
        <f>IF(Generation!$B9,"      &lt;qtimetadata&gt;","")</f>
        <v/>
      </c>
      <c r="B207" s="48" t="n"/>
      <c r="C207" s="48" t="n"/>
    </row>
    <row r="208" ht="18" customHeight="1" s="17">
      <c r="A208" s="48">
        <f>IF(Generation!$B9,"        &lt;qtimetadatafield&gt;&lt;fieldlabel&gt;ILIAS_VERSION&lt;/fieldlabel&gt;&lt;fieldentry&gt;8&lt;/fieldentry&gt;&lt;/qtimetadatafield&gt;","")</f>
        <v/>
      </c>
      <c r="B208" s="48" t="n"/>
      <c r="C208" s="48" t="n"/>
    </row>
    <row r="209" ht="18" customHeight="1" s="17">
      <c r="A209" s="48">
        <f>IF(Generation!$B9,"        &lt;qtimetadatafield&gt;&lt;fieldlabel&gt;QUESTIONTYPE&lt;/fieldlabel&gt;&lt;fieldentry&gt;"&amp;Generation!$D9&amp;"&lt;/fieldentry&gt;&lt;/qtimetadatafield&gt;","")</f>
        <v/>
      </c>
      <c r="B209" s="48" t="n"/>
      <c r="C209" s="48" t="n"/>
    </row>
    <row r="210" ht="18" customHeight="1" s="17">
      <c r="A210" s="48">
        <f>IF(Generation!$B9,"        &lt;qtimetadatafield&gt;&lt;fieldlabel&gt;AUTHOR&lt;/fieldlabel&gt;&lt;fieldentry&gt;"&amp;Generation!$AR9&amp;"&lt;/fieldentry&gt;&lt;/qtimetadatafield&gt;","")</f>
        <v/>
      </c>
      <c r="B210" s="48" t="n"/>
      <c r="C210" s="48" t="n"/>
    </row>
    <row r="211" ht="18" customHeight="1" s="17">
      <c r="A211" s="48">
        <f>IF(Generation!$B9,"        &lt;qtimetadatafield&gt;&lt;fieldlabel&gt;identicalScoring&lt;/fieldlabel&gt;&lt;fieldentry&gt;1&lt;/fieldentry&gt;&lt;/qtimetadatafield&gt;","")</f>
        <v/>
      </c>
      <c r="B211" s="48" t="n"/>
      <c r="C211" s="48" t="n"/>
    </row>
    <row r="212" ht="18" customHeight="1" s="17">
      <c r="A212" s="48">
        <f>IF(Generation!$B9,"      &lt;/qtimetadata&gt;","")</f>
        <v/>
      </c>
      <c r="B212" s="48" t="n"/>
      <c r="C212" s="48" t="n"/>
    </row>
    <row r="213" ht="18" customHeight="1" s="17">
      <c r="A213" s="48">
        <f>IF(Generation!$B9,"    &lt;/itemmetadata&gt;","")</f>
        <v/>
      </c>
      <c r="B213" s="48" t="n"/>
      <c r="C213" s="48" t="n"/>
    </row>
    <row r="214" ht="18" customHeight="1" s="17">
      <c r="A214" s="48">
        <f>IF(Generation!$B9,"    &lt;presentation label="""&amp;Generation!$F9&amp;"""&gt;","")</f>
        <v/>
      </c>
      <c r="B214" s="48" t="n"/>
      <c r="C214" s="48" t="n"/>
    </row>
    <row r="215" ht="18" customHeight="1" s="17">
      <c r="A215" s="48">
        <f>IF(Generation!$B9,"      &lt;material&gt;&lt;mattext texttype=""text/html""&gt;"&amp;Generation!$G9&amp;"&lt;/mattext&gt;&lt;/material&gt;","")</f>
        <v/>
      </c>
      <c r="B215" s="48" t="n"/>
      <c r="C215" s="48" t="n"/>
    </row>
    <row r="216" ht="18" customHeight="1" s="17">
      <c r="A216" s="48">
        <f>IF(Generation!$B9,"      &lt;response_lid ident=""RESPONSE"" rcardinality="""&amp;Generation!$E9&amp;"""&gt;","")</f>
        <v/>
      </c>
      <c r="B216" s="48" t="n"/>
      <c r="C216" s="48" t="n"/>
    </row>
    <row r="217" ht="18" customHeight="1" s="17">
      <c r="A217" s="48">
        <f>IF(Generation!$B9,"        &lt;render_choice shuffle=""No""&gt;","")</f>
        <v/>
      </c>
      <c r="B217" s="48" t="n"/>
      <c r="C217" s="48" t="n"/>
    </row>
    <row r="218" ht="18" customHeight="1" s="17">
      <c r="A218" s="48">
        <f>IF(Generation!AB9="","",Generation!AB9)</f>
        <v/>
      </c>
      <c r="B218" s="48" t="n"/>
      <c r="C218" s="48" t="n"/>
    </row>
    <row r="219" ht="18" customHeight="1" s="17">
      <c r="A219" s="48">
        <f>IF(Generation!AC9="","",Generation!AC9)</f>
        <v/>
      </c>
      <c r="B219" s="48" t="n"/>
      <c r="C219" s="48" t="n"/>
    </row>
    <row r="220" ht="18" customHeight="1" s="17">
      <c r="A220" s="48">
        <f>IF(Generation!AD9="","",Generation!AD9)</f>
        <v/>
      </c>
      <c r="B220" s="48" t="n"/>
      <c r="C220" s="48" t="n"/>
    </row>
    <row r="221" ht="18" customHeight="1" s="17">
      <c r="A221" s="48">
        <f>IF(Generation!AE9="","",Generation!AE9)</f>
        <v/>
      </c>
      <c r="B221" s="48" t="n"/>
      <c r="C221" s="48" t="n"/>
    </row>
    <row r="222" ht="18" customHeight="1" s="17">
      <c r="A222" s="48">
        <f>IF(Generation!AF9="","",Generation!AF9)</f>
        <v/>
      </c>
      <c r="B222" s="48" t="n"/>
      <c r="C222" s="48" t="n"/>
    </row>
    <row r="223" ht="18" customHeight="1" s="17">
      <c r="A223" s="48">
        <f>IF(Generation!AG9="","",Generation!AG9)</f>
        <v/>
      </c>
      <c r="B223" s="48" t="n"/>
      <c r="C223" s="48" t="n"/>
    </row>
    <row r="224" ht="18" customHeight="1" s="17">
      <c r="A224" s="48">
        <f>IF(Generation!AH9="","",Generation!AH9)</f>
        <v/>
      </c>
      <c r="B224" s="48" t="n"/>
      <c r="C224" s="48" t="n"/>
    </row>
    <row r="225" ht="18" customHeight="1" s="17">
      <c r="A225" s="48">
        <f>IF(Generation!AI9="","",Generation!AI9)</f>
        <v/>
      </c>
      <c r="B225" s="48" t="n"/>
      <c r="C225" s="48" t="n"/>
    </row>
    <row r="226" ht="18" customHeight="1" s="17">
      <c r="A226" s="48">
        <f>IF(Generation!$B9,"        &lt;/render_choice&gt;","")</f>
        <v/>
      </c>
      <c r="B226" s="48" t="n"/>
      <c r="C226" s="48" t="n"/>
    </row>
    <row r="227" ht="18" customHeight="1" s="17">
      <c r="A227" s="48">
        <f>IF(Generation!$B9,"      &lt;/response_lid&gt;","")</f>
        <v/>
      </c>
      <c r="B227" s="48" t="n"/>
      <c r="C227" s="48" t="n"/>
    </row>
    <row r="228" ht="18" customHeight="1" s="17">
      <c r="A228" s="48">
        <f>IF(Generation!$B9,"    &lt;/presentation&gt;","")</f>
        <v/>
      </c>
      <c r="B228" s="48" t="n"/>
      <c r="C228" s="48" t="n"/>
    </row>
    <row r="229" ht="18" customHeight="1" s="17">
      <c r="A229" s="48">
        <f>IF(Generation!$B9,"    &lt;resprocessing&gt;","")</f>
        <v/>
      </c>
      <c r="B229" s="48" t="n"/>
      <c r="C229" s="48" t="n"/>
    </row>
    <row r="230" ht="18" customHeight="1" s="17">
      <c r="A230" s="48">
        <f>IF(Generation!$B9,"      &lt;outcomes&gt;&lt;decvar varname=""SCORE"" vartype=""Decimal"" minvalue=""0"" maxvalue="""&amp;Generation!$H9&amp;"""/&gt;&lt;/outcomes&gt;","")</f>
        <v/>
      </c>
      <c r="B230" s="48" t="n"/>
      <c r="C230" s="48" t="n"/>
    </row>
    <row r="231" ht="18" customHeight="1" s="17">
      <c r="A231" s="48">
        <f>IF(Generation!AJ9="","",Generation!AJ9)</f>
        <v/>
      </c>
      <c r="B231" s="48" t="n"/>
      <c r="C231" s="48" t="n"/>
    </row>
    <row r="232" ht="18" customHeight="1" s="17">
      <c r="A232" s="48">
        <f>IF(Generation!AK9="","",Generation!AK9)</f>
        <v/>
      </c>
      <c r="B232" s="48" t="n"/>
      <c r="C232" s="48" t="n"/>
    </row>
    <row r="233" ht="18" customHeight="1" s="17">
      <c r="A233" s="48">
        <f>IF(Generation!AL9="","",Generation!AL9)</f>
        <v/>
      </c>
      <c r="B233" s="48" t="n"/>
      <c r="C233" s="48" t="n"/>
    </row>
    <row r="234" ht="18" customHeight="1" s="17">
      <c r="A234" s="48">
        <f>IF(Generation!AM9="","",Generation!AM9)</f>
        <v/>
      </c>
      <c r="B234" s="48" t="n"/>
      <c r="C234" s="48" t="n"/>
    </row>
    <row r="235" ht="18" customHeight="1" s="17">
      <c r="A235" s="48">
        <f>IF(Generation!AN9="","",Generation!AN9)</f>
        <v/>
      </c>
      <c r="B235" s="48" t="n"/>
      <c r="C235" s="48" t="n"/>
    </row>
    <row r="236" ht="18" customHeight="1" s="17">
      <c r="A236" s="48">
        <f>IF(Generation!AO9="","",Generation!AO9)</f>
        <v/>
      </c>
      <c r="B236" s="48" t="n"/>
      <c r="C236" s="48" t="n"/>
    </row>
    <row r="237" ht="18" customHeight="1" s="17">
      <c r="A237" s="48">
        <f>IF(Generation!AP9="","",Generation!AP9)</f>
        <v/>
      </c>
      <c r="B237" s="48" t="n"/>
      <c r="C237" s="48" t="n"/>
    </row>
    <row r="238" ht="18" customHeight="1" s="17">
      <c r="A238" s="48">
        <f>IF(Generation!AQ9="","",Generation!AQ9)</f>
        <v/>
      </c>
      <c r="B238" s="48" t="n"/>
      <c r="C238" s="48" t="n"/>
    </row>
    <row r="239" ht="18" customHeight="1" s="17">
      <c r="A239" s="48">
        <f>IF(Generation!$B9,"    &lt;/resprocessing&gt;","")</f>
        <v/>
      </c>
      <c r="B239" s="48" t="n"/>
      <c r="C239" s="48" t="n"/>
    </row>
    <row r="240" ht="18" customHeight="1" s="17">
      <c r="A240" s="48">
        <f>IF(Generation!BB9="","",Generation!BB9)</f>
        <v/>
      </c>
      <c r="B240" s="48" t="n"/>
      <c r="C240" s="48" t="n"/>
    </row>
    <row r="241" ht="18" customHeight="1" s="17">
      <c r="A241" s="48">
        <f>IF(Generation!BC9="","",Generation!BC9)</f>
        <v/>
      </c>
      <c r="B241" s="48" t="n"/>
      <c r="C241" s="48" t="n"/>
    </row>
    <row r="242" ht="18" customHeight="1" s="17">
      <c r="A242" s="48">
        <f>IF(Generation!BD9="","",Generation!BD9)</f>
        <v/>
      </c>
      <c r="B242" s="48" t="n"/>
      <c r="C242" s="48" t="n"/>
    </row>
    <row r="243" ht="18" customHeight="1" s="17">
      <c r="A243" s="48">
        <f>IF(Generation!BE9="","",Generation!BE9)</f>
        <v/>
      </c>
      <c r="B243" s="48" t="n"/>
      <c r="C243" s="48" t="n"/>
    </row>
    <row r="244" ht="18" customHeight="1" s="17">
      <c r="A244" s="48">
        <f>IF(Generation!BF9="","",Generation!BF9)</f>
        <v/>
      </c>
      <c r="B244" s="48" t="n"/>
      <c r="C244" s="48" t="n"/>
    </row>
    <row r="245" ht="18" customHeight="1" s="17">
      <c r="A245" s="48">
        <f>IF(Generation!BG9="","",Generation!BG9)</f>
        <v/>
      </c>
      <c r="B245" s="48" t="n"/>
      <c r="C245" s="48" t="n"/>
    </row>
    <row r="246" ht="18" customHeight="1" s="17">
      <c r="A246" s="48">
        <f>IF(Generation!BH9="","",Generation!BH9)</f>
        <v/>
      </c>
      <c r="B246" s="48" t="n"/>
      <c r="C246" s="48" t="n"/>
    </row>
    <row r="247" ht="18" customHeight="1" s="17">
      <c r="A247" s="48">
        <f>IF(Generation!BI9="","",Generation!BI9)</f>
        <v/>
      </c>
      <c r="B247" s="48" t="n"/>
      <c r="C247" s="48" t="n"/>
    </row>
    <row r="248" ht="18" customHeight="1" s="17">
      <c r="A248" s="48">
        <f>IF(Generation!BJ9="","",Generation!BJ9)</f>
        <v/>
      </c>
      <c r="B248" s="48" t="n"/>
      <c r="C248" s="48" t="n"/>
    </row>
    <row r="249" ht="18" customHeight="1" s="17">
      <c r="A249" s="48">
        <f>IF(Generation!$B9,"  &lt;/item&gt;","")</f>
        <v/>
      </c>
      <c r="B249" s="48" t="n"/>
      <c r="C249" s="48" t="n"/>
    </row>
    <row r="250" ht="18" customHeight="1" s="17">
      <c r="A250" s="48">
        <f>""</f>
        <v/>
      </c>
      <c r="B250" s="48" t="n"/>
      <c r="C250" s="48" t="n"/>
    </row>
    <row r="251" ht="18" customHeight="1" s="17">
      <c r="A251" s="48">
        <f>""</f>
        <v/>
      </c>
      <c r="B251" s="48" t="n"/>
      <c r="C251" s="48" t="n"/>
    </row>
    <row r="252" ht="18" customHeight="1" s="17">
      <c r="A252" s="48">
        <f>""</f>
        <v/>
      </c>
      <c r="B252" s="48" t="n"/>
      <c r="C252" s="48" t="n"/>
    </row>
    <row r="253" ht="18" customHeight="1" s="17">
      <c r="A253" s="48">
        <f>""</f>
        <v/>
      </c>
      <c r="B253" s="48" t="n"/>
      <c r="C253" s="48" t="n"/>
    </row>
    <row r="254" ht="18" customHeight="1" s="17">
      <c r="A254" s="48">
        <f>IF(Generation!$B10,"  &lt;item ident=""il_0_qst_"&amp;TEXT(Generation!$A10,"000")&amp;""" title="""&amp;Generation!$F10&amp;"""&gt;","")</f>
        <v/>
      </c>
      <c r="B254" s="48" t="n"/>
      <c r="C254" s="48" t="n"/>
    </row>
    <row r="255" ht="18" customHeight="1" s="17">
      <c r="A255" s="48">
        <f>IF(Generation!$B10,"    &lt;duration&gt;P0Y0M0DT0H1M0S&lt;/duration&gt;","")</f>
        <v/>
      </c>
      <c r="B255" s="48" t="n"/>
      <c r="C255" s="48" t="n"/>
    </row>
    <row r="256" ht="18" customHeight="1" s="17">
      <c r="A256" s="48">
        <f>IF(Generation!$B10,"    &lt;itemmetadata&gt;","")</f>
        <v/>
      </c>
      <c r="B256" s="48" t="n"/>
      <c r="C256" s="48" t="n"/>
    </row>
    <row r="257" ht="18" customHeight="1" s="17">
      <c r="A257" s="48">
        <f>IF(Generation!$B10,"      &lt;qtimetadata&gt;","")</f>
        <v/>
      </c>
      <c r="B257" s="48" t="n"/>
      <c r="C257" s="48" t="n"/>
    </row>
    <row r="258" ht="18" customHeight="1" s="17">
      <c r="A258" s="48">
        <f>IF(Generation!$B10,"        &lt;qtimetadatafield&gt;&lt;fieldlabel&gt;ILIAS_VERSION&lt;/fieldlabel&gt;&lt;fieldentry&gt;8&lt;/fieldentry&gt;&lt;/qtimetadatafield&gt;","")</f>
        <v/>
      </c>
      <c r="B258" s="48" t="n"/>
      <c r="C258" s="48" t="n"/>
    </row>
    <row r="259" ht="18" customHeight="1" s="17">
      <c r="A259" s="48">
        <f>IF(Generation!$B10,"        &lt;qtimetadatafield&gt;&lt;fieldlabel&gt;QUESTIONTYPE&lt;/fieldlabel&gt;&lt;fieldentry&gt;"&amp;Generation!$D10&amp;"&lt;/fieldentry&gt;&lt;/qtimetadatafield&gt;","")</f>
        <v/>
      </c>
      <c r="B259" s="48" t="n"/>
      <c r="C259" s="48" t="n"/>
    </row>
    <row r="260" ht="18" customHeight="1" s="17">
      <c r="A260" s="48">
        <f>IF(Generation!$B10,"        &lt;qtimetadatafield&gt;&lt;fieldlabel&gt;AUTHOR&lt;/fieldlabel&gt;&lt;fieldentry&gt;"&amp;Generation!$AR10&amp;"&lt;/fieldentry&gt;&lt;/qtimetadatafield&gt;","")</f>
        <v/>
      </c>
      <c r="B260" s="48" t="n"/>
      <c r="C260" s="48" t="n"/>
    </row>
    <row r="261" ht="18" customHeight="1" s="17">
      <c r="A261" s="48">
        <f>IF(Generation!$B10,"        &lt;qtimetadatafield&gt;&lt;fieldlabel&gt;identicalScoring&lt;/fieldlabel&gt;&lt;fieldentry&gt;1&lt;/fieldentry&gt;&lt;/qtimetadatafield&gt;","")</f>
        <v/>
      </c>
      <c r="B261" s="48" t="n"/>
      <c r="C261" s="48" t="n"/>
    </row>
    <row r="262" ht="18" customHeight="1" s="17">
      <c r="A262" s="48">
        <f>IF(Generation!$B10,"      &lt;/qtimetadata&gt;","")</f>
        <v/>
      </c>
      <c r="B262" s="48" t="n"/>
      <c r="C262" s="48" t="n"/>
    </row>
    <row r="263" ht="18" customHeight="1" s="17">
      <c r="A263" s="48">
        <f>IF(Generation!$B10,"    &lt;/itemmetadata&gt;","")</f>
        <v/>
      </c>
      <c r="B263" s="48" t="n"/>
      <c r="C263" s="48" t="n"/>
    </row>
    <row r="264" ht="18" customHeight="1" s="17">
      <c r="A264" s="48">
        <f>IF(Generation!$B10,"    &lt;presentation label="""&amp;Generation!$F10&amp;"""&gt;","")</f>
        <v/>
      </c>
      <c r="B264" s="48" t="n"/>
      <c r="C264" s="48" t="n"/>
    </row>
    <row r="265" ht="18" customHeight="1" s="17">
      <c r="A265" s="48">
        <f>IF(Generation!$B10,"      &lt;material&gt;&lt;mattext texttype=""text/html""&gt;"&amp;Generation!$G10&amp;"&lt;/mattext&gt;&lt;/material&gt;","")</f>
        <v/>
      </c>
      <c r="B265" s="48" t="n"/>
      <c r="C265" s="48" t="n"/>
    </row>
    <row r="266" ht="18" customHeight="1" s="17">
      <c r="A266" s="48">
        <f>IF(Generation!$B10,"      &lt;response_lid ident=""RESPONSE"" rcardinality="""&amp;Generation!$E10&amp;"""&gt;","")</f>
        <v/>
      </c>
      <c r="B266" s="48" t="n"/>
      <c r="C266" s="48" t="n"/>
    </row>
    <row r="267" ht="18" customHeight="1" s="17">
      <c r="A267" s="48">
        <f>IF(Generation!$B10,"        &lt;render_choice shuffle=""No""&gt;","")</f>
        <v/>
      </c>
      <c r="B267" s="48" t="n"/>
      <c r="C267" s="48" t="n"/>
    </row>
    <row r="268" ht="18" customHeight="1" s="17">
      <c r="A268" s="48">
        <f>IF(Generation!AB10="","",Generation!AB10)</f>
        <v/>
      </c>
      <c r="B268" s="48" t="n"/>
      <c r="C268" s="48" t="n"/>
    </row>
    <row r="269" ht="18" customHeight="1" s="17">
      <c r="A269" s="48">
        <f>IF(Generation!AC10="","",Generation!AC10)</f>
        <v/>
      </c>
      <c r="B269" s="48" t="n"/>
      <c r="C269" s="48" t="n"/>
    </row>
    <row r="270" ht="18" customHeight="1" s="17">
      <c r="A270" s="48">
        <f>IF(Generation!AD10="","",Generation!AD10)</f>
        <v/>
      </c>
      <c r="B270" s="48" t="n"/>
      <c r="C270" s="48" t="n"/>
    </row>
    <row r="271" ht="18" customHeight="1" s="17">
      <c r="A271" s="48">
        <f>IF(Generation!AE10="","",Generation!AE10)</f>
        <v/>
      </c>
      <c r="B271" s="48" t="n"/>
      <c r="C271" s="48" t="n"/>
    </row>
    <row r="272" ht="18" customHeight="1" s="17">
      <c r="A272" s="48">
        <f>IF(Generation!AF10="","",Generation!AF10)</f>
        <v/>
      </c>
      <c r="B272" s="48" t="n"/>
      <c r="C272" s="48" t="n"/>
    </row>
    <row r="273" ht="18" customHeight="1" s="17">
      <c r="A273" s="48">
        <f>IF(Generation!AG10="","",Generation!AG10)</f>
        <v/>
      </c>
      <c r="B273" s="48" t="n"/>
      <c r="C273" s="48" t="n"/>
    </row>
    <row r="274" ht="18" customHeight="1" s="17">
      <c r="A274" s="48">
        <f>IF(Generation!AH10="","",Generation!AH10)</f>
        <v/>
      </c>
      <c r="B274" s="48" t="n"/>
      <c r="C274" s="48" t="n"/>
    </row>
    <row r="275" ht="18" customHeight="1" s="17">
      <c r="A275" s="48">
        <f>IF(Generation!AI10="","",Generation!AI10)</f>
        <v/>
      </c>
      <c r="B275" s="48" t="n"/>
      <c r="C275" s="48" t="n"/>
    </row>
    <row r="276" ht="18" customHeight="1" s="17">
      <c r="A276" s="48">
        <f>IF(Generation!$B10,"        &lt;/render_choice&gt;","")</f>
        <v/>
      </c>
      <c r="B276" s="48" t="n"/>
      <c r="C276" s="48" t="n"/>
    </row>
    <row r="277" ht="18" customHeight="1" s="17">
      <c r="A277" s="48">
        <f>IF(Generation!$B10,"      &lt;/response_lid&gt;","")</f>
        <v/>
      </c>
      <c r="B277" s="48" t="n"/>
      <c r="C277" s="48" t="n"/>
    </row>
    <row r="278" ht="18" customHeight="1" s="17">
      <c r="A278" s="48">
        <f>IF(Generation!$B10,"    &lt;/presentation&gt;","")</f>
        <v/>
      </c>
      <c r="B278" s="48" t="n"/>
      <c r="C278" s="48" t="n"/>
    </row>
    <row r="279" ht="18" customHeight="1" s="17">
      <c r="A279" s="48">
        <f>IF(Generation!$B10,"    &lt;resprocessing&gt;","")</f>
        <v/>
      </c>
      <c r="B279" s="48" t="n"/>
      <c r="C279" s="48" t="n"/>
    </row>
    <row r="280" ht="18" customHeight="1" s="17">
      <c r="A280" s="48">
        <f>IF(Generation!$B10,"      &lt;outcomes&gt;&lt;decvar varname=""SCORE"" vartype=""Decimal"" minvalue=""0"" maxvalue="""&amp;Generation!$H10&amp;"""/&gt;&lt;/outcomes&gt;","")</f>
        <v/>
      </c>
      <c r="B280" s="48" t="n"/>
      <c r="C280" s="48" t="n"/>
    </row>
    <row r="281" ht="18" customHeight="1" s="17">
      <c r="A281" s="48">
        <f>IF(Generation!AJ10="","",Generation!AJ10)</f>
        <v/>
      </c>
      <c r="B281" s="48" t="n"/>
      <c r="C281" s="48" t="n"/>
    </row>
    <row r="282" ht="18" customHeight="1" s="17">
      <c r="A282" s="48">
        <f>IF(Generation!AK10="","",Generation!AK10)</f>
        <v/>
      </c>
      <c r="B282" s="48" t="n"/>
      <c r="C282" s="48" t="n"/>
    </row>
    <row r="283" ht="18" customHeight="1" s="17">
      <c r="A283" s="48">
        <f>IF(Generation!AL10="","",Generation!AL10)</f>
        <v/>
      </c>
      <c r="B283" s="48" t="n"/>
      <c r="C283" s="48" t="n"/>
    </row>
    <row r="284" ht="18" customHeight="1" s="17">
      <c r="A284" s="48">
        <f>IF(Generation!AM10="","",Generation!AM10)</f>
        <v/>
      </c>
      <c r="B284" s="48" t="n"/>
      <c r="C284" s="48" t="n"/>
    </row>
    <row r="285" ht="18" customHeight="1" s="17">
      <c r="A285" s="48">
        <f>IF(Generation!AN10="","",Generation!AN10)</f>
        <v/>
      </c>
      <c r="B285" s="48" t="n"/>
      <c r="C285" s="48" t="n"/>
    </row>
    <row r="286" ht="18" customHeight="1" s="17">
      <c r="A286" s="48">
        <f>IF(Generation!AO10="","",Generation!AO10)</f>
        <v/>
      </c>
      <c r="B286" s="48" t="n"/>
      <c r="C286" s="48" t="n"/>
    </row>
    <row r="287" ht="18" customHeight="1" s="17">
      <c r="A287" s="48">
        <f>IF(Generation!AP10="","",Generation!AP10)</f>
        <v/>
      </c>
      <c r="B287" s="48" t="n"/>
      <c r="C287" s="48" t="n"/>
    </row>
    <row r="288" ht="18" customHeight="1" s="17">
      <c r="A288" s="48">
        <f>IF(Generation!AQ10="","",Generation!AQ10)</f>
        <v/>
      </c>
      <c r="B288" s="48" t="n"/>
      <c r="C288" s="48" t="n"/>
    </row>
    <row r="289" ht="18" customHeight="1" s="17">
      <c r="A289" s="48">
        <f>IF(Generation!$B10,"    &lt;/resprocessing&gt;","")</f>
        <v/>
      </c>
      <c r="B289" s="48" t="n"/>
      <c r="C289" s="48" t="n"/>
    </row>
    <row r="290" ht="18" customHeight="1" s="17">
      <c r="A290" s="48">
        <f>IF(Generation!BB10="","",Generation!BB10)</f>
        <v/>
      </c>
      <c r="B290" s="48" t="n"/>
      <c r="C290" s="48" t="n"/>
    </row>
    <row r="291" ht="18" customHeight="1" s="17">
      <c r="A291" s="48">
        <f>IF(Generation!BC10="","",Generation!BC10)</f>
        <v/>
      </c>
      <c r="B291" s="48" t="n"/>
      <c r="C291" s="48" t="n"/>
    </row>
    <row r="292" ht="18" customHeight="1" s="17">
      <c r="A292" s="48">
        <f>IF(Generation!BD10="","",Generation!BD10)</f>
        <v/>
      </c>
      <c r="B292" s="48" t="n"/>
      <c r="C292" s="48" t="n"/>
    </row>
    <row r="293" ht="18" customHeight="1" s="17">
      <c r="A293" s="48">
        <f>IF(Generation!BE10="","",Generation!BE10)</f>
        <v/>
      </c>
      <c r="B293" s="48" t="n"/>
      <c r="C293" s="48" t="n"/>
    </row>
    <row r="294" ht="18" customHeight="1" s="17">
      <c r="A294" s="48">
        <f>IF(Generation!BF10="","",Generation!BF10)</f>
        <v/>
      </c>
      <c r="B294" s="48" t="n"/>
      <c r="C294" s="48" t="n"/>
    </row>
    <row r="295" ht="18" customHeight="1" s="17">
      <c r="A295" s="48">
        <f>IF(Generation!BG10="","",Generation!BG10)</f>
        <v/>
      </c>
      <c r="B295" s="48" t="n"/>
      <c r="C295" s="48" t="n"/>
    </row>
    <row r="296" ht="18" customHeight="1" s="17">
      <c r="A296" s="48">
        <f>IF(Generation!BH10="","",Generation!BH10)</f>
        <v/>
      </c>
      <c r="B296" s="48" t="n"/>
      <c r="C296" s="48" t="n"/>
    </row>
    <row r="297" ht="18" customHeight="1" s="17">
      <c r="A297" s="48">
        <f>IF(Generation!BI10="","",Generation!BI10)</f>
        <v/>
      </c>
      <c r="B297" s="48" t="n"/>
      <c r="C297" s="48" t="n"/>
    </row>
    <row r="298" ht="18" customHeight="1" s="17">
      <c r="A298" s="48">
        <f>IF(Generation!BJ10="","",Generation!BJ10)</f>
        <v/>
      </c>
      <c r="B298" s="48" t="n"/>
      <c r="C298" s="48" t="n"/>
    </row>
    <row r="299" ht="18" customHeight="1" s="17">
      <c r="A299" s="48">
        <f>IF(Generation!$B10,"  &lt;/item&gt;","")</f>
        <v/>
      </c>
      <c r="B299" s="48" t="n"/>
      <c r="C299" s="48" t="n"/>
    </row>
    <row r="300" ht="18" customHeight="1" s="17">
      <c r="A300" s="48">
        <f>""</f>
        <v/>
      </c>
      <c r="B300" s="48" t="n"/>
      <c r="C300" s="48" t="n"/>
    </row>
    <row r="301" ht="18" customHeight="1" s="17">
      <c r="A301" s="48">
        <f>""</f>
        <v/>
      </c>
      <c r="B301" s="48" t="n"/>
      <c r="C301" s="48" t="n"/>
    </row>
    <row r="302" ht="18" customHeight="1" s="17">
      <c r="A302" s="48">
        <f>""</f>
        <v/>
      </c>
      <c r="B302" s="48" t="n"/>
      <c r="C302" s="48" t="n"/>
    </row>
    <row r="303" ht="18" customHeight="1" s="17">
      <c r="A303" s="48">
        <f>""</f>
        <v/>
      </c>
      <c r="B303" s="48" t="n"/>
      <c r="C303" s="48" t="n"/>
    </row>
    <row r="304" ht="18" customHeight="1" s="17">
      <c r="A304" s="48">
        <f>IF(Generation!$B11,"  &lt;item ident=""il_0_qst_"&amp;TEXT(Generation!$A11,"000")&amp;""" title="""&amp;Generation!$F11&amp;"""&gt;","")</f>
        <v/>
      </c>
      <c r="B304" s="48" t="n"/>
      <c r="C304" s="48" t="n"/>
    </row>
    <row r="305" ht="18" customHeight="1" s="17">
      <c r="A305" s="48">
        <f>IF(Generation!$B11,"    &lt;duration&gt;P0Y0M0DT0H1M0S&lt;/duration&gt;","")</f>
        <v/>
      </c>
      <c r="B305" s="48" t="n"/>
      <c r="C305" s="48" t="n"/>
    </row>
    <row r="306" ht="18" customHeight="1" s="17">
      <c r="A306" s="48">
        <f>IF(Generation!$B11,"    &lt;itemmetadata&gt;","")</f>
        <v/>
      </c>
      <c r="B306" s="48" t="n"/>
      <c r="C306" s="48" t="n"/>
    </row>
    <row r="307" ht="18" customHeight="1" s="17">
      <c r="A307" s="48">
        <f>IF(Generation!$B11,"      &lt;qtimetadata&gt;","")</f>
        <v/>
      </c>
      <c r="B307" s="48" t="n"/>
      <c r="C307" s="48" t="n"/>
    </row>
    <row r="308" ht="18" customHeight="1" s="17">
      <c r="A308" s="48">
        <f>IF(Generation!$B11,"        &lt;qtimetadatafield&gt;&lt;fieldlabel&gt;ILIAS_VERSION&lt;/fieldlabel&gt;&lt;fieldentry&gt;8&lt;/fieldentry&gt;&lt;/qtimetadatafield&gt;","")</f>
        <v/>
      </c>
      <c r="B308" s="48" t="n"/>
      <c r="C308" s="48" t="n"/>
    </row>
    <row r="309" ht="18" customHeight="1" s="17">
      <c r="A309" s="48">
        <f>IF(Generation!$B11,"        &lt;qtimetadatafield&gt;&lt;fieldlabel&gt;QUESTIONTYPE&lt;/fieldlabel&gt;&lt;fieldentry&gt;"&amp;Generation!$D11&amp;"&lt;/fieldentry&gt;&lt;/qtimetadatafield&gt;","")</f>
        <v/>
      </c>
      <c r="B309" s="48" t="n"/>
      <c r="C309" s="48" t="n"/>
    </row>
    <row r="310" ht="18" customHeight="1" s="17">
      <c r="A310" s="48">
        <f>IF(Generation!$B11,"        &lt;qtimetadatafield&gt;&lt;fieldlabel&gt;AUTHOR&lt;/fieldlabel&gt;&lt;fieldentry&gt;"&amp;Generation!$AR11&amp;"&lt;/fieldentry&gt;&lt;/qtimetadatafield&gt;","")</f>
        <v/>
      </c>
      <c r="B310" s="48" t="n"/>
      <c r="C310" s="48" t="n"/>
    </row>
    <row r="311" ht="18" customHeight="1" s="17">
      <c r="A311" s="48">
        <f>IF(Generation!$B11,"        &lt;qtimetadatafield&gt;&lt;fieldlabel&gt;identicalScoring&lt;/fieldlabel&gt;&lt;fieldentry&gt;1&lt;/fieldentry&gt;&lt;/qtimetadatafield&gt;","")</f>
        <v/>
      </c>
      <c r="B311" s="48" t="n"/>
      <c r="C311" s="48" t="n"/>
    </row>
    <row r="312" ht="18" customHeight="1" s="17">
      <c r="A312" s="48">
        <f>IF(Generation!$B11,"      &lt;/qtimetadata&gt;","")</f>
        <v/>
      </c>
      <c r="B312" s="48" t="n"/>
      <c r="C312" s="48" t="n"/>
    </row>
    <row r="313" ht="18" customHeight="1" s="17">
      <c r="A313" s="48">
        <f>IF(Generation!$B11,"    &lt;/itemmetadata&gt;","")</f>
        <v/>
      </c>
      <c r="B313" s="48" t="n"/>
      <c r="C313" s="48" t="n"/>
    </row>
    <row r="314" ht="18" customHeight="1" s="17">
      <c r="A314" s="48">
        <f>IF(Generation!$B11,"    &lt;presentation label="""&amp;Generation!$F11&amp;"""&gt;","")</f>
        <v/>
      </c>
      <c r="B314" s="48" t="n"/>
      <c r="C314" s="48" t="n"/>
    </row>
    <row r="315" ht="18" customHeight="1" s="17">
      <c r="A315" s="48">
        <f>IF(Generation!$B11,"      &lt;material&gt;&lt;mattext texttype=""text/html""&gt;"&amp;Generation!$G11&amp;"&lt;/mattext&gt;&lt;/material&gt;","")</f>
        <v/>
      </c>
      <c r="B315" s="48" t="n"/>
      <c r="C315" s="48" t="n"/>
    </row>
    <row r="316" ht="18" customHeight="1" s="17">
      <c r="A316" s="48">
        <f>IF(Generation!$B11,"      &lt;response_lid ident=""RESPONSE"" rcardinality="""&amp;Generation!$E11&amp;"""&gt;","")</f>
        <v/>
      </c>
      <c r="B316" s="48" t="n"/>
      <c r="C316" s="48" t="n"/>
    </row>
    <row r="317" ht="18" customHeight="1" s="17">
      <c r="A317" s="48">
        <f>IF(Generation!$B11,"        &lt;render_choice shuffle=""No""&gt;","")</f>
        <v/>
      </c>
      <c r="B317" s="48" t="n"/>
      <c r="C317" s="48" t="n"/>
    </row>
    <row r="318" ht="18" customHeight="1" s="17">
      <c r="A318" s="48">
        <f>IF(Generation!AB11="","",Generation!AB11)</f>
        <v/>
      </c>
      <c r="B318" s="48" t="n"/>
      <c r="C318" s="48" t="n"/>
    </row>
    <row r="319" ht="18" customHeight="1" s="17">
      <c r="A319" s="48">
        <f>IF(Generation!AC11="","",Generation!AC11)</f>
        <v/>
      </c>
      <c r="B319" s="48" t="n"/>
      <c r="C319" s="48" t="n"/>
    </row>
    <row r="320" ht="18" customHeight="1" s="17">
      <c r="A320" s="48">
        <f>IF(Generation!AD11="","",Generation!AD11)</f>
        <v/>
      </c>
      <c r="B320" s="48" t="n"/>
      <c r="C320" s="48" t="n"/>
    </row>
    <row r="321" ht="18" customHeight="1" s="17">
      <c r="A321" s="48">
        <f>IF(Generation!AE11="","",Generation!AE11)</f>
        <v/>
      </c>
      <c r="B321" s="48" t="n"/>
      <c r="C321" s="48" t="n"/>
    </row>
    <row r="322" ht="18" customHeight="1" s="17">
      <c r="A322" s="48">
        <f>IF(Generation!AF11="","",Generation!AF11)</f>
        <v/>
      </c>
      <c r="B322" s="48" t="n"/>
      <c r="C322" s="48" t="n"/>
    </row>
    <row r="323" ht="18" customHeight="1" s="17">
      <c r="A323" s="48">
        <f>IF(Generation!AG11="","",Generation!AG11)</f>
        <v/>
      </c>
      <c r="B323" s="48" t="n"/>
      <c r="C323" s="48" t="n"/>
    </row>
    <row r="324" ht="18" customHeight="1" s="17">
      <c r="A324" s="48">
        <f>IF(Generation!AH11="","",Generation!AH11)</f>
        <v/>
      </c>
      <c r="B324" s="48" t="n"/>
      <c r="C324" s="48" t="n"/>
    </row>
    <row r="325" ht="18" customHeight="1" s="17">
      <c r="A325" s="48">
        <f>IF(Generation!AI11="","",Generation!AI11)</f>
        <v/>
      </c>
      <c r="B325" s="48" t="n"/>
      <c r="C325" s="48" t="n"/>
    </row>
    <row r="326" ht="18" customHeight="1" s="17">
      <c r="A326" s="48">
        <f>IF(Generation!$B11,"        &lt;/render_choice&gt;","")</f>
        <v/>
      </c>
      <c r="B326" s="48" t="n"/>
      <c r="C326" s="48" t="n"/>
    </row>
    <row r="327" ht="18" customHeight="1" s="17">
      <c r="A327" s="48">
        <f>IF(Generation!$B11,"      &lt;/response_lid&gt;","")</f>
        <v/>
      </c>
      <c r="B327" s="48" t="n"/>
      <c r="C327" s="48" t="n"/>
    </row>
    <row r="328" ht="18" customHeight="1" s="17">
      <c r="A328" s="48">
        <f>IF(Generation!$B11,"    &lt;/presentation&gt;","")</f>
        <v/>
      </c>
      <c r="B328" s="48" t="n"/>
      <c r="C328" s="48" t="n"/>
    </row>
    <row r="329" ht="18" customHeight="1" s="17">
      <c r="A329" s="48">
        <f>IF(Generation!$B11,"    &lt;resprocessing&gt;","")</f>
        <v/>
      </c>
      <c r="B329" s="48" t="n"/>
      <c r="C329" s="48" t="n"/>
    </row>
    <row r="330" ht="18" customHeight="1" s="17">
      <c r="A330" s="48">
        <f>IF(Generation!$B11,"      &lt;outcomes&gt;&lt;decvar varname=""SCORE"" vartype=""Decimal"" minvalue=""0"" maxvalue="""&amp;Generation!$H11&amp;"""/&gt;&lt;/outcomes&gt;","")</f>
        <v/>
      </c>
      <c r="B330" s="48" t="n"/>
      <c r="C330" s="48" t="n"/>
    </row>
    <row r="331" ht="18" customHeight="1" s="17">
      <c r="A331" s="48">
        <f>IF(Generation!AJ11="","",Generation!AJ11)</f>
        <v/>
      </c>
      <c r="B331" s="48" t="n"/>
      <c r="C331" s="48" t="n"/>
    </row>
    <row r="332" ht="18" customHeight="1" s="17">
      <c r="A332" s="48">
        <f>IF(Generation!AK11="","",Generation!AK11)</f>
        <v/>
      </c>
      <c r="B332" s="48" t="n"/>
      <c r="C332" s="48" t="n"/>
    </row>
    <row r="333" ht="18" customHeight="1" s="17">
      <c r="A333" s="48">
        <f>IF(Generation!AL11="","",Generation!AL11)</f>
        <v/>
      </c>
      <c r="B333" s="48" t="n"/>
      <c r="C333" s="48" t="n"/>
    </row>
    <row r="334" ht="18" customHeight="1" s="17">
      <c r="A334" s="48">
        <f>IF(Generation!AM11="","",Generation!AM11)</f>
        <v/>
      </c>
      <c r="B334" s="48" t="n"/>
      <c r="C334" s="48" t="n"/>
    </row>
    <row r="335" ht="18" customHeight="1" s="17">
      <c r="A335" s="48">
        <f>IF(Generation!AN11="","",Generation!AN11)</f>
        <v/>
      </c>
      <c r="B335" s="48" t="n"/>
      <c r="C335" s="48" t="n"/>
    </row>
    <row r="336" ht="18" customHeight="1" s="17">
      <c r="A336" s="48">
        <f>IF(Generation!AO11="","",Generation!AO11)</f>
        <v/>
      </c>
      <c r="B336" s="48" t="n"/>
      <c r="C336" s="48" t="n"/>
    </row>
    <row r="337" ht="18" customHeight="1" s="17">
      <c r="A337" s="48">
        <f>IF(Generation!AP11="","",Generation!AP11)</f>
        <v/>
      </c>
      <c r="B337" s="48" t="n"/>
      <c r="C337" s="48" t="n"/>
    </row>
    <row r="338" ht="18" customHeight="1" s="17">
      <c r="A338" s="48">
        <f>IF(Generation!AQ11="","",Generation!AQ11)</f>
        <v/>
      </c>
      <c r="B338" s="48" t="n"/>
      <c r="C338" s="48" t="n"/>
    </row>
    <row r="339" ht="18" customHeight="1" s="17">
      <c r="A339" s="48">
        <f>IF(Generation!$B11,"    &lt;/resprocessing&gt;","")</f>
        <v/>
      </c>
      <c r="B339" s="48" t="n"/>
      <c r="C339" s="48" t="n"/>
    </row>
    <row r="340" ht="18" customHeight="1" s="17">
      <c r="A340" s="48">
        <f>IF(Generation!BB11="","",Generation!BB11)</f>
        <v/>
      </c>
      <c r="B340" s="48" t="n"/>
      <c r="C340" s="48" t="n"/>
    </row>
    <row r="341" ht="18" customHeight="1" s="17">
      <c r="A341" s="48">
        <f>IF(Generation!BC11="","",Generation!BC11)</f>
        <v/>
      </c>
      <c r="B341" s="48" t="n"/>
      <c r="C341" s="48" t="n"/>
    </row>
    <row r="342" ht="18" customHeight="1" s="17">
      <c r="A342" s="48">
        <f>IF(Generation!BD11="","",Generation!BD11)</f>
        <v/>
      </c>
      <c r="B342" s="48" t="n"/>
      <c r="C342" s="48" t="n"/>
    </row>
    <row r="343" ht="18" customHeight="1" s="17">
      <c r="A343" s="48">
        <f>IF(Generation!BE11="","",Generation!BE11)</f>
        <v/>
      </c>
      <c r="B343" s="48" t="n"/>
      <c r="C343" s="48" t="n"/>
    </row>
    <row r="344" ht="18" customHeight="1" s="17">
      <c r="A344" s="48">
        <f>IF(Generation!BF11="","",Generation!BF11)</f>
        <v/>
      </c>
      <c r="B344" s="48" t="n"/>
      <c r="C344" s="48" t="n"/>
    </row>
    <row r="345" ht="18" customHeight="1" s="17">
      <c r="A345" s="48">
        <f>IF(Generation!BG11="","",Generation!BG11)</f>
        <v/>
      </c>
      <c r="B345" s="48" t="n"/>
      <c r="C345" s="48" t="n"/>
    </row>
    <row r="346" ht="18" customHeight="1" s="17">
      <c r="A346" s="48">
        <f>IF(Generation!BH11="","",Generation!BH11)</f>
        <v/>
      </c>
      <c r="B346" s="48" t="n"/>
      <c r="C346" s="48" t="n"/>
    </row>
    <row r="347" ht="18" customHeight="1" s="17">
      <c r="A347" s="48">
        <f>IF(Generation!BI11="","",Generation!BI11)</f>
        <v/>
      </c>
      <c r="B347" s="48" t="n"/>
      <c r="C347" s="48" t="n"/>
    </row>
    <row r="348" ht="18" customHeight="1" s="17">
      <c r="A348" s="48">
        <f>IF(Generation!BJ11="","",Generation!BJ11)</f>
        <v/>
      </c>
      <c r="B348" s="48" t="n"/>
      <c r="C348" s="48" t="n"/>
    </row>
    <row r="349" ht="18" customHeight="1" s="17">
      <c r="A349" s="48">
        <f>IF(Generation!$B11,"  &lt;/item&gt;","")</f>
        <v/>
      </c>
      <c r="B349" s="48" t="n"/>
      <c r="C349" s="48" t="n"/>
    </row>
    <row r="350" ht="18" customHeight="1" s="17">
      <c r="A350" s="48">
        <f>""</f>
        <v/>
      </c>
      <c r="B350" s="48" t="n"/>
      <c r="C350" s="48" t="n"/>
    </row>
    <row r="351" ht="18" customHeight="1" s="17">
      <c r="A351" s="48">
        <f>""</f>
        <v/>
      </c>
      <c r="B351" s="48" t="n"/>
      <c r="C351" s="48" t="n"/>
    </row>
    <row r="352" ht="18" customHeight="1" s="17">
      <c r="A352" s="48">
        <f>""</f>
        <v/>
      </c>
      <c r="B352" s="48" t="n"/>
      <c r="C352" s="48" t="n"/>
    </row>
    <row r="353" ht="18" customHeight="1" s="17">
      <c r="A353" s="48">
        <f>""</f>
        <v/>
      </c>
      <c r="B353" s="48" t="n"/>
      <c r="C353" s="48" t="n"/>
    </row>
    <row r="354" ht="18" customHeight="1" s="17">
      <c r="A354" s="48">
        <f>IF(Generation!$B12,"  &lt;item ident=""il_0_qst_"&amp;TEXT(Generation!$A12,"000")&amp;""" title="""&amp;Generation!$F12&amp;"""&gt;","")</f>
        <v/>
      </c>
      <c r="B354" s="48" t="n"/>
      <c r="C354" s="48" t="n"/>
    </row>
    <row r="355" ht="18" customHeight="1" s="17">
      <c r="A355" s="48">
        <f>IF(Generation!$B12,"    &lt;duration&gt;P0Y0M0DT0H1M0S&lt;/duration&gt;","")</f>
        <v/>
      </c>
      <c r="B355" s="48" t="n"/>
      <c r="C355" s="48" t="n"/>
    </row>
    <row r="356" ht="18" customHeight="1" s="17">
      <c r="A356" s="48">
        <f>IF(Generation!$B12,"    &lt;itemmetadata&gt;","")</f>
        <v/>
      </c>
      <c r="B356" s="48" t="n"/>
      <c r="C356" s="48" t="n"/>
    </row>
    <row r="357" ht="18" customHeight="1" s="17">
      <c r="A357" s="48">
        <f>IF(Generation!$B12,"      &lt;qtimetadata&gt;","")</f>
        <v/>
      </c>
      <c r="B357" s="48" t="n"/>
      <c r="C357" s="48" t="n"/>
    </row>
    <row r="358" ht="18" customHeight="1" s="17">
      <c r="A358" s="48">
        <f>IF(Generation!$B12,"        &lt;qtimetadatafield&gt;&lt;fieldlabel&gt;ILIAS_VERSION&lt;/fieldlabel&gt;&lt;fieldentry&gt;8&lt;/fieldentry&gt;&lt;/qtimetadatafield&gt;","")</f>
        <v/>
      </c>
      <c r="B358" s="48" t="n"/>
      <c r="C358" s="48" t="n"/>
    </row>
    <row r="359" ht="18" customHeight="1" s="17">
      <c r="A359" s="48">
        <f>IF(Generation!$B12,"        &lt;qtimetadatafield&gt;&lt;fieldlabel&gt;QUESTIONTYPE&lt;/fieldlabel&gt;&lt;fieldentry&gt;"&amp;Generation!$D12&amp;"&lt;/fieldentry&gt;&lt;/qtimetadatafield&gt;","")</f>
        <v/>
      </c>
      <c r="B359" s="48" t="n"/>
      <c r="C359" s="48" t="n"/>
    </row>
    <row r="360" ht="18" customHeight="1" s="17">
      <c r="A360" s="48">
        <f>IF(Generation!$B12,"        &lt;qtimetadatafield&gt;&lt;fieldlabel&gt;AUTHOR&lt;/fieldlabel&gt;&lt;fieldentry&gt;"&amp;Generation!$AR12&amp;"&lt;/fieldentry&gt;&lt;/qtimetadatafield&gt;","")</f>
        <v/>
      </c>
      <c r="B360" s="48" t="n"/>
      <c r="C360" s="48" t="n"/>
    </row>
    <row r="361" ht="18" customHeight="1" s="17">
      <c r="A361" s="48">
        <f>IF(Generation!$B12,"        &lt;qtimetadatafield&gt;&lt;fieldlabel&gt;identicalScoring&lt;/fieldlabel&gt;&lt;fieldentry&gt;1&lt;/fieldentry&gt;&lt;/qtimetadatafield&gt;","")</f>
        <v/>
      </c>
      <c r="B361" s="48" t="n"/>
      <c r="C361" s="48" t="n"/>
    </row>
    <row r="362" ht="18" customHeight="1" s="17">
      <c r="A362" s="48">
        <f>IF(Generation!$B12,"      &lt;/qtimetadata&gt;","")</f>
        <v/>
      </c>
      <c r="B362" s="48" t="n"/>
      <c r="C362" s="48" t="n"/>
    </row>
    <row r="363" ht="18" customHeight="1" s="17">
      <c r="A363" s="48">
        <f>IF(Generation!$B12,"    &lt;/itemmetadata&gt;","")</f>
        <v/>
      </c>
      <c r="B363" s="48" t="n"/>
      <c r="C363" s="48" t="n"/>
    </row>
    <row r="364" ht="18" customHeight="1" s="17">
      <c r="A364" s="48">
        <f>IF(Generation!$B12,"    &lt;presentation label="""&amp;Generation!$F12&amp;"""&gt;","")</f>
        <v/>
      </c>
      <c r="B364" s="48" t="n"/>
      <c r="C364" s="48" t="n"/>
    </row>
    <row r="365" ht="18" customHeight="1" s="17">
      <c r="A365" s="48">
        <f>IF(Generation!$B12,"      &lt;material&gt;&lt;mattext texttype=""text/html""&gt;"&amp;Generation!$G12&amp;"&lt;/mattext&gt;&lt;/material&gt;","")</f>
        <v/>
      </c>
      <c r="B365" s="48" t="n"/>
      <c r="C365" s="48" t="n"/>
    </row>
    <row r="366" ht="18" customHeight="1" s="17">
      <c r="A366" s="48">
        <f>IF(Generation!$B12,"      &lt;response_lid ident=""RESPONSE"" rcardinality="""&amp;Generation!$E12&amp;"""&gt;","")</f>
        <v/>
      </c>
      <c r="B366" s="48" t="n"/>
      <c r="C366" s="48" t="n"/>
    </row>
    <row r="367" ht="18" customHeight="1" s="17">
      <c r="A367" s="48">
        <f>IF(Generation!$B12,"        &lt;render_choice shuffle=""No""&gt;","")</f>
        <v/>
      </c>
      <c r="B367" s="48" t="n"/>
      <c r="C367" s="48" t="n"/>
    </row>
    <row r="368" ht="18" customHeight="1" s="17">
      <c r="A368" s="48">
        <f>IF(Generation!AB12="","",Generation!AB12)</f>
        <v/>
      </c>
      <c r="B368" s="48" t="n"/>
      <c r="C368" s="48" t="n"/>
    </row>
    <row r="369" ht="18" customHeight="1" s="17">
      <c r="A369" s="48">
        <f>IF(Generation!AC12="","",Generation!AC12)</f>
        <v/>
      </c>
      <c r="B369" s="48" t="n"/>
      <c r="C369" s="48" t="n"/>
    </row>
    <row r="370" ht="18" customHeight="1" s="17">
      <c r="A370" s="48">
        <f>IF(Generation!AD12="","",Generation!AD12)</f>
        <v/>
      </c>
      <c r="B370" s="48" t="n"/>
      <c r="C370" s="48" t="n"/>
    </row>
    <row r="371" ht="18" customHeight="1" s="17">
      <c r="A371" s="48">
        <f>IF(Generation!AE12="","",Generation!AE12)</f>
        <v/>
      </c>
      <c r="B371" s="48" t="n"/>
      <c r="C371" s="48" t="n"/>
    </row>
    <row r="372" ht="18" customHeight="1" s="17">
      <c r="A372" s="48">
        <f>IF(Generation!AF12="","",Generation!AF12)</f>
        <v/>
      </c>
      <c r="B372" s="48" t="n"/>
      <c r="C372" s="48" t="n"/>
    </row>
    <row r="373" ht="18" customHeight="1" s="17">
      <c r="A373" s="48">
        <f>IF(Generation!AG12="","",Generation!AG12)</f>
        <v/>
      </c>
      <c r="B373" s="48" t="n"/>
      <c r="C373" s="48" t="n"/>
    </row>
    <row r="374" ht="18" customHeight="1" s="17">
      <c r="A374" s="48">
        <f>IF(Generation!AH12="","",Generation!AH12)</f>
        <v/>
      </c>
      <c r="B374" s="48" t="n"/>
      <c r="C374" s="48" t="n"/>
    </row>
    <row r="375" ht="18" customHeight="1" s="17">
      <c r="A375" s="48">
        <f>IF(Generation!AI12="","",Generation!AI12)</f>
        <v/>
      </c>
      <c r="B375" s="48" t="n"/>
      <c r="C375" s="48" t="n"/>
    </row>
    <row r="376" ht="18" customHeight="1" s="17">
      <c r="A376" s="48">
        <f>IF(Generation!$B12,"        &lt;/render_choice&gt;","")</f>
        <v/>
      </c>
      <c r="B376" s="48" t="n"/>
      <c r="C376" s="48" t="n"/>
    </row>
    <row r="377" ht="18" customHeight="1" s="17">
      <c r="A377" s="48">
        <f>IF(Generation!$B12,"      &lt;/response_lid&gt;","")</f>
        <v/>
      </c>
      <c r="B377" s="48" t="n"/>
      <c r="C377" s="48" t="n"/>
    </row>
    <row r="378" ht="18" customHeight="1" s="17">
      <c r="A378" s="48">
        <f>IF(Generation!$B12,"    &lt;/presentation&gt;","")</f>
        <v/>
      </c>
      <c r="B378" s="48" t="n"/>
      <c r="C378" s="48" t="n"/>
    </row>
    <row r="379" ht="18" customHeight="1" s="17">
      <c r="A379" s="48">
        <f>IF(Generation!$B12,"    &lt;resprocessing&gt;","")</f>
        <v/>
      </c>
      <c r="B379" s="48" t="n"/>
      <c r="C379" s="48" t="n"/>
    </row>
    <row r="380" ht="18" customHeight="1" s="17">
      <c r="A380" s="48">
        <f>IF(Generation!$B12,"      &lt;outcomes&gt;&lt;decvar varname=""SCORE"" vartype=""Decimal"" minvalue=""0"" maxvalue="""&amp;Generation!$H12&amp;"""/&gt;&lt;/outcomes&gt;","")</f>
        <v/>
      </c>
      <c r="B380" s="48" t="n"/>
      <c r="C380" s="48" t="n"/>
    </row>
    <row r="381" ht="18" customHeight="1" s="17">
      <c r="A381" s="48">
        <f>IF(Generation!AJ12="","",Generation!AJ12)</f>
        <v/>
      </c>
      <c r="B381" s="48" t="n"/>
      <c r="C381" s="48" t="n"/>
    </row>
    <row r="382" ht="18" customHeight="1" s="17">
      <c r="A382" s="48">
        <f>IF(Generation!AK12="","",Generation!AK12)</f>
        <v/>
      </c>
      <c r="B382" s="48" t="n"/>
      <c r="C382" s="48" t="n"/>
    </row>
    <row r="383" ht="18" customHeight="1" s="17">
      <c r="A383" s="48">
        <f>IF(Generation!AL12="","",Generation!AL12)</f>
        <v/>
      </c>
      <c r="B383" s="48" t="n"/>
      <c r="C383" s="48" t="n"/>
    </row>
    <row r="384" ht="18" customHeight="1" s="17">
      <c r="A384" s="48">
        <f>IF(Generation!AM12="","",Generation!AM12)</f>
        <v/>
      </c>
      <c r="B384" s="48" t="n"/>
      <c r="C384" s="48" t="n"/>
    </row>
    <row r="385" ht="18" customHeight="1" s="17">
      <c r="A385" s="48">
        <f>IF(Generation!AN12="","",Generation!AN12)</f>
        <v/>
      </c>
      <c r="B385" s="48" t="n"/>
      <c r="C385" s="48" t="n"/>
    </row>
    <row r="386" ht="18" customHeight="1" s="17">
      <c r="A386" s="48">
        <f>IF(Generation!AO12="","",Generation!AO12)</f>
        <v/>
      </c>
      <c r="B386" s="48" t="n"/>
      <c r="C386" s="48" t="n"/>
    </row>
    <row r="387" ht="18" customHeight="1" s="17">
      <c r="A387" s="48">
        <f>IF(Generation!AP12="","",Generation!AP12)</f>
        <v/>
      </c>
      <c r="B387" s="48" t="n"/>
      <c r="C387" s="48" t="n"/>
    </row>
    <row r="388" ht="18" customHeight="1" s="17">
      <c r="A388" s="48">
        <f>IF(Generation!AQ12="","",Generation!AQ12)</f>
        <v/>
      </c>
      <c r="B388" s="48" t="n"/>
      <c r="C388" s="48" t="n"/>
    </row>
    <row r="389" ht="18" customHeight="1" s="17">
      <c r="A389" s="48">
        <f>IF(Generation!$B12,"    &lt;/resprocessing&gt;","")</f>
        <v/>
      </c>
      <c r="B389" s="48" t="n"/>
      <c r="C389" s="48" t="n"/>
    </row>
    <row r="390" ht="18" customHeight="1" s="17">
      <c r="A390" s="48">
        <f>IF(Generation!BB12="","",Generation!BB12)</f>
        <v/>
      </c>
      <c r="B390" s="48" t="n"/>
      <c r="C390" s="48" t="n"/>
    </row>
    <row r="391" ht="18" customHeight="1" s="17">
      <c r="A391" s="48">
        <f>IF(Generation!BC12="","",Generation!BC12)</f>
        <v/>
      </c>
      <c r="B391" s="48" t="n"/>
      <c r="C391" s="48" t="n"/>
    </row>
    <row r="392" ht="18" customHeight="1" s="17">
      <c r="A392" s="48">
        <f>IF(Generation!BD12="","",Generation!BD12)</f>
        <v/>
      </c>
      <c r="B392" s="48" t="n"/>
      <c r="C392" s="48" t="n"/>
    </row>
    <row r="393" ht="18" customHeight="1" s="17">
      <c r="A393" s="48">
        <f>IF(Generation!BE12="","",Generation!BE12)</f>
        <v/>
      </c>
      <c r="B393" s="48" t="n"/>
      <c r="C393" s="48" t="n"/>
    </row>
    <row r="394" ht="18" customHeight="1" s="17">
      <c r="A394" s="48">
        <f>IF(Generation!BF12="","",Generation!BF12)</f>
        <v/>
      </c>
      <c r="B394" s="48" t="n"/>
      <c r="C394" s="48" t="n"/>
    </row>
    <row r="395" ht="18" customHeight="1" s="17">
      <c r="A395" s="48">
        <f>IF(Generation!BG12="","",Generation!BG12)</f>
        <v/>
      </c>
      <c r="B395" s="48" t="n"/>
      <c r="C395" s="48" t="n"/>
    </row>
    <row r="396" ht="18" customHeight="1" s="17">
      <c r="A396" s="48">
        <f>IF(Generation!BH12="","",Generation!BH12)</f>
        <v/>
      </c>
      <c r="B396" s="48" t="n"/>
      <c r="C396" s="48" t="n"/>
    </row>
    <row r="397" ht="18" customHeight="1" s="17">
      <c r="A397" s="48">
        <f>IF(Generation!BI12="","",Generation!BI12)</f>
        <v/>
      </c>
      <c r="B397" s="48" t="n"/>
      <c r="C397" s="48" t="n"/>
    </row>
    <row r="398" ht="18" customHeight="1" s="17">
      <c r="A398" s="48">
        <f>IF(Generation!BJ12="","",Generation!BJ12)</f>
        <v/>
      </c>
      <c r="B398" s="48" t="n"/>
      <c r="C398" s="48" t="n"/>
    </row>
    <row r="399" ht="18" customHeight="1" s="17">
      <c r="A399" s="48">
        <f>IF(Generation!$B12,"  &lt;/item&gt;","")</f>
        <v/>
      </c>
      <c r="B399" s="48" t="n"/>
      <c r="C399" s="48" t="n"/>
    </row>
    <row r="400" ht="18" customHeight="1" s="17">
      <c r="A400" s="48">
        <f>""</f>
        <v/>
      </c>
      <c r="B400" s="48" t="n"/>
      <c r="C400" s="48" t="n"/>
    </row>
    <row r="401" ht="18" customHeight="1" s="17">
      <c r="A401" s="48">
        <f>""</f>
        <v/>
      </c>
      <c r="B401" s="48" t="n"/>
      <c r="C401" s="48" t="n"/>
    </row>
    <row r="402" ht="18" customHeight="1" s="17">
      <c r="A402" s="48">
        <f>""</f>
        <v/>
      </c>
      <c r="B402" s="48" t="n"/>
      <c r="C402" s="48" t="n"/>
    </row>
    <row r="403" ht="18" customHeight="1" s="17">
      <c r="A403" s="48">
        <f>""</f>
        <v/>
      </c>
      <c r="B403" s="48" t="n"/>
      <c r="C403" s="48" t="n"/>
    </row>
    <row r="404" ht="18" customHeight="1" s="17">
      <c r="A404" s="48">
        <f>IF(Generation!$B13,"  &lt;item ident=""il_0_qst_"&amp;TEXT(Generation!$A13,"000")&amp;""" title="""&amp;Generation!$F13&amp;"""&gt;","")</f>
        <v/>
      </c>
      <c r="B404" s="48" t="n"/>
      <c r="C404" s="48" t="n"/>
    </row>
    <row r="405" ht="18" customHeight="1" s="17">
      <c r="A405" s="48">
        <f>IF(Generation!$B13,"    &lt;duration&gt;P0Y0M0DT0H1M0S&lt;/duration&gt;","")</f>
        <v/>
      </c>
      <c r="B405" s="48" t="n"/>
      <c r="C405" s="48" t="n"/>
    </row>
    <row r="406" ht="18" customHeight="1" s="17">
      <c r="A406" s="48">
        <f>IF(Generation!$B13,"    &lt;itemmetadata&gt;","")</f>
        <v/>
      </c>
      <c r="B406" s="48" t="n"/>
      <c r="C406" s="48" t="n"/>
    </row>
    <row r="407" ht="18" customHeight="1" s="17">
      <c r="A407" s="48">
        <f>IF(Generation!$B13,"      &lt;qtimetadata&gt;","")</f>
        <v/>
      </c>
      <c r="B407" s="48" t="n"/>
      <c r="C407" s="48" t="n"/>
    </row>
    <row r="408" ht="18" customHeight="1" s="17">
      <c r="A408" s="48">
        <f>IF(Generation!$B13,"        &lt;qtimetadatafield&gt;&lt;fieldlabel&gt;ILIAS_VERSION&lt;/fieldlabel&gt;&lt;fieldentry&gt;8&lt;/fieldentry&gt;&lt;/qtimetadatafield&gt;","")</f>
        <v/>
      </c>
      <c r="B408" s="48" t="n"/>
      <c r="C408" s="48" t="n"/>
    </row>
    <row r="409" ht="18" customHeight="1" s="17">
      <c r="A409" s="48">
        <f>IF(Generation!$B13,"        &lt;qtimetadatafield&gt;&lt;fieldlabel&gt;QUESTIONTYPE&lt;/fieldlabel&gt;&lt;fieldentry&gt;"&amp;Generation!$D13&amp;"&lt;/fieldentry&gt;&lt;/qtimetadatafield&gt;","")</f>
        <v/>
      </c>
      <c r="B409" s="48" t="n"/>
      <c r="C409" s="48" t="n"/>
    </row>
    <row r="410" ht="18" customHeight="1" s="17">
      <c r="A410" s="48">
        <f>IF(Generation!$B13,"        &lt;qtimetadatafield&gt;&lt;fieldlabel&gt;AUTHOR&lt;/fieldlabel&gt;&lt;fieldentry&gt;"&amp;Generation!$AR13&amp;"&lt;/fieldentry&gt;&lt;/qtimetadatafield&gt;","")</f>
        <v/>
      </c>
      <c r="B410" s="48" t="n"/>
      <c r="C410" s="48" t="n"/>
    </row>
    <row r="411" ht="18" customHeight="1" s="17">
      <c r="A411" s="48">
        <f>IF(Generation!$B13,"        &lt;qtimetadatafield&gt;&lt;fieldlabel&gt;identicalScoring&lt;/fieldlabel&gt;&lt;fieldentry&gt;1&lt;/fieldentry&gt;&lt;/qtimetadatafield&gt;","")</f>
        <v/>
      </c>
      <c r="B411" s="48" t="n"/>
      <c r="C411" s="48" t="n"/>
    </row>
    <row r="412" ht="18" customHeight="1" s="17">
      <c r="A412" s="48">
        <f>IF(Generation!$B13,"      &lt;/qtimetadata&gt;","")</f>
        <v/>
      </c>
      <c r="B412" s="48" t="n"/>
      <c r="C412" s="48" t="n"/>
    </row>
    <row r="413" ht="18" customHeight="1" s="17">
      <c r="A413" s="48">
        <f>IF(Generation!$B13,"    &lt;/itemmetadata&gt;","")</f>
        <v/>
      </c>
      <c r="B413" s="48" t="n"/>
      <c r="C413" s="48" t="n"/>
    </row>
    <row r="414" ht="18" customHeight="1" s="17">
      <c r="A414" s="48">
        <f>IF(Generation!$B13,"    &lt;presentation label="""&amp;Generation!$F13&amp;"""&gt;","")</f>
        <v/>
      </c>
      <c r="B414" s="48" t="n"/>
      <c r="C414" s="48" t="n"/>
    </row>
    <row r="415" ht="18" customHeight="1" s="17">
      <c r="A415" s="48">
        <f>IF(Generation!$B13,"      &lt;material&gt;&lt;mattext texttype=""text/html""&gt;"&amp;Generation!$G13&amp;"&lt;/mattext&gt;&lt;/material&gt;","")</f>
        <v/>
      </c>
      <c r="B415" s="48" t="n"/>
      <c r="C415" s="48" t="n"/>
    </row>
    <row r="416" ht="18" customHeight="1" s="17">
      <c r="A416" s="48">
        <f>IF(Generation!$B13,"      &lt;response_lid ident=""RESPONSE"" rcardinality="""&amp;Generation!$E13&amp;"""&gt;","")</f>
        <v/>
      </c>
      <c r="B416" s="48" t="n"/>
      <c r="C416" s="48" t="n"/>
    </row>
    <row r="417" ht="18" customHeight="1" s="17">
      <c r="A417" s="48">
        <f>IF(Generation!$B13,"        &lt;render_choice shuffle=""No""&gt;","")</f>
        <v/>
      </c>
      <c r="B417" s="48" t="n"/>
      <c r="C417" s="48" t="n"/>
    </row>
    <row r="418" ht="18" customHeight="1" s="17">
      <c r="A418" s="48">
        <f>IF(Generation!AB13="","",Generation!AB13)</f>
        <v/>
      </c>
      <c r="B418" s="48" t="n"/>
      <c r="C418" s="48" t="n"/>
    </row>
    <row r="419" ht="18" customHeight="1" s="17">
      <c r="A419" s="48">
        <f>IF(Generation!AC13="","",Generation!AC13)</f>
        <v/>
      </c>
      <c r="B419" s="48" t="n"/>
      <c r="C419" s="48" t="n"/>
    </row>
    <row r="420" ht="18" customHeight="1" s="17">
      <c r="A420" s="48">
        <f>IF(Generation!AD13="","",Generation!AD13)</f>
        <v/>
      </c>
      <c r="B420" s="48" t="n"/>
      <c r="C420" s="48" t="n"/>
    </row>
    <row r="421" ht="18" customHeight="1" s="17">
      <c r="A421" s="48">
        <f>IF(Generation!AE13="","",Generation!AE13)</f>
        <v/>
      </c>
      <c r="B421" s="48" t="n"/>
      <c r="C421" s="48" t="n"/>
    </row>
    <row r="422" ht="18" customHeight="1" s="17">
      <c r="A422" s="48">
        <f>IF(Generation!AF13="","",Generation!AF13)</f>
        <v/>
      </c>
      <c r="B422" s="48" t="n"/>
      <c r="C422" s="48" t="n"/>
    </row>
    <row r="423" ht="18" customHeight="1" s="17">
      <c r="A423" s="48">
        <f>IF(Generation!AG13="","",Generation!AG13)</f>
        <v/>
      </c>
      <c r="B423" s="48" t="n"/>
      <c r="C423" s="48" t="n"/>
    </row>
    <row r="424" ht="18" customHeight="1" s="17">
      <c r="A424" s="48">
        <f>IF(Generation!AH13="","",Generation!AH13)</f>
        <v/>
      </c>
      <c r="B424" s="48" t="n"/>
      <c r="C424" s="48" t="n"/>
    </row>
    <row r="425" ht="18" customHeight="1" s="17">
      <c r="A425" s="48">
        <f>IF(Generation!AI13="","",Generation!AI13)</f>
        <v/>
      </c>
      <c r="B425" s="48" t="n"/>
      <c r="C425" s="48" t="n"/>
    </row>
    <row r="426" ht="18" customHeight="1" s="17">
      <c r="A426" s="48">
        <f>IF(Generation!$B13,"        &lt;/render_choice&gt;","")</f>
        <v/>
      </c>
      <c r="B426" s="48" t="n"/>
      <c r="C426" s="48" t="n"/>
    </row>
    <row r="427" ht="18" customHeight="1" s="17">
      <c r="A427" s="48">
        <f>IF(Generation!$B13,"      &lt;/response_lid&gt;","")</f>
        <v/>
      </c>
      <c r="B427" s="48" t="n"/>
      <c r="C427" s="48" t="n"/>
    </row>
    <row r="428" ht="18" customHeight="1" s="17">
      <c r="A428" s="48">
        <f>IF(Generation!$B13,"    &lt;/presentation&gt;","")</f>
        <v/>
      </c>
      <c r="B428" s="48" t="n"/>
      <c r="C428" s="48" t="n"/>
    </row>
    <row r="429" ht="18" customHeight="1" s="17">
      <c r="A429" s="48">
        <f>IF(Generation!$B13,"    &lt;resprocessing&gt;","")</f>
        <v/>
      </c>
      <c r="B429" s="48" t="n"/>
      <c r="C429" s="48" t="n"/>
    </row>
    <row r="430" ht="18" customHeight="1" s="17">
      <c r="A430" s="48">
        <f>IF(Generation!$B13,"      &lt;outcomes&gt;&lt;decvar varname=""SCORE"" vartype=""Decimal"" minvalue=""0"" maxvalue="""&amp;Generation!$H13&amp;"""/&gt;&lt;/outcomes&gt;","")</f>
        <v/>
      </c>
      <c r="B430" s="48" t="n"/>
      <c r="C430" s="48" t="n"/>
    </row>
    <row r="431" ht="18" customHeight="1" s="17">
      <c r="A431" s="48">
        <f>IF(Generation!AJ13="","",Generation!AJ13)</f>
        <v/>
      </c>
      <c r="B431" s="48" t="n"/>
      <c r="C431" s="48" t="n"/>
    </row>
    <row r="432" ht="18" customHeight="1" s="17">
      <c r="A432" s="48">
        <f>IF(Generation!AK13="","",Generation!AK13)</f>
        <v/>
      </c>
      <c r="B432" s="48" t="n"/>
      <c r="C432" s="48" t="n"/>
    </row>
    <row r="433" ht="18" customHeight="1" s="17">
      <c r="A433" s="48">
        <f>IF(Generation!AL13="","",Generation!AL13)</f>
        <v/>
      </c>
      <c r="B433" s="48" t="n"/>
      <c r="C433" s="48" t="n"/>
    </row>
    <row r="434" ht="18" customHeight="1" s="17">
      <c r="A434" s="48">
        <f>IF(Generation!AM13="","",Generation!AM13)</f>
        <v/>
      </c>
      <c r="B434" s="48" t="n"/>
      <c r="C434" s="48" t="n"/>
    </row>
    <row r="435" ht="18" customHeight="1" s="17">
      <c r="A435" s="48">
        <f>IF(Generation!AN13="","",Generation!AN13)</f>
        <v/>
      </c>
      <c r="B435" s="48" t="n"/>
      <c r="C435" s="48" t="n"/>
    </row>
    <row r="436" ht="18" customHeight="1" s="17">
      <c r="A436" s="48">
        <f>IF(Generation!AO13="","",Generation!AO13)</f>
        <v/>
      </c>
      <c r="B436" s="48" t="n"/>
      <c r="C436" s="48" t="n"/>
    </row>
    <row r="437" ht="18" customHeight="1" s="17">
      <c r="A437" s="48">
        <f>IF(Generation!AP13="","",Generation!AP13)</f>
        <v/>
      </c>
      <c r="B437" s="48" t="n"/>
      <c r="C437" s="48" t="n"/>
    </row>
    <row r="438" ht="18" customHeight="1" s="17">
      <c r="A438" s="48">
        <f>IF(Generation!AQ13="","",Generation!AQ13)</f>
        <v/>
      </c>
      <c r="B438" s="48" t="n"/>
      <c r="C438" s="48" t="n"/>
    </row>
    <row r="439" ht="18" customHeight="1" s="17">
      <c r="A439" s="48">
        <f>IF(Generation!$B13,"    &lt;/resprocessing&gt;","")</f>
        <v/>
      </c>
      <c r="B439" s="48" t="n"/>
      <c r="C439" s="48" t="n"/>
    </row>
    <row r="440" ht="18" customHeight="1" s="17">
      <c r="A440" s="48">
        <f>IF(Generation!BB13="","",Generation!BB13)</f>
        <v/>
      </c>
      <c r="B440" s="48" t="n"/>
      <c r="C440" s="48" t="n"/>
    </row>
    <row r="441" ht="18" customHeight="1" s="17">
      <c r="A441" s="48">
        <f>IF(Generation!BC13="","",Generation!BC13)</f>
        <v/>
      </c>
      <c r="B441" s="48" t="n"/>
      <c r="C441" s="48" t="n"/>
    </row>
    <row r="442" ht="18" customHeight="1" s="17">
      <c r="A442" s="48">
        <f>IF(Generation!BD13="","",Generation!BD13)</f>
        <v/>
      </c>
      <c r="B442" s="48" t="n"/>
      <c r="C442" s="48" t="n"/>
    </row>
    <row r="443" ht="18" customHeight="1" s="17">
      <c r="A443" s="48">
        <f>IF(Generation!BE13="","",Generation!BE13)</f>
        <v/>
      </c>
      <c r="B443" s="48" t="n"/>
      <c r="C443" s="48" t="n"/>
    </row>
    <row r="444" ht="18" customHeight="1" s="17">
      <c r="A444" s="48">
        <f>IF(Generation!BF13="","",Generation!BF13)</f>
        <v/>
      </c>
      <c r="B444" s="48" t="n"/>
      <c r="C444" s="48" t="n"/>
    </row>
    <row r="445" ht="18" customHeight="1" s="17">
      <c r="A445" s="48">
        <f>IF(Generation!BG13="","",Generation!BG13)</f>
        <v/>
      </c>
      <c r="B445" s="48" t="n"/>
      <c r="C445" s="48" t="n"/>
    </row>
    <row r="446" ht="18" customHeight="1" s="17">
      <c r="A446" s="48">
        <f>IF(Generation!BH13="","",Generation!BH13)</f>
        <v/>
      </c>
      <c r="B446" s="48" t="n"/>
      <c r="C446" s="48" t="n"/>
    </row>
    <row r="447" ht="18" customHeight="1" s="17">
      <c r="A447" s="48">
        <f>IF(Generation!BI13="","",Generation!BI13)</f>
        <v/>
      </c>
      <c r="B447" s="48" t="n"/>
      <c r="C447" s="48" t="n"/>
    </row>
    <row r="448" ht="18" customHeight="1" s="17">
      <c r="A448" s="48">
        <f>IF(Generation!BJ13="","",Generation!BJ13)</f>
        <v/>
      </c>
      <c r="B448" s="48" t="n"/>
      <c r="C448" s="48" t="n"/>
    </row>
    <row r="449" ht="18" customHeight="1" s="17">
      <c r="A449" s="48">
        <f>IF(Generation!$B13,"  &lt;/item&gt;","")</f>
        <v/>
      </c>
      <c r="B449" s="48" t="n"/>
      <c r="C449" s="48" t="n"/>
    </row>
    <row r="450" ht="18" customHeight="1" s="17">
      <c r="A450" s="48">
        <f>""</f>
        <v/>
      </c>
      <c r="B450" s="48" t="n"/>
      <c r="C450" s="48" t="n"/>
    </row>
    <row r="451" ht="18" customHeight="1" s="17">
      <c r="A451" s="48">
        <f>""</f>
        <v/>
      </c>
      <c r="B451" s="48" t="n"/>
      <c r="C451" s="48" t="n"/>
    </row>
    <row r="452" ht="18" customHeight="1" s="17">
      <c r="A452" s="48">
        <f>""</f>
        <v/>
      </c>
      <c r="B452" s="48" t="n"/>
      <c r="C452" s="48" t="n"/>
    </row>
    <row r="453" ht="18" customHeight="1" s="17">
      <c r="A453" s="48">
        <f>""</f>
        <v/>
      </c>
      <c r="B453" s="48" t="n"/>
      <c r="C453" s="48" t="n"/>
    </row>
    <row r="454" ht="18" customHeight="1" s="17">
      <c r="A454" s="48">
        <f>IF(Generation!$B14,"  &lt;item ident=""il_0_qst_"&amp;TEXT(Generation!$A14,"000")&amp;""" title="""&amp;Generation!$F14&amp;"""&gt;","")</f>
        <v/>
      </c>
      <c r="B454" s="48" t="n"/>
      <c r="C454" s="48" t="n"/>
    </row>
    <row r="455" ht="18" customHeight="1" s="17">
      <c r="A455" s="48">
        <f>IF(Generation!$B14,"    &lt;duration&gt;P0Y0M0DT0H1M0S&lt;/duration&gt;","")</f>
        <v/>
      </c>
      <c r="B455" s="48" t="n"/>
      <c r="C455" s="48" t="n"/>
    </row>
    <row r="456" ht="18" customHeight="1" s="17">
      <c r="A456" s="48">
        <f>IF(Generation!$B14,"    &lt;itemmetadata&gt;","")</f>
        <v/>
      </c>
      <c r="B456" s="48" t="n"/>
      <c r="C456" s="48" t="n"/>
    </row>
    <row r="457" ht="18" customHeight="1" s="17">
      <c r="A457" s="48">
        <f>IF(Generation!$B14,"      &lt;qtimetadata&gt;","")</f>
        <v/>
      </c>
      <c r="B457" s="48" t="n"/>
      <c r="C457" s="48" t="n"/>
    </row>
    <row r="458" ht="18" customHeight="1" s="17">
      <c r="A458" s="48">
        <f>IF(Generation!$B14,"        &lt;qtimetadatafield&gt;&lt;fieldlabel&gt;ILIAS_VERSION&lt;/fieldlabel&gt;&lt;fieldentry&gt;8&lt;/fieldentry&gt;&lt;/qtimetadatafield&gt;","")</f>
        <v/>
      </c>
      <c r="B458" s="48" t="n"/>
      <c r="C458" s="48" t="n"/>
    </row>
    <row r="459" ht="18" customHeight="1" s="17">
      <c r="A459" s="48">
        <f>IF(Generation!$B14,"        &lt;qtimetadatafield&gt;&lt;fieldlabel&gt;QUESTIONTYPE&lt;/fieldlabel&gt;&lt;fieldentry&gt;"&amp;Generation!$D14&amp;"&lt;/fieldentry&gt;&lt;/qtimetadatafield&gt;","")</f>
        <v/>
      </c>
      <c r="B459" s="48" t="n"/>
      <c r="C459" s="48" t="n"/>
    </row>
    <row r="460" ht="18" customHeight="1" s="17">
      <c r="A460" s="48">
        <f>IF(Generation!$B14,"        &lt;qtimetadatafield&gt;&lt;fieldlabel&gt;AUTHOR&lt;/fieldlabel&gt;&lt;fieldentry&gt;"&amp;Generation!$AR14&amp;"&lt;/fieldentry&gt;&lt;/qtimetadatafield&gt;","")</f>
        <v/>
      </c>
      <c r="B460" s="48" t="n"/>
      <c r="C460" s="48" t="n"/>
    </row>
    <row r="461" ht="18" customHeight="1" s="17">
      <c r="A461" s="48">
        <f>IF(Generation!$B14,"        &lt;qtimetadatafield&gt;&lt;fieldlabel&gt;identicalScoring&lt;/fieldlabel&gt;&lt;fieldentry&gt;1&lt;/fieldentry&gt;&lt;/qtimetadatafield&gt;","")</f>
        <v/>
      </c>
      <c r="B461" s="48" t="n"/>
      <c r="C461" s="48" t="n"/>
    </row>
    <row r="462" ht="18" customHeight="1" s="17">
      <c r="A462" s="48">
        <f>IF(Generation!$B14,"      &lt;/qtimetadata&gt;","")</f>
        <v/>
      </c>
      <c r="B462" s="48" t="n"/>
      <c r="C462" s="48" t="n"/>
    </row>
    <row r="463" ht="18" customHeight="1" s="17">
      <c r="A463" s="48">
        <f>IF(Generation!$B14,"    &lt;/itemmetadata&gt;","")</f>
        <v/>
      </c>
      <c r="B463" s="48" t="n"/>
      <c r="C463" s="48" t="n"/>
    </row>
    <row r="464" ht="18" customHeight="1" s="17">
      <c r="A464" s="48">
        <f>IF(Generation!$B14,"    &lt;presentation label="""&amp;Generation!$F14&amp;"""&gt;","")</f>
        <v/>
      </c>
      <c r="B464" s="48" t="n"/>
      <c r="C464" s="48" t="n"/>
    </row>
    <row r="465" ht="18" customHeight="1" s="17">
      <c r="A465" s="48">
        <f>IF(Generation!$B14,"      &lt;material&gt;&lt;mattext texttype=""text/html""&gt;"&amp;Generation!$G14&amp;"&lt;/mattext&gt;&lt;/material&gt;","")</f>
        <v/>
      </c>
      <c r="B465" s="48" t="n"/>
      <c r="C465" s="48" t="n"/>
    </row>
    <row r="466" ht="18" customHeight="1" s="17">
      <c r="A466" s="48">
        <f>IF(Generation!$B14,"      &lt;response_lid ident=""RESPONSE"" rcardinality="""&amp;Generation!$E14&amp;"""&gt;","")</f>
        <v/>
      </c>
      <c r="B466" s="48" t="n"/>
      <c r="C466" s="48" t="n"/>
    </row>
    <row r="467" ht="18" customHeight="1" s="17">
      <c r="A467" s="48">
        <f>IF(Generation!$B14,"        &lt;render_choice shuffle=""No""&gt;","")</f>
        <v/>
      </c>
      <c r="B467" s="48" t="n"/>
      <c r="C467" s="48" t="n"/>
    </row>
    <row r="468" ht="18" customHeight="1" s="17">
      <c r="A468" s="48">
        <f>IF(Generation!AB14="","",Generation!AB14)</f>
        <v/>
      </c>
      <c r="B468" s="48" t="n"/>
      <c r="C468" s="48" t="n"/>
    </row>
    <row r="469" ht="18" customHeight="1" s="17">
      <c r="A469" s="48">
        <f>IF(Generation!AC14="","",Generation!AC14)</f>
        <v/>
      </c>
      <c r="B469" s="48" t="n"/>
      <c r="C469" s="48" t="n"/>
    </row>
    <row r="470" ht="18" customHeight="1" s="17">
      <c r="A470" s="48">
        <f>IF(Generation!AD14="","",Generation!AD14)</f>
        <v/>
      </c>
      <c r="B470" s="48" t="n"/>
      <c r="C470" s="48" t="n"/>
    </row>
    <row r="471" ht="18" customHeight="1" s="17">
      <c r="A471" s="48">
        <f>IF(Generation!AE14="","",Generation!AE14)</f>
        <v/>
      </c>
      <c r="B471" s="48" t="n"/>
      <c r="C471" s="48" t="n"/>
    </row>
    <row r="472" ht="18" customHeight="1" s="17">
      <c r="A472" s="48">
        <f>IF(Generation!AF14="","",Generation!AF14)</f>
        <v/>
      </c>
      <c r="B472" s="48" t="n"/>
      <c r="C472" s="48" t="n"/>
    </row>
    <row r="473" ht="18" customHeight="1" s="17">
      <c r="A473" s="48">
        <f>IF(Generation!AG14="","",Generation!AG14)</f>
        <v/>
      </c>
      <c r="B473" s="48" t="n"/>
      <c r="C473" s="48" t="n"/>
    </row>
    <row r="474" ht="18" customHeight="1" s="17">
      <c r="A474" s="48">
        <f>IF(Generation!AH14="","",Generation!AH14)</f>
        <v/>
      </c>
      <c r="B474" s="48" t="n"/>
      <c r="C474" s="48" t="n"/>
    </row>
    <row r="475" ht="18" customHeight="1" s="17">
      <c r="A475" s="48">
        <f>IF(Generation!AI14="","",Generation!AI14)</f>
        <v/>
      </c>
      <c r="B475" s="48" t="n"/>
      <c r="C475" s="48" t="n"/>
    </row>
    <row r="476" ht="18" customHeight="1" s="17">
      <c r="A476" s="48">
        <f>IF(Generation!$B14,"        &lt;/render_choice&gt;","")</f>
        <v/>
      </c>
      <c r="B476" s="48" t="n"/>
      <c r="C476" s="48" t="n"/>
    </row>
    <row r="477" ht="18" customHeight="1" s="17">
      <c r="A477" s="48">
        <f>IF(Generation!$B14,"      &lt;/response_lid&gt;","")</f>
        <v/>
      </c>
      <c r="B477" s="48" t="n"/>
      <c r="C477" s="48" t="n"/>
    </row>
    <row r="478" ht="18" customHeight="1" s="17">
      <c r="A478" s="48">
        <f>IF(Generation!$B14,"    &lt;/presentation&gt;","")</f>
        <v/>
      </c>
      <c r="B478" s="48" t="n"/>
      <c r="C478" s="48" t="n"/>
    </row>
    <row r="479" ht="18" customHeight="1" s="17">
      <c r="A479" s="48">
        <f>IF(Generation!$B14,"    &lt;resprocessing&gt;","")</f>
        <v/>
      </c>
      <c r="B479" s="48" t="n"/>
      <c r="C479" s="48" t="n"/>
    </row>
    <row r="480" ht="18" customHeight="1" s="17">
      <c r="A480" s="48">
        <f>IF(Generation!$B14,"      &lt;outcomes&gt;&lt;decvar varname=""SCORE"" vartype=""Decimal"" minvalue=""0"" maxvalue="""&amp;Generation!$H14&amp;"""/&gt;&lt;/outcomes&gt;","")</f>
        <v/>
      </c>
      <c r="B480" s="48" t="n"/>
      <c r="C480" s="48" t="n"/>
    </row>
    <row r="481" ht="18" customHeight="1" s="17">
      <c r="A481" s="48">
        <f>IF(Generation!AJ14="","",Generation!AJ14)</f>
        <v/>
      </c>
      <c r="B481" s="48" t="n"/>
      <c r="C481" s="48" t="n"/>
    </row>
    <row r="482" ht="18" customHeight="1" s="17">
      <c r="A482" s="48">
        <f>IF(Generation!AK14="","",Generation!AK14)</f>
        <v/>
      </c>
      <c r="B482" s="48" t="n"/>
      <c r="C482" s="48" t="n"/>
    </row>
    <row r="483" ht="18" customHeight="1" s="17">
      <c r="A483" s="48">
        <f>IF(Generation!AL14="","",Generation!AL14)</f>
        <v/>
      </c>
      <c r="B483" s="48" t="n"/>
      <c r="C483" s="48" t="n"/>
    </row>
    <row r="484" ht="18" customHeight="1" s="17">
      <c r="A484" s="48">
        <f>IF(Generation!AM14="","",Generation!AM14)</f>
        <v/>
      </c>
      <c r="B484" s="48" t="n"/>
      <c r="C484" s="48" t="n"/>
    </row>
    <row r="485" ht="18" customHeight="1" s="17">
      <c r="A485" s="48">
        <f>IF(Generation!AN14="","",Generation!AN14)</f>
        <v/>
      </c>
      <c r="B485" s="48" t="n"/>
      <c r="C485" s="48" t="n"/>
    </row>
    <row r="486" ht="18" customHeight="1" s="17">
      <c r="A486" s="48">
        <f>IF(Generation!AO14="","",Generation!AO14)</f>
        <v/>
      </c>
      <c r="B486" s="48" t="n"/>
      <c r="C486" s="48" t="n"/>
    </row>
    <row r="487" ht="18" customHeight="1" s="17">
      <c r="A487" s="48">
        <f>IF(Generation!AP14="","",Generation!AP14)</f>
        <v/>
      </c>
      <c r="B487" s="48" t="n"/>
      <c r="C487" s="48" t="n"/>
    </row>
    <row r="488" ht="18" customHeight="1" s="17">
      <c r="A488" s="48">
        <f>IF(Generation!AQ14="","",Generation!AQ14)</f>
        <v/>
      </c>
      <c r="B488" s="48" t="n"/>
      <c r="C488" s="48" t="n"/>
    </row>
    <row r="489" ht="18" customHeight="1" s="17">
      <c r="A489" s="48">
        <f>IF(Generation!$B14,"    &lt;/resprocessing&gt;","")</f>
        <v/>
      </c>
      <c r="B489" s="48" t="n"/>
      <c r="C489" s="48" t="n"/>
    </row>
    <row r="490" ht="18" customHeight="1" s="17">
      <c r="A490" s="48">
        <f>IF(Generation!BB14="","",Generation!BB14)</f>
        <v/>
      </c>
      <c r="B490" s="48" t="n"/>
      <c r="C490" s="48" t="n"/>
    </row>
    <row r="491" ht="18" customHeight="1" s="17">
      <c r="A491" s="48">
        <f>IF(Generation!BC14="","",Generation!BC14)</f>
        <v/>
      </c>
      <c r="B491" s="48" t="n"/>
      <c r="C491" s="48" t="n"/>
    </row>
    <row r="492" ht="18" customHeight="1" s="17">
      <c r="A492" s="48">
        <f>IF(Generation!BD14="","",Generation!BD14)</f>
        <v/>
      </c>
      <c r="B492" s="48" t="n"/>
      <c r="C492" s="48" t="n"/>
    </row>
    <row r="493" ht="18" customHeight="1" s="17">
      <c r="A493" s="48">
        <f>IF(Generation!BE14="","",Generation!BE14)</f>
        <v/>
      </c>
      <c r="B493" s="48" t="n"/>
      <c r="C493" s="48" t="n"/>
    </row>
    <row r="494" ht="18" customHeight="1" s="17">
      <c r="A494" s="48">
        <f>IF(Generation!BF14="","",Generation!BF14)</f>
        <v/>
      </c>
      <c r="B494" s="48" t="n"/>
      <c r="C494" s="48" t="n"/>
    </row>
    <row r="495" ht="18" customHeight="1" s="17">
      <c r="A495" s="48">
        <f>IF(Generation!BG14="","",Generation!BG14)</f>
        <v/>
      </c>
      <c r="B495" s="48" t="n"/>
      <c r="C495" s="48" t="n"/>
    </row>
    <row r="496" ht="18" customHeight="1" s="17">
      <c r="A496" s="48">
        <f>IF(Generation!BH14="","",Generation!BH14)</f>
        <v/>
      </c>
      <c r="B496" s="48" t="n"/>
      <c r="C496" s="48" t="n"/>
    </row>
    <row r="497" ht="18" customHeight="1" s="17">
      <c r="A497" s="48">
        <f>IF(Generation!BI14="","",Generation!BI14)</f>
        <v/>
      </c>
      <c r="B497" s="48" t="n"/>
      <c r="C497" s="48" t="n"/>
    </row>
    <row r="498" ht="18" customHeight="1" s="17">
      <c r="A498" s="48">
        <f>IF(Generation!BJ14="","",Generation!BJ14)</f>
        <v/>
      </c>
      <c r="B498" s="48" t="n"/>
      <c r="C498" s="48" t="n"/>
    </row>
    <row r="499" ht="18" customHeight="1" s="17">
      <c r="A499" s="48">
        <f>IF(Generation!$B14,"  &lt;/item&gt;","")</f>
        <v/>
      </c>
      <c r="B499" s="48" t="n"/>
      <c r="C499" s="48" t="n"/>
    </row>
    <row r="500" ht="18" customHeight="1" s="17">
      <c r="A500" s="48">
        <f>""</f>
        <v/>
      </c>
      <c r="B500" s="48" t="n"/>
      <c r="C500" s="48" t="n"/>
    </row>
    <row r="501" ht="18" customHeight="1" s="17">
      <c r="A501" s="48">
        <f>""</f>
        <v/>
      </c>
      <c r="B501" s="48" t="n"/>
      <c r="C501" s="48" t="n"/>
    </row>
    <row r="502" ht="18" customHeight="1" s="17">
      <c r="A502" s="48">
        <f>""</f>
        <v/>
      </c>
      <c r="B502" s="48" t="n"/>
      <c r="C502" s="48" t="n"/>
    </row>
    <row r="503" ht="18" customHeight="1" s="17">
      <c r="A503" s="48">
        <f>""</f>
        <v/>
      </c>
      <c r="B503" s="48" t="n"/>
      <c r="C503" s="48" t="n"/>
    </row>
    <row r="504" ht="18" customHeight="1" s="17">
      <c r="A504" s="48">
        <f>IF(Generation!$B15,"  &lt;item ident=""il_0_qst_"&amp;TEXT(Generation!$A15,"000")&amp;""" title="""&amp;Generation!$F15&amp;"""&gt;","")</f>
        <v/>
      </c>
      <c r="B504" s="48" t="n"/>
      <c r="C504" s="48" t="n"/>
    </row>
    <row r="505" ht="18" customHeight="1" s="17">
      <c r="A505" s="48">
        <f>IF(Generation!$B15,"    &lt;duration&gt;P0Y0M0DT0H1M0S&lt;/duration&gt;","")</f>
        <v/>
      </c>
      <c r="B505" s="48" t="n"/>
      <c r="C505" s="48" t="n"/>
    </row>
    <row r="506" ht="18" customHeight="1" s="17">
      <c r="A506" s="48">
        <f>IF(Generation!$B15,"    &lt;itemmetadata&gt;","")</f>
        <v/>
      </c>
      <c r="B506" s="48" t="n"/>
      <c r="C506" s="48" t="n"/>
    </row>
    <row r="507" ht="18" customHeight="1" s="17">
      <c r="A507" s="48">
        <f>IF(Generation!$B15,"      &lt;qtimetadata&gt;","")</f>
        <v/>
      </c>
      <c r="B507" s="48" t="n"/>
      <c r="C507" s="48" t="n"/>
    </row>
    <row r="508" ht="18" customHeight="1" s="17">
      <c r="A508" s="48">
        <f>IF(Generation!$B15,"        &lt;qtimetadatafield&gt;&lt;fieldlabel&gt;ILIAS_VERSION&lt;/fieldlabel&gt;&lt;fieldentry&gt;8&lt;/fieldentry&gt;&lt;/qtimetadatafield&gt;","")</f>
        <v/>
      </c>
      <c r="B508" s="48" t="n"/>
      <c r="C508" s="48" t="n"/>
    </row>
    <row r="509" ht="18" customHeight="1" s="17">
      <c r="A509" s="48">
        <f>IF(Generation!$B15,"        &lt;qtimetadatafield&gt;&lt;fieldlabel&gt;QUESTIONTYPE&lt;/fieldlabel&gt;&lt;fieldentry&gt;"&amp;Generation!$D15&amp;"&lt;/fieldentry&gt;&lt;/qtimetadatafield&gt;","")</f>
        <v/>
      </c>
      <c r="B509" s="48" t="n"/>
      <c r="C509" s="48" t="n"/>
    </row>
    <row r="510" ht="18" customHeight="1" s="17">
      <c r="A510" s="48">
        <f>IF(Generation!$B15,"        &lt;qtimetadatafield&gt;&lt;fieldlabel&gt;AUTHOR&lt;/fieldlabel&gt;&lt;fieldentry&gt;"&amp;Generation!$AR15&amp;"&lt;/fieldentry&gt;&lt;/qtimetadatafield&gt;","")</f>
        <v/>
      </c>
      <c r="B510" s="48" t="n"/>
      <c r="C510" s="48" t="n"/>
    </row>
    <row r="511" ht="18" customHeight="1" s="17">
      <c r="A511" s="48">
        <f>IF(Generation!$B15,"        &lt;qtimetadatafield&gt;&lt;fieldlabel&gt;identicalScoring&lt;/fieldlabel&gt;&lt;fieldentry&gt;1&lt;/fieldentry&gt;&lt;/qtimetadatafield&gt;","")</f>
        <v/>
      </c>
      <c r="B511" s="48" t="n"/>
      <c r="C511" s="48" t="n"/>
    </row>
    <row r="512" ht="18" customHeight="1" s="17">
      <c r="A512" s="48">
        <f>IF(Generation!$B15,"      &lt;/qtimetadata&gt;","")</f>
        <v/>
      </c>
      <c r="B512" s="48" t="n"/>
      <c r="C512" s="48" t="n"/>
    </row>
    <row r="513" ht="18" customHeight="1" s="17">
      <c r="A513" s="48">
        <f>IF(Generation!$B15,"    &lt;/itemmetadata&gt;","")</f>
        <v/>
      </c>
      <c r="B513" s="48" t="n"/>
      <c r="C513" s="48" t="n"/>
    </row>
    <row r="514" ht="18" customHeight="1" s="17">
      <c r="A514" s="48">
        <f>IF(Generation!$B15,"    &lt;presentation label="""&amp;Generation!$F15&amp;"""&gt;","")</f>
        <v/>
      </c>
      <c r="B514" s="48" t="n"/>
      <c r="C514" s="48" t="n"/>
    </row>
    <row r="515" ht="18" customHeight="1" s="17">
      <c r="A515" s="48">
        <f>IF(Generation!$B15,"      &lt;material&gt;&lt;mattext texttype=""text/html""&gt;"&amp;Generation!$G15&amp;"&lt;/mattext&gt;&lt;/material&gt;","")</f>
        <v/>
      </c>
      <c r="B515" s="48" t="n"/>
      <c r="C515" s="48" t="n"/>
    </row>
    <row r="516" ht="18" customHeight="1" s="17">
      <c r="A516" s="48">
        <f>IF(Generation!$B15,"      &lt;response_lid ident=""RESPONSE"" rcardinality="""&amp;Generation!$E15&amp;"""&gt;","")</f>
        <v/>
      </c>
      <c r="B516" s="48" t="n"/>
      <c r="C516" s="48" t="n"/>
    </row>
    <row r="517" ht="18" customHeight="1" s="17">
      <c r="A517" s="48">
        <f>IF(Generation!$B15,"        &lt;render_choice shuffle=""No""&gt;","")</f>
        <v/>
      </c>
      <c r="B517" s="48" t="n"/>
      <c r="C517" s="48" t="n"/>
    </row>
    <row r="518" ht="18" customHeight="1" s="17">
      <c r="A518" s="48">
        <f>IF(Generation!AB15="","",Generation!AB15)</f>
        <v/>
      </c>
      <c r="B518" s="48" t="n"/>
      <c r="C518" s="48" t="n"/>
    </row>
    <row r="519" ht="18" customHeight="1" s="17">
      <c r="A519" s="48">
        <f>IF(Generation!AC15="","",Generation!AC15)</f>
        <v/>
      </c>
      <c r="B519" s="48" t="n"/>
      <c r="C519" s="48" t="n"/>
    </row>
    <row r="520" ht="18" customHeight="1" s="17">
      <c r="A520" s="48">
        <f>IF(Generation!AD15="","",Generation!AD15)</f>
        <v/>
      </c>
      <c r="B520" s="48" t="n"/>
      <c r="C520" s="48" t="n"/>
    </row>
    <row r="521" ht="18" customHeight="1" s="17">
      <c r="A521" s="48">
        <f>IF(Generation!AE15="","",Generation!AE15)</f>
        <v/>
      </c>
      <c r="B521" s="48" t="n"/>
      <c r="C521" s="48" t="n"/>
    </row>
    <row r="522" ht="18" customHeight="1" s="17">
      <c r="A522" s="48">
        <f>IF(Generation!AF15="","",Generation!AF15)</f>
        <v/>
      </c>
      <c r="B522" s="48" t="n"/>
      <c r="C522" s="48" t="n"/>
    </row>
    <row r="523" ht="18" customHeight="1" s="17">
      <c r="A523" s="48">
        <f>IF(Generation!AG15="","",Generation!AG15)</f>
        <v/>
      </c>
      <c r="B523" s="48" t="n"/>
      <c r="C523" s="48" t="n"/>
    </row>
    <row r="524" ht="18" customHeight="1" s="17">
      <c r="A524" s="48">
        <f>IF(Generation!AH15="","",Generation!AH15)</f>
        <v/>
      </c>
      <c r="B524" s="48" t="n"/>
      <c r="C524" s="48" t="n"/>
    </row>
    <row r="525" ht="18" customHeight="1" s="17">
      <c r="A525" s="48">
        <f>IF(Generation!AI15="","",Generation!AI15)</f>
        <v/>
      </c>
      <c r="B525" s="48" t="n"/>
      <c r="C525" s="48" t="n"/>
    </row>
    <row r="526" ht="18" customHeight="1" s="17">
      <c r="A526" s="48">
        <f>IF(Generation!$B15,"        &lt;/render_choice&gt;","")</f>
        <v/>
      </c>
      <c r="B526" s="48" t="n"/>
      <c r="C526" s="48" t="n"/>
    </row>
    <row r="527" ht="18" customHeight="1" s="17">
      <c r="A527" s="48">
        <f>IF(Generation!$B15,"      &lt;/response_lid&gt;","")</f>
        <v/>
      </c>
      <c r="B527" s="48" t="n"/>
      <c r="C527" s="48" t="n"/>
    </row>
    <row r="528" ht="18" customHeight="1" s="17">
      <c r="A528" s="48">
        <f>IF(Generation!$B15,"    &lt;/presentation&gt;","")</f>
        <v/>
      </c>
      <c r="B528" s="48" t="n"/>
      <c r="C528" s="48" t="n"/>
    </row>
    <row r="529" ht="18" customHeight="1" s="17">
      <c r="A529" s="48">
        <f>IF(Generation!$B15,"    &lt;resprocessing&gt;","")</f>
        <v/>
      </c>
      <c r="B529" s="48" t="n"/>
      <c r="C529" s="48" t="n"/>
    </row>
    <row r="530" ht="18" customHeight="1" s="17">
      <c r="A530" s="48">
        <f>IF(Generation!$B15,"      &lt;outcomes&gt;&lt;decvar varname=""SCORE"" vartype=""Decimal"" minvalue=""0"" maxvalue="""&amp;Generation!$H15&amp;"""/&gt;&lt;/outcomes&gt;","")</f>
        <v/>
      </c>
      <c r="B530" s="48" t="n"/>
      <c r="C530" s="48" t="n"/>
    </row>
    <row r="531" ht="18" customHeight="1" s="17">
      <c r="A531" s="48">
        <f>IF(Generation!AJ15="","",Generation!AJ15)</f>
        <v/>
      </c>
      <c r="B531" s="48" t="n"/>
      <c r="C531" s="48" t="n"/>
    </row>
    <row r="532" ht="18" customHeight="1" s="17">
      <c r="A532" s="48">
        <f>IF(Generation!AK15="","",Generation!AK15)</f>
        <v/>
      </c>
      <c r="B532" s="48" t="n"/>
      <c r="C532" s="48" t="n"/>
    </row>
    <row r="533" ht="18" customHeight="1" s="17">
      <c r="A533" s="48">
        <f>IF(Generation!AL15="","",Generation!AL15)</f>
        <v/>
      </c>
      <c r="B533" s="48" t="n"/>
      <c r="C533" s="48" t="n"/>
    </row>
    <row r="534" ht="18" customHeight="1" s="17">
      <c r="A534" s="48">
        <f>IF(Generation!AM15="","",Generation!AM15)</f>
        <v/>
      </c>
      <c r="B534" s="48" t="n"/>
      <c r="C534" s="48" t="n"/>
    </row>
    <row r="535" ht="18" customHeight="1" s="17">
      <c r="A535" s="48">
        <f>IF(Generation!AN15="","",Generation!AN15)</f>
        <v/>
      </c>
      <c r="B535" s="48" t="n"/>
      <c r="C535" s="48" t="n"/>
    </row>
    <row r="536" ht="18" customHeight="1" s="17">
      <c r="A536" s="48">
        <f>IF(Generation!AO15="","",Generation!AO15)</f>
        <v/>
      </c>
      <c r="B536" s="48" t="n"/>
      <c r="C536" s="48" t="n"/>
    </row>
    <row r="537" ht="18" customHeight="1" s="17">
      <c r="A537" s="48">
        <f>IF(Generation!AP15="","",Generation!AP15)</f>
        <v/>
      </c>
      <c r="B537" s="48" t="n"/>
      <c r="C537" s="48" t="n"/>
    </row>
    <row r="538" ht="18" customHeight="1" s="17">
      <c r="A538" s="48">
        <f>IF(Generation!AQ15="","",Generation!AQ15)</f>
        <v/>
      </c>
      <c r="B538" s="48" t="n"/>
      <c r="C538" s="48" t="n"/>
    </row>
    <row r="539" ht="18" customHeight="1" s="17">
      <c r="A539" s="48">
        <f>IF(Generation!$B15,"    &lt;/resprocessing&gt;","")</f>
        <v/>
      </c>
      <c r="B539" s="48" t="n"/>
      <c r="C539" s="48" t="n"/>
    </row>
    <row r="540" ht="18" customHeight="1" s="17">
      <c r="A540" s="48">
        <f>IF(Generation!BB15="","",Generation!BB15)</f>
        <v/>
      </c>
      <c r="B540" s="48" t="n"/>
      <c r="C540" s="48" t="n"/>
    </row>
    <row r="541" ht="18" customHeight="1" s="17">
      <c r="A541" s="48">
        <f>IF(Generation!BC15="","",Generation!BC15)</f>
        <v/>
      </c>
      <c r="B541" s="48" t="n"/>
      <c r="C541" s="48" t="n"/>
    </row>
    <row r="542" ht="18" customHeight="1" s="17">
      <c r="A542" s="48">
        <f>IF(Generation!BD15="","",Generation!BD15)</f>
        <v/>
      </c>
      <c r="B542" s="48" t="n"/>
      <c r="C542" s="48" t="n"/>
    </row>
    <row r="543" ht="18" customHeight="1" s="17">
      <c r="A543" s="48">
        <f>IF(Generation!BE15="","",Generation!BE15)</f>
        <v/>
      </c>
      <c r="B543" s="48" t="n"/>
      <c r="C543" s="48" t="n"/>
    </row>
    <row r="544" ht="18" customHeight="1" s="17">
      <c r="A544" s="48">
        <f>IF(Generation!BF15="","",Generation!BF15)</f>
        <v/>
      </c>
      <c r="B544" s="48" t="n"/>
      <c r="C544" s="48" t="n"/>
    </row>
    <row r="545" ht="18" customHeight="1" s="17">
      <c r="A545" s="48">
        <f>IF(Generation!BG15="","",Generation!BG15)</f>
        <v/>
      </c>
      <c r="B545" s="48" t="n"/>
      <c r="C545" s="48" t="n"/>
    </row>
    <row r="546" ht="18" customHeight="1" s="17">
      <c r="A546" s="48">
        <f>IF(Generation!BH15="","",Generation!BH15)</f>
        <v/>
      </c>
      <c r="B546" s="48" t="n"/>
      <c r="C546" s="48" t="n"/>
    </row>
    <row r="547" ht="18" customHeight="1" s="17">
      <c r="A547" s="48">
        <f>IF(Generation!BI15="","",Generation!BI15)</f>
        <v/>
      </c>
      <c r="B547" s="48" t="n"/>
      <c r="C547" s="48" t="n"/>
    </row>
    <row r="548" ht="18" customHeight="1" s="17">
      <c r="A548" s="48">
        <f>IF(Generation!BJ15="","",Generation!BJ15)</f>
        <v/>
      </c>
      <c r="B548" s="48" t="n"/>
      <c r="C548" s="48" t="n"/>
    </row>
    <row r="549" ht="18" customHeight="1" s="17">
      <c r="A549" s="48">
        <f>IF(Generation!$B15,"  &lt;/item&gt;","")</f>
        <v/>
      </c>
      <c r="B549" s="48" t="n"/>
      <c r="C549" s="48" t="n"/>
    </row>
    <row r="550" ht="18" customHeight="1" s="17">
      <c r="A550" s="48">
        <f>""</f>
        <v/>
      </c>
      <c r="B550" s="48" t="n"/>
      <c r="C550" s="48" t="n"/>
    </row>
    <row r="551" ht="18" customHeight="1" s="17">
      <c r="A551" s="48">
        <f>""</f>
        <v/>
      </c>
      <c r="B551" s="48" t="n"/>
      <c r="C551" s="48" t="n"/>
    </row>
    <row r="552" ht="18" customHeight="1" s="17">
      <c r="A552" s="48">
        <f>""</f>
        <v/>
      </c>
      <c r="B552" s="48" t="n"/>
      <c r="C552" s="48" t="n"/>
    </row>
    <row r="553" ht="18" customHeight="1" s="17">
      <c r="A553" s="48">
        <f>""</f>
        <v/>
      </c>
      <c r="B553" s="48" t="n"/>
      <c r="C553" s="48" t="n"/>
    </row>
    <row r="554" ht="18" customHeight="1" s="17">
      <c r="A554" s="48">
        <f>IF(Generation!$B16,"  &lt;item ident=""il_0_qst_"&amp;TEXT(Generation!$A16,"000")&amp;""" title="""&amp;Generation!$F16&amp;"""&gt;","")</f>
        <v/>
      </c>
      <c r="B554" s="48" t="n"/>
      <c r="C554" s="48" t="n"/>
    </row>
    <row r="555" ht="18" customHeight="1" s="17">
      <c r="A555" s="48">
        <f>IF(Generation!$B16,"    &lt;duration&gt;P0Y0M0DT0H1M0S&lt;/duration&gt;","")</f>
        <v/>
      </c>
      <c r="B555" s="48" t="n"/>
      <c r="C555" s="48" t="n"/>
    </row>
    <row r="556" ht="18" customHeight="1" s="17">
      <c r="A556" s="48">
        <f>IF(Generation!$B16,"    &lt;itemmetadata&gt;","")</f>
        <v/>
      </c>
      <c r="B556" s="48" t="n"/>
      <c r="C556" s="48" t="n"/>
    </row>
    <row r="557" ht="18" customHeight="1" s="17">
      <c r="A557" s="48">
        <f>IF(Generation!$B16,"      &lt;qtimetadata&gt;","")</f>
        <v/>
      </c>
      <c r="B557" s="48" t="n"/>
      <c r="C557" s="48" t="n"/>
    </row>
    <row r="558" ht="18" customHeight="1" s="17">
      <c r="A558" s="48">
        <f>IF(Generation!$B16,"        &lt;qtimetadatafield&gt;&lt;fieldlabel&gt;ILIAS_VERSION&lt;/fieldlabel&gt;&lt;fieldentry&gt;8&lt;/fieldentry&gt;&lt;/qtimetadatafield&gt;","")</f>
        <v/>
      </c>
      <c r="B558" s="48" t="n"/>
      <c r="C558" s="48" t="n"/>
    </row>
    <row r="559" ht="18" customHeight="1" s="17">
      <c r="A559" s="48">
        <f>IF(Generation!$B16,"        &lt;qtimetadatafield&gt;&lt;fieldlabel&gt;QUESTIONTYPE&lt;/fieldlabel&gt;&lt;fieldentry&gt;"&amp;Generation!$D16&amp;"&lt;/fieldentry&gt;&lt;/qtimetadatafield&gt;","")</f>
        <v/>
      </c>
      <c r="B559" s="48" t="n"/>
      <c r="C559" s="48" t="n"/>
    </row>
    <row r="560" ht="18" customHeight="1" s="17">
      <c r="A560" s="48">
        <f>IF(Generation!$B16,"        &lt;qtimetadatafield&gt;&lt;fieldlabel&gt;AUTHOR&lt;/fieldlabel&gt;&lt;fieldentry&gt;"&amp;Generation!$AR16&amp;"&lt;/fieldentry&gt;&lt;/qtimetadatafield&gt;","")</f>
        <v/>
      </c>
      <c r="B560" s="48" t="n"/>
      <c r="C560" s="48" t="n"/>
    </row>
    <row r="561" ht="18" customHeight="1" s="17">
      <c r="A561" s="48">
        <f>IF(Generation!$B16,"        &lt;qtimetadatafield&gt;&lt;fieldlabel&gt;identicalScoring&lt;/fieldlabel&gt;&lt;fieldentry&gt;1&lt;/fieldentry&gt;&lt;/qtimetadatafield&gt;","")</f>
        <v/>
      </c>
      <c r="B561" s="48" t="n"/>
      <c r="C561" s="48" t="n"/>
    </row>
    <row r="562" ht="18" customHeight="1" s="17">
      <c r="A562" s="48">
        <f>IF(Generation!$B16,"      &lt;/qtimetadata&gt;","")</f>
        <v/>
      </c>
      <c r="B562" s="48" t="n"/>
      <c r="C562" s="48" t="n"/>
    </row>
    <row r="563" ht="18" customHeight="1" s="17">
      <c r="A563" s="48">
        <f>IF(Generation!$B16,"    &lt;/itemmetadata&gt;","")</f>
        <v/>
      </c>
      <c r="B563" s="48" t="n"/>
      <c r="C563" s="48" t="n"/>
    </row>
    <row r="564" ht="18" customHeight="1" s="17">
      <c r="A564" s="48">
        <f>IF(Generation!$B16,"    &lt;presentation label="""&amp;Generation!$F16&amp;"""&gt;","")</f>
        <v/>
      </c>
      <c r="B564" s="48" t="n"/>
      <c r="C564" s="48" t="n"/>
    </row>
    <row r="565" ht="18" customHeight="1" s="17">
      <c r="A565" s="48">
        <f>IF(Generation!$B16,"      &lt;material&gt;&lt;mattext texttype=""text/html""&gt;"&amp;Generation!$G16&amp;"&lt;/mattext&gt;&lt;/material&gt;","")</f>
        <v/>
      </c>
      <c r="B565" s="48" t="n"/>
      <c r="C565" s="48" t="n"/>
    </row>
    <row r="566" ht="18" customHeight="1" s="17">
      <c r="A566" s="48">
        <f>IF(Generation!$B16,"      &lt;response_lid ident=""RESPONSE"" rcardinality="""&amp;Generation!$E16&amp;"""&gt;","")</f>
        <v/>
      </c>
      <c r="B566" s="48" t="n"/>
      <c r="C566" s="48" t="n"/>
    </row>
    <row r="567" ht="18" customHeight="1" s="17">
      <c r="A567" s="48">
        <f>IF(Generation!$B16,"        &lt;render_choice shuffle=""No""&gt;","")</f>
        <v/>
      </c>
      <c r="B567" s="48" t="n"/>
      <c r="C567" s="48" t="n"/>
    </row>
    <row r="568" ht="18" customHeight="1" s="17">
      <c r="A568" s="48">
        <f>IF(Generation!AB16="","",Generation!AB16)</f>
        <v/>
      </c>
      <c r="B568" s="48" t="n"/>
      <c r="C568" s="48" t="n"/>
    </row>
    <row r="569" ht="18" customHeight="1" s="17">
      <c r="A569" s="48">
        <f>IF(Generation!AC16="","",Generation!AC16)</f>
        <v/>
      </c>
      <c r="B569" s="48" t="n"/>
      <c r="C569" s="48" t="n"/>
    </row>
    <row r="570" ht="18" customHeight="1" s="17">
      <c r="A570" s="48">
        <f>IF(Generation!AD16="","",Generation!AD16)</f>
        <v/>
      </c>
      <c r="B570" s="48" t="n"/>
      <c r="C570" s="48" t="n"/>
    </row>
    <row r="571" ht="18" customHeight="1" s="17">
      <c r="A571" s="48">
        <f>IF(Generation!AE16="","",Generation!AE16)</f>
        <v/>
      </c>
      <c r="B571" s="48" t="n"/>
      <c r="C571" s="48" t="n"/>
    </row>
    <row r="572" ht="18" customHeight="1" s="17">
      <c r="A572" s="48">
        <f>IF(Generation!AF16="","",Generation!AF16)</f>
        <v/>
      </c>
      <c r="B572" s="48" t="n"/>
      <c r="C572" s="48" t="n"/>
    </row>
    <row r="573" ht="18" customHeight="1" s="17">
      <c r="A573" s="48">
        <f>IF(Generation!AG16="","",Generation!AG16)</f>
        <v/>
      </c>
      <c r="B573" s="48" t="n"/>
      <c r="C573" s="48" t="n"/>
    </row>
    <row r="574" ht="18" customHeight="1" s="17">
      <c r="A574" s="48">
        <f>IF(Generation!AH16="","",Generation!AH16)</f>
        <v/>
      </c>
      <c r="B574" s="48" t="n"/>
      <c r="C574" s="48" t="n"/>
    </row>
    <row r="575" ht="18" customHeight="1" s="17">
      <c r="A575" s="48">
        <f>IF(Generation!AI16="","",Generation!AI16)</f>
        <v/>
      </c>
      <c r="B575" s="48" t="n"/>
      <c r="C575" s="48" t="n"/>
    </row>
    <row r="576" ht="18" customHeight="1" s="17">
      <c r="A576" s="48">
        <f>IF(Generation!$B16,"        &lt;/render_choice&gt;","")</f>
        <v/>
      </c>
      <c r="B576" s="48" t="n"/>
      <c r="C576" s="48" t="n"/>
    </row>
    <row r="577" ht="18" customHeight="1" s="17">
      <c r="A577" s="48">
        <f>IF(Generation!$B16,"      &lt;/response_lid&gt;","")</f>
        <v/>
      </c>
      <c r="B577" s="48" t="n"/>
      <c r="C577" s="48" t="n"/>
    </row>
    <row r="578" ht="18" customHeight="1" s="17">
      <c r="A578" s="48">
        <f>IF(Generation!$B16,"    &lt;/presentation&gt;","")</f>
        <v/>
      </c>
      <c r="B578" s="48" t="n"/>
      <c r="C578" s="48" t="n"/>
    </row>
    <row r="579" ht="18" customHeight="1" s="17">
      <c r="A579" s="48">
        <f>IF(Generation!$B16,"    &lt;resprocessing&gt;","")</f>
        <v/>
      </c>
      <c r="B579" s="48" t="n"/>
      <c r="C579" s="48" t="n"/>
    </row>
    <row r="580" ht="18" customHeight="1" s="17">
      <c r="A580" s="48">
        <f>IF(Generation!$B16,"      &lt;outcomes&gt;&lt;decvar varname=""SCORE"" vartype=""Decimal"" minvalue=""0"" maxvalue="""&amp;Generation!$H16&amp;"""/&gt;&lt;/outcomes&gt;","")</f>
        <v/>
      </c>
      <c r="B580" s="48" t="n"/>
      <c r="C580" s="48" t="n"/>
    </row>
    <row r="581" ht="18" customHeight="1" s="17">
      <c r="A581" s="48">
        <f>IF(Generation!AJ16="","",Generation!AJ16)</f>
        <v/>
      </c>
      <c r="B581" s="48" t="n"/>
      <c r="C581" s="48" t="n"/>
    </row>
    <row r="582" ht="18" customHeight="1" s="17">
      <c r="A582" s="48">
        <f>IF(Generation!AK16="","",Generation!AK16)</f>
        <v/>
      </c>
      <c r="B582" s="48" t="n"/>
      <c r="C582" s="48" t="n"/>
    </row>
    <row r="583" ht="18" customHeight="1" s="17">
      <c r="A583" s="48">
        <f>IF(Generation!AL16="","",Generation!AL16)</f>
        <v/>
      </c>
      <c r="B583" s="48" t="n"/>
      <c r="C583" s="48" t="n"/>
    </row>
    <row r="584" ht="18" customHeight="1" s="17">
      <c r="A584" s="48">
        <f>IF(Generation!AM16="","",Generation!AM16)</f>
        <v/>
      </c>
      <c r="B584" s="48" t="n"/>
      <c r="C584" s="48" t="n"/>
    </row>
    <row r="585" ht="18" customHeight="1" s="17">
      <c r="A585" s="48">
        <f>IF(Generation!AN16="","",Generation!AN16)</f>
        <v/>
      </c>
      <c r="B585" s="48" t="n"/>
      <c r="C585" s="48" t="n"/>
    </row>
    <row r="586" ht="18" customHeight="1" s="17">
      <c r="A586" s="48">
        <f>IF(Generation!AO16="","",Generation!AO16)</f>
        <v/>
      </c>
      <c r="B586" s="48" t="n"/>
      <c r="C586" s="48" t="n"/>
    </row>
    <row r="587" ht="18" customHeight="1" s="17">
      <c r="A587" s="48">
        <f>IF(Generation!AP16="","",Generation!AP16)</f>
        <v/>
      </c>
      <c r="B587" s="48" t="n"/>
      <c r="C587" s="48" t="n"/>
    </row>
    <row r="588" ht="18" customHeight="1" s="17">
      <c r="A588" s="48">
        <f>IF(Generation!AQ16="","",Generation!AQ16)</f>
        <v/>
      </c>
      <c r="B588" s="48" t="n"/>
      <c r="C588" s="48" t="n"/>
    </row>
    <row r="589" ht="18" customHeight="1" s="17">
      <c r="A589" s="48">
        <f>IF(Generation!$B16,"    &lt;/resprocessing&gt;","")</f>
        <v/>
      </c>
      <c r="B589" s="48" t="n"/>
      <c r="C589" s="48" t="n"/>
    </row>
    <row r="590" ht="18" customHeight="1" s="17">
      <c r="A590" s="48">
        <f>IF(Generation!BB16="","",Generation!BB16)</f>
        <v/>
      </c>
      <c r="B590" s="48" t="n"/>
      <c r="C590" s="48" t="n"/>
    </row>
    <row r="591" ht="18" customHeight="1" s="17">
      <c r="A591" s="48">
        <f>IF(Generation!BC16="","",Generation!BC16)</f>
        <v/>
      </c>
      <c r="B591" s="48" t="n"/>
      <c r="C591" s="48" t="n"/>
    </row>
    <row r="592" ht="18" customHeight="1" s="17">
      <c r="A592" s="48">
        <f>IF(Generation!BD16="","",Generation!BD16)</f>
        <v/>
      </c>
      <c r="B592" s="48" t="n"/>
      <c r="C592" s="48" t="n"/>
    </row>
    <row r="593" ht="18" customHeight="1" s="17">
      <c r="A593" s="48">
        <f>IF(Generation!BE16="","",Generation!BE16)</f>
        <v/>
      </c>
      <c r="B593" s="48" t="n"/>
      <c r="C593" s="48" t="n"/>
    </row>
    <row r="594" ht="18" customHeight="1" s="17">
      <c r="A594" s="48">
        <f>IF(Generation!BF16="","",Generation!BF16)</f>
        <v/>
      </c>
      <c r="B594" s="48" t="n"/>
      <c r="C594" s="48" t="n"/>
    </row>
    <row r="595" ht="18" customHeight="1" s="17">
      <c r="A595" s="48">
        <f>IF(Generation!BG16="","",Generation!BG16)</f>
        <v/>
      </c>
      <c r="B595" s="48" t="n"/>
      <c r="C595" s="48" t="n"/>
    </row>
    <row r="596" ht="18" customHeight="1" s="17">
      <c r="A596" s="48">
        <f>IF(Generation!BH16="","",Generation!BH16)</f>
        <v/>
      </c>
      <c r="B596" s="48" t="n"/>
      <c r="C596" s="48" t="n"/>
    </row>
    <row r="597" ht="18" customHeight="1" s="17">
      <c r="A597" s="48">
        <f>IF(Generation!BI16="","",Generation!BI16)</f>
        <v/>
      </c>
      <c r="B597" s="48" t="n"/>
      <c r="C597" s="48" t="n"/>
    </row>
    <row r="598" ht="18" customHeight="1" s="17">
      <c r="A598" s="48">
        <f>IF(Generation!BJ16="","",Generation!BJ16)</f>
        <v/>
      </c>
      <c r="B598" s="48" t="n"/>
      <c r="C598" s="48" t="n"/>
    </row>
    <row r="599" ht="18" customHeight="1" s="17">
      <c r="A599" s="48">
        <f>IF(Generation!$B16,"  &lt;/item&gt;","")</f>
        <v/>
      </c>
      <c r="B599" s="48" t="n"/>
      <c r="C599" s="48" t="n"/>
    </row>
    <row r="600" ht="18" customHeight="1" s="17">
      <c r="A600" s="48">
        <f>""</f>
        <v/>
      </c>
      <c r="B600" s="48" t="n"/>
      <c r="C600" s="48" t="n"/>
    </row>
    <row r="601" ht="18" customHeight="1" s="17">
      <c r="A601" s="48">
        <f>""</f>
        <v/>
      </c>
      <c r="B601" s="48" t="n"/>
      <c r="C601" s="48" t="n"/>
    </row>
    <row r="602" ht="18" customHeight="1" s="17">
      <c r="A602" s="48">
        <f>""</f>
        <v/>
      </c>
      <c r="B602" s="48" t="n"/>
      <c r="C602" s="48" t="n"/>
    </row>
    <row r="603" ht="18" customHeight="1" s="17">
      <c r="A603" s="48">
        <f>""</f>
        <v/>
      </c>
      <c r="B603" s="48" t="n"/>
      <c r="C603" s="48" t="n"/>
    </row>
    <row r="604" ht="18" customHeight="1" s="17">
      <c r="A604" s="48">
        <f>IF(Generation!$B17,"  &lt;item ident=""il_0_qst_"&amp;TEXT(Generation!$A17,"000")&amp;""" title="""&amp;Generation!$F17&amp;"""&gt;","")</f>
        <v/>
      </c>
      <c r="B604" s="48" t="n"/>
      <c r="C604" s="48" t="n"/>
    </row>
    <row r="605" ht="18" customHeight="1" s="17">
      <c r="A605" s="48">
        <f>IF(Generation!$B17,"    &lt;duration&gt;P0Y0M0DT0H1M0S&lt;/duration&gt;","")</f>
        <v/>
      </c>
      <c r="B605" s="48" t="n"/>
      <c r="C605" s="48" t="n"/>
    </row>
    <row r="606" ht="18" customHeight="1" s="17">
      <c r="A606" s="48">
        <f>IF(Generation!$B17,"    &lt;itemmetadata&gt;","")</f>
        <v/>
      </c>
      <c r="B606" s="48" t="n"/>
      <c r="C606" s="48" t="n"/>
    </row>
    <row r="607" ht="18" customHeight="1" s="17">
      <c r="A607" s="48">
        <f>IF(Generation!$B17,"      &lt;qtimetadata&gt;","")</f>
        <v/>
      </c>
      <c r="B607" s="48" t="n"/>
      <c r="C607" s="48" t="n"/>
    </row>
    <row r="608" ht="18" customHeight="1" s="17">
      <c r="A608" s="48">
        <f>IF(Generation!$B17,"        &lt;qtimetadatafield&gt;&lt;fieldlabel&gt;ILIAS_VERSION&lt;/fieldlabel&gt;&lt;fieldentry&gt;8&lt;/fieldentry&gt;&lt;/qtimetadatafield&gt;","")</f>
        <v/>
      </c>
      <c r="B608" s="48" t="n"/>
      <c r="C608" s="48" t="n"/>
    </row>
    <row r="609" ht="18" customHeight="1" s="17">
      <c r="A609" s="48">
        <f>IF(Generation!$B17,"        &lt;qtimetadatafield&gt;&lt;fieldlabel&gt;QUESTIONTYPE&lt;/fieldlabel&gt;&lt;fieldentry&gt;"&amp;Generation!$D17&amp;"&lt;/fieldentry&gt;&lt;/qtimetadatafield&gt;","")</f>
        <v/>
      </c>
      <c r="B609" s="48" t="n"/>
      <c r="C609" s="48" t="n"/>
    </row>
    <row r="610" ht="18" customHeight="1" s="17">
      <c r="A610" s="48">
        <f>IF(Generation!$B17,"        &lt;qtimetadatafield&gt;&lt;fieldlabel&gt;AUTHOR&lt;/fieldlabel&gt;&lt;fieldentry&gt;"&amp;Generation!$AR17&amp;"&lt;/fieldentry&gt;&lt;/qtimetadatafield&gt;","")</f>
        <v/>
      </c>
      <c r="B610" s="48" t="n"/>
      <c r="C610" s="48" t="n"/>
    </row>
    <row r="611" ht="18" customHeight="1" s="17">
      <c r="A611" s="48">
        <f>IF(Generation!$B17,"        &lt;qtimetadatafield&gt;&lt;fieldlabel&gt;identicalScoring&lt;/fieldlabel&gt;&lt;fieldentry&gt;1&lt;/fieldentry&gt;&lt;/qtimetadatafield&gt;","")</f>
        <v/>
      </c>
      <c r="B611" s="48" t="n"/>
      <c r="C611" s="48" t="n"/>
    </row>
    <row r="612" ht="18" customHeight="1" s="17">
      <c r="A612" s="48">
        <f>IF(Generation!$B17,"      &lt;/qtimetadata&gt;","")</f>
        <v/>
      </c>
      <c r="B612" s="48" t="n"/>
      <c r="C612" s="48" t="n"/>
    </row>
    <row r="613" ht="18" customHeight="1" s="17">
      <c r="A613" s="48">
        <f>IF(Generation!$B17,"    &lt;/itemmetadata&gt;","")</f>
        <v/>
      </c>
      <c r="B613" s="48" t="n"/>
      <c r="C613" s="48" t="n"/>
    </row>
    <row r="614" ht="18" customHeight="1" s="17">
      <c r="A614" s="48">
        <f>IF(Generation!$B17,"    &lt;presentation label="""&amp;Generation!$F17&amp;"""&gt;","")</f>
        <v/>
      </c>
      <c r="B614" s="48" t="n"/>
      <c r="C614" s="48" t="n"/>
    </row>
    <row r="615" ht="18" customHeight="1" s="17">
      <c r="A615" s="48">
        <f>IF(Generation!$B17,"      &lt;material&gt;&lt;mattext texttype=""text/html""&gt;"&amp;Generation!$G17&amp;"&lt;/mattext&gt;&lt;/material&gt;","")</f>
        <v/>
      </c>
      <c r="B615" s="48" t="n"/>
      <c r="C615" s="48" t="n"/>
    </row>
    <row r="616" ht="18" customHeight="1" s="17">
      <c r="A616" s="48">
        <f>IF(Generation!$B17,"      &lt;response_lid ident=""RESPONSE"" rcardinality="""&amp;Generation!$E17&amp;"""&gt;","")</f>
        <v/>
      </c>
      <c r="B616" s="48" t="n"/>
      <c r="C616" s="48" t="n"/>
    </row>
    <row r="617" ht="18" customHeight="1" s="17">
      <c r="A617" s="48">
        <f>IF(Generation!$B17,"        &lt;render_choice shuffle=""No""&gt;","")</f>
        <v/>
      </c>
      <c r="B617" s="48" t="n"/>
      <c r="C617" s="48" t="n"/>
    </row>
    <row r="618" ht="18" customHeight="1" s="17">
      <c r="A618" s="48">
        <f>IF(Generation!AB17="","",Generation!AB17)</f>
        <v/>
      </c>
      <c r="B618" s="48" t="n"/>
      <c r="C618" s="48" t="n"/>
    </row>
    <row r="619" ht="18" customHeight="1" s="17">
      <c r="A619" s="48">
        <f>IF(Generation!AC17="","",Generation!AC17)</f>
        <v/>
      </c>
      <c r="B619" s="48" t="n"/>
      <c r="C619" s="48" t="n"/>
    </row>
    <row r="620" ht="18" customHeight="1" s="17">
      <c r="A620" s="48">
        <f>IF(Generation!AD17="","",Generation!AD17)</f>
        <v/>
      </c>
      <c r="B620" s="48" t="n"/>
      <c r="C620" s="48" t="n"/>
    </row>
    <row r="621" ht="18" customHeight="1" s="17">
      <c r="A621" s="48">
        <f>IF(Generation!AE17="","",Generation!AE17)</f>
        <v/>
      </c>
      <c r="B621" s="48" t="n"/>
      <c r="C621" s="48" t="n"/>
    </row>
    <row r="622" ht="18" customHeight="1" s="17">
      <c r="A622" s="48">
        <f>IF(Generation!AF17="","",Generation!AF17)</f>
        <v/>
      </c>
      <c r="B622" s="48" t="n"/>
      <c r="C622" s="48" t="n"/>
    </row>
    <row r="623" ht="18" customHeight="1" s="17">
      <c r="A623" s="48">
        <f>IF(Generation!AG17="","",Generation!AG17)</f>
        <v/>
      </c>
      <c r="B623" s="48" t="n"/>
      <c r="C623" s="48" t="n"/>
    </row>
    <row r="624" ht="18" customHeight="1" s="17">
      <c r="A624" s="48">
        <f>IF(Generation!AH17="","",Generation!AH17)</f>
        <v/>
      </c>
      <c r="B624" s="48" t="n"/>
      <c r="C624" s="48" t="n"/>
    </row>
    <row r="625" ht="18" customHeight="1" s="17">
      <c r="A625" s="48">
        <f>IF(Generation!AI17="","",Generation!AI17)</f>
        <v/>
      </c>
      <c r="B625" s="48" t="n"/>
      <c r="C625" s="48" t="n"/>
    </row>
    <row r="626" ht="18" customHeight="1" s="17">
      <c r="A626" s="48">
        <f>IF(Generation!$B17,"        &lt;/render_choice&gt;","")</f>
        <v/>
      </c>
      <c r="B626" s="48" t="n"/>
      <c r="C626" s="48" t="n"/>
    </row>
    <row r="627" ht="18" customHeight="1" s="17">
      <c r="A627" s="48">
        <f>IF(Generation!$B17,"      &lt;/response_lid&gt;","")</f>
        <v/>
      </c>
      <c r="B627" s="48" t="n"/>
      <c r="C627" s="48" t="n"/>
    </row>
    <row r="628" ht="18" customHeight="1" s="17">
      <c r="A628" s="48">
        <f>IF(Generation!$B17,"    &lt;/presentation&gt;","")</f>
        <v/>
      </c>
      <c r="B628" s="48" t="n"/>
      <c r="C628" s="48" t="n"/>
    </row>
    <row r="629" ht="18" customHeight="1" s="17">
      <c r="A629" s="48">
        <f>IF(Generation!$B17,"    &lt;resprocessing&gt;","")</f>
        <v/>
      </c>
      <c r="B629" s="48" t="n"/>
      <c r="C629" s="48" t="n"/>
    </row>
    <row r="630" ht="18" customHeight="1" s="17">
      <c r="A630" s="48">
        <f>IF(Generation!$B17,"      &lt;outcomes&gt;&lt;decvar varname=""SCORE"" vartype=""Decimal"" minvalue=""0"" maxvalue="""&amp;Generation!$H17&amp;"""/&gt;&lt;/outcomes&gt;","")</f>
        <v/>
      </c>
      <c r="B630" s="48" t="n"/>
      <c r="C630" s="48" t="n"/>
    </row>
    <row r="631" ht="18" customHeight="1" s="17">
      <c r="A631" s="48">
        <f>IF(Generation!AJ17="","",Generation!AJ17)</f>
        <v/>
      </c>
      <c r="B631" s="48" t="n"/>
      <c r="C631" s="48" t="n"/>
    </row>
    <row r="632" ht="18" customHeight="1" s="17">
      <c r="A632" s="48">
        <f>IF(Generation!AK17="","",Generation!AK17)</f>
        <v/>
      </c>
      <c r="B632" s="48" t="n"/>
      <c r="C632" s="48" t="n"/>
    </row>
    <row r="633" ht="18" customHeight="1" s="17">
      <c r="A633" s="48">
        <f>IF(Generation!AL17="","",Generation!AL17)</f>
        <v/>
      </c>
      <c r="B633" s="48" t="n"/>
      <c r="C633" s="48" t="n"/>
    </row>
    <row r="634" ht="18" customHeight="1" s="17">
      <c r="A634" s="48">
        <f>IF(Generation!AM17="","",Generation!AM17)</f>
        <v/>
      </c>
      <c r="B634" s="48" t="n"/>
      <c r="C634" s="48" t="n"/>
    </row>
    <row r="635" ht="18" customHeight="1" s="17">
      <c r="A635" s="48">
        <f>IF(Generation!AN17="","",Generation!AN17)</f>
        <v/>
      </c>
      <c r="B635" s="48" t="n"/>
      <c r="C635" s="48" t="n"/>
    </row>
    <row r="636" ht="18" customHeight="1" s="17">
      <c r="A636" s="48">
        <f>IF(Generation!AO17="","",Generation!AO17)</f>
        <v/>
      </c>
      <c r="B636" s="48" t="n"/>
      <c r="C636" s="48" t="n"/>
    </row>
    <row r="637" ht="18" customHeight="1" s="17">
      <c r="A637" s="48">
        <f>IF(Generation!AP17="","",Generation!AP17)</f>
        <v/>
      </c>
      <c r="B637" s="48" t="n"/>
      <c r="C637" s="48" t="n"/>
    </row>
    <row r="638" ht="18" customHeight="1" s="17">
      <c r="A638" s="48">
        <f>IF(Generation!AQ17="","",Generation!AQ17)</f>
        <v/>
      </c>
      <c r="B638" s="48" t="n"/>
      <c r="C638" s="48" t="n"/>
    </row>
    <row r="639" ht="18" customHeight="1" s="17">
      <c r="A639" s="48">
        <f>IF(Generation!$B17,"    &lt;/resprocessing&gt;","")</f>
        <v/>
      </c>
      <c r="B639" s="48" t="n"/>
      <c r="C639" s="48" t="n"/>
    </row>
    <row r="640" ht="18" customHeight="1" s="17">
      <c r="A640" s="48">
        <f>IF(Generation!BB17="","",Generation!BB17)</f>
        <v/>
      </c>
      <c r="B640" s="48" t="n"/>
      <c r="C640" s="48" t="n"/>
    </row>
    <row r="641" ht="18" customHeight="1" s="17">
      <c r="A641" s="48">
        <f>IF(Generation!BC17="","",Generation!BC17)</f>
        <v/>
      </c>
      <c r="B641" s="48" t="n"/>
      <c r="C641" s="48" t="n"/>
    </row>
    <row r="642" ht="18" customHeight="1" s="17">
      <c r="A642" s="48">
        <f>IF(Generation!BD17="","",Generation!BD17)</f>
        <v/>
      </c>
      <c r="B642" s="48" t="n"/>
      <c r="C642" s="48" t="n"/>
    </row>
    <row r="643" ht="18" customHeight="1" s="17">
      <c r="A643" s="48">
        <f>IF(Generation!BE17="","",Generation!BE17)</f>
        <v/>
      </c>
      <c r="B643" s="48" t="n"/>
      <c r="C643" s="48" t="n"/>
    </row>
    <row r="644" ht="18" customHeight="1" s="17">
      <c r="A644" s="48">
        <f>IF(Generation!BF17="","",Generation!BF17)</f>
        <v/>
      </c>
      <c r="B644" s="48" t="n"/>
      <c r="C644" s="48" t="n"/>
    </row>
    <row r="645" ht="18" customHeight="1" s="17">
      <c r="A645" s="48">
        <f>IF(Generation!BG17="","",Generation!BG17)</f>
        <v/>
      </c>
      <c r="B645" s="48" t="n"/>
      <c r="C645" s="48" t="n"/>
    </row>
    <row r="646" ht="18" customHeight="1" s="17">
      <c r="A646" s="48">
        <f>IF(Generation!BH17="","",Generation!BH17)</f>
        <v/>
      </c>
      <c r="B646" s="48" t="n"/>
      <c r="C646" s="48" t="n"/>
    </row>
    <row r="647" ht="18" customHeight="1" s="17">
      <c r="A647" s="48">
        <f>IF(Generation!BI17="","",Generation!BI17)</f>
        <v/>
      </c>
      <c r="B647" s="48" t="n"/>
      <c r="C647" s="48" t="n"/>
    </row>
    <row r="648" ht="18" customHeight="1" s="17">
      <c r="A648" s="48">
        <f>IF(Generation!BJ17="","",Generation!BJ17)</f>
        <v/>
      </c>
      <c r="B648" s="48" t="n"/>
      <c r="C648" s="48" t="n"/>
    </row>
    <row r="649" ht="18" customHeight="1" s="17">
      <c r="A649" s="48">
        <f>IF(Generation!$B17,"  &lt;/item&gt;","")</f>
        <v/>
      </c>
      <c r="B649" s="48" t="n"/>
      <c r="C649" s="48" t="n"/>
    </row>
    <row r="650" ht="18" customHeight="1" s="17">
      <c r="A650" s="48">
        <f>""</f>
        <v/>
      </c>
      <c r="B650" s="48" t="n"/>
      <c r="C650" s="48" t="n"/>
    </row>
    <row r="651" ht="18" customHeight="1" s="17">
      <c r="A651" s="48">
        <f>""</f>
        <v/>
      </c>
      <c r="B651" s="48" t="n"/>
      <c r="C651" s="48" t="n"/>
    </row>
    <row r="652" ht="18" customHeight="1" s="17">
      <c r="A652" s="48">
        <f>""</f>
        <v/>
      </c>
      <c r="B652" s="48" t="n"/>
      <c r="C652" s="48" t="n"/>
    </row>
    <row r="653" ht="18" customHeight="1" s="17">
      <c r="A653" s="48">
        <f>""</f>
        <v/>
      </c>
      <c r="B653" s="48" t="n"/>
      <c r="C653" s="48" t="n"/>
    </row>
    <row r="654" ht="18" customHeight="1" s="17">
      <c r="A654" s="48">
        <f>IF(Generation!$B18,"  &lt;item ident=""il_0_qst_"&amp;TEXT(Generation!$A18,"000")&amp;""" title="""&amp;Generation!$F18&amp;"""&gt;","")</f>
        <v/>
      </c>
      <c r="B654" s="48" t="n"/>
      <c r="C654" s="48" t="n"/>
    </row>
    <row r="655" ht="18" customHeight="1" s="17">
      <c r="A655" s="48">
        <f>IF(Generation!$B18,"    &lt;duration&gt;P0Y0M0DT0H1M0S&lt;/duration&gt;","")</f>
        <v/>
      </c>
      <c r="B655" s="48" t="n"/>
      <c r="C655" s="48" t="n"/>
    </row>
    <row r="656" ht="18" customHeight="1" s="17">
      <c r="A656" s="48">
        <f>IF(Generation!$B18,"    &lt;itemmetadata&gt;","")</f>
        <v/>
      </c>
      <c r="B656" s="48" t="n"/>
      <c r="C656" s="48" t="n"/>
    </row>
    <row r="657" ht="18" customHeight="1" s="17">
      <c r="A657" s="48">
        <f>IF(Generation!$B18,"      &lt;qtimetadata&gt;","")</f>
        <v/>
      </c>
      <c r="B657" s="48" t="n"/>
      <c r="C657" s="48" t="n"/>
    </row>
    <row r="658" ht="18" customHeight="1" s="17">
      <c r="A658" s="48">
        <f>IF(Generation!$B18,"        &lt;qtimetadatafield&gt;&lt;fieldlabel&gt;ILIAS_VERSION&lt;/fieldlabel&gt;&lt;fieldentry&gt;8&lt;/fieldentry&gt;&lt;/qtimetadatafield&gt;","")</f>
        <v/>
      </c>
      <c r="B658" s="48" t="n"/>
      <c r="C658" s="48" t="n"/>
    </row>
    <row r="659" ht="18" customHeight="1" s="17">
      <c r="A659" s="48">
        <f>IF(Generation!$B18,"        &lt;qtimetadatafield&gt;&lt;fieldlabel&gt;QUESTIONTYPE&lt;/fieldlabel&gt;&lt;fieldentry&gt;"&amp;Generation!$D18&amp;"&lt;/fieldentry&gt;&lt;/qtimetadatafield&gt;","")</f>
        <v/>
      </c>
      <c r="B659" s="48" t="n"/>
      <c r="C659" s="48" t="n"/>
    </row>
    <row r="660" ht="18" customHeight="1" s="17">
      <c r="A660" s="48">
        <f>IF(Generation!$B18,"        &lt;qtimetadatafield&gt;&lt;fieldlabel&gt;AUTHOR&lt;/fieldlabel&gt;&lt;fieldentry&gt;"&amp;Generation!$AR18&amp;"&lt;/fieldentry&gt;&lt;/qtimetadatafield&gt;","")</f>
        <v/>
      </c>
      <c r="B660" s="48" t="n"/>
      <c r="C660" s="48" t="n"/>
    </row>
    <row r="661" ht="18" customHeight="1" s="17">
      <c r="A661" s="48">
        <f>IF(Generation!$B18,"        &lt;qtimetadatafield&gt;&lt;fieldlabel&gt;identicalScoring&lt;/fieldlabel&gt;&lt;fieldentry&gt;1&lt;/fieldentry&gt;&lt;/qtimetadatafield&gt;","")</f>
        <v/>
      </c>
      <c r="B661" s="48" t="n"/>
      <c r="C661" s="48" t="n"/>
    </row>
    <row r="662" ht="18" customHeight="1" s="17">
      <c r="A662" s="48">
        <f>IF(Generation!$B18,"      &lt;/qtimetadata&gt;","")</f>
        <v/>
      </c>
      <c r="B662" s="48" t="n"/>
      <c r="C662" s="48" t="n"/>
    </row>
    <row r="663" ht="18" customHeight="1" s="17">
      <c r="A663" s="48">
        <f>IF(Generation!$B18,"    &lt;/itemmetadata&gt;","")</f>
        <v/>
      </c>
      <c r="B663" s="48" t="n"/>
      <c r="C663" s="48" t="n"/>
    </row>
    <row r="664" ht="18" customHeight="1" s="17">
      <c r="A664" s="48">
        <f>IF(Generation!$B18,"    &lt;presentation label="""&amp;Generation!$F18&amp;"""&gt;","")</f>
        <v/>
      </c>
      <c r="B664" s="48" t="n"/>
      <c r="C664" s="48" t="n"/>
    </row>
    <row r="665" ht="18" customHeight="1" s="17">
      <c r="A665" s="48">
        <f>IF(Generation!$B18,"      &lt;material&gt;&lt;mattext texttype=""text/html""&gt;"&amp;Generation!$G18&amp;"&lt;/mattext&gt;&lt;/material&gt;","")</f>
        <v/>
      </c>
      <c r="B665" s="48" t="n"/>
      <c r="C665" s="48" t="n"/>
    </row>
    <row r="666" ht="18" customHeight="1" s="17">
      <c r="A666" s="48">
        <f>IF(Generation!$B18,"      &lt;response_lid ident=""RESPONSE"" rcardinality="""&amp;Generation!$E18&amp;"""&gt;","")</f>
        <v/>
      </c>
      <c r="B666" s="48" t="n"/>
      <c r="C666" s="48" t="n"/>
    </row>
    <row r="667" ht="18" customHeight="1" s="17">
      <c r="A667" s="48">
        <f>IF(Generation!$B18,"        &lt;render_choice shuffle=""No""&gt;","")</f>
        <v/>
      </c>
      <c r="B667" s="48" t="n"/>
      <c r="C667" s="48" t="n"/>
    </row>
    <row r="668" ht="18" customHeight="1" s="17">
      <c r="A668" s="48">
        <f>IF(Generation!AB18="","",Generation!AB18)</f>
        <v/>
      </c>
      <c r="B668" s="48" t="n"/>
      <c r="C668" s="48" t="n"/>
    </row>
    <row r="669" ht="18" customHeight="1" s="17">
      <c r="A669" s="48">
        <f>IF(Generation!AC18="","",Generation!AC18)</f>
        <v/>
      </c>
      <c r="B669" s="48" t="n"/>
      <c r="C669" s="48" t="n"/>
    </row>
    <row r="670" ht="18" customHeight="1" s="17">
      <c r="A670" s="48">
        <f>IF(Generation!AD18="","",Generation!AD18)</f>
        <v/>
      </c>
      <c r="B670" s="48" t="n"/>
      <c r="C670" s="48" t="n"/>
    </row>
    <row r="671" ht="18" customHeight="1" s="17">
      <c r="A671" s="48">
        <f>IF(Generation!AE18="","",Generation!AE18)</f>
        <v/>
      </c>
      <c r="B671" s="48" t="n"/>
      <c r="C671" s="48" t="n"/>
    </row>
    <row r="672" ht="18" customHeight="1" s="17">
      <c r="A672" s="48">
        <f>IF(Generation!AF18="","",Generation!AF18)</f>
        <v/>
      </c>
      <c r="B672" s="48" t="n"/>
      <c r="C672" s="48" t="n"/>
    </row>
    <row r="673" ht="18" customHeight="1" s="17">
      <c r="A673" s="48">
        <f>IF(Generation!AG18="","",Generation!AG18)</f>
        <v/>
      </c>
      <c r="B673" s="48" t="n"/>
      <c r="C673" s="48" t="n"/>
    </row>
    <row r="674" ht="18" customHeight="1" s="17">
      <c r="A674" s="48">
        <f>IF(Generation!AH18="","",Generation!AH18)</f>
        <v/>
      </c>
      <c r="B674" s="48" t="n"/>
      <c r="C674" s="48" t="n"/>
    </row>
    <row r="675" ht="18" customHeight="1" s="17">
      <c r="A675" s="48">
        <f>IF(Generation!AI18="","",Generation!AI18)</f>
        <v/>
      </c>
      <c r="B675" s="48" t="n"/>
      <c r="C675" s="48" t="n"/>
    </row>
    <row r="676" ht="18" customHeight="1" s="17">
      <c r="A676" s="48">
        <f>IF(Generation!$B18,"        &lt;/render_choice&gt;","")</f>
        <v/>
      </c>
      <c r="B676" s="48" t="n"/>
      <c r="C676" s="48" t="n"/>
    </row>
    <row r="677" ht="18" customHeight="1" s="17">
      <c r="A677" s="48">
        <f>IF(Generation!$B18,"      &lt;/response_lid&gt;","")</f>
        <v/>
      </c>
      <c r="B677" s="48" t="n"/>
      <c r="C677" s="48" t="n"/>
    </row>
    <row r="678" ht="18" customHeight="1" s="17">
      <c r="A678" s="48">
        <f>IF(Generation!$B18,"    &lt;/presentation&gt;","")</f>
        <v/>
      </c>
      <c r="B678" s="48" t="n"/>
      <c r="C678" s="48" t="n"/>
    </row>
    <row r="679" ht="18" customHeight="1" s="17">
      <c r="A679" s="48">
        <f>IF(Generation!$B18,"    &lt;resprocessing&gt;","")</f>
        <v/>
      </c>
      <c r="B679" s="48" t="n"/>
      <c r="C679" s="48" t="n"/>
    </row>
    <row r="680" ht="18" customHeight="1" s="17">
      <c r="A680" s="48">
        <f>IF(Generation!$B18,"      &lt;outcomes&gt;&lt;decvar varname=""SCORE"" vartype=""Decimal"" minvalue=""0"" maxvalue="""&amp;Generation!$H18&amp;"""/&gt;&lt;/outcomes&gt;","")</f>
        <v/>
      </c>
      <c r="B680" s="48" t="n"/>
      <c r="C680" s="48" t="n"/>
    </row>
    <row r="681" ht="18" customHeight="1" s="17">
      <c r="A681" s="48">
        <f>IF(Generation!AJ18="","",Generation!AJ18)</f>
        <v/>
      </c>
      <c r="B681" s="48" t="n"/>
      <c r="C681" s="48" t="n"/>
    </row>
    <row r="682" ht="18" customHeight="1" s="17">
      <c r="A682" s="48">
        <f>IF(Generation!AK18="","",Generation!AK18)</f>
        <v/>
      </c>
      <c r="B682" s="48" t="n"/>
      <c r="C682" s="48" t="n"/>
    </row>
    <row r="683" ht="18" customHeight="1" s="17">
      <c r="A683" s="48">
        <f>IF(Generation!AL18="","",Generation!AL18)</f>
        <v/>
      </c>
      <c r="B683" s="48" t="n"/>
      <c r="C683" s="48" t="n"/>
    </row>
    <row r="684" ht="18" customHeight="1" s="17">
      <c r="A684" s="48">
        <f>IF(Generation!AM18="","",Generation!AM18)</f>
        <v/>
      </c>
      <c r="B684" s="48" t="n"/>
      <c r="C684" s="48" t="n"/>
    </row>
    <row r="685" ht="18" customHeight="1" s="17">
      <c r="A685" s="48">
        <f>IF(Generation!AN18="","",Generation!AN18)</f>
        <v/>
      </c>
      <c r="B685" s="48" t="n"/>
      <c r="C685" s="48" t="n"/>
    </row>
    <row r="686" ht="18" customHeight="1" s="17">
      <c r="A686" s="48">
        <f>IF(Generation!AO18="","",Generation!AO18)</f>
        <v/>
      </c>
      <c r="B686" s="48" t="n"/>
      <c r="C686" s="48" t="n"/>
    </row>
    <row r="687" ht="18" customHeight="1" s="17">
      <c r="A687" s="48">
        <f>IF(Generation!AP18="","",Generation!AP18)</f>
        <v/>
      </c>
      <c r="B687" s="48" t="n"/>
      <c r="C687" s="48" t="n"/>
    </row>
    <row r="688" ht="18" customHeight="1" s="17">
      <c r="A688" s="48">
        <f>IF(Generation!AQ18="","",Generation!AQ18)</f>
        <v/>
      </c>
      <c r="B688" s="48" t="n"/>
      <c r="C688" s="48" t="n"/>
    </row>
    <row r="689" ht="18" customHeight="1" s="17">
      <c r="A689" s="48">
        <f>IF(Generation!$B18,"    &lt;/resprocessing&gt;","")</f>
        <v/>
      </c>
      <c r="B689" s="48" t="n"/>
      <c r="C689" s="48" t="n"/>
    </row>
    <row r="690" ht="18" customHeight="1" s="17">
      <c r="A690" s="48">
        <f>IF(Generation!BB18="","",Generation!BB18)</f>
        <v/>
      </c>
      <c r="B690" s="48" t="n"/>
      <c r="C690" s="48" t="n"/>
    </row>
    <row r="691" ht="18" customHeight="1" s="17">
      <c r="A691" s="48">
        <f>IF(Generation!BC18="","",Generation!BC18)</f>
        <v/>
      </c>
      <c r="B691" s="48" t="n"/>
      <c r="C691" s="48" t="n"/>
    </row>
    <row r="692" ht="18" customHeight="1" s="17">
      <c r="A692" s="48">
        <f>IF(Generation!BD18="","",Generation!BD18)</f>
        <v/>
      </c>
      <c r="B692" s="48" t="n"/>
      <c r="C692" s="48" t="n"/>
    </row>
    <row r="693" ht="18" customHeight="1" s="17">
      <c r="A693" s="48">
        <f>IF(Generation!BE18="","",Generation!BE18)</f>
        <v/>
      </c>
      <c r="B693" s="48" t="n"/>
      <c r="C693" s="48" t="n"/>
    </row>
    <row r="694" ht="18" customHeight="1" s="17">
      <c r="A694" s="48">
        <f>IF(Generation!BF18="","",Generation!BF18)</f>
        <v/>
      </c>
      <c r="B694" s="48" t="n"/>
      <c r="C694" s="48" t="n"/>
    </row>
    <row r="695" ht="18" customHeight="1" s="17">
      <c r="A695" s="48">
        <f>IF(Generation!BG18="","",Generation!BG18)</f>
        <v/>
      </c>
      <c r="B695" s="48" t="n"/>
      <c r="C695" s="48" t="n"/>
    </row>
    <row r="696" ht="18" customHeight="1" s="17">
      <c r="A696" s="48">
        <f>IF(Generation!BH18="","",Generation!BH18)</f>
        <v/>
      </c>
      <c r="B696" s="48" t="n"/>
      <c r="C696" s="48" t="n"/>
    </row>
    <row r="697" ht="18" customHeight="1" s="17">
      <c r="A697" s="48">
        <f>IF(Generation!BI18="","",Generation!BI18)</f>
        <v/>
      </c>
      <c r="B697" s="48" t="n"/>
      <c r="C697" s="48" t="n"/>
    </row>
    <row r="698" ht="18" customHeight="1" s="17">
      <c r="A698" s="48">
        <f>IF(Generation!BJ18="","",Generation!BJ18)</f>
        <v/>
      </c>
      <c r="B698" s="48" t="n"/>
      <c r="C698" s="48" t="n"/>
    </row>
    <row r="699" ht="18" customHeight="1" s="17">
      <c r="A699" s="48">
        <f>IF(Generation!$B18,"  &lt;/item&gt;","")</f>
        <v/>
      </c>
      <c r="B699" s="48" t="n"/>
      <c r="C699" s="48" t="n"/>
    </row>
    <row r="700" ht="18" customHeight="1" s="17">
      <c r="A700" s="48">
        <f>""</f>
        <v/>
      </c>
      <c r="B700" s="48" t="n"/>
      <c r="C700" s="48" t="n"/>
    </row>
    <row r="701" ht="18" customHeight="1" s="17">
      <c r="A701" s="48">
        <f>""</f>
        <v/>
      </c>
      <c r="B701" s="48" t="n"/>
      <c r="C701" s="48" t="n"/>
    </row>
    <row r="702" ht="18" customHeight="1" s="17">
      <c r="A702" s="48">
        <f>""</f>
        <v/>
      </c>
      <c r="B702" s="48" t="n"/>
      <c r="C702" s="48" t="n"/>
    </row>
    <row r="703" ht="18" customHeight="1" s="17">
      <c r="A703" s="48">
        <f>""</f>
        <v/>
      </c>
      <c r="B703" s="48" t="n"/>
      <c r="C703" s="48" t="n"/>
    </row>
    <row r="704" ht="18" customHeight="1" s="17">
      <c r="A704" s="48">
        <f>IF(Generation!$B19,"  &lt;item ident=""il_0_qst_"&amp;TEXT(Generation!$A19,"000")&amp;""" title="""&amp;Generation!$F19&amp;"""&gt;","")</f>
        <v/>
      </c>
      <c r="B704" s="48" t="n"/>
      <c r="C704" s="48" t="n"/>
    </row>
    <row r="705" ht="18" customHeight="1" s="17">
      <c r="A705" s="48">
        <f>IF(Generation!$B19,"    &lt;duration&gt;P0Y0M0DT0H1M0S&lt;/duration&gt;","")</f>
        <v/>
      </c>
      <c r="B705" s="48" t="n"/>
      <c r="C705" s="48" t="n"/>
    </row>
    <row r="706" ht="18" customHeight="1" s="17">
      <c r="A706" s="48">
        <f>IF(Generation!$B19,"    &lt;itemmetadata&gt;","")</f>
        <v/>
      </c>
      <c r="B706" s="48" t="n"/>
      <c r="C706" s="48" t="n"/>
    </row>
    <row r="707" ht="18" customHeight="1" s="17">
      <c r="A707" s="48">
        <f>IF(Generation!$B19,"      &lt;qtimetadata&gt;","")</f>
        <v/>
      </c>
      <c r="B707" s="48" t="n"/>
      <c r="C707" s="48" t="n"/>
    </row>
    <row r="708" ht="18" customHeight="1" s="17">
      <c r="A708" s="48">
        <f>IF(Generation!$B19,"        &lt;qtimetadatafield&gt;&lt;fieldlabel&gt;ILIAS_VERSION&lt;/fieldlabel&gt;&lt;fieldentry&gt;8&lt;/fieldentry&gt;&lt;/qtimetadatafield&gt;","")</f>
        <v/>
      </c>
      <c r="B708" s="48" t="n"/>
      <c r="C708" s="48" t="n"/>
    </row>
    <row r="709" ht="18" customHeight="1" s="17">
      <c r="A709" s="48">
        <f>IF(Generation!$B19,"        &lt;qtimetadatafield&gt;&lt;fieldlabel&gt;QUESTIONTYPE&lt;/fieldlabel&gt;&lt;fieldentry&gt;"&amp;Generation!$D19&amp;"&lt;/fieldentry&gt;&lt;/qtimetadatafield&gt;","")</f>
        <v/>
      </c>
      <c r="B709" s="48" t="n"/>
      <c r="C709" s="48" t="n"/>
    </row>
    <row r="710" ht="18" customHeight="1" s="17">
      <c r="A710" s="48">
        <f>IF(Generation!$B19,"        &lt;qtimetadatafield&gt;&lt;fieldlabel&gt;AUTHOR&lt;/fieldlabel&gt;&lt;fieldentry&gt;"&amp;Generation!$AR19&amp;"&lt;/fieldentry&gt;&lt;/qtimetadatafield&gt;","")</f>
        <v/>
      </c>
      <c r="B710" s="48" t="n"/>
      <c r="C710" s="48" t="n"/>
    </row>
    <row r="711" ht="18" customHeight="1" s="17">
      <c r="A711" s="48">
        <f>IF(Generation!$B19,"        &lt;qtimetadatafield&gt;&lt;fieldlabel&gt;identicalScoring&lt;/fieldlabel&gt;&lt;fieldentry&gt;1&lt;/fieldentry&gt;&lt;/qtimetadatafield&gt;","")</f>
        <v/>
      </c>
      <c r="B711" s="48" t="n"/>
      <c r="C711" s="48" t="n"/>
    </row>
    <row r="712" ht="18" customHeight="1" s="17">
      <c r="A712" s="48">
        <f>IF(Generation!$B19,"      &lt;/qtimetadata&gt;","")</f>
        <v/>
      </c>
      <c r="B712" s="48" t="n"/>
      <c r="C712" s="48" t="n"/>
    </row>
    <row r="713" ht="18" customHeight="1" s="17">
      <c r="A713" s="48">
        <f>IF(Generation!$B19,"    &lt;/itemmetadata&gt;","")</f>
        <v/>
      </c>
      <c r="B713" s="48" t="n"/>
      <c r="C713" s="48" t="n"/>
    </row>
    <row r="714" ht="18" customHeight="1" s="17">
      <c r="A714" s="48">
        <f>IF(Generation!$B19,"    &lt;presentation label="""&amp;Generation!$F19&amp;"""&gt;","")</f>
        <v/>
      </c>
      <c r="B714" s="48" t="n"/>
      <c r="C714" s="48" t="n"/>
    </row>
    <row r="715" ht="18" customHeight="1" s="17">
      <c r="A715" s="48">
        <f>IF(Generation!$B19,"      &lt;material&gt;&lt;mattext texttype=""text/html""&gt;"&amp;Generation!$G19&amp;"&lt;/mattext&gt;&lt;/material&gt;","")</f>
        <v/>
      </c>
      <c r="B715" s="48" t="n"/>
      <c r="C715" s="48" t="n"/>
    </row>
    <row r="716" ht="18" customHeight="1" s="17">
      <c r="A716" s="48">
        <f>IF(Generation!$B19,"      &lt;response_lid ident=""RESPONSE"" rcardinality="""&amp;Generation!$E19&amp;"""&gt;","")</f>
        <v/>
      </c>
      <c r="B716" s="48" t="n"/>
      <c r="C716" s="48" t="n"/>
    </row>
    <row r="717" ht="18" customHeight="1" s="17">
      <c r="A717" s="48">
        <f>IF(Generation!$B19,"        &lt;render_choice shuffle=""No""&gt;","")</f>
        <v/>
      </c>
      <c r="B717" s="48" t="n"/>
      <c r="C717" s="48" t="n"/>
    </row>
    <row r="718" ht="18" customHeight="1" s="17">
      <c r="A718" s="48">
        <f>IF(Generation!AB19="","",Generation!AB19)</f>
        <v/>
      </c>
      <c r="B718" s="48" t="n"/>
      <c r="C718" s="48" t="n"/>
    </row>
    <row r="719" ht="18" customHeight="1" s="17">
      <c r="A719" s="48">
        <f>IF(Generation!AC19="","",Generation!AC19)</f>
        <v/>
      </c>
      <c r="B719" s="48" t="n"/>
      <c r="C719" s="48" t="n"/>
    </row>
    <row r="720" ht="18" customHeight="1" s="17">
      <c r="A720" s="48">
        <f>IF(Generation!AD19="","",Generation!AD19)</f>
        <v/>
      </c>
      <c r="B720" s="48" t="n"/>
      <c r="C720" s="48" t="n"/>
    </row>
    <row r="721" ht="18" customHeight="1" s="17">
      <c r="A721" s="48">
        <f>IF(Generation!AE19="","",Generation!AE19)</f>
        <v/>
      </c>
      <c r="B721" s="48" t="n"/>
      <c r="C721" s="48" t="n"/>
    </row>
    <row r="722" ht="18" customHeight="1" s="17">
      <c r="A722" s="48">
        <f>IF(Generation!AF19="","",Generation!AF19)</f>
        <v/>
      </c>
      <c r="B722" s="48" t="n"/>
      <c r="C722" s="48" t="n"/>
    </row>
    <row r="723" ht="18" customHeight="1" s="17">
      <c r="A723" s="48">
        <f>IF(Generation!AG19="","",Generation!AG19)</f>
        <v/>
      </c>
      <c r="B723" s="48" t="n"/>
      <c r="C723" s="48" t="n"/>
    </row>
    <row r="724" ht="18" customHeight="1" s="17">
      <c r="A724" s="48">
        <f>IF(Generation!AH19="","",Generation!AH19)</f>
        <v/>
      </c>
      <c r="B724" s="48" t="n"/>
      <c r="C724" s="48" t="n"/>
    </row>
    <row r="725" ht="18" customHeight="1" s="17">
      <c r="A725" s="48">
        <f>IF(Generation!AI19="","",Generation!AI19)</f>
        <v/>
      </c>
      <c r="B725" s="48" t="n"/>
      <c r="C725" s="48" t="n"/>
    </row>
    <row r="726" ht="18" customHeight="1" s="17">
      <c r="A726" s="48">
        <f>IF(Generation!$B19,"        &lt;/render_choice&gt;","")</f>
        <v/>
      </c>
      <c r="B726" s="48" t="n"/>
      <c r="C726" s="48" t="n"/>
    </row>
    <row r="727" ht="18" customHeight="1" s="17">
      <c r="A727" s="48">
        <f>IF(Generation!$B19,"      &lt;/response_lid&gt;","")</f>
        <v/>
      </c>
      <c r="B727" s="48" t="n"/>
      <c r="C727" s="48" t="n"/>
    </row>
    <row r="728" ht="18" customHeight="1" s="17">
      <c r="A728" s="48">
        <f>IF(Generation!$B19,"    &lt;/presentation&gt;","")</f>
        <v/>
      </c>
      <c r="B728" s="48" t="n"/>
      <c r="C728" s="48" t="n"/>
    </row>
    <row r="729" ht="18" customHeight="1" s="17">
      <c r="A729" s="48">
        <f>IF(Generation!$B19,"    &lt;resprocessing&gt;","")</f>
        <v/>
      </c>
      <c r="B729" s="48" t="n"/>
      <c r="C729" s="48" t="n"/>
    </row>
    <row r="730" ht="18" customHeight="1" s="17">
      <c r="A730" s="48">
        <f>IF(Generation!$B19,"      &lt;outcomes&gt;&lt;decvar varname=""SCORE"" vartype=""Decimal"" minvalue=""0"" maxvalue="""&amp;Generation!$H19&amp;"""/&gt;&lt;/outcomes&gt;","")</f>
        <v/>
      </c>
      <c r="B730" s="48" t="n"/>
      <c r="C730" s="48" t="n"/>
    </row>
    <row r="731" ht="18" customHeight="1" s="17">
      <c r="A731" s="48">
        <f>IF(Generation!AJ19="","",Generation!AJ19)</f>
        <v/>
      </c>
      <c r="B731" s="48" t="n"/>
      <c r="C731" s="48" t="n"/>
    </row>
    <row r="732" ht="18" customHeight="1" s="17">
      <c r="A732" s="48">
        <f>IF(Generation!AK19="","",Generation!AK19)</f>
        <v/>
      </c>
      <c r="B732" s="48" t="n"/>
      <c r="C732" s="48" t="n"/>
    </row>
    <row r="733" ht="18" customHeight="1" s="17">
      <c r="A733" s="48">
        <f>IF(Generation!AL19="","",Generation!AL19)</f>
        <v/>
      </c>
      <c r="B733" s="48" t="n"/>
      <c r="C733" s="48" t="n"/>
    </row>
    <row r="734" ht="18" customHeight="1" s="17">
      <c r="A734" s="48">
        <f>IF(Generation!AM19="","",Generation!AM19)</f>
        <v/>
      </c>
      <c r="B734" s="48" t="n"/>
      <c r="C734" s="48" t="n"/>
    </row>
    <row r="735" ht="18" customHeight="1" s="17">
      <c r="A735" s="48">
        <f>IF(Generation!AN19="","",Generation!AN19)</f>
        <v/>
      </c>
      <c r="B735" s="48" t="n"/>
      <c r="C735" s="48" t="n"/>
    </row>
    <row r="736" ht="18" customHeight="1" s="17">
      <c r="A736" s="48">
        <f>IF(Generation!AO19="","",Generation!AO19)</f>
        <v/>
      </c>
      <c r="B736" s="48" t="n"/>
      <c r="C736" s="48" t="n"/>
    </row>
    <row r="737" ht="18" customHeight="1" s="17">
      <c r="A737" s="48">
        <f>IF(Generation!AP19="","",Generation!AP19)</f>
        <v/>
      </c>
      <c r="B737" s="48" t="n"/>
      <c r="C737" s="48" t="n"/>
    </row>
    <row r="738" ht="18" customHeight="1" s="17">
      <c r="A738" s="48">
        <f>IF(Generation!AQ19="","",Generation!AQ19)</f>
        <v/>
      </c>
      <c r="B738" s="48" t="n"/>
      <c r="C738" s="48" t="n"/>
    </row>
    <row r="739" ht="18" customHeight="1" s="17">
      <c r="A739" s="48">
        <f>IF(Generation!$B19,"    &lt;/resprocessing&gt;","")</f>
        <v/>
      </c>
      <c r="B739" s="48" t="n"/>
      <c r="C739" s="48" t="n"/>
    </row>
    <row r="740" ht="18" customHeight="1" s="17">
      <c r="A740" s="48">
        <f>IF(Generation!BB19="","",Generation!BB19)</f>
        <v/>
      </c>
      <c r="B740" s="48" t="n"/>
      <c r="C740" s="48" t="n"/>
    </row>
    <row r="741" ht="18" customHeight="1" s="17">
      <c r="A741" s="48">
        <f>IF(Generation!BC19="","",Generation!BC19)</f>
        <v/>
      </c>
      <c r="B741" s="48" t="n"/>
      <c r="C741" s="48" t="n"/>
    </row>
    <row r="742" ht="18" customHeight="1" s="17">
      <c r="A742" s="48">
        <f>IF(Generation!BD19="","",Generation!BD19)</f>
        <v/>
      </c>
      <c r="B742" s="48" t="n"/>
      <c r="C742" s="48" t="n"/>
    </row>
    <row r="743" ht="18" customHeight="1" s="17">
      <c r="A743" s="48">
        <f>IF(Generation!BE19="","",Generation!BE19)</f>
        <v/>
      </c>
      <c r="B743" s="48" t="n"/>
      <c r="C743" s="48" t="n"/>
    </row>
    <row r="744" ht="18" customHeight="1" s="17">
      <c r="A744" s="48">
        <f>IF(Generation!BF19="","",Generation!BF19)</f>
        <v/>
      </c>
      <c r="B744" s="48" t="n"/>
      <c r="C744" s="48" t="n"/>
    </row>
    <row r="745" ht="18" customHeight="1" s="17">
      <c r="A745" s="48">
        <f>IF(Generation!BG19="","",Generation!BG19)</f>
        <v/>
      </c>
      <c r="B745" s="48" t="n"/>
      <c r="C745" s="48" t="n"/>
    </row>
    <row r="746" ht="18" customHeight="1" s="17">
      <c r="A746" s="48">
        <f>IF(Generation!BH19="","",Generation!BH19)</f>
        <v/>
      </c>
      <c r="B746" s="48" t="n"/>
      <c r="C746" s="48" t="n"/>
    </row>
    <row r="747" ht="18" customHeight="1" s="17">
      <c r="A747" s="48">
        <f>IF(Generation!BI19="","",Generation!BI19)</f>
        <v/>
      </c>
      <c r="B747" s="48" t="n"/>
      <c r="C747" s="48" t="n"/>
    </row>
    <row r="748" ht="18" customHeight="1" s="17">
      <c r="A748" s="48">
        <f>IF(Generation!BJ19="","",Generation!BJ19)</f>
        <v/>
      </c>
      <c r="B748" s="48" t="n"/>
      <c r="C748" s="48" t="n"/>
    </row>
    <row r="749" ht="18" customHeight="1" s="17">
      <c r="A749" s="48">
        <f>IF(Generation!$B19,"  &lt;/item&gt;","")</f>
        <v/>
      </c>
      <c r="B749" s="48" t="n"/>
      <c r="C749" s="48" t="n"/>
    </row>
    <row r="750" ht="18" customHeight="1" s="17">
      <c r="A750" s="48">
        <f>""</f>
        <v/>
      </c>
      <c r="B750" s="48" t="n"/>
      <c r="C750" s="48" t="n"/>
    </row>
    <row r="751" ht="18" customHeight="1" s="17">
      <c r="A751" s="48">
        <f>""</f>
        <v/>
      </c>
      <c r="B751" s="48" t="n"/>
      <c r="C751" s="48" t="n"/>
    </row>
    <row r="752" ht="18" customHeight="1" s="17">
      <c r="A752" s="48">
        <f>""</f>
        <v/>
      </c>
      <c r="B752" s="48" t="n"/>
      <c r="C752" s="48" t="n"/>
    </row>
    <row r="753" ht="18" customHeight="1" s="17">
      <c r="A753" s="48">
        <f>""</f>
        <v/>
      </c>
      <c r="B753" s="48" t="n"/>
      <c r="C753" s="48" t="n"/>
    </row>
    <row r="754" ht="18" customHeight="1" s="17">
      <c r="A754" s="48">
        <f>IF(Generation!$B20,"  &lt;item ident=""il_0_qst_"&amp;TEXT(Generation!$A20,"000")&amp;""" title="""&amp;Generation!$F20&amp;"""&gt;","")</f>
        <v/>
      </c>
      <c r="B754" s="48" t="n"/>
      <c r="C754" s="48" t="n"/>
    </row>
    <row r="755" ht="18" customHeight="1" s="17">
      <c r="A755" s="48">
        <f>IF(Generation!$B20,"    &lt;duration&gt;P0Y0M0DT0H1M0S&lt;/duration&gt;","")</f>
        <v/>
      </c>
      <c r="B755" s="48" t="n"/>
      <c r="C755" s="48" t="n"/>
    </row>
    <row r="756" ht="18" customHeight="1" s="17">
      <c r="A756" s="48">
        <f>IF(Generation!$B20,"    &lt;itemmetadata&gt;","")</f>
        <v/>
      </c>
      <c r="B756" s="48" t="n"/>
      <c r="C756" s="48" t="n"/>
    </row>
    <row r="757" ht="18" customHeight="1" s="17">
      <c r="A757" s="48">
        <f>IF(Generation!$B20,"      &lt;qtimetadata&gt;","")</f>
        <v/>
      </c>
      <c r="B757" s="48" t="n"/>
      <c r="C757" s="48" t="n"/>
    </row>
    <row r="758" ht="18" customHeight="1" s="17">
      <c r="A758" s="48">
        <f>IF(Generation!$B20,"        &lt;qtimetadatafield&gt;&lt;fieldlabel&gt;ILIAS_VERSION&lt;/fieldlabel&gt;&lt;fieldentry&gt;8&lt;/fieldentry&gt;&lt;/qtimetadatafield&gt;","")</f>
        <v/>
      </c>
      <c r="B758" s="48" t="n"/>
      <c r="C758" s="48" t="n"/>
    </row>
    <row r="759" ht="18" customHeight="1" s="17">
      <c r="A759" s="48">
        <f>IF(Generation!$B20,"        &lt;qtimetadatafield&gt;&lt;fieldlabel&gt;QUESTIONTYPE&lt;/fieldlabel&gt;&lt;fieldentry&gt;"&amp;Generation!$D20&amp;"&lt;/fieldentry&gt;&lt;/qtimetadatafield&gt;","")</f>
        <v/>
      </c>
      <c r="B759" s="48" t="n"/>
      <c r="C759" s="48" t="n"/>
    </row>
    <row r="760" ht="18" customHeight="1" s="17">
      <c r="A760" s="48">
        <f>IF(Generation!$B20,"        &lt;qtimetadatafield&gt;&lt;fieldlabel&gt;AUTHOR&lt;/fieldlabel&gt;&lt;fieldentry&gt;"&amp;Generation!$AR20&amp;"&lt;/fieldentry&gt;&lt;/qtimetadatafield&gt;","")</f>
        <v/>
      </c>
      <c r="B760" s="48" t="n"/>
      <c r="C760" s="48" t="n"/>
    </row>
    <row r="761" ht="18" customHeight="1" s="17">
      <c r="A761" s="48">
        <f>IF(Generation!$B20,"        &lt;qtimetadatafield&gt;&lt;fieldlabel&gt;identicalScoring&lt;/fieldlabel&gt;&lt;fieldentry&gt;1&lt;/fieldentry&gt;&lt;/qtimetadatafield&gt;","")</f>
        <v/>
      </c>
      <c r="B761" s="48" t="n"/>
      <c r="C761" s="48" t="n"/>
    </row>
    <row r="762" ht="18" customHeight="1" s="17">
      <c r="A762" s="48">
        <f>IF(Generation!$B20,"      &lt;/qtimetadata&gt;","")</f>
        <v/>
      </c>
      <c r="B762" s="48" t="n"/>
      <c r="C762" s="48" t="n"/>
    </row>
    <row r="763" ht="18" customHeight="1" s="17">
      <c r="A763" s="48">
        <f>IF(Generation!$B20,"    &lt;/itemmetadata&gt;","")</f>
        <v/>
      </c>
      <c r="B763" s="48" t="n"/>
      <c r="C763" s="48" t="n"/>
    </row>
    <row r="764" ht="18" customHeight="1" s="17">
      <c r="A764" s="48">
        <f>IF(Generation!$B20,"    &lt;presentation label="""&amp;Generation!$F20&amp;"""&gt;","")</f>
        <v/>
      </c>
      <c r="B764" s="48" t="n"/>
      <c r="C764" s="48" t="n"/>
    </row>
    <row r="765" ht="18" customHeight="1" s="17">
      <c r="A765" s="48">
        <f>IF(Generation!$B20,"      &lt;material&gt;&lt;mattext texttype=""text/html""&gt;"&amp;Generation!$G20&amp;"&lt;/mattext&gt;&lt;/material&gt;","")</f>
        <v/>
      </c>
      <c r="B765" s="48" t="n"/>
      <c r="C765" s="48" t="n"/>
    </row>
    <row r="766" ht="18" customHeight="1" s="17">
      <c r="A766" s="48">
        <f>IF(Generation!$B20,"      &lt;response_lid ident=""RESPONSE"" rcardinality="""&amp;Generation!$E20&amp;"""&gt;","")</f>
        <v/>
      </c>
      <c r="B766" s="48" t="n"/>
      <c r="C766" s="48" t="n"/>
    </row>
    <row r="767" ht="18" customHeight="1" s="17">
      <c r="A767" s="48">
        <f>IF(Generation!$B20,"        &lt;render_choice shuffle=""No""&gt;","")</f>
        <v/>
      </c>
      <c r="B767" s="48" t="n"/>
      <c r="C767" s="48" t="n"/>
    </row>
    <row r="768" ht="18" customHeight="1" s="17">
      <c r="A768" s="48">
        <f>IF(Generation!AB20="","",Generation!AB20)</f>
        <v/>
      </c>
      <c r="B768" s="48" t="n"/>
      <c r="C768" s="48" t="n"/>
    </row>
    <row r="769" ht="18" customHeight="1" s="17">
      <c r="A769" s="48">
        <f>IF(Generation!AC20="","",Generation!AC20)</f>
        <v/>
      </c>
      <c r="B769" s="48" t="n"/>
      <c r="C769" s="48" t="n"/>
    </row>
    <row r="770" ht="18" customHeight="1" s="17">
      <c r="A770" s="48">
        <f>IF(Generation!AD20="","",Generation!AD20)</f>
        <v/>
      </c>
      <c r="B770" s="48" t="n"/>
      <c r="C770" s="48" t="n"/>
    </row>
    <row r="771" ht="18" customHeight="1" s="17">
      <c r="A771" s="48">
        <f>IF(Generation!AE20="","",Generation!AE20)</f>
        <v/>
      </c>
      <c r="B771" s="48" t="n"/>
      <c r="C771" s="48" t="n"/>
    </row>
    <row r="772" ht="18" customHeight="1" s="17">
      <c r="A772" s="48">
        <f>IF(Generation!AF20="","",Generation!AF20)</f>
        <v/>
      </c>
      <c r="B772" s="48" t="n"/>
      <c r="C772" s="48" t="n"/>
    </row>
    <row r="773" ht="18" customHeight="1" s="17">
      <c r="A773" s="48">
        <f>IF(Generation!AG20="","",Generation!AG20)</f>
        <v/>
      </c>
      <c r="B773" s="48" t="n"/>
      <c r="C773" s="48" t="n"/>
    </row>
    <row r="774" ht="18" customHeight="1" s="17">
      <c r="A774" s="48">
        <f>IF(Generation!AH20="","",Generation!AH20)</f>
        <v/>
      </c>
      <c r="B774" s="48" t="n"/>
      <c r="C774" s="48" t="n"/>
    </row>
    <row r="775" ht="18" customHeight="1" s="17">
      <c r="A775" s="48">
        <f>IF(Generation!AI20="","",Generation!AI20)</f>
        <v/>
      </c>
      <c r="B775" s="48" t="n"/>
      <c r="C775" s="48" t="n"/>
    </row>
    <row r="776" ht="18" customHeight="1" s="17">
      <c r="A776" s="48">
        <f>IF(Generation!$B20,"        &lt;/render_choice&gt;","")</f>
        <v/>
      </c>
      <c r="B776" s="48" t="n"/>
      <c r="C776" s="48" t="n"/>
    </row>
    <row r="777" ht="18" customHeight="1" s="17">
      <c r="A777" s="48">
        <f>IF(Generation!$B20,"      &lt;/response_lid&gt;","")</f>
        <v/>
      </c>
      <c r="B777" s="48" t="n"/>
      <c r="C777" s="48" t="n"/>
    </row>
    <row r="778" ht="18" customHeight="1" s="17">
      <c r="A778" s="48">
        <f>IF(Generation!$B20,"    &lt;/presentation&gt;","")</f>
        <v/>
      </c>
      <c r="B778" s="48" t="n"/>
      <c r="C778" s="48" t="n"/>
    </row>
    <row r="779" ht="18" customHeight="1" s="17">
      <c r="A779" s="48">
        <f>IF(Generation!$B20,"    &lt;resprocessing&gt;","")</f>
        <v/>
      </c>
      <c r="B779" s="48" t="n"/>
      <c r="C779" s="48" t="n"/>
    </row>
    <row r="780" ht="18" customHeight="1" s="17">
      <c r="A780" s="48">
        <f>IF(Generation!$B20,"      &lt;outcomes&gt;&lt;decvar varname=""SCORE"" vartype=""Decimal"" minvalue=""0"" maxvalue="""&amp;Generation!$H20&amp;"""/&gt;&lt;/outcomes&gt;","")</f>
        <v/>
      </c>
      <c r="B780" s="48" t="n"/>
      <c r="C780" s="48" t="n"/>
    </row>
    <row r="781" ht="18" customHeight="1" s="17">
      <c r="A781" s="48">
        <f>IF(Generation!AJ20="","",Generation!AJ20)</f>
        <v/>
      </c>
      <c r="B781" s="48" t="n"/>
      <c r="C781" s="48" t="n"/>
    </row>
    <row r="782" ht="18" customHeight="1" s="17">
      <c r="A782" s="48">
        <f>IF(Generation!AK20="","",Generation!AK20)</f>
        <v/>
      </c>
      <c r="B782" s="48" t="n"/>
      <c r="C782" s="48" t="n"/>
    </row>
    <row r="783" ht="18" customHeight="1" s="17">
      <c r="A783" s="48">
        <f>IF(Generation!AL20="","",Generation!AL20)</f>
        <v/>
      </c>
      <c r="B783" s="48" t="n"/>
      <c r="C783" s="48" t="n"/>
    </row>
    <row r="784" ht="18" customHeight="1" s="17">
      <c r="A784" s="48">
        <f>IF(Generation!AM20="","",Generation!AM20)</f>
        <v/>
      </c>
      <c r="B784" s="48" t="n"/>
      <c r="C784" s="48" t="n"/>
    </row>
    <row r="785" ht="18" customHeight="1" s="17">
      <c r="A785" s="48">
        <f>IF(Generation!AN20="","",Generation!AN20)</f>
        <v/>
      </c>
      <c r="B785" s="48" t="n"/>
      <c r="C785" s="48" t="n"/>
    </row>
    <row r="786" ht="18" customHeight="1" s="17">
      <c r="A786" s="48">
        <f>IF(Generation!AO20="","",Generation!AO20)</f>
        <v/>
      </c>
      <c r="B786" s="48" t="n"/>
      <c r="C786" s="48" t="n"/>
    </row>
    <row r="787" ht="18" customHeight="1" s="17">
      <c r="A787" s="48">
        <f>IF(Generation!AP20="","",Generation!AP20)</f>
        <v/>
      </c>
      <c r="B787" s="48" t="n"/>
      <c r="C787" s="48" t="n"/>
    </row>
    <row r="788" ht="18" customHeight="1" s="17">
      <c r="A788" s="48">
        <f>IF(Generation!AQ20="","",Generation!AQ20)</f>
        <v/>
      </c>
      <c r="B788" s="48" t="n"/>
      <c r="C788" s="48" t="n"/>
    </row>
    <row r="789" ht="18" customHeight="1" s="17">
      <c r="A789" s="48">
        <f>IF(Generation!$B20,"    &lt;/resprocessing&gt;","")</f>
        <v/>
      </c>
      <c r="B789" s="48" t="n"/>
      <c r="C789" s="48" t="n"/>
    </row>
    <row r="790" ht="18" customHeight="1" s="17">
      <c r="A790" s="48">
        <f>IF(Generation!BB20="","",Generation!BB20)</f>
        <v/>
      </c>
      <c r="B790" s="48" t="n"/>
      <c r="C790" s="48" t="n"/>
    </row>
    <row r="791" ht="18" customHeight="1" s="17">
      <c r="A791" s="48">
        <f>IF(Generation!BC20="","",Generation!BC20)</f>
        <v/>
      </c>
      <c r="B791" s="48" t="n"/>
      <c r="C791" s="48" t="n"/>
    </row>
    <row r="792" ht="18" customHeight="1" s="17">
      <c r="A792" s="48">
        <f>IF(Generation!BD20="","",Generation!BD20)</f>
        <v/>
      </c>
      <c r="B792" s="48" t="n"/>
      <c r="C792" s="48" t="n"/>
    </row>
    <row r="793" ht="18" customHeight="1" s="17">
      <c r="A793" s="48">
        <f>IF(Generation!BE20="","",Generation!BE20)</f>
        <v/>
      </c>
      <c r="B793" s="48" t="n"/>
      <c r="C793" s="48" t="n"/>
    </row>
    <row r="794" ht="18" customHeight="1" s="17">
      <c r="A794" s="48">
        <f>IF(Generation!BF20="","",Generation!BF20)</f>
        <v/>
      </c>
      <c r="B794" s="48" t="n"/>
      <c r="C794" s="48" t="n"/>
    </row>
    <row r="795" ht="18" customHeight="1" s="17">
      <c r="A795" s="48">
        <f>IF(Generation!BG20="","",Generation!BG20)</f>
        <v/>
      </c>
      <c r="B795" s="48" t="n"/>
      <c r="C795" s="48" t="n"/>
    </row>
    <row r="796" ht="18" customHeight="1" s="17">
      <c r="A796" s="48">
        <f>IF(Generation!BH20="","",Generation!BH20)</f>
        <v/>
      </c>
      <c r="B796" s="48" t="n"/>
      <c r="C796" s="48" t="n"/>
    </row>
    <row r="797" ht="18" customHeight="1" s="17">
      <c r="A797" s="48">
        <f>IF(Generation!BI20="","",Generation!BI20)</f>
        <v/>
      </c>
      <c r="B797" s="48" t="n"/>
      <c r="C797" s="48" t="n"/>
    </row>
    <row r="798" ht="18" customHeight="1" s="17">
      <c r="A798" s="48">
        <f>IF(Generation!BJ20="","",Generation!BJ20)</f>
        <v/>
      </c>
      <c r="B798" s="48" t="n"/>
      <c r="C798" s="48" t="n"/>
    </row>
    <row r="799" ht="18" customHeight="1" s="17">
      <c r="A799" s="48">
        <f>IF(Generation!$B20,"  &lt;/item&gt;","")</f>
        <v/>
      </c>
      <c r="B799" s="48" t="n"/>
      <c r="C799" s="48" t="n"/>
    </row>
    <row r="800" ht="18" customHeight="1" s="17">
      <c r="A800" s="48">
        <f>""</f>
        <v/>
      </c>
      <c r="B800" s="48" t="n"/>
      <c r="C800" s="48" t="n"/>
    </row>
    <row r="801" ht="18" customHeight="1" s="17">
      <c r="A801" s="48">
        <f>""</f>
        <v/>
      </c>
      <c r="B801" s="48" t="n"/>
      <c r="C801" s="48" t="n"/>
    </row>
    <row r="802" ht="18" customHeight="1" s="17">
      <c r="A802" s="48">
        <f>""</f>
        <v/>
      </c>
      <c r="B802" s="48" t="n"/>
      <c r="C802" s="48" t="n"/>
    </row>
    <row r="803" ht="18" customHeight="1" s="17">
      <c r="A803" s="48">
        <f>""</f>
        <v/>
      </c>
      <c r="B803" s="48" t="n"/>
      <c r="C803" s="48" t="n"/>
    </row>
    <row r="804" ht="18" customHeight="1" s="17">
      <c r="A804" s="48">
        <f>IF(Generation!$B21,"  &lt;item ident=""il_0_qst_"&amp;TEXT(Generation!$A21,"000")&amp;""" title="""&amp;Generation!$F21&amp;"""&gt;","")</f>
        <v/>
      </c>
      <c r="B804" s="48" t="n"/>
      <c r="C804" s="48" t="n"/>
    </row>
    <row r="805" ht="18" customHeight="1" s="17">
      <c r="A805" s="48">
        <f>IF(Generation!$B21,"    &lt;duration&gt;P0Y0M0DT0H1M0S&lt;/duration&gt;","")</f>
        <v/>
      </c>
      <c r="B805" s="48" t="n"/>
      <c r="C805" s="48" t="n"/>
    </row>
    <row r="806" ht="18" customHeight="1" s="17">
      <c r="A806" s="48">
        <f>IF(Generation!$B21,"    &lt;itemmetadata&gt;","")</f>
        <v/>
      </c>
      <c r="B806" s="48" t="n"/>
      <c r="C806" s="48" t="n"/>
    </row>
    <row r="807" ht="18" customHeight="1" s="17">
      <c r="A807" s="48">
        <f>IF(Generation!$B21,"      &lt;qtimetadata&gt;","")</f>
        <v/>
      </c>
      <c r="B807" s="48" t="n"/>
      <c r="C807" s="48" t="n"/>
    </row>
    <row r="808" ht="18" customHeight="1" s="17">
      <c r="A808" s="48">
        <f>IF(Generation!$B21,"        &lt;qtimetadatafield&gt;&lt;fieldlabel&gt;ILIAS_VERSION&lt;/fieldlabel&gt;&lt;fieldentry&gt;8&lt;/fieldentry&gt;&lt;/qtimetadatafield&gt;","")</f>
        <v/>
      </c>
      <c r="B808" s="48" t="n"/>
      <c r="C808" s="48" t="n"/>
    </row>
    <row r="809" ht="18" customHeight="1" s="17">
      <c r="A809" s="48">
        <f>IF(Generation!$B21,"        &lt;qtimetadatafield&gt;&lt;fieldlabel&gt;QUESTIONTYPE&lt;/fieldlabel&gt;&lt;fieldentry&gt;"&amp;Generation!$D21&amp;"&lt;/fieldentry&gt;&lt;/qtimetadatafield&gt;","")</f>
        <v/>
      </c>
      <c r="B809" s="48" t="n"/>
      <c r="C809" s="48" t="n"/>
    </row>
    <row r="810" ht="18" customHeight="1" s="17">
      <c r="A810" s="48">
        <f>IF(Generation!$B21,"        &lt;qtimetadatafield&gt;&lt;fieldlabel&gt;AUTHOR&lt;/fieldlabel&gt;&lt;fieldentry&gt;"&amp;Generation!$AR21&amp;"&lt;/fieldentry&gt;&lt;/qtimetadatafield&gt;","")</f>
        <v/>
      </c>
      <c r="B810" s="48" t="n"/>
      <c r="C810" s="48" t="n"/>
    </row>
    <row r="811" ht="18" customHeight="1" s="17">
      <c r="A811" s="48">
        <f>IF(Generation!$B21,"        &lt;qtimetadatafield&gt;&lt;fieldlabel&gt;identicalScoring&lt;/fieldlabel&gt;&lt;fieldentry&gt;1&lt;/fieldentry&gt;&lt;/qtimetadatafield&gt;","")</f>
        <v/>
      </c>
      <c r="B811" s="48" t="n"/>
      <c r="C811" s="48" t="n"/>
    </row>
    <row r="812" ht="18" customHeight="1" s="17">
      <c r="A812" s="48">
        <f>IF(Generation!$B21,"      &lt;/qtimetadata&gt;","")</f>
        <v/>
      </c>
      <c r="B812" s="48" t="n"/>
      <c r="C812" s="48" t="n"/>
    </row>
    <row r="813" ht="18" customHeight="1" s="17">
      <c r="A813" s="48">
        <f>IF(Generation!$B21,"    &lt;/itemmetadata&gt;","")</f>
        <v/>
      </c>
      <c r="B813" s="48" t="n"/>
      <c r="C813" s="48" t="n"/>
    </row>
    <row r="814" ht="18" customHeight="1" s="17">
      <c r="A814" s="48">
        <f>IF(Generation!$B21,"    &lt;presentation label="""&amp;Generation!$F21&amp;"""&gt;","")</f>
        <v/>
      </c>
      <c r="B814" s="48" t="n"/>
      <c r="C814" s="48" t="n"/>
    </row>
    <row r="815" ht="18" customHeight="1" s="17">
      <c r="A815" s="48">
        <f>IF(Generation!$B21,"      &lt;material&gt;&lt;mattext texttype=""text/html""&gt;"&amp;Generation!$G21&amp;"&lt;/mattext&gt;&lt;/material&gt;","")</f>
        <v/>
      </c>
      <c r="B815" s="48" t="n"/>
      <c r="C815" s="48" t="n"/>
    </row>
    <row r="816" ht="18" customHeight="1" s="17">
      <c r="A816" s="48">
        <f>IF(Generation!$B21,"      &lt;response_lid ident=""RESPONSE"" rcardinality="""&amp;Generation!$E21&amp;"""&gt;","")</f>
        <v/>
      </c>
      <c r="B816" s="48" t="n"/>
      <c r="C816" s="48" t="n"/>
    </row>
    <row r="817" ht="18" customHeight="1" s="17">
      <c r="A817" s="48">
        <f>IF(Generation!$B21,"        &lt;render_choice shuffle=""No""&gt;","")</f>
        <v/>
      </c>
      <c r="B817" s="48" t="n"/>
      <c r="C817" s="48" t="n"/>
    </row>
    <row r="818" ht="18" customHeight="1" s="17">
      <c r="A818" s="48">
        <f>IF(Generation!AB21="","",Generation!AB21)</f>
        <v/>
      </c>
      <c r="B818" s="48" t="n"/>
      <c r="C818" s="48" t="n"/>
    </row>
    <row r="819" ht="18" customHeight="1" s="17">
      <c r="A819" s="48">
        <f>IF(Generation!AC21="","",Generation!AC21)</f>
        <v/>
      </c>
      <c r="B819" s="48" t="n"/>
      <c r="C819" s="48" t="n"/>
    </row>
    <row r="820" ht="18" customHeight="1" s="17">
      <c r="A820" s="48">
        <f>IF(Generation!AD21="","",Generation!AD21)</f>
        <v/>
      </c>
      <c r="B820" s="48" t="n"/>
      <c r="C820" s="48" t="n"/>
    </row>
    <row r="821" ht="18" customHeight="1" s="17">
      <c r="A821" s="48">
        <f>IF(Generation!AE21="","",Generation!AE21)</f>
        <v/>
      </c>
      <c r="B821" s="48" t="n"/>
      <c r="C821" s="48" t="n"/>
    </row>
    <row r="822" ht="18" customHeight="1" s="17">
      <c r="A822" s="48">
        <f>IF(Generation!AF21="","",Generation!AF21)</f>
        <v/>
      </c>
      <c r="B822" s="48" t="n"/>
      <c r="C822" s="48" t="n"/>
    </row>
    <row r="823" ht="18" customHeight="1" s="17">
      <c r="A823" s="48">
        <f>IF(Generation!AG21="","",Generation!AG21)</f>
        <v/>
      </c>
      <c r="B823" s="48" t="n"/>
      <c r="C823" s="48" t="n"/>
    </row>
    <row r="824" ht="18" customHeight="1" s="17">
      <c r="A824" s="48">
        <f>IF(Generation!AH21="","",Generation!AH21)</f>
        <v/>
      </c>
      <c r="B824" s="48" t="n"/>
      <c r="C824" s="48" t="n"/>
    </row>
    <row r="825" ht="18" customHeight="1" s="17">
      <c r="A825" s="48">
        <f>IF(Generation!AI21="","",Generation!AI21)</f>
        <v/>
      </c>
      <c r="B825" s="48" t="n"/>
      <c r="C825" s="48" t="n"/>
    </row>
    <row r="826" ht="18" customHeight="1" s="17">
      <c r="A826" s="48">
        <f>IF(Generation!$B21,"        &lt;/render_choice&gt;","")</f>
        <v/>
      </c>
      <c r="B826" s="48" t="n"/>
      <c r="C826" s="48" t="n"/>
    </row>
    <row r="827" ht="18" customHeight="1" s="17">
      <c r="A827" s="48">
        <f>IF(Generation!$B21,"      &lt;/response_lid&gt;","")</f>
        <v/>
      </c>
      <c r="B827" s="48" t="n"/>
      <c r="C827" s="48" t="n"/>
    </row>
    <row r="828" ht="18" customHeight="1" s="17">
      <c r="A828" s="48">
        <f>IF(Generation!$B21,"    &lt;/presentation&gt;","")</f>
        <v/>
      </c>
      <c r="B828" s="48" t="n"/>
      <c r="C828" s="48" t="n"/>
    </row>
    <row r="829" ht="18" customHeight="1" s="17">
      <c r="A829" s="48">
        <f>IF(Generation!$B21,"    &lt;resprocessing&gt;","")</f>
        <v/>
      </c>
      <c r="B829" s="48" t="n"/>
      <c r="C829" s="48" t="n"/>
    </row>
    <row r="830" ht="18" customHeight="1" s="17">
      <c r="A830" s="48">
        <f>IF(Generation!$B21,"      &lt;outcomes&gt;&lt;decvar varname=""SCORE"" vartype=""Decimal"" minvalue=""0"" maxvalue="""&amp;Generation!$H21&amp;"""/&gt;&lt;/outcomes&gt;","")</f>
        <v/>
      </c>
      <c r="B830" s="48" t="n"/>
      <c r="C830" s="48" t="n"/>
    </row>
    <row r="831" ht="18" customHeight="1" s="17">
      <c r="A831" s="48">
        <f>IF(Generation!AJ21="","",Generation!AJ21)</f>
        <v/>
      </c>
      <c r="B831" s="48" t="n"/>
      <c r="C831" s="48" t="n"/>
    </row>
    <row r="832" ht="18" customHeight="1" s="17">
      <c r="A832" s="48">
        <f>IF(Generation!AK21="","",Generation!AK21)</f>
        <v/>
      </c>
      <c r="B832" s="48" t="n"/>
      <c r="C832" s="48" t="n"/>
    </row>
    <row r="833" ht="18" customHeight="1" s="17">
      <c r="A833" s="48">
        <f>IF(Generation!AL21="","",Generation!AL21)</f>
        <v/>
      </c>
      <c r="B833" s="48" t="n"/>
      <c r="C833" s="48" t="n"/>
    </row>
    <row r="834" ht="18" customHeight="1" s="17">
      <c r="A834" s="48">
        <f>IF(Generation!AM21="","",Generation!AM21)</f>
        <v/>
      </c>
      <c r="B834" s="48" t="n"/>
      <c r="C834" s="48" t="n"/>
    </row>
    <row r="835" ht="18" customHeight="1" s="17">
      <c r="A835" s="48">
        <f>IF(Generation!AN21="","",Generation!AN21)</f>
        <v/>
      </c>
      <c r="B835" s="48" t="n"/>
      <c r="C835" s="48" t="n"/>
    </row>
    <row r="836" ht="18" customHeight="1" s="17">
      <c r="A836" s="48">
        <f>IF(Generation!AO21="","",Generation!AO21)</f>
        <v/>
      </c>
      <c r="B836" s="48" t="n"/>
      <c r="C836" s="48" t="n"/>
    </row>
    <row r="837" ht="18" customHeight="1" s="17">
      <c r="A837" s="48">
        <f>IF(Generation!AP21="","",Generation!AP21)</f>
        <v/>
      </c>
      <c r="B837" s="48" t="n"/>
      <c r="C837" s="48" t="n"/>
    </row>
    <row r="838" ht="18" customHeight="1" s="17">
      <c r="A838" s="48">
        <f>IF(Generation!AQ21="","",Generation!AQ21)</f>
        <v/>
      </c>
      <c r="B838" s="48" t="n"/>
      <c r="C838" s="48" t="n"/>
    </row>
    <row r="839" ht="18" customHeight="1" s="17">
      <c r="A839" s="48">
        <f>IF(Generation!$B21,"    &lt;/resprocessing&gt;","")</f>
        <v/>
      </c>
      <c r="B839" s="48" t="n"/>
      <c r="C839" s="48" t="n"/>
    </row>
    <row r="840" ht="18" customHeight="1" s="17">
      <c r="A840" s="48">
        <f>IF(Generation!BB21="","",Generation!BB21)</f>
        <v/>
      </c>
      <c r="B840" s="48" t="n"/>
      <c r="C840" s="48" t="n"/>
    </row>
    <row r="841" ht="18" customHeight="1" s="17">
      <c r="A841" s="48">
        <f>IF(Generation!BC21="","",Generation!BC21)</f>
        <v/>
      </c>
      <c r="B841" s="48" t="n"/>
      <c r="C841" s="48" t="n"/>
    </row>
    <row r="842" ht="18" customHeight="1" s="17">
      <c r="A842" s="48">
        <f>IF(Generation!BD21="","",Generation!BD21)</f>
        <v/>
      </c>
      <c r="B842" s="48" t="n"/>
      <c r="C842" s="48" t="n"/>
    </row>
    <row r="843" ht="18" customHeight="1" s="17">
      <c r="A843" s="48">
        <f>IF(Generation!BE21="","",Generation!BE21)</f>
        <v/>
      </c>
      <c r="B843" s="48" t="n"/>
      <c r="C843" s="48" t="n"/>
    </row>
    <row r="844" ht="18" customHeight="1" s="17">
      <c r="A844" s="48">
        <f>IF(Generation!BF21="","",Generation!BF21)</f>
        <v/>
      </c>
      <c r="B844" s="48" t="n"/>
      <c r="C844" s="48" t="n"/>
    </row>
    <row r="845" ht="18" customHeight="1" s="17">
      <c r="A845" s="48">
        <f>IF(Generation!BG21="","",Generation!BG21)</f>
        <v/>
      </c>
      <c r="B845" s="48" t="n"/>
      <c r="C845" s="48" t="n"/>
    </row>
    <row r="846" ht="18" customHeight="1" s="17">
      <c r="A846" s="48">
        <f>IF(Generation!BH21="","",Generation!BH21)</f>
        <v/>
      </c>
      <c r="B846" s="48" t="n"/>
      <c r="C846" s="48" t="n"/>
    </row>
    <row r="847" ht="18" customHeight="1" s="17">
      <c r="A847" s="48">
        <f>IF(Generation!BI21="","",Generation!BI21)</f>
        <v/>
      </c>
      <c r="B847" s="48" t="n"/>
      <c r="C847" s="48" t="n"/>
    </row>
    <row r="848" ht="18" customHeight="1" s="17">
      <c r="A848" s="48">
        <f>IF(Generation!BJ21="","",Generation!BJ21)</f>
        <v/>
      </c>
      <c r="B848" s="48" t="n"/>
      <c r="C848" s="48" t="n"/>
    </row>
    <row r="849" ht="18" customHeight="1" s="17">
      <c r="A849" s="48">
        <f>IF(Generation!$B21,"  &lt;/item&gt;","")</f>
        <v/>
      </c>
      <c r="B849" s="48" t="n"/>
      <c r="C849" s="48" t="n"/>
    </row>
    <row r="850" ht="18" customHeight="1" s="17">
      <c r="A850" s="48">
        <f>""</f>
        <v/>
      </c>
      <c r="B850" s="48" t="n"/>
      <c r="C850" s="48" t="n"/>
    </row>
    <row r="851" ht="18" customHeight="1" s="17">
      <c r="A851" s="48">
        <f>""</f>
        <v/>
      </c>
      <c r="B851" s="48" t="n"/>
      <c r="C851" s="48" t="n"/>
    </row>
    <row r="852" ht="18" customHeight="1" s="17">
      <c r="A852" s="48">
        <f>""</f>
        <v/>
      </c>
      <c r="B852" s="48" t="n"/>
      <c r="C852" s="48" t="n"/>
    </row>
    <row r="853" ht="18" customHeight="1" s="17">
      <c r="A853" s="48">
        <f>""</f>
        <v/>
      </c>
      <c r="B853" s="48" t="n"/>
      <c r="C853" s="48" t="n"/>
    </row>
    <row r="854" ht="18" customHeight="1" s="17">
      <c r="A854" s="48">
        <f>IF(Generation!$B22,"  &lt;item ident=""il_0_qst_"&amp;TEXT(Generation!$A22,"000")&amp;""" title="""&amp;Generation!$F22&amp;"""&gt;","")</f>
        <v/>
      </c>
      <c r="B854" s="48" t="n"/>
      <c r="C854" s="48" t="n"/>
    </row>
    <row r="855" ht="18" customHeight="1" s="17">
      <c r="A855" s="48">
        <f>IF(Generation!$B22,"    &lt;duration&gt;P0Y0M0DT0H1M0S&lt;/duration&gt;","")</f>
        <v/>
      </c>
      <c r="B855" s="48" t="n"/>
      <c r="C855" s="48" t="n"/>
    </row>
    <row r="856" ht="18" customHeight="1" s="17">
      <c r="A856" s="48">
        <f>IF(Generation!$B22,"    &lt;itemmetadata&gt;","")</f>
        <v/>
      </c>
      <c r="B856" s="48" t="n"/>
      <c r="C856" s="48" t="n"/>
    </row>
    <row r="857" ht="18" customHeight="1" s="17">
      <c r="A857" s="48">
        <f>IF(Generation!$B22,"      &lt;qtimetadata&gt;","")</f>
        <v/>
      </c>
      <c r="B857" s="48" t="n"/>
      <c r="C857" s="48" t="n"/>
    </row>
    <row r="858" ht="18" customHeight="1" s="17">
      <c r="A858" s="48">
        <f>IF(Generation!$B22,"        &lt;qtimetadatafield&gt;&lt;fieldlabel&gt;ILIAS_VERSION&lt;/fieldlabel&gt;&lt;fieldentry&gt;8&lt;/fieldentry&gt;&lt;/qtimetadatafield&gt;","")</f>
        <v/>
      </c>
      <c r="B858" s="48" t="n"/>
      <c r="C858" s="48" t="n"/>
    </row>
    <row r="859" ht="18" customHeight="1" s="17">
      <c r="A859" s="48">
        <f>IF(Generation!$B22,"        &lt;qtimetadatafield&gt;&lt;fieldlabel&gt;QUESTIONTYPE&lt;/fieldlabel&gt;&lt;fieldentry&gt;"&amp;Generation!$D22&amp;"&lt;/fieldentry&gt;&lt;/qtimetadatafield&gt;","")</f>
        <v/>
      </c>
      <c r="B859" s="48" t="n"/>
      <c r="C859" s="48" t="n"/>
    </row>
    <row r="860" ht="18" customHeight="1" s="17">
      <c r="A860" s="48">
        <f>IF(Generation!$B22,"        &lt;qtimetadatafield&gt;&lt;fieldlabel&gt;AUTHOR&lt;/fieldlabel&gt;&lt;fieldentry&gt;"&amp;Generation!$AR22&amp;"&lt;/fieldentry&gt;&lt;/qtimetadatafield&gt;","")</f>
        <v/>
      </c>
      <c r="B860" s="48" t="n"/>
      <c r="C860" s="48" t="n"/>
    </row>
    <row r="861" ht="18" customHeight="1" s="17">
      <c r="A861" s="48">
        <f>IF(Generation!$B22,"        &lt;qtimetadatafield&gt;&lt;fieldlabel&gt;identicalScoring&lt;/fieldlabel&gt;&lt;fieldentry&gt;1&lt;/fieldentry&gt;&lt;/qtimetadatafield&gt;","")</f>
        <v/>
      </c>
      <c r="B861" s="48" t="n"/>
      <c r="C861" s="48" t="n"/>
    </row>
    <row r="862" ht="18" customHeight="1" s="17">
      <c r="A862" s="48">
        <f>IF(Generation!$B22,"      &lt;/qtimetadata&gt;","")</f>
        <v/>
      </c>
      <c r="B862" s="48" t="n"/>
      <c r="C862" s="48" t="n"/>
    </row>
    <row r="863" ht="18" customHeight="1" s="17">
      <c r="A863" s="48">
        <f>IF(Generation!$B22,"    &lt;/itemmetadata&gt;","")</f>
        <v/>
      </c>
      <c r="B863" s="48" t="n"/>
      <c r="C863" s="48" t="n"/>
    </row>
    <row r="864" ht="18" customHeight="1" s="17">
      <c r="A864" s="48">
        <f>IF(Generation!$B22,"    &lt;presentation label="""&amp;Generation!$F22&amp;"""&gt;","")</f>
        <v/>
      </c>
      <c r="B864" s="48" t="n"/>
      <c r="C864" s="48" t="n"/>
    </row>
    <row r="865" ht="18" customHeight="1" s="17">
      <c r="A865" s="48">
        <f>IF(Generation!$B22,"      &lt;material&gt;&lt;mattext texttype=""text/html""&gt;"&amp;Generation!$G22&amp;"&lt;/mattext&gt;&lt;/material&gt;","")</f>
        <v/>
      </c>
      <c r="B865" s="48" t="n"/>
      <c r="C865" s="48" t="n"/>
    </row>
    <row r="866" ht="18" customHeight="1" s="17">
      <c r="A866" s="48">
        <f>IF(Generation!$B22,"      &lt;response_lid ident=""RESPONSE"" rcardinality="""&amp;Generation!$E22&amp;"""&gt;","")</f>
        <v/>
      </c>
      <c r="B866" s="48" t="n"/>
      <c r="C866" s="48" t="n"/>
    </row>
    <row r="867" ht="18" customHeight="1" s="17">
      <c r="A867" s="48">
        <f>IF(Generation!$B22,"        &lt;render_choice shuffle=""No""&gt;","")</f>
        <v/>
      </c>
      <c r="B867" s="48" t="n"/>
      <c r="C867" s="48" t="n"/>
    </row>
    <row r="868" ht="18" customHeight="1" s="17">
      <c r="A868" s="48">
        <f>IF(Generation!AB22="","",Generation!AB22)</f>
        <v/>
      </c>
      <c r="B868" s="48" t="n"/>
      <c r="C868" s="48" t="n"/>
    </row>
    <row r="869" ht="18" customHeight="1" s="17">
      <c r="A869" s="48">
        <f>IF(Generation!AC22="","",Generation!AC22)</f>
        <v/>
      </c>
      <c r="B869" s="48" t="n"/>
      <c r="C869" s="48" t="n"/>
    </row>
    <row r="870" ht="18" customHeight="1" s="17">
      <c r="A870" s="48">
        <f>IF(Generation!AD22="","",Generation!AD22)</f>
        <v/>
      </c>
      <c r="B870" s="48" t="n"/>
      <c r="C870" s="48" t="n"/>
    </row>
    <row r="871" ht="18" customHeight="1" s="17">
      <c r="A871" s="48">
        <f>IF(Generation!AE22="","",Generation!AE22)</f>
        <v/>
      </c>
      <c r="B871" s="48" t="n"/>
      <c r="C871" s="48" t="n"/>
    </row>
    <row r="872" ht="18" customHeight="1" s="17">
      <c r="A872" s="48">
        <f>IF(Generation!AF22="","",Generation!AF22)</f>
        <v/>
      </c>
      <c r="B872" s="48" t="n"/>
      <c r="C872" s="48" t="n"/>
    </row>
    <row r="873" ht="18" customHeight="1" s="17">
      <c r="A873" s="48">
        <f>IF(Generation!AG22="","",Generation!AG22)</f>
        <v/>
      </c>
      <c r="B873" s="48" t="n"/>
      <c r="C873" s="48" t="n"/>
    </row>
    <row r="874" ht="18" customHeight="1" s="17">
      <c r="A874" s="48">
        <f>IF(Generation!AH22="","",Generation!AH22)</f>
        <v/>
      </c>
      <c r="B874" s="48" t="n"/>
      <c r="C874" s="48" t="n"/>
    </row>
    <row r="875" ht="18" customHeight="1" s="17">
      <c r="A875" s="48">
        <f>IF(Generation!AI22="","",Generation!AI22)</f>
        <v/>
      </c>
      <c r="B875" s="48" t="n"/>
      <c r="C875" s="48" t="n"/>
    </row>
    <row r="876" ht="18" customHeight="1" s="17">
      <c r="A876" s="48">
        <f>IF(Generation!$B22,"        &lt;/render_choice&gt;","")</f>
        <v/>
      </c>
      <c r="B876" s="48" t="n"/>
      <c r="C876" s="48" t="n"/>
    </row>
    <row r="877" ht="18" customHeight="1" s="17">
      <c r="A877" s="48">
        <f>IF(Generation!$B22,"      &lt;/response_lid&gt;","")</f>
        <v/>
      </c>
      <c r="B877" s="48" t="n"/>
      <c r="C877" s="48" t="n"/>
    </row>
    <row r="878" ht="18" customHeight="1" s="17">
      <c r="A878" s="48">
        <f>IF(Generation!$B22,"    &lt;/presentation&gt;","")</f>
        <v/>
      </c>
      <c r="B878" s="48" t="n"/>
      <c r="C878" s="48" t="n"/>
    </row>
    <row r="879" ht="18" customHeight="1" s="17">
      <c r="A879" s="48">
        <f>IF(Generation!$B22,"    &lt;resprocessing&gt;","")</f>
        <v/>
      </c>
      <c r="B879" s="48" t="n"/>
      <c r="C879" s="48" t="n"/>
    </row>
    <row r="880" ht="18" customHeight="1" s="17">
      <c r="A880" s="48">
        <f>IF(Generation!$B22,"      &lt;outcomes&gt;&lt;decvar varname=""SCORE"" vartype=""Decimal"" minvalue=""0"" maxvalue="""&amp;Generation!$H22&amp;"""/&gt;&lt;/outcomes&gt;","")</f>
        <v/>
      </c>
      <c r="B880" s="48" t="n"/>
      <c r="C880" s="48" t="n"/>
    </row>
    <row r="881" ht="18" customHeight="1" s="17">
      <c r="A881" s="48">
        <f>IF(Generation!AJ22="","",Generation!AJ22)</f>
        <v/>
      </c>
      <c r="B881" s="48" t="n"/>
      <c r="C881" s="48" t="n"/>
    </row>
    <row r="882" ht="18" customHeight="1" s="17">
      <c r="A882" s="48">
        <f>IF(Generation!AK22="","",Generation!AK22)</f>
        <v/>
      </c>
      <c r="B882" s="48" t="n"/>
      <c r="C882" s="48" t="n"/>
    </row>
    <row r="883" ht="18" customHeight="1" s="17">
      <c r="A883" s="48">
        <f>IF(Generation!AL22="","",Generation!AL22)</f>
        <v/>
      </c>
      <c r="B883" s="48" t="n"/>
      <c r="C883" s="48" t="n"/>
    </row>
    <row r="884" ht="18" customHeight="1" s="17">
      <c r="A884" s="48">
        <f>IF(Generation!AM22="","",Generation!AM22)</f>
        <v/>
      </c>
      <c r="B884" s="48" t="n"/>
      <c r="C884" s="48" t="n"/>
    </row>
    <row r="885" ht="18" customHeight="1" s="17">
      <c r="A885" s="48">
        <f>IF(Generation!AN22="","",Generation!AN22)</f>
        <v/>
      </c>
      <c r="B885" s="48" t="n"/>
      <c r="C885" s="48" t="n"/>
    </row>
    <row r="886" ht="18" customHeight="1" s="17">
      <c r="A886" s="48">
        <f>IF(Generation!AO22="","",Generation!AO22)</f>
        <v/>
      </c>
      <c r="B886" s="48" t="n"/>
      <c r="C886" s="48" t="n"/>
    </row>
    <row r="887" ht="18" customHeight="1" s="17">
      <c r="A887" s="48">
        <f>IF(Generation!AP22="","",Generation!AP22)</f>
        <v/>
      </c>
      <c r="B887" s="48" t="n"/>
      <c r="C887" s="48" t="n"/>
    </row>
    <row r="888" ht="18" customHeight="1" s="17">
      <c r="A888" s="48">
        <f>IF(Generation!AQ22="","",Generation!AQ22)</f>
        <v/>
      </c>
      <c r="B888" s="48" t="n"/>
      <c r="C888" s="48" t="n"/>
    </row>
    <row r="889" ht="18" customHeight="1" s="17">
      <c r="A889" s="48">
        <f>IF(Generation!$B22,"    &lt;/resprocessing&gt;","")</f>
        <v/>
      </c>
      <c r="B889" s="48" t="n"/>
      <c r="C889" s="48" t="n"/>
    </row>
    <row r="890" ht="18" customHeight="1" s="17">
      <c r="A890" s="48">
        <f>IF(Generation!BB22="","",Generation!BB22)</f>
        <v/>
      </c>
      <c r="B890" s="48" t="n"/>
      <c r="C890" s="48" t="n"/>
    </row>
    <row r="891" ht="18" customHeight="1" s="17">
      <c r="A891" s="48">
        <f>IF(Generation!BC22="","",Generation!BC22)</f>
        <v/>
      </c>
      <c r="B891" s="48" t="n"/>
      <c r="C891" s="48" t="n"/>
    </row>
    <row r="892" ht="18" customHeight="1" s="17">
      <c r="A892" s="48">
        <f>IF(Generation!BD22="","",Generation!BD22)</f>
        <v/>
      </c>
      <c r="B892" s="48" t="n"/>
      <c r="C892" s="48" t="n"/>
    </row>
    <row r="893" ht="18" customHeight="1" s="17">
      <c r="A893" s="48">
        <f>IF(Generation!BE22="","",Generation!BE22)</f>
        <v/>
      </c>
      <c r="B893" s="48" t="n"/>
      <c r="C893" s="48" t="n"/>
    </row>
    <row r="894" ht="18" customHeight="1" s="17">
      <c r="A894" s="48">
        <f>IF(Generation!BF22="","",Generation!BF22)</f>
        <v/>
      </c>
      <c r="B894" s="48" t="n"/>
      <c r="C894" s="48" t="n"/>
    </row>
    <row r="895" ht="18" customHeight="1" s="17">
      <c r="A895" s="48">
        <f>IF(Generation!BG22="","",Generation!BG22)</f>
        <v/>
      </c>
      <c r="B895" s="48" t="n"/>
      <c r="C895" s="48" t="n"/>
    </row>
    <row r="896" ht="18" customHeight="1" s="17">
      <c r="A896" s="48">
        <f>IF(Generation!BH22="","",Generation!BH22)</f>
        <v/>
      </c>
      <c r="B896" s="48" t="n"/>
      <c r="C896" s="48" t="n"/>
    </row>
    <row r="897" ht="18" customHeight="1" s="17">
      <c r="A897" s="48">
        <f>IF(Generation!BI22="","",Generation!BI22)</f>
        <v/>
      </c>
      <c r="B897" s="48" t="n"/>
      <c r="C897" s="48" t="n"/>
    </row>
    <row r="898" ht="18" customHeight="1" s="17">
      <c r="A898" s="48">
        <f>IF(Generation!BJ22="","",Generation!BJ22)</f>
        <v/>
      </c>
      <c r="B898" s="48" t="n"/>
      <c r="C898" s="48" t="n"/>
    </row>
    <row r="899" ht="18" customHeight="1" s="17">
      <c r="A899" s="48">
        <f>IF(Generation!$B22,"  &lt;/item&gt;","")</f>
        <v/>
      </c>
      <c r="B899" s="48" t="n"/>
      <c r="C899" s="48" t="n"/>
    </row>
    <row r="900" ht="18" customHeight="1" s="17">
      <c r="A900" s="48">
        <f>""</f>
        <v/>
      </c>
      <c r="B900" s="48" t="n"/>
      <c r="C900" s="48" t="n"/>
    </row>
    <row r="901" ht="18" customHeight="1" s="17">
      <c r="A901" s="48">
        <f>""</f>
        <v/>
      </c>
      <c r="B901" s="48" t="n"/>
      <c r="C901" s="48" t="n"/>
    </row>
    <row r="902" ht="18" customHeight="1" s="17">
      <c r="A902" s="48">
        <f>""</f>
        <v/>
      </c>
      <c r="B902" s="48" t="n"/>
      <c r="C902" s="48" t="n"/>
    </row>
    <row r="903" ht="18" customHeight="1" s="17">
      <c r="A903" s="48">
        <f>""</f>
        <v/>
      </c>
      <c r="B903" s="48" t="n"/>
      <c r="C903" s="48" t="n"/>
    </row>
    <row r="904" ht="18" customHeight="1" s="17">
      <c r="A904" s="48">
        <f>IF(Generation!$B23,"  &lt;item ident=""il_0_qst_"&amp;TEXT(Generation!$A23,"000")&amp;""" title="""&amp;Generation!$F23&amp;"""&gt;","")</f>
        <v/>
      </c>
      <c r="B904" s="48" t="n"/>
      <c r="C904" s="48" t="n"/>
    </row>
    <row r="905" ht="18" customHeight="1" s="17">
      <c r="A905" s="48">
        <f>IF(Generation!$B23,"    &lt;duration&gt;P0Y0M0DT0H1M0S&lt;/duration&gt;","")</f>
        <v/>
      </c>
      <c r="B905" s="48" t="n"/>
      <c r="C905" s="48" t="n"/>
    </row>
    <row r="906" ht="18" customHeight="1" s="17">
      <c r="A906" s="48">
        <f>IF(Generation!$B23,"    &lt;itemmetadata&gt;","")</f>
        <v/>
      </c>
      <c r="B906" s="48" t="n"/>
      <c r="C906" s="48" t="n"/>
    </row>
    <row r="907" ht="18" customHeight="1" s="17">
      <c r="A907" s="48">
        <f>IF(Generation!$B23,"      &lt;qtimetadata&gt;","")</f>
        <v/>
      </c>
      <c r="B907" s="48" t="n"/>
      <c r="C907" s="48" t="n"/>
    </row>
    <row r="908" ht="18" customHeight="1" s="17">
      <c r="A908" s="48">
        <f>IF(Generation!$B23,"        &lt;qtimetadatafield&gt;&lt;fieldlabel&gt;ILIAS_VERSION&lt;/fieldlabel&gt;&lt;fieldentry&gt;8&lt;/fieldentry&gt;&lt;/qtimetadatafield&gt;","")</f>
        <v/>
      </c>
      <c r="B908" s="48" t="n"/>
      <c r="C908" s="48" t="n"/>
    </row>
    <row r="909" ht="18" customHeight="1" s="17">
      <c r="A909" s="48">
        <f>IF(Generation!$B23,"        &lt;qtimetadatafield&gt;&lt;fieldlabel&gt;QUESTIONTYPE&lt;/fieldlabel&gt;&lt;fieldentry&gt;"&amp;Generation!$D23&amp;"&lt;/fieldentry&gt;&lt;/qtimetadatafield&gt;","")</f>
        <v/>
      </c>
      <c r="B909" s="48" t="n"/>
      <c r="C909" s="48" t="n"/>
    </row>
    <row r="910" ht="18" customHeight="1" s="17">
      <c r="A910" s="48">
        <f>IF(Generation!$B23,"        &lt;qtimetadatafield&gt;&lt;fieldlabel&gt;AUTHOR&lt;/fieldlabel&gt;&lt;fieldentry&gt;"&amp;Generation!$AR23&amp;"&lt;/fieldentry&gt;&lt;/qtimetadatafield&gt;","")</f>
        <v/>
      </c>
      <c r="B910" s="48" t="n"/>
      <c r="C910" s="48" t="n"/>
    </row>
    <row r="911" ht="18" customHeight="1" s="17">
      <c r="A911" s="48">
        <f>IF(Generation!$B23,"        &lt;qtimetadatafield&gt;&lt;fieldlabel&gt;identicalScoring&lt;/fieldlabel&gt;&lt;fieldentry&gt;1&lt;/fieldentry&gt;&lt;/qtimetadatafield&gt;","")</f>
        <v/>
      </c>
      <c r="B911" s="48" t="n"/>
      <c r="C911" s="48" t="n"/>
    </row>
    <row r="912" ht="18" customHeight="1" s="17">
      <c r="A912" s="48">
        <f>IF(Generation!$B23,"      &lt;/qtimetadata&gt;","")</f>
        <v/>
      </c>
      <c r="B912" s="48" t="n"/>
      <c r="C912" s="48" t="n"/>
    </row>
    <row r="913" ht="18" customHeight="1" s="17">
      <c r="A913" s="48">
        <f>IF(Generation!$B23,"    &lt;/itemmetadata&gt;","")</f>
        <v/>
      </c>
      <c r="B913" s="48" t="n"/>
      <c r="C913" s="48" t="n"/>
    </row>
    <row r="914" ht="18" customHeight="1" s="17">
      <c r="A914" s="48">
        <f>IF(Generation!$B23,"    &lt;presentation label="""&amp;Generation!$F23&amp;"""&gt;","")</f>
        <v/>
      </c>
      <c r="B914" s="48" t="n"/>
      <c r="C914" s="48" t="n"/>
    </row>
    <row r="915" ht="18" customHeight="1" s="17">
      <c r="A915" s="48">
        <f>IF(Generation!$B23,"      &lt;material&gt;&lt;mattext texttype=""text/html""&gt;"&amp;Generation!$G23&amp;"&lt;/mattext&gt;&lt;/material&gt;","")</f>
        <v/>
      </c>
      <c r="B915" s="48" t="n"/>
      <c r="C915" s="48" t="n"/>
    </row>
    <row r="916" ht="18" customHeight="1" s="17">
      <c r="A916" s="48">
        <f>IF(Generation!$B23,"      &lt;response_lid ident=""RESPONSE"" rcardinality="""&amp;Generation!$E23&amp;"""&gt;","")</f>
        <v/>
      </c>
      <c r="B916" s="48" t="n"/>
      <c r="C916" s="48" t="n"/>
    </row>
    <row r="917" ht="18" customHeight="1" s="17">
      <c r="A917" s="48">
        <f>IF(Generation!$B23,"        &lt;render_choice shuffle=""No""&gt;","")</f>
        <v/>
      </c>
      <c r="B917" s="48" t="n"/>
      <c r="C917" s="48" t="n"/>
    </row>
    <row r="918" ht="18" customHeight="1" s="17">
      <c r="A918" s="48">
        <f>IF(Generation!AB23="","",Generation!AB23)</f>
        <v/>
      </c>
      <c r="B918" s="48" t="n"/>
      <c r="C918" s="48" t="n"/>
    </row>
    <row r="919" ht="18" customHeight="1" s="17">
      <c r="A919" s="48">
        <f>IF(Generation!AC23="","",Generation!AC23)</f>
        <v/>
      </c>
      <c r="B919" s="48" t="n"/>
      <c r="C919" s="48" t="n"/>
    </row>
    <row r="920" ht="18" customHeight="1" s="17">
      <c r="A920" s="48">
        <f>IF(Generation!AD23="","",Generation!AD23)</f>
        <v/>
      </c>
      <c r="B920" s="48" t="n"/>
      <c r="C920" s="48" t="n"/>
    </row>
    <row r="921" ht="18" customHeight="1" s="17">
      <c r="A921" s="48">
        <f>IF(Generation!AE23="","",Generation!AE23)</f>
        <v/>
      </c>
      <c r="B921" s="48" t="n"/>
      <c r="C921" s="48" t="n"/>
    </row>
    <row r="922" ht="18" customHeight="1" s="17">
      <c r="A922" s="48">
        <f>IF(Generation!AF23="","",Generation!AF23)</f>
        <v/>
      </c>
      <c r="B922" s="48" t="n"/>
      <c r="C922" s="48" t="n"/>
    </row>
    <row r="923" ht="18" customHeight="1" s="17">
      <c r="A923" s="48">
        <f>IF(Generation!AG23="","",Generation!AG23)</f>
        <v/>
      </c>
      <c r="B923" s="48" t="n"/>
      <c r="C923" s="48" t="n"/>
    </row>
    <row r="924" ht="18" customHeight="1" s="17">
      <c r="A924" s="48">
        <f>IF(Generation!AH23="","",Generation!AH23)</f>
        <v/>
      </c>
      <c r="B924" s="48" t="n"/>
      <c r="C924" s="48" t="n"/>
    </row>
    <row r="925" ht="18" customHeight="1" s="17">
      <c r="A925" s="48">
        <f>IF(Generation!AI23="","",Generation!AI23)</f>
        <v/>
      </c>
      <c r="B925" s="48" t="n"/>
      <c r="C925" s="48" t="n"/>
    </row>
    <row r="926" ht="18" customHeight="1" s="17">
      <c r="A926" s="48">
        <f>IF(Generation!$B23,"        &lt;/render_choice&gt;","")</f>
        <v/>
      </c>
      <c r="B926" s="48" t="n"/>
      <c r="C926" s="48" t="n"/>
    </row>
    <row r="927" ht="18" customHeight="1" s="17">
      <c r="A927" s="48">
        <f>IF(Generation!$B23,"      &lt;/response_lid&gt;","")</f>
        <v/>
      </c>
      <c r="B927" s="48" t="n"/>
      <c r="C927" s="48" t="n"/>
    </row>
    <row r="928" ht="18" customHeight="1" s="17">
      <c r="A928" s="48">
        <f>IF(Generation!$B23,"    &lt;/presentation&gt;","")</f>
        <v/>
      </c>
      <c r="B928" s="48" t="n"/>
      <c r="C928" s="48" t="n"/>
    </row>
    <row r="929" ht="18" customHeight="1" s="17">
      <c r="A929" s="48">
        <f>IF(Generation!$B23,"    &lt;resprocessing&gt;","")</f>
        <v/>
      </c>
      <c r="B929" s="48" t="n"/>
      <c r="C929" s="48" t="n"/>
    </row>
    <row r="930" ht="18" customHeight="1" s="17">
      <c r="A930" s="48">
        <f>IF(Generation!$B23,"      &lt;outcomes&gt;&lt;decvar varname=""SCORE"" vartype=""Decimal"" minvalue=""0"" maxvalue="""&amp;Generation!$H23&amp;"""/&gt;&lt;/outcomes&gt;","")</f>
        <v/>
      </c>
      <c r="B930" s="48" t="n"/>
      <c r="C930" s="48" t="n"/>
    </row>
    <row r="931" ht="18" customHeight="1" s="17">
      <c r="A931" s="48">
        <f>IF(Generation!AJ23="","",Generation!AJ23)</f>
        <v/>
      </c>
      <c r="B931" s="48" t="n"/>
      <c r="C931" s="48" t="n"/>
    </row>
    <row r="932" ht="18" customHeight="1" s="17">
      <c r="A932" s="48">
        <f>IF(Generation!AK23="","",Generation!AK23)</f>
        <v/>
      </c>
      <c r="B932" s="48" t="n"/>
      <c r="C932" s="48" t="n"/>
    </row>
    <row r="933" ht="18" customHeight="1" s="17">
      <c r="A933" s="48">
        <f>IF(Generation!AL23="","",Generation!AL23)</f>
        <v/>
      </c>
      <c r="B933" s="48" t="n"/>
      <c r="C933" s="48" t="n"/>
    </row>
    <row r="934" ht="18" customHeight="1" s="17">
      <c r="A934" s="48">
        <f>IF(Generation!AM23="","",Generation!AM23)</f>
        <v/>
      </c>
      <c r="B934" s="48" t="n"/>
      <c r="C934" s="48" t="n"/>
    </row>
    <row r="935" ht="18" customHeight="1" s="17">
      <c r="A935" s="48">
        <f>IF(Generation!AN23="","",Generation!AN23)</f>
        <v/>
      </c>
      <c r="B935" s="48" t="n"/>
      <c r="C935" s="48" t="n"/>
    </row>
    <row r="936" ht="18" customHeight="1" s="17">
      <c r="A936" s="48">
        <f>IF(Generation!AO23="","",Generation!AO23)</f>
        <v/>
      </c>
      <c r="B936" s="48" t="n"/>
      <c r="C936" s="48" t="n"/>
    </row>
    <row r="937" ht="18" customHeight="1" s="17">
      <c r="A937" s="48">
        <f>IF(Generation!AP23="","",Generation!AP23)</f>
        <v/>
      </c>
      <c r="B937" s="48" t="n"/>
      <c r="C937" s="48" t="n"/>
    </row>
    <row r="938" ht="18" customHeight="1" s="17">
      <c r="A938" s="48">
        <f>IF(Generation!AQ23="","",Generation!AQ23)</f>
        <v/>
      </c>
      <c r="B938" s="48" t="n"/>
      <c r="C938" s="48" t="n"/>
    </row>
    <row r="939" ht="18" customHeight="1" s="17">
      <c r="A939" s="48">
        <f>IF(Generation!$B23,"    &lt;/resprocessing&gt;","")</f>
        <v/>
      </c>
      <c r="B939" s="48" t="n"/>
      <c r="C939" s="48" t="n"/>
    </row>
    <row r="940" ht="18" customHeight="1" s="17">
      <c r="A940" s="48">
        <f>IF(Generation!BB23="","",Generation!BB23)</f>
        <v/>
      </c>
      <c r="B940" s="48" t="n"/>
      <c r="C940" s="48" t="n"/>
    </row>
    <row r="941" ht="18" customHeight="1" s="17">
      <c r="A941" s="48">
        <f>IF(Generation!BC23="","",Generation!BC23)</f>
        <v/>
      </c>
      <c r="B941" s="48" t="n"/>
      <c r="C941" s="48" t="n"/>
    </row>
    <row r="942" ht="18" customHeight="1" s="17">
      <c r="A942" s="48">
        <f>IF(Generation!BD23="","",Generation!BD23)</f>
        <v/>
      </c>
      <c r="B942" s="48" t="n"/>
      <c r="C942" s="48" t="n"/>
    </row>
    <row r="943" ht="18" customHeight="1" s="17">
      <c r="A943" s="48">
        <f>IF(Generation!BE23="","",Generation!BE23)</f>
        <v/>
      </c>
      <c r="B943" s="48" t="n"/>
      <c r="C943" s="48" t="n"/>
    </row>
    <row r="944" ht="18" customHeight="1" s="17">
      <c r="A944" s="48">
        <f>IF(Generation!BF23="","",Generation!BF23)</f>
        <v/>
      </c>
      <c r="B944" s="48" t="n"/>
      <c r="C944" s="48" t="n"/>
    </row>
    <row r="945" ht="18" customHeight="1" s="17">
      <c r="A945" s="48">
        <f>IF(Generation!BG23="","",Generation!BG23)</f>
        <v/>
      </c>
      <c r="B945" s="48" t="n"/>
      <c r="C945" s="48" t="n"/>
    </row>
    <row r="946" ht="18" customHeight="1" s="17">
      <c r="A946" s="48">
        <f>IF(Generation!BH23="","",Generation!BH23)</f>
        <v/>
      </c>
      <c r="B946" s="48" t="n"/>
      <c r="C946" s="48" t="n"/>
    </row>
    <row r="947" ht="18" customHeight="1" s="17">
      <c r="A947" s="48">
        <f>IF(Generation!BI23="","",Generation!BI23)</f>
        <v/>
      </c>
      <c r="B947" s="48" t="n"/>
      <c r="C947" s="48" t="n"/>
    </row>
    <row r="948" ht="18" customHeight="1" s="17">
      <c r="A948" s="48">
        <f>IF(Generation!BJ23="","",Generation!BJ23)</f>
        <v/>
      </c>
      <c r="B948" s="48" t="n"/>
      <c r="C948" s="48" t="n"/>
    </row>
    <row r="949" ht="18" customHeight="1" s="17">
      <c r="A949" s="48">
        <f>IF(Generation!$B23,"  &lt;/item&gt;","")</f>
        <v/>
      </c>
      <c r="B949" s="48" t="n"/>
      <c r="C949" s="48" t="n"/>
    </row>
    <row r="950" ht="18" customHeight="1" s="17">
      <c r="A950" s="48">
        <f>""</f>
        <v/>
      </c>
      <c r="B950" s="48" t="n"/>
      <c r="C950" s="48" t="n"/>
    </row>
    <row r="951" ht="18" customHeight="1" s="17">
      <c r="A951" s="48">
        <f>""</f>
        <v/>
      </c>
      <c r="B951" s="48" t="n"/>
      <c r="C951" s="48" t="n"/>
    </row>
    <row r="952" ht="18" customHeight="1" s="17">
      <c r="A952" s="48">
        <f>""</f>
        <v/>
      </c>
      <c r="B952" s="48" t="n"/>
      <c r="C952" s="48" t="n"/>
    </row>
    <row r="953" ht="18" customHeight="1" s="17">
      <c r="A953" s="48">
        <f>""</f>
        <v/>
      </c>
      <c r="B953" s="48" t="n"/>
      <c r="C953" s="48" t="n"/>
    </row>
    <row r="954" ht="18" customHeight="1" s="17">
      <c r="A954" s="48">
        <f>IF(Generation!$B24,"  &lt;item ident=""il_0_qst_"&amp;TEXT(Generation!$A24,"000")&amp;""" title="""&amp;Generation!$F24&amp;"""&gt;","")</f>
        <v/>
      </c>
      <c r="B954" s="48" t="n"/>
      <c r="C954" s="48" t="n"/>
    </row>
    <row r="955" ht="18" customHeight="1" s="17">
      <c r="A955" s="48">
        <f>IF(Generation!$B24,"    &lt;duration&gt;P0Y0M0DT0H1M0S&lt;/duration&gt;","")</f>
        <v/>
      </c>
      <c r="B955" s="48" t="n"/>
      <c r="C955" s="48" t="n"/>
    </row>
    <row r="956" ht="18" customHeight="1" s="17">
      <c r="A956" s="48">
        <f>IF(Generation!$B24,"    &lt;itemmetadata&gt;","")</f>
        <v/>
      </c>
      <c r="B956" s="48" t="n"/>
      <c r="C956" s="48" t="n"/>
    </row>
    <row r="957" ht="18" customHeight="1" s="17">
      <c r="A957" s="48">
        <f>IF(Generation!$B24,"      &lt;qtimetadata&gt;","")</f>
        <v/>
      </c>
      <c r="B957" s="48" t="n"/>
      <c r="C957" s="48" t="n"/>
    </row>
    <row r="958" ht="18" customHeight="1" s="17">
      <c r="A958" s="48">
        <f>IF(Generation!$B24,"        &lt;qtimetadatafield&gt;&lt;fieldlabel&gt;ILIAS_VERSION&lt;/fieldlabel&gt;&lt;fieldentry&gt;8&lt;/fieldentry&gt;&lt;/qtimetadatafield&gt;","")</f>
        <v/>
      </c>
      <c r="B958" s="48" t="n"/>
      <c r="C958" s="48" t="n"/>
    </row>
    <row r="959" ht="18" customHeight="1" s="17">
      <c r="A959" s="48">
        <f>IF(Generation!$B24,"        &lt;qtimetadatafield&gt;&lt;fieldlabel&gt;QUESTIONTYPE&lt;/fieldlabel&gt;&lt;fieldentry&gt;"&amp;Generation!$D24&amp;"&lt;/fieldentry&gt;&lt;/qtimetadatafield&gt;","")</f>
        <v/>
      </c>
      <c r="B959" s="48" t="n"/>
      <c r="C959" s="48" t="n"/>
    </row>
    <row r="960" ht="18" customHeight="1" s="17">
      <c r="A960" s="48">
        <f>IF(Generation!$B24,"        &lt;qtimetadatafield&gt;&lt;fieldlabel&gt;AUTHOR&lt;/fieldlabel&gt;&lt;fieldentry&gt;"&amp;Generation!$AR24&amp;"&lt;/fieldentry&gt;&lt;/qtimetadatafield&gt;","")</f>
        <v/>
      </c>
      <c r="B960" s="48" t="n"/>
      <c r="C960" s="48" t="n"/>
    </row>
    <row r="961" ht="18" customHeight="1" s="17">
      <c r="A961" s="48">
        <f>IF(Generation!$B24,"        &lt;qtimetadatafield&gt;&lt;fieldlabel&gt;identicalScoring&lt;/fieldlabel&gt;&lt;fieldentry&gt;1&lt;/fieldentry&gt;&lt;/qtimetadatafield&gt;","")</f>
        <v/>
      </c>
      <c r="B961" s="48" t="n"/>
      <c r="C961" s="48" t="n"/>
    </row>
    <row r="962" ht="18" customHeight="1" s="17">
      <c r="A962" s="48">
        <f>IF(Generation!$B24,"      &lt;/qtimetadata&gt;","")</f>
        <v/>
      </c>
      <c r="B962" s="48" t="n"/>
      <c r="C962" s="48" t="n"/>
    </row>
    <row r="963" ht="18" customHeight="1" s="17">
      <c r="A963" s="48">
        <f>IF(Generation!$B24,"    &lt;/itemmetadata&gt;","")</f>
        <v/>
      </c>
      <c r="B963" s="48" t="n"/>
      <c r="C963" s="48" t="n"/>
    </row>
    <row r="964" ht="18" customHeight="1" s="17">
      <c r="A964" s="48">
        <f>IF(Generation!$B24,"    &lt;presentation label="""&amp;Generation!$F24&amp;"""&gt;","")</f>
        <v/>
      </c>
      <c r="B964" s="48" t="n"/>
      <c r="C964" s="48" t="n"/>
    </row>
    <row r="965" ht="18" customHeight="1" s="17">
      <c r="A965" s="48">
        <f>IF(Generation!$B24,"      &lt;material&gt;&lt;mattext texttype=""text/html""&gt;"&amp;Generation!$G24&amp;"&lt;/mattext&gt;&lt;/material&gt;","")</f>
        <v/>
      </c>
      <c r="B965" s="48" t="n"/>
      <c r="C965" s="48" t="n"/>
    </row>
    <row r="966" ht="18" customHeight="1" s="17">
      <c r="A966" s="48">
        <f>IF(Generation!$B24,"      &lt;response_lid ident=""RESPONSE"" rcardinality="""&amp;Generation!$E24&amp;"""&gt;","")</f>
        <v/>
      </c>
      <c r="B966" s="48" t="n"/>
      <c r="C966" s="48" t="n"/>
    </row>
    <row r="967" ht="18" customHeight="1" s="17">
      <c r="A967" s="48">
        <f>IF(Generation!$B24,"        &lt;render_choice shuffle=""No""&gt;","")</f>
        <v/>
      </c>
      <c r="B967" s="48" t="n"/>
      <c r="C967" s="48" t="n"/>
    </row>
    <row r="968" ht="18" customHeight="1" s="17">
      <c r="A968" s="48">
        <f>IF(Generation!AB24="","",Generation!AB24)</f>
        <v/>
      </c>
      <c r="B968" s="48" t="n"/>
      <c r="C968" s="48" t="n"/>
    </row>
    <row r="969" ht="18" customHeight="1" s="17">
      <c r="A969" s="48">
        <f>IF(Generation!AC24="","",Generation!AC24)</f>
        <v/>
      </c>
      <c r="B969" s="48" t="n"/>
      <c r="C969" s="48" t="n"/>
    </row>
    <row r="970" ht="18" customHeight="1" s="17">
      <c r="A970" s="48">
        <f>IF(Generation!AD24="","",Generation!AD24)</f>
        <v/>
      </c>
      <c r="B970" s="48" t="n"/>
      <c r="C970" s="48" t="n"/>
    </row>
    <row r="971" ht="18" customHeight="1" s="17">
      <c r="A971" s="48">
        <f>IF(Generation!AE24="","",Generation!AE24)</f>
        <v/>
      </c>
      <c r="B971" s="48" t="n"/>
      <c r="C971" s="48" t="n"/>
    </row>
    <row r="972" ht="18" customHeight="1" s="17">
      <c r="A972" s="48">
        <f>IF(Generation!AF24="","",Generation!AF24)</f>
        <v/>
      </c>
      <c r="B972" s="48" t="n"/>
      <c r="C972" s="48" t="n"/>
    </row>
    <row r="973" ht="18" customHeight="1" s="17">
      <c r="A973" s="48">
        <f>IF(Generation!AG24="","",Generation!AG24)</f>
        <v/>
      </c>
      <c r="B973" s="48" t="n"/>
      <c r="C973" s="48" t="n"/>
    </row>
    <row r="974" ht="18" customHeight="1" s="17">
      <c r="A974" s="48">
        <f>IF(Generation!AH24="","",Generation!AH24)</f>
        <v/>
      </c>
      <c r="B974" s="48" t="n"/>
      <c r="C974" s="48" t="n"/>
    </row>
    <row r="975" ht="18" customHeight="1" s="17">
      <c r="A975" s="48">
        <f>IF(Generation!AI24="","",Generation!AI24)</f>
        <v/>
      </c>
      <c r="B975" s="48" t="n"/>
      <c r="C975" s="48" t="n"/>
    </row>
    <row r="976" ht="18" customHeight="1" s="17">
      <c r="A976" s="48">
        <f>IF(Generation!$B24,"        &lt;/render_choice&gt;","")</f>
        <v/>
      </c>
      <c r="B976" s="48" t="n"/>
      <c r="C976" s="48" t="n"/>
    </row>
    <row r="977" ht="18" customHeight="1" s="17">
      <c r="A977" s="48">
        <f>IF(Generation!$B24,"      &lt;/response_lid&gt;","")</f>
        <v/>
      </c>
      <c r="B977" s="48" t="n"/>
      <c r="C977" s="48" t="n"/>
    </row>
    <row r="978" ht="18" customHeight="1" s="17">
      <c r="A978" s="48">
        <f>IF(Generation!$B24,"    &lt;/presentation&gt;","")</f>
        <v/>
      </c>
      <c r="B978" s="48" t="n"/>
      <c r="C978" s="48" t="n"/>
    </row>
    <row r="979" ht="18" customHeight="1" s="17">
      <c r="A979" s="48">
        <f>IF(Generation!$B24,"    &lt;resprocessing&gt;","")</f>
        <v/>
      </c>
      <c r="B979" s="48" t="n"/>
      <c r="C979" s="48" t="n"/>
    </row>
    <row r="980" ht="18" customHeight="1" s="17">
      <c r="A980" s="48">
        <f>IF(Generation!$B24,"      &lt;outcomes&gt;&lt;decvar varname=""SCORE"" vartype=""Decimal"" minvalue=""0"" maxvalue="""&amp;Generation!$H24&amp;"""/&gt;&lt;/outcomes&gt;","")</f>
        <v/>
      </c>
      <c r="B980" s="48" t="n"/>
      <c r="C980" s="48" t="n"/>
    </row>
    <row r="981" ht="18" customHeight="1" s="17">
      <c r="A981" s="48">
        <f>IF(Generation!AJ24="","",Generation!AJ24)</f>
        <v/>
      </c>
      <c r="B981" s="48" t="n"/>
      <c r="C981" s="48" t="n"/>
    </row>
    <row r="982" ht="18" customHeight="1" s="17">
      <c r="A982" s="48">
        <f>IF(Generation!AK24="","",Generation!AK24)</f>
        <v/>
      </c>
      <c r="B982" s="48" t="n"/>
      <c r="C982" s="48" t="n"/>
    </row>
    <row r="983" ht="18" customHeight="1" s="17">
      <c r="A983" s="48">
        <f>IF(Generation!AL24="","",Generation!AL24)</f>
        <v/>
      </c>
      <c r="B983" s="48" t="n"/>
      <c r="C983" s="48" t="n"/>
    </row>
    <row r="984" ht="18" customHeight="1" s="17">
      <c r="A984" s="48">
        <f>IF(Generation!AM24="","",Generation!AM24)</f>
        <v/>
      </c>
      <c r="B984" s="48" t="n"/>
      <c r="C984" s="48" t="n"/>
    </row>
    <row r="985" ht="18" customHeight="1" s="17">
      <c r="A985" s="48">
        <f>IF(Generation!AN24="","",Generation!AN24)</f>
        <v/>
      </c>
      <c r="B985" s="48" t="n"/>
      <c r="C985" s="48" t="n"/>
    </row>
    <row r="986" ht="18" customHeight="1" s="17">
      <c r="A986" s="48">
        <f>IF(Generation!AO24="","",Generation!AO24)</f>
        <v/>
      </c>
      <c r="B986" s="48" t="n"/>
      <c r="C986" s="48" t="n"/>
    </row>
    <row r="987" ht="18" customHeight="1" s="17">
      <c r="A987" s="48">
        <f>IF(Generation!AP24="","",Generation!AP24)</f>
        <v/>
      </c>
      <c r="B987" s="48" t="n"/>
      <c r="C987" s="48" t="n"/>
    </row>
    <row r="988" ht="18" customHeight="1" s="17">
      <c r="A988" s="48">
        <f>IF(Generation!AQ24="","",Generation!AQ24)</f>
        <v/>
      </c>
      <c r="B988" s="48" t="n"/>
      <c r="C988" s="48" t="n"/>
    </row>
    <row r="989" ht="18" customHeight="1" s="17">
      <c r="A989" s="48">
        <f>IF(Generation!$B24,"    &lt;/resprocessing&gt;","")</f>
        <v/>
      </c>
      <c r="B989" s="48" t="n"/>
      <c r="C989" s="48" t="n"/>
    </row>
    <row r="990" ht="18" customHeight="1" s="17">
      <c r="A990" s="48">
        <f>IF(Generation!BB24="","",Generation!BB24)</f>
        <v/>
      </c>
      <c r="B990" s="48" t="n"/>
      <c r="C990" s="48" t="n"/>
    </row>
    <row r="991" ht="18" customHeight="1" s="17">
      <c r="A991" s="48">
        <f>IF(Generation!BC24="","",Generation!BC24)</f>
        <v/>
      </c>
      <c r="B991" s="48" t="n"/>
      <c r="C991" s="48" t="n"/>
    </row>
    <row r="992" ht="18" customHeight="1" s="17">
      <c r="A992" s="48">
        <f>IF(Generation!BD24="","",Generation!BD24)</f>
        <v/>
      </c>
      <c r="B992" s="48" t="n"/>
      <c r="C992" s="48" t="n"/>
    </row>
    <row r="993" ht="18" customHeight="1" s="17">
      <c r="A993" s="48">
        <f>IF(Generation!BE24="","",Generation!BE24)</f>
        <v/>
      </c>
      <c r="B993" s="48" t="n"/>
      <c r="C993" s="48" t="n"/>
    </row>
    <row r="994" ht="18" customHeight="1" s="17">
      <c r="A994" s="48">
        <f>IF(Generation!BF24="","",Generation!BF24)</f>
        <v/>
      </c>
      <c r="B994" s="48" t="n"/>
      <c r="C994" s="48" t="n"/>
    </row>
    <row r="995" ht="18" customHeight="1" s="17">
      <c r="A995" s="48">
        <f>IF(Generation!BG24="","",Generation!BG24)</f>
        <v/>
      </c>
      <c r="B995" s="48" t="n"/>
      <c r="C995" s="48" t="n"/>
    </row>
    <row r="996" ht="18" customHeight="1" s="17">
      <c r="A996" s="48">
        <f>IF(Generation!BH24="","",Generation!BH24)</f>
        <v/>
      </c>
      <c r="B996" s="48" t="n"/>
      <c r="C996" s="48" t="n"/>
    </row>
    <row r="997" ht="18" customHeight="1" s="17">
      <c r="A997" s="48">
        <f>IF(Generation!BI24="","",Generation!BI24)</f>
        <v/>
      </c>
      <c r="B997" s="48" t="n"/>
      <c r="C997" s="48" t="n"/>
    </row>
    <row r="998" ht="18" customHeight="1" s="17">
      <c r="A998" s="48">
        <f>IF(Generation!BJ24="","",Generation!BJ24)</f>
        <v/>
      </c>
      <c r="B998" s="48" t="n"/>
      <c r="C998" s="48" t="n"/>
    </row>
    <row r="999" ht="18" customHeight="1" s="17">
      <c r="A999" s="48">
        <f>IF(Generation!$B24,"  &lt;/item&gt;","")</f>
        <v/>
      </c>
      <c r="B999" s="48" t="n"/>
      <c r="C999" s="48" t="n"/>
    </row>
    <row r="1000" ht="18" customHeight="1" s="17">
      <c r="A1000" s="48">
        <f>""</f>
        <v/>
      </c>
      <c r="B1000" s="48" t="n"/>
      <c r="C1000" s="48" t="n"/>
    </row>
    <row r="1001" ht="18" customHeight="1" s="17">
      <c r="A1001" s="48">
        <f>""</f>
        <v/>
      </c>
      <c r="B1001" s="48" t="n"/>
      <c r="C1001" s="48" t="n"/>
    </row>
    <row r="1002" ht="18" customHeight="1" s="17">
      <c r="A1002" s="48">
        <f>""</f>
        <v/>
      </c>
      <c r="B1002" s="48" t="n"/>
      <c r="C1002" s="48" t="n"/>
    </row>
    <row r="1003" ht="18" customHeight="1" s="17">
      <c r="A1003" s="48">
        <f>""</f>
        <v/>
      </c>
      <c r="B1003" s="48" t="n"/>
      <c r="C1003" s="48" t="n"/>
    </row>
    <row r="1004" ht="18" customHeight="1" s="17">
      <c r="A1004" s="48">
        <f>IF(Generation!$B25,"  &lt;item ident=""il_0_qst_"&amp;TEXT(Generation!$A25,"000")&amp;""" title="""&amp;Generation!$F25&amp;"""&gt;","")</f>
        <v/>
      </c>
      <c r="B1004" s="48" t="n"/>
      <c r="C1004" s="48" t="n"/>
    </row>
    <row r="1005" ht="18" customHeight="1" s="17">
      <c r="A1005" s="48">
        <f>IF(Generation!$B25,"    &lt;duration&gt;P0Y0M0DT0H1M0S&lt;/duration&gt;","")</f>
        <v/>
      </c>
      <c r="B1005" s="48" t="n"/>
      <c r="C1005" s="48" t="n"/>
    </row>
    <row r="1006" ht="18" customHeight="1" s="17">
      <c r="A1006" s="48">
        <f>IF(Generation!$B25,"    &lt;itemmetadata&gt;","")</f>
        <v/>
      </c>
      <c r="B1006" s="48" t="n"/>
      <c r="C1006" s="48" t="n"/>
    </row>
    <row r="1007" ht="18" customHeight="1" s="17">
      <c r="A1007" s="48">
        <f>IF(Generation!$B25,"      &lt;qtimetadata&gt;","")</f>
        <v/>
      </c>
      <c r="B1007" s="48" t="n"/>
      <c r="C1007" s="48" t="n"/>
    </row>
    <row r="1008" ht="18" customHeight="1" s="17">
      <c r="A1008" s="48">
        <f>IF(Generation!$B25,"        &lt;qtimetadatafield&gt;&lt;fieldlabel&gt;ILIAS_VERSION&lt;/fieldlabel&gt;&lt;fieldentry&gt;8&lt;/fieldentry&gt;&lt;/qtimetadatafield&gt;","")</f>
        <v/>
      </c>
      <c r="B1008" s="48" t="n"/>
      <c r="C1008" s="48" t="n"/>
    </row>
    <row r="1009" ht="18" customHeight="1" s="17">
      <c r="A1009" s="48">
        <f>IF(Generation!$B25,"        &lt;qtimetadatafield&gt;&lt;fieldlabel&gt;QUESTIONTYPE&lt;/fieldlabel&gt;&lt;fieldentry&gt;"&amp;Generation!$D25&amp;"&lt;/fieldentry&gt;&lt;/qtimetadatafield&gt;","")</f>
        <v/>
      </c>
      <c r="B1009" s="48" t="n"/>
      <c r="C1009" s="48" t="n"/>
    </row>
    <row r="1010" ht="18" customHeight="1" s="17">
      <c r="A1010" s="48">
        <f>IF(Generation!$B25,"        &lt;qtimetadatafield&gt;&lt;fieldlabel&gt;AUTHOR&lt;/fieldlabel&gt;&lt;fieldentry&gt;"&amp;Generation!$AR25&amp;"&lt;/fieldentry&gt;&lt;/qtimetadatafield&gt;","")</f>
        <v/>
      </c>
      <c r="B1010" s="48" t="n"/>
      <c r="C1010" s="48" t="n"/>
    </row>
    <row r="1011" ht="18" customHeight="1" s="17">
      <c r="A1011" s="48">
        <f>IF(Generation!$B25,"        &lt;qtimetadatafield&gt;&lt;fieldlabel&gt;identicalScoring&lt;/fieldlabel&gt;&lt;fieldentry&gt;1&lt;/fieldentry&gt;&lt;/qtimetadatafield&gt;","")</f>
        <v/>
      </c>
      <c r="B1011" s="48" t="n"/>
      <c r="C1011" s="48" t="n"/>
    </row>
    <row r="1012" ht="18" customHeight="1" s="17">
      <c r="A1012" s="48">
        <f>IF(Generation!$B25,"      &lt;/qtimetadata&gt;","")</f>
        <v/>
      </c>
      <c r="B1012" s="48" t="n"/>
      <c r="C1012" s="48" t="n"/>
    </row>
    <row r="1013" ht="18" customHeight="1" s="17">
      <c r="A1013" s="48">
        <f>IF(Generation!$B25,"    &lt;/itemmetadata&gt;","")</f>
        <v/>
      </c>
      <c r="B1013" s="48" t="n"/>
      <c r="C1013" s="48" t="n"/>
    </row>
    <row r="1014" ht="18" customHeight="1" s="17">
      <c r="A1014" s="48">
        <f>IF(Generation!$B25,"    &lt;presentation label="""&amp;Generation!$F25&amp;"""&gt;","")</f>
        <v/>
      </c>
      <c r="B1014" s="48" t="n"/>
      <c r="C1014" s="48" t="n"/>
    </row>
    <row r="1015" ht="18" customHeight="1" s="17">
      <c r="A1015" s="48">
        <f>IF(Generation!$B25,"      &lt;material&gt;&lt;mattext texttype=""text/html""&gt;"&amp;Generation!$G25&amp;"&lt;/mattext&gt;&lt;/material&gt;","")</f>
        <v/>
      </c>
      <c r="B1015" s="48" t="n"/>
      <c r="C1015" s="48" t="n"/>
    </row>
    <row r="1016" ht="18" customHeight="1" s="17">
      <c r="A1016" s="48">
        <f>IF(Generation!$B25,"      &lt;response_lid ident=""RESPONSE"" rcardinality="""&amp;Generation!$E25&amp;"""&gt;","")</f>
        <v/>
      </c>
      <c r="B1016" s="48" t="n"/>
      <c r="C1016" s="48" t="n"/>
    </row>
    <row r="1017" ht="18" customHeight="1" s="17">
      <c r="A1017" s="48">
        <f>IF(Generation!$B25,"        &lt;render_choice shuffle=""No""&gt;","")</f>
        <v/>
      </c>
      <c r="B1017" s="48" t="n"/>
      <c r="C1017" s="48" t="n"/>
    </row>
    <row r="1018" ht="18" customHeight="1" s="17">
      <c r="A1018" s="48">
        <f>IF(Generation!AB25="","",Generation!AB25)</f>
        <v/>
      </c>
      <c r="B1018" s="48" t="n"/>
      <c r="C1018" s="48" t="n"/>
    </row>
    <row r="1019" ht="18" customHeight="1" s="17">
      <c r="A1019" s="48">
        <f>IF(Generation!AC25="","",Generation!AC25)</f>
        <v/>
      </c>
      <c r="B1019" s="48" t="n"/>
      <c r="C1019" s="48" t="n"/>
    </row>
    <row r="1020" ht="18" customHeight="1" s="17">
      <c r="A1020" s="48">
        <f>IF(Generation!AD25="","",Generation!AD25)</f>
        <v/>
      </c>
      <c r="B1020" s="48" t="n"/>
      <c r="C1020" s="48" t="n"/>
    </row>
    <row r="1021" ht="18" customHeight="1" s="17">
      <c r="A1021" s="48">
        <f>IF(Generation!AE25="","",Generation!AE25)</f>
        <v/>
      </c>
      <c r="B1021" s="48" t="n"/>
      <c r="C1021" s="48" t="n"/>
    </row>
    <row r="1022" ht="18" customHeight="1" s="17">
      <c r="A1022" s="48">
        <f>IF(Generation!AF25="","",Generation!AF25)</f>
        <v/>
      </c>
      <c r="B1022" s="48" t="n"/>
      <c r="C1022" s="48" t="n"/>
    </row>
    <row r="1023" ht="18" customHeight="1" s="17">
      <c r="A1023" s="48">
        <f>IF(Generation!AG25="","",Generation!AG25)</f>
        <v/>
      </c>
      <c r="B1023" s="48" t="n"/>
      <c r="C1023" s="48" t="n"/>
    </row>
    <row r="1024" ht="18" customHeight="1" s="17">
      <c r="A1024" s="48">
        <f>IF(Generation!AH25="","",Generation!AH25)</f>
        <v/>
      </c>
      <c r="B1024" s="48" t="n"/>
      <c r="C1024" s="48" t="n"/>
    </row>
    <row r="1025" ht="18" customHeight="1" s="17">
      <c r="A1025" s="48">
        <f>IF(Generation!AI25="","",Generation!AI25)</f>
        <v/>
      </c>
      <c r="B1025" s="48" t="n"/>
      <c r="C1025" s="48" t="n"/>
    </row>
    <row r="1026" ht="18" customHeight="1" s="17">
      <c r="A1026" s="48">
        <f>IF(Generation!$B25,"        &lt;/render_choice&gt;","")</f>
        <v/>
      </c>
      <c r="B1026" s="48" t="n"/>
      <c r="C1026" s="48" t="n"/>
    </row>
    <row r="1027" ht="18" customHeight="1" s="17">
      <c r="A1027" s="48">
        <f>IF(Generation!$B25,"      &lt;/response_lid&gt;","")</f>
        <v/>
      </c>
      <c r="B1027" s="48" t="n"/>
      <c r="C1027" s="48" t="n"/>
    </row>
    <row r="1028" ht="18" customHeight="1" s="17">
      <c r="A1028" s="48">
        <f>IF(Generation!$B25,"    &lt;/presentation&gt;","")</f>
        <v/>
      </c>
      <c r="B1028" s="48" t="n"/>
      <c r="C1028" s="48" t="n"/>
    </row>
    <row r="1029" ht="18" customHeight="1" s="17">
      <c r="A1029" s="48">
        <f>IF(Generation!$B25,"    &lt;resprocessing&gt;","")</f>
        <v/>
      </c>
      <c r="B1029" s="48" t="n"/>
      <c r="C1029" s="48" t="n"/>
    </row>
    <row r="1030" ht="18" customHeight="1" s="17">
      <c r="A1030" s="48">
        <f>IF(Generation!$B25,"      &lt;outcomes&gt;&lt;decvar varname=""SCORE"" vartype=""Decimal"" minvalue=""0"" maxvalue="""&amp;Generation!$H25&amp;"""/&gt;&lt;/outcomes&gt;","")</f>
        <v/>
      </c>
      <c r="B1030" s="48" t="n"/>
      <c r="C1030" s="48" t="n"/>
    </row>
    <row r="1031" ht="18" customHeight="1" s="17">
      <c r="A1031" s="48">
        <f>IF(Generation!AJ25="","",Generation!AJ25)</f>
        <v/>
      </c>
      <c r="B1031" s="48" t="n"/>
      <c r="C1031" s="48" t="n"/>
    </row>
    <row r="1032" ht="18" customHeight="1" s="17">
      <c r="A1032" s="48">
        <f>IF(Generation!AK25="","",Generation!AK25)</f>
        <v/>
      </c>
      <c r="B1032" s="48" t="n"/>
      <c r="C1032" s="48" t="n"/>
    </row>
    <row r="1033" ht="18" customHeight="1" s="17">
      <c r="A1033" s="48">
        <f>IF(Generation!AL25="","",Generation!AL25)</f>
        <v/>
      </c>
      <c r="B1033" s="48" t="n"/>
      <c r="C1033" s="48" t="n"/>
    </row>
    <row r="1034" ht="18" customHeight="1" s="17">
      <c r="A1034" s="48">
        <f>IF(Generation!AM25="","",Generation!AM25)</f>
        <v/>
      </c>
      <c r="B1034" s="48" t="n"/>
      <c r="C1034" s="48" t="n"/>
    </row>
    <row r="1035" ht="18" customHeight="1" s="17">
      <c r="A1035" s="48">
        <f>IF(Generation!AN25="","",Generation!AN25)</f>
        <v/>
      </c>
      <c r="B1035" s="48" t="n"/>
      <c r="C1035" s="48" t="n"/>
    </row>
    <row r="1036" ht="18" customHeight="1" s="17">
      <c r="A1036" s="48">
        <f>IF(Generation!AO25="","",Generation!AO25)</f>
        <v/>
      </c>
      <c r="B1036" s="48" t="n"/>
      <c r="C1036" s="48" t="n"/>
    </row>
    <row r="1037" ht="18" customHeight="1" s="17">
      <c r="A1037" s="48">
        <f>IF(Generation!AP25="","",Generation!AP25)</f>
        <v/>
      </c>
      <c r="B1037" s="48" t="n"/>
      <c r="C1037" s="48" t="n"/>
    </row>
    <row r="1038" ht="18" customHeight="1" s="17">
      <c r="A1038" s="48">
        <f>IF(Generation!AQ25="","",Generation!AQ25)</f>
        <v/>
      </c>
      <c r="B1038" s="48" t="n"/>
      <c r="C1038" s="48" t="n"/>
    </row>
    <row r="1039" ht="18" customHeight="1" s="17">
      <c r="A1039" s="48">
        <f>IF(Generation!$B25,"    &lt;/resprocessing&gt;","")</f>
        <v/>
      </c>
      <c r="B1039" s="48" t="n"/>
      <c r="C1039" s="48" t="n"/>
    </row>
    <row r="1040" ht="18" customHeight="1" s="17">
      <c r="A1040" s="48">
        <f>IF(Generation!BB25="","",Generation!BB25)</f>
        <v/>
      </c>
      <c r="B1040" s="48" t="n"/>
      <c r="C1040" s="48" t="n"/>
    </row>
    <row r="1041" ht="18" customHeight="1" s="17">
      <c r="A1041" s="48">
        <f>IF(Generation!BC25="","",Generation!BC25)</f>
        <v/>
      </c>
      <c r="B1041" s="48" t="n"/>
      <c r="C1041" s="48" t="n"/>
    </row>
    <row r="1042" ht="18" customHeight="1" s="17">
      <c r="A1042" s="48">
        <f>IF(Generation!BD25="","",Generation!BD25)</f>
        <v/>
      </c>
      <c r="B1042" s="48" t="n"/>
      <c r="C1042" s="48" t="n"/>
    </row>
    <row r="1043" ht="18" customHeight="1" s="17">
      <c r="A1043" s="48">
        <f>IF(Generation!BE25="","",Generation!BE25)</f>
        <v/>
      </c>
      <c r="B1043" s="48" t="n"/>
      <c r="C1043" s="48" t="n"/>
    </row>
    <row r="1044" ht="18" customHeight="1" s="17">
      <c r="A1044" s="48">
        <f>IF(Generation!BF25="","",Generation!BF25)</f>
        <v/>
      </c>
      <c r="B1044" s="48" t="n"/>
      <c r="C1044" s="48" t="n"/>
    </row>
    <row r="1045" ht="18" customHeight="1" s="17">
      <c r="A1045" s="48">
        <f>IF(Generation!BG25="","",Generation!BG25)</f>
        <v/>
      </c>
      <c r="B1045" s="48" t="n"/>
      <c r="C1045" s="48" t="n"/>
    </row>
    <row r="1046" ht="18" customHeight="1" s="17">
      <c r="A1046" s="48">
        <f>IF(Generation!BH25="","",Generation!BH25)</f>
        <v/>
      </c>
      <c r="B1046" s="48" t="n"/>
      <c r="C1046" s="48" t="n"/>
    </row>
    <row r="1047" ht="18" customHeight="1" s="17">
      <c r="A1047" s="48">
        <f>IF(Generation!BI25="","",Generation!BI25)</f>
        <v/>
      </c>
      <c r="B1047" s="48" t="n"/>
      <c r="C1047" s="48" t="n"/>
    </row>
    <row r="1048" ht="18" customHeight="1" s="17">
      <c r="A1048" s="48">
        <f>IF(Generation!BJ25="","",Generation!BJ25)</f>
        <v/>
      </c>
      <c r="B1048" s="48" t="n"/>
      <c r="C1048" s="48" t="n"/>
    </row>
    <row r="1049" ht="18" customHeight="1" s="17">
      <c r="A1049" s="48">
        <f>IF(Generation!$B25,"  &lt;/item&gt;","")</f>
        <v/>
      </c>
      <c r="B1049" s="48" t="n"/>
      <c r="C1049" s="48" t="n"/>
    </row>
    <row r="1050" ht="18" customHeight="1" s="17">
      <c r="A1050" s="48">
        <f>""</f>
        <v/>
      </c>
      <c r="B1050" s="48" t="n"/>
      <c r="C1050" s="48" t="n"/>
    </row>
    <row r="1051" ht="18" customHeight="1" s="17">
      <c r="A1051" s="48">
        <f>""</f>
        <v/>
      </c>
      <c r="B1051" s="48" t="n"/>
      <c r="C1051" s="48" t="n"/>
    </row>
    <row r="1052" ht="18" customHeight="1" s="17">
      <c r="A1052" s="48">
        <f>""</f>
        <v/>
      </c>
      <c r="B1052" s="48" t="n"/>
      <c r="C1052" s="48" t="n"/>
    </row>
    <row r="1053" ht="18" customHeight="1" s="17">
      <c r="A1053" s="48">
        <f>""</f>
        <v/>
      </c>
      <c r="B1053" s="48" t="n"/>
      <c r="C1053" s="48" t="n"/>
    </row>
    <row r="1054" ht="18" customHeight="1" s="17">
      <c r="A1054" s="48">
        <f>IF(Generation!$B26,"  &lt;item ident=""il_0_qst_"&amp;TEXT(Generation!$A26,"000")&amp;""" title="""&amp;Generation!$F26&amp;"""&gt;","")</f>
        <v/>
      </c>
      <c r="B1054" s="48" t="n"/>
      <c r="C1054" s="48" t="n"/>
    </row>
    <row r="1055" ht="18" customHeight="1" s="17">
      <c r="A1055" s="48">
        <f>IF(Generation!$B26,"    &lt;duration&gt;P0Y0M0DT0H1M0S&lt;/duration&gt;","")</f>
        <v/>
      </c>
      <c r="B1055" s="48" t="n"/>
      <c r="C1055" s="48" t="n"/>
    </row>
    <row r="1056" ht="18" customHeight="1" s="17">
      <c r="A1056" s="48">
        <f>IF(Generation!$B26,"    &lt;itemmetadata&gt;","")</f>
        <v/>
      </c>
      <c r="B1056" s="48" t="n"/>
      <c r="C1056" s="48" t="n"/>
    </row>
    <row r="1057" ht="18" customHeight="1" s="17">
      <c r="A1057" s="48">
        <f>IF(Generation!$B26,"      &lt;qtimetadata&gt;","")</f>
        <v/>
      </c>
      <c r="B1057" s="48" t="n"/>
      <c r="C1057" s="48" t="n"/>
    </row>
    <row r="1058" ht="18" customHeight="1" s="17">
      <c r="A1058" s="48">
        <f>IF(Generation!$B26,"        &lt;qtimetadatafield&gt;&lt;fieldlabel&gt;ILIAS_VERSION&lt;/fieldlabel&gt;&lt;fieldentry&gt;8&lt;/fieldentry&gt;&lt;/qtimetadatafield&gt;","")</f>
        <v/>
      </c>
      <c r="B1058" s="48" t="n"/>
      <c r="C1058" s="48" t="n"/>
    </row>
    <row r="1059" ht="18" customHeight="1" s="17">
      <c r="A1059" s="48">
        <f>IF(Generation!$B26,"        &lt;qtimetadatafield&gt;&lt;fieldlabel&gt;QUESTIONTYPE&lt;/fieldlabel&gt;&lt;fieldentry&gt;"&amp;Generation!$D26&amp;"&lt;/fieldentry&gt;&lt;/qtimetadatafield&gt;","")</f>
        <v/>
      </c>
      <c r="B1059" s="48" t="n"/>
      <c r="C1059" s="48" t="n"/>
    </row>
    <row r="1060" ht="18" customHeight="1" s="17">
      <c r="A1060" s="48">
        <f>IF(Generation!$B26,"        &lt;qtimetadatafield&gt;&lt;fieldlabel&gt;AUTHOR&lt;/fieldlabel&gt;&lt;fieldentry&gt;"&amp;Generation!$AR26&amp;"&lt;/fieldentry&gt;&lt;/qtimetadatafield&gt;","")</f>
        <v/>
      </c>
      <c r="B1060" s="48" t="n"/>
      <c r="C1060" s="48" t="n"/>
    </row>
    <row r="1061" ht="18" customHeight="1" s="17">
      <c r="A1061" s="48">
        <f>IF(Generation!$B26,"        &lt;qtimetadatafield&gt;&lt;fieldlabel&gt;identicalScoring&lt;/fieldlabel&gt;&lt;fieldentry&gt;1&lt;/fieldentry&gt;&lt;/qtimetadatafield&gt;","")</f>
        <v/>
      </c>
      <c r="B1061" s="48" t="n"/>
      <c r="C1061" s="48" t="n"/>
    </row>
    <row r="1062" ht="18" customHeight="1" s="17">
      <c r="A1062" s="48">
        <f>IF(Generation!$B26,"      &lt;/qtimetadata&gt;","")</f>
        <v/>
      </c>
      <c r="B1062" s="48" t="n"/>
      <c r="C1062" s="48" t="n"/>
    </row>
    <row r="1063" ht="18" customHeight="1" s="17">
      <c r="A1063" s="48">
        <f>IF(Generation!$B26,"    &lt;/itemmetadata&gt;","")</f>
        <v/>
      </c>
      <c r="B1063" s="48" t="n"/>
      <c r="C1063" s="48" t="n"/>
    </row>
    <row r="1064" ht="18" customHeight="1" s="17">
      <c r="A1064" s="48">
        <f>IF(Generation!$B26,"    &lt;presentation label="""&amp;Generation!$F26&amp;"""&gt;","")</f>
        <v/>
      </c>
      <c r="B1064" s="48" t="n"/>
      <c r="C1064" s="48" t="n"/>
    </row>
    <row r="1065" ht="18" customHeight="1" s="17">
      <c r="A1065" s="48">
        <f>IF(Generation!$B26,"      &lt;material&gt;&lt;mattext texttype=""text/html""&gt;"&amp;Generation!$G26&amp;"&lt;/mattext&gt;&lt;/material&gt;","")</f>
        <v/>
      </c>
      <c r="B1065" s="48" t="n"/>
      <c r="C1065" s="48" t="n"/>
    </row>
    <row r="1066" ht="18" customHeight="1" s="17">
      <c r="A1066" s="48">
        <f>IF(Generation!$B26,"      &lt;response_lid ident=""RESPONSE"" rcardinality="""&amp;Generation!$E26&amp;"""&gt;","")</f>
        <v/>
      </c>
      <c r="B1066" s="48" t="n"/>
      <c r="C1066" s="48" t="n"/>
    </row>
    <row r="1067" ht="18" customHeight="1" s="17">
      <c r="A1067" s="48">
        <f>IF(Generation!$B26,"        &lt;render_choice shuffle=""No""&gt;","")</f>
        <v/>
      </c>
      <c r="B1067" s="48" t="n"/>
      <c r="C1067" s="48" t="n"/>
    </row>
    <row r="1068" ht="18" customHeight="1" s="17">
      <c r="A1068" s="48">
        <f>IF(Generation!AB26="","",Generation!AB26)</f>
        <v/>
      </c>
      <c r="B1068" s="48" t="n"/>
      <c r="C1068" s="48" t="n"/>
    </row>
    <row r="1069" ht="18" customHeight="1" s="17">
      <c r="A1069" s="48">
        <f>IF(Generation!AC26="","",Generation!AC26)</f>
        <v/>
      </c>
      <c r="B1069" s="48" t="n"/>
      <c r="C1069" s="48" t="n"/>
    </row>
    <row r="1070" ht="18" customHeight="1" s="17">
      <c r="A1070" s="48">
        <f>IF(Generation!AD26="","",Generation!AD26)</f>
        <v/>
      </c>
      <c r="B1070" s="48" t="n"/>
      <c r="C1070" s="48" t="n"/>
    </row>
    <row r="1071" ht="18" customHeight="1" s="17">
      <c r="A1071" s="48">
        <f>IF(Generation!AE26="","",Generation!AE26)</f>
        <v/>
      </c>
      <c r="B1071" s="48" t="n"/>
      <c r="C1071" s="48" t="n"/>
    </row>
    <row r="1072" ht="18" customHeight="1" s="17">
      <c r="A1072" s="48">
        <f>IF(Generation!AF26="","",Generation!AF26)</f>
        <v/>
      </c>
      <c r="B1072" s="48" t="n"/>
      <c r="C1072" s="48" t="n"/>
    </row>
    <row r="1073" ht="18" customHeight="1" s="17">
      <c r="A1073" s="48">
        <f>IF(Generation!AG26="","",Generation!AG26)</f>
        <v/>
      </c>
      <c r="B1073" s="48" t="n"/>
      <c r="C1073" s="48" t="n"/>
    </row>
    <row r="1074" ht="18" customHeight="1" s="17">
      <c r="A1074" s="48">
        <f>IF(Generation!AH26="","",Generation!AH26)</f>
        <v/>
      </c>
      <c r="B1074" s="48" t="n"/>
      <c r="C1074" s="48" t="n"/>
    </row>
    <row r="1075" ht="18" customHeight="1" s="17">
      <c r="A1075" s="48">
        <f>IF(Generation!AI26="","",Generation!AI26)</f>
        <v/>
      </c>
      <c r="B1075" s="48" t="n"/>
      <c r="C1075" s="48" t="n"/>
    </row>
    <row r="1076" ht="18" customHeight="1" s="17">
      <c r="A1076" s="48">
        <f>IF(Generation!$B26,"        &lt;/render_choice&gt;","")</f>
        <v/>
      </c>
      <c r="B1076" s="48" t="n"/>
      <c r="C1076" s="48" t="n"/>
    </row>
    <row r="1077" ht="18" customHeight="1" s="17">
      <c r="A1077" s="48">
        <f>IF(Generation!$B26,"      &lt;/response_lid&gt;","")</f>
        <v/>
      </c>
      <c r="B1077" s="48" t="n"/>
      <c r="C1077" s="48" t="n"/>
    </row>
    <row r="1078" ht="18" customHeight="1" s="17">
      <c r="A1078" s="48">
        <f>IF(Generation!$B26,"    &lt;/presentation&gt;","")</f>
        <v/>
      </c>
      <c r="B1078" s="48" t="n"/>
      <c r="C1078" s="48" t="n"/>
    </row>
    <row r="1079" ht="18" customHeight="1" s="17">
      <c r="A1079" s="48">
        <f>IF(Generation!$B26,"    &lt;resprocessing&gt;","")</f>
        <v/>
      </c>
      <c r="B1079" s="48" t="n"/>
      <c r="C1079" s="48" t="n"/>
    </row>
    <row r="1080" ht="18" customHeight="1" s="17">
      <c r="A1080" s="48">
        <f>IF(Generation!$B26,"      &lt;outcomes&gt;&lt;decvar varname=""SCORE"" vartype=""Decimal"" minvalue=""0"" maxvalue="""&amp;Generation!$H26&amp;"""/&gt;&lt;/outcomes&gt;","")</f>
        <v/>
      </c>
      <c r="B1080" s="48" t="n"/>
      <c r="C1080" s="48" t="n"/>
    </row>
    <row r="1081" ht="18" customHeight="1" s="17">
      <c r="A1081" s="48">
        <f>IF(Generation!AJ26="","",Generation!AJ26)</f>
        <v/>
      </c>
      <c r="B1081" s="48" t="n"/>
      <c r="C1081" s="48" t="n"/>
    </row>
    <row r="1082" ht="18" customHeight="1" s="17">
      <c r="A1082" s="48">
        <f>IF(Generation!AK26="","",Generation!AK26)</f>
        <v/>
      </c>
      <c r="B1082" s="48" t="n"/>
      <c r="C1082" s="48" t="n"/>
    </row>
    <row r="1083" ht="18" customHeight="1" s="17">
      <c r="A1083" s="48">
        <f>IF(Generation!AL26="","",Generation!AL26)</f>
        <v/>
      </c>
      <c r="B1083" s="48" t="n"/>
      <c r="C1083" s="48" t="n"/>
    </row>
    <row r="1084" ht="18" customHeight="1" s="17">
      <c r="A1084" s="48">
        <f>IF(Generation!AM26="","",Generation!AM26)</f>
        <v/>
      </c>
      <c r="B1084" s="48" t="n"/>
      <c r="C1084" s="48" t="n"/>
    </row>
    <row r="1085" ht="18" customHeight="1" s="17">
      <c r="A1085" s="48">
        <f>IF(Generation!AN26="","",Generation!AN26)</f>
        <v/>
      </c>
      <c r="B1085" s="48" t="n"/>
      <c r="C1085" s="48" t="n"/>
    </row>
    <row r="1086" ht="18" customHeight="1" s="17">
      <c r="A1086" s="48">
        <f>IF(Generation!AO26="","",Generation!AO26)</f>
        <v/>
      </c>
      <c r="B1086" s="48" t="n"/>
      <c r="C1086" s="48" t="n"/>
    </row>
    <row r="1087" ht="18" customHeight="1" s="17">
      <c r="A1087" s="48">
        <f>IF(Generation!AP26="","",Generation!AP26)</f>
        <v/>
      </c>
      <c r="B1087" s="48" t="n"/>
      <c r="C1087" s="48" t="n"/>
    </row>
    <row r="1088" ht="18" customHeight="1" s="17">
      <c r="A1088" s="48">
        <f>IF(Generation!AQ26="","",Generation!AQ26)</f>
        <v/>
      </c>
      <c r="B1088" s="48" t="n"/>
      <c r="C1088" s="48" t="n"/>
    </row>
    <row r="1089" ht="18" customHeight="1" s="17">
      <c r="A1089" s="48">
        <f>IF(Generation!$B26,"    &lt;/resprocessing&gt;","")</f>
        <v/>
      </c>
      <c r="B1089" s="48" t="n"/>
      <c r="C1089" s="48" t="n"/>
    </row>
    <row r="1090" ht="18" customHeight="1" s="17">
      <c r="A1090" s="48">
        <f>IF(Generation!BB26="","",Generation!BB26)</f>
        <v/>
      </c>
      <c r="B1090" s="48" t="n"/>
      <c r="C1090" s="48" t="n"/>
    </row>
    <row r="1091" ht="18" customHeight="1" s="17">
      <c r="A1091" s="48">
        <f>IF(Generation!BC26="","",Generation!BC26)</f>
        <v/>
      </c>
      <c r="B1091" s="48" t="n"/>
      <c r="C1091" s="48" t="n"/>
    </row>
    <row r="1092" ht="18" customHeight="1" s="17">
      <c r="A1092" s="48">
        <f>IF(Generation!BD26="","",Generation!BD26)</f>
        <v/>
      </c>
      <c r="B1092" s="48" t="n"/>
      <c r="C1092" s="48" t="n"/>
    </row>
    <row r="1093" ht="18" customHeight="1" s="17">
      <c r="A1093" s="48">
        <f>IF(Generation!BE26="","",Generation!BE26)</f>
        <v/>
      </c>
      <c r="B1093" s="48" t="n"/>
      <c r="C1093" s="48" t="n"/>
    </row>
    <row r="1094" ht="18" customHeight="1" s="17">
      <c r="A1094" s="48">
        <f>IF(Generation!BF26="","",Generation!BF26)</f>
        <v/>
      </c>
      <c r="B1094" s="48" t="n"/>
      <c r="C1094" s="48" t="n"/>
    </row>
    <row r="1095" ht="18" customHeight="1" s="17">
      <c r="A1095" s="48">
        <f>IF(Generation!BG26="","",Generation!BG26)</f>
        <v/>
      </c>
      <c r="B1095" s="48" t="n"/>
      <c r="C1095" s="48" t="n"/>
    </row>
    <row r="1096" ht="18" customHeight="1" s="17">
      <c r="A1096" s="48">
        <f>IF(Generation!BH26="","",Generation!BH26)</f>
        <v/>
      </c>
      <c r="B1096" s="48" t="n"/>
      <c r="C1096" s="48" t="n"/>
    </row>
    <row r="1097" ht="18" customHeight="1" s="17">
      <c r="A1097" s="48">
        <f>IF(Generation!BI26="","",Generation!BI26)</f>
        <v/>
      </c>
      <c r="B1097" s="48" t="n"/>
      <c r="C1097" s="48" t="n"/>
    </row>
    <row r="1098" ht="18" customHeight="1" s="17">
      <c r="A1098" s="48">
        <f>IF(Generation!BJ26="","",Generation!BJ26)</f>
        <v/>
      </c>
      <c r="B1098" s="48" t="n"/>
      <c r="C1098" s="48" t="n"/>
    </row>
    <row r="1099" ht="18" customHeight="1" s="17">
      <c r="A1099" s="48">
        <f>IF(Generation!$B26,"  &lt;/item&gt;","")</f>
        <v/>
      </c>
      <c r="B1099" s="48" t="n"/>
      <c r="C1099" s="48" t="n"/>
    </row>
    <row r="1100" ht="18" customHeight="1" s="17">
      <c r="A1100" s="48">
        <f>""</f>
        <v/>
      </c>
      <c r="B1100" s="48" t="n"/>
      <c r="C1100" s="48" t="n"/>
    </row>
    <row r="1101" ht="18" customHeight="1" s="17">
      <c r="A1101" s="48">
        <f>""</f>
        <v/>
      </c>
      <c r="B1101" s="48" t="n"/>
      <c r="C1101" s="48" t="n"/>
    </row>
    <row r="1102" ht="18" customHeight="1" s="17">
      <c r="A1102" s="48">
        <f>""</f>
        <v/>
      </c>
      <c r="B1102" s="48" t="n"/>
      <c r="C1102" s="48" t="n"/>
    </row>
    <row r="1103" ht="18" customHeight="1" s="17">
      <c r="A1103" s="48">
        <f>""</f>
        <v/>
      </c>
      <c r="B1103" s="48" t="n"/>
      <c r="C1103" s="48" t="n"/>
    </row>
    <row r="1104" ht="18" customHeight="1" s="17">
      <c r="A1104" s="48">
        <f>IF(Generation!$B27,"  &lt;item ident=""il_0_qst_"&amp;TEXT(Generation!$A27,"000")&amp;""" title="""&amp;Generation!$F27&amp;"""&gt;","")</f>
        <v/>
      </c>
      <c r="B1104" s="48" t="n"/>
      <c r="C1104" s="48" t="n"/>
    </row>
    <row r="1105" ht="18" customHeight="1" s="17">
      <c r="A1105" s="48">
        <f>IF(Generation!$B27,"    &lt;duration&gt;P0Y0M0DT0H1M0S&lt;/duration&gt;","")</f>
        <v/>
      </c>
      <c r="B1105" s="48" t="n"/>
      <c r="C1105" s="48" t="n"/>
    </row>
    <row r="1106" ht="18" customHeight="1" s="17">
      <c r="A1106" s="48">
        <f>IF(Generation!$B27,"    &lt;itemmetadata&gt;","")</f>
        <v/>
      </c>
      <c r="B1106" s="48" t="n"/>
      <c r="C1106" s="48" t="n"/>
    </row>
    <row r="1107" ht="18" customHeight="1" s="17">
      <c r="A1107" s="48">
        <f>IF(Generation!$B27,"      &lt;qtimetadata&gt;","")</f>
        <v/>
      </c>
      <c r="B1107" s="48" t="n"/>
      <c r="C1107" s="48" t="n"/>
    </row>
    <row r="1108" ht="18" customHeight="1" s="17">
      <c r="A1108" s="48">
        <f>IF(Generation!$B27,"        &lt;qtimetadatafield&gt;&lt;fieldlabel&gt;ILIAS_VERSION&lt;/fieldlabel&gt;&lt;fieldentry&gt;8&lt;/fieldentry&gt;&lt;/qtimetadatafield&gt;","")</f>
        <v/>
      </c>
      <c r="B1108" s="48" t="n"/>
      <c r="C1108" s="48" t="n"/>
    </row>
    <row r="1109" ht="18" customHeight="1" s="17">
      <c r="A1109" s="48">
        <f>IF(Generation!$B27,"        &lt;qtimetadatafield&gt;&lt;fieldlabel&gt;QUESTIONTYPE&lt;/fieldlabel&gt;&lt;fieldentry&gt;"&amp;Generation!$D27&amp;"&lt;/fieldentry&gt;&lt;/qtimetadatafield&gt;","")</f>
        <v/>
      </c>
      <c r="B1109" s="48" t="n"/>
      <c r="C1109" s="48" t="n"/>
    </row>
    <row r="1110" ht="18" customHeight="1" s="17">
      <c r="A1110" s="48">
        <f>IF(Generation!$B27,"        &lt;qtimetadatafield&gt;&lt;fieldlabel&gt;AUTHOR&lt;/fieldlabel&gt;&lt;fieldentry&gt;"&amp;Generation!$AR27&amp;"&lt;/fieldentry&gt;&lt;/qtimetadatafield&gt;","")</f>
        <v/>
      </c>
      <c r="B1110" s="48" t="n"/>
      <c r="C1110" s="48" t="n"/>
    </row>
    <row r="1111" ht="18" customHeight="1" s="17">
      <c r="A1111" s="48">
        <f>IF(Generation!$B27,"        &lt;qtimetadatafield&gt;&lt;fieldlabel&gt;identicalScoring&lt;/fieldlabel&gt;&lt;fieldentry&gt;1&lt;/fieldentry&gt;&lt;/qtimetadatafield&gt;","")</f>
        <v/>
      </c>
      <c r="B1111" s="48" t="n"/>
      <c r="C1111" s="48" t="n"/>
    </row>
    <row r="1112" ht="18" customHeight="1" s="17">
      <c r="A1112" s="48">
        <f>IF(Generation!$B27,"      &lt;/qtimetadata&gt;","")</f>
        <v/>
      </c>
      <c r="B1112" s="48" t="n"/>
      <c r="C1112" s="48" t="n"/>
    </row>
    <row r="1113" ht="18" customHeight="1" s="17">
      <c r="A1113" s="48">
        <f>IF(Generation!$B27,"    &lt;/itemmetadata&gt;","")</f>
        <v/>
      </c>
      <c r="B1113" s="48" t="n"/>
      <c r="C1113" s="48" t="n"/>
    </row>
    <row r="1114" ht="18" customHeight="1" s="17">
      <c r="A1114" s="48">
        <f>IF(Generation!$B27,"    &lt;presentation label="""&amp;Generation!$F27&amp;"""&gt;","")</f>
        <v/>
      </c>
      <c r="B1114" s="48" t="n"/>
      <c r="C1114" s="48" t="n"/>
    </row>
    <row r="1115" ht="18" customHeight="1" s="17">
      <c r="A1115" s="48">
        <f>IF(Generation!$B27,"      &lt;material&gt;&lt;mattext texttype=""text/html""&gt;"&amp;Generation!$G27&amp;"&lt;/mattext&gt;&lt;/material&gt;","")</f>
        <v/>
      </c>
      <c r="B1115" s="48" t="n"/>
      <c r="C1115" s="48" t="n"/>
    </row>
    <row r="1116" ht="18" customHeight="1" s="17">
      <c r="A1116" s="48">
        <f>IF(Generation!$B27,"      &lt;response_lid ident=""RESPONSE"" rcardinality="""&amp;Generation!$E27&amp;"""&gt;","")</f>
        <v/>
      </c>
      <c r="B1116" s="48" t="n"/>
      <c r="C1116" s="48" t="n"/>
    </row>
    <row r="1117" ht="18" customHeight="1" s="17">
      <c r="A1117" s="48">
        <f>IF(Generation!$B27,"        &lt;render_choice shuffle=""No""&gt;","")</f>
        <v/>
      </c>
      <c r="B1117" s="48" t="n"/>
      <c r="C1117" s="48" t="n"/>
    </row>
    <row r="1118" ht="18" customHeight="1" s="17">
      <c r="A1118" s="48">
        <f>IF(Generation!AB27="","",Generation!AB27)</f>
        <v/>
      </c>
      <c r="B1118" s="48" t="n"/>
      <c r="C1118" s="48" t="n"/>
    </row>
    <row r="1119" ht="18" customHeight="1" s="17">
      <c r="A1119" s="48">
        <f>IF(Generation!AC27="","",Generation!AC27)</f>
        <v/>
      </c>
      <c r="B1119" s="48" t="n"/>
      <c r="C1119" s="48" t="n"/>
    </row>
    <row r="1120" ht="18" customHeight="1" s="17">
      <c r="A1120" s="48">
        <f>IF(Generation!AD27="","",Generation!AD27)</f>
        <v/>
      </c>
      <c r="B1120" s="48" t="n"/>
      <c r="C1120" s="48" t="n"/>
    </row>
    <row r="1121" ht="18" customHeight="1" s="17">
      <c r="A1121" s="48">
        <f>IF(Generation!AE27="","",Generation!AE27)</f>
        <v/>
      </c>
      <c r="B1121" s="48" t="n"/>
      <c r="C1121" s="48" t="n"/>
    </row>
    <row r="1122" ht="18" customHeight="1" s="17">
      <c r="A1122" s="48">
        <f>IF(Generation!AF27="","",Generation!AF27)</f>
        <v/>
      </c>
      <c r="B1122" s="48" t="n"/>
      <c r="C1122" s="48" t="n"/>
    </row>
    <row r="1123" ht="18" customHeight="1" s="17">
      <c r="A1123" s="48">
        <f>IF(Generation!AG27="","",Generation!AG27)</f>
        <v/>
      </c>
      <c r="B1123" s="48" t="n"/>
      <c r="C1123" s="48" t="n"/>
    </row>
    <row r="1124" ht="18" customHeight="1" s="17">
      <c r="A1124" s="48">
        <f>IF(Generation!AH27="","",Generation!AH27)</f>
        <v/>
      </c>
      <c r="B1124" s="48" t="n"/>
      <c r="C1124" s="48" t="n"/>
    </row>
    <row r="1125" ht="18" customHeight="1" s="17">
      <c r="A1125" s="48">
        <f>IF(Generation!AI27="","",Generation!AI27)</f>
        <v/>
      </c>
      <c r="B1125" s="48" t="n"/>
      <c r="C1125" s="48" t="n"/>
    </row>
    <row r="1126" ht="18" customHeight="1" s="17">
      <c r="A1126" s="48">
        <f>IF(Generation!$B27,"        &lt;/render_choice&gt;","")</f>
        <v/>
      </c>
      <c r="B1126" s="48" t="n"/>
      <c r="C1126" s="48" t="n"/>
    </row>
    <row r="1127" ht="18" customHeight="1" s="17">
      <c r="A1127" s="48">
        <f>IF(Generation!$B27,"      &lt;/response_lid&gt;","")</f>
        <v/>
      </c>
      <c r="B1127" s="48" t="n"/>
      <c r="C1127" s="48" t="n"/>
    </row>
    <row r="1128" ht="18" customHeight="1" s="17">
      <c r="A1128" s="48">
        <f>IF(Generation!$B27,"    &lt;/presentation&gt;","")</f>
        <v/>
      </c>
      <c r="B1128" s="48" t="n"/>
      <c r="C1128" s="48" t="n"/>
    </row>
    <row r="1129" ht="18" customHeight="1" s="17">
      <c r="A1129" s="48">
        <f>IF(Generation!$B27,"    &lt;resprocessing&gt;","")</f>
        <v/>
      </c>
      <c r="B1129" s="48" t="n"/>
      <c r="C1129" s="48" t="n"/>
    </row>
    <row r="1130" ht="18" customHeight="1" s="17">
      <c r="A1130" s="48">
        <f>IF(Generation!$B27,"      &lt;outcomes&gt;&lt;decvar varname=""SCORE"" vartype=""Decimal"" minvalue=""0"" maxvalue="""&amp;Generation!$H27&amp;"""/&gt;&lt;/outcomes&gt;","")</f>
        <v/>
      </c>
      <c r="B1130" s="48" t="n"/>
      <c r="C1130" s="48" t="n"/>
    </row>
    <row r="1131" ht="18" customHeight="1" s="17">
      <c r="A1131" s="48">
        <f>IF(Generation!AJ27="","",Generation!AJ27)</f>
        <v/>
      </c>
      <c r="B1131" s="48" t="n"/>
      <c r="C1131" s="48" t="n"/>
    </row>
    <row r="1132" ht="18" customHeight="1" s="17">
      <c r="A1132" s="48">
        <f>IF(Generation!AK27="","",Generation!AK27)</f>
        <v/>
      </c>
      <c r="B1132" s="48" t="n"/>
      <c r="C1132" s="48" t="n"/>
    </row>
    <row r="1133" ht="18" customHeight="1" s="17">
      <c r="A1133" s="48">
        <f>IF(Generation!AL27="","",Generation!AL27)</f>
        <v/>
      </c>
      <c r="B1133" s="48" t="n"/>
      <c r="C1133" s="48" t="n"/>
    </row>
    <row r="1134" ht="18" customHeight="1" s="17">
      <c r="A1134" s="48">
        <f>IF(Generation!AM27="","",Generation!AM27)</f>
        <v/>
      </c>
      <c r="B1134" s="48" t="n"/>
      <c r="C1134" s="48" t="n"/>
    </row>
    <row r="1135" ht="18" customHeight="1" s="17">
      <c r="A1135" s="48">
        <f>IF(Generation!AN27="","",Generation!AN27)</f>
        <v/>
      </c>
      <c r="B1135" s="48" t="n"/>
      <c r="C1135" s="48" t="n"/>
    </row>
    <row r="1136" ht="18" customHeight="1" s="17">
      <c r="A1136" s="48">
        <f>IF(Generation!AO27="","",Generation!AO27)</f>
        <v/>
      </c>
      <c r="B1136" s="48" t="n"/>
      <c r="C1136" s="48" t="n"/>
    </row>
    <row r="1137" ht="18" customHeight="1" s="17">
      <c r="A1137" s="48">
        <f>IF(Generation!AP27="","",Generation!AP27)</f>
        <v/>
      </c>
      <c r="B1137" s="48" t="n"/>
      <c r="C1137" s="48" t="n"/>
    </row>
    <row r="1138" ht="18" customHeight="1" s="17">
      <c r="A1138" s="48">
        <f>IF(Generation!AQ27="","",Generation!AQ27)</f>
        <v/>
      </c>
      <c r="B1138" s="48" t="n"/>
      <c r="C1138" s="48" t="n"/>
    </row>
    <row r="1139" ht="18" customHeight="1" s="17">
      <c r="A1139" s="48">
        <f>IF(Generation!$B27,"    &lt;/resprocessing&gt;","")</f>
        <v/>
      </c>
      <c r="B1139" s="48" t="n"/>
      <c r="C1139" s="48" t="n"/>
    </row>
    <row r="1140" ht="18" customHeight="1" s="17">
      <c r="A1140" s="48">
        <f>IF(Generation!BB27="","",Generation!BB27)</f>
        <v/>
      </c>
      <c r="B1140" s="48" t="n"/>
      <c r="C1140" s="48" t="n"/>
    </row>
    <row r="1141" ht="18" customHeight="1" s="17">
      <c r="A1141" s="48">
        <f>IF(Generation!BC27="","",Generation!BC27)</f>
        <v/>
      </c>
      <c r="B1141" s="48" t="n"/>
      <c r="C1141" s="48" t="n"/>
    </row>
    <row r="1142" ht="18" customHeight="1" s="17">
      <c r="A1142" s="48">
        <f>IF(Generation!BD27="","",Generation!BD27)</f>
        <v/>
      </c>
      <c r="B1142" s="48" t="n"/>
      <c r="C1142" s="48" t="n"/>
    </row>
    <row r="1143" ht="18" customHeight="1" s="17">
      <c r="A1143" s="48">
        <f>IF(Generation!BE27="","",Generation!BE27)</f>
        <v/>
      </c>
      <c r="B1143" s="48" t="n"/>
      <c r="C1143" s="48" t="n"/>
    </row>
    <row r="1144" ht="18" customHeight="1" s="17">
      <c r="A1144" s="48">
        <f>IF(Generation!BF27="","",Generation!BF27)</f>
        <v/>
      </c>
      <c r="B1144" s="48" t="n"/>
      <c r="C1144" s="48" t="n"/>
    </row>
    <row r="1145" ht="18" customHeight="1" s="17">
      <c r="A1145" s="48">
        <f>IF(Generation!BG27="","",Generation!BG27)</f>
        <v/>
      </c>
      <c r="B1145" s="48" t="n"/>
      <c r="C1145" s="48" t="n"/>
    </row>
    <row r="1146" ht="18" customHeight="1" s="17">
      <c r="A1146" s="48">
        <f>IF(Generation!BH27="","",Generation!BH27)</f>
        <v/>
      </c>
      <c r="B1146" s="48" t="n"/>
      <c r="C1146" s="48" t="n"/>
    </row>
    <row r="1147" ht="18" customHeight="1" s="17">
      <c r="A1147" s="48">
        <f>IF(Generation!BI27="","",Generation!BI27)</f>
        <v/>
      </c>
      <c r="B1147" s="48" t="n"/>
      <c r="C1147" s="48" t="n"/>
    </row>
    <row r="1148" ht="18" customHeight="1" s="17">
      <c r="A1148" s="48">
        <f>IF(Generation!BJ27="","",Generation!BJ27)</f>
        <v/>
      </c>
      <c r="B1148" s="48" t="n"/>
      <c r="C1148" s="48" t="n"/>
    </row>
    <row r="1149" ht="18" customHeight="1" s="17">
      <c r="A1149" s="48">
        <f>IF(Generation!$B27,"  &lt;/item&gt;","")</f>
        <v/>
      </c>
      <c r="B1149" s="48" t="n"/>
      <c r="C1149" s="48" t="n"/>
    </row>
    <row r="1150" ht="18" customHeight="1" s="17">
      <c r="A1150" s="48">
        <f>""</f>
        <v/>
      </c>
      <c r="B1150" s="48" t="n"/>
      <c r="C1150" s="48" t="n"/>
    </row>
    <row r="1151" ht="18" customHeight="1" s="17">
      <c r="A1151" s="48">
        <f>""</f>
        <v/>
      </c>
      <c r="B1151" s="48" t="n"/>
      <c r="C1151" s="48" t="n"/>
    </row>
    <row r="1152" ht="18" customHeight="1" s="17">
      <c r="A1152" s="48">
        <f>""</f>
        <v/>
      </c>
      <c r="B1152" s="48" t="n"/>
      <c r="C1152" s="48" t="n"/>
    </row>
    <row r="1153" ht="18" customHeight="1" s="17">
      <c r="A1153" s="48">
        <f>""</f>
        <v/>
      </c>
      <c r="B1153" s="48" t="n"/>
      <c r="C1153" s="48" t="n"/>
    </row>
    <row r="1154" ht="18" customHeight="1" s="17">
      <c r="A1154" s="48">
        <f>IF(Generation!$B28,"  &lt;item ident=""il_0_qst_"&amp;TEXT(Generation!$A28,"000")&amp;""" title="""&amp;Generation!$F28&amp;"""&gt;","")</f>
        <v/>
      </c>
      <c r="B1154" s="48" t="n"/>
      <c r="C1154" s="48" t="n"/>
    </row>
    <row r="1155" ht="18" customHeight="1" s="17">
      <c r="A1155" s="48">
        <f>IF(Generation!$B28,"    &lt;duration&gt;P0Y0M0DT0H1M0S&lt;/duration&gt;","")</f>
        <v/>
      </c>
      <c r="B1155" s="48" t="n"/>
      <c r="C1155" s="48" t="n"/>
    </row>
    <row r="1156" ht="18" customHeight="1" s="17">
      <c r="A1156" s="48">
        <f>IF(Generation!$B28,"    &lt;itemmetadata&gt;","")</f>
        <v/>
      </c>
      <c r="B1156" s="48" t="n"/>
      <c r="C1156" s="48" t="n"/>
    </row>
    <row r="1157" ht="18" customHeight="1" s="17">
      <c r="A1157" s="48">
        <f>IF(Generation!$B28,"      &lt;qtimetadata&gt;","")</f>
        <v/>
      </c>
      <c r="B1157" s="48" t="n"/>
      <c r="C1157" s="48" t="n"/>
    </row>
    <row r="1158" ht="18" customHeight="1" s="17">
      <c r="A1158" s="48">
        <f>IF(Generation!$B28,"        &lt;qtimetadatafield&gt;&lt;fieldlabel&gt;ILIAS_VERSION&lt;/fieldlabel&gt;&lt;fieldentry&gt;8&lt;/fieldentry&gt;&lt;/qtimetadatafield&gt;","")</f>
        <v/>
      </c>
      <c r="B1158" s="48" t="n"/>
      <c r="C1158" s="48" t="n"/>
    </row>
    <row r="1159" ht="18" customHeight="1" s="17">
      <c r="A1159" s="48">
        <f>IF(Generation!$B28,"        &lt;qtimetadatafield&gt;&lt;fieldlabel&gt;QUESTIONTYPE&lt;/fieldlabel&gt;&lt;fieldentry&gt;"&amp;Generation!$D28&amp;"&lt;/fieldentry&gt;&lt;/qtimetadatafield&gt;","")</f>
        <v/>
      </c>
      <c r="B1159" s="48" t="n"/>
      <c r="C1159" s="48" t="n"/>
    </row>
    <row r="1160" ht="18" customHeight="1" s="17">
      <c r="A1160" s="48">
        <f>IF(Generation!$B28,"        &lt;qtimetadatafield&gt;&lt;fieldlabel&gt;AUTHOR&lt;/fieldlabel&gt;&lt;fieldentry&gt;"&amp;Generation!$AR28&amp;"&lt;/fieldentry&gt;&lt;/qtimetadatafield&gt;","")</f>
        <v/>
      </c>
      <c r="B1160" s="48" t="n"/>
      <c r="C1160" s="48" t="n"/>
    </row>
    <row r="1161" ht="18" customHeight="1" s="17">
      <c r="A1161" s="48">
        <f>IF(Generation!$B28,"        &lt;qtimetadatafield&gt;&lt;fieldlabel&gt;identicalScoring&lt;/fieldlabel&gt;&lt;fieldentry&gt;1&lt;/fieldentry&gt;&lt;/qtimetadatafield&gt;","")</f>
        <v/>
      </c>
      <c r="B1161" s="48" t="n"/>
      <c r="C1161" s="48" t="n"/>
    </row>
    <row r="1162" ht="18" customHeight="1" s="17">
      <c r="A1162" s="48">
        <f>IF(Generation!$B28,"      &lt;/qtimetadata&gt;","")</f>
        <v/>
      </c>
      <c r="B1162" s="48" t="n"/>
      <c r="C1162" s="48" t="n"/>
    </row>
    <row r="1163" ht="18" customHeight="1" s="17">
      <c r="A1163" s="48">
        <f>IF(Generation!$B28,"    &lt;/itemmetadata&gt;","")</f>
        <v/>
      </c>
      <c r="B1163" s="48" t="n"/>
      <c r="C1163" s="48" t="n"/>
    </row>
    <row r="1164" ht="18" customHeight="1" s="17">
      <c r="A1164" s="48">
        <f>IF(Generation!$B28,"    &lt;presentation label="""&amp;Generation!$F28&amp;"""&gt;","")</f>
        <v/>
      </c>
      <c r="B1164" s="48" t="n"/>
      <c r="C1164" s="48" t="n"/>
    </row>
    <row r="1165" ht="18" customHeight="1" s="17">
      <c r="A1165" s="48">
        <f>IF(Generation!$B28,"      &lt;material&gt;&lt;mattext texttype=""text/html""&gt;"&amp;Generation!$G28&amp;"&lt;/mattext&gt;&lt;/material&gt;","")</f>
        <v/>
      </c>
      <c r="B1165" s="48" t="n"/>
      <c r="C1165" s="48" t="n"/>
    </row>
    <row r="1166" ht="18" customHeight="1" s="17">
      <c r="A1166" s="48">
        <f>IF(Generation!$B28,"      &lt;response_lid ident=""RESPONSE"" rcardinality="""&amp;Generation!$E28&amp;"""&gt;","")</f>
        <v/>
      </c>
      <c r="B1166" s="48" t="n"/>
      <c r="C1166" s="48" t="n"/>
    </row>
    <row r="1167" ht="18" customHeight="1" s="17">
      <c r="A1167" s="48">
        <f>IF(Generation!$B28,"        &lt;render_choice shuffle=""No""&gt;","")</f>
        <v/>
      </c>
      <c r="B1167" s="48" t="n"/>
      <c r="C1167" s="48" t="n"/>
    </row>
    <row r="1168" ht="18" customHeight="1" s="17">
      <c r="A1168" s="48">
        <f>IF(Generation!AB28="","",Generation!AB28)</f>
        <v/>
      </c>
      <c r="B1168" s="48" t="n"/>
      <c r="C1168" s="48" t="n"/>
    </row>
    <row r="1169" ht="18" customHeight="1" s="17">
      <c r="A1169" s="48">
        <f>IF(Generation!AC28="","",Generation!AC28)</f>
        <v/>
      </c>
      <c r="B1169" s="48" t="n"/>
      <c r="C1169" s="48" t="n"/>
    </row>
    <row r="1170" ht="18" customHeight="1" s="17">
      <c r="A1170" s="48">
        <f>IF(Generation!AD28="","",Generation!AD28)</f>
        <v/>
      </c>
      <c r="B1170" s="48" t="n"/>
      <c r="C1170" s="48" t="n"/>
    </row>
    <row r="1171" ht="18" customHeight="1" s="17">
      <c r="A1171" s="48">
        <f>IF(Generation!AE28="","",Generation!AE28)</f>
        <v/>
      </c>
      <c r="B1171" s="48" t="n"/>
      <c r="C1171" s="48" t="n"/>
    </row>
    <row r="1172" ht="18" customHeight="1" s="17">
      <c r="A1172" s="48">
        <f>IF(Generation!AF28="","",Generation!AF28)</f>
        <v/>
      </c>
      <c r="B1172" s="48" t="n"/>
      <c r="C1172" s="48" t="n"/>
    </row>
    <row r="1173" ht="18" customHeight="1" s="17">
      <c r="A1173" s="48">
        <f>IF(Generation!AG28="","",Generation!AG28)</f>
        <v/>
      </c>
      <c r="B1173" s="48" t="n"/>
      <c r="C1173" s="48" t="n"/>
    </row>
    <row r="1174" ht="18" customHeight="1" s="17">
      <c r="A1174" s="48">
        <f>IF(Generation!AH28="","",Generation!AH28)</f>
        <v/>
      </c>
      <c r="B1174" s="48" t="n"/>
      <c r="C1174" s="48" t="n"/>
    </row>
    <row r="1175" ht="18" customHeight="1" s="17">
      <c r="A1175" s="48">
        <f>IF(Generation!AI28="","",Generation!AI28)</f>
        <v/>
      </c>
      <c r="B1175" s="48" t="n"/>
      <c r="C1175" s="48" t="n"/>
    </row>
    <row r="1176" ht="18" customHeight="1" s="17">
      <c r="A1176" s="48">
        <f>IF(Generation!$B28,"        &lt;/render_choice&gt;","")</f>
        <v/>
      </c>
      <c r="B1176" s="48" t="n"/>
      <c r="C1176" s="48" t="n"/>
    </row>
    <row r="1177" ht="18" customHeight="1" s="17">
      <c r="A1177" s="48">
        <f>IF(Generation!$B28,"      &lt;/response_lid&gt;","")</f>
        <v/>
      </c>
      <c r="B1177" s="48" t="n"/>
      <c r="C1177" s="48" t="n"/>
    </row>
    <row r="1178" ht="18" customHeight="1" s="17">
      <c r="A1178" s="48">
        <f>IF(Generation!$B28,"    &lt;/presentation&gt;","")</f>
        <v/>
      </c>
      <c r="B1178" s="48" t="n"/>
      <c r="C1178" s="48" t="n"/>
    </row>
    <row r="1179" ht="18" customHeight="1" s="17">
      <c r="A1179" s="48">
        <f>IF(Generation!$B28,"    &lt;resprocessing&gt;","")</f>
        <v/>
      </c>
      <c r="B1179" s="48" t="n"/>
      <c r="C1179" s="48" t="n"/>
    </row>
    <row r="1180" ht="18" customHeight="1" s="17">
      <c r="A1180" s="48">
        <f>IF(Generation!$B28,"      &lt;outcomes&gt;&lt;decvar varname=""SCORE"" vartype=""Decimal"" minvalue=""0"" maxvalue="""&amp;Generation!$H28&amp;"""/&gt;&lt;/outcomes&gt;","")</f>
        <v/>
      </c>
      <c r="B1180" s="48" t="n"/>
      <c r="C1180" s="48" t="n"/>
    </row>
    <row r="1181" ht="18" customHeight="1" s="17">
      <c r="A1181" s="48">
        <f>IF(Generation!AJ28="","",Generation!AJ28)</f>
        <v/>
      </c>
      <c r="B1181" s="48" t="n"/>
      <c r="C1181" s="48" t="n"/>
    </row>
    <row r="1182" ht="18" customHeight="1" s="17">
      <c r="A1182" s="48">
        <f>IF(Generation!AK28="","",Generation!AK28)</f>
        <v/>
      </c>
      <c r="B1182" s="48" t="n"/>
      <c r="C1182" s="48" t="n"/>
    </row>
    <row r="1183" ht="18" customHeight="1" s="17">
      <c r="A1183" s="48">
        <f>IF(Generation!AL28="","",Generation!AL28)</f>
        <v/>
      </c>
      <c r="B1183" s="48" t="n"/>
      <c r="C1183" s="48" t="n"/>
    </row>
    <row r="1184" ht="18" customHeight="1" s="17">
      <c r="A1184" s="48">
        <f>IF(Generation!AM28="","",Generation!AM28)</f>
        <v/>
      </c>
      <c r="B1184" s="48" t="n"/>
      <c r="C1184" s="48" t="n"/>
    </row>
    <row r="1185" ht="18" customHeight="1" s="17">
      <c r="A1185" s="48">
        <f>IF(Generation!AN28="","",Generation!AN28)</f>
        <v/>
      </c>
      <c r="B1185" s="48" t="n"/>
      <c r="C1185" s="48" t="n"/>
    </row>
    <row r="1186" ht="18" customHeight="1" s="17">
      <c r="A1186" s="48">
        <f>IF(Generation!AO28="","",Generation!AO28)</f>
        <v/>
      </c>
      <c r="B1186" s="48" t="n"/>
      <c r="C1186" s="48" t="n"/>
    </row>
    <row r="1187" ht="18" customHeight="1" s="17">
      <c r="A1187" s="48">
        <f>IF(Generation!AP28="","",Generation!AP28)</f>
        <v/>
      </c>
      <c r="B1187" s="48" t="n"/>
      <c r="C1187" s="48" t="n"/>
    </row>
    <row r="1188" ht="18" customHeight="1" s="17">
      <c r="A1188" s="48">
        <f>IF(Generation!AQ28="","",Generation!AQ28)</f>
        <v/>
      </c>
      <c r="B1188" s="48" t="n"/>
      <c r="C1188" s="48" t="n"/>
    </row>
    <row r="1189" ht="18" customHeight="1" s="17">
      <c r="A1189" s="48">
        <f>IF(Generation!$B28,"    &lt;/resprocessing&gt;","")</f>
        <v/>
      </c>
      <c r="B1189" s="48" t="n"/>
      <c r="C1189" s="48" t="n"/>
    </row>
    <row r="1190" ht="18" customHeight="1" s="17">
      <c r="A1190" s="48">
        <f>IF(Generation!BB28="","",Generation!BB28)</f>
        <v/>
      </c>
      <c r="B1190" s="48" t="n"/>
      <c r="C1190" s="48" t="n"/>
    </row>
    <row r="1191" ht="18" customHeight="1" s="17">
      <c r="A1191" s="48">
        <f>IF(Generation!BC28="","",Generation!BC28)</f>
        <v/>
      </c>
      <c r="B1191" s="48" t="n"/>
      <c r="C1191" s="48" t="n"/>
    </row>
    <row r="1192" ht="18" customHeight="1" s="17">
      <c r="A1192" s="48">
        <f>IF(Generation!BD28="","",Generation!BD28)</f>
        <v/>
      </c>
      <c r="B1192" s="48" t="n"/>
      <c r="C1192" s="48" t="n"/>
    </row>
    <row r="1193" ht="18" customHeight="1" s="17">
      <c r="A1193" s="48">
        <f>IF(Generation!BE28="","",Generation!BE28)</f>
        <v/>
      </c>
      <c r="B1193" s="48" t="n"/>
      <c r="C1193" s="48" t="n"/>
    </row>
    <row r="1194" ht="18" customHeight="1" s="17">
      <c r="A1194" s="48">
        <f>IF(Generation!BF28="","",Generation!BF28)</f>
        <v/>
      </c>
      <c r="B1194" s="48" t="n"/>
      <c r="C1194" s="48" t="n"/>
    </row>
    <row r="1195" ht="18" customHeight="1" s="17">
      <c r="A1195" s="48">
        <f>IF(Generation!BG28="","",Generation!BG28)</f>
        <v/>
      </c>
      <c r="B1195" s="48" t="n"/>
      <c r="C1195" s="48" t="n"/>
    </row>
    <row r="1196" ht="18" customHeight="1" s="17">
      <c r="A1196" s="48">
        <f>IF(Generation!BH28="","",Generation!BH28)</f>
        <v/>
      </c>
      <c r="B1196" s="48" t="n"/>
      <c r="C1196" s="48" t="n"/>
    </row>
    <row r="1197" ht="18" customHeight="1" s="17">
      <c r="A1197" s="48">
        <f>IF(Generation!BI28="","",Generation!BI28)</f>
        <v/>
      </c>
      <c r="B1197" s="48" t="n"/>
      <c r="C1197" s="48" t="n"/>
    </row>
    <row r="1198" ht="18" customHeight="1" s="17">
      <c r="A1198" s="48">
        <f>IF(Generation!BJ28="","",Generation!BJ28)</f>
        <v/>
      </c>
      <c r="B1198" s="48" t="n"/>
      <c r="C1198" s="48" t="n"/>
    </row>
    <row r="1199" ht="18" customHeight="1" s="17">
      <c r="A1199" s="48">
        <f>IF(Generation!$B28,"  &lt;/item&gt;","")</f>
        <v/>
      </c>
      <c r="B1199" s="48" t="n"/>
      <c r="C1199" s="48" t="n"/>
    </row>
    <row r="1200" ht="18" customHeight="1" s="17">
      <c r="A1200" s="48">
        <f>""</f>
        <v/>
      </c>
      <c r="B1200" s="48" t="n"/>
      <c r="C1200" s="48" t="n"/>
    </row>
    <row r="1201" ht="18" customHeight="1" s="17">
      <c r="A1201" s="48">
        <f>""</f>
        <v/>
      </c>
      <c r="B1201" s="48" t="n"/>
      <c r="C1201" s="48" t="n"/>
    </row>
    <row r="1202" ht="18" customHeight="1" s="17">
      <c r="A1202" s="48">
        <f>""</f>
        <v/>
      </c>
      <c r="B1202" s="48" t="n"/>
      <c r="C1202" s="48" t="n"/>
    </row>
    <row r="1203" ht="18" customHeight="1" s="17">
      <c r="A1203" s="48">
        <f>""</f>
        <v/>
      </c>
      <c r="B1203" s="48" t="n"/>
      <c r="C1203" s="48" t="n"/>
    </row>
    <row r="1204" ht="18" customHeight="1" s="17">
      <c r="A1204" s="48">
        <f>IF(Generation!$B29,"  &lt;item ident=""il_0_qst_"&amp;TEXT(Generation!$A29,"000")&amp;""" title="""&amp;Generation!$F29&amp;"""&gt;","")</f>
        <v/>
      </c>
      <c r="B1204" s="48" t="n"/>
      <c r="C1204" s="48" t="n"/>
    </row>
    <row r="1205" ht="18" customHeight="1" s="17">
      <c r="A1205" s="48">
        <f>IF(Generation!$B29,"    &lt;duration&gt;P0Y0M0DT0H1M0S&lt;/duration&gt;","")</f>
        <v/>
      </c>
      <c r="B1205" s="48" t="n"/>
      <c r="C1205" s="48" t="n"/>
    </row>
    <row r="1206" ht="18" customHeight="1" s="17">
      <c r="A1206" s="48">
        <f>IF(Generation!$B29,"    &lt;itemmetadata&gt;","")</f>
        <v/>
      </c>
      <c r="B1206" s="48" t="n"/>
      <c r="C1206" s="48" t="n"/>
    </row>
    <row r="1207" ht="18" customHeight="1" s="17">
      <c r="A1207" s="48">
        <f>IF(Generation!$B29,"      &lt;qtimetadata&gt;","")</f>
        <v/>
      </c>
      <c r="B1207" s="48" t="n"/>
      <c r="C1207" s="48" t="n"/>
    </row>
    <row r="1208" ht="18" customHeight="1" s="17">
      <c r="A1208" s="48">
        <f>IF(Generation!$B29,"        &lt;qtimetadatafield&gt;&lt;fieldlabel&gt;ILIAS_VERSION&lt;/fieldlabel&gt;&lt;fieldentry&gt;8&lt;/fieldentry&gt;&lt;/qtimetadatafield&gt;","")</f>
        <v/>
      </c>
      <c r="B1208" s="48" t="n"/>
      <c r="C1208" s="48" t="n"/>
    </row>
    <row r="1209" ht="18" customHeight="1" s="17">
      <c r="A1209" s="48">
        <f>IF(Generation!$B29,"        &lt;qtimetadatafield&gt;&lt;fieldlabel&gt;QUESTIONTYPE&lt;/fieldlabel&gt;&lt;fieldentry&gt;"&amp;Generation!$D29&amp;"&lt;/fieldentry&gt;&lt;/qtimetadatafield&gt;","")</f>
        <v/>
      </c>
      <c r="B1209" s="48" t="n"/>
      <c r="C1209" s="48" t="n"/>
    </row>
    <row r="1210" ht="18" customHeight="1" s="17">
      <c r="A1210" s="48">
        <f>IF(Generation!$B29,"        &lt;qtimetadatafield&gt;&lt;fieldlabel&gt;AUTHOR&lt;/fieldlabel&gt;&lt;fieldentry&gt;"&amp;Generation!$AR29&amp;"&lt;/fieldentry&gt;&lt;/qtimetadatafield&gt;","")</f>
        <v/>
      </c>
      <c r="B1210" s="48" t="n"/>
      <c r="C1210" s="48" t="n"/>
    </row>
    <row r="1211" ht="18" customHeight="1" s="17">
      <c r="A1211" s="48">
        <f>IF(Generation!$B29,"        &lt;qtimetadatafield&gt;&lt;fieldlabel&gt;identicalScoring&lt;/fieldlabel&gt;&lt;fieldentry&gt;1&lt;/fieldentry&gt;&lt;/qtimetadatafield&gt;","")</f>
        <v/>
      </c>
      <c r="B1211" s="48" t="n"/>
      <c r="C1211" s="48" t="n"/>
    </row>
    <row r="1212" ht="18" customHeight="1" s="17">
      <c r="A1212" s="48">
        <f>IF(Generation!$B29,"      &lt;/qtimetadata&gt;","")</f>
        <v/>
      </c>
      <c r="B1212" s="48" t="n"/>
      <c r="C1212" s="48" t="n"/>
    </row>
    <row r="1213" ht="18" customHeight="1" s="17">
      <c r="A1213" s="48">
        <f>IF(Generation!$B29,"    &lt;/itemmetadata&gt;","")</f>
        <v/>
      </c>
      <c r="B1213" s="48" t="n"/>
      <c r="C1213" s="48" t="n"/>
    </row>
    <row r="1214" ht="18" customHeight="1" s="17">
      <c r="A1214" s="48">
        <f>IF(Generation!$B29,"    &lt;presentation label="""&amp;Generation!$F29&amp;"""&gt;","")</f>
        <v/>
      </c>
      <c r="B1214" s="48" t="n"/>
      <c r="C1214" s="48" t="n"/>
    </row>
    <row r="1215" ht="18" customHeight="1" s="17">
      <c r="A1215" s="48">
        <f>IF(Generation!$B29,"      &lt;material&gt;&lt;mattext texttype=""text/html""&gt;"&amp;Generation!$G29&amp;"&lt;/mattext&gt;&lt;/material&gt;","")</f>
        <v/>
      </c>
      <c r="B1215" s="48" t="n"/>
      <c r="C1215" s="48" t="n"/>
    </row>
    <row r="1216" ht="18" customHeight="1" s="17">
      <c r="A1216" s="48">
        <f>IF(Generation!$B29,"      &lt;response_lid ident=""RESPONSE"" rcardinality="""&amp;Generation!$E29&amp;"""&gt;","")</f>
        <v/>
      </c>
      <c r="B1216" s="48" t="n"/>
      <c r="C1216" s="48" t="n"/>
    </row>
    <row r="1217" ht="18" customHeight="1" s="17">
      <c r="A1217" s="48">
        <f>IF(Generation!$B29,"        &lt;render_choice shuffle=""No""&gt;","")</f>
        <v/>
      </c>
      <c r="B1217" s="48" t="n"/>
      <c r="C1217" s="48" t="n"/>
    </row>
    <row r="1218" ht="18" customHeight="1" s="17">
      <c r="A1218" s="48">
        <f>IF(Generation!AB29="","",Generation!AB29)</f>
        <v/>
      </c>
      <c r="B1218" s="48" t="n"/>
      <c r="C1218" s="48" t="n"/>
    </row>
    <row r="1219" ht="18" customHeight="1" s="17">
      <c r="A1219" s="48">
        <f>IF(Generation!AC29="","",Generation!AC29)</f>
        <v/>
      </c>
      <c r="B1219" s="48" t="n"/>
      <c r="C1219" s="48" t="n"/>
    </row>
    <row r="1220" ht="18" customHeight="1" s="17">
      <c r="A1220" s="48">
        <f>IF(Generation!AD29="","",Generation!AD29)</f>
        <v/>
      </c>
      <c r="B1220" s="48" t="n"/>
      <c r="C1220" s="48" t="n"/>
    </row>
    <row r="1221" ht="18" customHeight="1" s="17">
      <c r="A1221" s="48">
        <f>IF(Generation!AE29="","",Generation!AE29)</f>
        <v/>
      </c>
      <c r="B1221" s="48" t="n"/>
      <c r="C1221" s="48" t="n"/>
    </row>
    <row r="1222" ht="18" customHeight="1" s="17">
      <c r="A1222" s="48">
        <f>IF(Generation!AF29="","",Generation!AF29)</f>
        <v/>
      </c>
      <c r="B1222" s="48" t="n"/>
      <c r="C1222" s="48" t="n"/>
    </row>
    <row r="1223" ht="18" customHeight="1" s="17">
      <c r="A1223" s="48">
        <f>IF(Generation!AG29="","",Generation!AG29)</f>
        <v/>
      </c>
      <c r="B1223" s="48" t="n"/>
      <c r="C1223" s="48" t="n"/>
    </row>
    <row r="1224" ht="18" customHeight="1" s="17">
      <c r="A1224" s="48">
        <f>IF(Generation!AH29="","",Generation!AH29)</f>
        <v/>
      </c>
      <c r="B1224" s="48" t="n"/>
      <c r="C1224" s="48" t="n"/>
    </row>
    <row r="1225" ht="18" customHeight="1" s="17">
      <c r="A1225" s="48">
        <f>IF(Generation!AI29="","",Generation!AI29)</f>
        <v/>
      </c>
      <c r="B1225" s="48" t="n"/>
      <c r="C1225" s="48" t="n"/>
    </row>
    <row r="1226" ht="18" customHeight="1" s="17">
      <c r="A1226" s="48">
        <f>IF(Generation!$B29,"        &lt;/render_choice&gt;","")</f>
        <v/>
      </c>
      <c r="B1226" s="48" t="n"/>
      <c r="C1226" s="48" t="n"/>
    </row>
    <row r="1227" ht="18" customHeight="1" s="17">
      <c r="A1227" s="48">
        <f>IF(Generation!$B29,"      &lt;/response_lid&gt;","")</f>
        <v/>
      </c>
      <c r="B1227" s="48" t="n"/>
      <c r="C1227" s="48" t="n"/>
    </row>
    <row r="1228" ht="18" customHeight="1" s="17">
      <c r="A1228" s="48">
        <f>IF(Generation!$B29,"    &lt;/presentation&gt;","")</f>
        <v/>
      </c>
      <c r="B1228" s="48" t="n"/>
      <c r="C1228" s="48" t="n"/>
    </row>
    <row r="1229" ht="18" customHeight="1" s="17">
      <c r="A1229" s="48">
        <f>IF(Generation!$B29,"    &lt;resprocessing&gt;","")</f>
        <v/>
      </c>
      <c r="B1229" s="48" t="n"/>
      <c r="C1229" s="48" t="n"/>
    </row>
    <row r="1230" ht="18" customHeight="1" s="17">
      <c r="A1230" s="48">
        <f>IF(Generation!$B29,"      &lt;outcomes&gt;&lt;decvar varname=""SCORE"" vartype=""Decimal"" minvalue=""0"" maxvalue="""&amp;Generation!$H29&amp;"""/&gt;&lt;/outcomes&gt;","")</f>
        <v/>
      </c>
      <c r="B1230" s="48" t="n"/>
      <c r="C1230" s="48" t="n"/>
    </row>
    <row r="1231" ht="18" customHeight="1" s="17">
      <c r="A1231" s="48">
        <f>IF(Generation!AJ29="","",Generation!AJ29)</f>
        <v/>
      </c>
      <c r="B1231" s="48" t="n"/>
      <c r="C1231" s="48" t="n"/>
    </row>
    <row r="1232" ht="18" customHeight="1" s="17">
      <c r="A1232" s="48">
        <f>IF(Generation!AK29="","",Generation!AK29)</f>
        <v/>
      </c>
      <c r="B1232" s="48" t="n"/>
      <c r="C1232" s="48" t="n"/>
    </row>
    <row r="1233" ht="18" customHeight="1" s="17">
      <c r="A1233" s="48">
        <f>IF(Generation!AL29="","",Generation!AL29)</f>
        <v/>
      </c>
      <c r="B1233" s="48" t="n"/>
      <c r="C1233" s="48" t="n"/>
    </row>
    <row r="1234" ht="18" customHeight="1" s="17">
      <c r="A1234" s="48">
        <f>IF(Generation!AM29="","",Generation!AM29)</f>
        <v/>
      </c>
      <c r="B1234" s="48" t="n"/>
      <c r="C1234" s="48" t="n"/>
    </row>
    <row r="1235" ht="18" customHeight="1" s="17">
      <c r="A1235" s="48">
        <f>IF(Generation!AN29="","",Generation!AN29)</f>
        <v/>
      </c>
      <c r="B1235" s="48" t="n"/>
      <c r="C1235" s="48" t="n"/>
    </row>
    <row r="1236" ht="18" customHeight="1" s="17">
      <c r="A1236" s="48">
        <f>IF(Generation!AO29="","",Generation!AO29)</f>
        <v/>
      </c>
      <c r="B1236" s="48" t="n"/>
      <c r="C1236" s="48" t="n"/>
    </row>
    <row r="1237" ht="18" customHeight="1" s="17">
      <c r="A1237" s="48">
        <f>IF(Generation!AP29="","",Generation!AP29)</f>
        <v/>
      </c>
      <c r="B1237" s="48" t="n"/>
      <c r="C1237" s="48" t="n"/>
    </row>
    <row r="1238" ht="18" customHeight="1" s="17">
      <c r="A1238" s="48">
        <f>IF(Generation!AQ29="","",Generation!AQ29)</f>
        <v/>
      </c>
      <c r="B1238" s="48" t="n"/>
      <c r="C1238" s="48" t="n"/>
    </row>
    <row r="1239" ht="18" customHeight="1" s="17">
      <c r="A1239" s="48">
        <f>IF(Generation!$B29,"    &lt;/resprocessing&gt;","")</f>
        <v/>
      </c>
      <c r="B1239" s="48" t="n"/>
      <c r="C1239" s="48" t="n"/>
    </row>
    <row r="1240" ht="18" customHeight="1" s="17">
      <c r="A1240" s="48">
        <f>IF(Generation!BB29="","",Generation!BB29)</f>
        <v/>
      </c>
      <c r="B1240" s="48" t="n"/>
      <c r="C1240" s="48" t="n"/>
    </row>
    <row r="1241" ht="18" customHeight="1" s="17">
      <c r="A1241" s="48">
        <f>IF(Generation!BC29="","",Generation!BC29)</f>
        <v/>
      </c>
      <c r="B1241" s="48" t="n"/>
      <c r="C1241" s="48" t="n"/>
    </row>
    <row r="1242" ht="18" customHeight="1" s="17">
      <c r="A1242" s="48">
        <f>IF(Generation!BD29="","",Generation!BD29)</f>
        <v/>
      </c>
      <c r="B1242" s="48" t="n"/>
      <c r="C1242" s="48" t="n"/>
    </row>
    <row r="1243" ht="18" customHeight="1" s="17">
      <c r="A1243" s="48">
        <f>IF(Generation!BE29="","",Generation!BE29)</f>
        <v/>
      </c>
      <c r="B1243" s="48" t="n"/>
      <c r="C1243" s="48" t="n"/>
    </row>
    <row r="1244" ht="18" customHeight="1" s="17">
      <c r="A1244" s="48">
        <f>IF(Generation!BF29="","",Generation!BF29)</f>
        <v/>
      </c>
      <c r="B1244" s="48" t="n"/>
      <c r="C1244" s="48" t="n"/>
    </row>
    <row r="1245" ht="18" customHeight="1" s="17">
      <c r="A1245" s="48">
        <f>IF(Generation!BG29="","",Generation!BG29)</f>
        <v/>
      </c>
      <c r="B1245" s="48" t="n"/>
      <c r="C1245" s="48" t="n"/>
    </row>
    <row r="1246" ht="18" customHeight="1" s="17">
      <c r="A1246" s="48">
        <f>IF(Generation!BH29="","",Generation!BH29)</f>
        <v/>
      </c>
      <c r="B1246" s="48" t="n"/>
      <c r="C1246" s="48" t="n"/>
    </row>
    <row r="1247" ht="18" customHeight="1" s="17">
      <c r="A1247" s="48">
        <f>IF(Generation!BI29="","",Generation!BI29)</f>
        <v/>
      </c>
      <c r="B1247" s="48" t="n"/>
      <c r="C1247" s="48" t="n"/>
    </row>
    <row r="1248" ht="18" customHeight="1" s="17">
      <c r="A1248" s="48">
        <f>IF(Generation!BJ29="","",Generation!BJ29)</f>
        <v/>
      </c>
      <c r="B1248" s="48" t="n"/>
      <c r="C1248" s="48" t="n"/>
    </row>
    <row r="1249" ht="18" customHeight="1" s="17">
      <c r="A1249" s="48">
        <f>IF(Generation!$B29,"  &lt;/item&gt;","")</f>
        <v/>
      </c>
      <c r="B1249" s="48" t="n"/>
      <c r="C1249" s="48" t="n"/>
    </row>
    <row r="1250" ht="18" customHeight="1" s="17">
      <c r="A1250" s="48">
        <f>""</f>
        <v/>
      </c>
      <c r="B1250" s="48" t="n"/>
      <c r="C1250" s="48" t="n"/>
    </row>
    <row r="1251" ht="18" customHeight="1" s="17">
      <c r="A1251" s="48">
        <f>""</f>
        <v/>
      </c>
      <c r="B1251" s="48" t="n"/>
      <c r="C1251" s="48" t="n"/>
    </row>
    <row r="1252" ht="18" customHeight="1" s="17">
      <c r="A1252" s="48">
        <f>""</f>
        <v/>
      </c>
      <c r="B1252" s="48" t="n"/>
      <c r="C1252" s="48" t="n"/>
    </row>
    <row r="1253" ht="18" customHeight="1" s="17">
      <c r="A1253" s="48">
        <f>""</f>
        <v/>
      </c>
      <c r="B1253" s="48" t="n"/>
      <c r="C1253" s="48" t="n"/>
    </row>
    <row r="1254" ht="18" customHeight="1" s="17">
      <c r="A1254" s="48">
        <f>IF(Generation!$B30,"  &lt;item ident=""il_0_qst_"&amp;TEXT(Generation!$A30,"000")&amp;""" title="""&amp;Generation!$F30&amp;"""&gt;","")</f>
        <v/>
      </c>
      <c r="B1254" s="48" t="n"/>
      <c r="C1254" s="48" t="n"/>
    </row>
    <row r="1255" ht="18" customHeight="1" s="17">
      <c r="A1255" s="48">
        <f>IF(Generation!$B30,"    &lt;duration&gt;P0Y0M0DT0H1M0S&lt;/duration&gt;","")</f>
        <v/>
      </c>
      <c r="B1255" s="48" t="n"/>
      <c r="C1255" s="48" t="n"/>
    </row>
    <row r="1256" ht="18" customHeight="1" s="17">
      <c r="A1256" s="48">
        <f>IF(Generation!$B30,"    &lt;itemmetadata&gt;","")</f>
        <v/>
      </c>
      <c r="B1256" s="48" t="n"/>
      <c r="C1256" s="48" t="n"/>
    </row>
    <row r="1257" ht="18" customHeight="1" s="17">
      <c r="A1257" s="48">
        <f>IF(Generation!$B30,"      &lt;qtimetadata&gt;","")</f>
        <v/>
      </c>
      <c r="B1257" s="48" t="n"/>
      <c r="C1257" s="48" t="n"/>
    </row>
    <row r="1258" ht="18" customHeight="1" s="17">
      <c r="A1258" s="48">
        <f>IF(Generation!$B30,"        &lt;qtimetadatafield&gt;&lt;fieldlabel&gt;ILIAS_VERSION&lt;/fieldlabel&gt;&lt;fieldentry&gt;8&lt;/fieldentry&gt;&lt;/qtimetadatafield&gt;","")</f>
        <v/>
      </c>
      <c r="B1258" s="48" t="n"/>
      <c r="C1258" s="48" t="n"/>
    </row>
    <row r="1259" ht="18" customHeight="1" s="17">
      <c r="A1259" s="48">
        <f>IF(Generation!$B30,"        &lt;qtimetadatafield&gt;&lt;fieldlabel&gt;QUESTIONTYPE&lt;/fieldlabel&gt;&lt;fieldentry&gt;"&amp;Generation!$D30&amp;"&lt;/fieldentry&gt;&lt;/qtimetadatafield&gt;","")</f>
        <v/>
      </c>
      <c r="B1259" s="48" t="n"/>
      <c r="C1259" s="48" t="n"/>
    </row>
    <row r="1260" ht="18" customHeight="1" s="17">
      <c r="A1260" s="48">
        <f>IF(Generation!$B30,"        &lt;qtimetadatafield&gt;&lt;fieldlabel&gt;AUTHOR&lt;/fieldlabel&gt;&lt;fieldentry&gt;"&amp;Generation!$AR30&amp;"&lt;/fieldentry&gt;&lt;/qtimetadatafield&gt;","")</f>
        <v/>
      </c>
      <c r="B1260" s="48" t="n"/>
      <c r="C1260" s="48" t="n"/>
    </row>
    <row r="1261" ht="18" customHeight="1" s="17">
      <c r="A1261" s="48">
        <f>IF(Generation!$B30,"        &lt;qtimetadatafield&gt;&lt;fieldlabel&gt;identicalScoring&lt;/fieldlabel&gt;&lt;fieldentry&gt;1&lt;/fieldentry&gt;&lt;/qtimetadatafield&gt;","")</f>
        <v/>
      </c>
      <c r="B1261" s="48" t="n"/>
      <c r="C1261" s="48" t="n"/>
    </row>
    <row r="1262" ht="18" customHeight="1" s="17">
      <c r="A1262" s="48">
        <f>IF(Generation!$B30,"      &lt;/qtimetadata&gt;","")</f>
        <v/>
      </c>
      <c r="B1262" s="48" t="n"/>
      <c r="C1262" s="48" t="n"/>
    </row>
    <row r="1263" ht="18" customHeight="1" s="17">
      <c r="A1263" s="48">
        <f>IF(Generation!$B30,"    &lt;/itemmetadata&gt;","")</f>
        <v/>
      </c>
      <c r="B1263" s="48" t="n"/>
      <c r="C1263" s="48" t="n"/>
    </row>
    <row r="1264" ht="18" customHeight="1" s="17">
      <c r="A1264" s="48">
        <f>IF(Generation!$B30,"    &lt;presentation label="""&amp;Generation!$F30&amp;"""&gt;","")</f>
        <v/>
      </c>
      <c r="B1264" s="48" t="n"/>
      <c r="C1264" s="48" t="n"/>
    </row>
    <row r="1265" ht="18" customHeight="1" s="17">
      <c r="A1265" s="48">
        <f>IF(Generation!$B30,"      &lt;material&gt;&lt;mattext texttype=""text/html""&gt;"&amp;Generation!$G30&amp;"&lt;/mattext&gt;&lt;/material&gt;","")</f>
        <v/>
      </c>
      <c r="B1265" s="48" t="n"/>
      <c r="C1265" s="48" t="n"/>
    </row>
    <row r="1266" ht="18" customHeight="1" s="17">
      <c r="A1266" s="48">
        <f>IF(Generation!$B30,"      &lt;response_lid ident=""RESPONSE"" rcardinality="""&amp;Generation!$E30&amp;"""&gt;","")</f>
        <v/>
      </c>
      <c r="B1266" s="48" t="n"/>
      <c r="C1266" s="48" t="n"/>
    </row>
    <row r="1267" ht="18" customHeight="1" s="17">
      <c r="A1267" s="48">
        <f>IF(Generation!$B30,"        &lt;render_choice shuffle=""No""&gt;","")</f>
        <v/>
      </c>
      <c r="B1267" s="48" t="n"/>
      <c r="C1267" s="48" t="n"/>
    </row>
    <row r="1268" ht="18" customHeight="1" s="17">
      <c r="A1268" s="48">
        <f>IF(Generation!AB30="","",Generation!AB30)</f>
        <v/>
      </c>
      <c r="B1268" s="48" t="n"/>
      <c r="C1268" s="48" t="n"/>
    </row>
    <row r="1269" ht="18" customHeight="1" s="17">
      <c r="A1269" s="48">
        <f>IF(Generation!AC30="","",Generation!AC30)</f>
        <v/>
      </c>
      <c r="B1269" s="48" t="n"/>
      <c r="C1269" s="48" t="n"/>
    </row>
    <row r="1270" ht="18" customHeight="1" s="17">
      <c r="A1270" s="48">
        <f>IF(Generation!AD30="","",Generation!AD30)</f>
        <v/>
      </c>
      <c r="B1270" s="48" t="n"/>
      <c r="C1270" s="48" t="n"/>
    </row>
    <row r="1271" ht="18" customHeight="1" s="17">
      <c r="A1271" s="48">
        <f>IF(Generation!AE30="","",Generation!AE30)</f>
        <v/>
      </c>
      <c r="B1271" s="48" t="n"/>
      <c r="C1271" s="48" t="n"/>
    </row>
    <row r="1272" ht="18" customHeight="1" s="17">
      <c r="A1272" s="48">
        <f>IF(Generation!AF30="","",Generation!AF30)</f>
        <v/>
      </c>
      <c r="B1272" s="48" t="n"/>
      <c r="C1272" s="48" t="n"/>
    </row>
    <row r="1273" ht="18" customHeight="1" s="17">
      <c r="A1273" s="48">
        <f>IF(Generation!AG30="","",Generation!AG30)</f>
        <v/>
      </c>
      <c r="B1273" s="48" t="n"/>
      <c r="C1273" s="48" t="n"/>
    </row>
    <row r="1274" ht="18" customHeight="1" s="17">
      <c r="A1274" s="48">
        <f>IF(Generation!AH30="","",Generation!AH30)</f>
        <v/>
      </c>
      <c r="B1274" s="48" t="n"/>
      <c r="C1274" s="48" t="n"/>
    </row>
    <row r="1275" ht="18" customHeight="1" s="17">
      <c r="A1275" s="48">
        <f>IF(Generation!AI30="","",Generation!AI30)</f>
        <v/>
      </c>
      <c r="B1275" s="48" t="n"/>
      <c r="C1275" s="48" t="n"/>
    </row>
    <row r="1276" ht="18" customHeight="1" s="17">
      <c r="A1276" s="48">
        <f>IF(Generation!$B30,"        &lt;/render_choice&gt;","")</f>
        <v/>
      </c>
      <c r="B1276" s="48" t="n"/>
      <c r="C1276" s="48" t="n"/>
    </row>
    <row r="1277" ht="18" customHeight="1" s="17">
      <c r="A1277" s="48">
        <f>IF(Generation!$B30,"      &lt;/response_lid&gt;","")</f>
        <v/>
      </c>
      <c r="B1277" s="48" t="n"/>
      <c r="C1277" s="48" t="n"/>
    </row>
    <row r="1278" ht="18" customHeight="1" s="17">
      <c r="A1278" s="48">
        <f>IF(Generation!$B30,"    &lt;/presentation&gt;","")</f>
        <v/>
      </c>
      <c r="B1278" s="48" t="n"/>
      <c r="C1278" s="48" t="n"/>
    </row>
    <row r="1279" ht="18" customHeight="1" s="17">
      <c r="A1279" s="48">
        <f>IF(Generation!$B30,"    &lt;resprocessing&gt;","")</f>
        <v/>
      </c>
      <c r="B1279" s="48" t="n"/>
      <c r="C1279" s="48" t="n"/>
    </row>
    <row r="1280" ht="18" customHeight="1" s="17">
      <c r="A1280" s="48">
        <f>IF(Generation!$B30,"      &lt;outcomes&gt;&lt;decvar varname=""SCORE"" vartype=""Decimal"" minvalue=""0"" maxvalue="""&amp;Generation!$H30&amp;"""/&gt;&lt;/outcomes&gt;","")</f>
        <v/>
      </c>
      <c r="B1280" s="48" t="n"/>
      <c r="C1280" s="48" t="n"/>
    </row>
    <row r="1281" ht="18" customHeight="1" s="17">
      <c r="A1281" s="48">
        <f>IF(Generation!AJ30="","",Generation!AJ30)</f>
        <v/>
      </c>
      <c r="B1281" s="48" t="n"/>
      <c r="C1281" s="48" t="n"/>
    </row>
    <row r="1282" ht="18" customHeight="1" s="17">
      <c r="A1282" s="48">
        <f>IF(Generation!AK30="","",Generation!AK30)</f>
        <v/>
      </c>
      <c r="B1282" s="48" t="n"/>
      <c r="C1282" s="48" t="n"/>
    </row>
    <row r="1283" ht="18" customHeight="1" s="17">
      <c r="A1283" s="48">
        <f>IF(Generation!AL30="","",Generation!AL30)</f>
        <v/>
      </c>
      <c r="B1283" s="48" t="n"/>
      <c r="C1283" s="48" t="n"/>
    </row>
    <row r="1284" ht="18" customHeight="1" s="17">
      <c r="A1284" s="48">
        <f>IF(Generation!AM30="","",Generation!AM30)</f>
        <v/>
      </c>
      <c r="B1284" s="48" t="n"/>
      <c r="C1284" s="48" t="n"/>
    </row>
    <row r="1285" ht="18" customHeight="1" s="17">
      <c r="A1285" s="48">
        <f>IF(Generation!AN30="","",Generation!AN30)</f>
        <v/>
      </c>
      <c r="B1285" s="48" t="n"/>
      <c r="C1285" s="48" t="n"/>
    </row>
    <row r="1286" ht="18" customHeight="1" s="17">
      <c r="A1286" s="48">
        <f>IF(Generation!AO30="","",Generation!AO30)</f>
        <v/>
      </c>
      <c r="B1286" s="48" t="n"/>
      <c r="C1286" s="48" t="n"/>
    </row>
    <row r="1287" ht="18" customHeight="1" s="17">
      <c r="A1287" s="48">
        <f>IF(Generation!AP30="","",Generation!AP30)</f>
        <v/>
      </c>
      <c r="B1287" s="48" t="n"/>
      <c r="C1287" s="48" t="n"/>
    </row>
    <row r="1288" ht="18" customHeight="1" s="17">
      <c r="A1288" s="48">
        <f>IF(Generation!AQ30="","",Generation!AQ30)</f>
        <v/>
      </c>
      <c r="B1288" s="48" t="n"/>
      <c r="C1288" s="48" t="n"/>
    </row>
    <row r="1289" ht="18" customHeight="1" s="17">
      <c r="A1289" s="48">
        <f>IF(Generation!$B30,"    &lt;/resprocessing&gt;","")</f>
        <v/>
      </c>
      <c r="B1289" s="48" t="n"/>
      <c r="C1289" s="48" t="n"/>
    </row>
    <row r="1290" ht="18" customHeight="1" s="17">
      <c r="A1290" s="48">
        <f>IF(Generation!BB30="","",Generation!BB30)</f>
        <v/>
      </c>
      <c r="B1290" s="48" t="n"/>
      <c r="C1290" s="48" t="n"/>
    </row>
    <row r="1291" ht="18" customHeight="1" s="17">
      <c r="A1291" s="48">
        <f>IF(Generation!BC30="","",Generation!BC30)</f>
        <v/>
      </c>
      <c r="B1291" s="48" t="n"/>
      <c r="C1291" s="48" t="n"/>
    </row>
    <row r="1292" ht="18" customHeight="1" s="17">
      <c r="A1292" s="48">
        <f>IF(Generation!BD30="","",Generation!BD30)</f>
        <v/>
      </c>
      <c r="B1292" s="48" t="n"/>
      <c r="C1292" s="48" t="n"/>
    </row>
    <row r="1293" ht="18" customHeight="1" s="17">
      <c r="A1293" s="48">
        <f>IF(Generation!BE30="","",Generation!BE30)</f>
        <v/>
      </c>
      <c r="B1293" s="48" t="n"/>
      <c r="C1293" s="48" t="n"/>
    </row>
    <row r="1294" ht="18" customHeight="1" s="17">
      <c r="A1294" s="48">
        <f>IF(Generation!BF30="","",Generation!BF30)</f>
        <v/>
      </c>
      <c r="B1294" s="48" t="n"/>
      <c r="C1294" s="48" t="n"/>
    </row>
    <row r="1295" ht="18" customHeight="1" s="17">
      <c r="A1295" s="48">
        <f>IF(Generation!BG30="","",Generation!BG30)</f>
        <v/>
      </c>
      <c r="B1295" s="48" t="n"/>
      <c r="C1295" s="48" t="n"/>
    </row>
    <row r="1296" ht="18" customHeight="1" s="17">
      <c r="A1296" s="48">
        <f>IF(Generation!BH30="","",Generation!BH30)</f>
        <v/>
      </c>
      <c r="B1296" s="48" t="n"/>
      <c r="C1296" s="48" t="n"/>
    </row>
    <row r="1297" ht="18" customHeight="1" s="17">
      <c r="A1297" s="48">
        <f>IF(Generation!BI30="","",Generation!BI30)</f>
        <v/>
      </c>
      <c r="B1297" s="48" t="n"/>
      <c r="C1297" s="48" t="n"/>
    </row>
    <row r="1298" ht="18" customHeight="1" s="17">
      <c r="A1298" s="48">
        <f>IF(Generation!BJ30="","",Generation!BJ30)</f>
        <v/>
      </c>
      <c r="B1298" s="48" t="n"/>
      <c r="C1298" s="48" t="n"/>
    </row>
    <row r="1299" ht="18" customHeight="1" s="17">
      <c r="A1299" s="48">
        <f>IF(Generation!$B30,"  &lt;/item&gt;","")</f>
        <v/>
      </c>
      <c r="B1299" s="48" t="n"/>
      <c r="C1299" s="48" t="n"/>
    </row>
    <row r="1300" ht="18" customHeight="1" s="17">
      <c r="A1300" s="48">
        <f>""</f>
        <v/>
      </c>
      <c r="B1300" s="48" t="n"/>
      <c r="C1300" s="48" t="n"/>
    </row>
    <row r="1301" ht="18" customHeight="1" s="17">
      <c r="A1301" s="48">
        <f>""</f>
        <v/>
      </c>
      <c r="B1301" s="48" t="n"/>
      <c r="C1301" s="48" t="n"/>
    </row>
    <row r="1302" ht="18" customHeight="1" s="17">
      <c r="A1302" s="48">
        <f>""</f>
        <v/>
      </c>
      <c r="B1302" s="48" t="n"/>
      <c r="C1302" s="48" t="n"/>
    </row>
    <row r="1303" ht="18" customHeight="1" s="17">
      <c r="A1303" s="48">
        <f>""</f>
        <v/>
      </c>
      <c r="B1303" s="48" t="n"/>
      <c r="C1303" s="48" t="n"/>
    </row>
    <row r="1304" ht="18" customHeight="1" s="17">
      <c r="A1304" s="48">
        <f>IF(Generation!$B31,"  &lt;item ident=""il_0_qst_"&amp;TEXT(Generation!$A31,"000")&amp;""" title="""&amp;Generation!$F31&amp;"""&gt;","")</f>
        <v/>
      </c>
      <c r="B1304" s="48" t="n"/>
      <c r="C1304" s="48" t="n"/>
    </row>
    <row r="1305" ht="18" customHeight="1" s="17">
      <c r="A1305" s="48">
        <f>IF(Generation!$B31,"    &lt;duration&gt;P0Y0M0DT0H1M0S&lt;/duration&gt;","")</f>
        <v/>
      </c>
      <c r="B1305" s="48" t="n"/>
      <c r="C1305" s="48" t="n"/>
    </row>
    <row r="1306" ht="18" customHeight="1" s="17">
      <c r="A1306" s="48">
        <f>IF(Generation!$B31,"    &lt;itemmetadata&gt;","")</f>
        <v/>
      </c>
      <c r="B1306" s="48" t="n"/>
      <c r="C1306" s="48" t="n"/>
    </row>
    <row r="1307" ht="18" customHeight="1" s="17">
      <c r="A1307" s="48">
        <f>IF(Generation!$B31,"      &lt;qtimetadata&gt;","")</f>
        <v/>
      </c>
      <c r="B1307" s="48" t="n"/>
      <c r="C1307" s="48" t="n"/>
    </row>
    <row r="1308" ht="18" customHeight="1" s="17">
      <c r="A1308" s="48">
        <f>IF(Generation!$B31,"        &lt;qtimetadatafield&gt;&lt;fieldlabel&gt;ILIAS_VERSION&lt;/fieldlabel&gt;&lt;fieldentry&gt;8&lt;/fieldentry&gt;&lt;/qtimetadatafield&gt;","")</f>
        <v/>
      </c>
      <c r="B1308" s="48" t="n"/>
      <c r="C1308" s="48" t="n"/>
    </row>
    <row r="1309" ht="18" customHeight="1" s="17">
      <c r="A1309" s="48">
        <f>IF(Generation!$B31,"        &lt;qtimetadatafield&gt;&lt;fieldlabel&gt;QUESTIONTYPE&lt;/fieldlabel&gt;&lt;fieldentry&gt;"&amp;Generation!$D31&amp;"&lt;/fieldentry&gt;&lt;/qtimetadatafield&gt;","")</f>
        <v/>
      </c>
      <c r="B1309" s="48" t="n"/>
      <c r="C1309" s="48" t="n"/>
    </row>
    <row r="1310" ht="18" customHeight="1" s="17">
      <c r="A1310" s="48">
        <f>IF(Generation!$B31,"        &lt;qtimetadatafield&gt;&lt;fieldlabel&gt;AUTHOR&lt;/fieldlabel&gt;&lt;fieldentry&gt;"&amp;Generation!$AR31&amp;"&lt;/fieldentry&gt;&lt;/qtimetadatafield&gt;","")</f>
        <v/>
      </c>
      <c r="B1310" s="48" t="n"/>
      <c r="C1310" s="48" t="n"/>
    </row>
    <row r="1311" ht="18" customHeight="1" s="17">
      <c r="A1311" s="48">
        <f>IF(Generation!$B31,"        &lt;qtimetadatafield&gt;&lt;fieldlabel&gt;identicalScoring&lt;/fieldlabel&gt;&lt;fieldentry&gt;1&lt;/fieldentry&gt;&lt;/qtimetadatafield&gt;","")</f>
        <v/>
      </c>
      <c r="B1311" s="48" t="n"/>
      <c r="C1311" s="48" t="n"/>
    </row>
    <row r="1312" ht="18" customHeight="1" s="17">
      <c r="A1312" s="48">
        <f>IF(Generation!$B31,"      &lt;/qtimetadata&gt;","")</f>
        <v/>
      </c>
      <c r="B1312" s="48" t="n"/>
      <c r="C1312" s="48" t="n"/>
    </row>
    <row r="1313" ht="18" customHeight="1" s="17">
      <c r="A1313" s="48">
        <f>IF(Generation!$B31,"    &lt;/itemmetadata&gt;","")</f>
        <v/>
      </c>
      <c r="B1313" s="48" t="n"/>
      <c r="C1313" s="48" t="n"/>
    </row>
    <row r="1314" ht="18" customHeight="1" s="17">
      <c r="A1314" s="48">
        <f>IF(Generation!$B31,"    &lt;presentation label="""&amp;Generation!$F31&amp;"""&gt;","")</f>
        <v/>
      </c>
      <c r="B1314" s="48" t="n"/>
      <c r="C1314" s="48" t="n"/>
    </row>
    <row r="1315" ht="18" customHeight="1" s="17">
      <c r="A1315" s="48">
        <f>IF(Generation!$B31,"      &lt;material&gt;&lt;mattext texttype=""text/html""&gt;"&amp;Generation!$G31&amp;"&lt;/mattext&gt;&lt;/material&gt;","")</f>
        <v/>
      </c>
      <c r="B1315" s="48" t="n"/>
      <c r="C1315" s="48" t="n"/>
    </row>
    <row r="1316" ht="18" customHeight="1" s="17">
      <c r="A1316" s="48">
        <f>IF(Generation!$B31,"      &lt;response_lid ident=""RESPONSE"" rcardinality="""&amp;Generation!$E31&amp;"""&gt;","")</f>
        <v/>
      </c>
      <c r="B1316" s="48" t="n"/>
      <c r="C1316" s="48" t="n"/>
    </row>
    <row r="1317" ht="18" customHeight="1" s="17">
      <c r="A1317" s="48">
        <f>IF(Generation!$B31,"        &lt;render_choice shuffle=""No""&gt;","")</f>
        <v/>
      </c>
      <c r="B1317" s="48" t="n"/>
      <c r="C1317" s="48" t="n"/>
    </row>
    <row r="1318" ht="18" customHeight="1" s="17">
      <c r="A1318" s="48">
        <f>IF(Generation!AB31="","",Generation!AB31)</f>
        <v/>
      </c>
      <c r="B1318" s="48" t="n"/>
      <c r="C1318" s="48" t="n"/>
    </row>
    <row r="1319" ht="18" customHeight="1" s="17">
      <c r="A1319" s="48">
        <f>IF(Generation!AC31="","",Generation!AC31)</f>
        <v/>
      </c>
      <c r="B1319" s="48" t="n"/>
      <c r="C1319" s="48" t="n"/>
    </row>
    <row r="1320" ht="18" customHeight="1" s="17">
      <c r="A1320" s="48">
        <f>IF(Generation!AD31="","",Generation!AD31)</f>
        <v/>
      </c>
      <c r="B1320" s="48" t="n"/>
      <c r="C1320" s="48" t="n"/>
    </row>
    <row r="1321" ht="18" customHeight="1" s="17">
      <c r="A1321" s="48">
        <f>IF(Generation!AE31="","",Generation!AE31)</f>
        <v/>
      </c>
      <c r="B1321" s="48" t="n"/>
      <c r="C1321" s="48" t="n"/>
    </row>
    <row r="1322" ht="18" customHeight="1" s="17">
      <c r="A1322" s="48">
        <f>IF(Generation!AF31="","",Generation!AF31)</f>
        <v/>
      </c>
      <c r="B1322" s="48" t="n"/>
      <c r="C1322" s="48" t="n"/>
    </row>
    <row r="1323" ht="18" customHeight="1" s="17">
      <c r="A1323" s="48">
        <f>IF(Generation!AG31="","",Generation!AG31)</f>
        <v/>
      </c>
      <c r="B1323" s="48" t="n"/>
      <c r="C1323" s="48" t="n"/>
    </row>
    <row r="1324" ht="18" customHeight="1" s="17">
      <c r="A1324" s="48">
        <f>IF(Generation!AH31="","",Generation!AH31)</f>
        <v/>
      </c>
      <c r="B1324" s="48" t="n"/>
      <c r="C1324" s="48" t="n"/>
    </row>
    <row r="1325" ht="18" customHeight="1" s="17">
      <c r="A1325" s="48">
        <f>IF(Generation!AI31="","",Generation!AI31)</f>
        <v/>
      </c>
      <c r="B1325" s="48" t="n"/>
      <c r="C1325" s="48" t="n"/>
    </row>
    <row r="1326" ht="18" customHeight="1" s="17">
      <c r="A1326" s="48">
        <f>IF(Generation!$B31,"        &lt;/render_choice&gt;","")</f>
        <v/>
      </c>
      <c r="B1326" s="48" t="n"/>
      <c r="C1326" s="48" t="n"/>
    </row>
    <row r="1327" ht="18" customHeight="1" s="17">
      <c r="A1327" s="48">
        <f>IF(Generation!$B31,"      &lt;/response_lid&gt;","")</f>
        <v/>
      </c>
      <c r="B1327" s="48" t="n"/>
      <c r="C1327" s="48" t="n"/>
    </row>
    <row r="1328" ht="18" customHeight="1" s="17">
      <c r="A1328" s="48">
        <f>IF(Generation!$B31,"    &lt;/presentation&gt;","")</f>
        <v/>
      </c>
      <c r="B1328" s="48" t="n"/>
      <c r="C1328" s="48" t="n"/>
    </row>
    <row r="1329" ht="18" customHeight="1" s="17">
      <c r="A1329" s="48">
        <f>IF(Generation!$B31,"    &lt;resprocessing&gt;","")</f>
        <v/>
      </c>
      <c r="B1329" s="48" t="n"/>
      <c r="C1329" s="48" t="n"/>
    </row>
    <row r="1330" ht="18" customHeight="1" s="17">
      <c r="A1330" s="48">
        <f>IF(Generation!$B31,"      &lt;outcomes&gt;&lt;decvar varname=""SCORE"" vartype=""Decimal"" minvalue=""0"" maxvalue="""&amp;Generation!$H31&amp;"""/&gt;&lt;/outcomes&gt;","")</f>
        <v/>
      </c>
      <c r="B1330" s="48" t="n"/>
      <c r="C1330" s="48" t="n"/>
    </row>
    <row r="1331" ht="18" customHeight="1" s="17">
      <c r="A1331" s="48">
        <f>IF(Generation!AJ31="","",Generation!AJ31)</f>
        <v/>
      </c>
      <c r="B1331" s="48" t="n"/>
      <c r="C1331" s="48" t="n"/>
    </row>
    <row r="1332" ht="18" customHeight="1" s="17">
      <c r="A1332" s="48">
        <f>IF(Generation!AK31="","",Generation!AK31)</f>
        <v/>
      </c>
      <c r="B1332" s="48" t="n"/>
      <c r="C1332" s="48" t="n"/>
    </row>
    <row r="1333" ht="18" customHeight="1" s="17">
      <c r="A1333" s="48">
        <f>IF(Generation!AL31="","",Generation!AL31)</f>
        <v/>
      </c>
      <c r="B1333" s="48" t="n"/>
      <c r="C1333" s="48" t="n"/>
    </row>
    <row r="1334" ht="18" customHeight="1" s="17">
      <c r="A1334" s="48">
        <f>IF(Generation!AM31="","",Generation!AM31)</f>
        <v/>
      </c>
      <c r="B1334" s="48" t="n"/>
      <c r="C1334" s="48" t="n"/>
    </row>
    <row r="1335" ht="18" customHeight="1" s="17">
      <c r="A1335" s="48">
        <f>IF(Generation!AN31="","",Generation!AN31)</f>
        <v/>
      </c>
      <c r="B1335" s="48" t="n"/>
      <c r="C1335" s="48" t="n"/>
    </row>
    <row r="1336" ht="18" customHeight="1" s="17">
      <c r="A1336" s="48">
        <f>IF(Generation!AO31="","",Generation!AO31)</f>
        <v/>
      </c>
      <c r="B1336" s="48" t="n"/>
      <c r="C1336" s="48" t="n"/>
    </row>
    <row r="1337" ht="18" customHeight="1" s="17">
      <c r="A1337" s="48">
        <f>IF(Generation!AP31="","",Generation!AP31)</f>
        <v/>
      </c>
      <c r="B1337" s="48" t="n"/>
      <c r="C1337" s="48" t="n"/>
    </row>
    <row r="1338" ht="18" customHeight="1" s="17">
      <c r="A1338" s="48">
        <f>IF(Generation!AQ31="","",Generation!AQ31)</f>
        <v/>
      </c>
      <c r="B1338" s="48" t="n"/>
      <c r="C1338" s="48" t="n"/>
    </row>
    <row r="1339" ht="18" customHeight="1" s="17">
      <c r="A1339" s="48">
        <f>IF(Generation!$B31,"    &lt;/resprocessing&gt;","")</f>
        <v/>
      </c>
      <c r="B1339" s="48" t="n"/>
      <c r="C1339" s="48" t="n"/>
    </row>
    <row r="1340" ht="18" customHeight="1" s="17">
      <c r="A1340" s="48">
        <f>IF(Generation!BB31="","",Generation!BB31)</f>
        <v/>
      </c>
      <c r="B1340" s="48" t="n"/>
      <c r="C1340" s="48" t="n"/>
    </row>
    <row r="1341" ht="18" customHeight="1" s="17">
      <c r="A1341" s="48">
        <f>IF(Generation!BC31="","",Generation!BC31)</f>
        <v/>
      </c>
      <c r="B1341" s="48" t="n"/>
      <c r="C1341" s="48" t="n"/>
    </row>
    <row r="1342" ht="18" customHeight="1" s="17">
      <c r="A1342" s="48">
        <f>IF(Generation!BD31="","",Generation!BD31)</f>
        <v/>
      </c>
      <c r="B1342" s="48" t="n"/>
      <c r="C1342" s="48" t="n"/>
    </row>
    <row r="1343" ht="18" customHeight="1" s="17">
      <c r="A1343" s="48">
        <f>IF(Generation!BE31="","",Generation!BE31)</f>
        <v/>
      </c>
      <c r="B1343" s="48" t="n"/>
      <c r="C1343" s="48" t="n"/>
    </row>
    <row r="1344" ht="18" customHeight="1" s="17">
      <c r="A1344" s="48">
        <f>IF(Generation!BF31="","",Generation!BF31)</f>
        <v/>
      </c>
      <c r="B1344" s="48" t="n"/>
      <c r="C1344" s="48" t="n"/>
    </row>
    <row r="1345" ht="18" customHeight="1" s="17">
      <c r="A1345" s="48">
        <f>IF(Generation!BG31="","",Generation!BG31)</f>
        <v/>
      </c>
      <c r="B1345" s="48" t="n"/>
      <c r="C1345" s="48" t="n"/>
    </row>
    <row r="1346" ht="18" customHeight="1" s="17">
      <c r="A1346" s="48">
        <f>IF(Generation!BH31="","",Generation!BH31)</f>
        <v/>
      </c>
      <c r="B1346" s="48" t="n"/>
      <c r="C1346" s="48" t="n"/>
    </row>
    <row r="1347" ht="18" customHeight="1" s="17">
      <c r="A1347" s="48">
        <f>IF(Generation!BI31="","",Generation!BI31)</f>
        <v/>
      </c>
      <c r="B1347" s="48" t="n"/>
      <c r="C1347" s="48" t="n"/>
    </row>
    <row r="1348" ht="18" customHeight="1" s="17">
      <c r="A1348" s="48">
        <f>IF(Generation!BJ31="","",Generation!BJ31)</f>
        <v/>
      </c>
      <c r="B1348" s="48" t="n"/>
      <c r="C1348" s="48" t="n"/>
    </row>
    <row r="1349" ht="18" customHeight="1" s="17">
      <c r="A1349" s="48">
        <f>IF(Generation!$B31,"  &lt;/item&gt;","")</f>
        <v/>
      </c>
      <c r="B1349" s="48" t="n"/>
      <c r="C1349" s="48" t="n"/>
    </row>
    <row r="1350" ht="18" customHeight="1" s="17">
      <c r="A1350" s="48">
        <f>""</f>
        <v/>
      </c>
      <c r="B1350" s="48" t="n"/>
      <c r="C1350" s="48" t="n"/>
    </row>
    <row r="1351" ht="18" customHeight="1" s="17">
      <c r="A1351" s="48">
        <f>""</f>
        <v/>
      </c>
      <c r="B1351" s="48" t="n"/>
      <c r="C1351" s="48" t="n"/>
    </row>
    <row r="1352" ht="18" customHeight="1" s="17">
      <c r="A1352" s="48">
        <f>""</f>
        <v/>
      </c>
      <c r="B1352" s="48" t="n"/>
      <c r="C1352" s="48" t="n"/>
    </row>
    <row r="1353" ht="18" customHeight="1" s="17">
      <c r="A1353" s="48">
        <f>""</f>
        <v/>
      </c>
      <c r="B1353" s="48" t="n"/>
      <c r="C1353" s="48" t="n"/>
    </row>
    <row r="1354" ht="18" customHeight="1" s="17">
      <c r="A1354" s="48">
        <f>IF(Generation!$B32,"  &lt;item ident=""il_0_qst_"&amp;TEXT(Generation!$A32,"000")&amp;""" title="""&amp;Generation!$F32&amp;"""&gt;","")</f>
        <v/>
      </c>
      <c r="B1354" s="48" t="n"/>
      <c r="C1354" s="48" t="n"/>
    </row>
    <row r="1355" ht="18" customHeight="1" s="17">
      <c r="A1355" s="48">
        <f>IF(Generation!$B32,"    &lt;duration&gt;P0Y0M0DT0H1M0S&lt;/duration&gt;","")</f>
        <v/>
      </c>
      <c r="B1355" s="48" t="n"/>
      <c r="C1355" s="48" t="n"/>
    </row>
    <row r="1356" ht="18" customHeight="1" s="17">
      <c r="A1356" s="48">
        <f>IF(Generation!$B32,"    &lt;itemmetadata&gt;","")</f>
        <v/>
      </c>
      <c r="B1356" s="48" t="n"/>
      <c r="C1356" s="48" t="n"/>
    </row>
    <row r="1357" ht="18" customHeight="1" s="17">
      <c r="A1357" s="48">
        <f>IF(Generation!$B32,"      &lt;qtimetadata&gt;","")</f>
        <v/>
      </c>
      <c r="B1357" s="48" t="n"/>
      <c r="C1357" s="48" t="n"/>
    </row>
    <row r="1358" ht="18" customHeight="1" s="17">
      <c r="A1358" s="48">
        <f>IF(Generation!$B32,"        &lt;qtimetadatafield&gt;&lt;fieldlabel&gt;ILIAS_VERSION&lt;/fieldlabel&gt;&lt;fieldentry&gt;8&lt;/fieldentry&gt;&lt;/qtimetadatafield&gt;","")</f>
        <v/>
      </c>
      <c r="B1358" s="48" t="n"/>
      <c r="C1358" s="48" t="n"/>
    </row>
    <row r="1359" ht="18" customHeight="1" s="17">
      <c r="A1359" s="48">
        <f>IF(Generation!$B32,"        &lt;qtimetadatafield&gt;&lt;fieldlabel&gt;QUESTIONTYPE&lt;/fieldlabel&gt;&lt;fieldentry&gt;"&amp;Generation!$D32&amp;"&lt;/fieldentry&gt;&lt;/qtimetadatafield&gt;","")</f>
        <v/>
      </c>
      <c r="B1359" s="48" t="n"/>
      <c r="C1359" s="48" t="n"/>
    </row>
    <row r="1360" ht="18" customHeight="1" s="17">
      <c r="A1360" s="48">
        <f>IF(Generation!$B32,"        &lt;qtimetadatafield&gt;&lt;fieldlabel&gt;AUTHOR&lt;/fieldlabel&gt;&lt;fieldentry&gt;"&amp;Generation!$AR32&amp;"&lt;/fieldentry&gt;&lt;/qtimetadatafield&gt;","")</f>
        <v/>
      </c>
      <c r="B1360" s="48" t="n"/>
      <c r="C1360" s="48" t="n"/>
    </row>
    <row r="1361" ht="18" customHeight="1" s="17">
      <c r="A1361" s="48">
        <f>IF(Generation!$B32,"        &lt;qtimetadatafield&gt;&lt;fieldlabel&gt;identicalScoring&lt;/fieldlabel&gt;&lt;fieldentry&gt;1&lt;/fieldentry&gt;&lt;/qtimetadatafield&gt;","")</f>
        <v/>
      </c>
      <c r="B1361" s="48" t="n"/>
      <c r="C1361" s="48" t="n"/>
    </row>
    <row r="1362" ht="18" customHeight="1" s="17">
      <c r="A1362" s="48">
        <f>IF(Generation!$B32,"      &lt;/qtimetadata&gt;","")</f>
        <v/>
      </c>
      <c r="B1362" s="48" t="n"/>
      <c r="C1362" s="48" t="n"/>
    </row>
    <row r="1363" ht="18" customHeight="1" s="17">
      <c r="A1363" s="48">
        <f>IF(Generation!$B32,"    &lt;/itemmetadata&gt;","")</f>
        <v/>
      </c>
      <c r="B1363" s="48" t="n"/>
      <c r="C1363" s="48" t="n"/>
    </row>
    <row r="1364" ht="18" customHeight="1" s="17">
      <c r="A1364" s="48">
        <f>IF(Generation!$B32,"    &lt;presentation label="""&amp;Generation!$F32&amp;"""&gt;","")</f>
        <v/>
      </c>
      <c r="B1364" s="48" t="n"/>
      <c r="C1364" s="48" t="n"/>
    </row>
    <row r="1365" ht="18" customHeight="1" s="17">
      <c r="A1365" s="48">
        <f>IF(Generation!$B32,"      &lt;material&gt;&lt;mattext texttype=""text/html""&gt;"&amp;Generation!$G32&amp;"&lt;/mattext&gt;&lt;/material&gt;","")</f>
        <v/>
      </c>
      <c r="B1365" s="48" t="n"/>
      <c r="C1365" s="48" t="n"/>
    </row>
    <row r="1366" ht="18" customHeight="1" s="17">
      <c r="A1366" s="48">
        <f>IF(Generation!$B32,"      &lt;response_lid ident=""RESPONSE"" rcardinality="""&amp;Generation!$E32&amp;"""&gt;","")</f>
        <v/>
      </c>
      <c r="B1366" s="48" t="n"/>
      <c r="C1366" s="48" t="n"/>
    </row>
    <row r="1367" ht="18" customHeight="1" s="17">
      <c r="A1367" s="48">
        <f>IF(Generation!$B32,"        &lt;render_choice shuffle=""No""&gt;","")</f>
        <v/>
      </c>
      <c r="B1367" s="48" t="n"/>
      <c r="C1367" s="48" t="n"/>
    </row>
    <row r="1368" ht="18" customHeight="1" s="17">
      <c r="A1368" s="48">
        <f>IF(Generation!AB32="","",Generation!AB32)</f>
        <v/>
      </c>
      <c r="B1368" s="48" t="n"/>
      <c r="C1368" s="48" t="n"/>
    </row>
    <row r="1369" ht="18" customHeight="1" s="17">
      <c r="A1369" s="48">
        <f>IF(Generation!AC32="","",Generation!AC32)</f>
        <v/>
      </c>
      <c r="B1369" s="48" t="n"/>
      <c r="C1369" s="48" t="n"/>
    </row>
    <row r="1370" ht="18" customHeight="1" s="17">
      <c r="A1370" s="48">
        <f>IF(Generation!AD32="","",Generation!AD32)</f>
        <v/>
      </c>
      <c r="B1370" s="48" t="n"/>
      <c r="C1370" s="48" t="n"/>
    </row>
    <row r="1371" ht="18" customHeight="1" s="17">
      <c r="A1371" s="48">
        <f>IF(Generation!AE32="","",Generation!AE32)</f>
        <v/>
      </c>
      <c r="B1371" s="48" t="n"/>
      <c r="C1371" s="48" t="n"/>
    </row>
    <row r="1372" ht="18" customHeight="1" s="17">
      <c r="A1372" s="48">
        <f>IF(Generation!AF32="","",Generation!AF32)</f>
        <v/>
      </c>
      <c r="B1372" s="48" t="n"/>
      <c r="C1372" s="48" t="n"/>
    </row>
    <row r="1373" ht="18" customHeight="1" s="17">
      <c r="A1373" s="48">
        <f>IF(Generation!AG32="","",Generation!AG32)</f>
        <v/>
      </c>
      <c r="B1373" s="48" t="n"/>
      <c r="C1373" s="48" t="n"/>
    </row>
    <row r="1374" ht="18" customHeight="1" s="17">
      <c r="A1374" s="48">
        <f>IF(Generation!AH32="","",Generation!AH32)</f>
        <v/>
      </c>
      <c r="B1374" s="48" t="n"/>
      <c r="C1374" s="48" t="n"/>
    </row>
    <row r="1375" ht="18" customHeight="1" s="17">
      <c r="A1375" s="48">
        <f>IF(Generation!AI32="","",Generation!AI32)</f>
        <v/>
      </c>
      <c r="B1375" s="48" t="n"/>
      <c r="C1375" s="48" t="n"/>
    </row>
    <row r="1376" ht="18" customHeight="1" s="17">
      <c r="A1376" s="48">
        <f>IF(Generation!$B32,"        &lt;/render_choice&gt;","")</f>
        <v/>
      </c>
      <c r="B1376" s="48" t="n"/>
      <c r="C1376" s="48" t="n"/>
    </row>
    <row r="1377" ht="18" customHeight="1" s="17">
      <c r="A1377" s="48">
        <f>IF(Generation!$B32,"      &lt;/response_lid&gt;","")</f>
        <v/>
      </c>
      <c r="B1377" s="48" t="n"/>
      <c r="C1377" s="48" t="n"/>
    </row>
    <row r="1378" ht="18" customHeight="1" s="17">
      <c r="A1378" s="48">
        <f>IF(Generation!$B32,"    &lt;/presentation&gt;","")</f>
        <v/>
      </c>
      <c r="B1378" s="48" t="n"/>
      <c r="C1378" s="48" t="n"/>
    </row>
    <row r="1379" ht="18" customHeight="1" s="17">
      <c r="A1379" s="48">
        <f>IF(Generation!$B32,"    &lt;resprocessing&gt;","")</f>
        <v/>
      </c>
      <c r="B1379" s="48" t="n"/>
      <c r="C1379" s="48" t="n"/>
    </row>
    <row r="1380" ht="18" customHeight="1" s="17">
      <c r="A1380" s="48">
        <f>IF(Generation!$B32,"      &lt;outcomes&gt;&lt;decvar varname=""SCORE"" vartype=""Decimal"" minvalue=""0"" maxvalue="""&amp;Generation!$H32&amp;"""/&gt;&lt;/outcomes&gt;","")</f>
        <v/>
      </c>
      <c r="B1380" s="48" t="n"/>
      <c r="C1380" s="48" t="n"/>
    </row>
    <row r="1381" ht="18" customHeight="1" s="17">
      <c r="A1381" s="48">
        <f>IF(Generation!AJ32="","",Generation!AJ32)</f>
        <v/>
      </c>
      <c r="B1381" s="48" t="n"/>
      <c r="C1381" s="48" t="n"/>
    </row>
    <row r="1382" ht="18" customHeight="1" s="17">
      <c r="A1382" s="48">
        <f>IF(Generation!AK32="","",Generation!AK32)</f>
        <v/>
      </c>
      <c r="B1382" s="48" t="n"/>
      <c r="C1382" s="48" t="n"/>
    </row>
    <row r="1383" ht="18" customHeight="1" s="17">
      <c r="A1383" s="48">
        <f>IF(Generation!AL32="","",Generation!AL32)</f>
        <v/>
      </c>
      <c r="B1383" s="48" t="n"/>
      <c r="C1383" s="48" t="n"/>
    </row>
    <row r="1384" ht="18" customHeight="1" s="17">
      <c r="A1384" s="48">
        <f>IF(Generation!AM32="","",Generation!AM32)</f>
        <v/>
      </c>
      <c r="B1384" s="48" t="n"/>
      <c r="C1384" s="48" t="n"/>
    </row>
    <row r="1385" ht="18" customHeight="1" s="17">
      <c r="A1385" s="48">
        <f>IF(Generation!AN32="","",Generation!AN32)</f>
        <v/>
      </c>
      <c r="B1385" s="48" t="n"/>
      <c r="C1385" s="48" t="n"/>
    </row>
    <row r="1386" ht="18" customHeight="1" s="17">
      <c r="A1386" s="48">
        <f>IF(Generation!AO32="","",Generation!AO32)</f>
        <v/>
      </c>
      <c r="B1386" s="48" t="n"/>
      <c r="C1386" s="48" t="n"/>
    </row>
    <row r="1387" ht="18" customHeight="1" s="17">
      <c r="A1387" s="48">
        <f>IF(Generation!AP32="","",Generation!AP32)</f>
        <v/>
      </c>
      <c r="B1387" s="48" t="n"/>
      <c r="C1387" s="48" t="n"/>
    </row>
    <row r="1388" ht="18" customHeight="1" s="17">
      <c r="A1388" s="48">
        <f>IF(Generation!AQ32="","",Generation!AQ32)</f>
        <v/>
      </c>
      <c r="B1388" s="48" t="n"/>
      <c r="C1388" s="48" t="n"/>
    </row>
    <row r="1389" ht="18" customHeight="1" s="17">
      <c r="A1389" s="48">
        <f>IF(Generation!$B32,"    &lt;/resprocessing&gt;","")</f>
        <v/>
      </c>
      <c r="B1389" s="48" t="n"/>
      <c r="C1389" s="48" t="n"/>
    </row>
    <row r="1390" ht="18" customHeight="1" s="17">
      <c r="A1390" s="48">
        <f>IF(Generation!BB32="","",Generation!BB32)</f>
        <v/>
      </c>
      <c r="B1390" s="48" t="n"/>
      <c r="C1390" s="48" t="n"/>
    </row>
    <row r="1391" ht="18" customHeight="1" s="17">
      <c r="A1391" s="48">
        <f>IF(Generation!BC32="","",Generation!BC32)</f>
        <v/>
      </c>
      <c r="B1391" s="48" t="n"/>
      <c r="C1391" s="48" t="n"/>
    </row>
    <row r="1392" ht="18" customHeight="1" s="17">
      <c r="A1392" s="48">
        <f>IF(Generation!BD32="","",Generation!BD32)</f>
        <v/>
      </c>
      <c r="B1392" s="48" t="n"/>
      <c r="C1392" s="48" t="n"/>
    </row>
    <row r="1393" ht="18" customHeight="1" s="17">
      <c r="A1393" s="48">
        <f>IF(Generation!BE32="","",Generation!BE32)</f>
        <v/>
      </c>
      <c r="B1393" s="48" t="n"/>
      <c r="C1393" s="48" t="n"/>
    </row>
    <row r="1394" ht="18" customHeight="1" s="17">
      <c r="A1394" s="48">
        <f>IF(Generation!BF32="","",Generation!BF32)</f>
        <v/>
      </c>
      <c r="B1394" s="48" t="n"/>
      <c r="C1394" s="48" t="n"/>
    </row>
    <row r="1395" ht="18" customHeight="1" s="17">
      <c r="A1395" s="48">
        <f>IF(Generation!BG32="","",Generation!BG32)</f>
        <v/>
      </c>
      <c r="B1395" s="48" t="n"/>
      <c r="C1395" s="48" t="n"/>
    </row>
    <row r="1396" ht="18" customHeight="1" s="17">
      <c r="A1396" s="48">
        <f>IF(Generation!BH32="","",Generation!BH32)</f>
        <v/>
      </c>
      <c r="B1396" s="48" t="n"/>
      <c r="C1396" s="48" t="n"/>
    </row>
    <row r="1397" ht="18" customHeight="1" s="17">
      <c r="A1397" s="48">
        <f>IF(Generation!BI32="","",Generation!BI32)</f>
        <v/>
      </c>
      <c r="B1397" s="48" t="n"/>
      <c r="C1397" s="48" t="n"/>
    </row>
    <row r="1398" ht="18" customHeight="1" s="17">
      <c r="A1398" s="48">
        <f>IF(Generation!BJ32="","",Generation!BJ32)</f>
        <v/>
      </c>
      <c r="B1398" s="48" t="n"/>
      <c r="C1398" s="48" t="n"/>
    </row>
    <row r="1399" ht="18" customHeight="1" s="17">
      <c r="A1399" s="48">
        <f>IF(Generation!$B32,"  &lt;/item&gt;","")</f>
        <v/>
      </c>
      <c r="B1399" s="48" t="n"/>
      <c r="C1399" s="48" t="n"/>
    </row>
    <row r="1400" ht="18" customHeight="1" s="17">
      <c r="A1400" s="48">
        <f>""</f>
        <v/>
      </c>
      <c r="B1400" s="48" t="n"/>
      <c r="C1400" s="48" t="n"/>
    </row>
    <row r="1401" ht="18" customHeight="1" s="17">
      <c r="A1401" s="48">
        <f>""</f>
        <v/>
      </c>
      <c r="B1401" s="48" t="n"/>
      <c r="C1401" s="48" t="n"/>
    </row>
    <row r="1402" ht="18" customHeight="1" s="17">
      <c r="A1402" s="48">
        <f>""</f>
        <v/>
      </c>
      <c r="B1402" s="48" t="n"/>
      <c r="C1402" s="48" t="n"/>
    </row>
    <row r="1403" ht="18" customHeight="1" s="17">
      <c r="A1403" s="48">
        <f>""</f>
        <v/>
      </c>
      <c r="B1403" s="48" t="n"/>
      <c r="C1403" s="48" t="n"/>
    </row>
    <row r="1404" ht="18" customHeight="1" s="17">
      <c r="A1404" s="48">
        <f>IF(Generation!$B33,"  &lt;item ident=""il_0_qst_"&amp;TEXT(Generation!$A33,"000")&amp;""" title="""&amp;Generation!$F33&amp;"""&gt;","")</f>
        <v/>
      </c>
      <c r="B1404" s="48" t="n"/>
      <c r="C1404" s="48" t="n"/>
    </row>
    <row r="1405" ht="18" customHeight="1" s="17">
      <c r="A1405" s="48">
        <f>IF(Generation!$B33,"    &lt;duration&gt;P0Y0M0DT0H1M0S&lt;/duration&gt;","")</f>
        <v/>
      </c>
      <c r="B1405" s="48" t="n"/>
      <c r="C1405" s="48" t="n"/>
    </row>
    <row r="1406" ht="18" customHeight="1" s="17">
      <c r="A1406" s="48">
        <f>IF(Generation!$B33,"    &lt;itemmetadata&gt;","")</f>
        <v/>
      </c>
      <c r="B1406" s="48" t="n"/>
      <c r="C1406" s="48" t="n"/>
    </row>
    <row r="1407" ht="18" customHeight="1" s="17">
      <c r="A1407" s="48">
        <f>IF(Generation!$B33,"      &lt;qtimetadata&gt;","")</f>
        <v/>
      </c>
      <c r="B1407" s="48" t="n"/>
      <c r="C1407" s="48" t="n"/>
    </row>
    <row r="1408" ht="18" customHeight="1" s="17">
      <c r="A1408" s="48">
        <f>IF(Generation!$B33,"        &lt;qtimetadatafield&gt;&lt;fieldlabel&gt;ILIAS_VERSION&lt;/fieldlabel&gt;&lt;fieldentry&gt;8&lt;/fieldentry&gt;&lt;/qtimetadatafield&gt;","")</f>
        <v/>
      </c>
      <c r="B1408" s="48" t="n"/>
      <c r="C1408" s="48" t="n"/>
    </row>
    <row r="1409" ht="18" customHeight="1" s="17">
      <c r="A1409" s="48">
        <f>IF(Generation!$B33,"        &lt;qtimetadatafield&gt;&lt;fieldlabel&gt;QUESTIONTYPE&lt;/fieldlabel&gt;&lt;fieldentry&gt;"&amp;Generation!$D33&amp;"&lt;/fieldentry&gt;&lt;/qtimetadatafield&gt;","")</f>
        <v/>
      </c>
      <c r="B1409" s="48" t="n"/>
      <c r="C1409" s="48" t="n"/>
    </row>
    <row r="1410" ht="18" customHeight="1" s="17">
      <c r="A1410" s="48">
        <f>IF(Generation!$B33,"        &lt;qtimetadatafield&gt;&lt;fieldlabel&gt;AUTHOR&lt;/fieldlabel&gt;&lt;fieldentry&gt;"&amp;Generation!$AR33&amp;"&lt;/fieldentry&gt;&lt;/qtimetadatafield&gt;","")</f>
        <v/>
      </c>
      <c r="B1410" s="48" t="n"/>
      <c r="C1410" s="48" t="n"/>
    </row>
    <row r="1411" ht="18" customHeight="1" s="17">
      <c r="A1411" s="48">
        <f>IF(Generation!$B33,"        &lt;qtimetadatafield&gt;&lt;fieldlabel&gt;identicalScoring&lt;/fieldlabel&gt;&lt;fieldentry&gt;1&lt;/fieldentry&gt;&lt;/qtimetadatafield&gt;","")</f>
        <v/>
      </c>
      <c r="B1411" s="48" t="n"/>
      <c r="C1411" s="48" t="n"/>
    </row>
    <row r="1412" ht="18" customHeight="1" s="17">
      <c r="A1412" s="48">
        <f>IF(Generation!$B33,"      &lt;/qtimetadata&gt;","")</f>
        <v/>
      </c>
      <c r="B1412" s="48" t="n"/>
      <c r="C1412" s="48" t="n"/>
    </row>
    <row r="1413" ht="18" customHeight="1" s="17">
      <c r="A1413" s="48">
        <f>IF(Generation!$B33,"    &lt;/itemmetadata&gt;","")</f>
        <v/>
      </c>
      <c r="B1413" s="48" t="n"/>
      <c r="C1413" s="48" t="n"/>
    </row>
    <row r="1414" ht="18" customHeight="1" s="17">
      <c r="A1414" s="48">
        <f>IF(Generation!$B33,"    &lt;presentation label="""&amp;Generation!$F33&amp;"""&gt;","")</f>
        <v/>
      </c>
      <c r="B1414" s="48" t="n"/>
      <c r="C1414" s="48" t="n"/>
    </row>
    <row r="1415" ht="18" customHeight="1" s="17">
      <c r="A1415" s="48">
        <f>IF(Generation!$B33,"      &lt;material&gt;&lt;mattext texttype=""text/html""&gt;"&amp;Generation!$G33&amp;"&lt;/mattext&gt;&lt;/material&gt;","")</f>
        <v/>
      </c>
      <c r="B1415" s="48" t="n"/>
      <c r="C1415" s="48" t="n"/>
    </row>
    <row r="1416" ht="18" customHeight="1" s="17">
      <c r="A1416" s="48">
        <f>IF(Generation!$B33,"      &lt;response_lid ident=""RESPONSE"" rcardinality="""&amp;Generation!$E33&amp;"""&gt;","")</f>
        <v/>
      </c>
      <c r="B1416" s="48" t="n"/>
      <c r="C1416" s="48" t="n"/>
    </row>
    <row r="1417" ht="18" customHeight="1" s="17">
      <c r="A1417" s="48">
        <f>IF(Generation!$B33,"        &lt;render_choice shuffle=""No""&gt;","")</f>
        <v/>
      </c>
      <c r="B1417" s="48" t="n"/>
      <c r="C1417" s="48" t="n"/>
    </row>
    <row r="1418" ht="18" customHeight="1" s="17">
      <c r="A1418" s="48">
        <f>IF(Generation!AB33="","",Generation!AB33)</f>
        <v/>
      </c>
      <c r="B1418" s="48" t="n"/>
      <c r="C1418" s="48" t="n"/>
    </row>
    <row r="1419" ht="18" customHeight="1" s="17">
      <c r="A1419" s="48">
        <f>IF(Generation!AC33="","",Generation!AC33)</f>
        <v/>
      </c>
      <c r="B1419" s="48" t="n"/>
      <c r="C1419" s="48" t="n"/>
    </row>
    <row r="1420" ht="18" customHeight="1" s="17">
      <c r="A1420" s="48">
        <f>IF(Generation!AD33="","",Generation!AD33)</f>
        <v/>
      </c>
      <c r="B1420" s="48" t="n"/>
      <c r="C1420" s="48" t="n"/>
    </row>
    <row r="1421" ht="18" customHeight="1" s="17">
      <c r="A1421" s="48">
        <f>IF(Generation!AE33="","",Generation!AE33)</f>
        <v/>
      </c>
      <c r="B1421" s="48" t="n"/>
      <c r="C1421" s="48" t="n"/>
    </row>
    <row r="1422" ht="18" customHeight="1" s="17">
      <c r="A1422" s="48">
        <f>IF(Generation!AF33="","",Generation!AF33)</f>
        <v/>
      </c>
      <c r="B1422" s="48" t="n"/>
      <c r="C1422" s="48" t="n"/>
    </row>
    <row r="1423" ht="18" customHeight="1" s="17">
      <c r="A1423" s="48">
        <f>IF(Generation!AG33="","",Generation!AG33)</f>
        <v/>
      </c>
      <c r="B1423" s="48" t="n"/>
      <c r="C1423" s="48" t="n"/>
    </row>
    <row r="1424" ht="18" customHeight="1" s="17">
      <c r="A1424" s="48">
        <f>IF(Generation!AH33="","",Generation!AH33)</f>
        <v/>
      </c>
      <c r="B1424" s="48" t="n"/>
      <c r="C1424" s="48" t="n"/>
    </row>
    <row r="1425" ht="18" customHeight="1" s="17">
      <c r="A1425" s="48">
        <f>IF(Generation!AI33="","",Generation!AI33)</f>
        <v/>
      </c>
      <c r="B1425" s="48" t="n"/>
      <c r="C1425" s="48" t="n"/>
    </row>
    <row r="1426" ht="18" customHeight="1" s="17">
      <c r="A1426" s="48">
        <f>IF(Generation!$B33,"        &lt;/render_choice&gt;","")</f>
        <v/>
      </c>
      <c r="B1426" s="48" t="n"/>
      <c r="C1426" s="48" t="n"/>
    </row>
    <row r="1427" ht="18" customHeight="1" s="17">
      <c r="A1427" s="48">
        <f>IF(Generation!$B33,"      &lt;/response_lid&gt;","")</f>
        <v/>
      </c>
      <c r="B1427" s="48" t="n"/>
      <c r="C1427" s="48" t="n"/>
    </row>
    <row r="1428" ht="18" customHeight="1" s="17">
      <c r="A1428" s="48">
        <f>IF(Generation!$B33,"    &lt;/presentation&gt;","")</f>
        <v/>
      </c>
      <c r="B1428" s="48" t="n"/>
      <c r="C1428" s="48" t="n"/>
    </row>
    <row r="1429" ht="18" customHeight="1" s="17">
      <c r="A1429" s="48">
        <f>IF(Generation!$B33,"    &lt;resprocessing&gt;","")</f>
        <v/>
      </c>
      <c r="B1429" s="48" t="n"/>
      <c r="C1429" s="48" t="n"/>
    </row>
    <row r="1430" ht="18" customHeight="1" s="17">
      <c r="A1430" s="48">
        <f>IF(Generation!$B33,"      &lt;outcomes&gt;&lt;decvar varname=""SCORE"" vartype=""Decimal"" minvalue=""0"" maxvalue="""&amp;Generation!$H33&amp;"""/&gt;&lt;/outcomes&gt;","")</f>
        <v/>
      </c>
      <c r="B1430" s="48" t="n"/>
      <c r="C1430" s="48" t="n"/>
    </row>
    <row r="1431" ht="18" customHeight="1" s="17">
      <c r="A1431" s="48">
        <f>IF(Generation!AJ33="","",Generation!AJ33)</f>
        <v/>
      </c>
      <c r="B1431" s="48" t="n"/>
      <c r="C1431" s="48" t="n"/>
    </row>
    <row r="1432" ht="18" customHeight="1" s="17">
      <c r="A1432" s="48">
        <f>IF(Generation!AK33="","",Generation!AK33)</f>
        <v/>
      </c>
      <c r="B1432" s="48" t="n"/>
      <c r="C1432" s="48" t="n"/>
    </row>
    <row r="1433" ht="18" customHeight="1" s="17">
      <c r="A1433" s="48">
        <f>IF(Generation!AL33="","",Generation!AL33)</f>
        <v/>
      </c>
      <c r="B1433" s="48" t="n"/>
      <c r="C1433" s="48" t="n"/>
    </row>
    <row r="1434" ht="18" customHeight="1" s="17">
      <c r="A1434" s="48">
        <f>IF(Generation!AM33="","",Generation!AM33)</f>
        <v/>
      </c>
      <c r="B1434" s="48" t="n"/>
      <c r="C1434" s="48" t="n"/>
    </row>
    <row r="1435" ht="18" customHeight="1" s="17">
      <c r="A1435" s="48">
        <f>IF(Generation!AN33="","",Generation!AN33)</f>
        <v/>
      </c>
      <c r="B1435" s="48" t="n"/>
      <c r="C1435" s="48" t="n"/>
    </row>
    <row r="1436" ht="18" customHeight="1" s="17">
      <c r="A1436" s="48">
        <f>IF(Generation!AO33="","",Generation!AO33)</f>
        <v/>
      </c>
      <c r="B1436" s="48" t="n"/>
      <c r="C1436" s="48" t="n"/>
    </row>
    <row r="1437" ht="18" customHeight="1" s="17">
      <c r="A1437" s="48">
        <f>IF(Generation!AP33="","",Generation!AP33)</f>
        <v/>
      </c>
      <c r="B1437" s="48" t="n"/>
      <c r="C1437" s="48" t="n"/>
    </row>
    <row r="1438" ht="18" customHeight="1" s="17">
      <c r="A1438" s="48">
        <f>IF(Generation!AQ33="","",Generation!AQ33)</f>
        <v/>
      </c>
      <c r="B1438" s="48" t="n"/>
      <c r="C1438" s="48" t="n"/>
    </row>
    <row r="1439" ht="18" customHeight="1" s="17">
      <c r="A1439" s="48">
        <f>IF(Generation!$B33,"    &lt;/resprocessing&gt;","")</f>
        <v/>
      </c>
      <c r="B1439" s="48" t="n"/>
      <c r="C1439" s="48" t="n"/>
    </row>
    <row r="1440" ht="18" customHeight="1" s="17">
      <c r="A1440" s="48">
        <f>IF(Generation!BB33="","",Generation!BB33)</f>
        <v/>
      </c>
      <c r="B1440" s="48" t="n"/>
      <c r="C1440" s="48" t="n"/>
    </row>
    <row r="1441" ht="18" customHeight="1" s="17">
      <c r="A1441" s="48">
        <f>IF(Generation!BC33="","",Generation!BC33)</f>
        <v/>
      </c>
      <c r="B1441" s="48" t="n"/>
      <c r="C1441" s="48" t="n"/>
    </row>
    <row r="1442" ht="18" customHeight="1" s="17">
      <c r="A1442" s="48">
        <f>IF(Generation!BD33="","",Generation!BD33)</f>
        <v/>
      </c>
      <c r="B1442" s="48" t="n"/>
      <c r="C1442" s="48" t="n"/>
    </row>
    <row r="1443" ht="18" customHeight="1" s="17">
      <c r="A1443" s="48">
        <f>IF(Generation!BE33="","",Generation!BE33)</f>
        <v/>
      </c>
      <c r="B1443" s="48" t="n"/>
      <c r="C1443" s="48" t="n"/>
    </row>
    <row r="1444" ht="18" customHeight="1" s="17">
      <c r="A1444" s="48">
        <f>IF(Generation!BF33="","",Generation!BF33)</f>
        <v/>
      </c>
      <c r="B1444" s="48" t="n"/>
      <c r="C1444" s="48" t="n"/>
    </row>
    <row r="1445" ht="18" customHeight="1" s="17">
      <c r="A1445" s="48">
        <f>IF(Generation!BG33="","",Generation!BG33)</f>
        <v/>
      </c>
      <c r="B1445" s="48" t="n"/>
      <c r="C1445" s="48" t="n"/>
    </row>
    <row r="1446" ht="18" customHeight="1" s="17">
      <c r="A1446" s="48">
        <f>IF(Generation!BH33="","",Generation!BH33)</f>
        <v/>
      </c>
      <c r="B1446" s="48" t="n"/>
      <c r="C1446" s="48" t="n"/>
    </row>
    <row r="1447" ht="18" customHeight="1" s="17">
      <c r="A1447" s="48">
        <f>IF(Generation!BI33="","",Generation!BI33)</f>
        <v/>
      </c>
      <c r="B1447" s="48" t="n"/>
      <c r="C1447" s="48" t="n"/>
    </row>
    <row r="1448" ht="18" customHeight="1" s="17">
      <c r="A1448" s="48">
        <f>IF(Generation!BJ33="","",Generation!BJ33)</f>
        <v/>
      </c>
      <c r="B1448" s="48" t="n"/>
      <c r="C1448" s="48" t="n"/>
    </row>
    <row r="1449" ht="18" customHeight="1" s="17">
      <c r="A1449" s="48">
        <f>IF(Generation!$B33,"  &lt;/item&gt;","")</f>
        <v/>
      </c>
      <c r="B1449" s="48" t="n"/>
      <c r="C1449" s="48" t="n"/>
    </row>
    <row r="1450" ht="18" customHeight="1" s="17">
      <c r="A1450" s="48">
        <f>""</f>
        <v/>
      </c>
      <c r="B1450" s="48" t="n"/>
      <c r="C1450" s="48" t="n"/>
    </row>
    <row r="1451" ht="18" customHeight="1" s="17">
      <c r="A1451" s="48">
        <f>""</f>
        <v/>
      </c>
      <c r="B1451" s="48" t="n"/>
      <c r="C1451" s="48" t="n"/>
    </row>
    <row r="1452" ht="18" customHeight="1" s="17">
      <c r="A1452" s="48">
        <f>""</f>
        <v/>
      </c>
      <c r="B1452" s="48" t="n"/>
      <c r="C1452" s="48" t="n"/>
    </row>
    <row r="1453" ht="18" customHeight="1" s="17">
      <c r="A1453" s="48">
        <f>""</f>
        <v/>
      </c>
      <c r="B1453" s="48" t="n"/>
      <c r="C1453" s="48" t="n"/>
    </row>
    <row r="1454" ht="18" customHeight="1" s="17">
      <c r="A1454" s="48">
        <f>IF(Generation!$B34,"  &lt;item ident=""il_0_qst_"&amp;TEXT(Generation!$A34,"000")&amp;""" title="""&amp;Generation!$F34&amp;"""&gt;","")</f>
        <v/>
      </c>
      <c r="B1454" s="48" t="n"/>
      <c r="C1454" s="48" t="n"/>
    </row>
    <row r="1455" ht="18" customHeight="1" s="17">
      <c r="A1455" s="48">
        <f>IF(Generation!$B34,"    &lt;duration&gt;P0Y0M0DT0H1M0S&lt;/duration&gt;","")</f>
        <v/>
      </c>
      <c r="B1455" s="48" t="n"/>
      <c r="C1455" s="48" t="n"/>
    </row>
    <row r="1456" ht="18" customHeight="1" s="17">
      <c r="A1456" s="48">
        <f>IF(Generation!$B34,"    &lt;itemmetadata&gt;","")</f>
        <v/>
      </c>
      <c r="B1456" s="48" t="n"/>
      <c r="C1456" s="48" t="n"/>
    </row>
    <row r="1457" ht="18" customHeight="1" s="17">
      <c r="A1457" s="48">
        <f>IF(Generation!$B34,"      &lt;qtimetadata&gt;","")</f>
        <v/>
      </c>
      <c r="B1457" s="48" t="n"/>
      <c r="C1457" s="48" t="n"/>
    </row>
    <row r="1458" ht="18" customHeight="1" s="17">
      <c r="A1458" s="48">
        <f>IF(Generation!$B34,"        &lt;qtimetadatafield&gt;&lt;fieldlabel&gt;ILIAS_VERSION&lt;/fieldlabel&gt;&lt;fieldentry&gt;8&lt;/fieldentry&gt;&lt;/qtimetadatafield&gt;","")</f>
        <v/>
      </c>
      <c r="B1458" s="48" t="n"/>
      <c r="C1458" s="48" t="n"/>
    </row>
    <row r="1459" ht="18" customHeight="1" s="17">
      <c r="A1459" s="48">
        <f>IF(Generation!$B34,"        &lt;qtimetadatafield&gt;&lt;fieldlabel&gt;QUESTIONTYPE&lt;/fieldlabel&gt;&lt;fieldentry&gt;"&amp;Generation!$D34&amp;"&lt;/fieldentry&gt;&lt;/qtimetadatafield&gt;","")</f>
        <v/>
      </c>
      <c r="B1459" s="48" t="n"/>
      <c r="C1459" s="48" t="n"/>
    </row>
    <row r="1460" ht="18" customHeight="1" s="17">
      <c r="A1460" s="48">
        <f>IF(Generation!$B34,"        &lt;qtimetadatafield&gt;&lt;fieldlabel&gt;AUTHOR&lt;/fieldlabel&gt;&lt;fieldentry&gt;"&amp;Generation!$AR34&amp;"&lt;/fieldentry&gt;&lt;/qtimetadatafield&gt;","")</f>
        <v/>
      </c>
      <c r="B1460" s="48" t="n"/>
      <c r="C1460" s="48" t="n"/>
    </row>
    <row r="1461" ht="18" customHeight="1" s="17">
      <c r="A1461" s="48">
        <f>IF(Generation!$B34,"        &lt;qtimetadatafield&gt;&lt;fieldlabel&gt;identicalScoring&lt;/fieldlabel&gt;&lt;fieldentry&gt;1&lt;/fieldentry&gt;&lt;/qtimetadatafield&gt;","")</f>
        <v/>
      </c>
      <c r="B1461" s="48" t="n"/>
      <c r="C1461" s="48" t="n"/>
    </row>
    <row r="1462" ht="18" customHeight="1" s="17">
      <c r="A1462" s="48">
        <f>IF(Generation!$B34,"      &lt;/qtimetadata&gt;","")</f>
        <v/>
      </c>
      <c r="B1462" s="48" t="n"/>
      <c r="C1462" s="48" t="n"/>
    </row>
    <row r="1463" ht="18" customHeight="1" s="17">
      <c r="A1463" s="48">
        <f>IF(Generation!$B34,"    &lt;/itemmetadata&gt;","")</f>
        <v/>
      </c>
      <c r="B1463" s="48" t="n"/>
      <c r="C1463" s="48" t="n"/>
    </row>
    <row r="1464" ht="18" customHeight="1" s="17">
      <c r="A1464" s="48">
        <f>IF(Generation!$B34,"    &lt;presentation label="""&amp;Generation!$F34&amp;"""&gt;","")</f>
        <v/>
      </c>
      <c r="B1464" s="48" t="n"/>
      <c r="C1464" s="48" t="n"/>
    </row>
    <row r="1465" ht="18" customHeight="1" s="17">
      <c r="A1465" s="48">
        <f>IF(Generation!$B34,"      &lt;material&gt;&lt;mattext texttype=""text/html""&gt;"&amp;Generation!$G34&amp;"&lt;/mattext&gt;&lt;/material&gt;","")</f>
        <v/>
      </c>
      <c r="B1465" s="48" t="n"/>
      <c r="C1465" s="48" t="n"/>
    </row>
    <row r="1466" ht="18" customHeight="1" s="17">
      <c r="A1466" s="48">
        <f>IF(Generation!$B34,"      &lt;response_lid ident=""RESPONSE"" rcardinality="""&amp;Generation!$E34&amp;"""&gt;","")</f>
        <v/>
      </c>
      <c r="B1466" s="48" t="n"/>
      <c r="C1466" s="48" t="n"/>
    </row>
    <row r="1467" ht="18" customHeight="1" s="17">
      <c r="A1467" s="48">
        <f>IF(Generation!$B34,"        &lt;render_choice shuffle=""No""&gt;","")</f>
        <v/>
      </c>
      <c r="B1467" s="48" t="n"/>
      <c r="C1467" s="48" t="n"/>
    </row>
    <row r="1468" ht="18" customHeight="1" s="17">
      <c r="A1468" s="48">
        <f>IF(Generation!AB34="","",Generation!AB34)</f>
        <v/>
      </c>
      <c r="B1468" s="48" t="n"/>
      <c r="C1468" s="48" t="n"/>
    </row>
    <row r="1469" ht="18" customHeight="1" s="17">
      <c r="A1469" s="48">
        <f>IF(Generation!AC34="","",Generation!AC34)</f>
        <v/>
      </c>
      <c r="B1469" s="48" t="n"/>
      <c r="C1469" s="48" t="n"/>
    </row>
    <row r="1470" ht="18" customHeight="1" s="17">
      <c r="A1470" s="48">
        <f>IF(Generation!AD34="","",Generation!AD34)</f>
        <v/>
      </c>
      <c r="B1470" s="48" t="n"/>
      <c r="C1470" s="48" t="n"/>
    </row>
    <row r="1471" ht="18" customHeight="1" s="17">
      <c r="A1471" s="48">
        <f>IF(Generation!AE34="","",Generation!AE34)</f>
        <v/>
      </c>
      <c r="B1471" s="48" t="n"/>
      <c r="C1471" s="48" t="n"/>
    </row>
    <row r="1472" ht="18" customHeight="1" s="17">
      <c r="A1472" s="48">
        <f>IF(Generation!AF34="","",Generation!AF34)</f>
        <v/>
      </c>
      <c r="B1472" s="48" t="n"/>
      <c r="C1472" s="48" t="n"/>
    </row>
    <row r="1473" ht="18" customHeight="1" s="17">
      <c r="A1473" s="48">
        <f>IF(Generation!AG34="","",Generation!AG34)</f>
        <v/>
      </c>
      <c r="B1473" s="48" t="n"/>
      <c r="C1473" s="48" t="n"/>
    </row>
    <row r="1474" ht="18" customHeight="1" s="17">
      <c r="A1474" s="48">
        <f>IF(Generation!AH34="","",Generation!AH34)</f>
        <v/>
      </c>
      <c r="B1474" s="48" t="n"/>
      <c r="C1474" s="48" t="n"/>
    </row>
    <row r="1475" ht="18" customHeight="1" s="17">
      <c r="A1475" s="48">
        <f>IF(Generation!AI34="","",Generation!AI34)</f>
        <v/>
      </c>
      <c r="B1475" s="48" t="n"/>
      <c r="C1475" s="48" t="n"/>
    </row>
    <row r="1476" ht="18" customHeight="1" s="17">
      <c r="A1476" s="48">
        <f>IF(Generation!$B34,"        &lt;/render_choice&gt;","")</f>
        <v/>
      </c>
      <c r="B1476" s="48" t="n"/>
      <c r="C1476" s="48" t="n"/>
    </row>
    <row r="1477" ht="18" customHeight="1" s="17">
      <c r="A1477" s="48">
        <f>IF(Generation!$B34,"      &lt;/response_lid&gt;","")</f>
        <v/>
      </c>
      <c r="B1477" s="48" t="n"/>
      <c r="C1477" s="48" t="n"/>
    </row>
    <row r="1478" ht="18" customHeight="1" s="17">
      <c r="A1478" s="48">
        <f>IF(Generation!$B34,"    &lt;/presentation&gt;","")</f>
        <v/>
      </c>
      <c r="B1478" s="48" t="n"/>
      <c r="C1478" s="48" t="n"/>
    </row>
    <row r="1479" ht="18" customHeight="1" s="17">
      <c r="A1479" s="48">
        <f>IF(Generation!$B34,"    &lt;resprocessing&gt;","")</f>
        <v/>
      </c>
      <c r="B1479" s="48" t="n"/>
      <c r="C1479" s="48" t="n"/>
    </row>
    <row r="1480" ht="18" customHeight="1" s="17">
      <c r="A1480" s="48">
        <f>IF(Generation!$B34,"      &lt;outcomes&gt;&lt;decvar varname=""SCORE"" vartype=""Decimal"" minvalue=""0"" maxvalue="""&amp;Generation!$H34&amp;"""/&gt;&lt;/outcomes&gt;","")</f>
        <v/>
      </c>
      <c r="B1480" s="48" t="n"/>
      <c r="C1480" s="48" t="n"/>
    </row>
    <row r="1481" ht="18" customHeight="1" s="17">
      <c r="A1481" s="48">
        <f>IF(Generation!AJ34="","",Generation!AJ34)</f>
        <v/>
      </c>
      <c r="B1481" s="48" t="n"/>
      <c r="C1481" s="48" t="n"/>
    </row>
    <row r="1482" ht="18" customHeight="1" s="17">
      <c r="A1482" s="48">
        <f>IF(Generation!AK34="","",Generation!AK34)</f>
        <v/>
      </c>
      <c r="B1482" s="48" t="n"/>
      <c r="C1482" s="48" t="n"/>
    </row>
    <row r="1483" ht="18" customHeight="1" s="17">
      <c r="A1483" s="48">
        <f>IF(Generation!AL34="","",Generation!AL34)</f>
        <v/>
      </c>
      <c r="B1483" s="48" t="n"/>
      <c r="C1483" s="48" t="n"/>
    </row>
    <row r="1484" ht="18" customHeight="1" s="17">
      <c r="A1484" s="48">
        <f>IF(Generation!AM34="","",Generation!AM34)</f>
        <v/>
      </c>
      <c r="B1484" s="48" t="n"/>
      <c r="C1484" s="48" t="n"/>
    </row>
    <row r="1485" ht="18" customHeight="1" s="17">
      <c r="A1485" s="48">
        <f>IF(Generation!AN34="","",Generation!AN34)</f>
        <v/>
      </c>
      <c r="B1485" s="48" t="n"/>
      <c r="C1485" s="48" t="n"/>
    </row>
    <row r="1486" ht="18" customHeight="1" s="17">
      <c r="A1486" s="48">
        <f>IF(Generation!AO34="","",Generation!AO34)</f>
        <v/>
      </c>
      <c r="B1486" s="48" t="n"/>
      <c r="C1486" s="48" t="n"/>
    </row>
    <row r="1487" ht="18" customHeight="1" s="17">
      <c r="A1487" s="48">
        <f>IF(Generation!AP34="","",Generation!AP34)</f>
        <v/>
      </c>
      <c r="B1487" s="48" t="n"/>
      <c r="C1487" s="48" t="n"/>
    </row>
    <row r="1488" ht="18" customHeight="1" s="17">
      <c r="A1488" s="48">
        <f>IF(Generation!AQ34="","",Generation!AQ34)</f>
        <v/>
      </c>
      <c r="B1488" s="48" t="n"/>
      <c r="C1488" s="48" t="n"/>
    </row>
    <row r="1489" ht="18" customHeight="1" s="17">
      <c r="A1489" s="48">
        <f>IF(Generation!$B34,"    &lt;/resprocessing&gt;","")</f>
        <v/>
      </c>
      <c r="B1489" s="48" t="n"/>
      <c r="C1489" s="48" t="n"/>
    </row>
    <row r="1490" ht="18" customHeight="1" s="17">
      <c r="A1490" s="48">
        <f>IF(Generation!BB34="","",Generation!BB34)</f>
        <v/>
      </c>
      <c r="B1490" s="48" t="n"/>
      <c r="C1490" s="48" t="n"/>
    </row>
    <row r="1491" ht="18" customHeight="1" s="17">
      <c r="A1491" s="48">
        <f>IF(Generation!BC34="","",Generation!BC34)</f>
        <v/>
      </c>
      <c r="B1491" s="48" t="n"/>
      <c r="C1491" s="48" t="n"/>
    </row>
    <row r="1492" ht="18" customHeight="1" s="17">
      <c r="A1492" s="48">
        <f>IF(Generation!BD34="","",Generation!BD34)</f>
        <v/>
      </c>
      <c r="B1492" s="48" t="n"/>
      <c r="C1492" s="48" t="n"/>
    </row>
    <row r="1493" ht="18" customHeight="1" s="17">
      <c r="A1493" s="48">
        <f>IF(Generation!BE34="","",Generation!BE34)</f>
        <v/>
      </c>
      <c r="B1493" s="48" t="n"/>
      <c r="C1493" s="48" t="n"/>
    </row>
    <row r="1494" ht="18" customHeight="1" s="17">
      <c r="A1494" s="48">
        <f>IF(Generation!BF34="","",Generation!BF34)</f>
        <v/>
      </c>
      <c r="B1494" s="48" t="n"/>
      <c r="C1494" s="48" t="n"/>
    </row>
    <row r="1495" ht="18" customHeight="1" s="17">
      <c r="A1495" s="48">
        <f>IF(Generation!BG34="","",Generation!BG34)</f>
        <v/>
      </c>
      <c r="B1495" s="48" t="n"/>
      <c r="C1495" s="48" t="n"/>
    </row>
    <row r="1496" ht="18" customHeight="1" s="17">
      <c r="A1496" s="48">
        <f>IF(Generation!BH34="","",Generation!BH34)</f>
        <v/>
      </c>
      <c r="B1496" s="48" t="n"/>
      <c r="C1496" s="48" t="n"/>
    </row>
    <row r="1497" ht="18" customHeight="1" s="17">
      <c r="A1497" s="48">
        <f>IF(Generation!BI34="","",Generation!BI34)</f>
        <v/>
      </c>
      <c r="B1497" s="48" t="n"/>
      <c r="C1497" s="48" t="n"/>
    </row>
    <row r="1498" ht="18" customHeight="1" s="17">
      <c r="A1498" s="48">
        <f>IF(Generation!BJ34="","",Generation!BJ34)</f>
        <v/>
      </c>
      <c r="B1498" s="48" t="n"/>
      <c r="C1498" s="48" t="n"/>
    </row>
    <row r="1499" ht="18" customHeight="1" s="17">
      <c r="A1499" s="48">
        <f>IF(Generation!$B34,"  &lt;/item&gt;","")</f>
        <v/>
      </c>
      <c r="B1499" s="48" t="n"/>
      <c r="C1499" s="48" t="n"/>
    </row>
    <row r="1500" ht="18" customHeight="1" s="17">
      <c r="A1500" s="48">
        <f>""</f>
        <v/>
      </c>
      <c r="B1500" s="48" t="n"/>
      <c r="C1500" s="48" t="n"/>
    </row>
    <row r="1501" ht="18" customHeight="1" s="17">
      <c r="A1501" s="48">
        <f>""</f>
        <v/>
      </c>
      <c r="B1501" s="48" t="n"/>
      <c r="C1501" s="48" t="n"/>
    </row>
    <row r="1502" ht="18" customHeight="1" s="17">
      <c r="A1502" s="48">
        <f>""</f>
        <v/>
      </c>
      <c r="B1502" s="48" t="n"/>
      <c r="C1502" s="48" t="n"/>
    </row>
    <row r="1503" ht="18" customHeight="1" s="17">
      <c r="A1503" s="48">
        <f>""</f>
        <v/>
      </c>
      <c r="B1503" s="48" t="n"/>
      <c r="C1503" s="48" t="n"/>
    </row>
    <row r="1504" ht="18" customHeight="1" s="17">
      <c r="A1504" s="48">
        <f>IF(Generation!$B35,"  &lt;item ident=""il_0_qst_"&amp;TEXT(Generation!$A35,"000")&amp;""" title="""&amp;Generation!$F35&amp;"""&gt;","")</f>
        <v/>
      </c>
      <c r="B1504" s="48" t="n"/>
      <c r="C1504" s="48" t="n"/>
    </row>
    <row r="1505" ht="18" customHeight="1" s="17">
      <c r="A1505" s="48">
        <f>IF(Generation!$B35,"    &lt;duration&gt;P0Y0M0DT0H1M0S&lt;/duration&gt;","")</f>
        <v/>
      </c>
      <c r="B1505" s="48" t="n"/>
      <c r="C1505" s="48" t="n"/>
    </row>
    <row r="1506" ht="18" customHeight="1" s="17">
      <c r="A1506" s="48">
        <f>IF(Generation!$B35,"    &lt;itemmetadata&gt;","")</f>
        <v/>
      </c>
      <c r="B1506" s="48" t="n"/>
      <c r="C1506" s="48" t="n"/>
    </row>
    <row r="1507" ht="18" customHeight="1" s="17">
      <c r="A1507" s="48">
        <f>IF(Generation!$B35,"      &lt;qtimetadata&gt;","")</f>
        <v/>
      </c>
      <c r="B1507" s="48" t="n"/>
      <c r="C1507" s="48" t="n"/>
    </row>
    <row r="1508" ht="18" customHeight="1" s="17">
      <c r="A1508" s="48">
        <f>IF(Generation!$B35,"        &lt;qtimetadatafield&gt;&lt;fieldlabel&gt;ILIAS_VERSION&lt;/fieldlabel&gt;&lt;fieldentry&gt;8&lt;/fieldentry&gt;&lt;/qtimetadatafield&gt;","")</f>
        <v/>
      </c>
      <c r="B1508" s="48" t="n"/>
      <c r="C1508" s="48" t="n"/>
    </row>
    <row r="1509" ht="18" customHeight="1" s="17">
      <c r="A1509" s="48">
        <f>IF(Generation!$B35,"        &lt;qtimetadatafield&gt;&lt;fieldlabel&gt;QUESTIONTYPE&lt;/fieldlabel&gt;&lt;fieldentry&gt;"&amp;Generation!$D35&amp;"&lt;/fieldentry&gt;&lt;/qtimetadatafield&gt;","")</f>
        <v/>
      </c>
      <c r="B1509" s="48" t="n"/>
      <c r="C1509" s="48" t="n"/>
    </row>
    <row r="1510" ht="18" customHeight="1" s="17">
      <c r="A1510" s="48">
        <f>IF(Generation!$B35,"        &lt;qtimetadatafield&gt;&lt;fieldlabel&gt;AUTHOR&lt;/fieldlabel&gt;&lt;fieldentry&gt;"&amp;Generation!$AR35&amp;"&lt;/fieldentry&gt;&lt;/qtimetadatafield&gt;","")</f>
        <v/>
      </c>
      <c r="B1510" s="48" t="n"/>
      <c r="C1510" s="48" t="n"/>
    </row>
    <row r="1511" ht="18" customHeight="1" s="17">
      <c r="A1511" s="48">
        <f>IF(Generation!$B35,"        &lt;qtimetadatafield&gt;&lt;fieldlabel&gt;identicalScoring&lt;/fieldlabel&gt;&lt;fieldentry&gt;1&lt;/fieldentry&gt;&lt;/qtimetadatafield&gt;","")</f>
        <v/>
      </c>
      <c r="B1511" s="48" t="n"/>
      <c r="C1511" s="48" t="n"/>
    </row>
    <row r="1512" ht="18" customHeight="1" s="17">
      <c r="A1512" s="48">
        <f>IF(Generation!$B35,"      &lt;/qtimetadata&gt;","")</f>
        <v/>
      </c>
      <c r="B1512" s="48" t="n"/>
      <c r="C1512" s="48" t="n"/>
    </row>
    <row r="1513" ht="18" customHeight="1" s="17">
      <c r="A1513" s="48">
        <f>IF(Generation!$B35,"    &lt;/itemmetadata&gt;","")</f>
        <v/>
      </c>
      <c r="B1513" s="48" t="n"/>
      <c r="C1513" s="48" t="n"/>
    </row>
    <row r="1514" ht="18" customHeight="1" s="17">
      <c r="A1514" s="48">
        <f>IF(Generation!$B35,"    &lt;presentation label="""&amp;Generation!$F35&amp;"""&gt;","")</f>
        <v/>
      </c>
      <c r="B1514" s="48" t="n"/>
      <c r="C1514" s="48" t="n"/>
    </row>
    <row r="1515" ht="18" customHeight="1" s="17">
      <c r="A1515" s="48">
        <f>IF(Generation!$B35,"      &lt;material&gt;&lt;mattext texttype=""text/html""&gt;"&amp;Generation!$G35&amp;"&lt;/mattext&gt;&lt;/material&gt;","")</f>
        <v/>
      </c>
      <c r="B1515" s="48" t="n"/>
      <c r="C1515" s="48" t="n"/>
    </row>
    <row r="1516" ht="18" customHeight="1" s="17">
      <c r="A1516" s="48">
        <f>IF(Generation!$B35,"      &lt;response_lid ident=""RESPONSE"" rcardinality="""&amp;Generation!$E35&amp;"""&gt;","")</f>
        <v/>
      </c>
      <c r="B1516" s="48" t="n"/>
      <c r="C1516" s="48" t="n"/>
    </row>
    <row r="1517" ht="18" customHeight="1" s="17">
      <c r="A1517" s="48">
        <f>IF(Generation!$B35,"        &lt;render_choice shuffle=""No""&gt;","")</f>
        <v/>
      </c>
      <c r="B1517" s="48" t="n"/>
      <c r="C1517" s="48" t="n"/>
    </row>
    <row r="1518" ht="18" customHeight="1" s="17">
      <c r="A1518" s="48">
        <f>IF(Generation!AB35="","",Generation!AB35)</f>
        <v/>
      </c>
      <c r="B1518" s="48" t="n"/>
      <c r="C1518" s="48" t="n"/>
    </row>
    <row r="1519" ht="18" customHeight="1" s="17">
      <c r="A1519" s="48">
        <f>IF(Generation!AC35="","",Generation!AC35)</f>
        <v/>
      </c>
      <c r="B1519" s="48" t="n"/>
      <c r="C1519" s="48" t="n"/>
    </row>
    <row r="1520" ht="18" customHeight="1" s="17">
      <c r="A1520" s="48">
        <f>IF(Generation!AD35="","",Generation!AD35)</f>
        <v/>
      </c>
      <c r="B1520" s="48" t="n"/>
      <c r="C1520" s="48" t="n"/>
    </row>
    <row r="1521" ht="18" customHeight="1" s="17">
      <c r="A1521" s="48">
        <f>IF(Generation!AE35="","",Generation!AE35)</f>
        <v/>
      </c>
      <c r="B1521" s="48" t="n"/>
      <c r="C1521" s="48" t="n"/>
    </row>
    <row r="1522" ht="18" customHeight="1" s="17">
      <c r="A1522" s="48">
        <f>IF(Generation!AF35="","",Generation!AF35)</f>
        <v/>
      </c>
      <c r="B1522" s="48" t="n"/>
      <c r="C1522" s="48" t="n"/>
    </row>
    <row r="1523" ht="18" customHeight="1" s="17">
      <c r="A1523" s="48">
        <f>IF(Generation!AG35="","",Generation!AG35)</f>
        <v/>
      </c>
      <c r="B1523" s="48" t="n"/>
      <c r="C1523" s="48" t="n"/>
    </row>
    <row r="1524" ht="18" customHeight="1" s="17">
      <c r="A1524" s="48">
        <f>IF(Generation!AH35="","",Generation!AH35)</f>
        <v/>
      </c>
      <c r="B1524" s="48" t="n"/>
      <c r="C1524" s="48" t="n"/>
    </row>
    <row r="1525" ht="18" customHeight="1" s="17">
      <c r="A1525" s="48">
        <f>IF(Generation!AI35="","",Generation!AI35)</f>
        <v/>
      </c>
      <c r="B1525" s="48" t="n"/>
      <c r="C1525" s="48" t="n"/>
    </row>
    <row r="1526" ht="18" customHeight="1" s="17">
      <c r="A1526" s="48">
        <f>IF(Generation!$B35,"        &lt;/render_choice&gt;","")</f>
        <v/>
      </c>
      <c r="B1526" s="48" t="n"/>
      <c r="C1526" s="48" t="n"/>
    </row>
    <row r="1527" ht="18" customHeight="1" s="17">
      <c r="A1527" s="48">
        <f>IF(Generation!$B35,"      &lt;/response_lid&gt;","")</f>
        <v/>
      </c>
      <c r="B1527" s="48" t="n"/>
      <c r="C1527" s="48" t="n"/>
    </row>
    <row r="1528" ht="18" customHeight="1" s="17">
      <c r="A1528" s="48">
        <f>IF(Generation!$B35,"    &lt;/presentation&gt;","")</f>
        <v/>
      </c>
      <c r="B1528" s="48" t="n"/>
      <c r="C1528" s="48" t="n"/>
    </row>
    <row r="1529" ht="18" customHeight="1" s="17">
      <c r="A1529" s="48">
        <f>IF(Generation!$B35,"    &lt;resprocessing&gt;","")</f>
        <v/>
      </c>
      <c r="B1529" s="48" t="n"/>
      <c r="C1529" s="48" t="n"/>
    </row>
    <row r="1530" ht="18" customHeight="1" s="17">
      <c r="A1530" s="48">
        <f>IF(Generation!$B35,"      &lt;outcomes&gt;&lt;decvar varname=""SCORE"" vartype=""Decimal"" minvalue=""0"" maxvalue="""&amp;Generation!$H35&amp;"""/&gt;&lt;/outcomes&gt;","")</f>
        <v/>
      </c>
      <c r="B1530" s="48" t="n"/>
      <c r="C1530" s="48" t="n"/>
    </row>
    <row r="1531" ht="18" customHeight="1" s="17">
      <c r="A1531" s="48">
        <f>IF(Generation!AJ35="","",Generation!AJ35)</f>
        <v/>
      </c>
      <c r="B1531" s="48" t="n"/>
      <c r="C1531" s="48" t="n"/>
    </row>
    <row r="1532" ht="18" customHeight="1" s="17">
      <c r="A1532" s="48">
        <f>IF(Generation!AK35="","",Generation!AK35)</f>
        <v/>
      </c>
      <c r="B1532" s="48" t="n"/>
      <c r="C1532" s="48" t="n"/>
    </row>
    <row r="1533" ht="18" customHeight="1" s="17">
      <c r="A1533" s="48">
        <f>IF(Generation!AL35="","",Generation!AL35)</f>
        <v/>
      </c>
      <c r="B1533" s="48" t="n"/>
      <c r="C1533" s="48" t="n"/>
    </row>
    <row r="1534" ht="18" customHeight="1" s="17">
      <c r="A1534" s="48">
        <f>IF(Generation!AM35="","",Generation!AM35)</f>
        <v/>
      </c>
      <c r="B1534" s="48" t="n"/>
      <c r="C1534" s="48" t="n"/>
    </row>
    <row r="1535" ht="18" customHeight="1" s="17">
      <c r="A1535" s="48">
        <f>IF(Generation!AN35="","",Generation!AN35)</f>
        <v/>
      </c>
      <c r="B1535" s="48" t="n"/>
      <c r="C1535" s="48" t="n"/>
    </row>
    <row r="1536" ht="18" customHeight="1" s="17">
      <c r="A1536" s="48">
        <f>IF(Generation!AO35="","",Generation!AO35)</f>
        <v/>
      </c>
      <c r="B1536" s="48" t="n"/>
      <c r="C1536" s="48" t="n"/>
    </row>
    <row r="1537" ht="18" customHeight="1" s="17">
      <c r="A1537" s="48">
        <f>IF(Generation!AP35="","",Generation!AP35)</f>
        <v/>
      </c>
      <c r="B1537" s="48" t="n"/>
      <c r="C1537" s="48" t="n"/>
    </row>
    <row r="1538" ht="18" customHeight="1" s="17">
      <c r="A1538" s="48">
        <f>IF(Generation!AQ35="","",Generation!AQ35)</f>
        <v/>
      </c>
      <c r="B1538" s="48" t="n"/>
      <c r="C1538" s="48" t="n"/>
    </row>
    <row r="1539" ht="18" customHeight="1" s="17">
      <c r="A1539" s="48">
        <f>IF(Generation!$B35,"    &lt;/resprocessing&gt;","")</f>
        <v/>
      </c>
      <c r="B1539" s="48" t="n"/>
      <c r="C1539" s="48" t="n"/>
    </row>
    <row r="1540" ht="18" customHeight="1" s="17">
      <c r="A1540" s="48">
        <f>IF(Generation!BB35="","",Generation!BB35)</f>
        <v/>
      </c>
      <c r="B1540" s="48" t="n"/>
      <c r="C1540" s="48" t="n"/>
    </row>
    <row r="1541" ht="18" customHeight="1" s="17">
      <c r="A1541" s="48">
        <f>IF(Generation!BC35="","",Generation!BC35)</f>
        <v/>
      </c>
      <c r="B1541" s="48" t="n"/>
      <c r="C1541" s="48" t="n"/>
    </row>
    <row r="1542" ht="18" customHeight="1" s="17">
      <c r="A1542" s="48">
        <f>IF(Generation!BD35="","",Generation!BD35)</f>
        <v/>
      </c>
      <c r="B1542" s="48" t="n"/>
      <c r="C1542" s="48" t="n"/>
    </row>
    <row r="1543" ht="18" customHeight="1" s="17">
      <c r="A1543" s="48">
        <f>IF(Generation!BE35="","",Generation!BE35)</f>
        <v/>
      </c>
      <c r="B1543" s="48" t="n"/>
      <c r="C1543" s="48" t="n"/>
    </row>
    <row r="1544" ht="18" customHeight="1" s="17">
      <c r="A1544" s="48">
        <f>IF(Generation!BF35="","",Generation!BF35)</f>
        <v/>
      </c>
      <c r="B1544" s="48" t="n"/>
      <c r="C1544" s="48" t="n"/>
    </row>
    <row r="1545" ht="18" customHeight="1" s="17">
      <c r="A1545" s="48">
        <f>IF(Generation!BG35="","",Generation!BG35)</f>
        <v/>
      </c>
      <c r="B1545" s="48" t="n"/>
      <c r="C1545" s="48" t="n"/>
    </row>
    <row r="1546" ht="18" customHeight="1" s="17">
      <c r="A1546" s="48">
        <f>IF(Generation!BH35="","",Generation!BH35)</f>
        <v/>
      </c>
      <c r="B1546" s="48" t="n"/>
      <c r="C1546" s="48" t="n"/>
    </row>
    <row r="1547" ht="18" customHeight="1" s="17">
      <c r="A1547" s="48">
        <f>IF(Generation!BI35="","",Generation!BI35)</f>
        <v/>
      </c>
      <c r="B1547" s="48" t="n"/>
      <c r="C1547" s="48" t="n"/>
    </row>
    <row r="1548" ht="18" customHeight="1" s="17">
      <c r="A1548" s="48">
        <f>IF(Generation!BJ35="","",Generation!BJ35)</f>
        <v/>
      </c>
      <c r="B1548" s="48" t="n"/>
      <c r="C1548" s="48" t="n"/>
    </row>
    <row r="1549" ht="18" customHeight="1" s="17">
      <c r="A1549" s="48">
        <f>IF(Generation!$B35,"  &lt;/item&gt;","")</f>
        <v/>
      </c>
      <c r="B1549" s="48" t="n"/>
      <c r="C1549" s="48" t="n"/>
    </row>
    <row r="1550" ht="18" customHeight="1" s="17">
      <c r="A1550" s="48">
        <f>""</f>
        <v/>
      </c>
      <c r="B1550" s="48" t="n"/>
      <c r="C1550" s="48" t="n"/>
    </row>
    <row r="1551" ht="18" customHeight="1" s="17">
      <c r="A1551" s="48">
        <f>""</f>
        <v/>
      </c>
      <c r="B1551" s="48" t="n"/>
      <c r="C1551" s="48" t="n"/>
    </row>
    <row r="1552" ht="18" customHeight="1" s="17">
      <c r="A1552" s="48">
        <f>""</f>
        <v/>
      </c>
      <c r="B1552" s="48" t="n"/>
      <c r="C1552" s="48" t="n"/>
    </row>
    <row r="1553" ht="18" customHeight="1" s="17">
      <c r="A1553" s="48">
        <f>""</f>
        <v/>
      </c>
      <c r="B1553" s="48" t="n"/>
      <c r="C1553" s="48" t="n"/>
    </row>
    <row r="1554" ht="18" customHeight="1" s="17">
      <c r="A1554" s="48">
        <f>IF(Generation!$B36,"  &lt;item ident=""il_0_qst_"&amp;TEXT(Generation!$A36,"000")&amp;""" title="""&amp;Generation!$F36&amp;"""&gt;","")</f>
        <v/>
      </c>
      <c r="B1554" s="48" t="n"/>
      <c r="C1554" s="48" t="n"/>
    </row>
    <row r="1555" ht="18" customHeight="1" s="17">
      <c r="A1555" s="48">
        <f>IF(Generation!$B36,"    &lt;duration&gt;P0Y0M0DT0H1M0S&lt;/duration&gt;","")</f>
        <v/>
      </c>
      <c r="B1555" s="48" t="n"/>
      <c r="C1555" s="48" t="n"/>
    </row>
    <row r="1556" ht="18" customHeight="1" s="17">
      <c r="A1556" s="48">
        <f>IF(Generation!$B36,"    &lt;itemmetadata&gt;","")</f>
        <v/>
      </c>
      <c r="B1556" s="48" t="n"/>
      <c r="C1556" s="48" t="n"/>
    </row>
    <row r="1557" ht="18" customHeight="1" s="17">
      <c r="A1557" s="48">
        <f>IF(Generation!$B36,"      &lt;qtimetadata&gt;","")</f>
        <v/>
      </c>
      <c r="B1557" s="48" t="n"/>
      <c r="C1557" s="48" t="n"/>
    </row>
    <row r="1558" ht="18" customHeight="1" s="17">
      <c r="A1558" s="48">
        <f>IF(Generation!$B36,"        &lt;qtimetadatafield&gt;&lt;fieldlabel&gt;ILIAS_VERSION&lt;/fieldlabel&gt;&lt;fieldentry&gt;8&lt;/fieldentry&gt;&lt;/qtimetadatafield&gt;","")</f>
        <v/>
      </c>
      <c r="B1558" s="48" t="n"/>
      <c r="C1558" s="48" t="n"/>
    </row>
    <row r="1559" ht="18" customHeight="1" s="17">
      <c r="A1559" s="48">
        <f>IF(Generation!$B36,"        &lt;qtimetadatafield&gt;&lt;fieldlabel&gt;QUESTIONTYPE&lt;/fieldlabel&gt;&lt;fieldentry&gt;"&amp;Generation!$D36&amp;"&lt;/fieldentry&gt;&lt;/qtimetadatafield&gt;","")</f>
        <v/>
      </c>
      <c r="B1559" s="48" t="n"/>
      <c r="C1559" s="48" t="n"/>
    </row>
    <row r="1560" ht="18" customHeight="1" s="17">
      <c r="A1560" s="48">
        <f>IF(Generation!$B36,"        &lt;qtimetadatafield&gt;&lt;fieldlabel&gt;AUTHOR&lt;/fieldlabel&gt;&lt;fieldentry&gt;"&amp;Generation!$AR36&amp;"&lt;/fieldentry&gt;&lt;/qtimetadatafield&gt;","")</f>
        <v/>
      </c>
      <c r="B1560" s="48" t="n"/>
      <c r="C1560" s="48" t="n"/>
    </row>
    <row r="1561" ht="18" customHeight="1" s="17">
      <c r="A1561" s="48">
        <f>IF(Generation!$B36,"        &lt;qtimetadatafield&gt;&lt;fieldlabel&gt;identicalScoring&lt;/fieldlabel&gt;&lt;fieldentry&gt;1&lt;/fieldentry&gt;&lt;/qtimetadatafield&gt;","")</f>
        <v/>
      </c>
      <c r="B1561" s="48" t="n"/>
      <c r="C1561" s="48" t="n"/>
    </row>
    <row r="1562" ht="18" customHeight="1" s="17">
      <c r="A1562" s="48">
        <f>IF(Generation!$B36,"      &lt;/qtimetadata&gt;","")</f>
        <v/>
      </c>
      <c r="B1562" s="48" t="n"/>
      <c r="C1562" s="48" t="n"/>
    </row>
    <row r="1563" ht="18" customHeight="1" s="17">
      <c r="A1563" s="48">
        <f>IF(Generation!$B36,"    &lt;/itemmetadata&gt;","")</f>
        <v/>
      </c>
      <c r="B1563" s="48" t="n"/>
      <c r="C1563" s="48" t="n"/>
    </row>
    <row r="1564" ht="18" customHeight="1" s="17">
      <c r="A1564" s="48">
        <f>IF(Generation!$B36,"    &lt;presentation label="""&amp;Generation!$F36&amp;"""&gt;","")</f>
        <v/>
      </c>
      <c r="B1564" s="48" t="n"/>
      <c r="C1564" s="48" t="n"/>
    </row>
    <row r="1565" ht="18" customHeight="1" s="17">
      <c r="A1565" s="48">
        <f>IF(Generation!$B36,"      &lt;material&gt;&lt;mattext texttype=""text/html""&gt;"&amp;Generation!$G36&amp;"&lt;/mattext&gt;&lt;/material&gt;","")</f>
        <v/>
      </c>
      <c r="B1565" s="48" t="n"/>
      <c r="C1565" s="48" t="n"/>
    </row>
    <row r="1566" ht="18" customHeight="1" s="17">
      <c r="A1566" s="48">
        <f>IF(Generation!$B36,"      &lt;response_lid ident=""RESPONSE"" rcardinality="""&amp;Generation!$E36&amp;"""&gt;","")</f>
        <v/>
      </c>
      <c r="B1566" s="48" t="n"/>
      <c r="C1566" s="48" t="n"/>
    </row>
    <row r="1567" ht="18" customHeight="1" s="17">
      <c r="A1567" s="48">
        <f>IF(Generation!$B36,"        &lt;render_choice shuffle=""No""&gt;","")</f>
        <v/>
      </c>
      <c r="B1567" s="48" t="n"/>
      <c r="C1567" s="48" t="n"/>
    </row>
    <row r="1568" ht="18" customHeight="1" s="17">
      <c r="A1568" s="48">
        <f>IF(Generation!AB36="","",Generation!AB36)</f>
        <v/>
      </c>
      <c r="B1568" s="48" t="n"/>
      <c r="C1568" s="48" t="n"/>
    </row>
    <row r="1569" ht="18" customHeight="1" s="17">
      <c r="A1569" s="48">
        <f>IF(Generation!AC36="","",Generation!AC36)</f>
        <v/>
      </c>
      <c r="B1569" s="48" t="n"/>
      <c r="C1569" s="48" t="n"/>
    </row>
    <row r="1570" ht="18" customHeight="1" s="17">
      <c r="A1570" s="48">
        <f>IF(Generation!AD36="","",Generation!AD36)</f>
        <v/>
      </c>
      <c r="B1570" s="48" t="n"/>
      <c r="C1570" s="48" t="n"/>
    </row>
    <row r="1571" ht="18" customHeight="1" s="17">
      <c r="A1571" s="48">
        <f>IF(Generation!AE36="","",Generation!AE36)</f>
        <v/>
      </c>
      <c r="B1571" s="48" t="n"/>
      <c r="C1571" s="48" t="n"/>
    </row>
    <row r="1572" ht="18" customHeight="1" s="17">
      <c r="A1572" s="48">
        <f>IF(Generation!AF36="","",Generation!AF36)</f>
        <v/>
      </c>
      <c r="B1572" s="48" t="n"/>
      <c r="C1572" s="48" t="n"/>
    </row>
    <row r="1573" ht="18" customHeight="1" s="17">
      <c r="A1573" s="48">
        <f>IF(Generation!AG36="","",Generation!AG36)</f>
        <v/>
      </c>
      <c r="B1573" s="48" t="n"/>
      <c r="C1573" s="48" t="n"/>
    </row>
    <row r="1574" ht="18" customHeight="1" s="17">
      <c r="A1574" s="48">
        <f>IF(Generation!AH36="","",Generation!AH36)</f>
        <v/>
      </c>
      <c r="B1574" s="48" t="n"/>
      <c r="C1574" s="48" t="n"/>
    </row>
    <row r="1575" ht="18" customHeight="1" s="17">
      <c r="A1575" s="48">
        <f>IF(Generation!AI36="","",Generation!AI36)</f>
        <v/>
      </c>
      <c r="B1575" s="48" t="n"/>
      <c r="C1575" s="48" t="n"/>
    </row>
    <row r="1576" ht="18" customHeight="1" s="17">
      <c r="A1576" s="48">
        <f>IF(Generation!$B36,"        &lt;/render_choice&gt;","")</f>
        <v/>
      </c>
      <c r="B1576" s="48" t="n"/>
      <c r="C1576" s="48" t="n"/>
    </row>
    <row r="1577" ht="18" customHeight="1" s="17">
      <c r="A1577" s="48">
        <f>IF(Generation!$B36,"      &lt;/response_lid&gt;","")</f>
        <v/>
      </c>
      <c r="B1577" s="48" t="n"/>
      <c r="C1577" s="48" t="n"/>
    </row>
    <row r="1578" ht="18" customHeight="1" s="17">
      <c r="A1578" s="48">
        <f>IF(Generation!$B36,"    &lt;/presentation&gt;","")</f>
        <v/>
      </c>
      <c r="B1578" s="48" t="n"/>
      <c r="C1578" s="48" t="n"/>
    </row>
    <row r="1579" ht="18" customHeight="1" s="17">
      <c r="A1579" s="48">
        <f>IF(Generation!$B36,"    &lt;resprocessing&gt;","")</f>
        <v/>
      </c>
      <c r="B1579" s="48" t="n"/>
      <c r="C1579" s="48" t="n"/>
    </row>
    <row r="1580" ht="18" customHeight="1" s="17">
      <c r="A1580" s="48">
        <f>IF(Generation!$B36,"      &lt;outcomes&gt;&lt;decvar varname=""SCORE"" vartype=""Decimal"" minvalue=""0"" maxvalue="""&amp;Generation!$H36&amp;"""/&gt;&lt;/outcomes&gt;","")</f>
        <v/>
      </c>
      <c r="B1580" s="48" t="n"/>
      <c r="C1580" s="48" t="n"/>
    </row>
    <row r="1581" ht="18" customHeight="1" s="17">
      <c r="A1581" s="48">
        <f>IF(Generation!AJ36="","",Generation!AJ36)</f>
        <v/>
      </c>
      <c r="B1581" s="48" t="n"/>
      <c r="C1581" s="48" t="n"/>
    </row>
    <row r="1582" ht="18" customHeight="1" s="17">
      <c r="A1582" s="48">
        <f>IF(Generation!AK36="","",Generation!AK36)</f>
        <v/>
      </c>
      <c r="B1582" s="48" t="n"/>
      <c r="C1582" s="48" t="n"/>
    </row>
    <row r="1583" ht="18" customHeight="1" s="17">
      <c r="A1583" s="48">
        <f>IF(Generation!AL36="","",Generation!AL36)</f>
        <v/>
      </c>
      <c r="B1583" s="48" t="n"/>
      <c r="C1583" s="48" t="n"/>
    </row>
    <row r="1584" ht="18" customHeight="1" s="17">
      <c r="A1584" s="48">
        <f>IF(Generation!AM36="","",Generation!AM36)</f>
        <v/>
      </c>
      <c r="B1584" s="48" t="n"/>
      <c r="C1584" s="48" t="n"/>
    </row>
    <row r="1585" ht="18" customHeight="1" s="17">
      <c r="A1585" s="48">
        <f>IF(Generation!AN36="","",Generation!AN36)</f>
        <v/>
      </c>
      <c r="B1585" s="48" t="n"/>
      <c r="C1585" s="48" t="n"/>
    </row>
    <row r="1586" ht="18" customHeight="1" s="17">
      <c r="A1586" s="48">
        <f>IF(Generation!AO36="","",Generation!AO36)</f>
        <v/>
      </c>
      <c r="B1586" s="48" t="n"/>
      <c r="C1586" s="48" t="n"/>
    </row>
    <row r="1587" ht="18" customHeight="1" s="17">
      <c r="A1587" s="48">
        <f>IF(Generation!AP36="","",Generation!AP36)</f>
        <v/>
      </c>
      <c r="B1587" s="48" t="n"/>
      <c r="C1587" s="48" t="n"/>
    </row>
    <row r="1588" ht="18" customHeight="1" s="17">
      <c r="A1588" s="48">
        <f>IF(Generation!AQ36="","",Generation!AQ36)</f>
        <v/>
      </c>
      <c r="B1588" s="48" t="n"/>
      <c r="C1588" s="48" t="n"/>
    </row>
    <row r="1589" ht="18" customHeight="1" s="17">
      <c r="A1589" s="48">
        <f>IF(Generation!$B36,"    &lt;/resprocessing&gt;","")</f>
        <v/>
      </c>
      <c r="B1589" s="48" t="n"/>
      <c r="C1589" s="48" t="n"/>
    </row>
    <row r="1590" ht="18" customHeight="1" s="17">
      <c r="A1590" s="48">
        <f>IF(Generation!BB36="","",Generation!BB36)</f>
        <v/>
      </c>
      <c r="B1590" s="48" t="n"/>
      <c r="C1590" s="48" t="n"/>
    </row>
    <row r="1591" ht="18" customHeight="1" s="17">
      <c r="A1591" s="48">
        <f>IF(Generation!BC36="","",Generation!BC36)</f>
        <v/>
      </c>
      <c r="B1591" s="48" t="n"/>
      <c r="C1591" s="48" t="n"/>
    </row>
    <row r="1592" ht="18" customHeight="1" s="17">
      <c r="A1592" s="48">
        <f>IF(Generation!BD36="","",Generation!BD36)</f>
        <v/>
      </c>
      <c r="B1592" s="48" t="n"/>
      <c r="C1592" s="48" t="n"/>
    </row>
    <row r="1593" ht="18" customHeight="1" s="17">
      <c r="A1593" s="48">
        <f>IF(Generation!BE36="","",Generation!BE36)</f>
        <v/>
      </c>
      <c r="B1593" s="48" t="n"/>
      <c r="C1593" s="48" t="n"/>
    </row>
    <row r="1594" ht="18" customHeight="1" s="17">
      <c r="A1594" s="48">
        <f>IF(Generation!BF36="","",Generation!BF36)</f>
        <v/>
      </c>
      <c r="B1594" s="48" t="n"/>
      <c r="C1594" s="48" t="n"/>
    </row>
    <row r="1595" ht="18" customHeight="1" s="17">
      <c r="A1595" s="48">
        <f>IF(Generation!BG36="","",Generation!BG36)</f>
        <v/>
      </c>
      <c r="B1595" s="48" t="n"/>
      <c r="C1595" s="48" t="n"/>
    </row>
    <row r="1596" ht="18" customHeight="1" s="17">
      <c r="A1596" s="48">
        <f>IF(Generation!BH36="","",Generation!BH36)</f>
        <v/>
      </c>
      <c r="B1596" s="48" t="n"/>
      <c r="C1596" s="48" t="n"/>
    </row>
    <row r="1597" ht="18" customHeight="1" s="17">
      <c r="A1597" s="48">
        <f>IF(Generation!BI36="","",Generation!BI36)</f>
        <v/>
      </c>
      <c r="B1597" s="48" t="n"/>
      <c r="C1597" s="48" t="n"/>
    </row>
    <row r="1598" ht="18" customHeight="1" s="17">
      <c r="A1598" s="48">
        <f>IF(Generation!BJ36="","",Generation!BJ36)</f>
        <v/>
      </c>
      <c r="B1598" s="48" t="n"/>
      <c r="C1598" s="48" t="n"/>
    </row>
    <row r="1599" ht="18" customHeight="1" s="17">
      <c r="A1599" s="48">
        <f>IF(Generation!$B36,"  &lt;/item&gt;","")</f>
        <v/>
      </c>
      <c r="B1599" s="48" t="n"/>
      <c r="C1599" s="48" t="n"/>
    </row>
    <row r="1600" ht="18" customHeight="1" s="17">
      <c r="A1600" s="48">
        <f>""</f>
        <v/>
      </c>
      <c r="B1600" s="48" t="n"/>
      <c r="C1600" s="48" t="n"/>
    </row>
    <row r="1601" ht="18" customHeight="1" s="17">
      <c r="A1601" s="48">
        <f>""</f>
        <v/>
      </c>
      <c r="B1601" s="48" t="n"/>
      <c r="C1601" s="48" t="n"/>
    </row>
    <row r="1602" ht="18" customHeight="1" s="17">
      <c r="A1602" s="48">
        <f>""</f>
        <v/>
      </c>
      <c r="B1602" s="48" t="n"/>
      <c r="C1602" s="48" t="n"/>
    </row>
    <row r="1603" ht="18" customHeight="1" s="17">
      <c r="A1603" s="48">
        <f>""</f>
        <v/>
      </c>
      <c r="B1603" s="48" t="n"/>
      <c r="C1603" s="48" t="n"/>
    </row>
    <row r="1604" ht="18" customHeight="1" s="17">
      <c r="A1604" s="48">
        <f>IF(Generation!$B37,"  &lt;item ident=""il_0_qst_"&amp;TEXT(Generation!$A37,"000")&amp;""" title="""&amp;Generation!$F37&amp;"""&gt;","")</f>
        <v/>
      </c>
      <c r="B1604" s="48" t="n"/>
      <c r="C1604" s="48" t="n"/>
    </row>
    <row r="1605" ht="18" customHeight="1" s="17">
      <c r="A1605" s="48">
        <f>IF(Generation!$B37,"    &lt;duration&gt;P0Y0M0DT0H1M0S&lt;/duration&gt;","")</f>
        <v/>
      </c>
      <c r="B1605" s="48" t="n"/>
      <c r="C1605" s="48" t="n"/>
    </row>
    <row r="1606" ht="18" customHeight="1" s="17">
      <c r="A1606" s="48">
        <f>IF(Generation!$B37,"    &lt;itemmetadata&gt;","")</f>
        <v/>
      </c>
      <c r="B1606" s="48" t="n"/>
      <c r="C1606" s="48" t="n"/>
    </row>
    <row r="1607" ht="18" customHeight="1" s="17">
      <c r="A1607" s="48">
        <f>IF(Generation!$B37,"      &lt;qtimetadata&gt;","")</f>
        <v/>
      </c>
      <c r="B1607" s="48" t="n"/>
      <c r="C1607" s="48" t="n"/>
    </row>
    <row r="1608" ht="18" customHeight="1" s="17">
      <c r="A1608" s="48">
        <f>IF(Generation!$B37,"        &lt;qtimetadatafield&gt;&lt;fieldlabel&gt;ILIAS_VERSION&lt;/fieldlabel&gt;&lt;fieldentry&gt;8&lt;/fieldentry&gt;&lt;/qtimetadatafield&gt;","")</f>
        <v/>
      </c>
      <c r="B1608" s="48" t="n"/>
      <c r="C1608" s="48" t="n"/>
    </row>
    <row r="1609" ht="18" customHeight="1" s="17">
      <c r="A1609" s="48">
        <f>IF(Generation!$B37,"        &lt;qtimetadatafield&gt;&lt;fieldlabel&gt;QUESTIONTYPE&lt;/fieldlabel&gt;&lt;fieldentry&gt;"&amp;Generation!$D37&amp;"&lt;/fieldentry&gt;&lt;/qtimetadatafield&gt;","")</f>
        <v/>
      </c>
      <c r="B1609" s="48" t="n"/>
      <c r="C1609" s="48" t="n"/>
    </row>
    <row r="1610" ht="18" customHeight="1" s="17">
      <c r="A1610" s="48">
        <f>IF(Generation!$B37,"        &lt;qtimetadatafield&gt;&lt;fieldlabel&gt;AUTHOR&lt;/fieldlabel&gt;&lt;fieldentry&gt;"&amp;Generation!$AR37&amp;"&lt;/fieldentry&gt;&lt;/qtimetadatafield&gt;","")</f>
        <v/>
      </c>
      <c r="B1610" s="48" t="n"/>
      <c r="C1610" s="48" t="n"/>
    </row>
    <row r="1611" ht="18" customHeight="1" s="17">
      <c r="A1611" s="48">
        <f>IF(Generation!$B37,"        &lt;qtimetadatafield&gt;&lt;fieldlabel&gt;identicalScoring&lt;/fieldlabel&gt;&lt;fieldentry&gt;1&lt;/fieldentry&gt;&lt;/qtimetadatafield&gt;","")</f>
        <v/>
      </c>
      <c r="B1611" s="48" t="n"/>
      <c r="C1611" s="48" t="n"/>
    </row>
    <row r="1612" ht="18" customHeight="1" s="17">
      <c r="A1612" s="48">
        <f>IF(Generation!$B37,"      &lt;/qtimetadata&gt;","")</f>
        <v/>
      </c>
      <c r="B1612" s="48" t="n"/>
      <c r="C1612" s="48" t="n"/>
    </row>
    <row r="1613" ht="18" customHeight="1" s="17">
      <c r="A1613" s="48">
        <f>IF(Generation!$B37,"    &lt;/itemmetadata&gt;","")</f>
        <v/>
      </c>
      <c r="B1613" s="48" t="n"/>
      <c r="C1613" s="48" t="n"/>
    </row>
    <row r="1614" ht="18" customHeight="1" s="17">
      <c r="A1614" s="48">
        <f>IF(Generation!$B37,"    &lt;presentation label="""&amp;Generation!$F37&amp;"""&gt;","")</f>
        <v/>
      </c>
      <c r="B1614" s="48" t="n"/>
      <c r="C1614" s="48" t="n"/>
    </row>
    <row r="1615" ht="18" customHeight="1" s="17">
      <c r="A1615" s="48">
        <f>IF(Generation!$B37,"      &lt;material&gt;&lt;mattext texttype=""text/html""&gt;"&amp;Generation!$G37&amp;"&lt;/mattext&gt;&lt;/material&gt;","")</f>
        <v/>
      </c>
      <c r="B1615" s="48" t="n"/>
      <c r="C1615" s="48" t="n"/>
    </row>
    <row r="1616" ht="18" customHeight="1" s="17">
      <c r="A1616" s="48">
        <f>IF(Generation!$B37,"      &lt;response_lid ident=""RESPONSE"" rcardinality="""&amp;Generation!$E37&amp;"""&gt;","")</f>
        <v/>
      </c>
      <c r="B1616" s="48" t="n"/>
      <c r="C1616" s="48" t="n"/>
    </row>
    <row r="1617" ht="18" customHeight="1" s="17">
      <c r="A1617" s="48">
        <f>IF(Generation!$B37,"        &lt;render_choice shuffle=""No""&gt;","")</f>
        <v/>
      </c>
      <c r="B1617" s="48" t="n"/>
      <c r="C1617" s="48" t="n"/>
    </row>
    <row r="1618" ht="18" customHeight="1" s="17">
      <c r="A1618" s="48">
        <f>IF(Generation!AB37="","",Generation!AB37)</f>
        <v/>
      </c>
      <c r="B1618" s="48" t="n"/>
      <c r="C1618" s="48" t="n"/>
    </row>
    <row r="1619" ht="18" customHeight="1" s="17">
      <c r="A1619" s="48">
        <f>IF(Generation!AC37="","",Generation!AC37)</f>
        <v/>
      </c>
      <c r="B1619" s="48" t="n"/>
      <c r="C1619" s="48" t="n"/>
    </row>
    <row r="1620" ht="18" customHeight="1" s="17">
      <c r="A1620" s="48">
        <f>IF(Generation!AD37="","",Generation!AD37)</f>
        <v/>
      </c>
      <c r="B1620" s="48" t="n"/>
      <c r="C1620" s="48" t="n"/>
    </row>
    <row r="1621" ht="18" customHeight="1" s="17">
      <c r="A1621" s="48">
        <f>IF(Generation!AE37="","",Generation!AE37)</f>
        <v/>
      </c>
      <c r="B1621" s="48" t="n"/>
      <c r="C1621" s="48" t="n"/>
    </row>
    <row r="1622" ht="18" customHeight="1" s="17">
      <c r="A1622" s="48">
        <f>IF(Generation!AF37="","",Generation!AF37)</f>
        <v/>
      </c>
      <c r="B1622" s="48" t="n"/>
      <c r="C1622" s="48" t="n"/>
    </row>
    <row r="1623" ht="18" customHeight="1" s="17">
      <c r="A1623" s="48">
        <f>IF(Generation!AG37="","",Generation!AG37)</f>
        <v/>
      </c>
      <c r="B1623" s="48" t="n"/>
      <c r="C1623" s="48" t="n"/>
    </row>
    <row r="1624" ht="18" customHeight="1" s="17">
      <c r="A1624" s="48">
        <f>IF(Generation!AH37="","",Generation!AH37)</f>
        <v/>
      </c>
      <c r="B1624" s="48" t="n"/>
      <c r="C1624" s="48" t="n"/>
    </row>
    <row r="1625" ht="18" customHeight="1" s="17">
      <c r="A1625" s="48">
        <f>IF(Generation!AI37="","",Generation!AI37)</f>
        <v/>
      </c>
      <c r="B1625" s="48" t="n"/>
      <c r="C1625" s="48" t="n"/>
    </row>
    <row r="1626" ht="18" customHeight="1" s="17">
      <c r="A1626" s="48">
        <f>IF(Generation!$B37,"        &lt;/render_choice&gt;","")</f>
        <v/>
      </c>
      <c r="B1626" s="48" t="n"/>
      <c r="C1626" s="48" t="n"/>
    </row>
    <row r="1627" ht="18" customHeight="1" s="17">
      <c r="A1627" s="48">
        <f>IF(Generation!$B37,"      &lt;/response_lid&gt;","")</f>
        <v/>
      </c>
      <c r="B1627" s="48" t="n"/>
      <c r="C1627" s="48" t="n"/>
    </row>
    <row r="1628" ht="18" customHeight="1" s="17">
      <c r="A1628" s="48">
        <f>IF(Generation!$B37,"    &lt;/presentation&gt;","")</f>
        <v/>
      </c>
      <c r="B1628" s="48" t="n"/>
      <c r="C1628" s="48" t="n"/>
    </row>
    <row r="1629" ht="18" customHeight="1" s="17">
      <c r="A1629" s="48">
        <f>IF(Generation!$B37,"    &lt;resprocessing&gt;","")</f>
        <v/>
      </c>
      <c r="B1629" s="48" t="n"/>
      <c r="C1629" s="48" t="n"/>
    </row>
    <row r="1630" ht="18" customHeight="1" s="17">
      <c r="A1630" s="48">
        <f>IF(Generation!$B37,"      &lt;outcomes&gt;&lt;decvar varname=""SCORE"" vartype=""Decimal"" minvalue=""0"" maxvalue="""&amp;Generation!$H37&amp;"""/&gt;&lt;/outcomes&gt;","")</f>
        <v/>
      </c>
      <c r="B1630" s="48" t="n"/>
      <c r="C1630" s="48" t="n"/>
    </row>
    <row r="1631" ht="18" customHeight="1" s="17">
      <c r="A1631" s="48">
        <f>IF(Generation!AJ37="","",Generation!AJ37)</f>
        <v/>
      </c>
      <c r="B1631" s="48" t="n"/>
      <c r="C1631" s="48" t="n"/>
    </row>
    <row r="1632" ht="18" customHeight="1" s="17">
      <c r="A1632" s="48">
        <f>IF(Generation!AK37="","",Generation!AK37)</f>
        <v/>
      </c>
      <c r="B1632" s="48" t="n"/>
      <c r="C1632" s="48" t="n"/>
    </row>
    <row r="1633" ht="18" customHeight="1" s="17">
      <c r="A1633" s="48">
        <f>IF(Generation!AL37="","",Generation!AL37)</f>
        <v/>
      </c>
      <c r="B1633" s="48" t="n"/>
      <c r="C1633" s="48" t="n"/>
    </row>
    <row r="1634" ht="18" customHeight="1" s="17">
      <c r="A1634" s="48">
        <f>IF(Generation!AM37="","",Generation!AM37)</f>
        <v/>
      </c>
      <c r="B1634" s="48" t="n"/>
      <c r="C1634" s="48" t="n"/>
    </row>
    <row r="1635" ht="18" customHeight="1" s="17">
      <c r="A1635" s="48">
        <f>IF(Generation!AN37="","",Generation!AN37)</f>
        <v/>
      </c>
      <c r="B1635" s="48" t="n"/>
      <c r="C1635" s="48" t="n"/>
    </row>
    <row r="1636" ht="18" customHeight="1" s="17">
      <c r="A1636" s="48">
        <f>IF(Generation!AO37="","",Generation!AO37)</f>
        <v/>
      </c>
      <c r="B1636" s="48" t="n"/>
      <c r="C1636" s="48" t="n"/>
    </row>
    <row r="1637" ht="18" customHeight="1" s="17">
      <c r="A1637" s="48">
        <f>IF(Generation!AP37="","",Generation!AP37)</f>
        <v/>
      </c>
      <c r="B1637" s="48" t="n"/>
      <c r="C1637" s="48" t="n"/>
    </row>
    <row r="1638" ht="18" customHeight="1" s="17">
      <c r="A1638" s="48">
        <f>IF(Generation!AQ37="","",Generation!AQ37)</f>
        <v/>
      </c>
      <c r="B1638" s="48" t="n"/>
      <c r="C1638" s="48" t="n"/>
    </row>
    <row r="1639" ht="18" customHeight="1" s="17">
      <c r="A1639" s="48">
        <f>IF(Generation!$B37,"    &lt;/resprocessing&gt;","")</f>
        <v/>
      </c>
      <c r="B1639" s="48" t="n"/>
      <c r="C1639" s="48" t="n"/>
    </row>
    <row r="1640" ht="18" customHeight="1" s="17">
      <c r="A1640" s="48">
        <f>IF(Generation!BB37="","",Generation!BB37)</f>
        <v/>
      </c>
      <c r="B1640" s="48" t="n"/>
      <c r="C1640" s="48" t="n"/>
    </row>
    <row r="1641" ht="18" customHeight="1" s="17">
      <c r="A1641" s="48">
        <f>IF(Generation!BC37="","",Generation!BC37)</f>
        <v/>
      </c>
      <c r="B1641" s="48" t="n"/>
      <c r="C1641" s="48" t="n"/>
    </row>
    <row r="1642" ht="18" customHeight="1" s="17">
      <c r="A1642" s="48">
        <f>IF(Generation!BD37="","",Generation!BD37)</f>
        <v/>
      </c>
      <c r="B1642" s="48" t="n"/>
      <c r="C1642" s="48" t="n"/>
    </row>
    <row r="1643" ht="18" customHeight="1" s="17">
      <c r="A1643" s="48">
        <f>IF(Generation!BE37="","",Generation!BE37)</f>
        <v/>
      </c>
      <c r="B1643" s="48" t="n"/>
      <c r="C1643" s="48" t="n"/>
    </row>
    <row r="1644" ht="18" customHeight="1" s="17">
      <c r="A1644" s="48">
        <f>IF(Generation!BF37="","",Generation!BF37)</f>
        <v/>
      </c>
      <c r="B1644" s="48" t="n"/>
      <c r="C1644" s="48" t="n"/>
    </row>
    <row r="1645" ht="18" customHeight="1" s="17">
      <c r="A1645" s="48">
        <f>IF(Generation!BG37="","",Generation!BG37)</f>
        <v/>
      </c>
      <c r="B1645" s="48" t="n"/>
      <c r="C1645" s="48" t="n"/>
    </row>
    <row r="1646" ht="18" customHeight="1" s="17">
      <c r="A1646" s="48">
        <f>IF(Generation!BH37="","",Generation!BH37)</f>
        <v/>
      </c>
      <c r="B1646" s="48" t="n"/>
      <c r="C1646" s="48" t="n"/>
    </row>
    <row r="1647" ht="18" customHeight="1" s="17">
      <c r="A1647" s="48">
        <f>IF(Generation!BI37="","",Generation!BI37)</f>
        <v/>
      </c>
      <c r="B1647" s="48" t="n"/>
      <c r="C1647" s="48" t="n"/>
    </row>
    <row r="1648" ht="18" customHeight="1" s="17">
      <c r="A1648" s="48">
        <f>IF(Generation!BJ37="","",Generation!BJ37)</f>
        <v/>
      </c>
      <c r="B1648" s="48" t="n"/>
      <c r="C1648" s="48" t="n"/>
    </row>
    <row r="1649" ht="18" customHeight="1" s="17">
      <c r="A1649" s="48">
        <f>IF(Generation!$B37,"  &lt;/item&gt;","")</f>
        <v/>
      </c>
      <c r="B1649" s="48" t="n"/>
      <c r="C1649" s="48" t="n"/>
    </row>
    <row r="1650" ht="18" customHeight="1" s="17">
      <c r="A1650" s="48">
        <f>""</f>
        <v/>
      </c>
      <c r="B1650" s="48" t="n"/>
      <c r="C1650" s="48" t="n"/>
    </row>
    <row r="1651" ht="18" customHeight="1" s="17">
      <c r="A1651" s="48">
        <f>""</f>
        <v/>
      </c>
      <c r="B1651" s="48" t="n"/>
      <c r="C1651" s="48" t="n"/>
    </row>
    <row r="1652" ht="18" customHeight="1" s="17">
      <c r="A1652" s="48">
        <f>""</f>
        <v/>
      </c>
      <c r="B1652" s="48" t="n"/>
      <c r="C1652" s="48" t="n"/>
    </row>
    <row r="1653" ht="18" customHeight="1" s="17">
      <c r="A1653" s="48">
        <f>""</f>
        <v/>
      </c>
      <c r="B1653" s="48" t="n"/>
      <c r="C1653" s="48" t="n"/>
    </row>
    <row r="1654" ht="18" customHeight="1" s="17">
      <c r="A1654" s="48">
        <f>IF(Generation!$B38,"  &lt;item ident=""il_0_qst_"&amp;TEXT(Generation!$A38,"000")&amp;""" title="""&amp;Generation!$F38&amp;"""&gt;","")</f>
        <v/>
      </c>
      <c r="B1654" s="48" t="n"/>
      <c r="C1654" s="48" t="n"/>
    </row>
    <row r="1655" ht="18" customHeight="1" s="17">
      <c r="A1655" s="48">
        <f>IF(Generation!$B38,"    &lt;duration&gt;P0Y0M0DT0H1M0S&lt;/duration&gt;","")</f>
        <v/>
      </c>
      <c r="B1655" s="48" t="n"/>
      <c r="C1655" s="48" t="n"/>
    </row>
    <row r="1656" ht="18" customHeight="1" s="17">
      <c r="A1656" s="48">
        <f>IF(Generation!$B38,"    &lt;itemmetadata&gt;","")</f>
        <v/>
      </c>
      <c r="B1656" s="48" t="n"/>
      <c r="C1656" s="48" t="n"/>
    </row>
    <row r="1657" ht="18" customHeight="1" s="17">
      <c r="A1657" s="48">
        <f>IF(Generation!$B38,"      &lt;qtimetadata&gt;","")</f>
        <v/>
      </c>
      <c r="B1657" s="48" t="n"/>
      <c r="C1657" s="48" t="n"/>
    </row>
    <row r="1658" ht="18" customHeight="1" s="17">
      <c r="A1658" s="48">
        <f>IF(Generation!$B38,"        &lt;qtimetadatafield&gt;&lt;fieldlabel&gt;ILIAS_VERSION&lt;/fieldlabel&gt;&lt;fieldentry&gt;8&lt;/fieldentry&gt;&lt;/qtimetadatafield&gt;","")</f>
        <v/>
      </c>
      <c r="B1658" s="48" t="n"/>
      <c r="C1658" s="48" t="n"/>
    </row>
    <row r="1659" ht="18" customHeight="1" s="17">
      <c r="A1659" s="48">
        <f>IF(Generation!$B38,"        &lt;qtimetadatafield&gt;&lt;fieldlabel&gt;QUESTIONTYPE&lt;/fieldlabel&gt;&lt;fieldentry&gt;"&amp;Generation!$D38&amp;"&lt;/fieldentry&gt;&lt;/qtimetadatafield&gt;","")</f>
        <v/>
      </c>
      <c r="B1659" s="48" t="n"/>
      <c r="C1659" s="48" t="n"/>
    </row>
    <row r="1660" ht="18" customHeight="1" s="17">
      <c r="A1660" s="48">
        <f>IF(Generation!$B38,"        &lt;qtimetadatafield&gt;&lt;fieldlabel&gt;AUTHOR&lt;/fieldlabel&gt;&lt;fieldentry&gt;"&amp;Generation!$AR38&amp;"&lt;/fieldentry&gt;&lt;/qtimetadatafield&gt;","")</f>
        <v/>
      </c>
      <c r="B1660" s="48" t="n"/>
      <c r="C1660" s="48" t="n"/>
    </row>
    <row r="1661" ht="18" customHeight="1" s="17">
      <c r="A1661" s="48">
        <f>IF(Generation!$B38,"        &lt;qtimetadatafield&gt;&lt;fieldlabel&gt;identicalScoring&lt;/fieldlabel&gt;&lt;fieldentry&gt;1&lt;/fieldentry&gt;&lt;/qtimetadatafield&gt;","")</f>
        <v/>
      </c>
      <c r="B1661" s="48" t="n"/>
      <c r="C1661" s="48" t="n"/>
    </row>
    <row r="1662" ht="18" customHeight="1" s="17">
      <c r="A1662" s="48">
        <f>IF(Generation!$B38,"      &lt;/qtimetadata&gt;","")</f>
        <v/>
      </c>
      <c r="B1662" s="48" t="n"/>
      <c r="C1662" s="48" t="n"/>
    </row>
    <row r="1663" ht="18" customHeight="1" s="17">
      <c r="A1663" s="48">
        <f>IF(Generation!$B38,"    &lt;/itemmetadata&gt;","")</f>
        <v/>
      </c>
      <c r="B1663" s="48" t="n"/>
      <c r="C1663" s="48" t="n"/>
    </row>
    <row r="1664" ht="18" customHeight="1" s="17">
      <c r="A1664" s="48">
        <f>IF(Generation!$B38,"    &lt;presentation label="""&amp;Generation!$F38&amp;"""&gt;","")</f>
        <v/>
      </c>
      <c r="B1664" s="48" t="n"/>
      <c r="C1664" s="48" t="n"/>
    </row>
    <row r="1665" ht="18" customHeight="1" s="17">
      <c r="A1665" s="48">
        <f>IF(Generation!$B38,"      &lt;material&gt;&lt;mattext texttype=""text/html""&gt;"&amp;Generation!$G38&amp;"&lt;/mattext&gt;&lt;/material&gt;","")</f>
        <v/>
      </c>
      <c r="B1665" s="48" t="n"/>
      <c r="C1665" s="48" t="n"/>
    </row>
    <row r="1666" ht="18" customHeight="1" s="17">
      <c r="A1666" s="48">
        <f>IF(Generation!$B38,"      &lt;response_lid ident=""RESPONSE"" rcardinality="""&amp;Generation!$E38&amp;"""&gt;","")</f>
        <v/>
      </c>
      <c r="B1666" s="48" t="n"/>
      <c r="C1666" s="48" t="n"/>
    </row>
    <row r="1667" ht="18" customHeight="1" s="17">
      <c r="A1667" s="48">
        <f>IF(Generation!$B38,"        &lt;render_choice shuffle=""No""&gt;","")</f>
        <v/>
      </c>
      <c r="B1667" s="48" t="n"/>
      <c r="C1667" s="48" t="n"/>
    </row>
    <row r="1668" ht="18" customHeight="1" s="17">
      <c r="A1668" s="48">
        <f>IF(Generation!AB38="","",Generation!AB38)</f>
        <v/>
      </c>
      <c r="B1668" s="48" t="n"/>
      <c r="C1668" s="48" t="n"/>
    </row>
    <row r="1669" ht="18" customHeight="1" s="17">
      <c r="A1669" s="48">
        <f>IF(Generation!AC38="","",Generation!AC38)</f>
        <v/>
      </c>
      <c r="B1669" s="48" t="n"/>
      <c r="C1669" s="48" t="n"/>
    </row>
    <row r="1670" ht="18" customHeight="1" s="17">
      <c r="A1670" s="48">
        <f>IF(Generation!AD38="","",Generation!AD38)</f>
        <v/>
      </c>
      <c r="B1670" s="48" t="n"/>
      <c r="C1670" s="48" t="n"/>
    </row>
    <row r="1671" ht="18" customHeight="1" s="17">
      <c r="A1671" s="48">
        <f>IF(Generation!AE38="","",Generation!AE38)</f>
        <v/>
      </c>
      <c r="B1671" s="48" t="n"/>
      <c r="C1671" s="48" t="n"/>
    </row>
    <row r="1672" ht="18" customHeight="1" s="17">
      <c r="A1672" s="48">
        <f>IF(Generation!AF38="","",Generation!AF38)</f>
        <v/>
      </c>
      <c r="B1672" s="48" t="n"/>
      <c r="C1672" s="48" t="n"/>
    </row>
    <row r="1673" ht="18" customHeight="1" s="17">
      <c r="A1673" s="48">
        <f>IF(Generation!AG38="","",Generation!AG38)</f>
        <v/>
      </c>
      <c r="B1673" s="48" t="n"/>
      <c r="C1673" s="48" t="n"/>
    </row>
    <row r="1674" ht="18" customHeight="1" s="17">
      <c r="A1674" s="48">
        <f>IF(Generation!AH38="","",Generation!AH38)</f>
        <v/>
      </c>
      <c r="B1674" s="48" t="n"/>
      <c r="C1674" s="48" t="n"/>
    </row>
    <row r="1675" ht="18" customHeight="1" s="17">
      <c r="A1675" s="48">
        <f>IF(Generation!AI38="","",Generation!AI38)</f>
        <v/>
      </c>
      <c r="B1675" s="48" t="n"/>
      <c r="C1675" s="48" t="n"/>
    </row>
    <row r="1676" ht="18" customHeight="1" s="17">
      <c r="A1676" s="48">
        <f>IF(Generation!$B38,"        &lt;/render_choice&gt;","")</f>
        <v/>
      </c>
      <c r="B1676" s="48" t="n"/>
      <c r="C1676" s="48" t="n"/>
    </row>
    <row r="1677" ht="18" customHeight="1" s="17">
      <c r="A1677" s="48">
        <f>IF(Generation!$B38,"      &lt;/response_lid&gt;","")</f>
        <v/>
      </c>
      <c r="B1677" s="48" t="n"/>
      <c r="C1677" s="48" t="n"/>
    </row>
    <row r="1678" ht="18" customHeight="1" s="17">
      <c r="A1678" s="48">
        <f>IF(Generation!$B38,"    &lt;/presentation&gt;","")</f>
        <v/>
      </c>
      <c r="B1678" s="48" t="n"/>
      <c r="C1678" s="48" t="n"/>
    </row>
    <row r="1679" ht="18" customHeight="1" s="17">
      <c r="A1679" s="48">
        <f>IF(Generation!$B38,"    &lt;resprocessing&gt;","")</f>
        <v/>
      </c>
      <c r="B1679" s="48" t="n"/>
      <c r="C1679" s="48" t="n"/>
    </row>
    <row r="1680" ht="18" customHeight="1" s="17">
      <c r="A1680" s="48">
        <f>IF(Generation!$B38,"      &lt;outcomes&gt;&lt;decvar varname=""SCORE"" vartype=""Decimal"" minvalue=""0"" maxvalue="""&amp;Generation!$H38&amp;"""/&gt;&lt;/outcomes&gt;","")</f>
        <v/>
      </c>
      <c r="B1680" s="48" t="n"/>
      <c r="C1680" s="48" t="n"/>
    </row>
    <row r="1681" ht="18" customHeight="1" s="17">
      <c r="A1681" s="48">
        <f>IF(Generation!AJ38="","",Generation!AJ38)</f>
        <v/>
      </c>
      <c r="B1681" s="48" t="n"/>
      <c r="C1681" s="48" t="n"/>
    </row>
    <row r="1682" ht="18" customHeight="1" s="17">
      <c r="A1682" s="48">
        <f>IF(Generation!AK38="","",Generation!AK38)</f>
        <v/>
      </c>
      <c r="B1682" s="48" t="n"/>
      <c r="C1682" s="48" t="n"/>
    </row>
    <row r="1683" ht="18" customHeight="1" s="17">
      <c r="A1683" s="48">
        <f>IF(Generation!AL38="","",Generation!AL38)</f>
        <v/>
      </c>
      <c r="B1683" s="48" t="n"/>
      <c r="C1683" s="48" t="n"/>
    </row>
    <row r="1684" ht="18" customHeight="1" s="17">
      <c r="A1684" s="48">
        <f>IF(Generation!AM38="","",Generation!AM38)</f>
        <v/>
      </c>
      <c r="B1684" s="48" t="n"/>
      <c r="C1684" s="48" t="n"/>
    </row>
    <row r="1685" ht="18" customHeight="1" s="17">
      <c r="A1685" s="48">
        <f>IF(Generation!AN38="","",Generation!AN38)</f>
        <v/>
      </c>
      <c r="B1685" s="48" t="n"/>
      <c r="C1685" s="48" t="n"/>
    </row>
    <row r="1686" ht="18" customHeight="1" s="17">
      <c r="A1686" s="48">
        <f>IF(Generation!AO38="","",Generation!AO38)</f>
        <v/>
      </c>
      <c r="B1686" s="48" t="n"/>
      <c r="C1686" s="48" t="n"/>
    </row>
    <row r="1687" ht="18" customHeight="1" s="17">
      <c r="A1687" s="48">
        <f>IF(Generation!AP38="","",Generation!AP38)</f>
        <v/>
      </c>
      <c r="B1687" s="48" t="n"/>
      <c r="C1687" s="48" t="n"/>
    </row>
    <row r="1688" ht="18" customHeight="1" s="17">
      <c r="A1688" s="48">
        <f>IF(Generation!AQ38="","",Generation!AQ38)</f>
        <v/>
      </c>
      <c r="B1688" s="48" t="n"/>
      <c r="C1688" s="48" t="n"/>
    </row>
    <row r="1689" ht="18" customHeight="1" s="17">
      <c r="A1689" s="48">
        <f>IF(Generation!$B38,"    &lt;/resprocessing&gt;","")</f>
        <v/>
      </c>
      <c r="B1689" s="48" t="n"/>
      <c r="C1689" s="48" t="n"/>
    </row>
    <row r="1690" ht="18" customHeight="1" s="17">
      <c r="A1690" s="48">
        <f>IF(Generation!BB38="","",Generation!BB38)</f>
        <v/>
      </c>
      <c r="B1690" s="48" t="n"/>
      <c r="C1690" s="48" t="n"/>
    </row>
    <row r="1691" ht="18" customHeight="1" s="17">
      <c r="A1691" s="48">
        <f>IF(Generation!BC38="","",Generation!BC38)</f>
        <v/>
      </c>
      <c r="B1691" s="48" t="n"/>
      <c r="C1691" s="48" t="n"/>
    </row>
    <row r="1692" ht="18" customHeight="1" s="17">
      <c r="A1692" s="48">
        <f>IF(Generation!BD38="","",Generation!BD38)</f>
        <v/>
      </c>
      <c r="B1692" s="48" t="n"/>
      <c r="C1692" s="48" t="n"/>
    </row>
    <row r="1693" ht="18" customHeight="1" s="17">
      <c r="A1693" s="48">
        <f>IF(Generation!BE38="","",Generation!BE38)</f>
        <v/>
      </c>
      <c r="B1693" s="48" t="n"/>
      <c r="C1693" s="48" t="n"/>
    </row>
    <row r="1694" ht="18" customHeight="1" s="17">
      <c r="A1694" s="48">
        <f>IF(Generation!BF38="","",Generation!BF38)</f>
        <v/>
      </c>
      <c r="B1694" s="48" t="n"/>
      <c r="C1694" s="48" t="n"/>
    </row>
    <row r="1695" ht="18" customHeight="1" s="17">
      <c r="A1695" s="48">
        <f>IF(Generation!BG38="","",Generation!BG38)</f>
        <v/>
      </c>
      <c r="B1695" s="48" t="n"/>
      <c r="C1695" s="48" t="n"/>
    </row>
    <row r="1696" ht="18" customHeight="1" s="17">
      <c r="A1696" s="48">
        <f>IF(Generation!BH38="","",Generation!BH38)</f>
        <v/>
      </c>
      <c r="B1696" s="48" t="n"/>
      <c r="C1696" s="48" t="n"/>
    </row>
    <row r="1697" ht="18" customHeight="1" s="17">
      <c r="A1697" s="48">
        <f>IF(Generation!BI38="","",Generation!BI38)</f>
        <v/>
      </c>
      <c r="B1697" s="48" t="n"/>
      <c r="C1697" s="48" t="n"/>
    </row>
    <row r="1698" ht="18" customHeight="1" s="17">
      <c r="A1698" s="48">
        <f>IF(Generation!BJ38="","",Generation!BJ38)</f>
        <v/>
      </c>
      <c r="B1698" s="48" t="n"/>
      <c r="C1698" s="48" t="n"/>
    </row>
    <row r="1699" ht="18" customHeight="1" s="17">
      <c r="A1699" s="48">
        <f>IF(Generation!$B38,"  &lt;/item&gt;","")</f>
        <v/>
      </c>
      <c r="B1699" s="48" t="n"/>
      <c r="C1699" s="48" t="n"/>
    </row>
    <row r="1700" ht="18" customHeight="1" s="17">
      <c r="A1700" s="48">
        <f>""</f>
        <v/>
      </c>
      <c r="B1700" s="48" t="n"/>
      <c r="C1700" s="48" t="n"/>
    </row>
    <row r="1701" ht="18" customHeight="1" s="17">
      <c r="A1701" s="48">
        <f>""</f>
        <v/>
      </c>
      <c r="B1701" s="48" t="n"/>
      <c r="C1701" s="48" t="n"/>
    </row>
    <row r="1702" ht="18" customHeight="1" s="17">
      <c r="A1702" s="48">
        <f>""</f>
        <v/>
      </c>
      <c r="B1702" s="48" t="n"/>
      <c r="C1702" s="48" t="n"/>
    </row>
    <row r="1703" ht="18" customHeight="1" s="17">
      <c r="A1703" s="48">
        <f>""</f>
        <v/>
      </c>
      <c r="B1703" s="48" t="n"/>
      <c r="C1703" s="48" t="n"/>
    </row>
    <row r="1704" ht="18" customHeight="1" s="17">
      <c r="A1704" s="48">
        <f>IF(Generation!$B39,"  &lt;item ident=""il_0_qst_"&amp;TEXT(Generation!$A39,"000")&amp;""" title="""&amp;Generation!$F39&amp;"""&gt;","")</f>
        <v/>
      </c>
      <c r="B1704" s="48" t="n"/>
      <c r="C1704" s="48" t="n"/>
    </row>
    <row r="1705" ht="18" customHeight="1" s="17">
      <c r="A1705" s="48">
        <f>IF(Generation!$B39,"    &lt;duration&gt;P0Y0M0DT0H1M0S&lt;/duration&gt;","")</f>
        <v/>
      </c>
      <c r="B1705" s="48" t="n"/>
      <c r="C1705" s="48" t="n"/>
    </row>
    <row r="1706" ht="18" customHeight="1" s="17">
      <c r="A1706" s="48">
        <f>IF(Generation!$B39,"    &lt;itemmetadata&gt;","")</f>
        <v/>
      </c>
      <c r="B1706" s="48" t="n"/>
      <c r="C1706" s="48" t="n"/>
    </row>
    <row r="1707" ht="18" customHeight="1" s="17">
      <c r="A1707" s="48">
        <f>IF(Generation!$B39,"      &lt;qtimetadata&gt;","")</f>
        <v/>
      </c>
      <c r="B1707" s="48" t="n"/>
      <c r="C1707" s="48" t="n"/>
    </row>
    <row r="1708" ht="18" customHeight="1" s="17">
      <c r="A1708" s="48">
        <f>IF(Generation!$B39,"        &lt;qtimetadatafield&gt;&lt;fieldlabel&gt;ILIAS_VERSION&lt;/fieldlabel&gt;&lt;fieldentry&gt;8&lt;/fieldentry&gt;&lt;/qtimetadatafield&gt;","")</f>
        <v/>
      </c>
      <c r="B1708" s="48" t="n"/>
      <c r="C1708" s="48" t="n"/>
    </row>
    <row r="1709" ht="18" customHeight="1" s="17">
      <c r="A1709" s="48">
        <f>IF(Generation!$B39,"        &lt;qtimetadatafield&gt;&lt;fieldlabel&gt;QUESTIONTYPE&lt;/fieldlabel&gt;&lt;fieldentry&gt;"&amp;Generation!$D39&amp;"&lt;/fieldentry&gt;&lt;/qtimetadatafield&gt;","")</f>
        <v/>
      </c>
      <c r="B1709" s="48" t="n"/>
      <c r="C1709" s="48" t="n"/>
    </row>
    <row r="1710" ht="18" customHeight="1" s="17">
      <c r="A1710" s="48">
        <f>IF(Generation!$B39,"        &lt;qtimetadatafield&gt;&lt;fieldlabel&gt;AUTHOR&lt;/fieldlabel&gt;&lt;fieldentry&gt;"&amp;Generation!$AR39&amp;"&lt;/fieldentry&gt;&lt;/qtimetadatafield&gt;","")</f>
        <v/>
      </c>
      <c r="B1710" s="48" t="n"/>
      <c r="C1710" s="48" t="n"/>
    </row>
    <row r="1711" ht="18" customHeight="1" s="17">
      <c r="A1711" s="48">
        <f>IF(Generation!$B39,"        &lt;qtimetadatafield&gt;&lt;fieldlabel&gt;identicalScoring&lt;/fieldlabel&gt;&lt;fieldentry&gt;1&lt;/fieldentry&gt;&lt;/qtimetadatafield&gt;","")</f>
        <v/>
      </c>
      <c r="B1711" s="48" t="n"/>
      <c r="C1711" s="48" t="n"/>
    </row>
    <row r="1712" ht="18" customHeight="1" s="17">
      <c r="A1712" s="48">
        <f>IF(Generation!$B39,"      &lt;/qtimetadata&gt;","")</f>
        <v/>
      </c>
      <c r="B1712" s="48" t="n"/>
      <c r="C1712" s="48" t="n"/>
    </row>
    <row r="1713" ht="18" customHeight="1" s="17">
      <c r="A1713" s="48">
        <f>IF(Generation!$B39,"    &lt;/itemmetadata&gt;","")</f>
        <v/>
      </c>
      <c r="B1713" s="48" t="n"/>
      <c r="C1713" s="48" t="n"/>
    </row>
    <row r="1714" ht="18" customHeight="1" s="17">
      <c r="A1714" s="48">
        <f>IF(Generation!$B39,"    &lt;presentation label="""&amp;Generation!$F39&amp;"""&gt;","")</f>
        <v/>
      </c>
      <c r="B1714" s="48" t="n"/>
      <c r="C1714" s="48" t="n"/>
    </row>
    <row r="1715" ht="18" customHeight="1" s="17">
      <c r="A1715" s="48">
        <f>IF(Generation!$B39,"      &lt;material&gt;&lt;mattext texttype=""text/html""&gt;"&amp;Generation!$G39&amp;"&lt;/mattext&gt;&lt;/material&gt;","")</f>
        <v/>
      </c>
      <c r="B1715" s="48" t="n"/>
      <c r="C1715" s="48" t="n"/>
    </row>
    <row r="1716" ht="18" customHeight="1" s="17">
      <c r="A1716" s="48">
        <f>IF(Generation!$B39,"      &lt;response_lid ident=""RESPONSE"" rcardinality="""&amp;Generation!$E39&amp;"""&gt;","")</f>
        <v/>
      </c>
      <c r="B1716" s="48" t="n"/>
      <c r="C1716" s="48" t="n"/>
    </row>
    <row r="1717" ht="18" customHeight="1" s="17">
      <c r="A1717" s="48">
        <f>IF(Generation!$B39,"        &lt;render_choice shuffle=""No""&gt;","")</f>
        <v/>
      </c>
      <c r="B1717" s="48" t="n"/>
      <c r="C1717" s="48" t="n"/>
    </row>
    <row r="1718" ht="18" customHeight="1" s="17">
      <c r="A1718" s="48">
        <f>IF(Generation!AB39="","",Generation!AB39)</f>
        <v/>
      </c>
      <c r="B1718" s="48" t="n"/>
      <c r="C1718" s="48" t="n"/>
    </row>
    <row r="1719" ht="18" customHeight="1" s="17">
      <c r="A1719" s="48">
        <f>IF(Generation!AC39="","",Generation!AC39)</f>
        <v/>
      </c>
      <c r="B1719" s="48" t="n"/>
      <c r="C1719" s="48" t="n"/>
    </row>
    <row r="1720" ht="18" customHeight="1" s="17">
      <c r="A1720" s="48">
        <f>IF(Generation!AD39="","",Generation!AD39)</f>
        <v/>
      </c>
      <c r="B1720" s="48" t="n"/>
      <c r="C1720" s="48" t="n"/>
    </row>
    <row r="1721" ht="18" customHeight="1" s="17">
      <c r="A1721" s="48">
        <f>IF(Generation!AE39="","",Generation!AE39)</f>
        <v/>
      </c>
      <c r="B1721" s="48" t="n"/>
      <c r="C1721" s="48" t="n"/>
    </row>
    <row r="1722" ht="18" customHeight="1" s="17">
      <c r="A1722" s="48">
        <f>IF(Generation!AF39="","",Generation!AF39)</f>
        <v/>
      </c>
      <c r="B1722" s="48" t="n"/>
      <c r="C1722" s="48" t="n"/>
    </row>
    <row r="1723" ht="18" customHeight="1" s="17">
      <c r="A1723" s="48">
        <f>IF(Generation!AG39="","",Generation!AG39)</f>
        <v/>
      </c>
      <c r="B1723" s="48" t="n"/>
      <c r="C1723" s="48" t="n"/>
    </row>
    <row r="1724" ht="18" customHeight="1" s="17">
      <c r="A1724" s="48">
        <f>IF(Generation!AH39="","",Generation!AH39)</f>
        <v/>
      </c>
      <c r="B1724" s="48" t="n"/>
      <c r="C1724" s="48" t="n"/>
    </row>
    <row r="1725" ht="18" customHeight="1" s="17">
      <c r="A1725" s="48">
        <f>IF(Generation!AI39="","",Generation!AI39)</f>
        <v/>
      </c>
      <c r="B1725" s="48" t="n"/>
      <c r="C1725" s="48" t="n"/>
    </row>
    <row r="1726" ht="18" customHeight="1" s="17">
      <c r="A1726" s="48">
        <f>IF(Generation!$B39,"        &lt;/render_choice&gt;","")</f>
        <v/>
      </c>
      <c r="B1726" s="48" t="n"/>
      <c r="C1726" s="48" t="n"/>
    </row>
    <row r="1727" ht="18" customHeight="1" s="17">
      <c r="A1727" s="48">
        <f>IF(Generation!$B39,"      &lt;/response_lid&gt;","")</f>
        <v/>
      </c>
      <c r="B1727" s="48" t="n"/>
      <c r="C1727" s="48" t="n"/>
    </row>
    <row r="1728" ht="18" customHeight="1" s="17">
      <c r="A1728" s="48">
        <f>IF(Generation!$B39,"    &lt;/presentation&gt;","")</f>
        <v/>
      </c>
      <c r="B1728" s="48" t="n"/>
      <c r="C1728" s="48" t="n"/>
    </row>
    <row r="1729" ht="18" customHeight="1" s="17">
      <c r="A1729" s="48">
        <f>IF(Generation!$B39,"    &lt;resprocessing&gt;","")</f>
        <v/>
      </c>
      <c r="B1729" s="48" t="n"/>
      <c r="C1729" s="48" t="n"/>
    </row>
    <row r="1730" ht="18" customHeight="1" s="17">
      <c r="A1730" s="48">
        <f>IF(Generation!$B39,"      &lt;outcomes&gt;&lt;decvar varname=""SCORE"" vartype=""Decimal"" minvalue=""0"" maxvalue="""&amp;Generation!$H39&amp;"""/&gt;&lt;/outcomes&gt;","")</f>
        <v/>
      </c>
      <c r="B1730" s="48" t="n"/>
      <c r="C1730" s="48" t="n"/>
    </row>
    <row r="1731" ht="18" customHeight="1" s="17">
      <c r="A1731" s="48">
        <f>IF(Generation!AJ39="","",Generation!AJ39)</f>
        <v/>
      </c>
      <c r="B1731" s="48" t="n"/>
      <c r="C1731" s="48" t="n"/>
    </row>
    <row r="1732" ht="18" customHeight="1" s="17">
      <c r="A1732" s="48">
        <f>IF(Generation!AK39="","",Generation!AK39)</f>
        <v/>
      </c>
      <c r="B1732" s="48" t="n"/>
      <c r="C1732" s="48" t="n"/>
    </row>
    <row r="1733" ht="18" customHeight="1" s="17">
      <c r="A1733" s="48">
        <f>IF(Generation!AL39="","",Generation!AL39)</f>
        <v/>
      </c>
      <c r="B1733" s="48" t="n"/>
      <c r="C1733" s="48" t="n"/>
    </row>
    <row r="1734" ht="18" customHeight="1" s="17">
      <c r="A1734" s="48">
        <f>IF(Generation!AM39="","",Generation!AM39)</f>
        <v/>
      </c>
      <c r="B1734" s="48" t="n"/>
      <c r="C1734" s="48" t="n"/>
    </row>
    <row r="1735" ht="18" customHeight="1" s="17">
      <c r="A1735" s="48">
        <f>IF(Generation!AN39="","",Generation!AN39)</f>
        <v/>
      </c>
      <c r="B1735" s="48" t="n"/>
      <c r="C1735" s="48" t="n"/>
    </row>
    <row r="1736" ht="18" customHeight="1" s="17">
      <c r="A1736" s="48">
        <f>IF(Generation!AO39="","",Generation!AO39)</f>
        <v/>
      </c>
      <c r="B1736" s="48" t="n"/>
      <c r="C1736" s="48" t="n"/>
    </row>
    <row r="1737" ht="18" customHeight="1" s="17">
      <c r="A1737" s="48">
        <f>IF(Generation!AP39="","",Generation!AP39)</f>
        <v/>
      </c>
      <c r="B1737" s="48" t="n"/>
      <c r="C1737" s="48" t="n"/>
    </row>
    <row r="1738" ht="18" customHeight="1" s="17">
      <c r="A1738" s="48">
        <f>IF(Generation!AQ39="","",Generation!AQ39)</f>
        <v/>
      </c>
      <c r="B1738" s="48" t="n"/>
      <c r="C1738" s="48" t="n"/>
    </row>
    <row r="1739" ht="18" customHeight="1" s="17">
      <c r="A1739" s="48">
        <f>IF(Generation!$B39,"    &lt;/resprocessing&gt;","")</f>
        <v/>
      </c>
      <c r="B1739" s="48" t="n"/>
      <c r="C1739" s="48" t="n"/>
    </row>
    <row r="1740" ht="18" customHeight="1" s="17">
      <c r="A1740" s="48">
        <f>IF(Generation!BB39="","",Generation!BB39)</f>
        <v/>
      </c>
      <c r="B1740" s="48" t="n"/>
      <c r="C1740" s="48" t="n"/>
    </row>
    <row r="1741" ht="18" customHeight="1" s="17">
      <c r="A1741" s="48">
        <f>IF(Generation!BC39="","",Generation!BC39)</f>
        <v/>
      </c>
      <c r="B1741" s="48" t="n"/>
      <c r="C1741" s="48" t="n"/>
    </row>
    <row r="1742" ht="18" customHeight="1" s="17">
      <c r="A1742" s="48">
        <f>IF(Generation!BD39="","",Generation!BD39)</f>
        <v/>
      </c>
      <c r="B1742" s="48" t="n"/>
      <c r="C1742" s="48" t="n"/>
    </row>
    <row r="1743" ht="18" customHeight="1" s="17">
      <c r="A1743" s="48">
        <f>IF(Generation!BE39="","",Generation!BE39)</f>
        <v/>
      </c>
      <c r="B1743" s="48" t="n"/>
      <c r="C1743" s="48" t="n"/>
    </row>
    <row r="1744" ht="18" customHeight="1" s="17">
      <c r="A1744" s="48">
        <f>IF(Generation!BF39="","",Generation!BF39)</f>
        <v/>
      </c>
      <c r="B1744" s="48" t="n"/>
      <c r="C1744" s="48" t="n"/>
    </row>
    <row r="1745" ht="18" customHeight="1" s="17">
      <c r="A1745" s="48">
        <f>IF(Generation!BG39="","",Generation!BG39)</f>
        <v/>
      </c>
      <c r="B1745" s="48" t="n"/>
      <c r="C1745" s="48" t="n"/>
    </row>
    <row r="1746" ht="18" customHeight="1" s="17">
      <c r="A1746" s="48">
        <f>IF(Generation!BH39="","",Generation!BH39)</f>
        <v/>
      </c>
      <c r="B1746" s="48" t="n"/>
      <c r="C1746" s="48" t="n"/>
    </row>
    <row r="1747" ht="18" customHeight="1" s="17">
      <c r="A1747" s="48">
        <f>IF(Generation!BI39="","",Generation!BI39)</f>
        <v/>
      </c>
      <c r="B1747" s="48" t="n"/>
      <c r="C1747" s="48" t="n"/>
    </row>
    <row r="1748" ht="18" customHeight="1" s="17">
      <c r="A1748" s="48">
        <f>IF(Generation!BJ39="","",Generation!BJ39)</f>
        <v/>
      </c>
      <c r="B1748" s="48" t="n"/>
      <c r="C1748" s="48" t="n"/>
    </row>
    <row r="1749" ht="18" customHeight="1" s="17">
      <c r="A1749" s="48">
        <f>IF(Generation!$B39,"  &lt;/item&gt;","")</f>
        <v/>
      </c>
      <c r="B1749" s="48" t="n"/>
      <c r="C1749" s="48" t="n"/>
    </row>
    <row r="1750" ht="18" customHeight="1" s="17">
      <c r="A1750" s="48">
        <f>""</f>
        <v/>
      </c>
      <c r="B1750" s="48" t="n"/>
      <c r="C1750" s="48" t="n"/>
    </row>
    <row r="1751" ht="18" customHeight="1" s="17">
      <c r="A1751" s="48">
        <f>""</f>
        <v/>
      </c>
      <c r="B1751" s="48" t="n"/>
      <c r="C1751" s="48" t="n"/>
    </row>
    <row r="1752" ht="18" customHeight="1" s="17">
      <c r="A1752" s="48">
        <f>""</f>
        <v/>
      </c>
      <c r="B1752" s="48" t="n"/>
      <c r="C1752" s="48" t="n"/>
    </row>
    <row r="1753" ht="18" customHeight="1" s="17">
      <c r="A1753" s="48">
        <f>""</f>
        <v/>
      </c>
      <c r="B1753" s="48" t="n"/>
      <c r="C1753" s="48" t="n"/>
    </row>
    <row r="1754" ht="18" customHeight="1" s="17">
      <c r="A1754" s="48">
        <f>IF(Generation!$B40,"  &lt;item ident=""il_0_qst_"&amp;TEXT(Generation!$A40,"000")&amp;""" title="""&amp;Generation!$F40&amp;"""&gt;","")</f>
        <v/>
      </c>
      <c r="B1754" s="48" t="n"/>
      <c r="C1754" s="48" t="n"/>
    </row>
    <row r="1755" ht="18" customHeight="1" s="17">
      <c r="A1755" s="48">
        <f>IF(Generation!$B40,"    &lt;duration&gt;P0Y0M0DT0H1M0S&lt;/duration&gt;","")</f>
        <v/>
      </c>
      <c r="B1755" s="48" t="n"/>
      <c r="C1755" s="48" t="n"/>
    </row>
    <row r="1756" ht="18" customHeight="1" s="17">
      <c r="A1756" s="48">
        <f>IF(Generation!$B40,"    &lt;itemmetadata&gt;","")</f>
        <v/>
      </c>
      <c r="B1756" s="48" t="n"/>
      <c r="C1756" s="48" t="n"/>
    </row>
    <row r="1757" ht="18" customHeight="1" s="17">
      <c r="A1757" s="48">
        <f>IF(Generation!$B40,"      &lt;qtimetadata&gt;","")</f>
        <v/>
      </c>
      <c r="B1757" s="48" t="n"/>
      <c r="C1757" s="48" t="n"/>
    </row>
    <row r="1758" ht="18" customHeight="1" s="17">
      <c r="A1758" s="48">
        <f>IF(Generation!$B40,"        &lt;qtimetadatafield&gt;&lt;fieldlabel&gt;ILIAS_VERSION&lt;/fieldlabel&gt;&lt;fieldentry&gt;8&lt;/fieldentry&gt;&lt;/qtimetadatafield&gt;","")</f>
        <v/>
      </c>
      <c r="B1758" s="48" t="n"/>
      <c r="C1758" s="48" t="n"/>
    </row>
    <row r="1759" ht="18" customHeight="1" s="17">
      <c r="A1759" s="48">
        <f>IF(Generation!$B40,"        &lt;qtimetadatafield&gt;&lt;fieldlabel&gt;QUESTIONTYPE&lt;/fieldlabel&gt;&lt;fieldentry&gt;"&amp;Generation!$D40&amp;"&lt;/fieldentry&gt;&lt;/qtimetadatafield&gt;","")</f>
        <v/>
      </c>
      <c r="B1759" s="48" t="n"/>
      <c r="C1759" s="48" t="n"/>
    </row>
    <row r="1760" ht="18" customHeight="1" s="17">
      <c r="A1760" s="48">
        <f>IF(Generation!$B40,"        &lt;qtimetadatafield&gt;&lt;fieldlabel&gt;AUTHOR&lt;/fieldlabel&gt;&lt;fieldentry&gt;"&amp;Generation!$AR40&amp;"&lt;/fieldentry&gt;&lt;/qtimetadatafield&gt;","")</f>
        <v/>
      </c>
      <c r="B1760" s="48" t="n"/>
      <c r="C1760" s="48" t="n"/>
    </row>
    <row r="1761" ht="18" customHeight="1" s="17">
      <c r="A1761" s="48">
        <f>IF(Generation!$B40,"        &lt;qtimetadatafield&gt;&lt;fieldlabel&gt;identicalScoring&lt;/fieldlabel&gt;&lt;fieldentry&gt;1&lt;/fieldentry&gt;&lt;/qtimetadatafield&gt;","")</f>
        <v/>
      </c>
      <c r="B1761" s="48" t="n"/>
      <c r="C1761" s="48" t="n"/>
    </row>
    <row r="1762" ht="18" customHeight="1" s="17">
      <c r="A1762" s="48">
        <f>IF(Generation!$B40,"      &lt;/qtimetadata&gt;","")</f>
        <v/>
      </c>
      <c r="B1762" s="48" t="n"/>
      <c r="C1762" s="48" t="n"/>
    </row>
    <row r="1763" ht="18" customHeight="1" s="17">
      <c r="A1763" s="48">
        <f>IF(Generation!$B40,"    &lt;/itemmetadata&gt;","")</f>
        <v/>
      </c>
      <c r="B1763" s="48" t="n"/>
      <c r="C1763" s="48" t="n"/>
    </row>
    <row r="1764" ht="18" customHeight="1" s="17">
      <c r="A1764" s="48">
        <f>IF(Generation!$B40,"    &lt;presentation label="""&amp;Generation!$F40&amp;"""&gt;","")</f>
        <v/>
      </c>
      <c r="B1764" s="48" t="n"/>
      <c r="C1764" s="48" t="n"/>
    </row>
    <row r="1765" ht="18" customHeight="1" s="17">
      <c r="A1765" s="48">
        <f>IF(Generation!$B40,"      &lt;material&gt;&lt;mattext texttype=""text/html""&gt;"&amp;Generation!$G40&amp;"&lt;/mattext&gt;&lt;/material&gt;","")</f>
        <v/>
      </c>
      <c r="B1765" s="48" t="n"/>
      <c r="C1765" s="48" t="n"/>
    </row>
    <row r="1766" ht="18" customHeight="1" s="17">
      <c r="A1766" s="48">
        <f>IF(Generation!$B40,"      &lt;response_lid ident=""RESPONSE"" rcardinality="""&amp;Generation!$E40&amp;"""&gt;","")</f>
        <v/>
      </c>
      <c r="B1766" s="48" t="n"/>
      <c r="C1766" s="48" t="n"/>
    </row>
    <row r="1767" ht="18" customHeight="1" s="17">
      <c r="A1767" s="48">
        <f>IF(Generation!$B40,"        &lt;render_choice shuffle=""No""&gt;","")</f>
        <v/>
      </c>
      <c r="B1767" s="48" t="n"/>
      <c r="C1767" s="48" t="n"/>
    </row>
    <row r="1768" ht="18" customHeight="1" s="17">
      <c r="A1768" s="48">
        <f>IF(Generation!AB40="","",Generation!AB40)</f>
        <v/>
      </c>
      <c r="B1768" s="48" t="n"/>
      <c r="C1768" s="48" t="n"/>
    </row>
    <row r="1769" ht="18" customHeight="1" s="17">
      <c r="A1769" s="48">
        <f>IF(Generation!AC40="","",Generation!AC40)</f>
        <v/>
      </c>
      <c r="B1769" s="48" t="n"/>
      <c r="C1769" s="48" t="n"/>
    </row>
    <row r="1770" ht="18" customHeight="1" s="17">
      <c r="A1770" s="48">
        <f>IF(Generation!AD40="","",Generation!AD40)</f>
        <v/>
      </c>
      <c r="B1770" s="48" t="n"/>
      <c r="C1770" s="48" t="n"/>
    </row>
    <row r="1771" ht="18" customHeight="1" s="17">
      <c r="A1771" s="48">
        <f>IF(Generation!AE40="","",Generation!AE40)</f>
        <v/>
      </c>
      <c r="B1771" s="48" t="n"/>
      <c r="C1771" s="48" t="n"/>
    </row>
    <row r="1772" ht="18" customHeight="1" s="17">
      <c r="A1772" s="48">
        <f>IF(Generation!AF40="","",Generation!AF40)</f>
        <v/>
      </c>
      <c r="B1772" s="48" t="n"/>
      <c r="C1772" s="48" t="n"/>
    </row>
    <row r="1773" ht="18" customHeight="1" s="17">
      <c r="A1773" s="48">
        <f>IF(Generation!AG40="","",Generation!AG40)</f>
        <v/>
      </c>
      <c r="B1773" s="48" t="n"/>
      <c r="C1773" s="48" t="n"/>
    </row>
    <row r="1774" ht="18" customHeight="1" s="17">
      <c r="A1774" s="48">
        <f>IF(Generation!AH40="","",Generation!AH40)</f>
        <v/>
      </c>
      <c r="B1774" s="48" t="n"/>
      <c r="C1774" s="48" t="n"/>
    </row>
    <row r="1775" ht="18" customHeight="1" s="17">
      <c r="A1775" s="48">
        <f>IF(Generation!AI40="","",Generation!AI40)</f>
        <v/>
      </c>
      <c r="B1775" s="48" t="n"/>
      <c r="C1775" s="48" t="n"/>
    </row>
    <row r="1776" ht="18" customHeight="1" s="17">
      <c r="A1776" s="48">
        <f>IF(Generation!$B40,"        &lt;/render_choice&gt;","")</f>
        <v/>
      </c>
      <c r="B1776" s="48" t="n"/>
      <c r="C1776" s="48" t="n"/>
    </row>
    <row r="1777" ht="18" customHeight="1" s="17">
      <c r="A1777" s="48">
        <f>IF(Generation!$B40,"      &lt;/response_lid&gt;","")</f>
        <v/>
      </c>
      <c r="B1777" s="48" t="n"/>
      <c r="C1777" s="48" t="n"/>
    </row>
    <row r="1778" ht="18" customHeight="1" s="17">
      <c r="A1778" s="48">
        <f>IF(Generation!$B40,"    &lt;/presentation&gt;","")</f>
        <v/>
      </c>
      <c r="B1778" s="48" t="n"/>
      <c r="C1778" s="48" t="n"/>
    </row>
    <row r="1779" ht="18" customHeight="1" s="17">
      <c r="A1779" s="48">
        <f>IF(Generation!$B40,"    &lt;resprocessing&gt;","")</f>
        <v/>
      </c>
      <c r="B1779" s="48" t="n"/>
      <c r="C1779" s="48" t="n"/>
    </row>
    <row r="1780" ht="18" customHeight="1" s="17">
      <c r="A1780" s="48">
        <f>IF(Generation!$B40,"      &lt;outcomes&gt;&lt;decvar varname=""SCORE"" vartype=""Decimal"" minvalue=""0"" maxvalue="""&amp;Generation!$H40&amp;"""/&gt;&lt;/outcomes&gt;","")</f>
        <v/>
      </c>
      <c r="B1780" s="48" t="n"/>
      <c r="C1780" s="48" t="n"/>
    </row>
    <row r="1781" ht="18" customHeight="1" s="17">
      <c r="A1781" s="48">
        <f>IF(Generation!AJ40="","",Generation!AJ40)</f>
        <v/>
      </c>
      <c r="B1781" s="48" t="n"/>
      <c r="C1781" s="48" t="n"/>
    </row>
    <row r="1782" ht="18" customHeight="1" s="17">
      <c r="A1782" s="48">
        <f>IF(Generation!AK40="","",Generation!AK40)</f>
        <v/>
      </c>
      <c r="B1782" s="48" t="n"/>
      <c r="C1782" s="48" t="n"/>
    </row>
    <row r="1783" ht="18" customHeight="1" s="17">
      <c r="A1783" s="48">
        <f>IF(Generation!AL40="","",Generation!AL40)</f>
        <v/>
      </c>
      <c r="B1783" s="48" t="n"/>
      <c r="C1783" s="48" t="n"/>
    </row>
    <row r="1784" ht="18" customHeight="1" s="17">
      <c r="A1784" s="48">
        <f>IF(Generation!AM40="","",Generation!AM40)</f>
        <v/>
      </c>
      <c r="B1784" s="48" t="n"/>
      <c r="C1784" s="48" t="n"/>
    </row>
    <row r="1785" ht="18" customHeight="1" s="17">
      <c r="A1785" s="48">
        <f>IF(Generation!AN40="","",Generation!AN40)</f>
        <v/>
      </c>
      <c r="B1785" s="48" t="n"/>
      <c r="C1785" s="48" t="n"/>
    </row>
    <row r="1786" ht="18" customHeight="1" s="17">
      <c r="A1786" s="48">
        <f>IF(Generation!AO40="","",Generation!AO40)</f>
        <v/>
      </c>
      <c r="B1786" s="48" t="n"/>
      <c r="C1786" s="48" t="n"/>
    </row>
    <row r="1787" ht="18" customHeight="1" s="17">
      <c r="A1787" s="48">
        <f>IF(Generation!AP40="","",Generation!AP40)</f>
        <v/>
      </c>
      <c r="B1787" s="48" t="n"/>
      <c r="C1787" s="48" t="n"/>
    </row>
    <row r="1788" ht="18" customHeight="1" s="17">
      <c r="A1788" s="48">
        <f>IF(Generation!AQ40="","",Generation!AQ40)</f>
        <v/>
      </c>
      <c r="B1788" s="48" t="n"/>
      <c r="C1788" s="48" t="n"/>
    </row>
    <row r="1789" ht="18" customHeight="1" s="17">
      <c r="A1789" s="48">
        <f>IF(Generation!$B40,"    &lt;/resprocessing&gt;","")</f>
        <v/>
      </c>
      <c r="B1789" s="48" t="n"/>
      <c r="C1789" s="48" t="n"/>
    </row>
    <row r="1790" ht="18" customHeight="1" s="17">
      <c r="A1790" s="48">
        <f>IF(Generation!BB40="","",Generation!BB40)</f>
        <v/>
      </c>
      <c r="B1790" s="48" t="n"/>
      <c r="C1790" s="48" t="n"/>
    </row>
    <row r="1791" ht="18" customHeight="1" s="17">
      <c r="A1791" s="48">
        <f>IF(Generation!BC40="","",Generation!BC40)</f>
        <v/>
      </c>
      <c r="B1791" s="48" t="n"/>
      <c r="C1791" s="48" t="n"/>
    </row>
    <row r="1792" ht="18" customHeight="1" s="17">
      <c r="A1792" s="48">
        <f>IF(Generation!BD40="","",Generation!BD40)</f>
        <v/>
      </c>
      <c r="B1792" s="48" t="n"/>
      <c r="C1792" s="48" t="n"/>
    </row>
    <row r="1793" ht="18" customHeight="1" s="17">
      <c r="A1793" s="48">
        <f>IF(Generation!BE40="","",Generation!BE40)</f>
        <v/>
      </c>
      <c r="B1793" s="48" t="n"/>
      <c r="C1793" s="48" t="n"/>
    </row>
    <row r="1794" ht="18" customHeight="1" s="17">
      <c r="A1794" s="48">
        <f>IF(Generation!BF40="","",Generation!BF40)</f>
        <v/>
      </c>
      <c r="B1794" s="48" t="n"/>
      <c r="C1794" s="48" t="n"/>
    </row>
    <row r="1795" ht="18" customHeight="1" s="17">
      <c r="A1795" s="48">
        <f>IF(Generation!BG40="","",Generation!BG40)</f>
        <v/>
      </c>
      <c r="B1795" s="48" t="n"/>
      <c r="C1795" s="48" t="n"/>
    </row>
    <row r="1796" ht="18" customHeight="1" s="17">
      <c r="A1796" s="48">
        <f>IF(Generation!BH40="","",Generation!BH40)</f>
        <v/>
      </c>
      <c r="B1796" s="48" t="n"/>
      <c r="C1796" s="48" t="n"/>
    </row>
    <row r="1797" ht="18" customHeight="1" s="17">
      <c r="A1797" s="48">
        <f>IF(Generation!BI40="","",Generation!BI40)</f>
        <v/>
      </c>
      <c r="B1797" s="48" t="n"/>
      <c r="C1797" s="48" t="n"/>
    </row>
    <row r="1798" ht="18" customHeight="1" s="17">
      <c r="A1798" s="48">
        <f>IF(Generation!BJ40="","",Generation!BJ40)</f>
        <v/>
      </c>
      <c r="B1798" s="48" t="n"/>
      <c r="C1798" s="48" t="n"/>
    </row>
    <row r="1799" ht="18" customHeight="1" s="17">
      <c r="A1799" s="48">
        <f>IF(Generation!$B40,"  &lt;/item&gt;","")</f>
        <v/>
      </c>
      <c r="B1799" s="48" t="n"/>
      <c r="C1799" s="48" t="n"/>
    </row>
    <row r="1800" ht="18" customHeight="1" s="17">
      <c r="A1800" s="48">
        <f>""</f>
        <v/>
      </c>
      <c r="B1800" s="48" t="n"/>
      <c r="C1800" s="48" t="n"/>
    </row>
    <row r="1801" ht="18" customHeight="1" s="17">
      <c r="A1801" s="48">
        <f>""</f>
        <v/>
      </c>
      <c r="B1801" s="48" t="n"/>
      <c r="C1801" s="48" t="n"/>
    </row>
    <row r="1802" ht="18" customHeight="1" s="17">
      <c r="A1802" s="48">
        <f>""</f>
        <v/>
      </c>
      <c r="B1802" s="48" t="n"/>
      <c r="C1802" s="48" t="n"/>
    </row>
    <row r="1803" ht="18" customHeight="1" s="17">
      <c r="A1803" s="48">
        <f>""</f>
        <v/>
      </c>
      <c r="B1803" s="48" t="n"/>
      <c r="C1803" s="48" t="n"/>
    </row>
    <row r="1804" ht="18" customHeight="1" s="17">
      <c r="A1804" s="48">
        <f>IF(Generation!$B41,"  &lt;item ident=""il_0_qst_"&amp;TEXT(Generation!$A41,"000")&amp;""" title="""&amp;Generation!$F41&amp;"""&gt;","")</f>
        <v/>
      </c>
      <c r="B1804" s="48" t="n"/>
      <c r="C1804" s="48" t="n"/>
    </row>
    <row r="1805" ht="18" customHeight="1" s="17">
      <c r="A1805" s="48">
        <f>IF(Generation!$B41,"    &lt;duration&gt;P0Y0M0DT0H1M0S&lt;/duration&gt;","")</f>
        <v/>
      </c>
      <c r="B1805" s="48" t="n"/>
      <c r="C1805" s="48" t="n"/>
    </row>
    <row r="1806" ht="18" customHeight="1" s="17">
      <c r="A1806" s="48">
        <f>IF(Generation!$B41,"    &lt;itemmetadata&gt;","")</f>
        <v/>
      </c>
      <c r="B1806" s="48" t="n"/>
      <c r="C1806" s="48" t="n"/>
    </row>
    <row r="1807" ht="18" customHeight="1" s="17">
      <c r="A1807" s="48">
        <f>IF(Generation!$B41,"      &lt;qtimetadata&gt;","")</f>
        <v/>
      </c>
      <c r="B1807" s="48" t="n"/>
      <c r="C1807" s="48" t="n"/>
    </row>
    <row r="1808" ht="18" customHeight="1" s="17">
      <c r="A1808" s="48">
        <f>IF(Generation!$B41,"        &lt;qtimetadatafield&gt;&lt;fieldlabel&gt;ILIAS_VERSION&lt;/fieldlabel&gt;&lt;fieldentry&gt;8&lt;/fieldentry&gt;&lt;/qtimetadatafield&gt;","")</f>
        <v/>
      </c>
      <c r="B1808" s="48" t="n"/>
      <c r="C1808" s="48" t="n"/>
    </row>
    <row r="1809" ht="18" customHeight="1" s="17">
      <c r="A1809" s="48">
        <f>IF(Generation!$B41,"        &lt;qtimetadatafield&gt;&lt;fieldlabel&gt;QUESTIONTYPE&lt;/fieldlabel&gt;&lt;fieldentry&gt;"&amp;Generation!$D41&amp;"&lt;/fieldentry&gt;&lt;/qtimetadatafield&gt;","")</f>
        <v/>
      </c>
      <c r="B1809" s="48" t="n"/>
      <c r="C1809" s="48" t="n"/>
    </row>
    <row r="1810" ht="18" customHeight="1" s="17">
      <c r="A1810" s="48">
        <f>IF(Generation!$B41,"        &lt;qtimetadatafield&gt;&lt;fieldlabel&gt;AUTHOR&lt;/fieldlabel&gt;&lt;fieldentry&gt;"&amp;Generation!$AR41&amp;"&lt;/fieldentry&gt;&lt;/qtimetadatafield&gt;","")</f>
        <v/>
      </c>
      <c r="B1810" s="48" t="n"/>
      <c r="C1810" s="48" t="n"/>
    </row>
    <row r="1811" ht="18" customHeight="1" s="17">
      <c r="A1811" s="48">
        <f>IF(Generation!$B41,"        &lt;qtimetadatafield&gt;&lt;fieldlabel&gt;identicalScoring&lt;/fieldlabel&gt;&lt;fieldentry&gt;1&lt;/fieldentry&gt;&lt;/qtimetadatafield&gt;","")</f>
        <v/>
      </c>
      <c r="B1811" s="48" t="n"/>
      <c r="C1811" s="48" t="n"/>
    </row>
    <row r="1812" ht="18" customHeight="1" s="17">
      <c r="A1812" s="48">
        <f>IF(Generation!$B41,"      &lt;/qtimetadata&gt;","")</f>
        <v/>
      </c>
      <c r="B1812" s="48" t="n"/>
      <c r="C1812" s="48" t="n"/>
    </row>
    <row r="1813" ht="18" customHeight="1" s="17">
      <c r="A1813" s="48">
        <f>IF(Generation!$B41,"    &lt;/itemmetadata&gt;","")</f>
        <v/>
      </c>
      <c r="B1813" s="48" t="n"/>
      <c r="C1813" s="48" t="n"/>
    </row>
    <row r="1814" ht="18" customHeight="1" s="17">
      <c r="A1814" s="48">
        <f>IF(Generation!$B41,"    &lt;presentation label="""&amp;Generation!$F41&amp;"""&gt;","")</f>
        <v/>
      </c>
      <c r="B1814" s="48" t="n"/>
      <c r="C1814" s="48" t="n"/>
    </row>
    <row r="1815" ht="18" customHeight="1" s="17">
      <c r="A1815" s="48">
        <f>IF(Generation!$B41,"      &lt;material&gt;&lt;mattext texttype=""text/html""&gt;"&amp;Generation!$G41&amp;"&lt;/mattext&gt;&lt;/material&gt;","")</f>
        <v/>
      </c>
      <c r="B1815" s="48" t="n"/>
      <c r="C1815" s="48" t="n"/>
    </row>
    <row r="1816" ht="18" customHeight="1" s="17">
      <c r="A1816" s="48">
        <f>IF(Generation!$B41,"      &lt;response_lid ident=""RESPONSE"" rcardinality="""&amp;Generation!$E41&amp;"""&gt;","")</f>
        <v/>
      </c>
      <c r="B1816" s="48" t="n"/>
      <c r="C1816" s="48" t="n"/>
    </row>
    <row r="1817" ht="18" customHeight="1" s="17">
      <c r="A1817" s="48">
        <f>IF(Generation!$B41,"        &lt;render_choice shuffle=""No""&gt;","")</f>
        <v/>
      </c>
      <c r="B1817" s="48" t="n"/>
      <c r="C1817" s="48" t="n"/>
    </row>
    <row r="1818" ht="18" customHeight="1" s="17">
      <c r="A1818" s="48">
        <f>IF(Generation!AB41="","",Generation!AB41)</f>
        <v/>
      </c>
      <c r="B1818" s="48" t="n"/>
      <c r="C1818" s="48" t="n"/>
    </row>
    <row r="1819" ht="18" customHeight="1" s="17">
      <c r="A1819" s="48">
        <f>IF(Generation!AC41="","",Generation!AC41)</f>
        <v/>
      </c>
      <c r="B1819" s="48" t="n"/>
      <c r="C1819" s="48" t="n"/>
    </row>
    <row r="1820" ht="18" customHeight="1" s="17">
      <c r="A1820" s="48">
        <f>IF(Generation!AD41="","",Generation!AD41)</f>
        <v/>
      </c>
      <c r="B1820" s="48" t="n"/>
      <c r="C1820" s="48" t="n"/>
    </row>
    <row r="1821" ht="18" customHeight="1" s="17">
      <c r="A1821" s="48">
        <f>IF(Generation!AE41="","",Generation!AE41)</f>
        <v/>
      </c>
      <c r="B1821" s="48" t="n"/>
      <c r="C1821" s="48" t="n"/>
    </row>
    <row r="1822" ht="18" customHeight="1" s="17">
      <c r="A1822" s="48">
        <f>IF(Generation!AF41="","",Generation!AF41)</f>
        <v/>
      </c>
      <c r="B1822" s="48" t="n"/>
      <c r="C1822" s="48" t="n"/>
    </row>
    <row r="1823" ht="18" customHeight="1" s="17">
      <c r="A1823" s="48">
        <f>IF(Generation!AG41="","",Generation!AG41)</f>
        <v/>
      </c>
      <c r="B1823" s="48" t="n"/>
      <c r="C1823" s="48" t="n"/>
    </row>
    <row r="1824" ht="18" customHeight="1" s="17">
      <c r="A1824" s="48">
        <f>IF(Generation!AH41="","",Generation!AH41)</f>
        <v/>
      </c>
      <c r="B1824" s="48" t="n"/>
      <c r="C1824" s="48" t="n"/>
    </row>
    <row r="1825" ht="18" customHeight="1" s="17">
      <c r="A1825" s="48">
        <f>IF(Generation!AI41="","",Generation!AI41)</f>
        <v/>
      </c>
      <c r="B1825" s="48" t="n"/>
      <c r="C1825" s="48" t="n"/>
    </row>
    <row r="1826" ht="18" customHeight="1" s="17">
      <c r="A1826" s="48">
        <f>IF(Generation!$B41,"        &lt;/render_choice&gt;","")</f>
        <v/>
      </c>
      <c r="B1826" s="48" t="n"/>
      <c r="C1826" s="48" t="n"/>
    </row>
    <row r="1827" ht="18" customHeight="1" s="17">
      <c r="A1827" s="48">
        <f>IF(Generation!$B41,"      &lt;/response_lid&gt;","")</f>
        <v/>
      </c>
      <c r="B1827" s="48" t="n"/>
      <c r="C1827" s="48" t="n"/>
    </row>
    <row r="1828" ht="18" customHeight="1" s="17">
      <c r="A1828" s="48">
        <f>IF(Generation!$B41,"    &lt;/presentation&gt;","")</f>
        <v/>
      </c>
      <c r="B1828" s="48" t="n"/>
      <c r="C1828" s="48" t="n"/>
    </row>
    <row r="1829" ht="18" customHeight="1" s="17">
      <c r="A1829" s="48">
        <f>IF(Generation!$B41,"    &lt;resprocessing&gt;","")</f>
        <v/>
      </c>
      <c r="B1829" s="48" t="n"/>
      <c r="C1829" s="48" t="n"/>
    </row>
    <row r="1830" ht="18" customHeight="1" s="17">
      <c r="A1830" s="48">
        <f>IF(Generation!$B41,"      &lt;outcomes&gt;&lt;decvar varname=""SCORE"" vartype=""Decimal"" minvalue=""0"" maxvalue="""&amp;Generation!$H41&amp;"""/&gt;&lt;/outcomes&gt;","")</f>
        <v/>
      </c>
      <c r="B1830" s="48" t="n"/>
      <c r="C1830" s="48" t="n"/>
    </row>
    <row r="1831" ht="18" customHeight="1" s="17">
      <c r="A1831" s="48">
        <f>IF(Generation!AJ41="","",Generation!AJ41)</f>
        <v/>
      </c>
      <c r="B1831" s="48" t="n"/>
      <c r="C1831" s="48" t="n"/>
    </row>
    <row r="1832" ht="18" customHeight="1" s="17">
      <c r="A1832" s="48">
        <f>IF(Generation!AK41="","",Generation!AK41)</f>
        <v/>
      </c>
      <c r="B1832" s="48" t="n"/>
      <c r="C1832" s="48" t="n"/>
    </row>
    <row r="1833" ht="18" customHeight="1" s="17">
      <c r="A1833" s="48">
        <f>IF(Generation!AL41="","",Generation!AL41)</f>
        <v/>
      </c>
      <c r="B1833" s="48" t="n"/>
      <c r="C1833" s="48" t="n"/>
    </row>
    <row r="1834" ht="18" customHeight="1" s="17">
      <c r="A1834" s="48">
        <f>IF(Generation!AM41="","",Generation!AM41)</f>
        <v/>
      </c>
      <c r="B1834" s="48" t="n"/>
      <c r="C1834" s="48" t="n"/>
    </row>
    <row r="1835" ht="18" customHeight="1" s="17">
      <c r="A1835" s="48">
        <f>IF(Generation!AN41="","",Generation!AN41)</f>
        <v/>
      </c>
      <c r="B1835" s="48" t="n"/>
      <c r="C1835" s="48" t="n"/>
    </row>
    <row r="1836" ht="18" customHeight="1" s="17">
      <c r="A1836" s="48">
        <f>IF(Generation!AO41="","",Generation!AO41)</f>
        <v/>
      </c>
      <c r="B1836" s="48" t="n"/>
      <c r="C1836" s="48" t="n"/>
    </row>
    <row r="1837" ht="18" customHeight="1" s="17">
      <c r="A1837" s="48">
        <f>IF(Generation!AP41="","",Generation!AP41)</f>
        <v/>
      </c>
      <c r="B1837" s="48" t="n"/>
      <c r="C1837" s="48" t="n"/>
    </row>
    <row r="1838" ht="18" customHeight="1" s="17">
      <c r="A1838" s="48">
        <f>IF(Generation!AQ41="","",Generation!AQ41)</f>
        <v/>
      </c>
      <c r="B1838" s="48" t="n"/>
      <c r="C1838" s="48" t="n"/>
    </row>
    <row r="1839" ht="18" customHeight="1" s="17">
      <c r="A1839" s="48">
        <f>IF(Generation!$B41,"    &lt;/resprocessing&gt;","")</f>
        <v/>
      </c>
      <c r="B1839" s="48" t="n"/>
      <c r="C1839" s="48" t="n"/>
    </row>
    <row r="1840" ht="18" customHeight="1" s="17">
      <c r="A1840" s="48">
        <f>IF(Generation!BB41="","",Generation!BB41)</f>
        <v/>
      </c>
      <c r="B1840" s="48" t="n"/>
      <c r="C1840" s="48" t="n"/>
    </row>
    <row r="1841" ht="18" customHeight="1" s="17">
      <c r="A1841" s="48">
        <f>IF(Generation!BC41="","",Generation!BC41)</f>
        <v/>
      </c>
      <c r="B1841" s="48" t="n"/>
      <c r="C1841" s="48" t="n"/>
    </row>
    <row r="1842" ht="18" customHeight="1" s="17">
      <c r="A1842" s="48">
        <f>IF(Generation!BD41="","",Generation!BD41)</f>
        <v/>
      </c>
      <c r="B1842" s="48" t="n"/>
      <c r="C1842" s="48" t="n"/>
    </row>
    <row r="1843" ht="18" customHeight="1" s="17">
      <c r="A1843" s="48">
        <f>IF(Generation!BE41="","",Generation!BE41)</f>
        <v/>
      </c>
      <c r="B1843" s="48" t="n"/>
      <c r="C1843" s="48" t="n"/>
    </row>
    <row r="1844" ht="18" customHeight="1" s="17">
      <c r="A1844" s="48">
        <f>IF(Generation!BF41="","",Generation!BF41)</f>
        <v/>
      </c>
      <c r="B1844" s="48" t="n"/>
      <c r="C1844" s="48" t="n"/>
    </row>
    <row r="1845" ht="18" customHeight="1" s="17">
      <c r="A1845" s="48">
        <f>IF(Generation!BG41="","",Generation!BG41)</f>
        <v/>
      </c>
      <c r="B1845" s="48" t="n"/>
      <c r="C1845" s="48" t="n"/>
    </row>
    <row r="1846" ht="18" customHeight="1" s="17">
      <c r="A1846" s="48">
        <f>IF(Generation!BH41="","",Generation!BH41)</f>
        <v/>
      </c>
      <c r="B1846" s="48" t="n"/>
      <c r="C1846" s="48" t="n"/>
    </row>
    <row r="1847" ht="18" customHeight="1" s="17">
      <c r="A1847" s="48">
        <f>IF(Generation!BI41="","",Generation!BI41)</f>
        <v/>
      </c>
      <c r="B1847" s="48" t="n"/>
      <c r="C1847" s="48" t="n"/>
    </row>
    <row r="1848" ht="18" customHeight="1" s="17">
      <c r="A1848" s="48">
        <f>IF(Generation!BJ41="","",Generation!BJ41)</f>
        <v/>
      </c>
      <c r="B1848" s="48" t="n"/>
      <c r="C1848" s="48" t="n"/>
    </row>
    <row r="1849" ht="18" customHeight="1" s="17">
      <c r="A1849" s="48">
        <f>IF(Generation!$B41,"  &lt;/item&gt;","")</f>
        <v/>
      </c>
      <c r="B1849" s="48" t="n"/>
      <c r="C1849" s="48" t="n"/>
    </row>
    <row r="1850" ht="18" customHeight="1" s="17">
      <c r="A1850" s="48">
        <f>""</f>
        <v/>
      </c>
      <c r="B1850" s="48" t="n"/>
      <c r="C1850" s="48" t="n"/>
    </row>
    <row r="1851" ht="18" customHeight="1" s="17">
      <c r="A1851" s="48">
        <f>""</f>
        <v/>
      </c>
      <c r="B1851" s="48" t="n"/>
      <c r="C1851" s="48" t="n"/>
    </row>
    <row r="1852" ht="18" customHeight="1" s="17">
      <c r="A1852" s="48">
        <f>""</f>
        <v/>
      </c>
      <c r="B1852" s="48" t="n"/>
      <c r="C1852" s="48" t="n"/>
    </row>
    <row r="1853" ht="18" customHeight="1" s="17">
      <c r="A1853" s="48">
        <f>""</f>
        <v/>
      </c>
      <c r="B1853" s="48" t="n"/>
      <c r="C1853" s="48" t="n"/>
    </row>
    <row r="1854" ht="18" customHeight="1" s="17">
      <c r="A1854" s="48">
        <f>IF(Generation!$B42,"  &lt;item ident=""il_0_qst_"&amp;TEXT(Generation!$A42,"000")&amp;""" title="""&amp;Generation!$F42&amp;"""&gt;","")</f>
        <v/>
      </c>
      <c r="B1854" s="48" t="n"/>
      <c r="C1854" s="48" t="n"/>
    </row>
    <row r="1855" ht="18" customHeight="1" s="17">
      <c r="A1855" s="48">
        <f>IF(Generation!$B42,"    &lt;duration&gt;P0Y0M0DT0H1M0S&lt;/duration&gt;","")</f>
        <v/>
      </c>
      <c r="B1855" s="48" t="n"/>
      <c r="C1855" s="48" t="n"/>
    </row>
    <row r="1856" ht="18" customHeight="1" s="17">
      <c r="A1856" s="48">
        <f>IF(Generation!$B42,"    &lt;itemmetadata&gt;","")</f>
        <v/>
      </c>
      <c r="B1856" s="48" t="n"/>
      <c r="C1856" s="48" t="n"/>
    </row>
    <row r="1857" ht="18" customHeight="1" s="17">
      <c r="A1857" s="48">
        <f>IF(Generation!$B42,"      &lt;qtimetadata&gt;","")</f>
        <v/>
      </c>
      <c r="B1857" s="48" t="n"/>
      <c r="C1857" s="48" t="n"/>
    </row>
    <row r="1858" ht="18" customHeight="1" s="17">
      <c r="A1858" s="48">
        <f>IF(Generation!$B42,"        &lt;qtimetadatafield&gt;&lt;fieldlabel&gt;ILIAS_VERSION&lt;/fieldlabel&gt;&lt;fieldentry&gt;8&lt;/fieldentry&gt;&lt;/qtimetadatafield&gt;","")</f>
        <v/>
      </c>
      <c r="B1858" s="48" t="n"/>
      <c r="C1858" s="48" t="n"/>
    </row>
    <row r="1859" ht="18" customHeight="1" s="17">
      <c r="A1859" s="48">
        <f>IF(Generation!$B42,"        &lt;qtimetadatafield&gt;&lt;fieldlabel&gt;QUESTIONTYPE&lt;/fieldlabel&gt;&lt;fieldentry&gt;"&amp;Generation!$D42&amp;"&lt;/fieldentry&gt;&lt;/qtimetadatafield&gt;","")</f>
        <v/>
      </c>
      <c r="B1859" s="48" t="n"/>
      <c r="C1859" s="48" t="n"/>
    </row>
    <row r="1860" ht="18" customHeight="1" s="17">
      <c r="A1860" s="48">
        <f>IF(Generation!$B42,"        &lt;qtimetadatafield&gt;&lt;fieldlabel&gt;AUTHOR&lt;/fieldlabel&gt;&lt;fieldentry&gt;"&amp;Generation!$AR42&amp;"&lt;/fieldentry&gt;&lt;/qtimetadatafield&gt;","")</f>
        <v/>
      </c>
      <c r="B1860" s="48" t="n"/>
      <c r="C1860" s="48" t="n"/>
    </row>
    <row r="1861" ht="18" customHeight="1" s="17">
      <c r="A1861" s="48">
        <f>IF(Generation!$B42,"        &lt;qtimetadatafield&gt;&lt;fieldlabel&gt;identicalScoring&lt;/fieldlabel&gt;&lt;fieldentry&gt;1&lt;/fieldentry&gt;&lt;/qtimetadatafield&gt;","")</f>
        <v/>
      </c>
      <c r="B1861" s="48" t="n"/>
      <c r="C1861" s="48" t="n"/>
    </row>
    <row r="1862" ht="18" customHeight="1" s="17">
      <c r="A1862" s="48">
        <f>IF(Generation!$B42,"      &lt;/qtimetadata&gt;","")</f>
        <v/>
      </c>
      <c r="B1862" s="48" t="n"/>
      <c r="C1862" s="48" t="n"/>
    </row>
    <row r="1863" ht="18" customHeight="1" s="17">
      <c r="A1863" s="48">
        <f>IF(Generation!$B42,"    &lt;/itemmetadata&gt;","")</f>
        <v/>
      </c>
      <c r="B1863" s="48" t="n"/>
      <c r="C1863" s="48" t="n"/>
    </row>
    <row r="1864" ht="18" customHeight="1" s="17">
      <c r="A1864" s="48">
        <f>IF(Generation!$B42,"    &lt;presentation label="""&amp;Generation!$F42&amp;"""&gt;","")</f>
        <v/>
      </c>
      <c r="B1864" s="48" t="n"/>
      <c r="C1864" s="48" t="n"/>
    </row>
    <row r="1865" ht="18" customHeight="1" s="17">
      <c r="A1865" s="48">
        <f>IF(Generation!$B42,"      &lt;material&gt;&lt;mattext texttype=""text/html""&gt;"&amp;Generation!$G42&amp;"&lt;/mattext&gt;&lt;/material&gt;","")</f>
        <v/>
      </c>
      <c r="B1865" s="48" t="n"/>
      <c r="C1865" s="48" t="n"/>
    </row>
    <row r="1866" ht="18" customHeight="1" s="17">
      <c r="A1866" s="48">
        <f>IF(Generation!$B42,"      &lt;response_lid ident=""RESPONSE"" rcardinality="""&amp;Generation!$E42&amp;"""&gt;","")</f>
        <v/>
      </c>
      <c r="B1866" s="48" t="n"/>
      <c r="C1866" s="48" t="n"/>
    </row>
    <row r="1867" ht="18" customHeight="1" s="17">
      <c r="A1867" s="48">
        <f>IF(Generation!$B42,"        &lt;render_choice shuffle=""No""&gt;","")</f>
        <v/>
      </c>
      <c r="B1867" s="48" t="n"/>
      <c r="C1867" s="48" t="n"/>
    </row>
    <row r="1868" ht="18" customHeight="1" s="17">
      <c r="A1868" s="48">
        <f>IF(Generation!AB42="","",Generation!AB42)</f>
        <v/>
      </c>
      <c r="B1868" s="48" t="n"/>
      <c r="C1868" s="48" t="n"/>
    </row>
    <row r="1869" ht="18" customHeight="1" s="17">
      <c r="A1869" s="48">
        <f>IF(Generation!AC42="","",Generation!AC42)</f>
        <v/>
      </c>
      <c r="B1869" s="48" t="n"/>
      <c r="C1869" s="48" t="n"/>
    </row>
    <row r="1870" ht="18" customHeight="1" s="17">
      <c r="A1870" s="48">
        <f>IF(Generation!AD42="","",Generation!AD42)</f>
        <v/>
      </c>
      <c r="B1870" s="48" t="n"/>
      <c r="C1870" s="48" t="n"/>
    </row>
    <row r="1871" ht="18" customHeight="1" s="17">
      <c r="A1871" s="48">
        <f>IF(Generation!AE42="","",Generation!AE42)</f>
        <v/>
      </c>
      <c r="B1871" s="48" t="n"/>
      <c r="C1871" s="48" t="n"/>
    </row>
    <row r="1872" ht="18" customHeight="1" s="17">
      <c r="A1872" s="48">
        <f>IF(Generation!AF42="","",Generation!AF42)</f>
        <v/>
      </c>
      <c r="B1872" s="48" t="n"/>
      <c r="C1872" s="48" t="n"/>
    </row>
    <row r="1873" ht="18" customHeight="1" s="17">
      <c r="A1873" s="48">
        <f>IF(Generation!AG42="","",Generation!AG42)</f>
        <v/>
      </c>
      <c r="B1873" s="48" t="n"/>
      <c r="C1873" s="48" t="n"/>
    </row>
    <row r="1874" ht="18" customHeight="1" s="17">
      <c r="A1874" s="48">
        <f>IF(Generation!AH42="","",Generation!AH42)</f>
        <v/>
      </c>
      <c r="B1874" s="48" t="n"/>
      <c r="C1874" s="48" t="n"/>
    </row>
    <row r="1875" ht="18" customHeight="1" s="17">
      <c r="A1875" s="48">
        <f>IF(Generation!AI42="","",Generation!AI42)</f>
        <v/>
      </c>
      <c r="B1875" s="48" t="n"/>
      <c r="C1875" s="48" t="n"/>
    </row>
    <row r="1876" ht="18" customHeight="1" s="17">
      <c r="A1876" s="48">
        <f>IF(Generation!$B42,"        &lt;/render_choice&gt;","")</f>
        <v/>
      </c>
      <c r="B1876" s="48" t="n"/>
      <c r="C1876" s="48" t="n"/>
    </row>
    <row r="1877" ht="18" customHeight="1" s="17">
      <c r="A1877" s="48">
        <f>IF(Generation!$B42,"      &lt;/response_lid&gt;","")</f>
        <v/>
      </c>
      <c r="B1877" s="48" t="n"/>
      <c r="C1877" s="48" t="n"/>
    </row>
    <row r="1878" ht="18" customHeight="1" s="17">
      <c r="A1878" s="48">
        <f>IF(Generation!$B42,"    &lt;/presentation&gt;","")</f>
        <v/>
      </c>
      <c r="B1878" s="48" t="n"/>
      <c r="C1878" s="48" t="n"/>
    </row>
    <row r="1879" ht="18" customHeight="1" s="17">
      <c r="A1879" s="48">
        <f>IF(Generation!$B42,"    &lt;resprocessing&gt;","")</f>
        <v/>
      </c>
      <c r="B1879" s="48" t="n"/>
      <c r="C1879" s="48" t="n"/>
    </row>
    <row r="1880" ht="18" customHeight="1" s="17">
      <c r="A1880" s="48">
        <f>IF(Generation!$B42,"      &lt;outcomes&gt;&lt;decvar varname=""SCORE"" vartype=""Decimal"" minvalue=""0"" maxvalue="""&amp;Generation!$H42&amp;"""/&gt;&lt;/outcomes&gt;","")</f>
        <v/>
      </c>
      <c r="B1880" s="48" t="n"/>
      <c r="C1880" s="48" t="n"/>
    </row>
    <row r="1881" ht="18" customHeight="1" s="17">
      <c r="A1881" s="48">
        <f>IF(Generation!AJ42="","",Generation!AJ42)</f>
        <v/>
      </c>
      <c r="B1881" s="48" t="n"/>
      <c r="C1881" s="48" t="n"/>
    </row>
    <row r="1882" ht="18" customHeight="1" s="17">
      <c r="A1882" s="48">
        <f>IF(Generation!AK42="","",Generation!AK42)</f>
        <v/>
      </c>
      <c r="B1882" s="48" t="n"/>
      <c r="C1882" s="48" t="n"/>
    </row>
    <row r="1883" ht="18" customHeight="1" s="17">
      <c r="A1883" s="48">
        <f>IF(Generation!AL42="","",Generation!AL42)</f>
        <v/>
      </c>
      <c r="B1883" s="48" t="n"/>
      <c r="C1883" s="48" t="n"/>
    </row>
    <row r="1884" ht="18" customHeight="1" s="17">
      <c r="A1884" s="48">
        <f>IF(Generation!AM42="","",Generation!AM42)</f>
        <v/>
      </c>
      <c r="B1884" s="48" t="n"/>
      <c r="C1884" s="48" t="n"/>
    </row>
    <row r="1885" ht="18" customHeight="1" s="17">
      <c r="A1885" s="48">
        <f>IF(Generation!AN42="","",Generation!AN42)</f>
        <v/>
      </c>
      <c r="B1885" s="48" t="n"/>
      <c r="C1885" s="48" t="n"/>
    </row>
    <row r="1886" ht="18" customHeight="1" s="17">
      <c r="A1886" s="48">
        <f>IF(Generation!AO42="","",Generation!AO42)</f>
        <v/>
      </c>
      <c r="B1886" s="48" t="n"/>
      <c r="C1886" s="48" t="n"/>
    </row>
    <row r="1887" ht="18" customHeight="1" s="17">
      <c r="A1887" s="48">
        <f>IF(Generation!AP42="","",Generation!AP42)</f>
        <v/>
      </c>
      <c r="B1887" s="48" t="n"/>
      <c r="C1887" s="48" t="n"/>
    </row>
    <row r="1888" ht="18" customHeight="1" s="17">
      <c r="A1888" s="48">
        <f>IF(Generation!AQ42="","",Generation!AQ42)</f>
        <v/>
      </c>
      <c r="B1888" s="48" t="n"/>
      <c r="C1888" s="48" t="n"/>
    </row>
    <row r="1889" ht="18" customHeight="1" s="17">
      <c r="A1889" s="48">
        <f>IF(Generation!$B42,"    &lt;/resprocessing&gt;","")</f>
        <v/>
      </c>
      <c r="B1889" s="48" t="n"/>
      <c r="C1889" s="48" t="n"/>
    </row>
    <row r="1890" ht="18" customHeight="1" s="17">
      <c r="A1890" s="48">
        <f>IF(Generation!BB42="","",Generation!BB42)</f>
        <v/>
      </c>
      <c r="B1890" s="48" t="n"/>
      <c r="C1890" s="48" t="n"/>
    </row>
    <row r="1891" ht="18" customHeight="1" s="17">
      <c r="A1891" s="48">
        <f>IF(Generation!BC42="","",Generation!BC42)</f>
        <v/>
      </c>
      <c r="B1891" s="48" t="n"/>
      <c r="C1891" s="48" t="n"/>
    </row>
    <row r="1892" ht="18" customHeight="1" s="17">
      <c r="A1892" s="48">
        <f>IF(Generation!BD42="","",Generation!BD42)</f>
        <v/>
      </c>
      <c r="B1892" s="48" t="n"/>
      <c r="C1892" s="48" t="n"/>
    </row>
    <row r="1893" ht="18" customHeight="1" s="17">
      <c r="A1893" s="48">
        <f>IF(Generation!BE42="","",Generation!BE42)</f>
        <v/>
      </c>
      <c r="B1893" s="48" t="n"/>
      <c r="C1893" s="48" t="n"/>
    </row>
    <row r="1894" ht="18" customHeight="1" s="17">
      <c r="A1894" s="48">
        <f>IF(Generation!BF42="","",Generation!BF42)</f>
        <v/>
      </c>
      <c r="B1894" s="48" t="n"/>
      <c r="C1894" s="48" t="n"/>
    </row>
    <row r="1895" ht="18" customHeight="1" s="17">
      <c r="A1895" s="48">
        <f>IF(Generation!BG42="","",Generation!BG42)</f>
        <v/>
      </c>
      <c r="B1895" s="48" t="n"/>
      <c r="C1895" s="48" t="n"/>
    </row>
    <row r="1896" ht="18" customHeight="1" s="17">
      <c r="A1896" s="48">
        <f>IF(Generation!BH42="","",Generation!BH42)</f>
        <v/>
      </c>
      <c r="B1896" s="48" t="n"/>
      <c r="C1896" s="48" t="n"/>
    </row>
    <row r="1897" ht="18" customHeight="1" s="17">
      <c r="A1897" s="48">
        <f>IF(Generation!BI42="","",Generation!BI42)</f>
        <v/>
      </c>
      <c r="B1897" s="48" t="n"/>
      <c r="C1897" s="48" t="n"/>
    </row>
    <row r="1898" ht="18" customHeight="1" s="17">
      <c r="A1898" s="48">
        <f>IF(Generation!BJ42="","",Generation!BJ42)</f>
        <v/>
      </c>
      <c r="B1898" s="48" t="n"/>
      <c r="C1898" s="48" t="n"/>
    </row>
    <row r="1899" ht="18" customHeight="1" s="17">
      <c r="A1899" s="48">
        <f>IF(Generation!$B42,"  &lt;/item&gt;","")</f>
        <v/>
      </c>
      <c r="B1899" s="48" t="n"/>
      <c r="C1899" s="48" t="n"/>
    </row>
    <row r="1900" ht="18" customHeight="1" s="17">
      <c r="A1900" s="48">
        <f>""</f>
        <v/>
      </c>
      <c r="B1900" s="48" t="n"/>
      <c r="C1900" s="48" t="n"/>
    </row>
    <row r="1901" ht="18" customHeight="1" s="17">
      <c r="A1901" s="48">
        <f>""</f>
        <v/>
      </c>
      <c r="B1901" s="48" t="n"/>
      <c r="C1901" s="48" t="n"/>
    </row>
    <row r="1902" ht="18" customHeight="1" s="17">
      <c r="A1902" s="48">
        <f>""</f>
        <v/>
      </c>
      <c r="B1902" s="48" t="n"/>
      <c r="C1902" s="48" t="n"/>
    </row>
    <row r="1903" ht="18" customHeight="1" s="17">
      <c r="A1903" s="48">
        <f>""</f>
        <v/>
      </c>
      <c r="B1903" s="48" t="n"/>
      <c r="C1903" s="48" t="n"/>
    </row>
    <row r="1904" ht="18" customHeight="1" s="17">
      <c r="A1904" s="48">
        <f>IF(Generation!$B43,"  &lt;item ident=""il_0_qst_"&amp;TEXT(Generation!$A43,"000")&amp;""" title="""&amp;Generation!$F43&amp;"""&gt;","")</f>
        <v/>
      </c>
      <c r="B1904" s="48" t="n"/>
      <c r="C1904" s="48" t="n"/>
    </row>
    <row r="1905" ht="18" customHeight="1" s="17">
      <c r="A1905" s="48">
        <f>IF(Generation!$B43,"    &lt;duration&gt;P0Y0M0DT0H1M0S&lt;/duration&gt;","")</f>
        <v/>
      </c>
      <c r="B1905" s="48" t="n"/>
      <c r="C1905" s="48" t="n"/>
    </row>
    <row r="1906" ht="18" customHeight="1" s="17">
      <c r="A1906" s="48">
        <f>IF(Generation!$B43,"    &lt;itemmetadata&gt;","")</f>
        <v/>
      </c>
      <c r="B1906" s="48" t="n"/>
      <c r="C1906" s="48" t="n"/>
    </row>
    <row r="1907" ht="18" customHeight="1" s="17">
      <c r="A1907" s="48">
        <f>IF(Generation!$B43,"      &lt;qtimetadata&gt;","")</f>
        <v/>
      </c>
      <c r="B1907" s="48" t="n"/>
      <c r="C1907" s="48" t="n"/>
    </row>
    <row r="1908" ht="18" customHeight="1" s="17">
      <c r="A1908" s="48">
        <f>IF(Generation!$B43,"        &lt;qtimetadatafield&gt;&lt;fieldlabel&gt;ILIAS_VERSION&lt;/fieldlabel&gt;&lt;fieldentry&gt;8&lt;/fieldentry&gt;&lt;/qtimetadatafield&gt;","")</f>
        <v/>
      </c>
      <c r="B1908" s="48" t="n"/>
      <c r="C1908" s="48" t="n"/>
    </row>
    <row r="1909" ht="18" customHeight="1" s="17">
      <c r="A1909" s="48">
        <f>IF(Generation!$B43,"        &lt;qtimetadatafield&gt;&lt;fieldlabel&gt;QUESTIONTYPE&lt;/fieldlabel&gt;&lt;fieldentry&gt;"&amp;Generation!$D43&amp;"&lt;/fieldentry&gt;&lt;/qtimetadatafield&gt;","")</f>
        <v/>
      </c>
      <c r="B1909" s="48" t="n"/>
      <c r="C1909" s="48" t="n"/>
    </row>
    <row r="1910" ht="18" customHeight="1" s="17">
      <c r="A1910" s="48">
        <f>IF(Generation!$B43,"        &lt;qtimetadatafield&gt;&lt;fieldlabel&gt;AUTHOR&lt;/fieldlabel&gt;&lt;fieldentry&gt;"&amp;Generation!$AR43&amp;"&lt;/fieldentry&gt;&lt;/qtimetadatafield&gt;","")</f>
        <v/>
      </c>
      <c r="B1910" s="48" t="n"/>
      <c r="C1910" s="48" t="n"/>
    </row>
    <row r="1911" ht="18" customHeight="1" s="17">
      <c r="A1911" s="48">
        <f>IF(Generation!$B43,"        &lt;qtimetadatafield&gt;&lt;fieldlabel&gt;identicalScoring&lt;/fieldlabel&gt;&lt;fieldentry&gt;1&lt;/fieldentry&gt;&lt;/qtimetadatafield&gt;","")</f>
        <v/>
      </c>
      <c r="B1911" s="48" t="n"/>
      <c r="C1911" s="48" t="n"/>
    </row>
    <row r="1912" ht="18" customHeight="1" s="17">
      <c r="A1912" s="48">
        <f>IF(Generation!$B43,"      &lt;/qtimetadata&gt;","")</f>
        <v/>
      </c>
      <c r="B1912" s="48" t="n"/>
      <c r="C1912" s="48" t="n"/>
    </row>
    <row r="1913" ht="18" customHeight="1" s="17">
      <c r="A1913" s="48">
        <f>IF(Generation!$B43,"    &lt;/itemmetadata&gt;","")</f>
        <v/>
      </c>
      <c r="B1913" s="48" t="n"/>
      <c r="C1913" s="48" t="n"/>
    </row>
    <row r="1914" ht="18" customHeight="1" s="17">
      <c r="A1914" s="48">
        <f>IF(Generation!$B43,"    &lt;presentation label="""&amp;Generation!$F43&amp;"""&gt;","")</f>
        <v/>
      </c>
      <c r="B1914" s="48" t="n"/>
      <c r="C1914" s="48" t="n"/>
    </row>
    <row r="1915" ht="18" customHeight="1" s="17">
      <c r="A1915" s="48">
        <f>IF(Generation!$B43,"      &lt;material&gt;&lt;mattext texttype=""text/html""&gt;"&amp;Generation!$G43&amp;"&lt;/mattext&gt;&lt;/material&gt;","")</f>
        <v/>
      </c>
      <c r="B1915" s="48" t="n"/>
      <c r="C1915" s="48" t="n"/>
    </row>
    <row r="1916" ht="18" customHeight="1" s="17">
      <c r="A1916" s="48">
        <f>IF(Generation!$B43,"      &lt;response_lid ident=""RESPONSE"" rcardinality="""&amp;Generation!$E43&amp;"""&gt;","")</f>
        <v/>
      </c>
      <c r="B1916" s="48" t="n"/>
      <c r="C1916" s="48" t="n"/>
    </row>
    <row r="1917" ht="18" customHeight="1" s="17">
      <c r="A1917" s="48">
        <f>IF(Generation!$B43,"        &lt;render_choice shuffle=""No""&gt;","")</f>
        <v/>
      </c>
      <c r="B1917" s="48" t="n"/>
      <c r="C1917" s="48" t="n"/>
    </row>
    <row r="1918" ht="18" customHeight="1" s="17">
      <c r="A1918" s="48">
        <f>IF(Generation!AB43="","",Generation!AB43)</f>
        <v/>
      </c>
      <c r="B1918" s="48" t="n"/>
      <c r="C1918" s="48" t="n"/>
    </row>
    <row r="1919" ht="18" customHeight="1" s="17">
      <c r="A1919" s="48">
        <f>IF(Generation!AC43="","",Generation!AC43)</f>
        <v/>
      </c>
      <c r="B1919" s="48" t="n"/>
      <c r="C1919" s="48" t="n"/>
    </row>
    <row r="1920" ht="18" customHeight="1" s="17">
      <c r="A1920" s="48">
        <f>IF(Generation!AD43="","",Generation!AD43)</f>
        <v/>
      </c>
      <c r="B1920" s="48" t="n"/>
      <c r="C1920" s="48" t="n"/>
    </row>
    <row r="1921" ht="18" customHeight="1" s="17">
      <c r="A1921" s="48">
        <f>IF(Generation!AE43="","",Generation!AE43)</f>
        <v/>
      </c>
      <c r="B1921" s="48" t="n"/>
      <c r="C1921" s="48" t="n"/>
    </row>
    <row r="1922" ht="18" customHeight="1" s="17">
      <c r="A1922" s="48">
        <f>IF(Generation!AF43="","",Generation!AF43)</f>
        <v/>
      </c>
      <c r="B1922" s="48" t="n"/>
      <c r="C1922" s="48" t="n"/>
    </row>
    <row r="1923" ht="18" customHeight="1" s="17">
      <c r="A1923" s="48">
        <f>IF(Generation!AG43="","",Generation!AG43)</f>
        <v/>
      </c>
      <c r="B1923" s="48" t="n"/>
      <c r="C1923" s="48" t="n"/>
    </row>
    <row r="1924" ht="18" customHeight="1" s="17">
      <c r="A1924" s="48">
        <f>IF(Generation!AH43="","",Generation!AH43)</f>
        <v/>
      </c>
      <c r="B1924" s="48" t="n"/>
      <c r="C1924" s="48" t="n"/>
    </row>
    <row r="1925" ht="18" customHeight="1" s="17">
      <c r="A1925" s="48">
        <f>IF(Generation!AI43="","",Generation!AI43)</f>
        <v/>
      </c>
      <c r="B1925" s="48" t="n"/>
      <c r="C1925" s="48" t="n"/>
    </row>
    <row r="1926" ht="18" customHeight="1" s="17">
      <c r="A1926" s="48">
        <f>IF(Generation!$B43,"        &lt;/render_choice&gt;","")</f>
        <v/>
      </c>
      <c r="B1926" s="48" t="n"/>
      <c r="C1926" s="48" t="n"/>
    </row>
    <row r="1927" ht="18" customHeight="1" s="17">
      <c r="A1927" s="48">
        <f>IF(Generation!$B43,"      &lt;/response_lid&gt;","")</f>
        <v/>
      </c>
      <c r="B1927" s="48" t="n"/>
      <c r="C1927" s="48" t="n"/>
    </row>
    <row r="1928" ht="18" customHeight="1" s="17">
      <c r="A1928" s="48">
        <f>IF(Generation!$B43,"    &lt;/presentation&gt;","")</f>
        <v/>
      </c>
      <c r="B1928" s="48" t="n"/>
      <c r="C1928" s="48" t="n"/>
    </row>
    <row r="1929" ht="18" customHeight="1" s="17">
      <c r="A1929" s="48">
        <f>IF(Generation!$B43,"    &lt;resprocessing&gt;","")</f>
        <v/>
      </c>
      <c r="B1929" s="48" t="n"/>
      <c r="C1929" s="48" t="n"/>
    </row>
    <row r="1930" ht="18" customHeight="1" s="17">
      <c r="A1930" s="48">
        <f>IF(Generation!$B43,"      &lt;outcomes&gt;&lt;decvar varname=""SCORE"" vartype=""Decimal"" minvalue=""0"" maxvalue="""&amp;Generation!$H43&amp;"""/&gt;&lt;/outcomes&gt;","")</f>
        <v/>
      </c>
      <c r="B1930" s="48" t="n"/>
      <c r="C1930" s="48" t="n"/>
    </row>
    <row r="1931" ht="18" customHeight="1" s="17">
      <c r="A1931" s="48">
        <f>IF(Generation!AJ43="","",Generation!AJ43)</f>
        <v/>
      </c>
      <c r="B1931" s="48" t="n"/>
      <c r="C1931" s="48" t="n"/>
    </row>
    <row r="1932" ht="18" customHeight="1" s="17">
      <c r="A1932" s="48">
        <f>IF(Generation!AK43="","",Generation!AK43)</f>
        <v/>
      </c>
      <c r="B1932" s="48" t="n"/>
      <c r="C1932" s="48" t="n"/>
    </row>
    <row r="1933" ht="18" customHeight="1" s="17">
      <c r="A1933" s="48">
        <f>IF(Generation!AL43="","",Generation!AL43)</f>
        <v/>
      </c>
      <c r="B1933" s="48" t="n"/>
      <c r="C1933" s="48" t="n"/>
    </row>
    <row r="1934" ht="18" customHeight="1" s="17">
      <c r="A1934" s="48">
        <f>IF(Generation!AM43="","",Generation!AM43)</f>
        <v/>
      </c>
      <c r="B1934" s="48" t="n"/>
      <c r="C1934" s="48" t="n"/>
    </row>
    <row r="1935" ht="18" customHeight="1" s="17">
      <c r="A1935" s="48">
        <f>IF(Generation!AN43="","",Generation!AN43)</f>
        <v/>
      </c>
      <c r="B1935" s="48" t="n"/>
      <c r="C1935" s="48" t="n"/>
    </row>
    <row r="1936" ht="18" customHeight="1" s="17">
      <c r="A1936" s="48">
        <f>IF(Generation!AO43="","",Generation!AO43)</f>
        <v/>
      </c>
      <c r="B1936" s="48" t="n"/>
      <c r="C1936" s="48" t="n"/>
    </row>
    <row r="1937" ht="18" customHeight="1" s="17">
      <c r="A1937" s="48">
        <f>IF(Generation!AP43="","",Generation!AP43)</f>
        <v/>
      </c>
      <c r="B1937" s="48" t="n"/>
      <c r="C1937" s="48" t="n"/>
    </row>
    <row r="1938" ht="18" customHeight="1" s="17">
      <c r="A1938" s="48">
        <f>IF(Generation!AQ43="","",Generation!AQ43)</f>
        <v/>
      </c>
      <c r="B1938" s="48" t="n"/>
      <c r="C1938" s="48" t="n"/>
    </row>
    <row r="1939" ht="18" customHeight="1" s="17">
      <c r="A1939" s="48">
        <f>IF(Generation!$B43,"    &lt;/resprocessing&gt;","")</f>
        <v/>
      </c>
      <c r="B1939" s="48" t="n"/>
      <c r="C1939" s="48" t="n"/>
    </row>
    <row r="1940" ht="18" customHeight="1" s="17">
      <c r="A1940" s="48">
        <f>IF(Generation!BB43="","",Generation!BB43)</f>
        <v/>
      </c>
      <c r="B1940" s="48" t="n"/>
      <c r="C1940" s="48" t="n"/>
    </row>
    <row r="1941" ht="18" customHeight="1" s="17">
      <c r="A1941" s="48">
        <f>IF(Generation!BC43="","",Generation!BC43)</f>
        <v/>
      </c>
      <c r="B1941" s="48" t="n"/>
      <c r="C1941" s="48" t="n"/>
    </row>
    <row r="1942" ht="18" customHeight="1" s="17">
      <c r="A1942" s="48">
        <f>IF(Generation!BD43="","",Generation!BD43)</f>
        <v/>
      </c>
      <c r="B1942" s="48" t="n"/>
      <c r="C1942" s="48" t="n"/>
    </row>
    <row r="1943" ht="18" customHeight="1" s="17">
      <c r="A1943" s="48">
        <f>IF(Generation!BE43="","",Generation!BE43)</f>
        <v/>
      </c>
      <c r="B1943" s="48" t="n"/>
      <c r="C1943" s="48" t="n"/>
    </row>
    <row r="1944" ht="18" customHeight="1" s="17">
      <c r="A1944" s="48">
        <f>IF(Generation!BF43="","",Generation!BF43)</f>
        <v/>
      </c>
      <c r="B1944" s="48" t="n"/>
      <c r="C1944" s="48" t="n"/>
    </row>
    <row r="1945" ht="18" customHeight="1" s="17">
      <c r="A1945" s="48">
        <f>IF(Generation!BG43="","",Generation!BG43)</f>
        <v/>
      </c>
      <c r="B1945" s="48" t="n"/>
      <c r="C1945" s="48" t="n"/>
    </row>
    <row r="1946" ht="18" customHeight="1" s="17">
      <c r="A1946" s="48">
        <f>IF(Generation!BH43="","",Generation!BH43)</f>
        <v/>
      </c>
      <c r="B1946" s="48" t="n"/>
      <c r="C1946" s="48" t="n"/>
    </row>
    <row r="1947" ht="18" customHeight="1" s="17">
      <c r="A1947" s="48">
        <f>IF(Generation!BI43="","",Generation!BI43)</f>
        <v/>
      </c>
      <c r="B1947" s="48" t="n"/>
      <c r="C1947" s="48" t="n"/>
    </row>
    <row r="1948" ht="18" customHeight="1" s="17">
      <c r="A1948" s="48">
        <f>IF(Generation!BJ43="","",Generation!BJ43)</f>
        <v/>
      </c>
      <c r="B1948" s="48" t="n"/>
      <c r="C1948" s="48" t="n"/>
    </row>
    <row r="1949" ht="18" customHeight="1" s="17">
      <c r="A1949" s="48">
        <f>IF(Generation!$B43,"  &lt;/item&gt;","")</f>
        <v/>
      </c>
      <c r="B1949" s="48" t="n"/>
      <c r="C1949" s="48" t="n"/>
    </row>
    <row r="1950" ht="18" customHeight="1" s="17">
      <c r="A1950" s="48">
        <f>""</f>
        <v/>
      </c>
      <c r="B1950" s="48" t="n"/>
      <c r="C1950" s="48" t="n"/>
    </row>
    <row r="1951" ht="18" customHeight="1" s="17">
      <c r="A1951" s="48">
        <f>""</f>
        <v/>
      </c>
      <c r="B1951" s="48" t="n"/>
      <c r="C1951" s="48" t="n"/>
    </row>
    <row r="1952" ht="18" customHeight="1" s="17">
      <c r="A1952" s="48">
        <f>""</f>
        <v/>
      </c>
      <c r="B1952" s="48" t="n"/>
      <c r="C1952" s="48" t="n"/>
    </row>
    <row r="1953" ht="18" customHeight="1" s="17">
      <c r="A1953" s="48">
        <f>""</f>
        <v/>
      </c>
      <c r="B1953" s="48" t="n"/>
      <c r="C1953" s="48" t="n"/>
    </row>
    <row r="1954" ht="18" customHeight="1" s="17">
      <c r="A1954" s="48">
        <f>IF(Generation!$B44,"  &lt;item ident=""il_0_qst_"&amp;TEXT(Generation!$A44,"000")&amp;""" title="""&amp;Generation!$F44&amp;"""&gt;","")</f>
        <v/>
      </c>
      <c r="B1954" s="48" t="n"/>
      <c r="C1954" s="48" t="n"/>
    </row>
    <row r="1955" ht="18" customHeight="1" s="17">
      <c r="A1955" s="48">
        <f>IF(Generation!$B44,"    &lt;duration&gt;P0Y0M0DT0H1M0S&lt;/duration&gt;","")</f>
        <v/>
      </c>
      <c r="B1955" s="48" t="n"/>
      <c r="C1955" s="48" t="n"/>
    </row>
    <row r="1956" ht="18" customHeight="1" s="17">
      <c r="A1956" s="48">
        <f>IF(Generation!$B44,"    &lt;itemmetadata&gt;","")</f>
        <v/>
      </c>
      <c r="B1956" s="48" t="n"/>
      <c r="C1956" s="48" t="n"/>
    </row>
    <row r="1957" ht="18" customHeight="1" s="17">
      <c r="A1957" s="48">
        <f>IF(Generation!$B44,"      &lt;qtimetadata&gt;","")</f>
        <v/>
      </c>
      <c r="B1957" s="48" t="n"/>
      <c r="C1957" s="48" t="n"/>
    </row>
    <row r="1958" ht="18" customHeight="1" s="17">
      <c r="A1958" s="48">
        <f>IF(Generation!$B44,"        &lt;qtimetadatafield&gt;&lt;fieldlabel&gt;ILIAS_VERSION&lt;/fieldlabel&gt;&lt;fieldentry&gt;8&lt;/fieldentry&gt;&lt;/qtimetadatafield&gt;","")</f>
        <v/>
      </c>
      <c r="B1958" s="48" t="n"/>
      <c r="C1958" s="48" t="n"/>
    </row>
    <row r="1959" ht="18" customHeight="1" s="17">
      <c r="A1959" s="48">
        <f>IF(Generation!$B44,"        &lt;qtimetadatafield&gt;&lt;fieldlabel&gt;QUESTIONTYPE&lt;/fieldlabel&gt;&lt;fieldentry&gt;"&amp;Generation!$D44&amp;"&lt;/fieldentry&gt;&lt;/qtimetadatafield&gt;","")</f>
        <v/>
      </c>
      <c r="B1959" s="48" t="n"/>
      <c r="C1959" s="48" t="n"/>
    </row>
    <row r="1960" ht="18" customHeight="1" s="17">
      <c r="A1960" s="48">
        <f>IF(Generation!$B44,"        &lt;qtimetadatafield&gt;&lt;fieldlabel&gt;AUTHOR&lt;/fieldlabel&gt;&lt;fieldentry&gt;"&amp;Generation!$AR44&amp;"&lt;/fieldentry&gt;&lt;/qtimetadatafield&gt;","")</f>
        <v/>
      </c>
      <c r="B1960" s="48" t="n"/>
      <c r="C1960" s="48" t="n"/>
    </row>
    <row r="1961" ht="18" customHeight="1" s="17">
      <c r="A1961" s="48">
        <f>IF(Generation!$B44,"        &lt;qtimetadatafield&gt;&lt;fieldlabel&gt;identicalScoring&lt;/fieldlabel&gt;&lt;fieldentry&gt;1&lt;/fieldentry&gt;&lt;/qtimetadatafield&gt;","")</f>
        <v/>
      </c>
      <c r="B1961" s="48" t="n"/>
      <c r="C1961" s="48" t="n"/>
    </row>
    <row r="1962" ht="18" customHeight="1" s="17">
      <c r="A1962" s="48">
        <f>IF(Generation!$B44,"      &lt;/qtimetadata&gt;","")</f>
        <v/>
      </c>
      <c r="B1962" s="48" t="n"/>
      <c r="C1962" s="48" t="n"/>
    </row>
    <row r="1963" ht="18" customHeight="1" s="17">
      <c r="A1963" s="48">
        <f>IF(Generation!$B44,"    &lt;/itemmetadata&gt;","")</f>
        <v/>
      </c>
      <c r="B1963" s="48" t="n"/>
      <c r="C1963" s="48" t="n"/>
    </row>
    <row r="1964" ht="18" customHeight="1" s="17">
      <c r="A1964" s="48">
        <f>IF(Generation!$B44,"    &lt;presentation label="""&amp;Generation!$F44&amp;"""&gt;","")</f>
        <v/>
      </c>
      <c r="B1964" s="48" t="n"/>
      <c r="C1964" s="48" t="n"/>
    </row>
    <row r="1965" ht="18" customHeight="1" s="17">
      <c r="A1965" s="48">
        <f>IF(Generation!$B44,"      &lt;material&gt;&lt;mattext texttype=""text/html""&gt;"&amp;Generation!$G44&amp;"&lt;/mattext&gt;&lt;/material&gt;","")</f>
        <v/>
      </c>
      <c r="B1965" s="48" t="n"/>
      <c r="C1965" s="48" t="n"/>
    </row>
    <row r="1966" ht="18" customHeight="1" s="17">
      <c r="A1966" s="48">
        <f>IF(Generation!$B44,"      &lt;response_lid ident=""RESPONSE"" rcardinality="""&amp;Generation!$E44&amp;"""&gt;","")</f>
        <v/>
      </c>
      <c r="B1966" s="48" t="n"/>
      <c r="C1966" s="48" t="n"/>
    </row>
    <row r="1967" ht="18" customHeight="1" s="17">
      <c r="A1967" s="48">
        <f>IF(Generation!$B44,"        &lt;render_choice shuffle=""No""&gt;","")</f>
        <v/>
      </c>
      <c r="B1967" s="48" t="n"/>
      <c r="C1967" s="48" t="n"/>
    </row>
    <row r="1968" ht="18" customHeight="1" s="17">
      <c r="A1968" s="48">
        <f>IF(Generation!AB44="","",Generation!AB44)</f>
        <v/>
      </c>
      <c r="B1968" s="48" t="n"/>
      <c r="C1968" s="48" t="n"/>
    </row>
    <row r="1969" ht="18" customHeight="1" s="17">
      <c r="A1969" s="48">
        <f>IF(Generation!AC44="","",Generation!AC44)</f>
        <v/>
      </c>
      <c r="B1969" s="48" t="n"/>
      <c r="C1969" s="48" t="n"/>
    </row>
    <row r="1970" ht="18" customHeight="1" s="17">
      <c r="A1970" s="48">
        <f>IF(Generation!AD44="","",Generation!AD44)</f>
        <v/>
      </c>
      <c r="B1970" s="48" t="n"/>
      <c r="C1970" s="48" t="n"/>
    </row>
    <row r="1971" ht="18" customHeight="1" s="17">
      <c r="A1971" s="48">
        <f>IF(Generation!AE44="","",Generation!AE44)</f>
        <v/>
      </c>
      <c r="B1971" s="48" t="n"/>
      <c r="C1971" s="48" t="n"/>
    </row>
    <row r="1972" ht="18" customHeight="1" s="17">
      <c r="A1972" s="48">
        <f>IF(Generation!AF44="","",Generation!AF44)</f>
        <v/>
      </c>
      <c r="B1972" s="48" t="n"/>
      <c r="C1972" s="48" t="n"/>
    </row>
    <row r="1973" ht="18" customHeight="1" s="17">
      <c r="A1973" s="48">
        <f>IF(Generation!AG44="","",Generation!AG44)</f>
        <v/>
      </c>
      <c r="B1973" s="48" t="n"/>
      <c r="C1973" s="48" t="n"/>
    </row>
    <row r="1974" ht="18" customHeight="1" s="17">
      <c r="A1974" s="48">
        <f>IF(Generation!AH44="","",Generation!AH44)</f>
        <v/>
      </c>
      <c r="B1974" s="48" t="n"/>
      <c r="C1974" s="48" t="n"/>
    </row>
    <row r="1975" ht="18" customHeight="1" s="17">
      <c r="A1975" s="48">
        <f>IF(Generation!AI44="","",Generation!AI44)</f>
        <v/>
      </c>
      <c r="B1975" s="48" t="n"/>
      <c r="C1975" s="48" t="n"/>
    </row>
    <row r="1976" ht="18" customHeight="1" s="17">
      <c r="A1976" s="48">
        <f>IF(Generation!$B44,"        &lt;/render_choice&gt;","")</f>
        <v/>
      </c>
      <c r="B1976" s="48" t="n"/>
      <c r="C1976" s="48" t="n"/>
    </row>
    <row r="1977" ht="18" customHeight="1" s="17">
      <c r="A1977" s="48">
        <f>IF(Generation!$B44,"      &lt;/response_lid&gt;","")</f>
        <v/>
      </c>
      <c r="B1977" s="48" t="n"/>
      <c r="C1977" s="48" t="n"/>
    </row>
    <row r="1978" ht="18" customHeight="1" s="17">
      <c r="A1978" s="48">
        <f>IF(Generation!$B44,"    &lt;/presentation&gt;","")</f>
        <v/>
      </c>
      <c r="B1978" s="48" t="n"/>
      <c r="C1978" s="48" t="n"/>
    </row>
    <row r="1979" ht="18" customHeight="1" s="17">
      <c r="A1979" s="48">
        <f>IF(Generation!$B44,"    &lt;resprocessing&gt;","")</f>
        <v/>
      </c>
      <c r="B1979" s="48" t="n"/>
      <c r="C1979" s="48" t="n"/>
    </row>
    <row r="1980" ht="18" customHeight="1" s="17">
      <c r="A1980" s="48">
        <f>IF(Generation!$B44,"      &lt;outcomes&gt;&lt;decvar varname=""SCORE"" vartype=""Decimal"" minvalue=""0"" maxvalue="""&amp;Generation!$H44&amp;"""/&gt;&lt;/outcomes&gt;","")</f>
        <v/>
      </c>
      <c r="B1980" s="48" t="n"/>
      <c r="C1980" s="48" t="n"/>
    </row>
    <row r="1981" ht="18" customHeight="1" s="17">
      <c r="A1981" s="48">
        <f>IF(Generation!AJ44="","",Generation!AJ44)</f>
        <v/>
      </c>
      <c r="B1981" s="48" t="n"/>
      <c r="C1981" s="48" t="n"/>
    </row>
    <row r="1982" ht="18" customHeight="1" s="17">
      <c r="A1982" s="48">
        <f>IF(Generation!AK44="","",Generation!AK44)</f>
        <v/>
      </c>
      <c r="B1982" s="48" t="n"/>
      <c r="C1982" s="48" t="n"/>
    </row>
    <row r="1983" ht="18" customHeight="1" s="17">
      <c r="A1983" s="48">
        <f>IF(Generation!AL44="","",Generation!AL44)</f>
        <v/>
      </c>
      <c r="B1983" s="48" t="n"/>
      <c r="C1983" s="48" t="n"/>
    </row>
    <row r="1984" ht="18" customHeight="1" s="17">
      <c r="A1984" s="48">
        <f>IF(Generation!AM44="","",Generation!AM44)</f>
        <v/>
      </c>
      <c r="B1984" s="48" t="n"/>
      <c r="C1984" s="48" t="n"/>
    </row>
    <row r="1985" ht="18" customHeight="1" s="17">
      <c r="A1985" s="48">
        <f>IF(Generation!AN44="","",Generation!AN44)</f>
        <v/>
      </c>
      <c r="B1985" s="48" t="n"/>
      <c r="C1985" s="48" t="n"/>
    </row>
    <row r="1986" ht="18" customHeight="1" s="17">
      <c r="A1986" s="48">
        <f>IF(Generation!AO44="","",Generation!AO44)</f>
        <v/>
      </c>
      <c r="B1986" s="48" t="n"/>
      <c r="C1986" s="48" t="n"/>
    </row>
    <row r="1987" ht="18" customHeight="1" s="17">
      <c r="A1987" s="48">
        <f>IF(Generation!AP44="","",Generation!AP44)</f>
        <v/>
      </c>
      <c r="B1987" s="48" t="n"/>
      <c r="C1987" s="48" t="n"/>
    </row>
    <row r="1988" ht="18" customHeight="1" s="17">
      <c r="A1988" s="48">
        <f>IF(Generation!AQ44="","",Generation!AQ44)</f>
        <v/>
      </c>
      <c r="B1988" s="48" t="n"/>
      <c r="C1988" s="48" t="n"/>
    </row>
    <row r="1989" ht="18" customHeight="1" s="17">
      <c r="A1989" s="48">
        <f>IF(Generation!$B44,"    &lt;/resprocessing&gt;","")</f>
        <v/>
      </c>
      <c r="B1989" s="48" t="n"/>
      <c r="C1989" s="48" t="n"/>
    </row>
    <row r="1990" ht="18" customHeight="1" s="17">
      <c r="A1990" s="48">
        <f>IF(Generation!BB44="","",Generation!BB44)</f>
        <v/>
      </c>
      <c r="B1990" s="48" t="n"/>
      <c r="C1990" s="48" t="n"/>
    </row>
    <row r="1991" ht="18" customHeight="1" s="17">
      <c r="A1991" s="48">
        <f>IF(Generation!BC44="","",Generation!BC44)</f>
        <v/>
      </c>
      <c r="B1991" s="48" t="n"/>
      <c r="C1991" s="48" t="n"/>
    </row>
    <row r="1992" ht="18" customHeight="1" s="17">
      <c r="A1992" s="48">
        <f>IF(Generation!BD44="","",Generation!BD44)</f>
        <v/>
      </c>
      <c r="B1992" s="48" t="n"/>
      <c r="C1992" s="48" t="n"/>
    </row>
    <row r="1993" ht="18" customHeight="1" s="17">
      <c r="A1993" s="48">
        <f>IF(Generation!BE44="","",Generation!BE44)</f>
        <v/>
      </c>
      <c r="B1993" s="48" t="n"/>
      <c r="C1993" s="48" t="n"/>
    </row>
    <row r="1994" ht="18" customHeight="1" s="17">
      <c r="A1994" s="48">
        <f>IF(Generation!BF44="","",Generation!BF44)</f>
        <v/>
      </c>
      <c r="B1994" s="48" t="n"/>
      <c r="C1994" s="48" t="n"/>
    </row>
    <row r="1995" ht="18" customHeight="1" s="17">
      <c r="A1995" s="48">
        <f>IF(Generation!BG44="","",Generation!BG44)</f>
        <v/>
      </c>
      <c r="B1995" s="48" t="n"/>
      <c r="C1995" s="48" t="n"/>
    </row>
    <row r="1996" ht="18" customHeight="1" s="17">
      <c r="A1996" s="48">
        <f>IF(Generation!BH44="","",Generation!BH44)</f>
        <v/>
      </c>
      <c r="B1996" s="48" t="n"/>
      <c r="C1996" s="48" t="n"/>
    </row>
    <row r="1997" ht="18" customHeight="1" s="17">
      <c r="A1997" s="48">
        <f>IF(Generation!BI44="","",Generation!BI44)</f>
        <v/>
      </c>
      <c r="B1997" s="48" t="n"/>
      <c r="C1997" s="48" t="n"/>
    </row>
    <row r="1998" ht="18" customHeight="1" s="17">
      <c r="A1998" s="48">
        <f>IF(Generation!BJ44="","",Generation!BJ44)</f>
        <v/>
      </c>
      <c r="B1998" s="48" t="n"/>
      <c r="C1998" s="48" t="n"/>
    </row>
    <row r="1999" ht="18" customHeight="1" s="17">
      <c r="A1999" s="48">
        <f>IF(Generation!$B44,"  &lt;/item&gt;","")</f>
        <v/>
      </c>
      <c r="B1999" s="48" t="n"/>
      <c r="C1999" s="48" t="n"/>
    </row>
    <row r="2000" ht="18" customHeight="1" s="17">
      <c r="A2000" s="48">
        <f>""</f>
        <v/>
      </c>
      <c r="B2000" s="48" t="n"/>
      <c r="C2000" s="48" t="n"/>
    </row>
    <row r="2001" ht="18" customHeight="1" s="17">
      <c r="A2001" s="48">
        <f>""</f>
        <v/>
      </c>
      <c r="B2001" s="48" t="n"/>
      <c r="C2001" s="48" t="n"/>
    </row>
    <row r="2002" ht="18" customHeight="1" s="17">
      <c r="A2002" s="48">
        <f>""</f>
        <v/>
      </c>
      <c r="B2002" s="48" t="n"/>
      <c r="C2002" s="48" t="n"/>
    </row>
    <row r="2003" ht="18" customHeight="1" s="17">
      <c r="A2003" s="48">
        <f>""</f>
        <v/>
      </c>
      <c r="B2003" s="48" t="n"/>
      <c r="C2003" s="48" t="n"/>
    </row>
    <row r="2004" ht="18" customHeight="1" s="17">
      <c r="A2004" s="48">
        <f>IF(Generation!$B45,"  &lt;item ident=""il_0_qst_"&amp;TEXT(Generation!$A45,"000")&amp;""" title="""&amp;Generation!$F45&amp;"""&gt;","")</f>
        <v/>
      </c>
      <c r="B2004" s="48" t="n"/>
      <c r="C2004" s="48" t="n"/>
    </row>
    <row r="2005" ht="18" customHeight="1" s="17">
      <c r="A2005" s="48">
        <f>IF(Generation!$B45,"    &lt;duration&gt;P0Y0M0DT0H1M0S&lt;/duration&gt;","")</f>
        <v/>
      </c>
      <c r="B2005" s="48" t="n"/>
      <c r="C2005" s="48" t="n"/>
    </row>
    <row r="2006" ht="18" customHeight="1" s="17">
      <c r="A2006" s="48">
        <f>IF(Generation!$B45,"    &lt;itemmetadata&gt;","")</f>
        <v/>
      </c>
      <c r="B2006" s="48" t="n"/>
      <c r="C2006" s="48" t="n"/>
    </row>
    <row r="2007" ht="18" customHeight="1" s="17">
      <c r="A2007" s="48">
        <f>IF(Generation!$B45,"      &lt;qtimetadata&gt;","")</f>
        <v/>
      </c>
      <c r="B2007" s="48" t="n"/>
      <c r="C2007" s="48" t="n"/>
    </row>
    <row r="2008" ht="18" customHeight="1" s="17">
      <c r="A2008" s="48">
        <f>IF(Generation!$B45,"        &lt;qtimetadatafield&gt;&lt;fieldlabel&gt;ILIAS_VERSION&lt;/fieldlabel&gt;&lt;fieldentry&gt;8&lt;/fieldentry&gt;&lt;/qtimetadatafield&gt;","")</f>
        <v/>
      </c>
      <c r="B2008" s="48" t="n"/>
      <c r="C2008" s="48" t="n"/>
    </row>
    <row r="2009" ht="18" customHeight="1" s="17">
      <c r="A2009" s="48">
        <f>IF(Generation!$B45,"        &lt;qtimetadatafield&gt;&lt;fieldlabel&gt;QUESTIONTYPE&lt;/fieldlabel&gt;&lt;fieldentry&gt;"&amp;Generation!$D45&amp;"&lt;/fieldentry&gt;&lt;/qtimetadatafield&gt;","")</f>
        <v/>
      </c>
      <c r="B2009" s="48" t="n"/>
      <c r="C2009" s="48" t="n"/>
    </row>
    <row r="2010" ht="18" customHeight="1" s="17">
      <c r="A2010" s="48">
        <f>IF(Generation!$B45,"        &lt;qtimetadatafield&gt;&lt;fieldlabel&gt;AUTHOR&lt;/fieldlabel&gt;&lt;fieldentry&gt;"&amp;Generation!$AR45&amp;"&lt;/fieldentry&gt;&lt;/qtimetadatafield&gt;","")</f>
        <v/>
      </c>
      <c r="B2010" s="48" t="n"/>
      <c r="C2010" s="48" t="n"/>
    </row>
    <row r="2011" ht="18" customHeight="1" s="17">
      <c r="A2011" s="48">
        <f>IF(Generation!$B45,"        &lt;qtimetadatafield&gt;&lt;fieldlabel&gt;identicalScoring&lt;/fieldlabel&gt;&lt;fieldentry&gt;1&lt;/fieldentry&gt;&lt;/qtimetadatafield&gt;","")</f>
        <v/>
      </c>
      <c r="B2011" s="48" t="n"/>
      <c r="C2011" s="48" t="n"/>
    </row>
    <row r="2012" ht="18" customHeight="1" s="17">
      <c r="A2012" s="48">
        <f>IF(Generation!$B45,"      &lt;/qtimetadata&gt;","")</f>
        <v/>
      </c>
      <c r="B2012" s="48" t="n"/>
      <c r="C2012" s="48" t="n"/>
    </row>
    <row r="2013" ht="18" customHeight="1" s="17">
      <c r="A2013" s="48">
        <f>IF(Generation!$B45,"    &lt;/itemmetadata&gt;","")</f>
        <v/>
      </c>
      <c r="B2013" s="48" t="n"/>
      <c r="C2013" s="48" t="n"/>
    </row>
    <row r="2014" ht="18" customHeight="1" s="17">
      <c r="A2014" s="48">
        <f>IF(Generation!$B45,"    &lt;presentation label="""&amp;Generation!$F45&amp;"""&gt;","")</f>
        <v/>
      </c>
      <c r="B2014" s="48" t="n"/>
      <c r="C2014" s="48" t="n"/>
    </row>
    <row r="2015" ht="18" customHeight="1" s="17">
      <c r="A2015" s="48">
        <f>IF(Generation!$B45,"      &lt;material&gt;&lt;mattext texttype=""text/html""&gt;"&amp;Generation!$G45&amp;"&lt;/mattext&gt;&lt;/material&gt;","")</f>
        <v/>
      </c>
      <c r="B2015" s="48" t="n"/>
      <c r="C2015" s="48" t="n"/>
    </row>
    <row r="2016" ht="18" customHeight="1" s="17">
      <c r="A2016" s="48">
        <f>IF(Generation!$B45,"      &lt;response_lid ident=""RESPONSE"" rcardinality="""&amp;Generation!$E45&amp;"""&gt;","")</f>
        <v/>
      </c>
      <c r="B2016" s="48" t="n"/>
      <c r="C2016" s="48" t="n"/>
    </row>
    <row r="2017" ht="18" customHeight="1" s="17">
      <c r="A2017" s="48">
        <f>IF(Generation!$B45,"        &lt;render_choice shuffle=""No""&gt;","")</f>
        <v/>
      </c>
      <c r="B2017" s="48" t="n"/>
      <c r="C2017" s="48" t="n"/>
    </row>
    <row r="2018" ht="18" customHeight="1" s="17">
      <c r="A2018" s="48">
        <f>IF(Generation!AB45="","",Generation!AB45)</f>
        <v/>
      </c>
      <c r="B2018" s="48" t="n"/>
      <c r="C2018" s="48" t="n"/>
    </row>
    <row r="2019" ht="18" customHeight="1" s="17">
      <c r="A2019" s="48">
        <f>IF(Generation!AC45="","",Generation!AC45)</f>
        <v/>
      </c>
      <c r="B2019" s="48" t="n"/>
      <c r="C2019" s="48" t="n"/>
    </row>
    <row r="2020" ht="18" customHeight="1" s="17">
      <c r="A2020" s="48">
        <f>IF(Generation!AD45="","",Generation!AD45)</f>
        <v/>
      </c>
      <c r="B2020" s="48" t="n"/>
      <c r="C2020" s="48" t="n"/>
    </row>
    <row r="2021" ht="18" customHeight="1" s="17">
      <c r="A2021" s="48">
        <f>IF(Generation!AE45="","",Generation!AE45)</f>
        <v/>
      </c>
      <c r="B2021" s="48" t="n"/>
      <c r="C2021" s="48" t="n"/>
    </row>
    <row r="2022" ht="18" customHeight="1" s="17">
      <c r="A2022" s="48">
        <f>IF(Generation!AF45="","",Generation!AF45)</f>
        <v/>
      </c>
      <c r="B2022" s="48" t="n"/>
      <c r="C2022" s="48" t="n"/>
    </row>
    <row r="2023" ht="18" customHeight="1" s="17">
      <c r="A2023" s="48">
        <f>IF(Generation!AG45="","",Generation!AG45)</f>
        <v/>
      </c>
      <c r="B2023" s="48" t="n"/>
      <c r="C2023" s="48" t="n"/>
    </row>
    <row r="2024" ht="18" customHeight="1" s="17">
      <c r="A2024" s="48">
        <f>IF(Generation!AH45="","",Generation!AH45)</f>
        <v/>
      </c>
      <c r="B2024" s="48" t="n"/>
      <c r="C2024" s="48" t="n"/>
    </row>
    <row r="2025" ht="18" customHeight="1" s="17">
      <c r="A2025" s="48">
        <f>IF(Generation!AI45="","",Generation!AI45)</f>
        <v/>
      </c>
      <c r="B2025" s="48" t="n"/>
      <c r="C2025" s="48" t="n"/>
    </row>
    <row r="2026" ht="18" customHeight="1" s="17">
      <c r="A2026" s="48">
        <f>IF(Generation!$B45,"        &lt;/render_choice&gt;","")</f>
        <v/>
      </c>
      <c r="B2026" s="48" t="n"/>
      <c r="C2026" s="48" t="n"/>
    </row>
    <row r="2027" ht="18" customHeight="1" s="17">
      <c r="A2027" s="48">
        <f>IF(Generation!$B45,"      &lt;/response_lid&gt;","")</f>
        <v/>
      </c>
      <c r="B2027" s="48" t="n"/>
      <c r="C2027" s="48" t="n"/>
    </row>
    <row r="2028" ht="18" customHeight="1" s="17">
      <c r="A2028" s="48">
        <f>IF(Generation!$B45,"    &lt;/presentation&gt;","")</f>
        <v/>
      </c>
      <c r="B2028" s="48" t="n"/>
      <c r="C2028" s="48" t="n"/>
    </row>
    <row r="2029" ht="18" customHeight="1" s="17">
      <c r="A2029" s="48">
        <f>IF(Generation!$B45,"    &lt;resprocessing&gt;","")</f>
        <v/>
      </c>
      <c r="B2029" s="48" t="n"/>
      <c r="C2029" s="48" t="n"/>
    </row>
    <row r="2030" ht="18" customHeight="1" s="17">
      <c r="A2030" s="48">
        <f>IF(Generation!$B45,"      &lt;outcomes&gt;&lt;decvar varname=""SCORE"" vartype=""Decimal"" minvalue=""0"" maxvalue="""&amp;Generation!$H45&amp;"""/&gt;&lt;/outcomes&gt;","")</f>
        <v/>
      </c>
      <c r="B2030" s="48" t="n"/>
      <c r="C2030" s="48" t="n"/>
    </row>
    <row r="2031" ht="18" customHeight="1" s="17">
      <c r="A2031" s="48">
        <f>IF(Generation!AJ45="","",Generation!AJ45)</f>
        <v/>
      </c>
      <c r="B2031" s="48" t="n"/>
      <c r="C2031" s="48" t="n"/>
    </row>
    <row r="2032" ht="18" customHeight="1" s="17">
      <c r="A2032" s="48">
        <f>IF(Generation!AK45="","",Generation!AK45)</f>
        <v/>
      </c>
      <c r="B2032" s="48" t="n"/>
      <c r="C2032" s="48" t="n"/>
    </row>
    <row r="2033" ht="18" customHeight="1" s="17">
      <c r="A2033" s="48">
        <f>IF(Generation!AL45="","",Generation!AL45)</f>
        <v/>
      </c>
      <c r="B2033" s="48" t="n"/>
      <c r="C2033" s="48" t="n"/>
    </row>
    <row r="2034" ht="18" customHeight="1" s="17">
      <c r="A2034" s="48">
        <f>IF(Generation!AM45="","",Generation!AM45)</f>
        <v/>
      </c>
      <c r="B2034" s="48" t="n"/>
      <c r="C2034" s="48" t="n"/>
    </row>
    <row r="2035" ht="18" customHeight="1" s="17">
      <c r="A2035" s="48">
        <f>IF(Generation!AN45="","",Generation!AN45)</f>
        <v/>
      </c>
      <c r="B2035" s="48" t="n"/>
      <c r="C2035" s="48" t="n"/>
    </row>
    <row r="2036" ht="18" customHeight="1" s="17">
      <c r="A2036" s="48">
        <f>IF(Generation!AO45="","",Generation!AO45)</f>
        <v/>
      </c>
      <c r="B2036" s="48" t="n"/>
      <c r="C2036" s="48" t="n"/>
    </row>
    <row r="2037" ht="18" customHeight="1" s="17">
      <c r="A2037" s="48">
        <f>IF(Generation!AP45="","",Generation!AP45)</f>
        <v/>
      </c>
      <c r="B2037" s="48" t="n"/>
      <c r="C2037" s="48" t="n"/>
    </row>
    <row r="2038" ht="18" customHeight="1" s="17">
      <c r="A2038" s="48">
        <f>IF(Generation!AQ45="","",Generation!AQ45)</f>
        <v/>
      </c>
      <c r="B2038" s="48" t="n"/>
      <c r="C2038" s="48" t="n"/>
    </row>
    <row r="2039" ht="18" customHeight="1" s="17">
      <c r="A2039" s="48">
        <f>IF(Generation!$B45,"    &lt;/resprocessing&gt;","")</f>
        <v/>
      </c>
      <c r="B2039" s="48" t="n"/>
      <c r="C2039" s="48" t="n"/>
    </row>
    <row r="2040" ht="18" customHeight="1" s="17">
      <c r="A2040" s="48">
        <f>IF(Generation!BB45="","",Generation!BB45)</f>
        <v/>
      </c>
      <c r="B2040" s="48" t="n"/>
      <c r="C2040" s="48" t="n"/>
    </row>
    <row r="2041" ht="18" customHeight="1" s="17">
      <c r="A2041" s="48">
        <f>IF(Generation!BC45="","",Generation!BC45)</f>
        <v/>
      </c>
      <c r="B2041" s="48" t="n"/>
      <c r="C2041" s="48" t="n"/>
    </row>
    <row r="2042" ht="18" customHeight="1" s="17">
      <c r="A2042" s="48">
        <f>IF(Generation!BD45="","",Generation!BD45)</f>
        <v/>
      </c>
      <c r="B2042" s="48" t="n"/>
      <c r="C2042" s="48" t="n"/>
    </row>
    <row r="2043" ht="18" customHeight="1" s="17">
      <c r="A2043" s="48">
        <f>IF(Generation!BE45="","",Generation!BE45)</f>
        <v/>
      </c>
      <c r="B2043" s="48" t="n"/>
      <c r="C2043" s="48" t="n"/>
    </row>
    <row r="2044" ht="18" customHeight="1" s="17">
      <c r="A2044" s="48">
        <f>IF(Generation!BF45="","",Generation!BF45)</f>
        <v/>
      </c>
      <c r="B2044" s="48" t="n"/>
      <c r="C2044" s="48" t="n"/>
    </row>
    <row r="2045" ht="18" customHeight="1" s="17">
      <c r="A2045" s="48">
        <f>IF(Generation!BG45="","",Generation!BG45)</f>
        <v/>
      </c>
      <c r="B2045" s="48" t="n"/>
      <c r="C2045" s="48" t="n"/>
    </row>
    <row r="2046" ht="18" customHeight="1" s="17">
      <c r="A2046" s="48">
        <f>IF(Generation!BH45="","",Generation!BH45)</f>
        <v/>
      </c>
      <c r="B2046" s="48" t="n"/>
      <c r="C2046" s="48" t="n"/>
    </row>
    <row r="2047" ht="18" customHeight="1" s="17">
      <c r="A2047" s="48">
        <f>IF(Generation!BI45="","",Generation!BI45)</f>
        <v/>
      </c>
      <c r="B2047" s="48" t="n"/>
      <c r="C2047" s="48" t="n"/>
    </row>
    <row r="2048" ht="18" customHeight="1" s="17">
      <c r="A2048" s="48">
        <f>IF(Generation!BJ45="","",Generation!BJ45)</f>
        <v/>
      </c>
      <c r="B2048" s="48" t="n"/>
      <c r="C2048" s="48" t="n"/>
    </row>
    <row r="2049" ht="18" customHeight="1" s="17">
      <c r="A2049" s="48">
        <f>IF(Generation!$B45,"  &lt;/item&gt;","")</f>
        <v/>
      </c>
      <c r="B2049" s="48" t="n"/>
      <c r="C2049" s="48" t="n"/>
    </row>
    <row r="2050" ht="18" customHeight="1" s="17">
      <c r="A2050" s="48">
        <f>""</f>
        <v/>
      </c>
      <c r="B2050" s="48" t="n"/>
      <c r="C2050" s="48" t="n"/>
    </row>
    <row r="2051" ht="18" customHeight="1" s="17">
      <c r="A2051" s="48">
        <f>""</f>
        <v/>
      </c>
      <c r="B2051" s="48" t="n"/>
      <c r="C2051" s="48" t="n"/>
    </row>
    <row r="2052" ht="18" customHeight="1" s="17">
      <c r="A2052" s="48">
        <f>""</f>
        <v/>
      </c>
      <c r="B2052" s="48" t="n"/>
      <c r="C2052" s="48" t="n"/>
    </row>
    <row r="2053" ht="18" customHeight="1" s="17">
      <c r="A2053" s="48">
        <f>""</f>
        <v/>
      </c>
      <c r="B2053" s="48" t="n"/>
      <c r="C2053" s="48" t="n"/>
    </row>
    <row r="2054" ht="18" customHeight="1" s="17">
      <c r="A2054" s="48">
        <f>IF(Generation!$B46,"  &lt;item ident=""il_0_qst_"&amp;TEXT(Generation!$A46,"000")&amp;""" title="""&amp;Generation!$F46&amp;"""&gt;","")</f>
        <v/>
      </c>
      <c r="B2054" s="48" t="n"/>
      <c r="C2054" s="48" t="n"/>
    </row>
    <row r="2055" ht="18" customHeight="1" s="17">
      <c r="A2055" s="48">
        <f>IF(Generation!$B46,"    &lt;duration&gt;P0Y0M0DT0H1M0S&lt;/duration&gt;","")</f>
        <v/>
      </c>
      <c r="B2055" s="48" t="n"/>
      <c r="C2055" s="48" t="n"/>
    </row>
    <row r="2056" ht="18" customHeight="1" s="17">
      <c r="A2056" s="48">
        <f>IF(Generation!$B46,"    &lt;itemmetadata&gt;","")</f>
        <v/>
      </c>
      <c r="B2056" s="48" t="n"/>
      <c r="C2056" s="48" t="n"/>
    </row>
    <row r="2057" ht="18" customHeight="1" s="17">
      <c r="A2057" s="48">
        <f>IF(Generation!$B46,"      &lt;qtimetadata&gt;","")</f>
        <v/>
      </c>
      <c r="B2057" s="48" t="n"/>
      <c r="C2057" s="48" t="n"/>
    </row>
    <row r="2058" ht="18" customHeight="1" s="17">
      <c r="A2058" s="48">
        <f>IF(Generation!$B46,"        &lt;qtimetadatafield&gt;&lt;fieldlabel&gt;ILIAS_VERSION&lt;/fieldlabel&gt;&lt;fieldentry&gt;8&lt;/fieldentry&gt;&lt;/qtimetadatafield&gt;","")</f>
        <v/>
      </c>
      <c r="B2058" s="48" t="n"/>
      <c r="C2058" s="48" t="n"/>
    </row>
    <row r="2059" ht="18" customHeight="1" s="17">
      <c r="A2059" s="48">
        <f>IF(Generation!$B46,"        &lt;qtimetadatafield&gt;&lt;fieldlabel&gt;QUESTIONTYPE&lt;/fieldlabel&gt;&lt;fieldentry&gt;"&amp;Generation!$D46&amp;"&lt;/fieldentry&gt;&lt;/qtimetadatafield&gt;","")</f>
        <v/>
      </c>
      <c r="B2059" s="48" t="n"/>
      <c r="C2059" s="48" t="n"/>
    </row>
    <row r="2060" ht="18" customHeight="1" s="17">
      <c r="A2060" s="48">
        <f>IF(Generation!$B46,"        &lt;qtimetadatafield&gt;&lt;fieldlabel&gt;AUTHOR&lt;/fieldlabel&gt;&lt;fieldentry&gt;"&amp;Generation!$AR46&amp;"&lt;/fieldentry&gt;&lt;/qtimetadatafield&gt;","")</f>
        <v/>
      </c>
      <c r="B2060" s="48" t="n"/>
      <c r="C2060" s="48" t="n"/>
    </row>
    <row r="2061" ht="18" customHeight="1" s="17">
      <c r="A2061" s="48">
        <f>IF(Generation!$B46,"        &lt;qtimetadatafield&gt;&lt;fieldlabel&gt;identicalScoring&lt;/fieldlabel&gt;&lt;fieldentry&gt;1&lt;/fieldentry&gt;&lt;/qtimetadatafield&gt;","")</f>
        <v/>
      </c>
      <c r="B2061" s="48" t="n"/>
      <c r="C2061" s="48" t="n"/>
    </row>
    <row r="2062" ht="18" customHeight="1" s="17">
      <c r="A2062" s="48">
        <f>IF(Generation!$B46,"      &lt;/qtimetadata&gt;","")</f>
        <v/>
      </c>
      <c r="B2062" s="48" t="n"/>
      <c r="C2062" s="48" t="n"/>
    </row>
    <row r="2063" ht="18" customHeight="1" s="17">
      <c r="A2063" s="48">
        <f>IF(Generation!$B46,"    &lt;/itemmetadata&gt;","")</f>
        <v/>
      </c>
      <c r="B2063" s="48" t="n"/>
      <c r="C2063" s="48" t="n"/>
    </row>
    <row r="2064" ht="18" customHeight="1" s="17">
      <c r="A2064" s="48">
        <f>IF(Generation!$B46,"    &lt;presentation label="""&amp;Generation!$F46&amp;"""&gt;","")</f>
        <v/>
      </c>
      <c r="B2064" s="48" t="n"/>
      <c r="C2064" s="48" t="n"/>
    </row>
    <row r="2065" ht="18" customHeight="1" s="17">
      <c r="A2065" s="48">
        <f>IF(Generation!$B46,"      &lt;material&gt;&lt;mattext texttype=""text/html""&gt;"&amp;Generation!$G46&amp;"&lt;/mattext&gt;&lt;/material&gt;","")</f>
        <v/>
      </c>
      <c r="B2065" s="48" t="n"/>
      <c r="C2065" s="48" t="n"/>
    </row>
    <row r="2066" ht="18" customHeight="1" s="17">
      <c r="A2066" s="48">
        <f>IF(Generation!$B46,"      &lt;response_lid ident=""RESPONSE"" rcardinality="""&amp;Generation!$E46&amp;"""&gt;","")</f>
        <v/>
      </c>
      <c r="B2066" s="48" t="n"/>
      <c r="C2066" s="48" t="n"/>
    </row>
    <row r="2067" ht="18" customHeight="1" s="17">
      <c r="A2067" s="48">
        <f>IF(Generation!$B46,"        &lt;render_choice shuffle=""No""&gt;","")</f>
        <v/>
      </c>
      <c r="B2067" s="48" t="n"/>
      <c r="C2067" s="48" t="n"/>
    </row>
    <row r="2068" ht="18" customHeight="1" s="17">
      <c r="A2068" s="48">
        <f>IF(Generation!AB46="","",Generation!AB46)</f>
        <v/>
      </c>
      <c r="B2068" s="48" t="n"/>
      <c r="C2068" s="48" t="n"/>
    </row>
    <row r="2069" ht="18" customHeight="1" s="17">
      <c r="A2069" s="48">
        <f>IF(Generation!AC46="","",Generation!AC46)</f>
        <v/>
      </c>
      <c r="B2069" s="48" t="n"/>
      <c r="C2069" s="48" t="n"/>
    </row>
    <row r="2070" ht="18" customHeight="1" s="17">
      <c r="A2070" s="48">
        <f>IF(Generation!AD46="","",Generation!AD46)</f>
        <v/>
      </c>
      <c r="B2070" s="48" t="n"/>
      <c r="C2070" s="48" t="n"/>
    </row>
    <row r="2071" ht="18" customHeight="1" s="17">
      <c r="A2071" s="48">
        <f>IF(Generation!AE46="","",Generation!AE46)</f>
        <v/>
      </c>
      <c r="B2071" s="48" t="n"/>
      <c r="C2071" s="48" t="n"/>
    </row>
    <row r="2072" ht="18" customHeight="1" s="17">
      <c r="A2072" s="48">
        <f>IF(Generation!AF46="","",Generation!AF46)</f>
        <v/>
      </c>
      <c r="B2072" s="48" t="n"/>
      <c r="C2072" s="48" t="n"/>
    </row>
    <row r="2073" ht="18" customHeight="1" s="17">
      <c r="A2073" s="48">
        <f>IF(Generation!AG46="","",Generation!AG46)</f>
        <v/>
      </c>
      <c r="B2073" s="48" t="n"/>
      <c r="C2073" s="48" t="n"/>
    </row>
    <row r="2074" ht="18" customHeight="1" s="17">
      <c r="A2074" s="48">
        <f>IF(Generation!AH46="","",Generation!AH46)</f>
        <v/>
      </c>
      <c r="B2074" s="48" t="n"/>
      <c r="C2074" s="48" t="n"/>
    </row>
    <row r="2075" ht="18" customHeight="1" s="17">
      <c r="A2075" s="48">
        <f>IF(Generation!AI46="","",Generation!AI46)</f>
        <v/>
      </c>
      <c r="B2075" s="48" t="n"/>
      <c r="C2075" s="48" t="n"/>
    </row>
    <row r="2076" ht="18" customHeight="1" s="17">
      <c r="A2076" s="48">
        <f>IF(Generation!$B46,"        &lt;/render_choice&gt;","")</f>
        <v/>
      </c>
      <c r="B2076" s="48" t="n"/>
      <c r="C2076" s="48" t="n"/>
    </row>
    <row r="2077" ht="18" customHeight="1" s="17">
      <c r="A2077" s="48">
        <f>IF(Generation!$B46,"      &lt;/response_lid&gt;","")</f>
        <v/>
      </c>
      <c r="B2077" s="48" t="n"/>
      <c r="C2077" s="48" t="n"/>
    </row>
    <row r="2078" ht="18" customHeight="1" s="17">
      <c r="A2078" s="48">
        <f>IF(Generation!$B46,"    &lt;/presentation&gt;","")</f>
        <v/>
      </c>
      <c r="B2078" s="48" t="n"/>
      <c r="C2078" s="48" t="n"/>
    </row>
    <row r="2079" ht="18" customHeight="1" s="17">
      <c r="A2079" s="48">
        <f>IF(Generation!$B46,"    &lt;resprocessing&gt;","")</f>
        <v/>
      </c>
      <c r="B2079" s="48" t="n"/>
      <c r="C2079" s="48" t="n"/>
    </row>
    <row r="2080" ht="18" customHeight="1" s="17">
      <c r="A2080" s="48">
        <f>IF(Generation!$B46,"      &lt;outcomes&gt;&lt;decvar varname=""SCORE"" vartype=""Decimal"" minvalue=""0"" maxvalue="""&amp;Generation!$H46&amp;"""/&gt;&lt;/outcomes&gt;","")</f>
        <v/>
      </c>
      <c r="B2080" s="48" t="n"/>
      <c r="C2080" s="48" t="n"/>
    </row>
    <row r="2081" ht="18" customHeight="1" s="17">
      <c r="A2081" s="48">
        <f>IF(Generation!AJ46="","",Generation!AJ46)</f>
        <v/>
      </c>
      <c r="B2081" s="48" t="n"/>
      <c r="C2081" s="48" t="n"/>
    </row>
    <row r="2082" ht="18" customHeight="1" s="17">
      <c r="A2082" s="48">
        <f>IF(Generation!AK46="","",Generation!AK46)</f>
        <v/>
      </c>
      <c r="B2082" s="48" t="n"/>
      <c r="C2082" s="48" t="n"/>
    </row>
    <row r="2083" ht="18" customHeight="1" s="17">
      <c r="A2083" s="48">
        <f>IF(Generation!AL46="","",Generation!AL46)</f>
        <v/>
      </c>
      <c r="B2083" s="48" t="n"/>
      <c r="C2083" s="48" t="n"/>
    </row>
    <row r="2084" ht="18" customHeight="1" s="17">
      <c r="A2084" s="48">
        <f>IF(Generation!AM46="","",Generation!AM46)</f>
        <v/>
      </c>
      <c r="B2084" s="48" t="n"/>
      <c r="C2084" s="48" t="n"/>
    </row>
    <row r="2085" ht="18" customHeight="1" s="17">
      <c r="A2085" s="48">
        <f>IF(Generation!AN46="","",Generation!AN46)</f>
        <v/>
      </c>
      <c r="B2085" s="48" t="n"/>
      <c r="C2085" s="48" t="n"/>
    </row>
    <row r="2086" ht="18" customHeight="1" s="17">
      <c r="A2086" s="48">
        <f>IF(Generation!AO46="","",Generation!AO46)</f>
        <v/>
      </c>
      <c r="B2086" s="48" t="n"/>
      <c r="C2086" s="48" t="n"/>
    </row>
    <row r="2087" ht="18" customHeight="1" s="17">
      <c r="A2087" s="48">
        <f>IF(Generation!AP46="","",Generation!AP46)</f>
        <v/>
      </c>
      <c r="B2087" s="48" t="n"/>
      <c r="C2087" s="48" t="n"/>
    </row>
    <row r="2088" ht="18" customHeight="1" s="17">
      <c r="A2088" s="48">
        <f>IF(Generation!AQ46="","",Generation!AQ46)</f>
        <v/>
      </c>
      <c r="B2088" s="48" t="n"/>
      <c r="C2088" s="48" t="n"/>
    </row>
    <row r="2089" ht="18" customHeight="1" s="17">
      <c r="A2089" s="48">
        <f>IF(Generation!$B46,"    &lt;/resprocessing&gt;","")</f>
        <v/>
      </c>
      <c r="B2089" s="48" t="n"/>
      <c r="C2089" s="48" t="n"/>
    </row>
    <row r="2090" ht="18" customHeight="1" s="17">
      <c r="A2090" s="48">
        <f>IF(Generation!BB46="","",Generation!BB46)</f>
        <v/>
      </c>
      <c r="B2090" s="48" t="n"/>
      <c r="C2090" s="48" t="n"/>
    </row>
    <row r="2091" ht="18" customHeight="1" s="17">
      <c r="A2091" s="48">
        <f>IF(Generation!BC46="","",Generation!BC46)</f>
        <v/>
      </c>
      <c r="B2091" s="48" t="n"/>
      <c r="C2091" s="48" t="n"/>
    </row>
    <row r="2092" ht="18" customHeight="1" s="17">
      <c r="A2092" s="48">
        <f>IF(Generation!BD46="","",Generation!BD46)</f>
        <v/>
      </c>
      <c r="B2092" s="48" t="n"/>
      <c r="C2092" s="48" t="n"/>
    </row>
    <row r="2093" ht="18" customHeight="1" s="17">
      <c r="A2093" s="48">
        <f>IF(Generation!BE46="","",Generation!BE46)</f>
        <v/>
      </c>
      <c r="B2093" s="48" t="n"/>
      <c r="C2093" s="48" t="n"/>
    </row>
    <row r="2094" ht="18" customHeight="1" s="17">
      <c r="A2094" s="48">
        <f>IF(Generation!BF46="","",Generation!BF46)</f>
        <v/>
      </c>
      <c r="B2094" s="48" t="n"/>
      <c r="C2094" s="48" t="n"/>
    </row>
    <row r="2095" ht="18" customHeight="1" s="17">
      <c r="A2095" s="48">
        <f>IF(Generation!BG46="","",Generation!BG46)</f>
        <v/>
      </c>
      <c r="B2095" s="48" t="n"/>
      <c r="C2095" s="48" t="n"/>
    </row>
    <row r="2096" ht="18" customHeight="1" s="17">
      <c r="A2096" s="48">
        <f>IF(Generation!BH46="","",Generation!BH46)</f>
        <v/>
      </c>
      <c r="B2096" s="48" t="n"/>
      <c r="C2096" s="48" t="n"/>
    </row>
    <row r="2097" ht="18" customHeight="1" s="17">
      <c r="A2097" s="48">
        <f>IF(Generation!BI46="","",Generation!BI46)</f>
        <v/>
      </c>
      <c r="B2097" s="48" t="n"/>
      <c r="C2097" s="48" t="n"/>
    </row>
    <row r="2098" ht="18" customHeight="1" s="17">
      <c r="A2098" s="48">
        <f>IF(Generation!BJ46="","",Generation!BJ46)</f>
        <v/>
      </c>
      <c r="B2098" s="48" t="n"/>
      <c r="C2098" s="48" t="n"/>
    </row>
    <row r="2099" ht="18" customHeight="1" s="17">
      <c r="A2099" s="48">
        <f>IF(Generation!$B46,"  &lt;/item&gt;","")</f>
        <v/>
      </c>
      <c r="B2099" s="48" t="n"/>
      <c r="C2099" s="48" t="n"/>
    </row>
    <row r="2100" ht="18" customHeight="1" s="17">
      <c r="A2100" s="48">
        <f>""</f>
        <v/>
      </c>
      <c r="B2100" s="48" t="n"/>
      <c r="C2100" s="48" t="n"/>
    </row>
    <row r="2101" ht="18" customHeight="1" s="17">
      <c r="A2101" s="48">
        <f>""</f>
        <v/>
      </c>
      <c r="B2101" s="48" t="n"/>
      <c r="C2101" s="48" t="n"/>
    </row>
    <row r="2102" ht="18" customHeight="1" s="17">
      <c r="A2102" s="48">
        <f>""</f>
        <v/>
      </c>
      <c r="B2102" s="48" t="n"/>
      <c r="C2102" s="48" t="n"/>
    </row>
    <row r="2103" ht="18" customHeight="1" s="17">
      <c r="A2103" s="48">
        <f>""</f>
        <v/>
      </c>
      <c r="B2103" s="48" t="n"/>
      <c r="C2103" s="48" t="n"/>
    </row>
    <row r="2104" ht="18" customHeight="1" s="17">
      <c r="A2104" s="48">
        <f>IF(Generation!$B47,"  &lt;item ident=""il_0_qst_"&amp;TEXT(Generation!$A47,"000")&amp;""" title="""&amp;Generation!$F47&amp;"""&gt;","")</f>
        <v/>
      </c>
      <c r="B2104" s="48" t="n"/>
      <c r="C2104" s="48" t="n"/>
    </row>
    <row r="2105" ht="18" customHeight="1" s="17">
      <c r="A2105" s="48">
        <f>IF(Generation!$B47,"    &lt;duration&gt;P0Y0M0DT0H1M0S&lt;/duration&gt;","")</f>
        <v/>
      </c>
      <c r="B2105" s="48" t="n"/>
      <c r="C2105" s="48" t="n"/>
    </row>
    <row r="2106" ht="18" customHeight="1" s="17">
      <c r="A2106" s="48">
        <f>IF(Generation!$B47,"    &lt;itemmetadata&gt;","")</f>
        <v/>
      </c>
      <c r="B2106" s="48" t="n"/>
      <c r="C2106" s="48" t="n"/>
    </row>
    <row r="2107" ht="18" customHeight="1" s="17">
      <c r="A2107" s="48">
        <f>IF(Generation!$B47,"      &lt;qtimetadata&gt;","")</f>
        <v/>
      </c>
      <c r="B2107" s="48" t="n"/>
      <c r="C2107" s="48" t="n"/>
    </row>
    <row r="2108" ht="18" customHeight="1" s="17">
      <c r="A2108" s="48">
        <f>IF(Generation!$B47,"        &lt;qtimetadatafield&gt;&lt;fieldlabel&gt;ILIAS_VERSION&lt;/fieldlabel&gt;&lt;fieldentry&gt;8&lt;/fieldentry&gt;&lt;/qtimetadatafield&gt;","")</f>
        <v/>
      </c>
      <c r="B2108" s="48" t="n"/>
      <c r="C2108" s="48" t="n"/>
    </row>
    <row r="2109" ht="18" customHeight="1" s="17">
      <c r="A2109" s="48">
        <f>IF(Generation!$B47,"        &lt;qtimetadatafield&gt;&lt;fieldlabel&gt;QUESTIONTYPE&lt;/fieldlabel&gt;&lt;fieldentry&gt;"&amp;Generation!$D47&amp;"&lt;/fieldentry&gt;&lt;/qtimetadatafield&gt;","")</f>
        <v/>
      </c>
      <c r="B2109" s="48" t="n"/>
      <c r="C2109" s="48" t="n"/>
    </row>
    <row r="2110" ht="18" customHeight="1" s="17">
      <c r="A2110" s="48">
        <f>IF(Generation!$B47,"        &lt;qtimetadatafield&gt;&lt;fieldlabel&gt;AUTHOR&lt;/fieldlabel&gt;&lt;fieldentry&gt;"&amp;Generation!$AR47&amp;"&lt;/fieldentry&gt;&lt;/qtimetadatafield&gt;","")</f>
        <v/>
      </c>
      <c r="B2110" s="48" t="n"/>
      <c r="C2110" s="48" t="n"/>
    </row>
    <row r="2111" ht="18" customHeight="1" s="17">
      <c r="A2111" s="48">
        <f>IF(Generation!$B47,"        &lt;qtimetadatafield&gt;&lt;fieldlabel&gt;identicalScoring&lt;/fieldlabel&gt;&lt;fieldentry&gt;1&lt;/fieldentry&gt;&lt;/qtimetadatafield&gt;","")</f>
        <v/>
      </c>
      <c r="B2111" s="48" t="n"/>
      <c r="C2111" s="48" t="n"/>
    </row>
    <row r="2112" ht="18" customHeight="1" s="17">
      <c r="A2112" s="48">
        <f>IF(Generation!$B47,"      &lt;/qtimetadata&gt;","")</f>
        <v/>
      </c>
      <c r="B2112" s="48" t="n"/>
      <c r="C2112" s="48" t="n"/>
    </row>
    <row r="2113" ht="18" customHeight="1" s="17">
      <c r="A2113" s="48">
        <f>IF(Generation!$B47,"    &lt;/itemmetadata&gt;","")</f>
        <v/>
      </c>
      <c r="B2113" s="48" t="n"/>
      <c r="C2113" s="48" t="n"/>
    </row>
    <row r="2114" ht="18" customHeight="1" s="17">
      <c r="A2114" s="48">
        <f>IF(Generation!$B47,"    &lt;presentation label="""&amp;Generation!$F47&amp;"""&gt;","")</f>
        <v/>
      </c>
      <c r="B2114" s="48" t="n"/>
      <c r="C2114" s="48" t="n"/>
    </row>
    <row r="2115" ht="18" customHeight="1" s="17">
      <c r="A2115" s="48">
        <f>IF(Generation!$B47,"      &lt;material&gt;&lt;mattext texttype=""text/html""&gt;"&amp;Generation!$G47&amp;"&lt;/mattext&gt;&lt;/material&gt;","")</f>
        <v/>
      </c>
      <c r="B2115" s="48" t="n"/>
      <c r="C2115" s="48" t="n"/>
    </row>
    <row r="2116" ht="18" customHeight="1" s="17">
      <c r="A2116" s="48">
        <f>IF(Generation!$B47,"      &lt;response_lid ident=""RESPONSE"" rcardinality="""&amp;Generation!$E47&amp;"""&gt;","")</f>
        <v/>
      </c>
      <c r="B2116" s="48" t="n"/>
      <c r="C2116" s="48" t="n"/>
    </row>
    <row r="2117" ht="18" customHeight="1" s="17">
      <c r="A2117" s="48">
        <f>IF(Generation!$B47,"        &lt;render_choice shuffle=""No""&gt;","")</f>
        <v/>
      </c>
      <c r="B2117" s="48" t="n"/>
      <c r="C2117" s="48" t="n"/>
    </row>
    <row r="2118" ht="18" customHeight="1" s="17">
      <c r="A2118" s="48">
        <f>IF(Generation!AB47="","",Generation!AB47)</f>
        <v/>
      </c>
      <c r="B2118" s="48" t="n"/>
      <c r="C2118" s="48" t="n"/>
    </row>
    <row r="2119" ht="18" customHeight="1" s="17">
      <c r="A2119" s="48">
        <f>IF(Generation!AC47="","",Generation!AC47)</f>
        <v/>
      </c>
      <c r="B2119" s="48" t="n"/>
      <c r="C2119" s="48" t="n"/>
    </row>
    <row r="2120" ht="18" customHeight="1" s="17">
      <c r="A2120" s="48">
        <f>IF(Generation!AD47="","",Generation!AD47)</f>
        <v/>
      </c>
      <c r="B2120" s="48" t="n"/>
      <c r="C2120" s="48" t="n"/>
    </row>
    <row r="2121" ht="18" customHeight="1" s="17">
      <c r="A2121" s="48">
        <f>IF(Generation!AE47="","",Generation!AE47)</f>
        <v/>
      </c>
      <c r="B2121" s="48" t="n"/>
      <c r="C2121" s="48" t="n"/>
    </row>
    <row r="2122" ht="18" customHeight="1" s="17">
      <c r="A2122" s="48">
        <f>IF(Generation!AF47="","",Generation!AF47)</f>
        <v/>
      </c>
      <c r="B2122" s="48" t="n"/>
      <c r="C2122" s="48" t="n"/>
    </row>
    <row r="2123" ht="18" customHeight="1" s="17">
      <c r="A2123" s="48">
        <f>IF(Generation!AG47="","",Generation!AG47)</f>
        <v/>
      </c>
      <c r="B2123" s="48" t="n"/>
      <c r="C2123" s="48" t="n"/>
    </row>
    <row r="2124" ht="18" customHeight="1" s="17">
      <c r="A2124" s="48">
        <f>IF(Generation!AH47="","",Generation!AH47)</f>
        <v/>
      </c>
      <c r="B2124" s="48" t="n"/>
      <c r="C2124" s="48" t="n"/>
    </row>
    <row r="2125" ht="18" customHeight="1" s="17">
      <c r="A2125" s="48">
        <f>IF(Generation!AI47="","",Generation!AI47)</f>
        <v/>
      </c>
      <c r="B2125" s="48" t="n"/>
      <c r="C2125" s="48" t="n"/>
    </row>
    <row r="2126" ht="18" customHeight="1" s="17">
      <c r="A2126" s="48">
        <f>IF(Generation!$B47,"        &lt;/render_choice&gt;","")</f>
        <v/>
      </c>
      <c r="B2126" s="48" t="n"/>
      <c r="C2126" s="48" t="n"/>
    </row>
    <row r="2127" ht="18" customHeight="1" s="17">
      <c r="A2127" s="48">
        <f>IF(Generation!$B47,"      &lt;/response_lid&gt;","")</f>
        <v/>
      </c>
      <c r="B2127" s="48" t="n"/>
      <c r="C2127" s="48" t="n"/>
    </row>
    <row r="2128" ht="18" customHeight="1" s="17">
      <c r="A2128" s="48">
        <f>IF(Generation!$B47,"    &lt;/presentation&gt;","")</f>
        <v/>
      </c>
      <c r="B2128" s="48" t="n"/>
      <c r="C2128" s="48" t="n"/>
    </row>
    <row r="2129" ht="18" customHeight="1" s="17">
      <c r="A2129" s="48">
        <f>IF(Generation!$B47,"    &lt;resprocessing&gt;","")</f>
        <v/>
      </c>
      <c r="B2129" s="48" t="n"/>
      <c r="C2129" s="48" t="n"/>
    </row>
    <row r="2130" ht="18" customHeight="1" s="17">
      <c r="A2130" s="48">
        <f>IF(Generation!$B47,"      &lt;outcomes&gt;&lt;decvar varname=""SCORE"" vartype=""Decimal"" minvalue=""0"" maxvalue="""&amp;Generation!$H47&amp;"""/&gt;&lt;/outcomes&gt;","")</f>
        <v/>
      </c>
      <c r="B2130" s="48" t="n"/>
      <c r="C2130" s="48" t="n"/>
    </row>
    <row r="2131" ht="18" customHeight="1" s="17">
      <c r="A2131" s="48">
        <f>IF(Generation!AJ47="","",Generation!AJ47)</f>
        <v/>
      </c>
      <c r="B2131" s="48" t="n"/>
      <c r="C2131" s="48" t="n"/>
    </row>
    <row r="2132" ht="18" customHeight="1" s="17">
      <c r="A2132" s="48">
        <f>IF(Generation!AK47="","",Generation!AK47)</f>
        <v/>
      </c>
      <c r="B2132" s="48" t="n"/>
      <c r="C2132" s="48" t="n"/>
    </row>
    <row r="2133" ht="18" customHeight="1" s="17">
      <c r="A2133" s="48">
        <f>IF(Generation!AL47="","",Generation!AL47)</f>
        <v/>
      </c>
      <c r="B2133" s="48" t="n"/>
      <c r="C2133" s="48" t="n"/>
    </row>
    <row r="2134" ht="18" customHeight="1" s="17">
      <c r="A2134" s="48">
        <f>IF(Generation!AM47="","",Generation!AM47)</f>
        <v/>
      </c>
      <c r="B2134" s="48" t="n"/>
      <c r="C2134" s="48" t="n"/>
    </row>
    <row r="2135" ht="18" customHeight="1" s="17">
      <c r="A2135" s="48">
        <f>IF(Generation!AN47="","",Generation!AN47)</f>
        <v/>
      </c>
      <c r="B2135" s="48" t="n"/>
      <c r="C2135" s="48" t="n"/>
    </row>
    <row r="2136" ht="18" customHeight="1" s="17">
      <c r="A2136" s="48">
        <f>IF(Generation!AO47="","",Generation!AO47)</f>
        <v/>
      </c>
      <c r="B2136" s="48" t="n"/>
      <c r="C2136" s="48" t="n"/>
    </row>
    <row r="2137" ht="18" customHeight="1" s="17">
      <c r="A2137" s="48">
        <f>IF(Generation!AP47="","",Generation!AP47)</f>
        <v/>
      </c>
      <c r="B2137" s="48" t="n"/>
      <c r="C2137" s="48" t="n"/>
    </row>
    <row r="2138" ht="18" customHeight="1" s="17">
      <c r="A2138" s="48">
        <f>IF(Generation!AQ47="","",Generation!AQ47)</f>
        <v/>
      </c>
      <c r="B2138" s="48" t="n"/>
      <c r="C2138" s="48" t="n"/>
    </row>
    <row r="2139" ht="18" customHeight="1" s="17">
      <c r="A2139" s="48">
        <f>IF(Generation!$B47,"    &lt;/resprocessing&gt;","")</f>
        <v/>
      </c>
      <c r="B2139" s="48" t="n"/>
      <c r="C2139" s="48" t="n"/>
    </row>
    <row r="2140" ht="18" customHeight="1" s="17">
      <c r="A2140" s="48">
        <f>IF(Generation!BB47="","",Generation!BB47)</f>
        <v/>
      </c>
      <c r="B2140" s="48" t="n"/>
      <c r="C2140" s="48" t="n"/>
    </row>
    <row r="2141" ht="18" customHeight="1" s="17">
      <c r="A2141" s="48">
        <f>IF(Generation!BC47="","",Generation!BC47)</f>
        <v/>
      </c>
      <c r="B2141" s="48" t="n"/>
      <c r="C2141" s="48" t="n"/>
    </row>
    <row r="2142" ht="18" customHeight="1" s="17">
      <c r="A2142" s="48">
        <f>IF(Generation!BD47="","",Generation!BD47)</f>
        <v/>
      </c>
      <c r="B2142" s="48" t="n"/>
      <c r="C2142" s="48" t="n"/>
    </row>
    <row r="2143" ht="18" customHeight="1" s="17">
      <c r="A2143" s="48">
        <f>IF(Generation!BE47="","",Generation!BE47)</f>
        <v/>
      </c>
      <c r="B2143" s="48" t="n"/>
      <c r="C2143" s="48" t="n"/>
    </row>
    <row r="2144" ht="18" customHeight="1" s="17">
      <c r="A2144" s="48">
        <f>IF(Generation!BF47="","",Generation!BF47)</f>
        <v/>
      </c>
      <c r="B2144" s="48" t="n"/>
      <c r="C2144" s="48" t="n"/>
    </row>
    <row r="2145" ht="18" customHeight="1" s="17">
      <c r="A2145" s="48">
        <f>IF(Generation!BG47="","",Generation!BG47)</f>
        <v/>
      </c>
      <c r="B2145" s="48" t="n"/>
      <c r="C2145" s="48" t="n"/>
    </row>
    <row r="2146" ht="18" customHeight="1" s="17">
      <c r="A2146" s="48">
        <f>IF(Generation!BH47="","",Generation!BH47)</f>
        <v/>
      </c>
      <c r="B2146" s="48" t="n"/>
      <c r="C2146" s="48" t="n"/>
    </row>
    <row r="2147" ht="18" customHeight="1" s="17">
      <c r="A2147" s="48">
        <f>IF(Generation!BI47="","",Generation!BI47)</f>
        <v/>
      </c>
      <c r="B2147" s="48" t="n"/>
      <c r="C2147" s="48" t="n"/>
    </row>
    <row r="2148" ht="18" customHeight="1" s="17">
      <c r="A2148" s="48">
        <f>IF(Generation!BJ47="","",Generation!BJ47)</f>
        <v/>
      </c>
      <c r="B2148" s="48" t="n"/>
      <c r="C2148" s="48" t="n"/>
    </row>
    <row r="2149" ht="18" customHeight="1" s="17">
      <c r="A2149" s="48">
        <f>IF(Generation!$B47,"  &lt;/item&gt;","")</f>
        <v/>
      </c>
      <c r="B2149" s="48" t="n"/>
      <c r="C2149" s="48" t="n"/>
    </row>
    <row r="2150" ht="18" customHeight="1" s="17">
      <c r="A2150" s="48">
        <f>""</f>
        <v/>
      </c>
      <c r="B2150" s="48" t="n"/>
      <c r="C2150" s="48" t="n"/>
    </row>
    <row r="2151" ht="18" customHeight="1" s="17">
      <c r="A2151" s="48">
        <f>""</f>
        <v/>
      </c>
      <c r="B2151" s="48" t="n"/>
      <c r="C2151" s="48" t="n"/>
    </row>
    <row r="2152" ht="18" customHeight="1" s="17">
      <c r="A2152" s="48">
        <f>""</f>
        <v/>
      </c>
      <c r="B2152" s="48" t="n"/>
      <c r="C2152" s="48" t="n"/>
    </row>
    <row r="2153" ht="18" customHeight="1" s="17">
      <c r="A2153" s="48">
        <f>""</f>
        <v/>
      </c>
      <c r="B2153" s="48" t="n"/>
      <c r="C2153" s="48" t="n"/>
    </row>
    <row r="2154" ht="18" customHeight="1" s="17">
      <c r="A2154" s="48">
        <f>IF(Generation!$B48,"  &lt;item ident=""il_0_qst_"&amp;TEXT(Generation!$A48,"000")&amp;""" title="""&amp;Generation!$F48&amp;"""&gt;","")</f>
        <v/>
      </c>
      <c r="B2154" s="48" t="n"/>
      <c r="C2154" s="48" t="n"/>
    </row>
    <row r="2155" ht="18" customHeight="1" s="17">
      <c r="A2155" s="48">
        <f>IF(Generation!$B48,"    &lt;duration&gt;P0Y0M0DT0H1M0S&lt;/duration&gt;","")</f>
        <v/>
      </c>
      <c r="B2155" s="48" t="n"/>
      <c r="C2155" s="48" t="n"/>
    </row>
    <row r="2156" ht="18" customHeight="1" s="17">
      <c r="A2156" s="48">
        <f>IF(Generation!$B48,"    &lt;itemmetadata&gt;","")</f>
        <v/>
      </c>
      <c r="B2156" s="48" t="n"/>
      <c r="C2156" s="48" t="n"/>
    </row>
    <row r="2157" ht="18" customHeight="1" s="17">
      <c r="A2157" s="48">
        <f>IF(Generation!$B48,"      &lt;qtimetadata&gt;","")</f>
        <v/>
      </c>
      <c r="B2157" s="48" t="n"/>
      <c r="C2157" s="48" t="n"/>
    </row>
    <row r="2158" ht="18" customHeight="1" s="17">
      <c r="A2158" s="48">
        <f>IF(Generation!$B48,"        &lt;qtimetadatafield&gt;&lt;fieldlabel&gt;ILIAS_VERSION&lt;/fieldlabel&gt;&lt;fieldentry&gt;8&lt;/fieldentry&gt;&lt;/qtimetadatafield&gt;","")</f>
        <v/>
      </c>
      <c r="B2158" s="48" t="n"/>
      <c r="C2158" s="48" t="n"/>
    </row>
    <row r="2159" ht="18" customHeight="1" s="17">
      <c r="A2159" s="48">
        <f>IF(Generation!$B48,"        &lt;qtimetadatafield&gt;&lt;fieldlabel&gt;QUESTIONTYPE&lt;/fieldlabel&gt;&lt;fieldentry&gt;"&amp;Generation!$D48&amp;"&lt;/fieldentry&gt;&lt;/qtimetadatafield&gt;","")</f>
        <v/>
      </c>
      <c r="B2159" s="48" t="n"/>
      <c r="C2159" s="48" t="n"/>
    </row>
    <row r="2160" ht="18" customHeight="1" s="17">
      <c r="A2160" s="48">
        <f>IF(Generation!$B48,"        &lt;qtimetadatafield&gt;&lt;fieldlabel&gt;AUTHOR&lt;/fieldlabel&gt;&lt;fieldentry&gt;"&amp;Generation!$AR48&amp;"&lt;/fieldentry&gt;&lt;/qtimetadatafield&gt;","")</f>
        <v/>
      </c>
      <c r="B2160" s="48" t="n"/>
      <c r="C2160" s="48" t="n"/>
    </row>
    <row r="2161" ht="18" customHeight="1" s="17">
      <c r="A2161" s="48">
        <f>IF(Generation!$B48,"        &lt;qtimetadatafield&gt;&lt;fieldlabel&gt;identicalScoring&lt;/fieldlabel&gt;&lt;fieldentry&gt;1&lt;/fieldentry&gt;&lt;/qtimetadatafield&gt;","")</f>
        <v/>
      </c>
      <c r="B2161" s="48" t="n"/>
      <c r="C2161" s="48" t="n"/>
    </row>
    <row r="2162" ht="18" customHeight="1" s="17">
      <c r="A2162" s="48">
        <f>IF(Generation!$B48,"      &lt;/qtimetadata&gt;","")</f>
        <v/>
      </c>
      <c r="B2162" s="48" t="n"/>
      <c r="C2162" s="48" t="n"/>
    </row>
    <row r="2163" ht="18" customHeight="1" s="17">
      <c r="A2163" s="48">
        <f>IF(Generation!$B48,"    &lt;/itemmetadata&gt;","")</f>
        <v/>
      </c>
      <c r="B2163" s="48" t="n"/>
      <c r="C2163" s="48" t="n"/>
    </row>
    <row r="2164" ht="18" customHeight="1" s="17">
      <c r="A2164" s="48">
        <f>IF(Generation!$B48,"    &lt;presentation label="""&amp;Generation!$F48&amp;"""&gt;","")</f>
        <v/>
      </c>
      <c r="B2164" s="48" t="n"/>
      <c r="C2164" s="48" t="n"/>
    </row>
    <row r="2165" ht="18" customHeight="1" s="17">
      <c r="A2165" s="48">
        <f>IF(Generation!$B48,"      &lt;material&gt;&lt;mattext texttype=""text/html""&gt;"&amp;Generation!$G48&amp;"&lt;/mattext&gt;&lt;/material&gt;","")</f>
        <v/>
      </c>
      <c r="B2165" s="48" t="n"/>
      <c r="C2165" s="48" t="n"/>
    </row>
    <row r="2166" ht="18" customHeight="1" s="17">
      <c r="A2166" s="48">
        <f>IF(Generation!$B48,"      &lt;response_lid ident=""RESPONSE"" rcardinality="""&amp;Generation!$E48&amp;"""&gt;","")</f>
        <v/>
      </c>
      <c r="B2166" s="48" t="n"/>
      <c r="C2166" s="48" t="n"/>
    </row>
    <row r="2167" ht="18" customHeight="1" s="17">
      <c r="A2167" s="48">
        <f>IF(Generation!$B48,"        &lt;render_choice shuffle=""No""&gt;","")</f>
        <v/>
      </c>
      <c r="B2167" s="48" t="n"/>
      <c r="C2167" s="48" t="n"/>
    </row>
    <row r="2168" ht="18" customHeight="1" s="17">
      <c r="A2168" s="48">
        <f>IF(Generation!AB48="","",Generation!AB48)</f>
        <v/>
      </c>
      <c r="B2168" s="48" t="n"/>
      <c r="C2168" s="48" t="n"/>
    </row>
    <row r="2169" ht="18" customHeight="1" s="17">
      <c r="A2169" s="48">
        <f>IF(Generation!AC48="","",Generation!AC48)</f>
        <v/>
      </c>
      <c r="B2169" s="48" t="n"/>
      <c r="C2169" s="48" t="n"/>
    </row>
    <row r="2170" ht="18" customHeight="1" s="17">
      <c r="A2170" s="48">
        <f>IF(Generation!AD48="","",Generation!AD48)</f>
        <v/>
      </c>
      <c r="B2170" s="48" t="n"/>
      <c r="C2170" s="48" t="n"/>
    </row>
    <row r="2171" ht="18" customHeight="1" s="17">
      <c r="A2171" s="48">
        <f>IF(Generation!AE48="","",Generation!AE48)</f>
        <v/>
      </c>
      <c r="B2171" s="48" t="n"/>
      <c r="C2171" s="48" t="n"/>
    </row>
    <row r="2172" ht="18" customHeight="1" s="17">
      <c r="A2172" s="48">
        <f>IF(Generation!AF48="","",Generation!AF48)</f>
        <v/>
      </c>
      <c r="B2172" s="48" t="n"/>
      <c r="C2172" s="48" t="n"/>
    </row>
    <row r="2173" ht="18" customHeight="1" s="17">
      <c r="A2173" s="48">
        <f>IF(Generation!AG48="","",Generation!AG48)</f>
        <v/>
      </c>
      <c r="B2173" s="48" t="n"/>
      <c r="C2173" s="48" t="n"/>
    </row>
    <row r="2174" ht="18" customHeight="1" s="17">
      <c r="A2174" s="48">
        <f>IF(Generation!AH48="","",Generation!AH48)</f>
        <v/>
      </c>
      <c r="B2174" s="48" t="n"/>
      <c r="C2174" s="48" t="n"/>
    </row>
    <row r="2175" ht="18" customHeight="1" s="17">
      <c r="A2175" s="48">
        <f>IF(Generation!AI48="","",Generation!AI48)</f>
        <v/>
      </c>
      <c r="B2175" s="48" t="n"/>
      <c r="C2175" s="48" t="n"/>
    </row>
    <row r="2176" ht="18" customHeight="1" s="17">
      <c r="A2176" s="48">
        <f>IF(Generation!$B48,"        &lt;/render_choice&gt;","")</f>
        <v/>
      </c>
      <c r="B2176" s="48" t="n"/>
      <c r="C2176" s="48" t="n"/>
    </row>
    <row r="2177" ht="18" customHeight="1" s="17">
      <c r="A2177" s="48">
        <f>IF(Generation!$B48,"      &lt;/response_lid&gt;","")</f>
        <v/>
      </c>
      <c r="B2177" s="48" t="n"/>
      <c r="C2177" s="48" t="n"/>
    </row>
    <row r="2178" ht="18" customHeight="1" s="17">
      <c r="A2178" s="48">
        <f>IF(Generation!$B48,"    &lt;/presentation&gt;","")</f>
        <v/>
      </c>
      <c r="B2178" s="48" t="n"/>
      <c r="C2178" s="48" t="n"/>
    </row>
    <row r="2179" ht="18" customHeight="1" s="17">
      <c r="A2179" s="48">
        <f>IF(Generation!$B48,"    &lt;resprocessing&gt;","")</f>
        <v/>
      </c>
      <c r="B2179" s="48" t="n"/>
      <c r="C2179" s="48" t="n"/>
    </row>
    <row r="2180" ht="18" customHeight="1" s="17">
      <c r="A2180" s="48">
        <f>IF(Generation!$B48,"      &lt;outcomes&gt;&lt;decvar varname=""SCORE"" vartype=""Decimal"" minvalue=""0"" maxvalue="""&amp;Generation!$H48&amp;"""/&gt;&lt;/outcomes&gt;","")</f>
        <v/>
      </c>
      <c r="B2180" s="48" t="n"/>
      <c r="C2180" s="48" t="n"/>
    </row>
    <row r="2181" ht="18" customHeight="1" s="17">
      <c r="A2181" s="48">
        <f>IF(Generation!AJ48="","",Generation!AJ48)</f>
        <v/>
      </c>
      <c r="B2181" s="48" t="n"/>
      <c r="C2181" s="48" t="n"/>
    </row>
    <row r="2182" ht="18" customHeight="1" s="17">
      <c r="A2182" s="48">
        <f>IF(Generation!AK48="","",Generation!AK48)</f>
        <v/>
      </c>
      <c r="B2182" s="48" t="n"/>
      <c r="C2182" s="48" t="n"/>
    </row>
    <row r="2183" ht="18" customHeight="1" s="17">
      <c r="A2183" s="48">
        <f>IF(Generation!AL48="","",Generation!AL48)</f>
        <v/>
      </c>
      <c r="B2183" s="48" t="n"/>
      <c r="C2183" s="48" t="n"/>
    </row>
    <row r="2184" ht="18" customHeight="1" s="17">
      <c r="A2184" s="48">
        <f>IF(Generation!AM48="","",Generation!AM48)</f>
        <v/>
      </c>
      <c r="B2184" s="48" t="n"/>
      <c r="C2184" s="48" t="n"/>
    </row>
    <row r="2185" ht="18" customHeight="1" s="17">
      <c r="A2185" s="48">
        <f>IF(Generation!AN48="","",Generation!AN48)</f>
        <v/>
      </c>
      <c r="B2185" s="48" t="n"/>
      <c r="C2185" s="48" t="n"/>
    </row>
    <row r="2186" ht="18" customHeight="1" s="17">
      <c r="A2186" s="48">
        <f>IF(Generation!AO48="","",Generation!AO48)</f>
        <v/>
      </c>
      <c r="B2186" s="48" t="n"/>
      <c r="C2186" s="48" t="n"/>
    </row>
    <row r="2187" ht="18" customHeight="1" s="17">
      <c r="A2187" s="48">
        <f>IF(Generation!AP48="","",Generation!AP48)</f>
        <v/>
      </c>
      <c r="B2187" s="48" t="n"/>
      <c r="C2187" s="48" t="n"/>
    </row>
    <row r="2188" ht="18" customHeight="1" s="17">
      <c r="A2188" s="48">
        <f>IF(Generation!AQ48="","",Generation!AQ48)</f>
        <v/>
      </c>
      <c r="B2188" s="48" t="n"/>
      <c r="C2188" s="48" t="n"/>
    </row>
    <row r="2189" ht="18" customHeight="1" s="17">
      <c r="A2189" s="48">
        <f>IF(Generation!$B48,"    &lt;/resprocessing&gt;","")</f>
        <v/>
      </c>
      <c r="B2189" s="48" t="n"/>
      <c r="C2189" s="48" t="n"/>
    </row>
    <row r="2190" ht="18" customHeight="1" s="17">
      <c r="A2190" s="48">
        <f>IF(Generation!BB48="","",Generation!BB48)</f>
        <v/>
      </c>
      <c r="B2190" s="48" t="n"/>
      <c r="C2190" s="48" t="n"/>
    </row>
    <row r="2191" ht="18" customHeight="1" s="17">
      <c r="A2191" s="48">
        <f>IF(Generation!BC48="","",Generation!BC48)</f>
        <v/>
      </c>
      <c r="B2191" s="48" t="n"/>
      <c r="C2191" s="48" t="n"/>
    </row>
    <row r="2192" ht="18" customHeight="1" s="17">
      <c r="A2192" s="48">
        <f>IF(Generation!BD48="","",Generation!BD48)</f>
        <v/>
      </c>
      <c r="B2192" s="48" t="n"/>
      <c r="C2192" s="48" t="n"/>
    </row>
    <row r="2193" ht="18" customHeight="1" s="17">
      <c r="A2193" s="48">
        <f>IF(Generation!BE48="","",Generation!BE48)</f>
        <v/>
      </c>
      <c r="B2193" s="48" t="n"/>
      <c r="C2193" s="48" t="n"/>
    </row>
    <row r="2194" ht="18" customHeight="1" s="17">
      <c r="A2194" s="48">
        <f>IF(Generation!BF48="","",Generation!BF48)</f>
        <v/>
      </c>
      <c r="B2194" s="48" t="n"/>
      <c r="C2194" s="48" t="n"/>
    </row>
    <row r="2195" ht="18" customHeight="1" s="17">
      <c r="A2195" s="48">
        <f>IF(Generation!BG48="","",Generation!BG48)</f>
        <v/>
      </c>
      <c r="B2195" s="48" t="n"/>
      <c r="C2195" s="48" t="n"/>
    </row>
    <row r="2196" ht="18" customHeight="1" s="17">
      <c r="A2196" s="48">
        <f>IF(Generation!BH48="","",Generation!BH48)</f>
        <v/>
      </c>
      <c r="B2196" s="48" t="n"/>
      <c r="C2196" s="48" t="n"/>
    </row>
    <row r="2197" ht="18" customHeight="1" s="17">
      <c r="A2197" s="48">
        <f>IF(Generation!BI48="","",Generation!BI48)</f>
        <v/>
      </c>
      <c r="B2197" s="48" t="n"/>
      <c r="C2197" s="48" t="n"/>
    </row>
    <row r="2198" ht="18" customHeight="1" s="17">
      <c r="A2198" s="48">
        <f>IF(Generation!BJ48="","",Generation!BJ48)</f>
        <v/>
      </c>
      <c r="B2198" s="48" t="n"/>
      <c r="C2198" s="48" t="n"/>
    </row>
    <row r="2199" ht="18" customHeight="1" s="17">
      <c r="A2199" s="48">
        <f>IF(Generation!$B48,"  &lt;/item&gt;","")</f>
        <v/>
      </c>
      <c r="B2199" s="48" t="n"/>
      <c r="C2199" s="48" t="n"/>
    </row>
    <row r="2200" ht="18" customHeight="1" s="17">
      <c r="A2200" s="48">
        <f>""</f>
        <v/>
      </c>
      <c r="B2200" s="48" t="n"/>
      <c r="C2200" s="48" t="n"/>
    </row>
    <row r="2201" ht="18" customHeight="1" s="17">
      <c r="A2201" s="48">
        <f>""</f>
        <v/>
      </c>
      <c r="B2201" s="48" t="n"/>
      <c r="C2201" s="48" t="n"/>
    </row>
    <row r="2202" ht="18" customHeight="1" s="17">
      <c r="A2202" s="48">
        <f>""</f>
        <v/>
      </c>
      <c r="B2202" s="48" t="n"/>
      <c r="C2202" s="48" t="n"/>
    </row>
    <row r="2203" ht="18" customHeight="1" s="17">
      <c r="A2203" s="48">
        <f>""</f>
        <v/>
      </c>
      <c r="B2203" s="48" t="n"/>
      <c r="C2203" s="48" t="n"/>
    </row>
    <row r="2204" ht="18" customHeight="1" s="17">
      <c r="A2204" s="48">
        <f>IF(Generation!$B49,"  &lt;item ident=""il_0_qst_"&amp;TEXT(Generation!$A49,"000")&amp;""" title="""&amp;Generation!$F49&amp;"""&gt;","")</f>
        <v/>
      </c>
      <c r="B2204" s="48" t="n"/>
      <c r="C2204" s="48" t="n"/>
    </row>
    <row r="2205" ht="18" customHeight="1" s="17">
      <c r="A2205" s="48">
        <f>IF(Generation!$B49,"    &lt;duration&gt;P0Y0M0DT0H1M0S&lt;/duration&gt;","")</f>
        <v/>
      </c>
      <c r="B2205" s="48" t="n"/>
      <c r="C2205" s="48" t="n"/>
    </row>
    <row r="2206" ht="18" customHeight="1" s="17">
      <c r="A2206" s="48">
        <f>IF(Generation!$B49,"    &lt;itemmetadata&gt;","")</f>
        <v/>
      </c>
      <c r="B2206" s="48" t="n"/>
      <c r="C2206" s="48" t="n"/>
    </row>
    <row r="2207" ht="18" customHeight="1" s="17">
      <c r="A2207" s="48">
        <f>IF(Generation!$B49,"      &lt;qtimetadata&gt;","")</f>
        <v/>
      </c>
      <c r="B2207" s="48" t="n"/>
      <c r="C2207" s="48" t="n"/>
    </row>
    <row r="2208" ht="18" customHeight="1" s="17">
      <c r="A2208" s="48">
        <f>IF(Generation!$B49,"        &lt;qtimetadatafield&gt;&lt;fieldlabel&gt;ILIAS_VERSION&lt;/fieldlabel&gt;&lt;fieldentry&gt;8&lt;/fieldentry&gt;&lt;/qtimetadatafield&gt;","")</f>
        <v/>
      </c>
      <c r="B2208" s="48" t="n"/>
      <c r="C2208" s="48" t="n"/>
    </row>
    <row r="2209" ht="18" customHeight="1" s="17">
      <c r="A2209" s="48">
        <f>IF(Generation!$B49,"        &lt;qtimetadatafield&gt;&lt;fieldlabel&gt;QUESTIONTYPE&lt;/fieldlabel&gt;&lt;fieldentry&gt;"&amp;Generation!$D49&amp;"&lt;/fieldentry&gt;&lt;/qtimetadatafield&gt;","")</f>
        <v/>
      </c>
      <c r="B2209" s="48" t="n"/>
      <c r="C2209" s="48" t="n"/>
    </row>
    <row r="2210" ht="18" customHeight="1" s="17">
      <c r="A2210" s="48">
        <f>IF(Generation!$B49,"        &lt;qtimetadatafield&gt;&lt;fieldlabel&gt;AUTHOR&lt;/fieldlabel&gt;&lt;fieldentry&gt;"&amp;Generation!$AR49&amp;"&lt;/fieldentry&gt;&lt;/qtimetadatafield&gt;","")</f>
        <v/>
      </c>
      <c r="B2210" s="48" t="n"/>
      <c r="C2210" s="48" t="n"/>
    </row>
    <row r="2211" ht="18" customHeight="1" s="17">
      <c r="A2211" s="48">
        <f>IF(Generation!$B49,"        &lt;qtimetadatafield&gt;&lt;fieldlabel&gt;identicalScoring&lt;/fieldlabel&gt;&lt;fieldentry&gt;1&lt;/fieldentry&gt;&lt;/qtimetadatafield&gt;","")</f>
        <v/>
      </c>
      <c r="B2211" s="48" t="n"/>
      <c r="C2211" s="48" t="n"/>
    </row>
    <row r="2212" ht="18" customHeight="1" s="17">
      <c r="A2212" s="48">
        <f>IF(Generation!$B49,"      &lt;/qtimetadata&gt;","")</f>
        <v/>
      </c>
      <c r="B2212" s="48" t="n"/>
      <c r="C2212" s="48" t="n"/>
    </row>
    <row r="2213" ht="18" customHeight="1" s="17">
      <c r="A2213" s="48">
        <f>IF(Generation!$B49,"    &lt;/itemmetadata&gt;","")</f>
        <v/>
      </c>
      <c r="B2213" s="48" t="n"/>
      <c r="C2213" s="48" t="n"/>
    </row>
    <row r="2214" ht="18" customHeight="1" s="17">
      <c r="A2214" s="48">
        <f>IF(Generation!$B49,"    &lt;presentation label="""&amp;Generation!$F49&amp;"""&gt;","")</f>
        <v/>
      </c>
      <c r="B2214" s="48" t="n"/>
      <c r="C2214" s="48" t="n"/>
    </row>
    <row r="2215" ht="18" customHeight="1" s="17">
      <c r="A2215" s="48">
        <f>IF(Generation!$B49,"      &lt;material&gt;&lt;mattext texttype=""text/html""&gt;"&amp;Generation!$G49&amp;"&lt;/mattext&gt;&lt;/material&gt;","")</f>
        <v/>
      </c>
      <c r="B2215" s="48" t="n"/>
      <c r="C2215" s="48" t="n"/>
    </row>
    <row r="2216" ht="18" customHeight="1" s="17">
      <c r="A2216" s="48">
        <f>IF(Generation!$B49,"      &lt;response_lid ident=""RESPONSE"" rcardinality="""&amp;Generation!$E49&amp;"""&gt;","")</f>
        <v/>
      </c>
      <c r="B2216" s="48" t="n"/>
      <c r="C2216" s="48" t="n"/>
    </row>
    <row r="2217" ht="18" customHeight="1" s="17">
      <c r="A2217" s="48">
        <f>IF(Generation!$B49,"        &lt;render_choice shuffle=""No""&gt;","")</f>
        <v/>
      </c>
      <c r="B2217" s="48" t="n"/>
      <c r="C2217" s="48" t="n"/>
    </row>
    <row r="2218" ht="18" customHeight="1" s="17">
      <c r="A2218" s="48">
        <f>IF(Generation!AB49="","",Generation!AB49)</f>
        <v/>
      </c>
      <c r="B2218" s="48" t="n"/>
      <c r="C2218" s="48" t="n"/>
    </row>
    <row r="2219" ht="18" customHeight="1" s="17">
      <c r="A2219" s="48">
        <f>IF(Generation!AC49="","",Generation!AC49)</f>
        <v/>
      </c>
      <c r="B2219" s="48" t="n"/>
      <c r="C2219" s="48" t="n"/>
    </row>
    <row r="2220" ht="18" customHeight="1" s="17">
      <c r="A2220" s="48">
        <f>IF(Generation!AD49="","",Generation!AD49)</f>
        <v/>
      </c>
      <c r="B2220" s="48" t="n"/>
      <c r="C2220" s="48" t="n"/>
    </row>
    <row r="2221" ht="18" customHeight="1" s="17">
      <c r="A2221" s="48">
        <f>IF(Generation!AE49="","",Generation!AE49)</f>
        <v/>
      </c>
      <c r="B2221" s="48" t="n"/>
      <c r="C2221" s="48" t="n"/>
    </row>
    <row r="2222" ht="18" customHeight="1" s="17">
      <c r="A2222" s="48">
        <f>IF(Generation!AF49="","",Generation!AF49)</f>
        <v/>
      </c>
      <c r="B2222" s="48" t="n"/>
      <c r="C2222" s="48" t="n"/>
    </row>
    <row r="2223" ht="18" customHeight="1" s="17">
      <c r="A2223" s="48">
        <f>IF(Generation!AG49="","",Generation!AG49)</f>
        <v/>
      </c>
      <c r="B2223" s="48" t="n"/>
      <c r="C2223" s="48" t="n"/>
    </row>
    <row r="2224" ht="18" customHeight="1" s="17">
      <c r="A2224" s="48">
        <f>IF(Generation!AH49="","",Generation!AH49)</f>
        <v/>
      </c>
      <c r="B2224" s="48" t="n"/>
      <c r="C2224" s="48" t="n"/>
    </row>
    <row r="2225" ht="18" customHeight="1" s="17">
      <c r="A2225" s="48">
        <f>IF(Generation!AI49="","",Generation!AI49)</f>
        <v/>
      </c>
      <c r="B2225" s="48" t="n"/>
      <c r="C2225" s="48" t="n"/>
    </row>
    <row r="2226" ht="18" customHeight="1" s="17">
      <c r="A2226" s="48">
        <f>IF(Generation!$B49,"        &lt;/render_choice&gt;","")</f>
        <v/>
      </c>
      <c r="B2226" s="48" t="n"/>
      <c r="C2226" s="48" t="n"/>
    </row>
    <row r="2227" ht="18" customHeight="1" s="17">
      <c r="A2227" s="48">
        <f>IF(Generation!$B49,"      &lt;/response_lid&gt;","")</f>
        <v/>
      </c>
      <c r="B2227" s="48" t="n"/>
      <c r="C2227" s="48" t="n"/>
    </row>
    <row r="2228" ht="18" customHeight="1" s="17">
      <c r="A2228" s="48">
        <f>IF(Generation!$B49,"    &lt;/presentation&gt;","")</f>
        <v/>
      </c>
      <c r="B2228" s="48" t="n"/>
      <c r="C2228" s="48" t="n"/>
    </row>
    <row r="2229" ht="18" customHeight="1" s="17">
      <c r="A2229" s="48">
        <f>IF(Generation!$B49,"    &lt;resprocessing&gt;","")</f>
        <v/>
      </c>
      <c r="B2229" s="48" t="n"/>
      <c r="C2229" s="48" t="n"/>
    </row>
    <row r="2230" ht="18" customHeight="1" s="17">
      <c r="A2230" s="48">
        <f>IF(Generation!$B49,"      &lt;outcomes&gt;&lt;decvar varname=""SCORE"" vartype=""Decimal"" minvalue=""0"" maxvalue="""&amp;Generation!$H49&amp;"""/&gt;&lt;/outcomes&gt;","")</f>
        <v/>
      </c>
      <c r="B2230" s="48" t="n"/>
      <c r="C2230" s="48" t="n"/>
    </row>
    <row r="2231" ht="18" customHeight="1" s="17">
      <c r="A2231" s="48">
        <f>IF(Generation!AJ49="","",Generation!AJ49)</f>
        <v/>
      </c>
      <c r="B2231" s="48" t="n"/>
      <c r="C2231" s="48" t="n"/>
    </row>
    <row r="2232" ht="18" customHeight="1" s="17">
      <c r="A2232" s="48">
        <f>IF(Generation!AK49="","",Generation!AK49)</f>
        <v/>
      </c>
      <c r="B2232" s="48" t="n"/>
      <c r="C2232" s="48" t="n"/>
    </row>
    <row r="2233" ht="18" customHeight="1" s="17">
      <c r="A2233" s="48">
        <f>IF(Generation!AL49="","",Generation!AL49)</f>
        <v/>
      </c>
      <c r="B2233" s="48" t="n"/>
      <c r="C2233" s="48" t="n"/>
    </row>
    <row r="2234" ht="18" customHeight="1" s="17">
      <c r="A2234" s="48">
        <f>IF(Generation!AM49="","",Generation!AM49)</f>
        <v/>
      </c>
      <c r="B2234" s="48" t="n"/>
      <c r="C2234" s="48" t="n"/>
    </row>
    <row r="2235" ht="18" customHeight="1" s="17">
      <c r="A2235" s="48">
        <f>IF(Generation!AN49="","",Generation!AN49)</f>
        <v/>
      </c>
      <c r="B2235" s="48" t="n"/>
      <c r="C2235" s="48" t="n"/>
    </row>
    <row r="2236" ht="18" customHeight="1" s="17">
      <c r="A2236" s="48">
        <f>IF(Generation!AO49="","",Generation!AO49)</f>
        <v/>
      </c>
      <c r="B2236" s="48" t="n"/>
      <c r="C2236" s="48" t="n"/>
    </row>
    <row r="2237" ht="18" customHeight="1" s="17">
      <c r="A2237" s="48">
        <f>IF(Generation!AP49="","",Generation!AP49)</f>
        <v/>
      </c>
      <c r="B2237" s="48" t="n"/>
      <c r="C2237" s="48" t="n"/>
    </row>
    <row r="2238" ht="18" customHeight="1" s="17">
      <c r="A2238" s="48">
        <f>IF(Generation!AQ49="","",Generation!AQ49)</f>
        <v/>
      </c>
      <c r="B2238" s="48" t="n"/>
      <c r="C2238" s="48" t="n"/>
    </row>
    <row r="2239" ht="18" customHeight="1" s="17">
      <c r="A2239" s="48">
        <f>IF(Generation!$B49,"    &lt;/resprocessing&gt;","")</f>
        <v/>
      </c>
      <c r="B2239" s="48" t="n"/>
      <c r="C2239" s="48" t="n"/>
    </row>
    <row r="2240" ht="18" customHeight="1" s="17">
      <c r="A2240" s="48">
        <f>IF(Generation!BB49="","",Generation!BB49)</f>
        <v/>
      </c>
      <c r="B2240" s="48" t="n"/>
      <c r="C2240" s="48" t="n"/>
    </row>
    <row r="2241" ht="18" customHeight="1" s="17">
      <c r="A2241" s="48">
        <f>IF(Generation!BC49="","",Generation!BC49)</f>
        <v/>
      </c>
      <c r="B2241" s="48" t="n"/>
      <c r="C2241" s="48" t="n"/>
    </row>
    <row r="2242" ht="18" customHeight="1" s="17">
      <c r="A2242" s="48">
        <f>IF(Generation!BD49="","",Generation!BD49)</f>
        <v/>
      </c>
      <c r="B2242" s="48" t="n"/>
      <c r="C2242" s="48" t="n"/>
    </row>
    <row r="2243" ht="18" customHeight="1" s="17">
      <c r="A2243" s="48">
        <f>IF(Generation!BE49="","",Generation!BE49)</f>
        <v/>
      </c>
      <c r="B2243" s="48" t="n"/>
      <c r="C2243" s="48" t="n"/>
    </row>
    <row r="2244" ht="18" customHeight="1" s="17">
      <c r="A2244" s="48">
        <f>IF(Generation!BF49="","",Generation!BF49)</f>
        <v/>
      </c>
      <c r="B2244" s="48" t="n"/>
      <c r="C2244" s="48" t="n"/>
    </row>
    <row r="2245" ht="18" customHeight="1" s="17">
      <c r="A2245" s="48">
        <f>IF(Generation!BG49="","",Generation!BG49)</f>
        <v/>
      </c>
      <c r="B2245" s="48" t="n"/>
      <c r="C2245" s="48" t="n"/>
    </row>
    <row r="2246" ht="18" customHeight="1" s="17">
      <c r="A2246" s="48">
        <f>IF(Generation!BH49="","",Generation!BH49)</f>
        <v/>
      </c>
      <c r="B2246" s="48" t="n"/>
      <c r="C2246" s="48" t="n"/>
    </row>
    <row r="2247" ht="18" customHeight="1" s="17">
      <c r="A2247" s="48">
        <f>IF(Generation!BI49="","",Generation!BI49)</f>
        <v/>
      </c>
      <c r="B2247" s="48" t="n"/>
      <c r="C2247" s="48" t="n"/>
    </row>
    <row r="2248" ht="18" customHeight="1" s="17">
      <c r="A2248" s="48">
        <f>IF(Generation!BJ49="","",Generation!BJ49)</f>
        <v/>
      </c>
      <c r="B2248" s="48" t="n"/>
      <c r="C2248" s="48" t="n"/>
    </row>
    <row r="2249" ht="18" customHeight="1" s="17">
      <c r="A2249" s="48">
        <f>IF(Generation!$B49,"  &lt;/item&gt;","")</f>
        <v/>
      </c>
      <c r="B2249" s="48" t="n"/>
      <c r="C2249" s="48" t="n"/>
    </row>
    <row r="2250" ht="18" customHeight="1" s="17">
      <c r="A2250" s="48">
        <f>""</f>
        <v/>
      </c>
      <c r="B2250" s="48" t="n"/>
      <c r="C2250" s="48" t="n"/>
    </row>
    <row r="2251" ht="18" customHeight="1" s="17">
      <c r="A2251" s="48">
        <f>""</f>
        <v/>
      </c>
      <c r="B2251" s="48" t="n"/>
      <c r="C2251" s="48" t="n"/>
    </row>
    <row r="2252" ht="18" customHeight="1" s="17">
      <c r="A2252" s="48">
        <f>""</f>
        <v/>
      </c>
      <c r="B2252" s="48" t="n"/>
      <c r="C2252" s="48" t="n"/>
    </row>
    <row r="2253" ht="18" customHeight="1" s="17">
      <c r="A2253" s="48">
        <f>""</f>
        <v/>
      </c>
      <c r="B2253" s="48" t="n"/>
      <c r="C2253" s="48" t="n"/>
    </row>
    <row r="2254" ht="18" customHeight="1" s="17">
      <c r="A2254" s="48">
        <f>IF(Generation!$B50,"  &lt;item ident=""il_0_qst_"&amp;TEXT(Generation!$A50,"000")&amp;""" title="""&amp;Generation!$F50&amp;"""&gt;","")</f>
        <v/>
      </c>
      <c r="B2254" s="48" t="n"/>
      <c r="C2254" s="48" t="n"/>
    </row>
    <row r="2255" ht="18" customHeight="1" s="17">
      <c r="A2255" s="48">
        <f>IF(Generation!$B50,"    &lt;duration&gt;P0Y0M0DT0H1M0S&lt;/duration&gt;","")</f>
        <v/>
      </c>
      <c r="B2255" s="48" t="n"/>
      <c r="C2255" s="48" t="n"/>
    </row>
    <row r="2256" ht="18" customHeight="1" s="17">
      <c r="A2256" s="48">
        <f>IF(Generation!$B50,"    &lt;itemmetadata&gt;","")</f>
        <v/>
      </c>
      <c r="B2256" s="48" t="n"/>
      <c r="C2256" s="48" t="n"/>
    </row>
    <row r="2257" ht="18" customHeight="1" s="17">
      <c r="A2257" s="48">
        <f>IF(Generation!$B50,"      &lt;qtimetadata&gt;","")</f>
        <v/>
      </c>
      <c r="B2257" s="48" t="n"/>
      <c r="C2257" s="48" t="n"/>
    </row>
    <row r="2258" ht="18" customHeight="1" s="17">
      <c r="A2258" s="48">
        <f>IF(Generation!$B50,"        &lt;qtimetadatafield&gt;&lt;fieldlabel&gt;ILIAS_VERSION&lt;/fieldlabel&gt;&lt;fieldentry&gt;8&lt;/fieldentry&gt;&lt;/qtimetadatafield&gt;","")</f>
        <v/>
      </c>
      <c r="B2258" s="48" t="n"/>
      <c r="C2258" s="48" t="n"/>
    </row>
    <row r="2259" ht="18" customHeight="1" s="17">
      <c r="A2259" s="48">
        <f>IF(Generation!$B50,"        &lt;qtimetadatafield&gt;&lt;fieldlabel&gt;QUESTIONTYPE&lt;/fieldlabel&gt;&lt;fieldentry&gt;"&amp;Generation!$D50&amp;"&lt;/fieldentry&gt;&lt;/qtimetadatafield&gt;","")</f>
        <v/>
      </c>
      <c r="B2259" s="48" t="n"/>
      <c r="C2259" s="48" t="n"/>
    </row>
    <row r="2260" ht="18" customHeight="1" s="17">
      <c r="A2260" s="48">
        <f>IF(Generation!$B50,"        &lt;qtimetadatafield&gt;&lt;fieldlabel&gt;AUTHOR&lt;/fieldlabel&gt;&lt;fieldentry&gt;"&amp;Generation!$AR50&amp;"&lt;/fieldentry&gt;&lt;/qtimetadatafield&gt;","")</f>
        <v/>
      </c>
      <c r="B2260" s="48" t="n"/>
      <c r="C2260" s="48" t="n"/>
    </row>
    <row r="2261" ht="18" customHeight="1" s="17">
      <c r="A2261" s="48">
        <f>IF(Generation!$B50,"        &lt;qtimetadatafield&gt;&lt;fieldlabel&gt;identicalScoring&lt;/fieldlabel&gt;&lt;fieldentry&gt;1&lt;/fieldentry&gt;&lt;/qtimetadatafield&gt;","")</f>
        <v/>
      </c>
      <c r="B2261" s="48" t="n"/>
      <c r="C2261" s="48" t="n"/>
    </row>
    <row r="2262" ht="18" customHeight="1" s="17">
      <c r="A2262" s="48">
        <f>IF(Generation!$B50,"      &lt;/qtimetadata&gt;","")</f>
        <v/>
      </c>
      <c r="B2262" s="48" t="n"/>
      <c r="C2262" s="48" t="n"/>
    </row>
    <row r="2263" ht="18" customHeight="1" s="17">
      <c r="A2263" s="48">
        <f>IF(Generation!$B50,"    &lt;/itemmetadata&gt;","")</f>
        <v/>
      </c>
      <c r="B2263" s="48" t="n"/>
      <c r="C2263" s="48" t="n"/>
    </row>
    <row r="2264" ht="18" customHeight="1" s="17">
      <c r="A2264" s="48">
        <f>IF(Generation!$B50,"    &lt;presentation label="""&amp;Generation!$F50&amp;"""&gt;","")</f>
        <v/>
      </c>
      <c r="B2264" s="48" t="n"/>
      <c r="C2264" s="48" t="n"/>
    </row>
    <row r="2265" ht="18" customHeight="1" s="17">
      <c r="A2265" s="48">
        <f>IF(Generation!$B50,"      &lt;material&gt;&lt;mattext texttype=""text/html""&gt;"&amp;Generation!$G50&amp;"&lt;/mattext&gt;&lt;/material&gt;","")</f>
        <v/>
      </c>
      <c r="B2265" s="48" t="n"/>
      <c r="C2265" s="48" t="n"/>
    </row>
    <row r="2266" ht="18" customHeight="1" s="17">
      <c r="A2266" s="48">
        <f>IF(Generation!$B50,"      &lt;response_lid ident=""RESPONSE"" rcardinality="""&amp;Generation!$E50&amp;"""&gt;","")</f>
        <v/>
      </c>
      <c r="B2266" s="48" t="n"/>
      <c r="C2266" s="48" t="n"/>
    </row>
    <row r="2267" ht="18" customHeight="1" s="17">
      <c r="A2267" s="48">
        <f>IF(Generation!$B50,"        &lt;render_choice shuffle=""No""&gt;","")</f>
        <v/>
      </c>
      <c r="B2267" s="48" t="n"/>
      <c r="C2267" s="48" t="n"/>
    </row>
    <row r="2268" ht="18" customHeight="1" s="17">
      <c r="A2268" s="48">
        <f>IF(Generation!AB50="","",Generation!AB50)</f>
        <v/>
      </c>
      <c r="B2268" s="48" t="n"/>
      <c r="C2268" s="48" t="n"/>
    </row>
    <row r="2269" ht="18" customHeight="1" s="17">
      <c r="A2269" s="48">
        <f>IF(Generation!AC50="","",Generation!AC50)</f>
        <v/>
      </c>
      <c r="B2269" s="48" t="n"/>
      <c r="C2269" s="48" t="n"/>
    </row>
    <row r="2270" ht="18" customHeight="1" s="17">
      <c r="A2270" s="48">
        <f>IF(Generation!AD50="","",Generation!AD50)</f>
        <v/>
      </c>
      <c r="B2270" s="48" t="n"/>
      <c r="C2270" s="48" t="n"/>
    </row>
    <row r="2271" ht="18" customHeight="1" s="17">
      <c r="A2271" s="48">
        <f>IF(Generation!AE50="","",Generation!AE50)</f>
        <v/>
      </c>
      <c r="B2271" s="48" t="n"/>
      <c r="C2271" s="48" t="n"/>
    </row>
    <row r="2272" ht="18" customHeight="1" s="17">
      <c r="A2272" s="48">
        <f>IF(Generation!AF50="","",Generation!AF50)</f>
        <v/>
      </c>
      <c r="B2272" s="48" t="n"/>
      <c r="C2272" s="48" t="n"/>
    </row>
    <row r="2273" ht="18" customHeight="1" s="17">
      <c r="A2273" s="48">
        <f>IF(Generation!AG50="","",Generation!AG50)</f>
        <v/>
      </c>
      <c r="B2273" s="48" t="n"/>
      <c r="C2273" s="48" t="n"/>
    </row>
    <row r="2274" ht="18" customHeight="1" s="17">
      <c r="A2274" s="48">
        <f>IF(Generation!AH50="","",Generation!AH50)</f>
        <v/>
      </c>
      <c r="B2274" s="48" t="n"/>
      <c r="C2274" s="48" t="n"/>
    </row>
    <row r="2275" ht="18" customHeight="1" s="17">
      <c r="A2275" s="48">
        <f>IF(Generation!AI50="","",Generation!AI50)</f>
        <v/>
      </c>
      <c r="B2275" s="48" t="n"/>
      <c r="C2275" s="48" t="n"/>
    </row>
    <row r="2276" ht="18" customHeight="1" s="17">
      <c r="A2276" s="48">
        <f>IF(Generation!$B50,"        &lt;/render_choice&gt;","")</f>
        <v/>
      </c>
      <c r="B2276" s="48" t="n"/>
      <c r="C2276" s="48" t="n"/>
    </row>
    <row r="2277" ht="18" customHeight="1" s="17">
      <c r="A2277" s="48">
        <f>IF(Generation!$B50,"      &lt;/response_lid&gt;","")</f>
        <v/>
      </c>
      <c r="B2277" s="48" t="n"/>
      <c r="C2277" s="48" t="n"/>
    </row>
    <row r="2278" ht="18" customHeight="1" s="17">
      <c r="A2278" s="48">
        <f>IF(Generation!$B50,"    &lt;/presentation&gt;","")</f>
        <v/>
      </c>
      <c r="B2278" s="48" t="n"/>
      <c r="C2278" s="48" t="n"/>
    </row>
    <row r="2279" ht="18" customHeight="1" s="17">
      <c r="A2279" s="48">
        <f>IF(Generation!$B50,"    &lt;resprocessing&gt;","")</f>
        <v/>
      </c>
      <c r="B2279" s="48" t="n"/>
      <c r="C2279" s="48" t="n"/>
    </row>
    <row r="2280" ht="18" customHeight="1" s="17">
      <c r="A2280" s="48">
        <f>IF(Generation!$B50,"      &lt;outcomes&gt;&lt;decvar varname=""SCORE"" vartype=""Decimal"" minvalue=""0"" maxvalue="""&amp;Generation!$H50&amp;"""/&gt;&lt;/outcomes&gt;","")</f>
        <v/>
      </c>
      <c r="B2280" s="48" t="n"/>
      <c r="C2280" s="48" t="n"/>
    </row>
    <row r="2281" ht="18" customHeight="1" s="17">
      <c r="A2281" s="48">
        <f>IF(Generation!AJ50="","",Generation!AJ50)</f>
        <v/>
      </c>
      <c r="B2281" s="48" t="n"/>
      <c r="C2281" s="48" t="n"/>
    </row>
    <row r="2282" ht="18" customHeight="1" s="17">
      <c r="A2282" s="48">
        <f>IF(Generation!AK50="","",Generation!AK50)</f>
        <v/>
      </c>
      <c r="B2282" s="48" t="n"/>
      <c r="C2282" s="48" t="n"/>
    </row>
    <row r="2283" ht="18" customHeight="1" s="17">
      <c r="A2283" s="48">
        <f>IF(Generation!AL50="","",Generation!AL50)</f>
        <v/>
      </c>
      <c r="B2283" s="48" t="n"/>
      <c r="C2283" s="48" t="n"/>
    </row>
    <row r="2284" ht="18" customHeight="1" s="17">
      <c r="A2284" s="48">
        <f>IF(Generation!AM50="","",Generation!AM50)</f>
        <v/>
      </c>
      <c r="B2284" s="48" t="n"/>
      <c r="C2284" s="48" t="n"/>
    </row>
    <row r="2285" ht="18" customHeight="1" s="17">
      <c r="A2285" s="48">
        <f>IF(Generation!AN50="","",Generation!AN50)</f>
        <v/>
      </c>
      <c r="B2285" s="48" t="n"/>
      <c r="C2285" s="48" t="n"/>
    </row>
    <row r="2286" ht="18" customHeight="1" s="17">
      <c r="A2286" s="48">
        <f>IF(Generation!AO50="","",Generation!AO50)</f>
        <v/>
      </c>
      <c r="B2286" s="48" t="n"/>
      <c r="C2286" s="48" t="n"/>
    </row>
    <row r="2287" ht="18" customHeight="1" s="17">
      <c r="A2287" s="48">
        <f>IF(Generation!AP50="","",Generation!AP50)</f>
        <v/>
      </c>
      <c r="B2287" s="48" t="n"/>
      <c r="C2287" s="48" t="n"/>
    </row>
    <row r="2288" ht="18" customHeight="1" s="17">
      <c r="A2288" s="48">
        <f>IF(Generation!AQ50="","",Generation!AQ50)</f>
        <v/>
      </c>
      <c r="B2288" s="48" t="n"/>
      <c r="C2288" s="48" t="n"/>
    </row>
    <row r="2289" ht="18" customHeight="1" s="17">
      <c r="A2289" s="48">
        <f>IF(Generation!$B50,"    &lt;/resprocessing&gt;","")</f>
        <v/>
      </c>
      <c r="B2289" s="48" t="n"/>
      <c r="C2289" s="48" t="n"/>
    </row>
    <row r="2290" ht="18" customHeight="1" s="17">
      <c r="A2290" s="48">
        <f>IF(Generation!BB50="","",Generation!BB50)</f>
        <v/>
      </c>
      <c r="B2290" s="48" t="n"/>
      <c r="C2290" s="48" t="n"/>
    </row>
    <row r="2291" ht="18" customHeight="1" s="17">
      <c r="A2291" s="48">
        <f>IF(Generation!BC50="","",Generation!BC50)</f>
        <v/>
      </c>
      <c r="B2291" s="48" t="n"/>
      <c r="C2291" s="48" t="n"/>
    </row>
    <row r="2292" ht="18" customHeight="1" s="17">
      <c r="A2292" s="48">
        <f>IF(Generation!BD50="","",Generation!BD50)</f>
        <v/>
      </c>
      <c r="B2292" s="48" t="n"/>
      <c r="C2292" s="48" t="n"/>
    </row>
    <row r="2293" ht="18" customHeight="1" s="17">
      <c r="A2293" s="48">
        <f>IF(Generation!BE50="","",Generation!BE50)</f>
        <v/>
      </c>
      <c r="B2293" s="48" t="n"/>
      <c r="C2293" s="48" t="n"/>
    </row>
    <row r="2294" ht="18" customHeight="1" s="17">
      <c r="A2294" s="48">
        <f>IF(Generation!BF50="","",Generation!BF50)</f>
        <v/>
      </c>
      <c r="B2294" s="48" t="n"/>
      <c r="C2294" s="48" t="n"/>
    </row>
    <row r="2295" ht="18" customHeight="1" s="17">
      <c r="A2295" s="48">
        <f>IF(Generation!BG50="","",Generation!BG50)</f>
        <v/>
      </c>
      <c r="B2295" s="48" t="n"/>
      <c r="C2295" s="48" t="n"/>
    </row>
    <row r="2296" ht="18" customHeight="1" s="17">
      <c r="A2296" s="48">
        <f>IF(Generation!BH50="","",Generation!BH50)</f>
        <v/>
      </c>
      <c r="B2296" s="48" t="n"/>
      <c r="C2296" s="48" t="n"/>
    </row>
    <row r="2297" ht="18" customHeight="1" s="17">
      <c r="A2297" s="48">
        <f>IF(Generation!BI50="","",Generation!BI50)</f>
        <v/>
      </c>
      <c r="B2297" s="48" t="n"/>
      <c r="C2297" s="48" t="n"/>
    </row>
    <row r="2298" ht="18" customHeight="1" s="17">
      <c r="A2298" s="48">
        <f>IF(Generation!BJ50="","",Generation!BJ50)</f>
        <v/>
      </c>
      <c r="B2298" s="48" t="n"/>
      <c r="C2298" s="48" t="n"/>
    </row>
    <row r="2299" ht="18" customHeight="1" s="17">
      <c r="A2299" s="48">
        <f>IF(Generation!$B50,"  &lt;/item&gt;","")</f>
        <v/>
      </c>
      <c r="B2299" s="48" t="n"/>
      <c r="C2299" s="48" t="n"/>
    </row>
    <row r="2300" ht="18" customHeight="1" s="17">
      <c r="A2300" s="48">
        <f>""</f>
        <v/>
      </c>
      <c r="B2300" s="48" t="n"/>
      <c r="C2300" s="48" t="n"/>
    </row>
    <row r="2301" ht="18" customHeight="1" s="17">
      <c r="A2301" s="48">
        <f>""</f>
        <v/>
      </c>
      <c r="B2301" s="48" t="n"/>
      <c r="C2301" s="48" t="n"/>
    </row>
    <row r="2302" ht="18" customHeight="1" s="17">
      <c r="A2302" s="48">
        <f>""</f>
        <v/>
      </c>
      <c r="B2302" s="48" t="n"/>
      <c r="C2302" s="48" t="n"/>
    </row>
    <row r="2303" ht="18" customHeight="1" s="17">
      <c r="A2303" s="48">
        <f>""</f>
        <v/>
      </c>
      <c r="B2303" s="48" t="n"/>
      <c r="C2303" s="48" t="n"/>
    </row>
    <row r="2304" ht="18" customHeight="1" s="17">
      <c r="A2304" s="48">
        <f>IF(Generation!$B51,"  &lt;item ident=""il_0_qst_"&amp;TEXT(Generation!$A51,"000")&amp;""" title="""&amp;Generation!$F51&amp;"""&gt;","")</f>
        <v/>
      </c>
      <c r="B2304" s="48" t="n"/>
      <c r="C2304" s="48" t="n"/>
    </row>
    <row r="2305" ht="18" customHeight="1" s="17">
      <c r="A2305" s="48">
        <f>IF(Generation!$B51,"    &lt;duration&gt;P0Y0M0DT0H1M0S&lt;/duration&gt;","")</f>
        <v/>
      </c>
      <c r="B2305" s="48" t="n"/>
      <c r="C2305" s="48" t="n"/>
    </row>
    <row r="2306" ht="18" customHeight="1" s="17">
      <c r="A2306" s="48">
        <f>IF(Generation!$B51,"    &lt;itemmetadata&gt;","")</f>
        <v/>
      </c>
      <c r="B2306" s="48" t="n"/>
      <c r="C2306" s="48" t="n"/>
    </row>
    <row r="2307" ht="18" customHeight="1" s="17">
      <c r="A2307" s="48">
        <f>IF(Generation!$B51,"      &lt;qtimetadata&gt;","")</f>
        <v/>
      </c>
      <c r="B2307" s="48" t="n"/>
      <c r="C2307" s="48" t="n"/>
    </row>
    <row r="2308" ht="18" customHeight="1" s="17">
      <c r="A2308" s="48">
        <f>IF(Generation!$B51,"        &lt;qtimetadatafield&gt;&lt;fieldlabel&gt;ILIAS_VERSION&lt;/fieldlabel&gt;&lt;fieldentry&gt;8&lt;/fieldentry&gt;&lt;/qtimetadatafield&gt;","")</f>
        <v/>
      </c>
      <c r="B2308" s="48" t="n"/>
      <c r="C2308" s="48" t="n"/>
    </row>
    <row r="2309" ht="18" customHeight="1" s="17">
      <c r="A2309" s="48">
        <f>IF(Generation!$B51,"        &lt;qtimetadatafield&gt;&lt;fieldlabel&gt;QUESTIONTYPE&lt;/fieldlabel&gt;&lt;fieldentry&gt;"&amp;Generation!$D51&amp;"&lt;/fieldentry&gt;&lt;/qtimetadatafield&gt;","")</f>
        <v/>
      </c>
      <c r="B2309" s="48" t="n"/>
      <c r="C2309" s="48" t="n"/>
    </row>
    <row r="2310" ht="18" customHeight="1" s="17">
      <c r="A2310" s="48">
        <f>IF(Generation!$B51,"        &lt;qtimetadatafield&gt;&lt;fieldlabel&gt;AUTHOR&lt;/fieldlabel&gt;&lt;fieldentry&gt;"&amp;Generation!$AR51&amp;"&lt;/fieldentry&gt;&lt;/qtimetadatafield&gt;","")</f>
        <v/>
      </c>
      <c r="B2310" s="48" t="n"/>
      <c r="C2310" s="48" t="n"/>
    </row>
    <row r="2311" ht="18" customHeight="1" s="17">
      <c r="A2311" s="48">
        <f>IF(Generation!$B51,"        &lt;qtimetadatafield&gt;&lt;fieldlabel&gt;identicalScoring&lt;/fieldlabel&gt;&lt;fieldentry&gt;1&lt;/fieldentry&gt;&lt;/qtimetadatafield&gt;","")</f>
        <v/>
      </c>
      <c r="B2311" s="48" t="n"/>
      <c r="C2311" s="48" t="n"/>
    </row>
    <row r="2312" ht="18" customHeight="1" s="17">
      <c r="A2312" s="48">
        <f>IF(Generation!$B51,"      &lt;/qtimetadata&gt;","")</f>
        <v/>
      </c>
      <c r="B2312" s="48" t="n"/>
      <c r="C2312" s="48" t="n"/>
    </row>
    <row r="2313" ht="18" customHeight="1" s="17">
      <c r="A2313" s="48">
        <f>IF(Generation!$B51,"    &lt;/itemmetadata&gt;","")</f>
        <v/>
      </c>
      <c r="B2313" s="48" t="n"/>
      <c r="C2313" s="48" t="n"/>
    </row>
    <row r="2314" ht="18" customHeight="1" s="17">
      <c r="A2314" s="48">
        <f>IF(Generation!$B51,"    &lt;presentation label="""&amp;Generation!$F51&amp;"""&gt;","")</f>
        <v/>
      </c>
      <c r="B2314" s="48" t="n"/>
      <c r="C2314" s="48" t="n"/>
    </row>
    <row r="2315" ht="18" customHeight="1" s="17">
      <c r="A2315" s="48">
        <f>IF(Generation!$B51,"      &lt;material&gt;&lt;mattext texttype=""text/html""&gt;"&amp;Generation!$G51&amp;"&lt;/mattext&gt;&lt;/material&gt;","")</f>
        <v/>
      </c>
      <c r="B2315" s="48" t="n"/>
      <c r="C2315" s="48" t="n"/>
    </row>
    <row r="2316" ht="18" customHeight="1" s="17">
      <c r="A2316" s="48">
        <f>IF(Generation!$B51,"      &lt;response_lid ident=""RESPONSE"" rcardinality="""&amp;Generation!$E51&amp;"""&gt;","")</f>
        <v/>
      </c>
      <c r="B2316" s="48" t="n"/>
      <c r="C2316" s="48" t="n"/>
    </row>
    <row r="2317" ht="18" customHeight="1" s="17">
      <c r="A2317" s="48">
        <f>IF(Generation!$B51,"        &lt;render_choice shuffle=""No""&gt;","")</f>
        <v/>
      </c>
      <c r="B2317" s="48" t="n"/>
      <c r="C2317" s="48" t="n"/>
    </row>
    <row r="2318" ht="18" customHeight="1" s="17">
      <c r="A2318" s="48">
        <f>IF(Generation!AB51="","",Generation!AB51)</f>
        <v/>
      </c>
      <c r="B2318" s="48" t="n"/>
      <c r="C2318" s="48" t="n"/>
    </row>
    <row r="2319" ht="18" customHeight="1" s="17">
      <c r="A2319" s="48">
        <f>IF(Generation!AC51="","",Generation!AC51)</f>
        <v/>
      </c>
      <c r="B2319" s="48" t="n"/>
      <c r="C2319" s="48" t="n"/>
    </row>
    <row r="2320" ht="18" customHeight="1" s="17">
      <c r="A2320" s="48">
        <f>IF(Generation!AD51="","",Generation!AD51)</f>
        <v/>
      </c>
      <c r="B2320" s="48" t="n"/>
      <c r="C2320" s="48" t="n"/>
    </row>
    <row r="2321" ht="18" customHeight="1" s="17">
      <c r="A2321" s="48">
        <f>IF(Generation!AE51="","",Generation!AE51)</f>
        <v/>
      </c>
      <c r="B2321" s="48" t="n"/>
      <c r="C2321" s="48" t="n"/>
    </row>
    <row r="2322" ht="18" customHeight="1" s="17">
      <c r="A2322" s="48">
        <f>IF(Generation!AF51="","",Generation!AF51)</f>
        <v/>
      </c>
      <c r="B2322" s="48" t="n"/>
      <c r="C2322" s="48" t="n"/>
    </row>
    <row r="2323" ht="18" customHeight="1" s="17">
      <c r="A2323" s="48">
        <f>IF(Generation!AG51="","",Generation!AG51)</f>
        <v/>
      </c>
      <c r="B2323" s="48" t="n"/>
      <c r="C2323" s="48" t="n"/>
    </row>
    <row r="2324" ht="18" customHeight="1" s="17">
      <c r="A2324" s="48">
        <f>IF(Generation!AH51="","",Generation!AH51)</f>
        <v/>
      </c>
      <c r="B2324" s="48" t="n"/>
      <c r="C2324" s="48" t="n"/>
    </row>
    <row r="2325" ht="18" customHeight="1" s="17">
      <c r="A2325" s="48">
        <f>IF(Generation!AI51="","",Generation!AI51)</f>
        <v/>
      </c>
      <c r="B2325" s="48" t="n"/>
      <c r="C2325" s="48" t="n"/>
    </row>
    <row r="2326" ht="18" customHeight="1" s="17">
      <c r="A2326" s="48">
        <f>IF(Generation!$B51,"        &lt;/render_choice&gt;","")</f>
        <v/>
      </c>
      <c r="B2326" s="48" t="n"/>
      <c r="C2326" s="48" t="n"/>
    </row>
    <row r="2327" ht="18" customHeight="1" s="17">
      <c r="A2327" s="48">
        <f>IF(Generation!$B51,"      &lt;/response_lid&gt;","")</f>
        <v/>
      </c>
      <c r="B2327" s="48" t="n"/>
      <c r="C2327" s="48" t="n"/>
    </row>
    <row r="2328" ht="18" customHeight="1" s="17">
      <c r="A2328" s="48">
        <f>IF(Generation!$B51,"    &lt;/presentation&gt;","")</f>
        <v/>
      </c>
      <c r="B2328" s="48" t="n"/>
      <c r="C2328" s="48" t="n"/>
    </row>
    <row r="2329" ht="18" customHeight="1" s="17">
      <c r="A2329" s="48">
        <f>IF(Generation!$B51,"    &lt;resprocessing&gt;","")</f>
        <v/>
      </c>
      <c r="B2329" s="48" t="n"/>
      <c r="C2329" s="48" t="n"/>
    </row>
    <row r="2330" ht="18" customHeight="1" s="17">
      <c r="A2330" s="48">
        <f>IF(Generation!$B51,"      &lt;outcomes&gt;&lt;decvar varname=""SCORE"" vartype=""Decimal"" minvalue=""0"" maxvalue="""&amp;Generation!$H51&amp;"""/&gt;&lt;/outcomes&gt;","")</f>
        <v/>
      </c>
      <c r="B2330" s="48" t="n"/>
      <c r="C2330" s="48" t="n"/>
    </row>
    <row r="2331" ht="18" customHeight="1" s="17">
      <c r="A2331" s="48">
        <f>IF(Generation!AJ51="","",Generation!AJ51)</f>
        <v/>
      </c>
      <c r="B2331" s="48" t="n"/>
      <c r="C2331" s="48" t="n"/>
    </row>
    <row r="2332" ht="18" customHeight="1" s="17">
      <c r="A2332" s="48">
        <f>IF(Generation!AK51="","",Generation!AK51)</f>
        <v/>
      </c>
      <c r="B2332" s="48" t="n"/>
      <c r="C2332" s="48" t="n"/>
    </row>
    <row r="2333" ht="18" customHeight="1" s="17">
      <c r="A2333" s="48">
        <f>IF(Generation!AL51="","",Generation!AL51)</f>
        <v/>
      </c>
      <c r="B2333" s="48" t="n"/>
      <c r="C2333" s="48" t="n"/>
    </row>
    <row r="2334" ht="18" customHeight="1" s="17">
      <c r="A2334" s="48">
        <f>IF(Generation!AM51="","",Generation!AM51)</f>
        <v/>
      </c>
      <c r="B2334" s="48" t="n"/>
      <c r="C2334" s="48" t="n"/>
    </row>
    <row r="2335" ht="18" customHeight="1" s="17">
      <c r="A2335" s="48">
        <f>IF(Generation!AN51="","",Generation!AN51)</f>
        <v/>
      </c>
      <c r="B2335" s="48" t="n"/>
      <c r="C2335" s="48" t="n"/>
    </row>
    <row r="2336" ht="18" customHeight="1" s="17">
      <c r="A2336" s="48">
        <f>IF(Generation!AO51="","",Generation!AO51)</f>
        <v/>
      </c>
      <c r="B2336" s="48" t="n"/>
      <c r="C2336" s="48" t="n"/>
    </row>
    <row r="2337" ht="18" customHeight="1" s="17">
      <c r="A2337" s="48">
        <f>IF(Generation!AP51="","",Generation!AP51)</f>
        <v/>
      </c>
      <c r="B2337" s="48" t="n"/>
      <c r="C2337" s="48" t="n"/>
    </row>
    <row r="2338" ht="18" customHeight="1" s="17">
      <c r="A2338" s="48">
        <f>IF(Generation!AQ51="","",Generation!AQ51)</f>
        <v/>
      </c>
      <c r="B2338" s="48" t="n"/>
      <c r="C2338" s="48" t="n"/>
    </row>
    <row r="2339" ht="18" customHeight="1" s="17">
      <c r="A2339" s="48">
        <f>IF(Generation!$B51,"    &lt;/resprocessing&gt;","")</f>
        <v/>
      </c>
      <c r="B2339" s="48" t="n"/>
      <c r="C2339" s="48" t="n"/>
    </row>
    <row r="2340" ht="18" customHeight="1" s="17">
      <c r="A2340" s="48">
        <f>IF(Generation!BB51="","",Generation!BB51)</f>
        <v/>
      </c>
      <c r="B2340" s="48" t="n"/>
      <c r="C2340" s="48" t="n"/>
    </row>
    <row r="2341" ht="18" customHeight="1" s="17">
      <c r="A2341" s="48">
        <f>IF(Generation!BC51="","",Generation!BC51)</f>
        <v/>
      </c>
      <c r="B2341" s="48" t="n"/>
      <c r="C2341" s="48" t="n"/>
    </row>
    <row r="2342" ht="18" customHeight="1" s="17">
      <c r="A2342" s="48">
        <f>IF(Generation!BD51="","",Generation!BD51)</f>
        <v/>
      </c>
      <c r="B2342" s="48" t="n"/>
      <c r="C2342" s="48" t="n"/>
    </row>
    <row r="2343" ht="18" customHeight="1" s="17">
      <c r="A2343" s="48">
        <f>IF(Generation!BE51="","",Generation!BE51)</f>
        <v/>
      </c>
      <c r="B2343" s="48" t="n"/>
      <c r="C2343" s="48" t="n"/>
    </row>
    <row r="2344" ht="18" customHeight="1" s="17">
      <c r="A2344" s="48">
        <f>IF(Generation!BF51="","",Generation!BF51)</f>
        <v/>
      </c>
      <c r="B2344" s="48" t="n"/>
      <c r="C2344" s="48" t="n"/>
    </row>
    <row r="2345" ht="18" customHeight="1" s="17">
      <c r="A2345" s="48">
        <f>IF(Generation!BG51="","",Generation!BG51)</f>
        <v/>
      </c>
      <c r="B2345" s="48" t="n"/>
      <c r="C2345" s="48" t="n"/>
    </row>
    <row r="2346" ht="18" customHeight="1" s="17">
      <c r="A2346" s="48">
        <f>IF(Generation!BH51="","",Generation!BH51)</f>
        <v/>
      </c>
      <c r="B2346" s="48" t="n"/>
      <c r="C2346" s="48" t="n"/>
    </row>
    <row r="2347" ht="18" customHeight="1" s="17">
      <c r="A2347" s="48">
        <f>IF(Generation!BI51="","",Generation!BI51)</f>
        <v/>
      </c>
      <c r="B2347" s="48" t="n"/>
      <c r="C2347" s="48" t="n"/>
    </row>
    <row r="2348" ht="18" customHeight="1" s="17">
      <c r="A2348" s="48">
        <f>IF(Generation!BJ51="","",Generation!BJ51)</f>
        <v/>
      </c>
      <c r="B2348" s="48" t="n"/>
      <c r="C2348" s="48" t="n"/>
    </row>
    <row r="2349" ht="18" customHeight="1" s="17">
      <c r="A2349" s="48">
        <f>IF(Generation!$B51,"  &lt;/item&gt;","")</f>
        <v/>
      </c>
      <c r="B2349" s="48" t="n"/>
      <c r="C2349" s="48" t="n"/>
    </row>
    <row r="2350" ht="18" customHeight="1" s="17">
      <c r="A2350" s="48">
        <f>""</f>
        <v/>
      </c>
      <c r="B2350" s="48" t="n"/>
      <c r="C2350" s="48" t="n"/>
    </row>
    <row r="2351" ht="18" customHeight="1" s="17">
      <c r="A2351" s="48">
        <f>""</f>
        <v/>
      </c>
      <c r="B2351" s="48" t="n"/>
      <c r="C2351" s="48" t="n"/>
    </row>
    <row r="2352" ht="18" customHeight="1" s="17">
      <c r="A2352" s="48">
        <f>""</f>
        <v/>
      </c>
      <c r="B2352" s="48" t="n"/>
      <c r="C2352" s="48" t="n"/>
    </row>
    <row r="2353" ht="18" customHeight="1" s="17">
      <c r="A2353" s="48">
        <f>""</f>
        <v/>
      </c>
      <c r="B2353" s="48" t="n"/>
      <c r="C2353" s="48" t="n"/>
    </row>
    <row r="2354" ht="18" customHeight="1" s="17">
      <c r="A2354" s="48">
        <f>IF(Generation!$B52,"  &lt;item ident=""il_0_qst_"&amp;TEXT(Generation!$A52,"000")&amp;""" title="""&amp;Generation!$F52&amp;"""&gt;","")</f>
        <v/>
      </c>
      <c r="B2354" s="48" t="n"/>
      <c r="C2354" s="48" t="n"/>
    </row>
    <row r="2355" ht="18" customHeight="1" s="17">
      <c r="A2355" s="48">
        <f>IF(Generation!$B52,"    &lt;duration&gt;P0Y0M0DT0H1M0S&lt;/duration&gt;","")</f>
        <v/>
      </c>
      <c r="B2355" s="48" t="n"/>
      <c r="C2355" s="48" t="n"/>
    </row>
    <row r="2356" ht="18" customHeight="1" s="17">
      <c r="A2356" s="48">
        <f>IF(Generation!$B52,"    &lt;itemmetadata&gt;","")</f>
        <v/>
      </c>
      <c r="B2356" s="48" t="n"/>
      <c r="C2356" s="48" t="n"/>
    </row>
    <row r="2357" ht="18" customHeight="1" s="17">
      <c r="A2357" s="48">
        <f>IF(Generation!$B52,"      &lt;qtimetadata&gt;","")</f>
        <v/>
      </c>
      <c r="B2357" s="48" t="n"/>
      <c r="C2357" s="48" t="n"/>
    </row>
    <row r="2358" ht="18" customHeight="1" s="17">
      <c r="A2358" s="48">
        <f>IF(Generation!$B52,"        &lt;qtimetadatafield&gt;&lt;fieldlabel&gt;ILIAS_VERSION&lt;/fieldlabel&gt;&lt;fieldentry&gt;8&lt;/fieldentry&gt;&lt;/qtimetadatafield&gt;","")</f>
        <v/>
      </c>
      <c r="B2358" s="48" t="n"/>
      <c r="C2358" s="48" t="n"/>
    </row>
    <row r="2359" ht="18" customHeight="1" s="17">
      <c r="A2359" s="48">
        <f>IF(Generation!$B52,"        &lt;qtimetadatafield&gt;&lt;fieldlabel&gt;QUESTIONTYPE&lt;/fieldlabel&gt;&lt;fieldentry&gt;"&amp;Generation!$D52&amp;"&lt;/fieldentry&gt;&lt;/qtimetadatafield&gt;","")</f>
        <v/>
      </c>
      <c r="B2359" s="48" t="n"/>
      <c r="C2359" s="48" t="n"/>
    </row>
    <row r="2360" ht="18" customHeight="1" s="17">
      <c r="A2360" s="48">
        <f>IF(Generation!$B52,"        &lt;qtimetadatafield&gt;&lt;fieldlabel&gt;AUTHOR&lt;/fieldlabel&gt;&lt;fieldentry&gt;"&amp;Generation!$AR52&amp;"&lt;/fieldentry&gt;&lt;/qtimetadatafield&gt;","")</f>
        <v/>
      </c>
      <c r="B2360" s="48" t="n"/>
      <c r="C2360" s="48" t="n"/>
    </row>
    <row r="2361" ht="18" customHeight="1" s="17">
      <c r="A2361" s="48">
        <f>IF(Generation!$B52,"        &lt;qtimetadatafield&gt;&lt;fieldlabel&gt;identicalScoring&lt;/fieldlabel&gt;&lt;fieldentry&gt;1&lt;/fieldentry&gt;&lt;/qtimetadatafield&gt;","")</f>
        <v/>
      </c>
      <c r="B2361" s="48" t="n"/>
      <c r="C2361" s="48" t="n"/>
    </row>
    <row r="2362" ht="18" customHeight="1" s="17">
      <c r="A2362" s="48">
        <f>IF(Generation!$B52,"      &lt;/qtimetadata&gt;","")</f>
        <v/>
      </c>
      <c r="B2362" s="48" t="n"/>
      <c r="C2362" s="48" t="n"/>
    </row>
    <row r="2363" ht="18" customHeight="1" s="17">
      <c r="A2363" s="48">
        <f>IF(Generation!$B52,"    &lt;/itemmetadata&gt;","")</f>
        <v/>
      </c>
      <c r="B2363" s="48" t="n"/>
      <c r="C2363" s="48" t="n"/>
    </row>
    <row r="2364" ht="18" customHeight="1" s="17">
      <c r="A2364" s="48">
        <f>IF(Generation!$B52,"    &lt;presentation label="""&amp;Generation!$F52&amp;"""&gt;","")</f>
        <v/>
      </c>
      <c r="B2364" s="48" t="n"/>
      <c r="C2364" s="48" t="n"/>
    </row>
    <row r="2365" ht="18" customHeight="1" s="17">
      <c r="A2365" s="48">
        <f>IF(Generation!$B52,"      &lt;material&gt;&lt;mattext texttype=""text/html""&gt;"&amp;Generation!$G52&amp;"&lt;/mattext&gt;&lt;/material&gt;","")</f>
        <v/>
      </c>
      <c r="B2365" s="48" t="n"/>
      <c r="C2365" s="48" t="n"/>
    </row>
    <row r="2366" ht="18" customHeight="1" s="17">
      <c r="A2366" s="48">
        <f>IF(Generation!$B52,"      &lt;response_lid ident=""RESPONSE"" rcardinality="""&amp;Generation!$E52&amp;"""&gt;","")</f>
        <v/>
      </c>
      <c r="B2366" s="48" t="n"/>
      <c r="C2366" s="48" t="n"/>
    </row>
    <row r="2367" ht="18" customHeight="1" s="17">
      <c r="A2367" s="48">
        <f>IF(Generation!$B52,"        &lt;render_choice shuffle=""No""&gt;","")</f>
        <v/>
      </c>
      <c r="B2367" s="48" t="n"/>
      <c r="C2367" s="48" t="n"/>
    </row>
    <row r="2368" ht="18" customHeight="1" s="17">
      <c r="A2368" s="48">
        <f>IF(Generation!AB52="","",Generation!AB52)</f>
        <v/>
      </c>
      <c r="B2368" s="48" t="n"/>
      <c r="C2368" s="48" t="n"/>
    </row>
    <row r="2369" ht="18" customHeight="1" s="17">
      <c r="A2369" s="48">
        <f>IF(Generation!AC52="","",Generation!AC52)</f>
        <v/>
      </c>
      <c r="B2369" s="48" t="n"/>
      <c r="C2369" s="48" t="n"/>
    </row>
    <row r="2370" ht="18" customHeight="1" s="17">
      <c r="A2370" s="48">
        <f>IF(Generation!AD52="","",Generation!AD52)</f>
        <v/>
      </c>
      <c r="B2370" s="48" t="n"/>
      <c r="C2370" s="48" t="n"/>
    </row>
    <row r="2371" ht="18" customHeight="1" s="17">
      <c r="A2371" s="48">
        <f>IF(Generation!AE52="","",Generation!AE52)</f>
        <v/>
      </c>
      <c r="B2371" s="48" t="n"/>
      <c r="C2371" s="48" t="n"/>
    </row>
    <row r="2372" ht="18" customHeight="1" s="17">
      <c r="A2372" s="48">
        <f>IF(Generation!AF52="","",Generation!AF52)</f>
        <v/>
      </c>
      <c r="B2372" s="48" t="n"/>
      <c r="C2372" s="48" t="n"/>
    </row>
    <row r="2373" ht="18" customHeight="1" s="17">
      <c r="A2373" s="48">
        <f>IF(Generation!AG52="","",Generation!AG52)</f>
        <v/>
      </c>
      <c r="B2373" s="48" t="n"/>
      <c r="C2373" s="48" t="n"/>
    </row>
    <row r="2374" ht="18" customHeight="1" s="17">
      <c r="A2374" s="48">
        <f>IF(Generation!AH52="","",Generation!AH52)</f>
        <v/>
      </c>
      <c r="B2374" s="48" t="n"/>
      <c r="C2374" s="48" t="n"/>
    </row>
    <row r="2375" ht="18" customHeight="1" s="17">
      <c r="A2375" s="48">
        <f>IF(Generation!AI52="","",Generation!AI52)</f>
        <v/>
      </c>
      <c r="B2375" s="48" t="n"/>
      <c r="C2375" s="48" t="n"/>
    </row>
    <row r="2376" ht="18" customHeight="1" s="17">
      <c r="A2376" s="48">
        <f>IF(Generation!$B52,"        &lt;/render_choice&gt;","")</f>
        <v/>
      </c>
      <c r="B2376" s="48" t="n"/>
      <c r="C2376" s="48" t="n"/>
    </row>
    <row r="2377" ht="18" customHeight="1" s="17">
      <c r="A2377" s="48">
        <f>IF(Generation!$B52,"      &lt;/response_lid&gt;","")</f>
        <v/>
      </c>
      <c r="B2377" s="48" t="n"/>
      <c r="C2377" s="48" t="n"/>
    </row>
    <row r="2378" ht="18" customHeight="1" s="17">
      <c r="A2378" s="48">
        <f>IF(Generation!$B52,"    &lt;/presentation&gt;","")</f>
        <v/>
      </c>
      <c r="B2378" s="48" t="n"/>
      <c r="C2378" s="48" t="n"/>
    </row>
    <row r="2379" ht="18" customHeight="1" s="17">
      <c r="A2379" s="48">
        <f>IF(Generation!$B52,"    &lt;resprocessing&gt;","")</f>
        <v/>
      </c>
      <c r="B2379" s="48" t="n"/>
      <c r="C2379" s="48" t="n"/>
    </row>
    <row r="2380" ht="18" customHeight="1" s="17">
      <c r="A2380" s="48">
        <f>IF(Generation!$B52,"      &lt;outcomes&gt;&lt;decvar varname=""SCORE"" vartype=""Decimal"" minvalue=""0"" maxvalue="""&amp;Generation!$H52&amp;"""/&gt;&lt;/outcomes&gt;","")</f>
        <v/>
      </c>
      <c r="B2380" s="48" t="n"/>
      <c r="C2380" s="48" t="n"/>
    </row>
    <row r="2381" ht="18" customHeight="1" s="17">
      <c r="A2381" s="48">
        <f>IF(Generation!AJ52="","",Generation!AJ52)</f>
        <v/>
      </c>
      <c r="B2381" s="48" t="n"/>
      <c r="C2381" s="48" t="n"/>
    </row>
    <row r="2382" ht="18" customHeight="1" s="17">
      <c r="A2382" s="48">
        <f>IF(Generation!AK52="","",Generation!AK52)</f>
        <v/>
      </c>
      <c r="B2382" s="48" t="n"/>
      <c r="C2382" s="48" t="n"/>
    </row>
    <row r="2383" ht="18" customHeight="1" s="17">
      <c r="A2383" s="48">
        <f>IF(Generation!AL52="","",Generation!AL52)</f>
        <v/>
      </c>
      <c r="B2383" s="48" t="n"/>
      <c r="C2383" s="48" t="n"/>
    </row>
    <row r="2384" ht="18" customHeight="1" s="17">
      <c r="A2384" s="48">
        <f>IF(Generation!AM52="","",Generation!AM52)</f>
        <v/>
      </c>
      <c r="B2384" s="48" t="n"/>
      <c r="C2384" s="48" t="n"/>
    </row>
    <row r="2385" ht="18" customHeight="1" s="17">
      <c r="A2385" s="48">
        <f>IF(Generation!AN52="","",Generation!AN52)</f>
        <v/>
      </c>
      <c r="B2385" s="48" t="n"/>
      <c r="C2385" s="48" t="n"/>
    </row>
    <row r="2386" ht="18" customHeight="1" s="17">
      <c r="A2386" s="48">
        <f>IF(Generation!AO52="","",Generation!AO52)</f>
        <v/>
      </c>
      <c r="B2386" s="48" t="n"/>
      <c r="C2386" s="48" t="n"/>
    </row>
    <row r="2387" ht="18" customHeight="1" s="17">
      <c r="A2387" s="48">
        <f>IF(Generation!AP52="","",Generation!AP52)</f>
        <v/>
      </c>
      <c r="B2387" s="48" t="n"/>
      <c r="C2387" s="48" t="n"/>
    </row>
    <row r="2388" ht="18" customHeight="1" s="17">
      <c r="A2388" s="48">
        <f>IF(Generation!AQ52="","",Generation!AQ52)</f>
        <v/>
      </c>
      <c r="B2388" s="48" t="n"/>
      <c r="C2388" s="48" t="n"/>
    </row>
    <row r="2389" ht="18" customHeight="1" s="17">
      <c r="A2389" s="48">
        <f>IF(Generation!$B52,"    &lt;/resprocessing&gt;","")</f>
        <v/>
      </c>
      <c r="B2389" s="48" t="n"/>
      <c r="C2389" s="48" t="n"/>
    </row>
    <row r="2390" ht="18" customHeight="1" s="17">
      <c r="A2390" s="48">
        <f>IF(Generation!BB52="","",Generation!BB52)</f>
        <v/>
      </c>
      <c r="B2390" s="48" t="n"/>
      <c r="C2390" s="48" t="n"/>
    </row>
    <row r="2391" ht="18" customHeight="1" s="17">
      <c r="A2391" s="48">
        <f>IF(Generation!BC52="","",Generation!BC52)</f>
        <v/>
      </c>
      <c r="B2391" s="48" t="n"/>
      <c r="C2391" s="48" t="n"/>
    </row>
    <row r="2392" ht="18" customHeight="1" s="17">
      <c r="A2392" s="48">
        <f>IF(Generation!BD52="","",Generation!BD52)</f>
        <v/>
      </c>
      <c r="B2392" s="48" t="n"/>
      <c r="C2392" s="48" t="n"/>
    </row>
    <row r="2393" ht="18" customHeight="1" s="17">
      <c r="A2393" s="48">
        <f>IF(Generation!BE52="","",Generation!BE52)</f>
        <v/>
      </c>
      <c r="B2393" s="48" t="n"/>
      <c r="C2393" s="48" t="n"/>
    </row>
    <row r="2394" ht="18" customHeight="1" s="17">
      <c r="A2394" s="48">
        <f>IF(Generation!BF52="","",Generation!BF52)</f>
        <v/>
      </c>
      <c r="B2394" s="48" t="n"/>
      <c r="C2394" s="48" t="n"/>
    </row>
    <row r="2395" ht="18" customHeight="1" s="17">
      <c r="A2395" s="48">
        <f>IF(Generation!BG52="","",Generation!BG52)</f>
        <v/>
      </c>
      <c r="B2395" s="48" t="n"/>
      <c r="C2395" s="48" t="n"/>
    </row>
    <row r="2396" ht="18" customHeight="1" s="17">
      <c r="A2396" s="48">
        <f>IF(Generation!BH52="","",Generation!BH52)</f>
        <v/>
      </c>
      <c r="B2396" s="48" t="n"/>
      <c r="C2396" s="48" t="n"/>
    </row>
    <row r="2397" ht="18" customHeight="1" s="17">
      <c r="A2397" s="48">
        <f>IF(Generation!BI52="","",Generation!BI52)</f>
        <v/>
      </c>
      <c r="B2397" s="48" t="n"/>
      <c r="C2397" s="48" t="n"/>
    </row>
    <row r="2398" ht="18" customHeight="1" s="17">
      <c r="A2398" s="48">
        <f>IF(Generation!BJ52="","",Generation!BJ52)</f>
        <v/>
      </c>
      <c r="B2398" s="48" t="n"/>
      <c r="C2398" s="48" t="n"/>
    </row>
    <row r="2399" ht="18" customHeight="1" s="17">
      <c r="A2399" s="48">
        <f>IF(Generation!$B52,"  &lt;/item&gt;","")</f>
        <v/>
      </c>
      <c r="B2399" s="48" t="n"/>
      <c r="C2399" s="48" t="n"/>
    </row>
    <row r="2400" ht="18" customHeight="1" s="17">
      <c r="A2400" s="48">
        <f>""</f>
        <v/>
      </c>
      <c r="B2400" s="48" t="n"/>
      <c r="C2400" s="48" t="n"/>
    </row>
    <row r="2401" ht="18" customHeight="1" s="17">
      <c r="A2401" s="48">
        <f>""</f>
        <v/>
      </c>
      <c r="B2401" s="48" t="n"/>
      <c r="C2401" s="48" t="n"/>
    </row>
    <row r="2402" ht="18" customHeight="1" s="17">
      <c r="A2402" s="48">
        <f>""</f>
        <v/>
      </c>
      <c r="B2402" s="48" t="n"/>
      <c r="C2402" s="48" t="n"/>
    </row>
    <row r="2403" ht="18" customHeight="1" s="17">
      <c r="A2403" s="48">
        <f>""</f>
        <v/>
      </c>
      <c r="B2403" s="48" t="n"/>
      <c r="C2403" s="48" t="n"/>
    </row>
    <row r="2404" ht="18" customHeight="1" s="17">
      <c r="A2404" s="48">
        <f>IF(Generation!$B53,"  &lt;item ident=""il_0_qst_"&amp;TEXT(Generation!$A53,"000")&amp;""" title="""&amp;Generation!$F53&amp;"""&gt;","")</f>
        <v/>
      </c>
      <c r="B2404" s="48" t="n"/>
      <c r="C2404" s="48" t="n"/>
    </row>
    <row r="2405" ht="18" customHeight="1" s="17">
      <c r="A2405" s="48">
        <f>IF(Generation!$B53,"    &lt;duration&gt;P0Y0M0DT0H1M0S&lt;/duration&gt;","")</f>
        <v/>
      </c>
      <c r="B2405" s="48" t="n"/>
      <c r="C2405" s="48" t="n"/>
    </row>
    <row r="2406" ht="18" customHeight="1" s="17">
      <c r="A2406" s="48">
        <f>IF(Generation!$B53,"    &lt;itemmetadata&gt;","")</f>
        <v/>
      </c>
      <c r="B2406" s="48" t="n"/>
      <c r="C2406" s="48" t="n"/>
    </row>
    <row r="2407" ht="18" customHeight="1" s="17">
      <c r="A2407" s="48">
        <f>IF(Generation!$B53,"      &lt;qtimetadata&gt;","")</f>
        <v/>
      </c>
      <c r="B2407" s="48" t="n"/>
      <c r="C2407" s="48" t="n"/>
    </row>
    <row r="2408" ht="18" customHeight="1" s="17">
      <c r="A2408" s="48">
        <f>IF(Generation!$B53,"        &lt;qtimetadatafield&gt;&lt;fieldlabel&gt;ILIAS_VERSION&lt;/fieldlabel&gt;&lt;fieldentry&gt;8&lt;/fieldentry&gt;&lt;/qtimetadatafield&gt;","")</f>
        <v/>
      </c>
      <c r="B2408" s="48" t="n"/>
      <c r="C2408" s="48" t="n"/>
    </row>
    <row r="2409" ht="18" customHeight="1" s="17">
      <c r="A2409" s="48">
        <f>IF(Generation!$B53,"        &lt;qtimetadatafield&gt;&lt;fieldlabel&gt;QUESTIONTYPE&lt;/fieldlabel&gt;&lt;fieldentry&gt;"&amp;Generation!$D53&amp;"&lt;/fieldentry&gt;&lt;/qtimetadatafield&gt;","")</f>
        <v/>
      </c>
      <c r="B2409" s="48" t="n"/>
      <c r="C2409" s="48" t="n"/>
    </row>
    <row r="2410" ht="18" customHeight="1" s="17">
      <c r="A2410" s="48">
        <f>IF(Generation!$B53,"        &lt;qtimetadatafield&gt;&lt;fieldlabel&gt;AUTHOR&lt;/fieldlabel&gt;&lt;fieldentry&gt;"&amp;Generation!$AR53&amp;"&lt;/fieldentry&gt;&lt;/qtimetadatafield&gt;","")</f>
        <v/>
      </c>
      <c r="B2410" s="48" t="n"/>
      <c r="C2410" s="48" t="n"/>
    </row>
    <row r="2411" ht="18" customHeight="1" s="17">
      <c r="A2411" s="48">
        <f>IF(Generation!$B53,"        &lt;qtimetadatafield&gt;&lt;fieldlabel&gt;identicalScoring&lt;/fieldlabel&gt;&lt;fieldentry&gt;1&lt;/fieldentry&gt;&lt;/qtimetadatafield&gt;","")</f>
        <v/>
      </c>
      <c r="B2411" s="48" t="n"/>
      <c r="C2411" s="48" t="n"/>
    </row>
    <row r="2412" ht="18" customHeight="1" s="17">
      <c r="A2412" s="48">
        <f>IF(Generation!$B53,"      &lt;/qtimetadata&gt;","")</f>
        <v/>
      </c>
      <c r="B2412" s="48" t="n"/>
      <c r="C2412" s="48" t="n"/>
    </row>
    <row r="2413" ht="18" customHeight="1" s="17">
      <c r="A2413" s="48">
        <f>IF(Generation!$B53,"    &lt;/itemmetadata&gt;","")</f>
        <v/>
      </c>
      <c r="B2413" s="48" t="n"/>
      <c r="C2413" s="48" t="n"/>
    </row>
    <row r="2414" ht="18" customHeight="1" s="17">
      <c r="A2414" s="48">
        <f>IF(Generation!$B53,"    &lt;presentation label="""&amp;Generation!$F53&amp;"""&gt;","")</f>
        <v/>
      </c>
      <c r="B2414" s="48" t="n"/>
      <c r="C2414" s="48" t="n"/>
    </row>
    <row r="2415" ht="18" customHeight="1" s="17">
      <c r="A2415" s="48">
        <f>IF(Generation!$B53,"      &lt;material&gt;&lt;mattext texttype=""text/html""&gt;"&amp;Generation!$G53&amp;"&lt;/mattext&gt;&lt;/material&gt;","")</f>
        <v/>
      </c>
      <c r="B2415" s="48" t="n"/>
      <c r="C2415" s="48" t="n"/>
    </row>
    <row r="2416" ht="18" customHeight="1" s="17">
      <c r="A2416" s="48">
        <f>IF(Generation!$B53,"      &lt;response_lid ident=""RESPONSE"" rcardinality="""&amp;Generation!$E53&amp;"""&gt;","")</f>
        <v/>
      </c>
      <c r="B2416" s="48" t="n"/>
      <c r="C2416" s="48" t="n"/>
    </row>
    <row r="2417" ht="18" customHeight="1" s="17">
      <c r="A2417" s="48">
        <f>IF(Generation!$B53,"        &lt;render_choice shuffle=""No""&gt;","")</f>
        <v/>
      </c>
      <c r="B2417" s="48" t="n"/>
      <c r="C2417" s="48" t="n"/>
    </row>
    <row r="2418" ht="18" customHeight="1" s="17">
      <c r="A2418" s="48">
        <f>IF(Generation!AB53="","",Generation!AB53)</f>
        <v/>
      </c>
      <c r="B2418" s="48" t="n"/>
      <c r="C2418" s="48" t="n"/>
    </row>
    <row r="2419" ht="18" customHeight="1" s="17">
      <c r="A2419" s="48">
        <f>IF(Generation!AC53="","",Generation!AC53)</f>
        <v/>
      </c>
      <c r="B2419" s="48" t="n"/>
      <c r="C2419" s="48" t="n"/>
    </row>
    <row r="2420" ht="18" customHeight="1" s="17">
      <c r="A2420" s="48">
        <f>IF(Generation!AD53="","",Generation!AD53)</f>
        <v/>
      </c>
      <c r="B2420" s="48" t="n"/>
      <c r="C2420" s="48" t="n"/>
    </row>
    <row r="2421" ht="18" customHeight="1" s="17">
      <c r="A2421" s="48">
        <f>IF(Generation!AE53="","",Generation!AE53)</f>
        <v/>
      </c>
      <c r="B2421" s="48" t="n"/>
      <c r="C2421" s="48" t="n"/>
    </row>
    <row r="2422" ht="18" customHeight="1" s="17">
      <c r="A2422" s="48">
        <f>IF(Generation!AF53="","",Generation!AF53)</f>
        <v/>
      </c>
      <c r="B2422" s="48" t="n"/>
      <c r="C2422" s="48" t="n"/>
    </row>
    <row r="2423" ht="18" customHeight="1" s="17">
      <c r="A2423" s="48">
        <f>IF(Generation!AG53="","",Generation!AG53)</f>
        <v/>
      </c>
      <c r="B2423" s="48" t="n"/>
      <c r="C2423" s="48" t="n"/>
    </row>
    <row r="2424" ht="18" customHeight="1" s="17">
      <c r="A2424" s="48">
        <f>IF(Generation!AH53="","",Generation!AH53)</f>
        <v/>
      </c>
      <c r="B2424" s="48" t="n"/>
      <c r="C2424" s="48" t="n"/>
    </row>
    <row r="2425" ht="18" customHeight="1" s="17">
      <c r="A2425" s="48">
        <f>IF(Generation!AI53="","",Generation!AI53)</f>
        <v/>
      </c>
      <c r="B2425" s="48" t="n"/>
      <c r="C2425" s="48" t="n"/>
    </row>
    <row r="2426" ht="18" customHeight="1" s="17">
      <c r="A2426" s="48">
        <f>IF(Generation!$B53,"        &lt;/render_choice&gt;","")</f>
        <v/>
      </c>
      <c r="B2426" s="48" t="n"/>
      <c r="C2426" s="48" t="n"/>
    </row>
    <row r="2427" ht="18" customHeight="1" s="17">
      <c r="A2427" s="48">
        <f>IF(Generation!$B53,"      &lt;/response_lid&gt;","")</f>
        <v/>
      </c>
      <c r="B2427" s="48" t="n"/>
      <c r="C2427" s="48" t="n"/>
    </row>
    <row r="2428" ht="18" customHeight="1" s="17">
      <c r="A2428" s="48">
        <f>IF(Generation!$B53,"    &lt;/presentation&gt;","")</f>
        <v/>
      </c>
      <c r="B2428" s="48" t="n"/>
      <c r="C2428" s="48" t="n"/>
    </row>
    <row r="2429" ht="18" customHeight="1" s="17">
      <c r="A2429" s="48">
        <f>IF(Generation!$B53,"    &lt;resprocessing&gt;","")</f>
        <v/>
      </c>
      <c r="B2429" s="48" t="n"/>
      <c r="C2429" s="48" t="n"/>
    </row>
    <row r="2430" ht="18" customHeight="1" s="17">
      <c r="A2430" s="48">
        <f>IF(Generation!$B53,"      &lt;outcomes&gt;&lt;decvar varname=""SCORE"" vartype=""Decimal"" minvalue=""0"" maxvalue="""&amp;Generation!$H53&amp;"""/&gt;&lt;/outcomes&gt;","")</f>
        <v/>
      </c>
      <c r="B2430" s="48" t="n"/>
      <c r="C2430" s="48" t="n"/>
    </row>
    <row r="2431" ht="18" customHeight="1" s="17">
      <c r="A2431" s="48">
        <f>IF(Generation!AJ53="","",Generation!AJ53)</f>
        <v/>
      </c>
      <c r="B2431" s="48" t="n"/>
      <c r="C2431" s="48" t="n"/>
    </row>
    <row r="2432" ht="18" customHeight="1" s="17">
      <c r="A2432" s="48">
        <f>IF(Generation!AK53="","",Generation!AK53)</f>
        <v/>
      </c>
      <c r="B2432" s="48" t="n"/>
      <c r="C2432" s="48" t="n"/>
    </row>
    <row r="2433" ht="18" customHeight="1" s="17">
      <c r="A2433" s="48">
        <f>IF(Generation!AL53="","",Generation!AL53)</f>
        <v/>
      </c>
      <c r="B2433" s="48" t="n"/>
      <c r="C2433" s="48" t="n"/>
    </row>
    <row r="2434" ht="18" customHeight="1" s="17">
      <c r="A2434" s="48">
        <f>IF(Generation!AM53="","",Generation!AM53)</f>
        <v/>
      </c>
      <c r="B2434" s="48" t="n"/>
      <c r="C2434" s="48" t="n"/>
    </row>
    <row r="2435" ht="18" customHeight="1" s="17">
      <c r="A2435" s="48">
        <f>IF(Generation!AN53="","",Generation!AN53)</f>
        <v/>
      </c>
      <c r="B2435" s="48" t="n"/>
      <c r="C2435" s="48" t="n"/>
    </row>
    <row r="2436" ht="18" customHeight="1" s="17">
      <c r="A2436" s="48">
        <f>IF(Generation!AO53="","",Generation!AO53)</f>
        <v/>
      </c>
      <c r="B2436" s="48" t="n"/>
      <c r="C2436" s="48" t="n"/>
    </row>
    <row r="2437" ht="18" customHeight="1" s="17">
      <c r="A2437" s="48">
        <f>IF(Generation!AP53="","",Generation!AP53)</f>
        <v/>
      </c>
      <c r="B2437" s="48" t="n"/>
      <c r="C2437" s="48" t="n"/>
    </row>
    <row r="2438" ht="18" customHeight="1" s="17">
      <c r="A2438" s="48">
        <f>IF(Generation!AQ53="","",Generation!AQ53)</f>
        <v/>
      </c>
      <c r="B2438" s="48" t="n"/>
      <c r="C2438" s="48" t="n"/>
    </row>
    <row r="2439" ht="18" customHeight="1" s="17">
      <c r="A2439" s="48">
        <f>IF(Generation!$B53,"    &lt;/resprocessing&gt;","")</f>
        <v/>
      </c>
      <c r="B2439" s="48" t="n"/>
      <c r="C2439" s="48" t="n"/>
    </row>
    <row r="2440" ht="18" customHeight="1" s="17">
      <c r="A2440" s="48">
        <f>IF(Generation!BB53="","",Generation!BB53)</f>
        <v/>
      </c>
      <c r="B2440" s="48" t="n"/>
      <c r="C2440" s="48" t="n"/>
    </row>
    <row r="2441" ht="18" customHeight="1" s="17">
      <c r="A2441" s="48">
        <f>IF(Generation!BC53="","",Generation!BC53)</f>
        <v/>
      </c>
      <c r="B2441" s="48" t="n"/>
      <c r="C2441" s="48" t="n"/>
    </row>
    <row r="2442" ht="18" customHeight="1" s="17">
      <c r="A2442" s="48">
        <f>IF(Generation!BD53="","",Generation!BD53)</f>
        <v/>
      </c>
      <c r="B2442" s="48" t="n"/>
      <c r="C2442" s="48" t="n"/>
    </row>
    <row r="2443" ht="18" customHeight="1" s="17">
      <c r="A2443" s="48">
        <f>IF(Generation!BE53="","",Generation!BE53)</f>
        <v/>
      </c>
      <c r="B2443" s="48" t="n"/>
      <c r="C2443" s="48" t="n"/>
    </row>
    <row r="2444" ht="18" customHeight="1" s="17">
      <c r="A2444" s="48">
        <f>IF(Generation!BF53="","",Generation!BF53)</f>
        <v/>
      </c>
      <c r="B2444" s="48" t="n"/>
      <c r="C2444" s="48" t="n"/>
    </row>
    <row r="2445" ht="18" customHeight="1" s="17">
      <c r="A2445" s="48">
        <f>IF(Generation!BG53="","",Generation!BG53)</f>
        <v/>
      </c>
      <c r="B2445" s="48" t="n"/>
      <c r="C2445" s="48" t="n"/>
    </row>
    <row r="2446" ht="18" customHeight="1" s="17">
      <c r="A2446" s="48">
        <f>IF(Generation!BH53="","",Generation!BH53)</f>
        <v/>
      </c>
      <c r="B2446" s="48" t="n"/>
      <c r="C2446" s="48" t="n"/>
    </row>
    <row r="2447" ht="18" customHeight="1" s="17">
      <c r="A2447" s="48">
        <f>IF(Generation!BI53="","",Generation!BI53)</f>
        <v/>
      </c>
      <c r="B2447" s="48" t="n"/>
      <c r="C2447" s="48" t="n"/>
    </row>
    <row r="2448" ht="18" customHeight="1" s="17">
      <c r="A2448" s="48">
        <f>IF(Generation!BJ53="","",Generation!BJ53)</f>
        <v/>
      </c>
      <c r="B2448" s="48" t="n"/>
      <c r="C2448" s="48" t="n"/>
    </row>
    <row r="2449" ht="18" customHeight="1" s="17">
      <c r="A2449" s="48">
        <f>IF(Generation!$B53,"  &lt;/item&gt;","")</f>
        <v/>
      </c>
      <c r="B2449" s="48" t="n"/>
      <c r="C2449" s="48" t="n"/>
    </row>
    <row r="2450" ht="18" customHeight="1" s="17">
      <c r="A2450" s="48">
        <f>""</f>
        <v/>
      </c>
      <c r="B2450" s="48" t="n"/>
      <c r="C2450" s="48" t="n"/>
    </row>
    <row r="2451" ht="18" customHeight="1" s="17">
      <c r="A2451" s="48">
        <f>""</f>
        <v/>
      </c>
      <c r="B2451" s="48" t="n"/>
      <c r="C2451" s="48" t="n"/>
    </row>
    <row r="2452" ht="18" customHeight="1" s="17">
      <c r="A2452" s="48">
        <f>""</f>
        <v/>
      </c>
      <c r="B2452" s="48" t="n"/>
      <c r="C2452" s="48" t="n"/>
    </row>
    <row r="2453" ht="18" customHeight="1" s="17">
      <c r="A2453" s="48">
        <f>""</f>
        <v/>
      </c>
      <c r="B2453" s="48" t="n"/>
      <c r="C2453" s="48" t="n"/>
    </row>
    <row r="2454" ht="18" customHeight="1" s="17">
      <c r="A2454" s="48">
        <f>IF(Generation!$B54,"  &lt;item ident=""il_0_qst_"&amp;TEXT(Generation!$A54,"000")&amp;""" title="""&amp;Generation!$F54&amp;"""&gt;","")</f>
        <v/>
      </c>
      <c r="B2454" s="48" t="n"/>
      <c r="C2454" s="48" t="n"/>
    </row>
    <row r="2455" ht="18" customHeight="1" s="17">
      <c r="A2455" s="48">
        <f>IF(Generation!$B54,"    &lt;duration&gt;P0Y0M0DT0H1M0S&lt;/duration&gt;","")</f>
        <v/>
      </c>
      <c r="B2455" s="48" t="n"/>
      <c r="C2455" s="48" t="n"/>
    </row>
    <row r="2456" ht="18" customHeight="1" s="17">
      <c r="A2456" s="48">
        <f>IF(Generation!$B54,"    &lt;itemmetadata&gt;","")</f>
        <v/>
      </c>
      <c r="B2456" s="48" t="n"/>
      <c r="C2456" s="48" t="n"/>
    </row>
    <row r="2457" ht="18" customHeight="1" s="17">
      <c r="A2457" s="48">
        <f>IF(Generation!$B54,"      &lt;qtimetadata&gt;","")</f>
        <v/>
      </c>
      <c r="B2457" s="48" t="n"/>
      <c r="C2457" s="48" t="n"/>
    </row>
    <row r="2458" ht="18" customHeight="1" s="17">
      <c r="A2458" s="48">
        <f>IF(Generation!$B54,"        &lt;qtimetadatafield&gt;&lt;fieldlabel&gt;ILIAS_VERSION&lt;/fieldlabel&gt;&lt;fieldentry&gt;8&lt;/fieldentry&gt;&lt;/qtimetadatafield&gt;","")</f>
        <v/>
      </c>
      <c r="B2458" s="48" t="n"/>
      <c r="C2458" s="48" t="n"/>
    </row>
    <row r="2459" ht="18" customHeight="1" s="17">
      <c r="A2459" s="48">
        <f>IF(Generation!$B54,"        &lt;qtimetadatafield&gt;&lt;fieldlabel&gt;QUESTIONTYPE&lt;/fieldlabel&gt;&lt;fieldentry&gt;"&amp;Generation!$D54&amp;"&lt;/fieldentry&gt;&lt;/qtimetadatafield&gt;","")</f>
        <v/>
      </c>
      <c r="B2459" s="48" t="n"/>
      <c r="C2459" s="48" t="n"/>
    </row>
    <row r="2460" ht="18" customHeight="1" s="17">
      <c r="A2460" s="48">
        <f>IF(Generation!$B54,"        &lt;qtimetadatafield&gt;&lt;fieldlabel&gt;AUTHOR&lt;/fieldlabel&gt;&lt;fieldentry&gt;"&amp;Generation!$AR54&amp;"&lt;/fieldentry&gt;&lt;/qtimetadatafield&gt;","")</f>
        <v/>
      </c>
      <c r="B2460" s="48" t="n"/>
      <c r="C2460" s="48" t="n"/>
    </row>
    <row r="2461" ht="18" customHeight="1" s="17">
      <c r="A2461" s="48">
        <f>IF(Generation!$B54,"        &lt;qtimetadatafield&gt;&lt;fieldlabel&gt;identicalScoring&lt;/fieldlabel&gt;&lt;fieldentry&gt;1&lt;/fieldentry&gt;&lt;/qtimetadatafield&gt;","")</f>
        <v/>
      </c>
      <c r="B2461" s="48" t="n"/>
      <c r="C2461" s="48" t="n"/>
    </row>
    <row r="2462" ht="18" customHeight="1" s="17">
      <c r="A2462" s="48">
        <f>IF(Generation!$B54,"      &lt;/qtimetadata&gt;","")</f>
        <v/>
      </c>
      <c r="B2462" s="48" t="n"/>
      <c r="C2462" s="48" t="n"/>
    </row>
    <row r="2463" ht="18" customHeight="1" s="17">
      <c r="A2463" s="48">
        <f>IF(Generation!$B54,"    &lt;/itemmetadata&gt;","")</f>
        <v/>
      </c>
      <c r="B2463" s="48" t="n"/>
      <c r="C2463" s="48" t="n"/>
    </row>
    <row r="2464" ht="18" customHeight="1" s="17">
      <c r="A2464" s="48">
        <f>IF(Generation!$B54,"    &lt;presentation label="""&amp;Generation!$F54&amp;"""&gt;","")</f>
        <v/>
      </c>
      <c r="B2464" s="48" t="n"/>
      <c r="C2464" s="48" t="n"/>
    </row>
    <row r="2465" ht="18" customHeight="1" s="17">
      <c r="A2465" s="48">
        <f>IF(Generation!$B54,"      &lt;material&gt;&lt;mattext texttype=""text/html""&gt;"&amp;Generation!$G54&amp;"&lt;/mattext&gt;&lt;/material&gt;","")</f>
        <v/>
      </c>
      <c r="B2465" s="48" t="n"/>
      <c r="C2465" s="48" t="n"/>
    </row>
    <row r="2466" ht="18" customHeight="1" s="17">
      <c r="A2466" s="48">
        <f>IF(Generation!$B54,"      &lt;response_lid ident=""RESPONSE"" rcardinality="""&amp;Generation!$E54&amp;"""&gt;","")</f>
        <v/>
      </c>
      <c r="B2466" s="48" t="n"/>
      <c r="C2466" s="48" t="n"/>
    </row>
    <row r="2467" ht="18" customHeight="1" s="17">
      <c r="A2467" s="48">
        <f>IF(Generation!$B54,"        &lt;render_choice shuffle=""No""&gt;","")</f>
        <v/>
      </c>
      <c r="B2467" s="48" t="n"/>
      <c r="C2467" s="48" t="n"/>
    </row>
    <row r="2468" ht="18" customHeight="1" s="17">
      <c r="A2468" s="48">
        <f>IF(Generation!AB54="","",Generation!AB54)</f>
        <v/>
      </c>
      <c r="B2468" s="48" t="n"/>
      <c r="C2468" s="48" t="n"/>
    </row>
    <row r="2469" ht="18" customHeight="1" s="17">
      <c r="A2469" s="48">
        <f>IF(Generation!AC54="","",Generation!AC54)</f>
        <v/>
      </c>
      <c r="B2469" s="48" t="n"/>
      <c r="C2469" s="48" t="n"/>
    </row>
    <row r="2470" ht="18" customHeight="1" s="17">
      <c r="A2470" s="48">
        <f>IF(Generation!AD54="","",Generation!AD54)</f>
        <v/>
      </c>
      <c r="B2470" s="48" t="n"/>
      <c r="C2470" s="48" t="n"/>
    </row>
    <row r="2471" ht="18" customHeight="1" s="17">
      <c r="A2471" s="48">
        <f>IF(Generation!AE54="","",Generation!AE54)</f>
        <v/>
      </c>
      <c r="B2471" s="48" t="n"/>
      <c r="C2471" s="48" t="n"/>
    </row>
    <row r="2472" ht="18" customHeight="1" s="17">
      <c r="A2472" s="48">
        <f>IF(Generation!AF54="","",Generation!AF54)</f>
        <v/>
      </c>
      <c r="B2472" s="48" t="n"/>
      <c r="C2472" s="48" t="n"/>
    </row>
    <row r="2473" ht="18" customHeight="1" s="17">
      <c r="A2473" s="48">
        <f>IF(Generation!AG54="","",Generation!AG54)</f>
        <v/>
      </c>
      <c r="B2473" s="48" t="n"/>
      <c r="C2473" s="48" t="n"/>
    </row>
    <row r="2474" ht="18" customHeight="1" s="17">
      <c r="A2474" s="48">
        <f>IF(Generation!AH54="","",Generation!AH54)</f>
        <v/>
      </c>
      <c r="B2474" s="48" t="n"/>
      <c r="C2474" s="48" t="n"/>
    </row>
    <row r="2475" ht="18" customHeight="1" s="17">
      <c r="A2475" s="48">
        <f>IF(Generation!AI54="","",Generation!AI54)</f>
        <v/>
      </c>
      <c r="B2475" s="48" t="n"/>
      <c r="C2475" s="48" t="n"/>
    </row>
    <row r="2476" ht="18" customHeight="1" s="17">
      <c r="A2476" s="48">
        <f>IF(Generation!$B54,"        &lt;/render_choice&gt;","")</f>
        <v/>
      </c>
      <c r="B2476" s="48" t="n"/>
      <c r="C2476" s="48" t="n"/>
    </row>
    <row r="2477" ht="18" customHeight="1" s="17">
      <c r="A2477" s="48">
        <f>IF(Generation!$B54,"      &lt;/response_lid&gt;","")</f>
        <v/>
      </c>
      <c r="B2477" s="48" t="n"/>
      <c r="C2477" s="48" t="n"/>
    </row>
    <row r="2478" ht="18" customHeight="1" s="17">
      <c r="A2478" s="48">
        <f>IF(Generation!$B54,"    &lt;/presentation&gt;","")</f>
        <v/>
      </c>
      <c r="B2478" s="48" t="n"/>
      <c r="C2478" s="48" t="n"/>
    </row>
    <row r="2479" ht="18" customHeight="1" s="17">
      <c r="A2479" s="48">
        <f>IF(Generation!$B54,"    &lt;resprocessing&gt;","")</f>
        <v/>
      </c>
      <c r="B2479" s="48" t="n"/>
      <c r="C2479" s="48" t="n"/>
    </row>
    <row r="2480" ht="18" customHeight="1" s="17">
      <c r="A2480" s="48">
        <f>IF(Generation!$B54,"      &lt;outcomes&gt;&lt;decvar varname=""SCORE"" vartype=""Decimal"" minvalue=""0"" maxvalue="""&amp;Generation!$H54&amp;"""/&gt;&lt;/outcomes&gt;","")</f>
        <v/>
      </c>
      <c r="B2480" s="48" t="n"/>
      <c r="C2480" s="48" t="n"/>
    </row>
    <row r="2481" ht="18" customHeight="1" s="17">
      <c r="A2481" s="48">
        <f>IF(Generation!AJ54="","",Generation!AJ54)</f>
        <v/>
      </c>
      <c r="B2481" s="48" t="n"/>
      <c r="C2481" s="48" t="n"/>
    </row>
    <row r="2482" ht="18" customHeight="1" s="17">
      <c r="A2482" s="48">
        <f>IF(Generation!AK54="","",Generation!AK54)</f>
        <v/>
      </c>
      <c r="B2482" s="48" t="n"/>
      <c r="C2482" s="48" t="n"/>
    </row>
    <row r="2483" ht="18" customHeight="1" s="17">
      <c r="A2483" s="48">
        <f>IF(Generation!AL54="","",Generation!AL54)</f>
        <v/>
      </c>
      <c r="B2483" s="48" t="n"/>
      <c r="C2483" s="48" t="n"/>
    </row>
    <row r="2484" ht="18" customHeight="1" s="17">
      <c r="A2484" s="48">
        <f>IF(Generation!AM54="","",Generation!AM54)</f>
        <v/>
      </c>
      <c r="B2484" s="48" t="n"/>
      <c r="C2484" s="48" t="n"/>
    </row>
    <row r="2485" ht="18" customHeight="1" s="17">
      <c r="A2485" s="48">
        <f>IF(Generation!AN54="","",Generation!AN54)</f>
        <v/>
      </c>
      <c r="B2485" s="48" t="n"/>
      <c r="C2485" s="48" t="n"/>
    </row>
    <row r="2486" ht="18" customHeight="1" s="17">
      <c r="A2486" s="48">
        <f>IF(Generation!AO54="","",Generation!AO54)</f>
        <v/>
      </c>
      <c r="B2486" s="48" t="n"/>
      <c r="C2486" s="48" t="n"/>
    </row>
    <row r="2487" ht="18" customHeight="1" s="17">
      <c r="A2487" s="48">
        <f>IF(Generation!AP54="","",Generation!AP54)</f>
        <v/>
      </c>
      <c r="B2487" s="48" t="n"/>
      <c r="C2487" s="48" t="n"/>
    </row>
    <row r="2488" ht="18" customHeight="1" s="17">
      <c r="A2488" s="48">
        <f>IF(Generation!AQ54="","",Generation!AQ54)</f>
        <v/>
      </c>
      <c r="B2488" s="48" t="n"/>
      <c r="C2488" s="48" t="n"/>
    </row>
    <row r="2489" ht="18" customHeight="1" s="17">
      <c r="A2489" s="48">
        <f>IF(Generation!$B54,"    &lt;/resprocessing&gt;","")</f>
        <v/>
      </c>
      <c r="B2489" s="48" t="n"/>
      <c r="C2489" s="48" t="n"/>
    </row>
    <row r="2490" ht="18" customHeight="1" s="17">
      <c r="A2490" s="48">
        <f>IF(Generation!BB54="","",Generation!BB54)</f>
        <v/>
      </c>
      <c r="B2490" s="48" t="n"/>
      <c r="C2490" s="48" t="n"/>
    </row>
    <row r="2491" ht="18" customHeight="1" s="17">
      <c r="A2491" s="48">
        <f>IF(Generation!BC54="","",Generation!BC54)</f>
        <v/>
      </c>
      <c r="B2491" s="48" t="n"/>
      <c r="C2491" s="48" t="n"/>
    </row>
    <row r="2492" ht="18" customHeight="1" s="17">
      <c r="A2492" s="48">
        <f>IF(Generation!BD54="","",Generation!BD54)</f>
        <v/>
      </c>
      <c r="B2492" s="48" t="n"/>
      <c r="C2492" s="48" t="n"/>
    </row>
    <row r="2493" ht="18" customHeight="1" s="17">
      <c r="A2493" s="48">
        <f>IF(Generation!BE54="","",Generation!BE54)</f>
        <v/>
      </c>
      <c r="B2493" s="48" t="n"/>
      <c r="C2493" s="48" t="n"/>
    </row>
    <row r="2494" ht="18" customHeight="1" s="17">
      <c r="A2494" s="48">
        <f>IF(Generation!BF54="","",Generation!BF54)</f>
        <v/>
      </c>
      <c r="B2494" s="48" t="n"/>
      <c r="C2494" s="48" t="n"/>
    </row>
    <row r="2495" ht="18" customHeight="1" s="17">
      <c r="A2495" s="48">
        <f>IF(Generation!BG54="","",Generation!BG54)</f>
        <v/>
      </c>
      <c r="B2495" s="48" t="n"/>
      <c r="C2495" s="48" t="n"/>
    </row>
    <row r="2496" ht="18" customHeight="1" s="17">
      <c r="A2496" s="48">
        <f>IF(Generation!BH54="","",Generation!BH54)</f>
        <v/>
      </c>
      <c r="B2496" s="48" t="n"/>
      <c r="C2496" s="48" t="n"/>
    </row>
    <row r="2497" ht="18" customHeight="1" s="17">
      <c r="A2497" s="48">
        <f>IF(Generation!BI54="","",Generation!BI54)</f>
        <v/>
      </c>
      <c r="B2497" s="48" t="n"/>
      <c r="C2497" s="48" t="n"/>
    </row>
    <row r="2498" ht="18" customHeight="1" s="17">
      <c r="A2498" s="48">
        <f>IF(Generation!BJ54="","",Generation!BJ54)</f>
        <v/>
      </c>
      <c r="B2498" s="48" t="n"/>
      <c r="C2498" s="48" t="n"/>
    </row>
    <row r="2499" ht="18" customHeight="1" s="17">
      <c r="A2499" s="48">
        <f>IF(Generation!$B54,"  &lt;/item&gt;","")</f>
        <v/>
      </c>
      <c r="B2499" s="48" t="n"/>
      <c r="C2499" s="48" t="n"/>
    </row>
    <row r="2500" ht="18" customHeight="1" s="17">
      <c r="A2500" s="48">
        <f>""</f>
        <v/>
      </c>
      <c r="B2500" s="48" t="n"/>
      <c r="C2500" s="48" t="n"/>
    </row>
    <row r="2501" ht="18" customHeight="1" s="17">
      <c r="A2501" s="48">
        <f>""</f>
        <v/>
      </c>
      <c r="B2501" s="48" t="n"/>
      <c r="C2501" s="48" t="n"/>
    </row>
    <row r="2502" ht="18" customHeight="1" s="17">
      <c r="A2502" s="48">
        <f>""</f>
        <v/>
      </c>
      <c r="B2502" s="48" t="n"/>
      <c r="C2502" s="48" t="n"/>
    </row>
    <row r="2503" ht="18" customHeight="1" s="17">
      <c r="A2503" s="48">
        <f>""</f>
        <v/>
      </c>
      <c r="B2503" s="48" t="n"/>
      <c r="C2503" s="48" t="n"/>
    </row>
    <row r="2504" ht="18" customHeight="1" s="17">
      <c r="A2504" s="48">
        <f>IF(Generation!$B55,"  &lt;item ident=""il_0_qst_"&amp;TEXT(Generation!$A55,"000")&amp;""" title="""&amp;Generation!$F55&amp;"""&gt;","")</f>
        <v/>
      </c>
      <c r="B2504" s="48" t="n"/>
      <c r="C2504" s="48" t="n"/>
    </row>
    <row r="2505" ht="18" customHeight="1" s="17">
      <c r="A2505" s="48">
        <f>IF(Generation!$B55,"    &lt;duration&gt;P0Y0M0DT0H1M0S&lt;/duration&gt;","")</f>
        <v/>
      </c>
      <c r="B2505" s="48" t="n"/>
      <c r="C2505" s="48" t="n"/>
    </row>
    <row r="2506" ht="18" customHeight="1" s="17">
      <c r="A2506" s="48">
        <f>IF(Generation!$B55,"    &lt;itemmetadata&gt;","")</f>
        <v/>
      </c>
      <c r="B2506" s="48" t="n"/>
      <c r="C2506" s="48" t="n"/>
    </row>
    <row r="2507" ht="18" customHeight="1" s="17">
      <c r="A2507" s="48">
        <f>IF(Generation!$B55,"      &lt;qtimetadata&gt;","")</f>
        <v/>
      </c>
      <c r="B2507" s="48" t="n"/>
      <c r="C2507" s="48" t="n"/>
    </row>
    <row r="2508" ht="18" customHeight="1" s="17">
      <c r="A2508" s="48">
        <f>IF(Generation!$B55,"        &lt;qtimetadatafield&gt;&lt;fieldlabel&gt;ILIAS_VERSION&lt;/fieldlabel&gt;&lt;fieldentry&gt;8&lt;/fieldentry&gt;&lt;/qtimetadatafield&gt;","")</f>
        <v/>
      </c>
      <c r="B2508" s="48" t="n"/>
      <c r="C2508" s="48" t="n"/>
    </row>
    <row r="2509" ht="18" customHeight="1" s="17">
      <c r="A2509" s="48">
        <f>IF(Generation!$B55,"        &lt;qtimetadatafield&gt;&lt;fieldlabel&gt;QUESTIONTYPE&lt;/fieldlabel&gt;&lt;fieldentry&gt;"&amp;Generation!$D55&amp;"&lt;/fieldentry&gt;&lt;/qtimetadatafield&gt;","")</f>
        <v/>
      </c>
      <c r="B2509" s="48" t="n"/>
      <c r="C2509" s="48" t="n"/>
    </row>
    <row r="2510" ht="18" customHeight="1" s="17">
      <c r="A2510" s="48">
        <f>IF(Generation!$B55,"        &lt;qtimetadatafield&gt;&lt;fieldlabel&gt;AUTHOR&lt;/fieldlabel&gt;&lt;fieldentry&gt;"&amp;Generation!$AR55&amp;"&lt;/fieldentry&gt;&lt;/qtimetadatafield&gt;","")</f>
        <v/>
      </c>
      <c r="B2510" s="48" t="n"/>
      <c r="C2510" s="48" t="n"/>
    </row>
    <row r="2511" ht="18" customHeight="1" s="17">
      <c r="A2511" s="48">
        <f>IF(Generation!$B55,"        &lt;qtimetadatafield&gt;&lt;fieldlabel&gt;identicalScoring&lt;/fieldlabel&gt;&lt;fieldentry&gt;1&lt;/fieldentry&gt;&lt;/qtimetadatafield&gt;","")</f>
        <v/>
      </c>
      <c r="B2511" s="48" t="n"/>
      <c r="C2511" s="48" t="n"/>
    </row>
    <row r="2512" ht="18" customHeight="1" s="17">
      <c r="A2512" s="48">
        <f>IF(Generation!$B55,"      &lt;/qtimetadata&gt;","")</f>
        <v/>
      </c>
      <c r="B2512" s="48" t="n"/>
      <c r="C2512" s="48" t="n"/>
    </row>
    <row r="2513" ht="18" customHeight="1" s="17">
      <c r="A2513" s="48">
        <f>IF(Generation!$B55,"    &lt;/itemmetadata&gt;","")</f>
        <v/>
      </c>
      <c r="B2513" s="48" t="n"/>
      <c r="C2513" s="48" t="n"/>
    </row>
    <row r="2514" ht="18" customHeight="1" s="17">
      <c r="A2514" s="48">
        <f>IF(Generation!$B55,"    &lt;presentation label="""&amp;Generation!$F55&amp;"""&gt;","")</f>
        <v/>
      </c>
      <c r="B2514" s="48" t="n"/>
      <c r="C2514" s="48" t="n"/>
    </row>
    <row r="2515" ht="18" customHeight="1" s="17">
      <c r="A2515" s="48">
        <f>IF(Generation!$B55,"      &lt;material&gt;&lt;mattext texttype=""text/html""&gt;"&amp;Generation!$G55&amp;"&lt;/mattext&gt;&lt;/material&gt;","")</f>
        <v/>
      </c>
      <c r="B2515" s="48" t="n"/>
      <c r="C2515" s="48" t="n"/>
    </row>
    <row r="2516" ht="18" customHeight="1" s="17">
      <c r="A2516" s="48">
        <f>IF(Generation!$B55,"      &lt;response_lid ident=""RESPONSE"" rcardinality="""&amp;Generation!$E55&amp;"""&gt;","")</f>
        <v/>
      </c>
      <c r="B2516" s="48" t="n"/>
      <c r="C2516" s="48" t="n"/>
    </row>
    <row r="2517" ht="18" customHeight="1" s="17">
      <c r="A2517" s="48">
        <f>IF(Generation!$B55,"        &lt;render_choice shuffle=""No""&gt;","")</f>
        <v/>
      </c>
      <c r="B2517" s="48" t="n"/>
      <c r="C2517" s="48" t="n"/>
    </row>
    <row r="2518" ht="18" customHeight="1" s="17">
      <c r="A2518" s="48">
        <f>IF(Generation!AB55="","",Generation!AB55)</f>
        <v/>
      </c>
      <c r="B2518" s="48" t="n"/>
      <c r="C2518" s="48" t="n"/>
    </row>
    <row r="2519" ht="18" customHeight="1" s="17">
      <c r="A2519" s="48">
        <f>IF(Generation!AC55="","",Generation!AC55)</f>
        <v/>
      </c>
      <c r="B2519" s="48" t="n"/>
      <c r="C2519" s="48" t="n"/>
    </row>
    <row r="2520" ht="18" customHeight="1" s="17">
      <c r="A2520" s="48">
        <f>IF(Generation!AD55="","",Generation!AD55)</f>
        <v/>
      </c>
      <c r="B2520" s="48" t="n"/>
      <c r="C2520" s="48" t="n"/>
    </row>
    <row r="2521" ht="18" customHeight="1" s="17">
      <c r="A2521" s="48">
        <f>IF(Generation!AE55="","",Generation!AE55)</f>
        <v/>
      </c>
      <c r="B2521" s="48" t="n"/>
      <c r="C2521" s="48" t="n"/>
    </row>
    <row r="2522" ht="18" customHeight="1" s="17">
      <c r="A2522" s="48">
        <f>IF(Generation!AF55="","",Generation!AF55)</f>
        <v/>
      </c>
      <c r="B2522" s="48" t="n"/>
      <c r="C2522" s="48" t="n"/>
    </row>
    <row r="2523" ht="18" customHeight="1" s="17">
      <c r="A2523" s="48">
        <f>IF(Generation!AG55="","",Generation!AG55)</f>
        <v/>
      </c>
      <c r="B2523" s="48" t="n"/>
      <c r="C2523" s="48" t="n"/>
    </row>
    <row r="2524" ht="18" customHeight="1" s="17">
      <c r="A2524" s="48">
        <f>IF(Generation!AH55="","",Generation!AH55)</f>
        <v/>
      </c>
      <c r="B2524" s="48" t="n"/>
      <c r="C2524" s="48" t="n"/>
    </row>
    <row r="2525" ht="18" customHeight="1" s="17">
      <c r="A2525" s="48">
        <f>IF(Generation!AI55="","",Generation!AI55)</f>
        <v/>
      </c>
      <c r="B2525" s="48" t="n"/>
      <c r="C2525" s="48" t="n"/>
    </row>
    <row r="2526" ht="18" customHeight="1" s="17">
      <c r="A2526" s="48">
        <f>IF(Generation!$B55,"        &lt;/render_choice&gt;","")</f>
        <v/>
      </c>
      <c r="B2526" s="48" t="n"/>
      <c r="C2526" s="48" t="n"/>
    </row>
    <row r="2527" ht="18" customHeight="1" s="17">
      <c r="A2527" s="48">
        <f>IF(Generation!$B55,"      &lt;/response_lid&gt;","")</f>
        <v/>
      </c>
      <c r="B2527" s="48" t="n"/>
      <c r="C2527" s="48" t="n"/>
    </row>
    <row r="2528" ht="18" customHeight="1" s="17">
      <c r="A2528" s="48">
        <f>IF(Generation!$B55,"    &lt;/presentation&gt;","")</f>
        <v/>
      </c>
      <c r="B2528" s="48" t="n"/>
      <c r="C2528" s="48" t="n"/>
    </row>
    <row r="2529" ht="18" customHeight="1" s="17">
      <c r="A2529" s="48">
        <f>IF(Generation!$B55,"    &lt;resprocessing&gt;","")</f>
        <v/>
      </c>
      <c r="B2529" s="48" t="n"/>
      <c r="C2529" s="48" t="n"/>
    </row>
    <row r="2530" ht="18" customHeight="1" s="17">
      <c r="A2530" s="48">
        <f>IF(Generation!$B55,"      &lt;outcomes&gt;&lt;decvar varname=""SCORE"" vartype=""Decimal"" minvalue=""0"" maxvalue="""&amp;Generation!$H55&amp;"""/&gt;&lt;/outcomes&gt;","")</f>
        <v/>
      </c>
      <c r="B2530" s="48" t="n"/>
      <c r="C2530" s="48" t="n"/>
    </row>
    <row r="2531" ht="18" customHeight="1" s="17">
      <c r="A2531" s="48">
        <f>IF(Generation!AJ55="","",Generation!AJ55)</f>
        <v/>
      </c>
      <c r="B2531" s="48" t="n"/>
      <c r="C2531" s="48" t="n"/>
    </row>
    <row r="2532" ht="18" customHeight="1" s="17">
      <c r="A2532" s="48">
        <f>IF(Generation!AK55="","",Generation!AK55)</f>
        <v/>
      </c>
      <c r="B2532" s="48" t="n"/>
      <c r="C2532" s="48" t="n"/>
    </row>
    <row r="2533" ht="18" customHeight="1" s="17">
      <c r="A2533" s="48">
        <f>IF(Generation!AL55="","",Generation!AL55)</f>
        <v/>
      </c>
      <c r="B2533" s="48" t="n"/>
      <c r="C2533" s="48" t="n"/>
    </row>
    <row r="2534" ht="18" customHeight="1" s="17">
      <c r="A2534" s="48">
        <f>IF(Generation!AM55="","",Generation!AM55)</f>
        <v/>
      </c>
      <c r="B2534" s="48" t="n"/>
      <c r="C2534" s="48" t="n"/>
    </row>
    <row r="2535" ht="18" customHeight="1" s="17">
      <c r="A2535" s="48">
        <f>IF(Generation!AN55="","",Generation!AN55)</f>
        <v/>
      </c>
      <c r="B2535" s="48" t="n"/>
      <c r="C2535" s="48" t="n"/>
    </row>
    <row r="2536" ht="18" customHeight="1" s="17">
      <c r="A2536" s="48">
        <f>IF(Generation!AO55="","",Generation!AO55)</f>
        <v/>
      </c>
      <c r="B2536" s="48" t="n"/>
      <c r="C2536" s="48" t="n"/>
    </row>
    <row r="2537" ht="18" customHeight="1" s="17">
      <c r="A2537" s="48">
        <f>IF(Generation!AP55="","",Generation!AP55)</f>
        <v/>
      </c>
      <c r="B2537" s="48" t="n"/>
      <c r="C2537" s="48" t="n"/>
    </row>
    <row r="2538" ht="18" customHeight="1" s="17">
      <c r="A2538" s="48">
        <f>IF(Generation!AQ55="","",Generation!AQ55)</f>
        <v/>
      </c>
      <c r="B2538" s="48" t="n"/>
      <c r="C2538" s="48" t="n"/>
    </row>
    <row r="2539" ht="18" customHeight="1" s="17">
      <c r="A2539" s="48">
        <f>IF(Generation!$B55,"    &lt;/resprocessing&gt;","")</f>
        <v/>
      </c>
      <c r="B2539" s="48" t="n"/>
      <c r="C2539" s="48" t="n"/>
    </row>
    <row r="2540" ht="18" customHeight="1" s="17">
      <c r="A2540" s="48">
        <f>IF(Generation!BB55="","",Generation!BB55)</f>
        <v/>
      </c>
      <c r="B2540" s="48" t="n"/>
      <c r="C2540" s="48" t="n"/>
    </row>
    <row r="2541" ht="18" customHeight="1" s="17">
      <c r="A2541" s="48">
        <f>IF(Generation!BC55="","",Generation!BC55)</f>
        <v/>
      </c>
      <c r="B2541" s="48" t="n"/>
      <c r="C2541" s="48" t="n"/>
    </row>
    <row r="2542" ht="18" customHeight="1" s="17">
      <c r="A2542" s="48">
        <f>IF(Generation!BD55="","",Generation!BD55)</f>
        <v/>
      </c>
      <c r="B2542" s="48" t="n"/>
      <c r="C2542" s="48" t="n"/>
    </row>
    <row r="2543" ht="18" customHeight="1" s="17">
      <c r="A2543" s="48">
        <f>IF(Generation!BE55="","",Generation!BE55)</f>
        <v/>
      </c>
      <c r="B2543" s="48" t="n"/>
      <c r="C2543" s="48" t="n"/>
    </row>
    <row r="2544" ht="18" customHeight="1" s="17">
      <c r="A2544" s="48">
        <f>IF(Generation!BF55="","",Generation!BF55)</f>
        <v/>
      </c>
      <c r="B2544" s="48" t="n"/>
      <c r="C2544" s="48" t="n"/>
    </row>
    <row r="2545" ht="18" customHeight="1" s="17">
      <c r="A2545" s="48">
        <f>IF(Generation!BG55="","",Generation!BG55)</f>
        <v/>
      </c>
      <c r="B2545" s="48" t="n"/>
      <c r="C2545" s="48" t="n"/>
    </row>
    <row r="2546" ht="18" customHeight="1" s="17">
      <c r="A2546" s="48">
        <f>IF(Generation!BH55="","",Generation!BH55)</f>
        <v/>
      </c>
      <c r="B2546" s="48" t="n"/>
      <c r="C2546" s="48" t="n"/>
    </row>
    <row r="2547" ht="18" customHeight="1" s="17">
      <c r="A2547" s="48">
        <f>IF(Generation!BI55="","",Generation!BI55)</f>
        <v/>
      </c>
      <c r="B2547" s="48" t="n"/>
      <c r="C2547" s="48" t="n"/>
    </row>
    <row r="2548" ht="18" customHeight="1" s="17">
      <c r="A2548" s="48">
        <f>IF(Generation!BJ55="","",Generation!BJ55)</f>
        <v/>
      </c>
      <c r="B2548" s="48" t="n"/>
      <c r="C2548" s="48" t="n"/>
    </row>
    <row r="2549" ht="18" customHeight="1" s="17">
      <c r="A2549" s="48">
        <f>IF(Generation!$B55,"  &lt;/item&gt;","")</f>
        <v/>
      </c>
      <c r="B2549" s="48" t="n"/>
      <c r="C2549" s="48" t="n"/>
    </row>
    <row r="2550" ht="18" customHeight="1" s="17">
      <c r="A2550" s="48">
        <f>""</f>
        <v/>
      </c>
      <c r="B2550" s="48" t="n"/>
      <c r="C2550" s="48" t="n"/>
    </row>
    <row r="2551" ht="18" customHeight="1" s="17">
      <c r="A2551" s="48">
        <f>""</f>
        <v/>
      </c>
      <c r="B2551" s="48" t="n"/>
      <c r="C2551" s="48" t="n"/>
    </row>
    <row r="2552" ht="18" customHeight="1" s="17">
      <c r="A2552" s="48">
        <f>""</f>
        <v/>
      </c>
      <c r="B2552" s="48" t="n"/>
      <c r="C2552" s="48" t="n"/>
    </row>
    <row r="2553" ht="18" customHeight="1" s="17">
      <c r="A2553" s="48">
        <f>""</f>
        <v/>
      </c>
      <c r="B2553" s="48" t="n"/>
      <c r="C2553" s="48" t="n"/>
    </row>
    <row r="2554" ht="18" customHeight="1" s="17">
      <c r="A2554" s="48">
        <f>IF(Generation!$B56,"  &lt;item ident=""il_0_qst_"&amp;TEXT(Generation!$A56,"000")&amp;""" title="""&amp;Generation!$F56&amp;"""&gt;","")</f>
        <v/>
      </c>
      <c r="B2554" s="48" t="n"/>
      <c r="C2554" s="48" t="n"/>
    </row>
    <row r="2555" ht="18" customHeight="1" s="17">
      <c r="A2555" s="48">
        <f>IF(Generation!$B56,"    &lt;duration&gt;P0Y0M0DT0H1M0S&lt;/duration&gt;","")</f>
        <v/>
      </c>
      <c r="B2555" s="48" t="n"/>
      <c r="C2555" s="48" t="n"/>
    </row>
    <row r="2556" ht="18" customHeight="1" s="17">
      <c r="A2556" s="48">
        <f>IF(Generation!$B56,"    &lt;itemmetadata&gt;","")</f>
        <v/>
      </c>
      <c r="B2556" s="48" t="n"/>
      <c r="C2556" s="48" t="n"/>
    </row>
    <row r="2557" ht="18" customHeight="1" s="17">
      <c r="A2557" s="48">
        <f>IF(Generation!$B56,"      &lt;qtimetadata&gt;","")</f>
        <v/>
      </c>
      <c r="B2557" s="48" t="n"/>
      <c r="C2557" s="48" t="n"/>
    </row>
    <row r="2558" ht="18" customHeight="1" s="17">
      <c r="A2558" s="48">
        <f>IF(Generation!$B56,"        &lt;qtimetadatafield&gt;&lt;fieldlabel&gt;ILIAS_VERSION&lt;/fieldlabel&gt;&lt;fieldentry&gt;8&lt;/fieldentry&gt;&lt;/qtimetadatafield&gt;","")</f>
        <v/>
      </c>
      <c r="B2558" s="48" t="n"/>
      <c r="C2558" s="48" t="n"/>
    </row>
    <row r="2559" ht="18" customHeight="1" s="17">
      <c r="A2559" s="48">
        <f>IF(Generation!$B56,"        &lt;qtimetadatafield&gt;&lt;fieldlabel&gt;QUESTIONTYPE&lt;/fieldlabel&gt;&lt;fieldentry&gt;"&amp;Generation!$D56&amp;"&lt;/fieldentry&gt;&lt;/qtimetadatafield&gt;","")</f>
        <v/>
      </c>
      <c r="B2559" s="48" t="n"/>
      <c r="C2559" s="48" t="n"/>
    </row>
    <row r="2560" ht="18" customHeight="1" s="17">
      <c r="A2560" s="48">
        <f>IF(Generation!$B56,"        &lt;qtimetadatafield&gt;&lt;fieldlabel&gt;AUTHOR&lt;/fieldlabel&gt;&lt;fieldentry&gt;"&amp;Generation!$AR56&amp;"&lt;/fieldentry&gt;&lt;/qtimetadatafield&gt;","")</f>
        <v/>
      </c>
      <c r="B2560" s="48" t="n"/>
      <c r="C2560" s="48" t="n"/>
    </row>
    <row r="2561" ht="18" customHeight="1" s="17">
      <c r="A2561" s="48">
        <f>IF(Generation!$B56,"        &lt;qtimetadatafield&gt;&lt;fieldlabel&gt;identicalScoring&lt;/fieldlabel&gt;&lt;fieldentry&gt;1&lt;/fieldentry&gt;&lt;/qtimetadatafield&gt;","")</f>
        <v/>
      </c>
      <c r="B2561" s="48" t="n"/>
      <c r="C2561" s="48" t="n"/>
    </row>
    <row r="2562" ht="18" customHeight="1" s="17">
      <c r="A2562" s="48">
        <f>IF(Generation!$B56,"      &lt;/qtimetadata&gt;","")</f>
        <v/>
      </c>
      <c r="B2562" s="48" t="n"/>
      <c r="C2562" s="48" t="n"/>
    </row>
    <row r="2563" ht="18" customHeight="1" s="17">
      <c r="A2563" s="48">
        <f>IF(Generation!$B56,"    &lt;/itemmetadata&gt;","")</f>
        <v/>
      </c>
      <c r="B2563" s="48" t="n"/>
      <c r="C2563" s="48" t="n"/>
    </row>
    <row r="2564" ht="18" customHeight="1" s="17">
      <c r="A2564" s="48">
        <f>IF(Generation!$B56,"    &lt;presentation label="""&amp;Generation!$F56&amp;"""&gt;","")</f>
        <v/>
      </c>
      <c r="B2564" s="48" t="n"/>
      <c r="C2564" s="48" t="n"/>
    </row>
    <row r="2565" ht="18" customHeight="1" s="17">
      <c r="A2565" s="48">
        <f>IF(Generation!$B56,"      &lt;material&gt;&lt;mattext texttype=""text/html""&gt;"&amp;Generation!$G56&amp;"&lt;/mattext&gt;&lt;/material&gt;","")</f>
        <v/>
      </c>
      <c r="B2565" s="48" t="n"/>
      <c r="C2565" s="48" t="n"/>
    </row>
    <row r="2566" ht="18" customHeight="1" s="17">
      <c r="A2566" s="48">
        <f>IF(Generation!$B56,"      &lt;response_lid ident=""RESPONSE"" rcardinality="""&amp;Generation!$E56&amp;"""&gt;","")</f>
        <v/>
      </c>
      <c r="B2566" s="48" t="n"/>
      <c r="C2566" s="48" t="n"/>
    </row>
    <row r="2567" ht="18" customHeight="1" s="17">
      <c r="A2567" s="48">
        <f>IF(Generation!$B56,"        &lt;render_choice shuffle=""No""&gt;","")</f>
        <v/>
      </c>
      <c r="B2567" s="48" t="n"/>
      <c r="C2567" s="48" t="n"/>
    </row>
    <row r="2568" ht="18" customHeight="1" s="17">
      <c r="A2568" s="48">
        <f>IF(Generation!AB56="","",Generation!AB56)</f>
        <v/>
      </c>
      <c r="B2568" s="48" t="n"/>
      <c r="C2568" s="48" t="n"/>
    </row>
    <row r="2569" ht="18" customHeight="1" s="17">
      <c r="A2569" s="48">
        <f>IF(Generation!AC56="","",Generation!AC56)</f>
        <v/>
      </c>
      <c r="B2569" s="48" t="n"/>
      <c r="C2569" s="48" t="n"/>
    </row>
    <row r="2570" ht="18" customHeight="1" s="17">
      <c r="A2570" s="48">
        <f>IF(Generation!AD56="","",Generation!AD56)</f>
        <v/>
      </c>
      <c r="B2570" s="48" t="n"/>
      <c r="C2570" s="48" t="n"/>
    </row>
    <row r="2571" ht="18" customHeight="1" s="17">
      <c r="A2571" s="48">
        <f>IF(Generation!AE56="","",Generation!AE56)</f>
        <v/>
      </c>
      <c r="B2571" s="48" t="n"/>
      <c r="C2571" s="48" t="n"/>
    </row>
    <row r="2572" ht="18" customHeight="1" s="17">
      <c r="A2572" s="48">
        <f>IF(Generation!AF56="","",Generation!AF56)</f>
        <v/>
      </c>
      <c r="B2572" s="48" t="n"/>
      <c r="C2572" s="48" t="n"/>
    </row>
    <row r="2573" ht="18" customHeight="1" s="17">
      <c r="A2573" s="48">
        <f>IF(Generation!AG56="","",Generation!AG56)</f>
        <v/>
      </c>
      <c r="B2573" s="48" t="n"/>
      <c r="C2573" s="48" t="n"/>
    </row>
    <row r="2574" ht="18" customHeight="1" s="17">
      <c r="A2574" s="48">
        <f>IF(Generation!AH56="","",Generation!AH56)</f>
        <v/>
      </c>
      <c r="B2574" s="48" t="n"/>
      <c r="C2574" s="48" t="n"/>
    </row>
    <row r="2575" ht="18" customHeight="1" s="17">
      <c r="A2575" s="48">
        <f>IF(Generation!AI56="","",Generation!AI56)</f>
        <v/>
      </c>
      <c r="B2575" s="48" t="n"/>
      <c r="C2575" s="48" t="n"/>
    </row>
    <row r="2576" ht="18" customHeight="1" s="17">
      <c r="A2576" s="48">
        <f>IF(Generation!$B56,"        &lt;/render_choice&gt;","")</f>
        <v/>
      </c>
      <c r="B2576" s="48" t="n"/>
      <c r="C2576" s="48" t="n"/>
    </row>
    <row r="2577" ht="18" customHeight="1" s="17">
      <c r="A2577" s="48">
        <f>IF(Generation!$B56,"      &lt;/response_lid&gt;","")</f>
        <v/>
      </c>
      <c r="B2577" s="48" t="n"/>
      <c r="C2577" s="48" t="n"/>
    </row>
    <row r="2578" ht="18" customHeight="1" s="17">
      <c r="A2578" s="48">
        <f>IF(Generation!$B56,"    &lt;/presentation&gt;","")</f>
        <v/>
      </c>
      <c r="B2578" s="48" t="n"/>
      <c r="C2578" s="48" t="n"/>
    </row>
    <row r="2579" ht="18" customHeight="1" s="17">
      <c r="A2579" s="48">
        <f>IF(Generation!$B56,"    &lt;resprocessing&gt;","")</f>
        <v/>
      </c>
      <c r="B2579" s="48" t="n"/>
      <c r="C2579" s="48" t="n"/>
    </row>
    <row r="2580" ht="18" customHeight="1" s="17">
      <c r="A2580" s="48">
        <f>IF(Generation!$B56,"      &lt;outcomes&gt;&lt;decvar varname=""SCORE"" vartype=""Decimal"" minvalue=""0"" maxvalue="""&amp;Generation!$H56&amp;"""/&gt;&lt;/outcomes&gt;","")</f>
        <v/>
      </c>
      <c r="B2580" s="48" t="n"/>
      <c r="C2580" s="48" t="n"/>
    </row>
    <row r="2581" ht="18" customHeight="1" s="17">
      <c r="A2581" s="48">
        <f>IF(Generation!AJ56="","",Generation!AJ56)</f>
        <v/>
      </c>
      <c r="B2581" s="48" t="n"/>
      <c r="C2581" s="48" t="n"/>
    </row>
    <row r="2582" ht="18" customHeight="1" s="17">
      <c r="A2582" s="48">
        <f>IF(Generation!AK56="","",Generation!AK56)</f>
        <v/>
      </c>
      <c r="B2582" s="48" t="n"/>
      <c r="C2582" s="48" t="n"/>
    </row>
    <row r="2583" ht="18" customHeight="1" s="17">
      <c r="A2583" s="48">
        <f>IF(Generation!AL56="","",Generation!AL56)</f>
        <v/>
      </c>
      <c r="B2583" s="48" t="n"/>
      <c r="C2583" s="48" t="n"/>
    </row>
    <row r="2584" ht="18" customHeight="1" s="17">
      <c r="A2584" s="48">
        <f>IF(Generation!AM56="","",Generation!AM56)</f>
        <v/>
      </c>
      <c r="B2584" s="48" t="n"/>
      <c r="C2584" s="48" t="n"/>
    </row>
    <row r="2585" ht="18" customHeight="1" s="17">
      <c r="A2585" s="48">
        <f>IF(Generation!AN56="","",Generation!AN56)</f>
        <v/>
      </c>
      <c r="B2585" s="48" t="n"/>
      <c r="C2585" s="48" t="n"/>
    </row>
    <row r="2586" ht="18" customHeight="1" s="17">
      <c r="A2586" s="48">
        <f>IF(Generation!AO56="","",Generation!AO56)</f>
        <v/>
      </c>
      <c r="B2586" s="48" t="n"/>
      <c r="C2586" s="48" t="n"/>
    </row>
    <row r="2587" ht="18" customHeight="1" s="17">
      <c r="A2587" s="48">
        <f>IF(Generation!AP56="","",Generation!AP56)</f>
        <v/>
      </c>
      <c r="B2587" s="48" t="n"/>
      <c r="C2587" s="48" t="n"/>
    </row>
    <row r="2588" ht="18" customHeight="1" s="17">
      <c r="A2588" s="48">
        <f>IF(Generation!AQ56="","",Generation!AQ56)</f>
        <v/>
      </c>
      <c r="B2588" s="48" t="n"/>
      <c r="C2588" s="48" t="n"/>
    </row>
    <row r="2589" ht="18" customHeight="1" s="17">
      <c r="A2589" s="48">
        <f>IF(Generation!$B56,"    &lt;/resprocessing&gt;","")</f>
        <v/>
      </c>
      <c r="B2589" s="48" t="n"/>
      <c r="C2589" s="48" t="n"/>
    </row>
    <row r="2590" ht="18" customHeight="1" s="17">
      <c r="A2590" s="48">
        <f>IF(Generation!BB56="","",Generation!BB56)</f>
        <v/>
      </c>
      <c r="B2590" s="48" t="n"/>
      <c r="C2590" s="48" t="n"/>
    </row>
    <row r="2591" ht="18" customHeight="1" s="17">
      <c r="A2591" s="48">
        <f>IF(Generation!BC56="","",Generation!BC56)</f>
        <v/>
      </c>
      <c r="B2591" s="48" t="n"/>
      <c r="C2591" s="48" t="n"/>
    </row>
    <row r="2592" ht="18" customHeight="1" s="17">
      <c r="A2592" s="48">
        <f>IF(Generation!BD56="","",Generation!BD56)</f>
        <v/>
      </c>
      <c r="B2592" s="48" t="n"/>
      <c r="C2592" s="48" t="n"/>
    </row>
    <row r="2593" ht="18" customHeight="1" s="17">
      <c r="A2593" s="48">
        <f>IF(Generation!BE56="","",Generation!BE56)</f>
        <v/>
      </c>
      <c r="B2593" s="48" t="n"/>
      <c r="C2593" s="48" t="n"/>
    </row>
    <row r="2594" ht="18" customHeight="1" s="17">
      <c r="A2594" s="48">
        <f>IF(Generation!BF56="","",Generation!BF56)</f>
        <v/>
      </c>
      <c r="B2594" s="48" t="n"/>
      <c r="C2594" s="48" t="n"/>
    </row>
    <row r="2595" ht="18" customHeight="1" s="17">
      <c r="A2595" s="48">
        <f>IF(Generation!BG56="","",Generation!BG56)</f>
        <v/>
      </c>
      <c r="B2595" s="48" t="n"/>
      <c r="C2595" s="48" t="n"/>
    </row>
    <row r="2596" ht="18" customHeight="1" s="17">
      <c r="A2596" s="48">
        <f>IF(Generation!BH56="","",Generation!BH56)</f>
        <v/>
      </c>
      <c r="B2596" s="48" t="n"/>
      <c r="C2596" s="48" t="n"/>
    </row>
    <row r="2597" ht="18" customHeight="1" s="17">
      <c r="A2597" s="48">
        <f>IF(Generation!BI56="","",Generation!BI56)</f>
        <v/>
      </c>
      <c r="B2597" s="48" t="n"/>
      <c r="C2597" s="48" t="n"/>
    </row>
    <row r="2598" ht="18" customHeight="1" s="17">
      <c r="A2598" s="48">
        <f>IF(Generation!BJ56="","",Generation!BJ56)</f>
        <v/>
      </c>
      <c r="B2598" s="48" t="n"/>
      <c r="C2598" s="48" t="n"/>
    </row>
    <row r="2599" ht="18" customHeight="1" s="17">
      <c r="A2599" s="48">
        <f>IF(Generation!$B56,"  &lt;/item&gt;","")</f>
        <v/>
      </c>
      <c r="B2599" s="48" t="n"/>
      <c r="C2599" s="48" t="n"/>
    </row>
    <row r="2600" ht="18" customHeight="1" s="17">
      <c r="A2600" s="48">
        <f>""</f>
        <v/>
      </c>
      <c r="B2600" s="48" t="n"/>
      <c r="C2600" s="48" t="n"/>
    </row>
    <row r="2601" ht="18" customHeight="1" s="17">
      <c r="A2601" s="48">
        <f>""</f>
        <v/>
      </c>
      <c r="B2601" s="48" t="n"/>
      <c r="C2601" s="48" t="n"/>
    </row>
    <row r="2602" ht="18" customHeight="1" s="17">
      <c r="A2602" s="48">
        <f>""</f>
        <v/>
      </c>
      <c r="B2602" s="48" t="n"/>
      <c r="C2602" s="48" t="n"/>
    </row>
    <row r="2603" ht="18" customHeight="1" s="17">
      <c r="A2603" s="48">
        <f>""</f>
        <v/>
      </c>
      <c r="B2603" s="48" t="n"/>
      <c r="C2603" s="48" t="n"/>
    </row>
    <row r="2604" ht="18" customHeight="1" s="17">
      <c r="A2604" s="48">
        <f>IF(Generation!$B57,"  &lt;item ident=""il_0_qst_"&amp;TEXT(Generation!$A57,"000")&amp;""" title="""&amp;Generation!$F57&amp;"""&gt;","")</f>
        <v/>
      </c>
      <c r="B2604" s="48" t="n"/>
      <c r="C2604" s="48" t="n"/>
    </row>
    <row r="2605" ht="18" customHeight="1" s="17">
      <c r="A2605" s="48">
        <f>IF(Generation!$B57,"    &lt;duration&gt;P0Y0M0DT0H1M0S&lt;/duration&gt;","")</f>
        <v/>
      </c>
      <c r="B2605" s="48" t="n"/>
      <c r="C2605" s="48" t="n"/>
    </row>
    <row r="2606" ht="18" customHeight="1" s="17">
      <c r="A2606" s="48">
        <f>IF(Generation!$B57,"    &lt;itemmetadata&gt;","")</f>
        <v/>
      </c>
      <c r="B2606" s="48" t="n"/>
      <c r="C2606" s="48" t="n"/>
    </row>
    <row r="2607" ht="18" customHeight="1" s="17">
      <c r="A2607" s="48">
        <f>IF(Generation!$B57,"      &lt;qtimetadata&gt;","")</f>
        <v/>
      </c>
      <c r="B2607" s="48" t="n"/>
      <c r="C2607" s="48" t="n"/>
    </row>
    <row r="2608" ht="18" customHeight="1" s="17">
      <c r="A2608" s="48">
        <f>IF(Generation!$B57,"        &lt;qtimetadatafield&gt;&lt;fieldlabel&gt;ILIAS_VERSION&lt;/fieldlabel&gt;&lt;fieldentry&gt;8&lt;/fieldentry&gt;&lt;/qtimetadatafield&gt;","")</f>
        <v/>
      </c>
      <c r="B2608" s="48" t="n"/>
      <c r="C2608" s="48" t="n"/>
    </row>
    <row r="2609" ht="18" customHeight="1" s="17">
      <c r="A2609" s="48">
        <f>IF(Generation!$B57,"        &lt;qtimetadatafield&gt;&lt;fieldlabel&gt;QUESTIONTYPE&lt;/fieldlabel&gt;&lt;fieldentry&gt;"&amp;Generation!$D57&amp;"&lt;/fieldentry&gt;&lt;/qtimetadatafield&gt;","")</f>
        <v/>
      </c>
      <c r="B2609" s="48" t="n"/>
      <c r="C2609" s="48" t="n"/>
    </row>
    <row r="2610" ht="18" customHeight="1" s="17">
      <c r="A2610" s="48">
        <f>IF(Generation!$B57,"        &lt;qtimetadatafield&gt;&lt;fieldlabel&gt;AUTHOR&lt;/fieldlabel&gt;&lt;fieldentry&gt;"&amp;Generation!$AR57&amp;"&lt;/fieldentry&gt;&lt;/qtimetadatafield&gt;","")</f>
        <v/>
      </c>
      <c r="B2610" s="48" t="n"/>
      <c r="C2610" s="48" t="n"/>
    </row>
    <row r="2611" ht="18" customHeight="1" s="17">
      <c r="A2611" s="48">
        <f>IF(Generation!$B57,"        &lt;qtimetadatafield&gt;&lt;fieldlabel&gt;identicalScoring&lt;/fieldlabel&gt;&lt;fieldentry&gt;1&lt;/fieldentry&gt;&lt;/qtimetadatafield&gt;","")</f>
        <v/>
      </c>
      <c r="B2611" s="48" t="n"/>
      <c r="C2611" s="48" t="n"/>
    </row>
    <row r="2612" ht="18" customHeight="1" s="17">
      <c r="A2612" s="48">
        <f>IF(Generation!$B57,"      &lt;/qtimetadata&gt;","")</f>
        <v/>
      </c>
      <c r="B2612" s="48" t="n"/>
      <c r="C2612" s="48" t="n"/>
    </row>
    <row r="2613" ht="18" customHeight="1" s="17">
      <c r="A2613" s="48">
        <f>IF(Generation!$B57,"    &lt;/itemmetadata&gt;","")</f>
        <v/>
      </c>
      <c r="B2613" s="48" t="n"/>
      <c r="C2613" s="48" t="n"/>
    </row>
    <row r="2614" ht="18" customHeight="1" s="17">
      <c r="A2614" s="48">
        <f>IF(Generation!$B57,"    &lt;presentation label="""&amp;Generation!$F57&amp;"""&gt;","")</f>
        <v/>
      </c>
      <c r="B2614" s="48" t="n"/>
      <c r="C2614" s="48" t="n"/>
    </row>
    <row r="2615" ht="18" customHeight="1" s="17">
      <c r="A2615" s="48">
        <f>IF(Generation!$B57,"      &lt;material&gt;&lt;mattext texttype=""text/html""&gt;"&amp;Generation!$G57&amp;"&lt;/mattext&gt;&lt;/material&gt;","")</f>
        <v/>
      </c>
      <c r="B2615" s="48" t="n"/>
      <c r="C2615" s="48" t="n"/>
    </row>
    <row r="2616" ht="18" customHeight="1" s="17">
      <c r="A2616" s="48">
        <f>IF(Generation!$B57,"      &lt;response_lid ident=""RESPONSE"" rcardinality="""&amp;Generation!$E57&amp;"""&gt;","")</f>
        <v/>
      </c>
      <c r="B2616" s="48" t="n"/>
      <c r="C2616" s="48" t="n"/>
    </row>
    <row r="2617" ht="18" customHeight="1" s="17">
      <c r="A2617" s="48">
        <f>IF(Generation!$B57,"        &lt;render_choice shuffle=""No""&gt;","")</f>
        <v/>
      </c>
      <c r="B2617" s="48" t="n"/>
      <c r="C2617" s="48" t="n"/>
    </row>
    <row r="2618" ht="18" customHeight="1" s="17">
      <c r="A2618" s="48">
        <f>IF(Generation!AB57="","",Generation!AB57)</f>
        <v/>
      </c>
      <c r="B2618" s="48" t="n"/>
      <c r="C2618" s="48" t="n"/>
    </row>
    <row r="2619" ht="18" customHeight="1" s="17">
      <c r="A2619" s="48">
        <f>IF(Generation!AC57="","",Generation!AC57)</f>
        <v/>
      </c>
      <c r="B2619" s="48" t="n"/>
      <c r="C2619" s="48" t="n"/>
    </row>
    <row r="2620" ht="18" customHeight="1" s="17">
      <c r="A2620" s="48">
        <f>IF(Generation!AD57="","",Generation!AD57)</f>
        <v/>
      </c>
      <c r="B2620" s="48" t="n"/>
      <c r="C2620" s="48" t="n"/>
    </row>
    <row r="2621" ht="18" customHeight="1" s="17">
      <c r="A2621" s="48">
        <f>IF(Generation!AE57="","",Generation!AE57)</f>
        <v/>
      </c>
      <c r="B2621" s="48" t="n"/>
      <c r="C2621" s="48" t="n"/>
    </row>
    <row r="2622" ht="18" customHeight="1" s="17">
      <c r="A2622" s="48">
        <f>IF(Generation!AF57="","",Generation!AF57)</f>
        <v/>
      </c>
      <c r="B2622" s="48" t="n"/>
      <c r="C2622" s="48" t="n"/>
    </row>
    <row r="2623" ht="18" customHeight="1" s="17">
      <c r="A2623" s="48">
        <f>IF(Generation!AG57="","",Generation!AG57)</f>
        <v/>
      </c>
      <c r="B2623" s="48" t="n"/>
      <c r="C2623" s="48" t="n"/>
    </row>
    <row r="2624" ht="18" customHeight="1" s="17">
      <c r="A2624" s="48">
        <f>IF(Generation!AH57="","",Generation!AH57)</f>
        <v/>
      </c>
      <c r="B2624" s="48" t="n"/>
      <c r="C2624" s="48" t="n"/>
    </row>
    <row r="2625" ht="18" customHeight="1" s="17">
      <c r="A2625" s="48">
        <f>IF(Generation!AI57="","",Generation!AI57)</f>
        <v/>
      </c>
      <c r="B2625" s="48" t="n"/>
      <c r="C2625" s="48" t="n"/>
    </row>
    <row r="2626" ht="18" customHeight="1" s="17">
      <c r="A2626" s="48">
        <f>IF(Generation!$B57,"        &lt;/render_choice&gt;","")</f>
        <v/>
      </c>
      <c r="B2626" s="48" t="n"/>
      <c r="C2626" s="48" t="n"/>
    </row>
    <row r="2627" ht="18" customHeight="1" s="17">
      <c r="A2627" s="48">
        <f>IF(Generation!$B57,"      &lt;/response_lid&gt;","")</f>
        <v/>
      </c>
      <c r="B2627" s="48" t="n"/>
      <c r="C2627" s="48" t="n"/>
    </row>
    <row r="2628" ht="18" customHeight="1" s="17">
      <c r="A2628" s="48">
        <f>IF(Generation!$B57,"    &lt;/presentation&gt;","")</f>
        <v/>
      </c>
      <c r="B2628" s="48" t="n"/>
      <c r="C2628" s="48" t="n"/>
    </row>
    <row r="2629" ht="18" customHeight="1" s="17">
      <c r="A2629" s="48">
        <f>IF(Generation!$B57,"    &lt;resprocessing&gt;","")</f>
        <v/>
      </c>
      <c r="B2629" s="48" t="n"/>
      <c r="C2629" s="48" t="n"/>
    </row>
    <row r="2630" ht="18" customHeight="1" s="17">
      <c r="A2630" s="48">
        <f>IF(Generation!$B57,"      &lt;outcomes&gt;&lt;decvar varname=""SCORE"" vartype=""Decimal"" minvalue=""0"" maxvalue="""&amp;Generation!$H57&amp;"""/&gt;&lt;/outcomes&gt;","")</f>
        <v/>
      </c>
      <c r="B2630" s="48" t="n"/>
      <c r="C2630" s="48" t="n"/>
    </row>
    <row r="2631" ht="18" customHeight="1" s="17">
      <c r="A2631" s="48">
        <f>IF(Generation!AJ57="","",Generation!AJ57)</f>
        <v/>
      </c>
      <c r="B2631" s="48" t="n"/>
      <c r="C2631" s="48" t="n"/>
    </row>
    <row r="2632" ht="18" customHeight="1" s="17">
      <c r="A2632" s="48">
        <f>IF(Generation!AK57="","",Generation!AK57)</f>
        <v/>
      </c>
      <c r="B2632" s="48" t="n"/>
      <c r="C2632" s="48" t="n"/>
    </row>
    <row r="2633" ht="18" customHeight="1" s="17">
      <c r="A2633" s="48">
        <f>IF(Generation!AL57="","",Generation!AL57)</f>
        <v/>
      </c>
      <c r="B2633" s="48" t="n"/>
      <c r="C2633" s="48" t="n"/>
    </row>
    <row r="2634" ht="18" customHeight="1" s="17">
      <c r="A2634" s="48">
        <f>IF(Generation!AM57="","",Generation!AM57)</f>
        <v/>
      </c>
      <c r="B2634" s="48" t="n"/>
      <c r="C2634" s="48" t="n"/>
    </row>
    <row r="2635" ht="18" customHeight="1" s="17">
      <c r="A2635" s="48">
        <f>IF(Generation!AN57="","",Generation!AN57)</f>
        <v/>
      </c>
      <c r="B2635" s="48" t="n"/>
      <c r="C2635" s="48" t="n"/>
    </row>
    <row r="2636" ht="18" customHeight="1" s="17">
      <c r="A2636" s="48">
        <f>IF(Generation!AO57="","",Generation!AO57)</f>
        <v/>
      </c>
      <c r="B2636" s="48" t="n"/>
      <c r="C2636" s="48" t="n"/>
    </row>
    <row r="2637" ht="18" customHeight="1" s="17">
      <c r="A2637" s="48">
        <f>IF(Generation!AP57="","",Generation!AP57)</f>
        <v/>
      </c>
      <c r="B2637" s="48" t="n"/>
      <c r="C2637" s="48" t="n"/>
    </row>
    <row r="2638" ht="18" customHeight="1" s="17">
      <c r="A2638" s="48">
        <f>IF(Generation!AQ57="","",Generation!AQ57)</f>
        <v/>
      </c>
      <c r="B2638" s="48" t="n"/>
      <c r="C2638" s="48" t="n"/>
    </row>
    <row r="2639" ht="18" customHeight="1" s="17">
      <c r="A2639" s="48">
        <f>IF(Generation!$B57,"    &lt;/resprocessing&gt;","")</f>
        <v/>
      </c>
      <c r="B2639" s="48" t="n"/>
      <c r="C2639" s="48" t="n"/>
    </row>
    <row r="2640" ht="18" customHeight="1" s="17">
      <c r="A2640" s="48">
        <f>IF(Generation!BB57="","",Generation!BB57)</f>
        <v/>
      </c>
      <c r="B2640" s="48" t="n"/>
      <c r="C2640" s="48" t="n"/>
    </row>
    <row r="2641" ht="18" customHeight="1" s="17">
      <c r="A2641" s="48">
        <f>IF(Generation!BC57="","",Generation!BC57)</f>
        <v/>
      </c>
      <c r="B2641" s="48" t="n"/>
      <c r="C2641" s="48" t="n"/>
    </row>
    <row r="2642" ht="18" customHeight="1" s="17">
      <c r="A2642" s="48">
        <f>IF(Generation!BD57="","",Generation!BD57)</f>
        <v/>
      </c>
      <c r="B2642" s="48" t="n"/>
      <c r="C2642" s="48" t="n"/>
    </row>
    <row r="2643" ht="18" customHeight="1" s="17">
      <c r="A2643" s="48">
        <f>IF(Generation!BE57="","",Generation!BE57)</f>
        <v/>
      </c>
      <c r="B2643" s="48" t="n"/>
      <c r="C2643" s="48" t="n"/>
    </row>
    <row r="2644" ht="18" customHeight="1" s="17">
      <c r="A2644" s="48">
        <f>IF(Generation!BF57="","",Generation!BF57)</f>
        <v/>
      </c>
      <c r="B2644" s="48" t="n"/>
      <c r="C2644" s="48" t="n"/>
    </row>
    <row r="2645" ht="18" customHeight="1" s="17">
      <c r="A2645" s="48">
        <f>IF(Generation!BG57="","",Generation!BG57)</f>
        <v/>
      </c>
      <c r="B2645" s="48" t="n"/>
      <c r="C2645" s="48" t="n"/>
    </row>
    <row r="2646" ht="18" customHeight="1" s="17">
      <c r="A2646" s="48">
        <f>IF(Generation!BH57="","",Generation!BH57)</f>
        <v/>
      </c>
      <c r="B2646" s="48" t="n"/>
      <c r="C2646" s="48" t="n"/>
    </row>
    <row r="2647" ht="18" customHeight="1" s="17">
      <c r="A2647" s="48">
        <f>IF(Generation!BI57="","",Generation!BI57)</f>
        <v/>
      </c>
      <c r="B2647" s="48" t="n"/>
      <c r="C2647" s="48" t="n"/>
    </row>
    <row r="2648" ht="18" customHeight="1" s="17">
      <c r="A2648" s="48">
        <f>IF(Generation!BJ57="","",Generation!BJ57)</f>
        <v/>
      </c>
      <c r="B2648" s="48" t="n"/>
      <c r="C2648" s="48" t="n"/>
    </row>
    <row r="2649" ht="18" customHeight="1" s="17">
      <c r="A2649" s="48">
        <f>IF(Generation!$B57,"  &lt;/item&gt;","")</f>
        <v/>
      </c>
      <c r="B2649" s="48" t="n"/>
      <c r="C2649" s="48" t="n"/>
    </row>
    <row r="2650" ht="18" customHeight="1" s="17">
      <c r="A2650" s="48">
        <f>""</f>
        <v/>
      </c>
      <c r="B2650" s="48" t="n"/>
      <c r="C2650" s="48" t="n"/>
    </row>
    <row r="2651" ht="18" customHeight="1" s="17">
      <c r="A2651" s="48">
        <f>""</f>
        <v/>
      </c>
      <c r="B2651" s="48" t="n"/>
      <c r="C2651" s="48" t="n"/>
    </row>
    <row r="2652" ht="18" customHeight="1" s="17">
      <c r="A2652" s="48">
        <f>""</f>
        <v/>
      </c>
      <c r="B2652" s="48" t="n"/>
      <c r="C2652" s="48" t="n"/>
    </row>
    <row r="2653" ht="18" customHeight="1" s="17">
      <c r="A2653" s="48">
        <f>""</f>
        <v/>
      </c>
      <c r="B2653" s="48" t="n"/>
      <c r="C2653" s="48" t="n"/>
    </row>
    <row r="2654" ht="18" customHeight="1" s="17">
      <c r="A2654" s="48">
        <f>IF(Generation!$B58,"  &lt;item ident=""il_0_qst_"&amp;TEXT(Generation!$A58,"000")&amp;""" title="""&amp;Generation!$F58&amp;"""&gt;","")</f>
        <v/>
      </c>
      <c r="B2654" s="48" t="n"/>
      <c r="C2654" s="48" t="n"/>
    </row>
    <row r="2655" ht="18" customHeight="1" s="17">
      <c r="A2655" s="48">
        <f>IF(Generation!$B58,"    &lt;duration&gt;P0Y0M0DT0H1M0S&lt;/duration&gt;","")</f>
        <v/>
      </c>
      <c r="B2655" s="48" t="n"/>
      <c r="C2655" s="48" t="n"/>
    </row>
    <row r="2656" ht="18" customHeight="1" s="17">
      <c r="A2656" s="48">
        <f>IF(Generation!$B58,"    &lt;itemmetadata&gt;","")</f>
        <v/>
      </c>
      <c r="B2656" s="48" t="n"/>
      <c r="C2656" s="48" t="n"/>
    </row>
    <row r="2657" ht="18" customHeight="1" s="17">
      <c r="A2657" s="48">
        <f>IF(Generation!$B58,"      &lt;qtimetadata&gt;","")</f>
        <v/>
      </c>
      <c r="B2657" s="48" t="n"/>
      <c r="C2657" s="48" t="n"/>
    </row>
    <row r="2658" ht="18" customHeight="1" s="17">
      <c r="A2658" s="48">
        <f>IF(Generation!$B58,"        &lt;qtimetadatafield&gt;&lt;fieldlabel&gt;ILIAS_VERSION&lt;/fieldlabel&gt;&lt;fieldentry&gt;8&lt;/fieldentry&gt;&lt;/qtimetadatafield&gt;","")</f>
        <v/>
      </c>
      <c r="B2658" s="48" t="n"/>
      <c r="C2658" s="48" t="n"/>
    </row>
    <row r="2659" ht="18" customHeight="1" s="17">
      <c r="A2659" s="48">
        <f>IF(Generation!$B58,"        &lt;qtimetadatafield&gt;&lt;fieldlabel&gt;QUESTIONTYPE&lt;/fieldlabel&gt;&lt;fieldentry&gt;"&amp;Generation!$D58&amp;"&lt;/fieldentry&gt;&lt;/qtimetadatafield&gt;","")</f>
        <v/>
      </c>
      <c r="B2659" s="48" t="n"/>
      <c r="C2659" s="48" t="n"/>
    </row>
    <row r="2660" ht="18" customHeight="1" s="17">
      <c r="A2660" s="48">
        <f>IF(Generation!$B58,"        &lt;qtimetadatafield&gt;&lt;fieldlabel&gt;AUTHOR&lt;/fieldlabel&gt;&lt;fieldentry&gt;"&amp;Generation!$AR58&amp;"&lt;/fieldentry&gt;&lt;/qtimetadatafield&gt;","")</f>
        <v/>
      </c>
      <c r="B2660" s="48" t="n"/>
      <c r="C2660" s="48" t="n"/>
    </row>
    <row r="2661" ht="18" customHeight="1" s="17">
      <c r="A2661" s="48">
        <f>IF(Generation!$B58,"        &lt;qtimetadatafield&gt;&lt;fieldlabel&gt;identicalScoring&lt;/fieldlabel&gt;&lt;fieldentry&gt;1&lt;/fieldentry&gt;&lt;/qtimetadatafield&gt;","")</f>
        <v/>
      </c>
      <c r="B2661" s="48" t="n"/>
      <c r="C2661" s="48" t="n"/>
    </row>
    <row r="2662" ht="18" customHeight="1" s="17">
      <c r="A2662" s="48">
        <f>IF(Generation!$B58,"      &lt;/qtimetadata&gt;","")</f>
        <v/>
      </c>
      <c r="B2662" s="48" t="n"/>
      <c r="C2662" s="48" t="n"/>
    </row>
    <row r="2663" ht="18" customHeight="1" s="17">
      <c r="A2663" s="48">
        <f>IF(Generation!$B58,"    &lt;/itemmetadata&gt;","")</f>
        <v/>
      </c>
      <c r="B2663" s="48" t="n"/>
      <c r="C2663" s="48" t="n"/>
    </row>
    <row r="2664" ht="18" customHeight="1" s="17">
      <c r="A2664" s="48">
        <f>IF(Generation!$B58,"    &lt;presentation label="""&amp;Generation!$F58&amp;"""&gt;","")</f>
        <v/>
      </c>
      <c r="B2664" s="48" t="n"/>
      <c r="C2664" s="48" t="n"/>
    </row>
    <row r="2665" ht="18" customHeight="1" s="17">
      <c r="A2665" s="48">
        <f>IF(Generation!$B58,"      &lt;material&gt;&lt;mattext texttype=""text/html""&gt;"&amp;Generation!$G58&amp;"&lt;/mattext&gt;&lt;/material&gt;","")</f>
        <v/>
      </c>
      <c r="B2665" s="48" t="n"/>
      <c r="C2665" s="48" t="n"/>
    </row>
    <row r="2666" ht="18" customHeight="1" s="17">
      <c r="A2666" s="48">
        <f>IF(Generation!$B58,"      &lt;response_lid ident=""RESPONSE"" rcardinality="""&amp;Generation!$E58&amp;"""&gt;","")</f>
        <v/>
      </c>
      <c r="B2666" s="48" t="n"/>
      <c r="C2666" s="48" t="n"/>
    </row>
    <row r="2667" ht="18" customHeight="1" s="17">
      <c r="A2667" s="48">
        <f>IF(Generation!$B58,"        &lt;render_choice shuffle=""No""&gt;","")</f>
        <v/>
      </c>
      <c r="B2667" s="48" t="n"/>
      <c r="C2667" s="48" t="n"/>
    </row>
    <row r="2668" ht="18" customHeight="1" s="17">
      <c r="A2668" s="48">
        <f>IF(Generation!AB58="","",Generation!AB58)</f>
        <v/>
      </c>
      <c r="B2668" s="48" t="n"/>
      <c r="C2668" s="48" t="n"/>
    </row>
    <row r="2669" ht="18" customHeight="1" s="17">
      <c r="A2669" s="48">
        <f>IF(Generation!AC58="","",Generation!AC58)</f>
        <v/>
      </c>
      <c r="B2669" s="48" t="n"/>
      <c r="C2669" s="48" t="n"/>
    </row>
    <row r="2670" ht="18" customHeight="1" s="17">
      <c r="A2670" s="48">
        <f>IF(Generation!AD58="","",Generation!AD58)</f>
        <v/>
      </c>
      <c r="B2670" s="48" t="n"/>
      <c r="C2670" s="48" t="n"/>
    </row>
    <row r="2671" ht="18" customHeight="1" s="17">
      <c r="A2671" s="48">
        <f>IF(Generation!AE58="","",Generation!AE58)</f>
        <v/>
      </c>
      <c r="B2671" s="48" t="n"/>
      <c r="C2671" s="48" t="n"/>
    </row>
    <row r="2672" ht="18" customHeight="1" s="17">
      <c r="A2672" s="48">
        <f>IF(Generation!AF58="","",Generation!AF58)</f>
        <v/>
      </c>
      <c r="B2672" s="48" t="n"/>
      <c r="C2672" s="48" t="n"/>
    </row>
    <row r="2673" ht="18" customHeight="1" s="17">
      <c r="A2673" s="48">
        <f>IF(Generation!AG58="","",Generation!AG58)</f>
        <v/>
      </c>
      <c r="B2673" s="48" t="n"/>
      <c r="C2673" s="48" t="n"/>
    </row>
    <row r="2674" ht="18" customHeight="1" s="17">
      <c r="A2674" s="48">
        <f>IF(Generation!AH58="","",Generation!AH58)</f>
        <v/>
      </c>
      <c r="B2674" s="48" t="n"/>
      <c r="C2674" s="48" t="n"/>
    </row>
    <row r="2675" ht="18" customHeight="1" s="17">
      <c r="A2675" s="48">
        <f>IF(Generation!AI58="","",Generation!AI58)</f>
        <v/>
      </c>
      <c r="B2675" s="48" t="n"/>
      <c r="C2675" s="48" t="n"/>
    </row>
    <row r="2676" ht="18" customHeight="1" s="17">
      <c r="A2676" s="48">
        <f>IF(Generation!$B58,"        &lt;/render_choice&gt;","")</f>
        <v/>
      </c>
      <c r="B2676" s="48" t="n"/>
      <c r="C2676" s="48" t="n"/>
    </row>
    <row r="2677" ht="18" customHeight="1" s="17">
      <c r="A2677" s="48">
        <f>IF(Generation!$B58,"      &lt;/response_lid&gt;","")</f>
        <v/>
      </c>
      <c r="B2677" s="48" t="n"/>
      <c r="C2677" s="48" t="n"/>
    </row>
    <row r="2678" ht="18" customHeight="1" s="17">
      <c r="A2678" s="48">
        <f>IF(Generation!$B58,"    &lt;/presentation&gt;","")</f>
        <v/>
      </c>
      <c r="B2678" s="48" t="n"/>
      <c r="C2678" s="48" t="n"/>
    </row>
    <row r="2679" ht="18" customHeight="1" s="17">
      <c r="A2679" s="48">
        <f>IF(Generation!$B58,"    &lt;resprocessing&gt;","")</f>
        <v/>
      </c>
      <c r="B2679" s="48" t="n"/>
      <c r="C2679" s="48" t="n"/>
    </row>
    <row r="2680" ht="18" customHeight="1" s="17">
      <c r="A2680" s="48">
        <f>IF(Generation!$B58,"      &lt;outcomes&gt;&lt;decvar varname=""SCORE"" vartype=""Decimal"" minvalue=""0"" maxvalue="""&amp;Generation!$H58&amp;"""/&gt;&lt;/outcomes&gt;","")</f>
        <v/>
      </c>
      <c r="B2680" s="48" t="n"/>
      <c r="C2680" s="48" t="n"/>
    </row>
    <row r="2681" ht="18" customHeight="1" s="17">
      <c r="A2681" s="48">
        <f>IF(Generation!AJ58="","",Generation!AJ58)</f>
        <v/>
      </c>
      <c r="B2681" s="48" t="n"/>
      <c r="C2681" s="48" t="n"/>
    </row>
    <row r="2682" ht="18" customHeight="1" s="17">
      <c r="A2682" s="48">
        <f>IF(Generation!AK58="","",Generation!AK58)</f>
        <v/>
      </c>
      <c r="B2682" s="48" t="n"/>
      <c r="C2682" s="48" t="n"/>
    </row>
    <row r="2683" ht="18" customHeight="1" s="17">
      <c r="A2683" s="48">
        <f>IF(Generation!AL58="","",Generation!AL58)</f>
        <v/>
      </c>
      <c r="B2683" s="48" t="n"/>
      <c r="C2683" s="48" t="n"/>
    </row>
    <row r="2684" ht="18" customHeight="1" s="17">
      <c r="A2684" s="48">
        <f>IF(Generation!AM58="","",Generation!AM58)</f>
        <v/>
      </c>
      <c r="B2684" s="48" t="n"/>
      <c r="C2684" s="48" t="n"/>
    </row>
    <row r="2685" ht="18" customHeight="1" s="17">
      <c r="A2685" s="48">
        <f>IF(Generation!AN58="","",Generation!AN58)</f>
        <v/>
      </c>
      <c r="B2685" s="48" t="n"/>
      <c r="C2685" s="48" t="n"/>
    </row>
    <row r="2686" ht="18" customHeight="1" s="17">
      <c r="A2686" s="48">
        <f>IF(Generation!AO58="","",Generation!AO58)</f>
        <v/>
      </c>
      <c r="B2686" s="48" t="n"/>
      <c r="C2686" s="48" t="n"/>
    </row>
    <row r="2687" ht="18" customHeight="1" s="17">
      <c r="A2687" s="48">
        <f>IF(Generation!AP58="","",Generation!AP58)</f>
        <v/>
      </c>
      <c r="B2687" s="48" t="n"/>
      <c r="C2687" s="48" t="n"/>
    </row>
    <row r="2688" ht="18" customHeight="1" s="17">
      <c r="A2688" s="48">
        <f>IF(Generation!AQ58="","",Generation!AQ58)</f>
        <v/>
      </c>
      <c r="B2688" s="48" t="n"/>
      <c r="C2688" s="48" t="n"/>
    </row>
    <row r="2689" ht="18" customHeight="1" s="17">
      <c r="A2689" s="48">
        <f>IF(Generation!$B58,"    &lt;/resprocessing&gt;","")</f>
        <v/>
      </c>
      <c r="B2689" s="48" t="n"/>
      <c r="C2689" s="48" t="n"/>
    </row>
    <row r="2690" ht="18" customHeight="1" s="17">
      <c r="A2690" s="48">
        <f>IF(Generation!BB58="","",Generation!BB58)</f>
        <v/>
      </c>
      <c r="B2690" s="48" t="n"/>
      <c r="C2690" s="48" t="n"/>
    </row>
    <row r="2691" ht="18" customHeight="1" s="17">
      <c r="A2691" s="48">
        <f>IF(Generation!BC58="","",Generation!BC58)</f>
        <v/>
      </c>
      <c r="B2691" s="48" t="n"/>
      <c r="C2691" s="48" t="n"/>
    </row>
    <row r="2692" ht="18" customHeight="1" s="17">
      <c r="A2692" s="48">
        <f>IF(Generation!BD58="","",Generation!BD58)</f>
        <v/>
      </c>
      <c r="B2692" s="48" t="n"/>
      <c r="C2692" s="48" t="n"/>
    </row>
    <row r="2693" ht="18" customHeight="1" s="17">
      <c r="A2693" s="48">
        <f>IF(Generation!BE58="","",Generation!BE58)</f>
        <v/>
      </c>
      <c r="B2693" s="48" t="n"/>
      <c r="C2693" s="48" t="n"/>
    </row>
    <row r="2694" ht="18" customHeight="1" s="17">
      <c r="A2694" s="48">
        <f>IF(Generation!BF58="","",Generation!BF58)</f>
        <v/>
      </c>
      <c r="B2694" s="48" t="n"/>
      <c r="C2694" s="48" t="n"/>
    </row>
    <row r="2695" ht="18" customHeight="1" s="17">
      <c r="A2695" s="48">
        <f>IF(Generation!BG58="","",Generation!BG58)</f>
        <v/>
      </c>
      <c r="B2695" s="48" t="n"/>
      <c r="C2695" s="48" t="n"/>
    </row>
    <row r="2696" ht="18" customHeight="1" s="17">
      <c r="A2696" s="48">
        <f>IF(Generation!BH58="","",Generation!BH58)</f>
        <v/>
      </c>
      <c r="B2696" s="48" t="n"/>
      <c r="C2696" s="48" t="n"/>
    </row>
    <row r="2697" ht="18" customHeight="1" s="17">
      <c r="A2697" s="48">
        <f>IF(Generation!BI58="","",Generation!BI58)</f>
        <v/>
      </c>
      <c r="B2697" s="48" t="n"/>
      <c r="C2697" s="48" t="n"/>
    </row>
    <row r="2698" ht="18" customHeight="1" s="17">
      <c r="A2698" s="48">
        <f>IF(Generation!BJ58="","",Generation!BJ58)</f>
        <v/>
      </c>
      <c r="B2698" s="48" t="n"/>
      <c r="C2698" s="48" t="n"/>
    </row>
    <row r="2699" ht="18" customHeight="1" s="17">
      <c r="A2699" s="48">
        <f>IF(Generation!$B58,"  &lt;/item&gt;","")</f>
        <v/>
      </c>
      <c r="B2699" s="48" t="n"/>
      <c r="C2699" s="48" t="n"/>
    </row>
    <row r="2700" ht="18" customHeight="1" s="17">
      <c r="A2700" s="48">
        <f>""</f>
        <v/>
      </c>
      <c r="B2700" s="48" t="n"/>
      <c r="C2700" s="48" t="n"/>
    </row>
    <row r="2701" ht="18" customHeight="1" s="17">
      <c r="A2701" s="48">
        <f>""</f>
        <v/>
      </c>
      <c r="B2701" s="48" t="n"/>
      <c r="C2701" s="48" t="n"/>
    </row>
    <row r="2702" ht="18" customHeight="1" s="17">
      <c r="A2702" s="48">
        <f>""</f>
        <v/>
      </c>
      <c r="B2702" s="48" t="n"/>
      <c r="C2702" s="48" t="n"/>
    </row>
    <row r="2703" ht="18" customHeight="1" s="17">
      <c r="A2703" s="48">
        <f>""</f>
        <v/>
      </c>
      <c r="B2703" s="48" t="n"/>
      <c r="C2703" s="48" t="n"/>
    </row>
    <row r="2704" ht="18" customHeight="1" s="17">
      <c r="A2704" s="48">
        <f>IF(Generation!$B59,"  &lt;item ident=""il_0_qst_"&amp;TEXT(Generation!$A59,"000")&amp;""" title="""&amp;Generation!$F59&amp;"""&gt;","")</f>
        <v/>
      </c>
      <c r="B2704" s="48" t="n"/>
      <c r="C2704" s="48" t="n"/>
    </row>
    <row r="2705" ht="18" customHeight="1" s="17">
      <c r="A2705" s="48">
        <f>IF(Generation!$B59,"    &lt;duration&gt;P0Y0M0DT0H1M0S&lt;/duration&gt;","")</f>
        <v/>
      </c>
      <c r="B2705" s="48" t="n"/>
      <c r="C2705" s="48" t="n"/>
    </row>
    <row r="2706" ht="18" customHeight="1" s="17">
      <c r="A2706" s="48">
        <f>IF(Generation!$B59,"    &lt;itemmetadata&gt;","")</f>
        <v/>
      </c>
      <c r="B2706" s="48" t="n"/>
      <c r="C2706" s="48" t="n"/>
    </row>
    <row r="2707" ht="18" customHeight="1" s="17">
      <c r="A2707" s="48">
        <f>IF(Generation!$B59,"      &lt;qtimetadata&gt;","")</f>
        <v/>
      </c>
      <c r="B2707" s="48" t="n"/>
      <c r="C2707" s="48" t="n"/>
    </row>
    <row r="2708" ht="18" customHeight="1" s="17">
      <c r="A2708" s="48">
        <f>IF(Generation!$B59,"        &lt;qtimetadatafield&gt;&lt;fieldlabel&gt;ILIAS_VERSION&lt;/fieldlabel&gt;&lt;fieldentry&gt;8&lt;/fieldentry&gt;&lt;/qtimetadatafield&gt;","")</f>
        <v/>
      </c>
      <c r="B2708" s="48" t="n"/>
      <c r="C2708" s="48" t="n"/>
    </row>
    <row r="2709" ht="18" customHeight="1" s="17">
      <c r="A2709" s="48">
        <f>IF(Generation!$B59,"        &lt;qtimetadatafield&gt;&lt;fieldlabel&gt;QUESTIONTYPE&lt;/fieldlabel&gt;&lt;fieldentry&gt;"&amp;Generation!$D59&amp;"&lt;/fieldentry&gt;&lt;/qtimetadatafield&gt;","")</f>
        <v/>
      </c>
      <c r="B2709" s="48" t="n"/>
      <c r="C2709" s="48" t="n"/>
    </row>
    <row r="2710" ht="18" customHeight="1" s="17">
      <c r="A2710" s="48">
        <f>IF(Generation!$B59,"        &lt;qtimetadatafield&gt;&lt;fieldlabel&gt;AUTHOR&lt;/fieldlabel&gt;&lt;fieldentry&gt;"&amp;Generation!$AR59&amp;"&lt;/fieldentry&gt;&lt;/qtimetadatafield&gt;","")</f>
        <v/>
      </c>
      <c r="B2710" s="48" t="n"/>
      <c r="C2710" s="48" t="n"/>
    </row>
    <row r="2711" ht="18" customHeight="1" s="17">
      <c r="A2711" s="48">
        <f>IF(Generation!$B59,"        &lt;qtimetadatafield&gt;&lt;fieldlabel&gt;identicalScoring&lt;/fieldlabel&gt;&lt;fieldentry&gt;1&lt;/fieldentry&gt;&lt;/qtimetadatafield&gt;","")</f>
        <v/>
      </c>
      <c r="B2711" s="48" t="n"/>
      <c r="C2711" s="48" t="n"/>
    </row>
    <row r="2712" ht="18" customHeight="1" s="17">
      <c r="A2712" s="48">
        <f>IF(Generation!$B59,"      &lt;/qtimetadata&gt;","")</f>
        <v/>
      </c>
      <c r="B2712" s="48" t="n"/>
      <c r="C2712" s="48" t="n"/>
    </row>
    <row r="2713" ht="18" customHeight="1" s="17">
      <c r="A2713" s="48">
        <f>IF(Generation!$B59,"    &lt;/itemmetadata&gt;","")</f>
        <v/>
      </c>
      <c r="B2713" s="48" t="n"/>
      <c r="C2713" s="48" t="n"/>
    </row>
    <row r="2714" ht="18" customHeight="1" s="17">
      <c r="A2714" s="48">
        <f>IF(Generation!$B59,"    &lt;presentation label="""&amp;Generation!$F59&amp;"""&gt;","")</f>
        <v/>
      </c>
      <c r="B2714" s="48" t="n"/>
      <c r="C2714" s="48" t="n"/>
    </row>
    <row r="2715" ht="18" customHeight="1" s="17">
      <c r="A2715" s="48">
        <f>IF(Generation!$B59,"      &lt;material&gt;&lt;mattext texttype=""text/html""&gt;"&amp;Generation!$G59&amp;"&lt;/mattext&gt;&lt;/material&gt;","")</f>
        <v/>
      </c>
      <c r="B2715" s="48" t="n"/>
      <c r="C2715" s="48" t="n"/>
    </row>
    <row r="2716" ht="18" customHeight="1" s="17">
      <c r="A2716" s="48">
        <f>IF(Generation!$B59,"      &lt;response_lid ident=""RESPONSE"" rcardinality="""&amp;Generation!$E59&amp;"""&gt;","")</f>
        <v/>
      </c>
      <c r="B2716" s="48" t="n"/>
      <c r="C2716" s="48" t="n"/>
    </row>
    <row r="2717" ht="18" customHeight="1" s="17">
      <c r="A2717" s="48">
        <f>IF(Generation!$B59,"        &lt;render_choice shuffle=""No""&gt;","")</f>
        <v/>
      </c>
      <c r="B2717" s="48" t="n"/>
      <c r="C2717" s="48" t="n"/>
    </row>
    <row r="2718" ht="18" customHeight="1" s="17">
      <c r="A2718" s="48">
        <f>IF(Generation!AB59="","",Generation!AB59)</f>
        <v/>
      </c>
      <c r="B2718" s="48" t="n"/>
      <c r="C2718" s="48" t="n"/>
    </row>
    <row r="2719" ht="18" customHeight="1" s="17">
      <c r="A2719" s="48">
        <f>IF(Generation!AC59="","",Generation!AC59)</f>
        <v/>
      </c>
      <c r="B2719" s="48" t="n"/>
      <c r="C2719" s="48" t="n"/>
    </row>
    <row r="2720" ht="18" customHeight="1" s="17">
      <c r="A2720" s="48">
        <f>IF(Generation!AD59="","",Generation!AD59)</f>
        <v/>
      </c>
      <c r="B2720" s="48" t="n"/>
      <c r="C2720" s="48" t="n"/>
    </row>
    <row r="2721" ht="18" customHeight="1" s="17">
      <c r="A2721" s="48">
        <f>IF(Generation!AE59="","",Generation!AE59)</f>
        <v/>
      </c>
      <c r="B2721" s="48" t="n"/>
      <c r="C2721" s="48" t="n"/>
    </row>
    <row r="2722" ht="18" customHeight="1" s="17">
      <c r="A2722" s="48">
        <f>IF(Generation!AF59="","",Generation!AF59)</f>
        <v/>
      </c>
      <c r="B2722" s="48" t="n"/>
      <c r="C2722" s="48" t="n"/>
    </row>
    <row r="2723" ht="18" customHeight="1" s="17">
      <c r="A2723" s="48">
        <f>IF(Generation!AG59="","",Generation!AG59)</f>
        <v/>
      </c>
      <c r="B2723" s="48" t="n"/>
      <c r="C2723" s="48" t="n"/>
    </row>
    <row r="2724" ht="18" customHeight="1" s="17">
      <c r="A2724" s="48">
        <f>IF(Generation!AH59="","",Generation!AH59)</f>
        <v/>
      </c>
      <c r="B2724" s="48" t="n"/>
      <c r="C2724" s="48" t="n"/>
    </row>
    <row r="2725" ht="18" customHeight="1" s="17">
      <c r="A2725" s="48">
        <f>IF(Generation!AI59="","",Generation!AI59)</f>
        <v/>
      </c>
      <c r="B2725" s="48" t="n"/>
      <c r="C2725" s="48" t="n"/>
    </row>
    <row r="2726" ht="18" customHeight="1" s="17">
      <c r="A2726" s="48">
        <f>IF(Generation!$B59,"        &lt;/render_choice&gt;","")</f>
        <v/>
      </c>
      <c r="B2726" s="48" t="n"/>
      <c r="C2726" s="48" t="n"/>
    </row>
    <row r="2727" ht="18" customHeight="1" s="17">
      <c r="A2727" s="48">
        <f>IF(Generation!$B59,"      &lt;/response_lid&gt;","")</f>
        <v/>
      </c>
      <c r="B2727" s="48" t="n"/>
      <c r="C2727" s="48" t="n"/>
    </row>
    <row r="2728" ht="18" customHeight="1" s="17">
      <c r="A2728" s="48">
        <f>IF(Generation!$B59,"    &lt;/presentation&gt;","")</f>
        <v/>
      </c>
      <c r="B2728" s="48" t="n"/>
      <c r="C2728" s="48" t="n"/>
    </row>
    <row r="2729" ht="18" customHeight="1" s="17">
      <c r="A2729" s="48">
        <f>IF(Generation!$B59,"    &lt;resprocessing&gt;","")</f>
        <v/>
      </c>
      <c r="B2729" s="48" t="n"/>
      <c r="C2729" s="48" t="n"/>
    </row>
    <row r="2730" ht="18" customHeight="1" s="17">
      <c r="A2730" s="48">
        <f>IF(Generation!$B59,"      &lt;outcomes&gt;&lt;decvar varname=""SCORE"" vartype=""Decimal"" minvalue=""0"" maxvalue="""&amp;Generation!$H59&amp;"""/&gt;&lt;/outcomes&gt;","")</f>
        <v/>
      </c>
      <c r="B2730" s="48" t="n"/>
      <c r="C2730" s="48" t="n"/>
    </row>
    <row r="2731" ht="18" customHeight="1" s="17">
      <c r="A2731" s="48">
        <f>IF(Generation!AJ59="","",Generation!AJ59)</f>
        <v/>
      </c>
      <c r="B2731" s="48" t="n"/>
      <c r="C2731" s="48" t="n"/>
    </row>
    <row r="2732" ht="18" customHeight="1" s="17">
      <c r="A2732" s="48">
        <f>IF(Generation!AK59="","",Generation!AK59)</f>
        <v/>
      </c>
      <c r="B2732" s="48" t="n"/>
      <c r="C2732" s="48" t="n"/>
    </row>
    <row r="2733" ht="18" customHeight="1" s="17">
      <c r="A2733" s="48">
        <f>IF(Generation!AL59="","",Generation!AL59)</f>
        <v/>
      </c>
      <c r="B2733" s="48" t="n"/>
      <c r="C2733" s="48" t="n"/>
    </row>
    <row r="2734" ht="18" customHeight="1" s="17">
      <c r="A2734" s="48">
        <f>IF(Generation!AM59="","",Generation!AM59)</f>
        <v/>
      </c>
      <c r="B2734" s="48" t="n"/>
      <c r="C2734" s="48" t="n"/>
    </row>
    <row r="2735" ht="18" customHeight="1" s="17">
      <c r="A2735" s="48">
        <f>IF(Generation!AN59="","",Generation!AN59)</f>
        <v/>
      </c>
      <c r="B2735" s="48" t="n"/>
      <c r="C2735" s="48" t="n"/>
    </row>
    <row r="2736" ht="18" customHeight="1" s="17">
      <c r="A2736" s="48">
        <f>IF(Generation!AO59="","",Generation!AO59)</f>
        <v/>
      </c>
      <c r="B2736" s="48" t="n"/>
      <c r="C2736" s="48" t="n"/>
    </row>
    <row r="2737" ht="18" customHeight="1" s="17">
      <c r="A2737" s="48">
        <f>IF(Generation!AP59="","",Generation!AP59)</f>
        <v/>
      </c>
      <c r="B2737" s="48" t="n"/>
      <c r="C2737" s="48" t="n"/>
    </row>
    <row r="2738" ht="18" customHeight="1" s="17">
      <c r="A2738" s="48">
        <f>IF(Generation!AQ59="","",Generation!AQ59)</f>
        <v/>
      </c>
      <c r="B2738" s="48" t="n"/>
      <c r="C2738" s="48" t="n"/>
    </row>
    <row r="2739" ht="18" customHeight="1" s="17">
      <c r="A2739" s="48">
        <f>IF(Generation!$B59,"    &lt;/resprocessing&gt;","")</f>
        <v/>
      </c>
      <c r="B2739" s="48" t="n"/>
      <c r="C2739" s="48" t="n"/>
    </row>
    <row r="2740" ht="18" customHeight="1" s="17">
      <c r="A2740" s="48">
        <f>IF(Generation!BB59="","",Generation!BB59)</f>
        <v/>
      </c>
      <c r="B2740" s="48" t="n"/>
      <c r="C2740" s="48" t="n"/>
    </row>
    <row r="2741" ht="18" customHeight="1" s="17">
      <c r="A2741" s="48">
        <f>IF(Generation!BC59="","",Generation!BC59)</f>
        <v/>
      </c>
      <c r="B2741" s="48" t="n"/>
      <c r="C2741" s="48" t="n"/>
    </row>
    <row r="2742" ht="18" customHeight="1" s="17">
      <c r="A2742" s="48">
        <f>IF(Generation!BD59="","",Generation!BD59)</f>
        <v/>
      </c>
      <c r="B2742" s="48" t="n"/>
      <c r="C2742" s="48" t="n"/>
    </row>
    <row r="2743" ht="18" customHeight="1" s="17">
      <c r="A2743" s="48">
        <f>IF(Generation!BE59="","",Generation!BE59)</f>
        <v/>
      </c>
      <c r="B2743" s="48" t="n"/>
      <c r="C2743" s="48" t="n"/>
    </row>
    <row r="2744" ht="18" customHeight="1" s="17">
      <c r="A2744" s="48">
        <f>IF(Generation!BF59="","",Generation!BF59)</f>
        <v/>
      </c>
      <c r="B2744" s="48" t="n"/>
      <c r="C2744" s="48" t="n"/>
    </row>
    <row r="2745" ht="18" customHeight="1" s="17">
      <c r="A2745" s="48">
        <f>IF(Generation!BG59="","",Generation!BG59)</f>
        <v/>
      </c>
      <c r="B2745" s="48" t="n"/>
      <c r="C2745" s="48" t="n"/>
    </row>
    <row r="2746" ht="18" customHeight="1" s="17">
      <c r="A2746" s="48">
        <f>IF(Generation!BH59="","",Generation!BH59)</f>
        <v/>
      </c>
      <c r="B2746" s="48" t="n"/>
      <c r="C2746" s="48" t="n"/>
    </row>
    <row r="2747" ht="18" customHeight="1" s="17">
      <c r="A2747" s="48">
        <f>IF(Generation!BI59="","",Generation!BI59)</f>
        <v/>
      </c>
      <c r="B2747" s="48" t="n"/>
      <c r="C2747" s="48" t="n"/>
    </row>
    <row r="2748" ht="18" customHeight="1" s="17">
      <c r="A2748" s="48">
        <f>IF(Generation!BJ59="","",Generation!BJ59)</f>
        <v/>
      </c>
      <c r="B2748" s="48" t="n"/>
      <c r="C2748" s="48" t="n"/>
    </row>
    <row r="2749" ht="18" customHeight="1" s="17">
      <c r="A2749" s="48">
        <f>IF(Generation!$B59,"  &lt;/item&gt;","")</f>
        <v/>
      </c>
      <c r="B2749" s="48" t="n"/>
      <c r="C2749" s="48" t="n"/>
    </row>
    <row r="2750" ht="18" customHeight="1" s="17">
      <c r="A2750" s="48">
        <f>""</f>
        <v/>
      </c>
      <c r="B2750" s="48" t="n"/>
      <c r="C2750" s="48" t="n"/>
    </row>
    <row r="2751" ht="18" customHeight="1" s="17">
      <c r="A2751" s="48">
        <f>""</f>
        <v/>
      </c>
      <c r="B2751" s="48" t="n"/>
      <c r="C2751" s="48" t="n"/>
    </row>
    <row r="2752" ht="18" customHeight="1" s="17">
      <c r="A2752" s="48">
        <f>""</f>
        <v/>
      </c>
      <c r="B2752" s="48" t="n"/>
      <c r="C2752" s="48" t="n"/>
    </row>
    <row r="2753" ht="18" customHeight="1" s="17">
      <c r="A2753" s="48">
        <f>""</f>
        <v/>
      </c>
      <c r="B2753" s="48" t="n"/>
      <c r="C2753" s="48" t="n"/>
    </row>
    <row r="2754" ht="18" customHeight="1" s="17">
      <c r="A2754" s="48">
        <f>IF(Generation!$B60,"  &lt;item ident=""il_0_qst_"&amp;TEXT(Generation!$A60,"000")&amp;""" title="""&amp;Generation!$F60&amp;"""&gt;","")</f>
        <v/>
      </c>
      <c r="B2754" s="48" t="n"/>
      <c r="C2754" s="48" t="n"/>
    </row>
    <row r="2755" ht="18" customHeight="1" s="17">
      <c r="A2755" s="48">
        <f>IF(Generation!$B60,"    &lt;duration&gt;P0Y0M0DT0H1M0S&lt;/duration&gt;","")</f>
        <v/>
      </c>
      <c r="B2755" s="48" t="n"/>
      <c r="C2755" s="48" t="n"/>
    </row>
    <row r="2756" ht="18" customHeight="1" s="17">
      <c r="A2756" s="48">
        <f>IF(Generation!$B60,"    &lt;itemmetadata&gt;","")</f>
        <v/>
      </c>
      <c r="B2756" s="48" t="n"/>
      <c r="C2756" s="48" t="n"/>
    </row>
    <row r="2757" ht="18" customHeight="1" s="17">
      <c r="A2757" s="48">
        <f>IF(Generation!$B60,"      &lt;qtimetadata&gt;","")</f>
        <v/>
      </c>
      <c r="B2757" s="48" t="n"/>
      <c r="C2757" s="48" t="n"/>
    </row>
    <row r="2758" ht="18" customHeight="1" s="17">
      <c r="A2758" s="48">
        <f>IF(Generation!$B60,"        &lt;qtimetadatafield&gt;&lt;fieldlabel&gt;ILIAS_VERSION&lt;/fieldlabel&gt;&lt;fieldentry&gt;8&lt;/fieldentry&gt;&lt;/qtimetadatafield&gt;","")</f>
        <v/>
      </c>
      <c r="B2758" s="48" t="n"/>
      <c r="C2758" s="48" t="n"/>
    </row>
    <row r="2759" ht="18" customHeight="1" s="17">
      <c r="A2759" s="48">
        <f>IF(Generation!$B60,"        &lt;qtimetadatafield&gt;&lt;fieldlabel&gt;QUESTIONTYPE&lt;/fieldlabel&gt;&lt;fieldentry&gt;"&amp;Generation!$D60&amp;"&lt;/fieldentry&gt;&lt;/qtimetadatafield&gt;","")</f>
        <v/>
      </c>
      <c r="B2759" s="48" t="n"/>
      <c r="C2759" s="48" t="n"/>
    </row>
    <row r="2760" ht="18" customHeight="1" s="17">
      <c r="A2760" s="48">
        <f>IF(Generation!$B60,"        &lt;qtimetadatafield&gt;&lt;fieldlabel&gt;AUTHOR&lt;/fieldlabel&gt;&lt;fieldentry&gt;"&amp;Generation!$AR60&amp;"&lt;/fieldentry&gt;&lt;/qtimetadatafield&gt;","")</f>
        <v/>
      </c>
      <c r="B2760" s="48" t="n"/>
      <c r="C2760" s="48" t="n"/>
    </row>
    <row r="2761" ht="18" customHeight="1" s="17">
      <c r="A2761" s="48">
        <f>IF(Generation!$B60,"        &lt;qtimetadatafield&gt;&lt;fieldlabel&gt;identicalScoring&lt;/fieldlabel&gt;&lt;fieldentry&gt;1&lt;/fieldentry&gt;&lt;/qtimetadatafield&gt;","")</f>
        <v/>
      </c>
      <c r="B2761" s="48" t="n"/>
      <c r="C2761" s="48" t="n"/>
    </row>
    <row r="2762" ht="18" customHeight="1" s="17">
      <c r="A2762" s="48">
        <f>IF(Generation!$B60,"      &lt;/qtimetadata&gt;","")</f>
        <v/>
      </c>
      <c r="B2762" s="48" t="n"/>
      <c r="C2762" s="48" t="n"/>
    </row>
    <row r="2763" ht="18" customHeight="1" s="17">
      <c r="A2763" s="48">
        <f>IF(Generation!$B60,"    &lt;/itemmetadata&gt;","")</f>
        <v/>
      </c>
      <c r="B2763" s="48" t="n"/>
      <c r="C2763" s="48" t="n"/>
    </row>
    <row r="2764" ht="18" customHeight="1" s="17">
      <c r="A2764" s="48">
        <f>IF(Generation!$B60,"    &lt;presentation label="""&amp;Generation!$F60&amp;"""&gt;","")</f>
        <v/>
      </c>
      <c r="B2764" s="48" t="n"/>
      <c r="C2764" s="48" t="n"/>
    </row>
    <row r="2765" ht="18" customHeight="1" s="17">
      <c r="A2765" s="48">
        <f>IF(Generation!$B60,"      &lt;material&gt;&lt;mattext texttype=""text/html""&gt;"&amp;Generation!$G60&amp;"&lt;/mattext&gt;&lt;/material&gt;","")</f>
        <v/>
      </c>
      <c r="B2765" s="48" t="n"/>
      <c r="C2765" s="48" t="n"/>
    </row>
    <row r="2766" ht="18" customHeight="1" s="17">
      <c r="A2766" s="48">
        <f>IF(Generation!$B60,"      &lt;response_lid ident=""RESPONSE"" rcardinality="""&amp;Generation!$E60&amp;"""&gt;","")</f>
        <v/>
      </c>
      <c r="B2766" s="48" t="n"/>
      <c r="C2766" s="48" t="n"/>
    </row>
    <row r="2767" ht="18" customHeight="1" s="17">
      <c r="A2767" s="48">
        <f>IF(Generation!$B60,"        &lt;render_choice shuffle=""No""&gt;","")</f>
        <v/>
      </c>
      <c r="B2767" s="48" t="n"/>
      <c r="C2767" s="48" t="n"/>
    </row>
    <row r="2768" ht="18" customHeight="1" s="17">
      <c r="A2768" s="48">
        <f>IF(Generation!AB60="","",Generation!AB60)</f>
        <v/>
      </c>
      <c r="B2768" s="48" t="n"/>
      <c r="C2768" s="48" t="n"/>
    </row>
    <row r="2769" ht="18" customHeight="1" s="17">
      <c r="A2769" s="48">
        <f>IF(Generation!AC60="","",Generation!AC60)</f>
        <v/>
      </c>
      <c r="B2769" s="48" t="n"/>
      <c r="C2769" s="48" t="n"/>
    </row>
    <row r="2770" ht="18" customHeight="1" s="17">
      <c r="A2770" s="48">
        <f>IF(Generation!AD60="","",Generation!AD60)</f>
        <v/>
      </c>
      <c r="B2770" s="48" t="n"/>
      <c r="C2770" s="48" t="n"/>
    </row>
    <row r="2771" ht="18" customHeight="1" s="17">
      <c r="A2771" s="48">
        <f>IF(Generation!AE60="","",Generation!AE60)</f>
        <v/>
      </c>
      <c r="B2771" s="48" t="n"/>
      <c r="C2771" s="48" t="n"/>
    </row>
    <row r="2772" ht="18" customHeight="1" s="17">
      <c r="A2772" s="48">
        <f>IF(Generation!AF60="","",Generation!AF60)</f>
        <v/>
      </c>
      <c r="B2772" s="48" t="n"/>
      <c r="C2772" s="48" t="n"/>
    </row>
    <row r="2773" ht="18" customHeight="1" s="17">
      <c r="A2773" s="48">
        <f>IF(Generation!AG60="","",Generation!AG60)</f>
        <v/>
      </c>
      <c r="B2773" s="48" t="n"/>
      <c r="C2773" s="48" t="n"/>
    </row>
    <row r="2774" ht="18" customHeight="1" s="17">
      <c r="A2774" s="48">
        <f>IF(Generation!AH60="","",Generation!AH60)</f>
        <v/>
      </c>
      <c r="B2774" s="48" t="n"/>
      <c r="C2774" s="48" t="n"/>
    </row>
    <row r="2775" ht="18" customHeight="1" s="17">
      <c r="A2775" s="48">
        <f>IF(Generation!AI60="","",Generation!AI60)</f>
        <v/>
      </c>
      <c r="B2775" s="48" t="n"/>
      <c r="C2775" s="48" t="n"/>
    </row>
    <row r="2776" ht="18" customHeight="1" s="17">
      <c r="A2776" s="48">
        <f>IF(Generation!$B60,"        &lt;/render_choice&gt;","")</f>
        <v/>
      </c>
      <c r="B2776" s="48" t="n"/>
      <c r="C2776" s="48" t="n"/>
    </row>
    <row r="2777" ht="18" customHeight="1" s="17">
      <c r="A2777" s="48">
        <f>IF(Generation!$B60,"      &lt;/response_lid&gt;","")</f>
        <v/>
      </c>
      <c r="B2777" s="48" t="n"/>
      <c r="C2777" s="48" t="n"/>
    </row>
    <row r="2778" ht="18" customHeight="1" s="17">
      <c r="A2778" s="48">
        <f>IF(Generation!$B60,"    &lt;/presentation&gt;","")</f>
        <v/>
      </c>
      <c r="B2778" s="48" t="n"/>
      <c r="C2778" s="48" t="n"/>
    </row>
    <row r="2779" ht="18" customHeight="1" s="17">
      <c r="A2779" s="48">
        <f>IF(Generation!$B60,"    &lt;resprocessing&gt;","")</f>
        <v/>
      </c>
      <c r="B2779" s="48" t="n"/>
      <c r="C2779" s="48" t="n"/>
    </row>
    <row r="2780" ht="18" customHeight="1" s="17">
      <c r="A2780" s="48">
        <f>IF(Generation!$B60,"      &lt;outcomes&gt;&lt;decvar varname=""SCORE"" vartype=""Decimal"" minvalue=""0"" maxvalue="""&amp;Generation!$H60&amp;"""/&gt;&lt;/outcomes&gt;","")</f>
        <v/>
      </c>
      <c r="B2780" s="48" t="n"/>
      <c r="C2780" s="48" t="n"/>
    </row>
    <row r="2781" ht="18" customHeight="1" s="17">
      <c r="A2781" s="48">
        <f>IF(Generation!AJ60="","",Generation!AJ60)</f>
        <v/>
      </c>
      <c r="B2781" s="48" t="n"/>
      <c r="C2781" s="48" t="n"/>
    </row>
    <row r="2782" ht="18" customHeight="1" s="17">
      <c r="A2782" s="48">
        <f>IF(Generation!AK60="","",Generation!AK60)</f>
        <v/>
      </c>
      <c r="B2782" s="48" t="n"/>
      <c r="C2782" s="48" t="n"/>
    </row>
    <row r="2783" ht="18" customHeight="1" s="17">
      <c r="A2783" s="48">
        <f>IF(Generation!AL60="","",Generation!AL60)</f>
        <v/>
      </c>
      <c r="B2783" s="48" t="n"/>
      <c r="C2783" s="48" t="n"/>
    </row>
    <row r="2784" ht="18" customHeight="1" s="17">
      <c r="A2784" s="48">
        <f>IF(Generation!AM60="","",Generation!AM60)</f>
        <v/>
      </c>
      <c r="B2784" s="48" t="n"/>
      <c r="C2784" s="48" t="n"/>
    </row>
    <row r="2785" ht="18" customHeight="1" s="17">
      <c r="A2785" s="48">
        <f>IF(Generation!AN60="","",Generation!AN60)</f>
        <v/>
      </c>
      <c r="B2785" s="48" t="n"/>
      <c r="C2785" s="48" t="n"/>
    </row>
    <row r="2786" ht="18" customHeight="1" s="17">
      <c r="A2786" s="48">
        <f>IF(Generation!AO60="","",Generation!AO60)</f>
        <v/>
      </c>
      <c r="B2786" s="48" t="n"/>
      <c r="C2786" s="48" t="n"/>
    </row>
    <row r="2787" ht="18" customHeight="1" s="17">
      <c r="A2787" s="48">
        <f>IF(Generation!AP60="","",Generation!AP60)</f>
        <v/>
      </c>
      <c r="B2787" s="48" t="n"/>
      <c r="C2787" s="48" t="n"/>
    </row>
    <row r="2788" ht="18" customHeight="1" s="17">
      <c r="A2788" s="48">
        <f>IF(Generation!AQ60="","",Generation!AQ60)</f>
        <v/>
      </c>
      <c r="B2788" s="48" t="n"/>
      <c r="C2788" s="48" t="n"/>
    </row>
    <row r="2789" ht="18" customHeight="1" s="17">
      <c r="A2789" s="48">
        <f>IF(Generation!$B60,"    &lt;/resprocessing&gt;","")</f>
        <v/>
      </c>
      <c r="B2789" s="48" t="n"/>
      <c r="C2789" s="48" t="n"/>
    </row>
    <row r="2790" ht="18" customHeight="1" s="17">
      <c r="A2790" s="48">
        <f>IF(Generation!BB60="","",Generation!BB60)</f>
        <v/>
      </c>
      <c r="B2790" s="48" t="n"/>
      <c r="C2790" s="48" t="n"/>
    </row>
    <row r="2791" ht="18" customHeight="1" s="17">
      <c r="A2791" s="48">
        <f>IF(Generation!BC60="","",Generation!BC60)</f>
        <v/>
      </c>
      <c r="B2791" s="48" t="n"/>
      <c r="C2791" s="48" t="n"/>
    </row>
    <row r="2792" ht="18" customHeight="1" s="17">
      <c r="A2792" s="48">
        <f>IF(Generation!BD60="","",Generation!BD60)</f>
        <v/>
      </c>
      <c r="B2792" s="48" t="n"/>
      <c r="C2792" s="48" t="n"/>
    </row>
    <row r="2793" ht="18" customHeight="1" s="17">
      <c r="A2793" s="48">
        <f>IF(Generation!BE60="","",Generation!BE60)</f>
        <v/>
      </c>
      <c r="B2793" s="48" t="n"/>
      <c r="C2793" s="48" t="n"/>
    </row>
    <row r="2794" ht="18" customHeight="1" s="17">
      <c r="A2794" s="48">
        <f>IF(Generation!BF60="","",Generation!BF60)</f>
        <v/>
      </c>
      <c r="B2794" s="48" t="n"/>
      <c r="C2794" s="48" t="n"/>
    </row>
    <row r="2795" ht="18" customHeight="1" s="17">
      <c r="A2795" s="48">
        <f>IF(Generation!BG60="","",Generation!BG60)</f>
        <v/>
      </c>
      <c r="B2795" s="48" t="n"/>
      <c r="C2795" s="48" t="n"/>
    </row>
    <row r="2796" ht="18" customHeight="1" s="17">
      <c r="A2796" s="48">
        <f>IF(Generation!BH60="","",Generation!BH60)</f>
        <v/>
      </c>
      <c r="B2796" s="48" t="n"/>
      <c r="C2796" s="48" t="n"/>
    </row>
    <row r="2797" ht="18" customHeight="1" s="17">
      <c r="A2797" s="48">
        <f>IF(Generation!BI60="","",Generation!BI60)</f>
        <v/>
      </c>
      <c r="B2797" s="48" t="n"/>
      <c r="C2797" s="48" t="n"/>
    </row>
    <row r="2798" ht="18" customHeight="1" s="17">
      <c r="A2798" s="48">
        <f>IF(Generation!BJ60="","",Generation!BJ60)</f>
        <v/>
      </c>
      <c r="B2798" s="48" t="n"/>
      <c r="C2798" s="48" t="n"/>
    </row>
    <row r="2799" ht="18" customHeight="1" s="17">
      <c r="A2799" s="48">
        <f>IF(Generation!$B60,"  &lt;/item&gt;","")</f>
        <v/>
      </c>
      <c r="B2799" s="48" t="n"/>
      <c r="C2799" s="48" t="n"/>
    </row>
    <row r="2800" ht="18" customHeight="1" s="17">
      <c r="A2800" s="48">
        <f>""</f>
        <v/>
      </c>
      <c r="B2800" s="48" t="n"/>
      <c r="C2800" s="48" t="n"/>
    </row>
    <row r="2801" ht="18" customHeight="1" s="17">
      <c r="A2801" s="48">
        <f>""</f>
        <v/>
      </c>
      <c r="B2801" s="48" t="n"/>
      <c r="C2801" s="48" t="n"/>
    </row>
    <row r="2802" ht="18" customHeight="1" s="17">
      <c r="A2802" s="48">
        <f>""</f>
        <v/>
      </c>
      <c r="B2802" s="48" t="n"/>
      <c r="C2802" s="48" t="n"/>
    </row>
    <row r="2803" ht="18" customHeight="1" s="17">
      <c r="A2803" s="48">
        <f>""</f>
        <v/>
      </c>
      <c r="B2803" s="48" t="n"/>
      <c r="C2803" s="48" t="n"/>
    </row>
    <row r="2804" ht="18" customHeight="1" s="17">
      <c r="A2804" s="48">
        <f>IF(Generation!$B61,"  &lt;item ident=""il_0_qst_"&amp;TEXT(Generation!$A61,"000")&amp;""" title="""&amp;Generation!$F61&amp;"""&gt;","")</f>
        <v/>
      </c>
      <c r="B2804" s="48" t="n"/>
      <c r="C2804" s="48" t="n"/>
    </row>
    <row r="2805" ht="18" customHeight="1" s="17">
      <c r="A2805" s="48">
        <f>IF(Generation!$B61,"    &lt;duration&gt;P0Y0M0DT0H1M0S&lt;/duration&gt;","")</f>
        <v/>
      </c>
      <c r="B2805" s="48" t="n"/>
      <c r="C2805" s="48" t="n"/>
    </row>
    <row r="2806" ht="18" customHeight="1" s="17">
      <c r="A2806" s="48">
        <f>IF(Generation!$B61,"    &lt;itemmetadata&gt;","")</f>
        <v/>
      </c>
      <c r="B2806" s="48" t="n"/>
      <c r="C2806" s="48" t="n"/>
    </row>
    <row r="2807" ht="18" customHeight="1" s="17">
      <c r="A2807" s="48">
        <f>IF(Generation!$B61,"      &lt;qtimetadata&gt;","")</f>
        <v/>
      </c>
      <c r="B2807" s="48" t="n"/>
      <c r="C2807" s="48" t="n"/>
    </row>
    <row r="2808" ht="18" customHeight="1" s="17">
      <c r="A2808" s="48">
        <f>IF(Generation!$B61,"        &lt;qtimetadatafield&gt;&lt;fieldlabel&gt;ILIAS_VERSION&lt;/fieldlabel&gt;&lt;fieldentry&gt;8&lt;/fieldentry&gt;&lt;/qtimetadatafield&gt;","")</f>
        <v/>
      </c>
      <c r="B2808" s="48" t="n"/>
      <c r="C2808" s="48" t="n"/>
    </row>
    <row r="2809" ht="18" customHeight="1" s="17">
      <c r="A2809" s="48">
        <f>IF(Generation!$B61,"        &lt;qtimetadatafield&gt;&lt;fieldlabel&gt;QUESTIONTYPE&lt;/fieldlabel&gt;&lt;fieldentry&gt;"&amp;Generation!$D61&amp;"&lt;/fieldentry&gt;&lt;/qtimetadatafield&gt;","")</f>
        <v/>
      </c>
      <c r="B2809" s="48" t="n"/>
      <c r="C2809" s="48" t="n"/>
    </row>
    <row r="2810" ht="18" customHeight="1" s="17">
      <c r="A2810" s="48">
        <f>IF(Generation!$B61,"        &lt;qtimetadatafield&gt;&lt;fieldlabel&gt;AUTHOR&lt;/fieldlabel&gt;&lt;fieldentry&gt;"&amp;Generation!$AR61&amp;"&lt;/fieldentry&gt;&lt;/qtimetadatafield&gt;","")</f>
        <v/>
      </c>
      <c r="B2810" s="48" t="n"/>
      <c r="C2810" s="48" t="n"/>
    </row>
    <row r="2811" ht="18" customHeight="1" s="17">
      <c r="A2811" s="48">
        <f>IF(Generation!$B61,"        &lt;qtimetadatafield&gt;&lt;fieldlabel&gt;identicalScoring&lt;/fieldlabel&gt;&lt;fieldentry&gt;1&lt;/fieldentry&gt;&lt;/qtimetadatafield&gt;","")</f>
        <v/>
      </c>
      <c r="B2811" s="48" t="n"/>
      <c r="C2811" s="48" t="n"/>
    </row>
    <row r="2812" ht="18" customHeight="1" s="17">
      <c r="A2812" s="48">
        <f>IF(Generation!$B61,"      &lt;/qtimetadata&gt;","")</f>
        <v/>
      </c>
      <c r="B2812" s="48" t="n"/>
      <c r="C2812" s="48" t="n"/>
    </row>
    <row r="2813" ht="18" customHeight="1" s="17">
      <c r="A2813" s="48">
        <f>IF(Generation!$B61,"    &lt;/itemmetadata&gt;","")</f>
        <v/>
      </c>
      <c r="B2813" s="48" t="n"/>
      <c r="C2813" s="48" t="n"/>
    </row>
    <row r="2814" ht="18" customHeight="1" s="17">
      <c r="A2814" s="48">
        <f>IF(Generation!$B61,"    &lt;presentation label="""&amp;Generation!$F61&amp;"""&gt;","")</f>
        <v/>
      </c>
      <c r="B2814" s="48" t="n"/>
      <c r="C2814" s="48" t="n"/>
    </row>
    <row r="2815" ht="18" customHeight="1" s="17">
      <c r="A2815" s="48">
        <f>IF(Generation!$B61,"      &lt;material&gt;&lt;mattext texttype=""text/html""&gt;"&amp;Generation!$G61&amp;"&lt;/mattext&gt;&lt;/material&gt;","")</f>
        <v/>
      </c>
      <c r="B2815" s="48" t="n"/>
      <c r="C2815" s="48" t="n"/>
    </row>
    <row r="2816" ht="18" customHeight="1" s="17">
      <c r="A2816" s="48">
        <f>IF(Generation!$B61,"      &lt;response_lid ident=""RESPONSE"" rcardinality="""&amp;Generation!$E61&amp;"""&gt;","")</f>
        <v/>
      </c>
      <c r="B2816" s="48" t="n"/>
      <c r="C2816" s="48" t="n"/>
    </row>
    <row r="2817" ht="18" customHeight="1" s="17">
      <c r="A2817" s="48">
        <f>IF(Generation!$B61,"        &lt;render_choice shuffle=""No""&gt;","")</f>
        <v/>
      </c>
      <c r="B2817" s="48" t="n"/>
      <c r="C2817" s="48" t="n"/>
    </row>
    <row r="2818" ht="18" customHeight="1" s="17">
      <c r="A2818" s="48">
        <f>IF(Generation!AB61="","",Generation!AB61)</f>
        <v/>
      </c>
      <c r="B2818" s="48" t="n"/>
      <c r="C2818" s="48" t="n"/>
    </row>
    <row r="2819" ht="18" customHeight="1" s="17">
      <c r="A2819" s="48">
        <f>IF(Generation!AC61="","",Generation!AC61)</f>
        <v/>
      </c>
      <c r="B2819" s="48" t="n"/>
      <c r="C2819" s="48" t="n"/>
    </row>
    <row r="2820" ht="18" customHeight="1" s="17">
      <c r="A2820" s="48">
        <f>IF(Generation!AD61="","",Generation!AD61)</f>
        <v/>
      </c>
      <c r="B2820" s="48" t="n"/>
      <c r="C2820" s="48" t="n"/>
    </row>
    <row r="2821" ht="18" customHeight="1" s="17">
      <c r="A2821" s="48">
        <f>IF(Generation!AE61="","",Generation!AE61)</f>
        <v/>
      </c>
      <c r="B2821" s="48" t="n"/>
      <c r="C2821" s="48" t="n"/>
    </row>
    <row r="2822" ht="18" customHeight="1" s="17">
      <c r="A2822" s="48">
        <f>IF(Generation!AF61="","",Generation!AF61)</f>
        <v/>
      </c>
      <c r="B2822" s="48" t="n"/>
      <c r="C2822" s="48" t="n"/>
    </row>
    <row r="2823" ht="18" customHeight="1" s="17">
      <c r="A2823" s="48">
        <f>IF(Generation!AG61="","",Generation!AG61)</f>
        <v/>
      </c>
      <c r="B2823" s="48" t="n"/>
      <c r="C2823" s="48" t="n"/>
    </row>
    <row r="2824" ht="18" customHeight="1" s="17">
      <c r="A2824" s="48">
        <f>IF(Generation!AH61="","",Generation!AH61)</f>
        <v/>
      </c>
      <c r="B2824" s="48" t="n"/>
      <c r="C2824" s="48" t="n"/>
    </row>
    <row r="2825" ht="18" customHeight="1" s="17">
      <c r="A2825" s="48">
        <f>IF(Generation!AI61="","",Generation!AI61)</f>
        <v/>
      </c>
      <c r="B2825" s="48" t="n"/>
      <c r="C2825" s="48" t="n"/>
    </row>
    <row r="2826" ht="18" customHeight="1" s="17">
      <c r="A2826" s="48">
        <f>IF(Generation!$B61,"        &lt;/render_choice&gt;","")</f>
        <v/>
      </c>
      <c r="B2826" s="48" t="n"/>
      <c r="C2826" s="48" t="n"/>
    </row>
    <row r="2827" ht="18" customHeight="1" s="17">
      <c r="A2827" s="48">
        <f>IF(Generation!$B61,"      &lt;/response_lid&gt;","")</f>
        <v/>
      </c>
      <c r="B2827" s="48" t="n"/>
      <c r="C2827" s="48" t="n"/>
    </row>
    <row r="2828" ht="18" customHeight="1" s="17">
      <c r="A2828" s="48">
        <f>IF(Generation!$B61,"    &lt;/presentation&gt;","")</f>
        <v/>
      </c>
      <c r="B2828" s="48" t="n"/>
      <c r="C2828" s="48" t="n"/>
    </row>
    <row r="2829" ht="18" customHeight="1" s="17">
      <c r="A2829" s="48">
        <f>IF(Generation!$B61,"    &lt;resprocessing&gt;","")</f>
        <v/>
      </c>
      <c r="B2829" s="48" t="n"/>
      <c r="C2829" s="48" t="n"/>
    </row>
    <row r="2830" ht="18" customHeight="1" s="17">
      <c r="A2830" s="48">
        <f>IF(Generation!$B61,"      &lt;outcomes&gt;&lt;decvar varname=""SCORE"" vartype=""Decimal"" minvalue=""0"" maxvalue="""&amp;Generation!$H61&amp;"""/&gt;&lt;/outcomes&gt;","")</f>
        <v/>
      </c>
      <c r="B2830" s="48" t="n"/>
      <c r="C2830" s="48" t="n"/>
    </row>
    <row r="2831" ht="18" customHeight="1" s="17">
      <c r="A2831" s="48">
        <f>IF(Generation!AJ61="","",Generation!AJ61)</f>
        <v/>
      </c>
      <c r="B2831" s="48" t="n"/>
      <c r="C2831" s="48" t="n"/>
    </row>
    <row r="2832" ht="18" customHeight="1" s="17">
      <c r="A2832" s="48">
        <f>IF(Generation!AK61="","",Generation!AK61)</f>
        <v/>
      </c>
      <c r="B2832" s="48" t="n"/>
      <c r="C2832" s="48" t="n"/>
    </row>
    <row r="2833" ht="18" customHeight="1" s="17">
      <c r="A2833" s="48">
        <f>IF(Generation!AL61="","",Generation!AL61)</f>
        <v/>
      </c>
      <c r="B2833" s="48" t="n"/>
      <c r="C2833" s="48" t="n"/>
    </row>
    <row r="2834" ht="18" customHeight="1" s="17">
      <c r="A2834" s="48">
        <f>IF(Generation!AM61="","",Generation!AM61)</f>
        <v/>
      </c>
      <c r="B2834" s="48" t="n"/>
      <c r="C2834" s="48" t="n"/>
    </row>
    <row r="2835" ht="18" customHeight="1" s="17">
      <c r="A2835" s="48">
        <f>IF(Generation!AN61="","",Generation!AN61)</f>
        <v/>
      </c>
      <c r="B2835" s="48" t="n"/>
      <c r="C2835" s="48" t="n"/>
    </row>
    <row r="2836" ht="18" customHeight="1" s="17">
      <c r="A2836" s="48">
        <f>IF(Generation!AO61="","",Generation!AO61)</f>
        <v/>
      </c>
      <c r="B2836" s="48" t="n"/>
      <c r="C2836" s="48" t="n"/>
    </row>
    <row r="2837" ht="18" customHeight="1" s="17">
      <c r="A2837" s="48">
        <f>IF(Generation!AP61="","",Generation!AP61)</f>
        <v/>
      </c>
      <c r="B2837" s="48" t="n"/>
      <c r="C2837" s="48" t="n"/>
    </row>
    <row r="2838" ht="18" customHeight="1" s="17">
      <c r="A2838" s="48">
        <f>IF(Generation!AQ61="","",Generation!AQ61)</f>
        <v/>
      </c>
      <c r="B2838" s="48" t="n"/>
      <c r="C2838" s="48" t="n"/>
    </row>
    <row r="2839" ht="18" customHeight="1" s="17">
      <c r="A2839" s="48">
        <f>IF(Generation!$B61,"    &lt;/resprocessing&gt;","")</f>
        <v/>
      </c>
      <c r="B2839" s="48" t="n"/>
      <c r="C2839" s="48" t="n"/>
    </row>
    <row r="2840" ht="18" customHeight="1" s="17">
      <c r="A2840" s="48">
        <f>IF(Generation!BB61="","",Generation!BB61)</f>
        <v/>
      </c>
      <c r="B2840" s="48" t="n"/>
      <c r="C2840" s="48" t="n"/>
    </row>
    <row r="2841" ht="18" customHeight="1" s="17">
      <c r="A2841" s="48">
        <f>IF(Generation!BC61="","",Generation!BC61)</f>
        <v/>
      </c>
      <c r="B2841" s="48" t="n"/>
      <c r="C2841" s="48" t="n"/>
    </row>
    <row r="2842" ht="18" customHeight="1" s="17">
      <c r="A2842" s="48">
        <f>IF(Generation!BD61="","",Generation!BD61)</f>
        <v/>
      </c>
      <c r="B2842" s="48" t="n"/>
      <c r="C2842" s="48" t="n"/>
    </row>
    <row r="2843" ht="18" customHeight="1" s="17">
      <c r="A2843" s="48">
        <f>IF(Generation!BE61="","",Generation!BE61)</f>
        <v/>
      </c>
      <c r="B2843" s="48" t="n"/>
      <c r="C2843" s="48" t="n"/>
    </row>
    <row r="2844" ht="18" customHeight="1" s="17">
      <c r="A2844" s="48">
        <f>IF(Generation!BF61="","",Generation!BF61)</f>
        <v/>
      </c>
      <c r="B2844" s="48" t="n"/>
      <c r="C2844" s="48" t="n"/>
    </row>
    <row r="2845" ht="18" customHeight="1" s="17">
      <c r="A2845" s="48">
        <f>IF(Generation!BG61="","",Generation!BG61)</f>
        <v/>
      </c>
      <c r="B2845" s="48" t="n"/>
      <c r="C2845" s="48" t="n"/>
    </row>
    <row r="2846" ht="18" customHeight="1" s="17">
      <c r="A2846" s="48">
        <f>IF(Generation!BH61="","",Generation!BH61)</f>
        <v/>
      </c>
      <c r="B2846" s="48" t="n"/>
      <c r="C2846" s="48" t="n"/>
    </row>
    <row r="2847" ht="18" customHeight="1" s="17">
      <c r="A2847" s="48">
        <f>IF(Generation!BI61="","",Generation!BI61)</f>
        <v/>
      </c>
      <c r="B2847" s="48" t="n"/>
      <c r="C2847" s="48" t="n"/>
    </row>
    <row r="2848" ht="18" customHeight="1" s="17">
      <c r="A2848" s="48">
        <f>IF(Generation!BJ61="","",Generation!BJ61)</f>
        <v/>
      </c>
      <c r="B2848" s="48" t="n"/>
      <c r="C2848" s="48" t="n"/>
    </row>
    <row r="2849" ht="18" customHeight="1" s="17">
      <c r="A2849" s="48">
        <f>IF(Generation!$B61,"  &lt;/item&gt;","")</f>
        <v/>
      </c>
      <c r="B2849" s="48" t="n"/>
      <c r="C2849" s="48" t="n"/>
    </row>
    <row r="2850" ht="18" customHeight="1" s="17">
      <c r="A2850" s="48">
        <f>""</f>
        <v/>
      </c>
      <c r="B2850" s="48" t="n"/>
      <c r="C2850" s="48" t="n"/>
    </row>
    <row r="2851" ht="18" customHeight="1" s="17">
      <c r="A2851" s="48">
        <f>""</f>
        <v/>
      </c>
      <c r="B2851" s="48" t="n"/>
      <c r="C2851" s="48" t="n"/>
    </row>
    <row r="2852" ht="18" customHeight="1" s="17">
      <c r="A2852" s="48">
        <f>""</f>
        <v/>
      </c>
      <c r="B2852" s="48" t="n"/>
      <c r="C2852" s="48" t="n"/>
    </row>
    <row r="2853" ht="18" customHeight="1" s="17">
      <c r="A2853" s="48">
        <f>""</f>
        <v/>
      </c>
      <c r="B2853" s="48" t="n"/>
      <c r="C2853" s="48" t="n"/>
    </row>
    <row r="2854" ht="18" customHeight="1" s="17">
      <c r="A2854" s="48">
        <f>IF(Generation!$B62,"  &lt;item ident=""il_0_qst_"&amp;TEXT(Generation!$A62,"000")&amp;""" title="""&amp;Generation!$F62&amp;"""&gt;","")</f>
        <v/>
      </c>
      <c r="B2854" s="48" t="n"/>
      <c r="C2854" s="48" t="n"/>
    </row>
    <row r="2855" ht="18" customHeight="1" s="17">
      <c r="A2855" s="48">
        <f>IF(Generation!$B62,"    &lt;duration&gt;P0Y0M0DT0H1M0S&lt;/duration&gt;","")</f>
        <v/>
      </c>
      <c r="B2855" s="48" t="n"/>
      <c r="C2855" s="48" t="n"/>
    </row>
    <row r="2856" ht="18" customHeight="1" s="17">
      <c r="A2856" s="48">
        <f>IF(Generation!$B62,"    &lt;itemmetadata&gt;","")</f>
        <v/>
      </c>
      <c r="B2856" s="48" t="n"/>
      <c r="C2856" s="48" t="n"/>
    </row>
    <row r="2857" ht="18" customHeight="1" s="17">
      <c r="A2857" s="48">
        <f>IF(Generation!$B62,"      &lt;qtimetadata&gt;","")</f>
        <v/>
      </c>
      <c r="B2857" s="48" t="n"/>
      <c r="C2857" s="48" t="n"/>
    </row>
    <row r="2858" ht="18" customHeight="1" s="17">
      <c r="A2858" s="48">
        <f>IF(Generation!$B62,"        &lt;qtimetadatafield&gt;&lt;fieldlabel&gt;ILIAS_VERSION&lt;/fieldlabel&gt;&lt;fieldentry&gt;8&lt;/fieldentry&gt;&lt;/qtimetadatafield&gt;","")</f>
        <v/>
      </c>
      <c r="B2858" s="48" t="n"/>
      <c r="C2858" s="48" t="n"/>
    </row>
    <row r="2859" ht="18" customHeight="1" s="17">
      <c r="A2859" s="48">
        <f>IF(Generation!$B62,"        &lt;qtimetadatafield&gt;&lt;fieldlabel&gt;QUESTIONTYPE&lt;/fieldlabel&gt;&lt;fieldentry&gt;"&amp;Generation!$D62&amp;"&lt;/fieldentry&gt;&lt;/qtimetadatafield&gt;","")</f>
        <v/>
      </c>
      <c r="B2859" s="48" t="n"/>
      <c r="C2859" s="48" t="n"/>
    </row>
    <row r="2860" ht="18" customHeight="1" s="17">
      <c r="A2860" s="48">
        <f>IF(Generation!$B62,"        &lt;qtimetadatafield&gt;&lt;fieldlabel&gt;AUTHOR&lt;/fieldlabel&gt;&lt;fieldentry&gt;"&amp;Generation!$AR62&amp;"&lt;/fieldentry&gt;&lt;/qtimetadatafield&gt;","")</f>
        <v/>
      </c>
      <c r="B2860" s="48" t="n"/>
      <c r="C2860" s="48" t="n"/>
    </row>
    <row r="2861" ht="18" customHeight="1" s="17">
      <c r="A2861" s="48">
        <f>IF(Generation!$B62,"        &lt;qtimetadatafield&gt;&lt;fieldlabel&gt;identicalScoring&lt;/fieldlabel&gt;&lt;fieldentry&gt;1&lt;/fieldentry&gt;&lt;/qtimetadatafield&gt;","")</f>
        <v/>
      </c>
      <c r="B2861" s="48" t="n"/>
      <c r="C2861" s="48" t="n"/>
    </row>
    <row r="2862" ht="18" customHeight="1" s="17">
      <c r="A2862" s="48">
        <f>IF(Generation!$B62,"      &lt;/qtimetadata&gt;","")</f>
        <v/>
      </c>
      <c r="B2862" s="48" t="n"/>
      <c r="C2862" s="48" t="n"/>
    </row>
    <row r="2863" ht="18" customHeight="1" s="17">
      <c r="A2863" s="48">
        <f>IF(Generation!$B62,"    &lt;/itemmetadata&gt;","")</f>
        <v/>
      </c>
      <c r="B2863" s="48" t="n"/>
      <c r="C2863" s="48" t="n"/>
    </row>
    <row r="2864" ht="18" customHeight="1" s="17">
      <c r="A2864" s="48">
        <f>IF(Generation!$B62,"    &lt;presentation label="""&amp;Generation!$F62&amp;"""&gt;","")</f>
        <v/>
      </c>
      <c r="B2864" s="48" t="n"/>
      <c r="C2864" s="48" t="n"/>
    </row>
    <row r="2865" ht="18" customHeight="1" s="17">
      <c r="A2865" s="48">
        <f>IF(Generation!$B62,"      &lt;material&gt;&lt;mattext texttype=""text/html""&gt;"&amp;Generation!$G62&amp;"&lt;/mattext&gt;&lt;/material&gt;","")</f>
        <v/>
      </c>
      <c r="B2865" s="48" t="n"/>
      <c r="C2865" s="48" t="n"/>
    </row>
    <row r="2866" ht="18" customHeight="1" s="17">
      <c r="A2866" s="48">
        <f>IF(Generation!$B62,"      &lt;response_lid ident=""RESPONSE"" rcardinality="""&amp;Generation!$E62&amp;"""&gt;","")</f>
        <v/>
      </c>
      <c r="B2866" s="48" t="n"/>
      <c r="C2866" s="48" t="n"/>
    </row>
    <row r="2867" ht="18" customHeight="1" s="17">
      <c r="A2867" s="48">
        <f>IF(Generation!$B62,"        &lt;render_choice shuffle=""No""&gt;","")</f>
        <v/>
      </c>
      <c r="B2867" s="48" t="n"/>
      <c r="C2867" s="48" t="n"/>
    </row>
    <row r="2868" ht="18" customHeight="1" s="17">
      <c r="A2868" s="48">
        <f>IF(Generation!AB62="","",Generation!AB62)</f>
        <v/>
      </c>
      <c r="B2868" s="48" t="n"/>
      <c r="C2868" s="48" t="n"/>
    </row>
    <row r="2869" ht="18" customHeight="1" s="17">
      <c r="A2869" s="48">
        <f>IF(Generation!AC62="","",Generation!AC62)</f>
        <v/>
      </c>
      <c r="B2869" s="48" t="n"/>
      <c r="C2869" s="48" t="n"/>
    </row>
    <row r="2870" ht="18" customHeight="1" s="17">
      <c r="A2870" s="48">
        <f>IF(Generation!AD62="","",Generation!AD62)</f>
        <v/>
      </c>
      <c r="B2870" s="48" t="n"/>
      <c r="C2870" s="48" t="n"/>
    </row>
    <row r="2871" ht="18" customHeight="1" s="17">
      <c r="A2871" s="48">
        <f>IF(Generation!AE62="","",Generation!AE62)</f>
        <v/>
      </c>
      <c r="B2871" s="48" t="n"/>
      <c r="C2871" s="48" t="n"/>
    </row>
    <row r="2872" ht="18" customHeight="1" s="17">
      <c r="A2872" s="48">
        <f>IF(Generation!AF62="","",Generation!AF62)</f>
        <v/>
      </c>
      <c r="B2872" s="48" t="n"/>
      <c r="C2872" s="48" t="n"/>
    </row>
    <row r="2873" ht="18" customHeight="1" s="17">
      <c r="A2873" s="48">
        <f>IF(Generation!AG62="","",Generation!AG62)</f>
        <v/>
      </c>
      <c r="B2873" s="48" t="n"/>
      <c r="C2873" s="48" t="n"/>
    </row>
    <row r="2874" ht="18" customHeight="1" s="17">
      <c r="A2874" s="48">
        <f>IF(Generation!AH62="","",Generation!AH62)</f>
        <v/>
      </c>
      <c r="B2874" s="48" t="n"/>
      <c r="C2874" s="48" t="n"/>
    </row>
    <row r="2875" ht="18" customHeight="1" s="17">
      <c r="A2875" s="48">
        <f>IF(Generation!AI62="","",Generation!AI62)</f>
        <v/>
      </c>
      <c r="B2875" s="48" t="n"/>
      <c r="C2875" s="48" t="n"/>
    </row>
    <row r="2876" ht="18" customHeight="1" s="17">
      <c r="A2876" s="48">
        <f>IF(Generation!$B62,"        &lt;/render_choice&gt;","")</f>
        <v/>
      </c>
      <c r="B2876" s="48" t="n"/>
      <c r="C2876" s="48" t="n"/>
    </row>
    <row r="2877" ht="18" customHeight="1" s="17">
      <c r="A2877" s="48">
        <f>IF(Generation!$B62,"      &lt;/response_lid&gt;","")</f>
        <v/>
      </c>
      <c r="B2877" s="48" t="n"/>
      <c r="C2877" s="48" t="n"/>
    </row>
    <row r="2878" ht="18" customHeight="1" s="17">
      <c r="A2878" s="48">
        <f>IF(Generation!$B62,"    &lt;/presentation&gt;","")</f>
        <v/>
      </c>
      <c r="B2878" s="48" t="n"/>
      <c r="C2878" s="48" t="n"/>
    </row>
    <row r="2879" ht="18" customHeight="1" s="17">
      <c r="A2879" s="48">
        <f>IF(Generation!$B62,"    &lt;resprocessing&gt;","")</f>
        <v/>
      </c>
      <c r="B2879" s="48" t="n"/>
      <c r="C2879" s="48" t="n"/>
    </row>
    <row r="2880" ht="18" customHeight="1" s="17">
      <c r="A2880" s="48">
        <f>IF(Generation!$B62,"      &lt;outcomes&gt;&lt;decvar varname=""SCORE"" vartype=""Decimal"" minvalue=""0"" maxvalue="""&amp;Generation!$H62&amp;"""/&gt;&lt;/outcomes&gt;","")</f>
        <v/>
      </c>
      <c r="B2880" s="48" t="n"/>
      <c r="C2880" s="48" t="n"/>
    </row>
    <row r="2881" ht="18" customHeight="1" s="17">
      <c r="A2881" s="48">
        <f>IF(Generation!AJ62="","",Generation!AJ62)</f>
        <v/>
      </c>
      <c r="B2881" s="48" t="n"/>
      <c r="C2881" s="48" t="n"/>
    </row>
    <row r="2882" ht="18" customHeight="1" s="17">
      <c r="A2882" s="48">
        <f>IF(Generation!AK62="","",Generation!AK62)</f>
        <v/>
      </c>
      <c r="B2882" s="48" t="n"/>
      <c r="C2882" s="48" t="n"/>
    </row>
    <row r="2883" ht="18" customHeight="1" s="17">
      <c r="A2883" s="48">
        <f>IF(Generation!AL62="","",Generation!AL62)</f>
        <v/>
      </c>
      <c r="B2883" s="48" t="n"/>
      <c r="C2883" s="48" t="n"/>
    </row>
    <row r="2884" ht="18" customHeight="1" s="17">
      <c r="A2884" s="48">
        <f>IF(Generation!AM62="","",Generation!AM62)</f>
        <v/>
      </c>
      <c r="B2884" s="48" t="n"/>
      <c r="C2884" s="48" t="n"/>
    </row>
    <row r="2885" ht="18" customHeight="1" s="17">
      <c r="A2885" s="48">
        <f>IF(Generation!AN62="","",Generation!AN62)</f>
        <v/>
      </c>
      <c r="B2885" s="48" t="n"/>
      <c r="C2885" s="48" t="n"/>
    </row>
    <row r="2886" ht="18" customHeight="1" s="17">
      <c r="A2886" s="48">
        <f>IF(Generation!AO62="","",Generation!AO62)</f>
        <v/>
      </c>
      <c r="B2886" s="48" t="n"/>
      <c r="C2886" s="48" t="n"/>
    </row>
    <row r="2887" ht="18" customHeight="1" s="17">
      <c r="A2887" s="48">
        <f>IF(Generation!AP62="","",Generation!AP62)</f>
        <v/>
      </c>
      <c r="B2887" s="48" t="n"/>
      <c r="C2887" s="48" t="n"/>
    </row>
    <row r="2888" ht="18" customHeight="1" s="17">
      <c r="A2888" s="48">
        <f>IF(Generation!AQ62="","",Generation!AQ62)</f>
        <v/>
      </c>
      <c r="B2888" s="48" t="n"/>
      <c r="C2888" s="48" t="n"/>
    </row>
    <row r="2889" ht="18" customHeight="1" s="17">
      <c r="A2889" s="48">
        <f>IF(Generation!$B62,"    &lt;/resprocessing&gt;","")</f>
        <v/>
      </c>
      <c r="B2889" s="48" t="n"/>
      <c r="C2889" s="48" t="n"/>
    </row>
    <row r="2890" ht="18" customHeight="1" s="17">
      <c r="A2890" s="48">
        <f>IF(Generation!BB62="","",Generation!BB62)</f>
        <v/>
      </c>
      <c r="B2890" s="48" t="n"/>
      <c r="C2890" s="48" t="n"/>
    </row>
    <row r="2891" ht="18" customHeight="1" s="17">
      <c r="A2891" s="48">
        <f>IF(Generation!BC62="","",Generation!BC62)</f>
        <v/>
      </c>
      <c r="B2891" s="48" t="n"/>
      <c r="C2891" s="48" t="n"/>
    </row>
    <row r="2892" ht="18" customHeight="1" s="17">
      <c r="A2892" s="48">
        <f>IF(Generation!BD62="","",Generation!BD62)</f>
        <v/>
      </c>
      <c r="B2892" s="48" t="n"/>
      <c r="C2892" s="48" t="n"/>
    </row>
    <row r="2893" ht="18" customHeight="1" s="17">
      <c r="A2893" s="48">
        <f>IF(Generation!BE62="","",Generation!BE62)</f>
        <v/>
      </c>
      <c r="B2893" s="48" t="n"/>
      <c r="C2893" s="48" t="n"/>
    </row>
    <row r="2894" ht="18" customHeight="1" s="17">
      <c r="A2894" s="48">
        <f>IF(Generation!BF62="","",Generation!BF62)</f>
        <v/>
      </c>
      <c r="B2894" s="48" t="n"/>
      <c r="C2894" s="48" t="n"/>
    </row>
    <row r="2895" ht="18" customHeight="1" s="17">
      <c r="A2895" s="48">
        <f>IF(Generation!BG62="","",Generation!BG62)</f>
        <v/>
      </c>
      <c r="B2895" s="48" t="n"/>
      <c r="C2895" s="48" t="n"/>
    </row>
    <row r="2896" ht="18" customHeight="1" s="17">
      <c r="A2896" s="48">
        <f>IF(Generation!BH62="","",Generation!BH62)</f>
        <v/>
      </c>
      <c r="B2896" s="48" t="n"/>
      <c r="C2896" s="48" t="n"/>
    </row>
    <row r="2897" ht="18" customHeight="1" s="17">
      <c r="A2897" s="48">
        <f>IF(Generation!BI62="","",Generation!BI62)</f>
        <v/>
      </c>
      <c r="B2897" s="48" t="n"/>
      <c r="C2897" s="48" t="n"/>
    </row>
    <row r="2898" ht="18" customHeight="1" s="17">
      <c r="A2898" s="48">
        <f>IF(Generation!BJ62="","",Generation!BJ62)</f>
        <v/>
      </c>
      <c r="B2898" s="48" t="n"/>
      <c r="C2898" s="48" t="n"/>
    </row>
    <row r="2899" ht="18" customHeight="1" s="17">
      <c r="A2899" s="48">
        <f>IF(Generation!$B62,"  &lt;/item&gt;","")</f>
        <v/>
      </c>
      <c r="B2899" s="48" t="n"/>
      <c r="C2899" s="48" t="n"/>
    </row>
    <row r="2900" ht="18" customHeight="1" s="17">
      <c r="A2900" s="48">
        <f>""</f>
        <v/>
      </c>
      <c r="B2900" s="48" t="n"/>
      <c r="C2900" s="48" t="n"/>
    </row>
    <row r="2901" ht="18" customHeight="1" s="17">
      <c r="A2901" s="48">
        <f>""</f>
        <v/>
      </c>
      <c r="B2901" s="48" t="n"/>
      <c r="C2901" s="48" t="n"/>
    </row>
    <row r="2902" ht="18" customHeight="1" s="17">
      <c r="A2902" s="48">
        <f>""</f>
        <v/>
      </c>
      <c r="B2902" s="48" t="n"/>
      <c r="C2902" s="48" t="n"/>
    </row>
    <row r="2903" ht="18" customHeight="1" s="17">
      <c r="A2903" s="48">
        <f>""</f>
        <v/>
      </c>
      <c r="B2903" s="48" t="n"/>
      <c r="C2903" s="48" t="n"/>
    </row>
    <row r="2904" ht="18" customHeight="1" s="17">
      <c r="A2904" s="48">
        <f>IF(Generation!$B63,"  &lt;item ident=""il_0_qst_"&amp;TEXT(Generation!$A63,"000")&amp;""" title="""&amp;Generation!$F63&amp;"""&gt;","")</f>
        <v/>
      </c>
      <c r="B2904" s="48" t="n"/>
      <c r="C2904" s="48" t="n"/>
    </row>
    <row r="2905" ht="18" customHeight="1" s="17">
      <c r="A2905" s="48">
        <f>IF(Generation!$B63,"    &lt;duration&gt;P0Y0M0DT0H1M0S&lt;/duration&gt;","")</f>
        <v/>
      </c>
      <c r="B2905" s="48" t="n"/>
      <c r="C2905" s="48" t="n"/>
    </row>
    <row r="2906" ht="18" customHeight="1" s="17">
      <c r="A2906" s="48">
        <f>IF(Generation!$B63,"    &lt;itemmetadata&gt;","")</f>
        <v/>
      </c>
      <c r="B2906" s="48" t="n"/>
      <c r="C2906" s="48" t="n"/>
    </row>
    <row r="2907" ht="18" customHeight="1" s="17">
      <c r="A2907" s="48">
        <f>IF(Generation!$B63,"      &lt;qtimetadata&gt;","")</f>
        <v/>
      </c>
      <c r="B2907" s="48" t="n"/>
      <c r="C2907" s="48" t="n"/>
    </row>
    <row r="2908" ht="18" customHeight="1" s="17">
      <c r="A2908" s="48">
        <f>IF(Generation!$B63,"        &lt;qtimetadatafield&gt;&lt;fieldlabel&gt;ILIAS_VERSION&lt;/fieldlabel&gt;&lt;fieldentry&gt;8&lt;/fieldentry&gt;&lt;/qtimetadatafield&gt;","")</f>
        <v/>
      </c>
      <c r="B2908" s="48" t="n"/>
      <c r="C2908" s="48" t="n"/>
    </row>
    <row r="2909" ht="18" customHeight="1" s="17">
      <c r="A2909" s="48">
        <f>IF(Generation!$B63,"        &lt;qtimetadatafield&gt;&lt;fieldlabel&gt;QUESTIONTYPE&lt;/fieldlabel&gt;&lt;fieldentry&gt;"&amp;Generation!$D63&amp;"&lt;/fieldentry&gt;&lt;/qtimetadatafield&gt;","")</f>
        <v/>
      </c>
      <c r="B2909" s="48" t="n"/>
      <c r="C2909" s="48" t="n"/>
    </row>
    <row r="2910" ht="18" customHeight="1" s="17">
      <c r="A2910" s="48">
        <f>IF(Generation!$B63,"        &lt;qtimetadatafield&gt;&lt;fieldlabel&gt;AUTHOR&lt;/fieldlabel&gt;&lt;fieldentry&gt;"&amp;Generation!$AR63&amp;"&lt;/fieldentry&gt;&lt;/qtimetadatafield&gt;","")</f>
        <v/>
      </c>
      <c r="B2910" s="48" t="n"/>
      <c r="C2910" s="48" t="n"/>
    </row>
    <row r="2911" ht="18" customHeight="1" s="17">
      <c r="A2911" s="48">
        <f>IF(Generation!$B63,"        &lt;qtimetadatafield&gt;&lt;fieldlabel&gt;identicalScoring&lt;/fieldlabel&gt;&lt;fieldentry&gt;1&lt;/fieldentry&gt;&lt;/qtimetadatafield&gt;","")</f>
        <v/>
      </c>
      <c r="B2911" s="48" t="n"/>
      <c r="C2911" s="48" t="n"/>
    </row>
    <row r="2912" ht="18" customHeight="1" s="17">
      <c r="A2912" s="48">
        <f>IF(Generation!$B63,"      &lt;/qtimetadata&gt;","")</f>
        <v/>
      </c>
      <c r="B2912" s="48" t="n"/>
      <c r="C2912" s="48" t="n"/>
    </row>
    <row r="2913" ht="18" customHeight="1" s="17">
      <c r="A2913" s="48">
        <f>IF(Generation!$B63,"    &lt;/itemmetadata&gt;","")</f>
        <v/>
      </c>
      <c r="B2913" s="48" t="n"/>
      <c r="C2913" s="48" t="n"/>
    </row>
    <row r="2914" ht="18" customHeight="1" s="17">
      <c r="A2914" s="48">
        <f>IF(Generation!$B63,"    &lt;presentation label="""&amp;Generation!$F63&amp;"""&gt;","")</f>
        <v/>
      </c>
      <c r="B2914" s="48" t="n"/>
      <c r="C2914" s="48" t="n"/>
    </row>
    <row r="2915" ht="18" customHeight="1" s="17">
      <c r="A2915" s="48">
        <f>IF(Generation!$B63,"      &lt;material&gt;&lt;mattext texttype=""text/html""&gt;"&amp;Generation!$G63&amp;"&lt;/mattext&gt;&lt;/material&gt;","")</f>
        <v/>
      </c>
      <c r="B2915" s="48" t="n"/>
      <c r="C2915" s="48" t="n"/>
    </row>
    <row r="2916" ht="18" customHeight="1" s="17">
      <c r="A2916" s="48">
        <f>IF(Generation!$B63,"      &lt;response_lid ident=""RESPONSE"" rcardinality="""&amp;Generation!$E63&amp;"""&gt;","")</f>
        <v/>
      </c>
      <c r="B2916" s="48" t="n"/>
      <c r="C2916" s="48" t="n"/>
    </row>
    <row r="2917" ht="18" customHeight="1" s="17">
      <c r="A2917" s="48">
        <f>IF(Generation!$B63,"        &lt;render_choice shuffle=""No""&gt;","")</f>
        <v/>
      </c>
      <c r="B2917" s="48" t="n"/>
      <c r="C2917" s="48" t="n"/>
    </row>
    <row r="2918" ht="18" customHeight="1" s="17">
      <c r="A2918" s="48">
        <f>IF(Generation!AB63="","",Generation!AB63)</f>
        <v/>
      </c>
      <c r="B2918" s="48" t="n"/>
      <c r="C2918" s="48" t="n"/>
    </row>
    <row r="2919" ht="18" customHeight="1" s="17">
      <c r="A2919" s="48">
        <f>IF(Generation!AC63="","",Generation!AC63)</f>
        <v/>
      </c>
      <c r="B2919" s="48" t="n"/>
      <c r="C2919" s="48" t="n"/>
    </row>
    <row r="2920" ht="18" customHeight="1" s="17">
      <c r="A2920" s="48">
        <f>IF(Generation!AD63="","",Generation!AD63)</f>
        <v/>
      </c>
      <c r="B2920" s="48" t="n"/>
      <c r="C2920" s="48" t="n"/>
    </row>
    <row r="2921" ht="18" customHeight="1" s="17">
      <c r="A2921" s="48">
        <f>IF(Generation!AE63="","",Generation!AE63)</f>
        <v/>
      </c>
      <c r="B2921" s="48" t="n"/>
      <c r="C2921" s="48" t="n"/>
    </row>
    <row r="2922" ht="18" customHeight="1" s="17">
      <c r="A2922" s="48">
        <f>IF(Generation!AF63="","",Generation!AF63)</f>
        <v/>
      </c>
      <c r="B2922" s="48" t="n"/>
      <c r="C2922" s="48" t="n"/>
    </row>
    <row r="2923" ht="18" customHeight="1" s="17">
      <c r="A2923" s="48">
        <f>IF(Generation!AG63="","",Generation!AG63)</f>
        <v/>
      </c>
      <c r="B2923" s="48" t="n"/>
      <c r="C2923" s="48" t="n"/>
    </row>
    <row r="2924" ht="18" customHeight="1" s="17">
      <c r="A2924" s="48">
        <f>IF(Generation!AH63="","",Generation!AH63)</f>
        <v/>
      </c>
      <c r="B2924" s="48" t="n"/>
      <c r="C2924" s="48" t="n"/>
    </row>
    <row r="2925" ht="18" customHeight="1" s="17">
      <c r="A2925" s="48">
        <f>IF(Generation!AI63="","",Generation!AI63)</f>
        <v/>
      </c>
      <c r="B2925" s="48" t="n"/>
      <c r="C2925" s="48" t="n"/>
    </row>
    <row r="2926" ht="18" customHeight="1" s="17">
      <c r="A2926" s="48">
        <f>IF(Generation!$B63,"        &lt;/render_choice&gt;","")</f>
        <v/>
      </c>
      <c r="B2926" s="48" t="n"/>
      <c r="C2926" s="48" t="n"/>
    </row>
    <row r="2927" ht="18" customHeight="1" s="17">
      <c r="A2927" s="48">
        <f>IF(Generation!$B63,"      &lt;/response_lid&gt;","")</f>
        <v/>
      </c>
      <c r="B2927" s="48" t="n"/>
      <c r="C2927" s="48" t="n"/>
    </row>
    <row r="2928" ht="18" customHeight="1" s="17">
      <c r="A2928" s="48">
        <f>IF(Generation!$B63,"    &lt;/presentation&gt;","")</f>
        <v/>
      </c>
      <c r="B2928" s="48" t="n"/>
      <c r="C2928" s="48" t="n"/>
    </row>
    <row r="2929" ht="18" customHeight="1" s="17">
      <c r="A2929" s="48">
        <f>IF(Generation!$B63,"    &lt;resprocessing&gt;","")</f>
        <v/>
      </c>
      <c r="B2929" s="48" t="n"/>
      <c r="C2929" s="48" t="n"/>
    </row>
    <row r="2930" ht="18" customHeight="1" s="17">
      <c r="A2930" s="48">
        <f>IF(Generation!$B63,"      &lt;outcomes&gt;&lt;decvar varname=""SCORE"" vartype=""Decimal"" minvalue=""0"" maxvalue="""&amp;Generation!$H63&amp;"""/&gt;&lt;/outcomes&gt;","")</f>
        <v/>
      </c>
      <c r="B2930" s="48" t="n"/>
      <c r="C2930" s="48" t="n"/>
    </row>
    <row r="2931" ht="18" customHeight="1" s="17">
      <c r="A2931" s="48">
        <f>IF(Generation!AJ63="","",Generation!AJ63)</f>
        <v/>
      </c>
      <c r="B2931" s="48" t="n"/>
      <c r="C2931" s="48" t="n"/>
    </row>
    <row r="2932" ht="18" customHeight="1" s="17">
      <c r="A2932" s="48">
        <f>IF(Generation!AK63="","",Generation!AK63)</f>
        <v/>
      </c>
      <c r="B2932" s="48" t="n"/>
      <c r="C2932" s="48" t="n"/>
    </row>
    <row r="2933" ht="18" customHeight="1" s="17">
      <c r="A2933" s="48">
        <f>IF(Generation!AL63="","",Generation!AL63)</f>
        <v/>
      </c>
      <c r="B2933" s="48" t="n"/>
      <c r="C2933" s="48" t="n"/>
    </row>
    <row r="2934" ht="18" customHeight="1" s="17">
      <c r="A2934" s="48">
        <f>IF(Generation!AM63="","",Generation!AM63)</f>
        <v/>
      </c>
      <c r="B2934" s="48" t="n"/>
      <c r="C2934" s="48" t="n"/>
    </row>
    <row r="2935" ht="18" customHeight="1" s="17">
      <c r="A2935" s="48">
        <f>IF(Generation!AN63="","",Generation!AN63)</f>
        <v/>
      </c>
      <c r="B2935" s="48" t="n"/>
      <c r="C2935" s="48" t="n"/>
    </row>
    <row r="2936" ht="18" customHeight="1" s="17">
      <c r="A2936" s="48">
        <f>IF(Generation!AO63="","",Generation!AO63)</f>
        <v/>
      </c>
      <c r="B2936" s="48" t="n"/>
      <c r="C2936" s="48" t="n"/>
    </row>
    <row r="2937" ht="18" customHeight="1" s="17">
      <c r="A2937" s="48">
        <f>IF(Generation!AP63="","",Generation!AP63)</f>
        <v/>
      </c>
      <c r="B2937" s="48" t="n"/>
      <c r="C2937" s="48" t="n"/>
    </row>
    <row r="2938" ht="18" customHeight="1" s="17">
      <c r="A2938" s="48">
        <f>IF(Generation!AQ63="","",Generation!AQ63)</f>
        <v/>
      </c>
      <c r="B2938" s="48" t="n"/>
      <c r="C2938" s="48" t="n"/>
    </row>
    <row r="2939" ht="18" customHeight="1" s="17">
      <c r="A2939" s="48">
        <f>IF(Generation!$B63,"    &lt;/resprocessing&gt;","")</f>
        <v/>
      </c>
      <c r="B2939" s="48" t="n"/>
      <c r="C2939" s="48" t="n"/>
    </row>
    <row r="2940" ht="18" customHeight="1" s="17">
      <c r="A2940" s="48">
        <f>IF(Generation!BB63="","",Generation!BB63)</f>
        <v/>
      </c>
      <c r="B2940" s="48" t="n"/>
      <c r="C2940" s="48" t="n"/>
    </row>
    <row r="2941" ht="18" customHeight="1" s="17">
      <c r="A2941" s="48">
        <f>IF(Generation!BC63="","",Generation!BC63)</f>
        <v/>
      </c>
      <c r="B2941" s="48" t="n"/>
      <c r="C2941" s="48" t="n"/>
    </row>
    <row r="2942" ht="18" customHeight="1" s="17">
      <c r="A2942" s="48">
        <f>IF(Generation!BD63="","",Generation!BD63)</f>
        <v/>
      </c>
      <c r="B2942" s="48" t="n"/>
      <c r="C2942" s="48" t="n"/>
    </row>
    <row r="2943" ht="18" customHeight="1" s="17">
      <c r="A2943" s="48">
        <f>IF(Generation!BE63="","",Generation!BE63)</f>
        <v/>
      </c>
      <c r="B2943" s="48" t="n"/>
      <c r="C2943" s="48" t="n"/>
    </row>
    <row r="2944" ht="18" customHeight="1" s="17">
      <c r="A2944" s="48">
        <f>IF(Generation!BF63="","",Generation!BF63)</f>
        <v/>
      </c>
      <c r="B2944" s="48" t="n"/>
      <c r="C2944" s="48" t="n"/>
    </row>
    <row r="2945" ht="18" customHeight="1" s="17">
      <c r="A2945" s="48">
        <f>IF(Generation!BG63="","",Generation!BG63)</f>
        <v/>
      </c>
      <c r="B2945" s="48" t="n"/>
      <c r="C2945" s="48" t="n"/>
    </row>
    <row r="2946" ht="18" customHeight="1" s="17">
      <c r="A2946" s="48">
        <f>IF(Generation!BH63="","",Generation!BH63)</f>
        <v/>
      </c>
      <c r="B2946" s="48" t="n"/>
      <c r="C2946" s="48" t="n"/>
    </row>
    <row r="2947" ht="18" customHeight="1" s="17">
      <c r="A2947" s="48">
        <f>IF(Generation!BI63="","",Generation!BI63)</f>
        <v/>
      </c>
      <c r="B2947" s="48" t="n"/>
      <c r="C2947" s="48" t="n"/>
    </row>
    <row r="2948" ht="18" customHeight="1" s="17">
      <c r="A2948" s="48">
        <f>IF(Generation!BJ63="","",Generation!BJ63)</f>
        <v/>
      </c>
      <c r="B2948" s="48" t="n"/>
      <c r="C2948" s="48" t="n"/>
    </row>
    <row r="2949" ht="18" customHeight="1" s="17">
      <c r="A2949" s="48">
        <f>IF(Generation!$B63,"  &lt;/item&gt;","")</f>
        <v/>
      </c>
      <c r="B2949" s="48" t="n"/>
      <c r="C2949" s="48" t="n"/>
    </row>
    <row r="2950" ht="18" customHeight="1" s="17">
      <c r="A2950" s="48">
        <f>""</f>
        <v/>
      </c>
      <c r="B2950" s="48" t="n"/>
      <c r="C2950" s="48" t="n"/>
    </row>
    <row r="2951" ht="18" customHeight="1" s="17">
      <c r="A2951" s="48">
        <f>""</f>
        <v/>
      </c>
      <c r="B2951" s="48" t="n"/>
      <c r="C2951" s="48" t="n"/>
    </row>
    <row r="2952" ht="18" customHeight="1" s="17">
      <c r="A2952" s="48">
        <f>""</f>
        <v/>
      </c>
      <c r="B2952" s="48" t="n"/>
      <c r="C2952" s="48" t="n"/>
    </row>
    <row r="2953" ht="18" customHeight="1" s="17">
      <c r="A2953" s="48">
        <f>""</f>
        <v/>
      </c>
      <c r="B2953" s="48" t="n"/>
      <c r="C2953" s="48" t="n"/>
    </row>
    <row r="2954" ht="18" customHeight="1" s="17">
      <c r="A2954" s="48">
        <f>IF(Generation!$B64,"  &lt;item ident=""il_0_qst_"&amp;TEXT(Generation!$A64,"000")&amp;""" title="""&amp;Generation!$F64&amp;"""&gt;","")</f>
        <v/>
      </c>
      <c r="B2954" s="48" t="n"/>
      <c r="C2954" s="48" t="n"/>
    </row>
    <row r="2955" ht="18" customHeight="1" s="17">
      <c r="A2955" s="48">
        <f>IF(Generation!$B64,"    &lt;duration&gt;P0Y0M0DT0H1M0S&lt;/duration&gt;","")</f>
        <v/>
      </c>
      <c r="B2955" s="48" t="n"/>
      <c r="C2955" s="48" t="n"/>
    </row>
    <row r="2956" ht="18" customHeight="1" s="17">
      <c r="A2956" s="48">
        <f>IF(Generation!$B64,"    &lt;itemmetadata&gt;","")</f>
        <v/>
      </c>
      <c r="B2956" s="48" t="n"/>
      <c r="C2956" s="48" t="n"/>
    </row>
    <row r="2957" ht="18" customHeight="1" s="17">
      <c r="A2957" s="48">
        <f>IF(Generation!$B64,"      &lt;qtimetadata&gt;","")</f>
        <v/>
      </c>
      <c r="B2957" s="48" t="n"/>
      <c r="C2957" s="48" t="n"/>
    </row>
    <row r="2958" ht="18" customHeight="1" s="17">
      <c r="A2958" s="48">
        <f>IF(Generation!$B64,"        &lt;qtimetadatafield&gt;&lt;fieldlabel&gt;ILIAS_VERSION&lt;/fieldlabel&gt;&lt;fieldentry&gt;8&lt;/fieldentry&gt;&lt;/qtimetadatafield&gt;","")</f>
        <v/>
      </c>
      <c r="B2958" s="48" t="n"/>
      <c r="C2958" s="48" t="n"/>
    </row>
    <row r="2959" ht="18" customHeight="1" s="17">
      <c r="A2959" s="48">
        <f>IF(Generation!$B64,"        &lt;qtimetadatafield&gt;&lt;fieldlabel&gt;QUESTIONTYPE&lt;/fieldlabel&gt;&lt;fieldentry&gt;"&amp;Generation!$D64&amp;"&lt;/fieldentry&gt;&lt;/qtimetadatafield&gt;","")</f>
        <v/>
      </c>
      <c r="B2959" s="48" t="n"/>
      <c r="C2959" s="48" t="n"/>
    </row>
    <row r="2960" ht="18" customHeight="1" s="17">
      <c r="A2960" s="48">
        <f>IF(Generation!$B64,"        &lt;qtimetadatafield&gt;&lt;fieldlabel&gt;AUTHOR&lt;/fieldlabel&gt;&lt;fieldentry&gt;"&amp;Generation!$AR64&amp;"&lt;/fieldentry&gt;&lt;/qtimetadatafield&gt;","")</f>
        <v/>
      </c>
      <c r="B2960" s="48" t="n"/>
      <c r="C2960" s="48" t="n"/>
    </row>
    <row r="2961" ht="18" customHeight="1" s="17">
      <c r="A2961" s="48">
        <f>IF(Generation!$B64,"        &lt;qtimetadatafield&gt;&lt;fieldlabel&gt;identicalScoring&lt;/fieldlabel&gt;&lt;fieldentry&gt;1&lt;/fieldentry&gt;&lt;/qtimetadatafield&gt;","")</f>
        <v/>
      </c>
      <c r="B2961" s="48" t="n"/>
      <c r="C2961" s="48" t="n"/>
    </row>
    <row r="2962" ht="18" customHeight="1" s="17">
      <c r="A2962" s="48">
        <f>IF(Generation!$B64,"      &lt;/qtimetadata&gt;","")</f>
        <v/>
      </c>
      <c r="B2962" s="48" t="n"/>
      <c r="C2962" s="48" t="n"/>
    </row>
    <row r="2963" ht="18" customHeight="1" s="17">
      <c r="A2963" s="48">
        <f>IF(Generation!$B64,"    &lt;/itemmetadata&gt;","")</f>
        <v/>
      </c>
      <c r="B2963" s="48" t="n"/>
      <c r="C2963" s="48" t="n"/>
    </row>
    <row r="2964" ht="18" customHeight="1" s="17">
      <c r="A2964" s="48">
        <f>IF(Generation!$B64,"    &lt;presentation label="""&amp;Generation!$F64&amp;"""&gt;","")</f>
        <v/>
      </c>
      <c r="B2964" s="48" t="n"/>
      <c r="C2964" s="48" t="n"/>
    </row>
    <row r="2965" ht="18" customHeight="1" s="17">
      <c r="A2965" s="48">
        <f>IF(Generation!$B64,"      &lt;material&gt;&lt;mattext texttype=""text/html""&gt;"&amp;Generation!$G64&amp;"&lt;/mattext&gt;&lt;/material&gt;","")</f>
        <v/>
      </c>
      <c r="B2965" s="48" t="n"/>
      <c r="C2965" s="48" t="n"/>
    </row>
    <row r="2966" ht="18" customHeight="1" s="17">
      <c r="A2966" s="48">
        <f>IF(Generation!$B64,"      &lt;response_lid ident=""RESPONSE"" rcardinality="""&amp;Generation!$E64&amp;"""&gt;","")</f>
        <v/>
      </c>
      <c r="B2966" s="48" t="n"/>
      <c r="C2966" s="48" t="n"/>
    </row>
    <row r="2967" ht="18" customHeight="1" s="17">
      <c r="A2967" s="48">
        <f>IF(Generation!$B64,"        &lt;render_choice shuffle=""No""&gt;","")</f>
        <v/>
      </c>
      <c r="B2967" s="48" t="n"/>
      <c r="C2967" s="48" t="n"/>
    </row>
    <row r="2968" ht="18" customHeight="1" s="17">
      <c r="A2968" s="48">
        <f>IF(Generation!AB64="","",Generation!AB64)</f>
        <v/>
      </c>
      <c r="B2968" s="48" t="n"/>
      <c r="C2968" s="48" t="n"/>
    </row>
    <row r="2969" ht="18" customHeight="1" s="17">
      <c r="A2969" s="48">
        <f>IF(Generation!AC64="","",Generation!AC64)</f>
        <v/>
      </c>
      <c r="B2969" s="48" t="n"/>
      <c r="C2969" s="48" t="n"/>
    </row>
    <row r="2970" ht="18" customHeight="1" s="17">
      <c r="A2970" s="48">
        <f>IF(Generation!AD64="","",Generation!AD64)</f>
        <v/>
      </c>
      <c r="B2970" s="48" t="n"/>
      <c r="C2970" s="48" t="n"/>
    </row>
    <row r="2971" ht="18" customHeight="1" s="17">
      <c r="A2971" s="48">
        <f>IF(Generation!AE64="","",Generation!AE64)</f>
        <v/>
      </c>
      <c r="B2971" s="48" t="n"/>
      <c r="C2971" s="48" t="n"/>
    </row>
    <row r="2972" ht="18" customHeight="1" s="17">
      <c r="A2972" s="48">
        <f>IF(Generation!AF64="","",Generation!AF64)</f>
        <v/>
      </c>
      <c r="B2972" s="48" t="n"/>
      <c r="C2972" s="48" t="n"/>
    </row>
    <row r="2973" ht="18" customHeight="1" s="17">
      <c r="A2973" s="48">
        <f>IF(Generation!AG64="","",Generation!AG64)</f>
        <v/>
      </c>
      <c r="B2973" s="48" t="n"/>
      <c r="C2973" s="48" t="n"/>
    </row>
    <row r="2974" ht="18" customHeight="1" s="17">
      <c r="A2974" s="48">
        <f>IF(Generation!AH64="","",Generation!AH64)</f>
        <v/>
      </c>
      <c r="B2974" s="48" t="n"/>
      <c r="C2974" s="48" t="n"/>
    </row>
    <row r="2975" ht="18" customHeight="1" s="17">
      <c r="A2975" s="48">
        <f>IF(Generation!AI64="","",Generation!AI64)</f>
        <v/>
      </c>
      <c r="B2975" s="48" t="n"/>
      <c r="C2975" s="48" t="n"/>
    </row>
    <row r="2976" ht="18" customHeight="1" s="17">
      <c r="A2976" s="48">
        <f>IF(Generation!$B64,"        &lt;/render_choice&gt;","")</f>
        <v/>
      </c>
      <c r="B2976" s="48" t="n"/>
      <c r="C2976" s="48" t="n"/>
    </row>
    <row r="2977" ht="18" customHeight="1" s="17">
      <c r="A2977" s="48">
        <f>IF(Generation!$B64,"      &lt;/response_lid&gt;","")</f>
        <v/>
      </c>
      <c r="B2977" s="48" t="n"/>
      <c r="C2977" s="48" t="n"/>
    </row>
    <row r="2978" ht="18" customHeight="1" s="17">
      <c r="A2978" s="48">
        <f>IF(Generation!$B64,"    &lt;/presentation&gt;","")</f>
        <v/>
      </c>
      <c r="B2978" s="48" t="n"/>
      <c r="C2978" s="48" t="n"/>
    </row>
    <row r="2979" ht="18" customHeight="1" s="17">
      <c r="A2979" s="48">
        <f>IF(Generation!$B64,"    &lt;resprocessing&gt;","")</f>
        <v/>
      </c>
      <c r="B2979" s="48" t="n"/>
      <c r="C2979" s="48" t="n"/>
    </row>
    <row r="2980" ht="18" customHeight="1" s="17">
      <c r="A2980" s="48">
        <f>IF(Generation!$B64,"      &lt;outcomes&gt;&lt;decvar varname=""SCORE"" vartype=""Decimal"" minvalue=""0"" maxvalue="""&amp;Generation!$H64&amp;"""/&gt;&lt;/outcomes&gt;","")</f>
        <v/>
      </c>
      <c r="B2980" s="48" t="n"/>
      <c r="C2980" s="48" t="n"/>
    </row>
    <row r="2981" ht="18" customHeight="1" s="17">
      <c r="A2981" s="48">
        <f>IF(Generation!AJ64="","",Generation!AJ64)</f>
        <v/>
      </c>
      <c r="B2981" s="48" t="n"/>
      <c r="C2981" s="48" t="n"/>
    </row>
    <row r="2982" ht="18" customHeight="1" s="17">
      <c r="A2982" s="48">
        <f>IF(Generation!AK64="","",Generation!AK64)</f>
        <v/>
      </c>
      <c r="B2982" s="48" t="n"/>
      <c r="C2982" s="48" t="n"/>
    </row>
    <row r="2983" ht="18" customHeight="1" s="17">
      <c r="A2983" s="48">
        <f>IF(Generation!AL64="","",Generation!AL64)</f>
        <v/>
      </c>
      <c r="B2983" s="48" t="n"/>
      <c r="C2983" s="48" t="n"/>
    </row>
    <row r="2984" ht="18" customHeight="1" s="17">
      <c r="A2984" s="48">
        <f>IF(Generation!AM64="","",Generation!AM64)</f>
        <v/>
      </c>
      <c r="B2984" s="48" t="n"/>
      <c r="C2984" s="48" t="n"/>
    </row>
    <row r="2985" ht="18" customHeight="1" s="17">
      <c r="A2985" s="48">
        <f>IF(Generation!AN64="","",Generation!AN64)</f>
        <v/>
      </c>
      <c r="B2985" s="48" t="n"/>
      <c r="C2985" s="48" t="n"/>
    </row>
    <row r="2986" ht="18" customHeight="1" s="17">
      <c r="A2986" s="48">
        <f>IF(Generation!AO64="","",Generation!AO64)</f>
        <v/>
      </c>
      <c r="B2986" s="48" t="n"/>
      <c r="C2986" s="48" t="n"/>
    </row>
    <row r="2987" ht="18" customHeight="1" s="17">
      <c r="A2987" s="48">
        <f>IF(Generation!AP64="","",Generation!AP64)</f>
        <v/>
      </c>
      <c r="B2987" s="48" t="n"/>
      <c r="C2987" s="48" t="n"/>
    </row>
    <row r="2988" ht="18" customHeight="1" s="17">
      <c r="A2988" s="48">
        <f>IF(Generation!AQ64="","",Generation!AQ64)</f>
        <v/>
      </c>
      <c r="B2988" s="48" t="n"/>
      <c r="C2988" s="48" t="n"/>
    </row>
    <row r="2989" ht="18" customHeight="1" s="17">
      <c r="A2989" s="48">
        <f>IF(Generation!$B64,"    &lt;/resprocessing&gt;","")</f>
        <v/>
      </c>
      <c r="B2989" s="48" t="n"/>
      <c r="C2989" s="48" t="n"/>
    </row>
    <row r="2990" ht="18" customHeight="1" s="17">
      <c r="A2990" s="48">
        <f>IF(Generation!BB64="","",Generation!BB64)</f>
        <v/>
      </c>
      <c r="B2990" s="48" t="n"/>
      <c r="C2990" s="48" t="n"/>
    </row>
    <row r="2991" ht="18" customHeight="1" s="17">
      <c r="A2991" s="48">
        <f>IF(Generation!BC64="","",Generation!BC64)</f>
        <v/>
      </c>
      <c r="B2991" s="48" t="n"/>
      <c r="C2991" s="48" t="n"/>
    </row>
    <row r="2992" ht="18" customHeight="1" s="17">
      <c r="A2992" s="48">
        <f>IF(Generation!BD64="","",Generation!BD64)</f>
        <v/>
      </c>
      <c r="B2992" s="48" t="n"/>
      <c r="C2992" s="48" t="n"/>
    </row>
    <row r="2993" ht="18" customHeight="1" s="17">
      <c r="A2993" s="48">
        <f>IF(Generation!BE64="","",Generation!BE64)</f>
        <v/>
      </c>
      <c r="B2993" s="48" t="n"/>
      <c r="C2993" s="48" t="n"/>
    </row>
    <row r="2994" ht="18" customHeight="1" s="17">
      <c r="A2994" s="48">
        <f>IF(Generation!BF64="","",Generation!BF64)</f>
        <v/>
      </c>
      <c r="B2994" s="48" t="n"/>
      <c r="C2994" s="48" t="n"/>
    </row>
    <row r="2995" ht="18" customHeight="1" s="17">
      <c r="A2995" s="48">
        <f>IF(Generation!BG64="","",Generation!BG64)</f>
        <v/>
      </c>
      <c r="B2995" s="48" t="n"/>
      <c r="C2995" s="48" t="n"/>
    </row>
    <row r="2996" ht="18" customHeight="1" s="17">
      <c r="A2996" s="48">
        <f>IF(Generation!BH64="","",Generation!BH64)</f>
        <v/>
      </c>
      <c r="B2996" s="48" t="n"/>
      <c r="C2996" s="48" t="n"/>
    </row>
    <row r="2997" ht="18" customHeight="1" s="17">
      <c r="A2997" s="48">
        <f>IF(Generation!BI64="","",Generation!BI64)</f>
        <v/>
      </c>
      <c r="B2997" s="48" t="n"/>
      <c r="C2997" s="48" t="n"/>
    </row>
    <row r="2998" ht="18" customHeight="1" s="17">
      <c r="A2998" s="48">
        <f>IF(Generation!BJ64="","",Generation!BJ64)</f>
        <v/>
      </c>
      <c r="B2998" s="48" t="n"/>
      <c r="C2998" s="48" t="n"/>
    </row>
    <row r="2999" ht="18" customHeight="1" s="17">
      <c r="A2999" s="48">
        <f>IF(Generation!$B64,"  &lt;/item&gt;","")</f>
        <v/>
      </c>
      <c r="B2999" s="48" t="n"/>
      <c r="C2999" s="48" t="n"/>
    </row>
    <row r="3000" ht="18" customHeight="1" s="17">
      <c r="A3000" s="48">
        <f>""</f>
        <v/>
      </c>
      <c r="B3000" s="48" t="n"/>
      <c r="C3000" s="48" t="n"/>
    </row>
    <row r="3001" ht="18" customHeight="1" s="17">
      <c r="A3001" s="48">
        <f>""</f>
        <v/>
      </c>
      <c r="B3001" s="48" t="n"/>
      <c r="C3001" s="48" t="n"/>
    </row>
    <row r="3002" ht="18" customHeight="1" s="17">
      <c r="A3002" s="48">
        <f>""</f>
        <v/>
      </c>
      <c r="B3002" s="48" t="n"/>
      <c r="C3002" s="48" t="n"/>
    </row>
    <row r="3003" ht="18" customHeight="1" s="17">
      <c r="A3003" s="48">
        <f>""</f>
        <v/>
      </c>
      <c r="B3003" s="48" t="n"/>
      <c r="C3003" s="48" t="n"/>
    </row>
    <row r="3004" ht="18" customHeight="1" s="17">
      <c r="A3004" s="48">
        <f>IF(Generation!$B65,"  &lt;item ident=""il_0_qst_"&amp;TEXT(Generation!$A65,"000")&amp;""" title="""&amp;Generation!$F65&amp;"""&gt;","")</f>
        <v/>
      </c>
      <c r="B3004" s="48" t="n"/>
      <c r="C3004" s="48" t="n"/>
    </row>
    <row r="3005" ht="18" customHeight="1" s="17">
      <c r="A3005" s="48">
        <f>IF(Generation!$B65,"    &lt;duration&gt;P0Y0M0DT0H1M0S&lt;/duration&gt;","")</f>
        <v/>
      </c>
      <c r="B3005" s="48" t="n"/>
      <c r="C3005" s="48" t="n"/>
    </row>
    <row r="3006" ht="18" customHeight="1" s="17">
      <c r="A3006" s="48">
        <f>IF(Generation!$B65,"    &lt;itemmetadata&gt;","")</f>
        <v/>
      </c>
      <c r="B3006" s="48" t="n"/>
      <c r="C3006" s="48" t="n"/>
    </row>
    <row r="3007" ht="18" customHeight="1" s="17">
      <c r="A3007" s="48">
        <f>IF(Generation!$B65,"      &lt;qtimetadata&gt;","")</f>
        <v/>
      </c>
      <c r="B3007" s="48" t="n"/>
      <c r="C3007" s="48" t="n"/>
    </row>
    <row r="3008" ht="18" customHeight="1" s="17">
      <c r="A3008" s="48">
        <f>IF(Generation!$B65,"        &lt;qtimetadatafield&gt;&lt;fieldlabel&gt;ILIAS_VERSION&lt;/fieldlabel&gt;&lt;fieldentry&gt;8&lt;/fieldentry&gt;&lt;/qtimetadatafield&gt;","")</f>
        <v/>
      </c>
      <c r="B3008" s="48" t="n"/>
      <c r="C3008" s="48" t="n"/>
    </row>
    <row r="3009" ht="18" customHeight="1" s="17">
      <c r="A3009" s="48">
        <f>IF(Generation!$B65,"        &lt;qtimetadatafield&gt;&lt;fieldlabel&gt;QUESTIONTYPE&lt;/fieldlabel&gt;&lt;fieldentry&gt;"&amp;Generation!$D65&amp;"&lt;/fieldentry&gt;&lt;/qtimetadatafield&gt;","")</f>
        <v/>
      </c>
      <c r="B3009" s="48" t="n"/>
      <c r="C3009" s="48" t="n"/>
    </row>
    <row r="3010" ht="18" customHeight="1" s="17">
      <c r="A3010" s="48">
        <f>IF(Generation!$B65,"        &lt;qtimetadatafield&gt;&lt;fieldlabel&gt;AUTHOR&lt;/fieldlabel&gt;&lt;fieldentry&gt;"&amp;Generation!$AR65&amp;"&lt;/fieldentry&gt;&lt;/qtimetadatafield&gt;","")</f>
        <v/>
      </c>
      <c r="B3010" s="48" t="n"/>
      <c r="C3010" s="48" t="n"/>
    </row>
    <row r="3011" ht="18" customHeight="1" s="17">
      <c r="A3011" s="48">
        <f>IF(Generation!$B65,"        &lt;qtimetadatafield&gt;&lt;fieldlabel&gt;identicalScoring&lt;/fieldlabel&gt;&lt;fieldentry&gt;1&lt;/fieldentry&gt;&lt;/qtimetadatafield&gt;","")</f>
        <v/>
      </c>
      <c r="B3011" s="48" t="n"/>
      <c r="C3011" s="48" t="n"/>
    </row>
    <row r="3012" ht="18" customHeight="1" s="17">
      <c r="A3012" s="48">
        <f>IF(Generation!$B65,"      &lt;/qtimetadata&gt;","")</f>
        <v/>
      </c>
      <c r="B3012" s="48" t="n"/>
      <c r="C3012" s="48" t="n"/>
    </row>
    <row r="3013" ht="18" customHeight="1" s="17">
      <c r="A3013" s="48">
        <f>IF(Generation!$B65,"    &lt;/itemmetadata&gt;","")</f>
        <v/>
      </c>
      <c r="B3013" s="48" t="n"/>
      <c r="C3013" s="48" t="n"/>
    </row>
    <row r="3014" ht="18" customHeight="1" s="17">
      <c r="A3014" s="48">
        <f>IF(Generation!$B65,"    &lt;presentation label="""&amp;Generation!$F65&amp;"""&gt;","")</f>
        <v/>
      </c>
      <c r="B3014" s="48" t="n"/>
      <c r="C3014" s="48" t="n"/>
    </row>
    <row r="3015" ht="18" customHeight="1" s="17">
      <c r="A3015" s="48">
        <f>IF(Generation!$B65,"      &lt;material&gt;&lt;mattext texttype=""text/html""&gt;"&amp;Generation!$G65&amp;"&lt;/mattext&gt;&lt;/material&gt;","")</f>
        <v/>
      </c>
      <c r="B3015" s="48" t="n"/>
      <c r="C3015" s="48" t="n"/>
    </row>
    <row r="3016" ht="18" customHeight="1" s="17">
      <c r="A3016" s="48">
        <f>IF(Generation!$B65,"      &lt;response_lid ident=""RESPONSE"" rcardinality="""&amp;Generation!$E65&amp;"""&gt;","")</f>
        <v/>
      </c>
      <c r="B3016" s="48" t="n"/>
      <c r="C3016" s="48" t="n"/>
    </row>
    <row r="3017" ht="18" customHeight="1" s="17">
      <c r="A3017" s="48">
        <f>IF(Generation!$B65,"        &lt;render_choice shuffle=""No""&gt;","")</f>
        <v/>
      </c>
      <c r="B3017" s="48" t="n"/>
      <c r="C3017" s="48" t="n"/>
    </row>
    <row r="3018" ht="18" customHeight="1" s="17">
      <c r="A3018" s="48">
        <f>IF(Generation!AB65="","",Generation!AB65)</f>
        <v/>
      </c>
      <c r="B3018" s="48" t="n"/>
      <c r="C3018" s="48" t="n"/>
    </row>
    <row r="3019" ht="18" customHeight="1" s="17">
      <c r="A3019" s="48">
        <f>IF(Generation!AC65="","",Generation!AC65)</f>
        <v/>
      </c>
      <c r="B3019" s="48" t="n"/>
      <c r="C3019" s="48" t="n"/>
    </row>
    <row r="3020" ht="18" customHeight="1" s="17">
      <c r="A3020" s="48">
        <f>IF(Generation!AD65="","",Generation!AD65)</f>
        <v/>
      </c>
      <c r="B3020" s="48" t="n"/>
      <c r="C3020" s="48" t="n"/>
    </row>
    <row r="3021" ht="18" customHeight="1" s="17">
      <c r="A3021" s="48">
        <f>IF(Generation!AE65="","",Generation!AE65)</f>
        <v/>
      </c>
      <c r="B3021" s="48" t="n"/>
      <c r="C3021" s="48" t="n"/>
    </row>
    <row r="3022" ht="18" customHeight="1" s="17">
      <c r="A3022" s="48">
        <f>IF(Generation!AF65="","",Generation!AF65)</f>
        <v/>
      </c>
      <c r="B3022" s="48" t="n"/>
      <c r="C3022" s="48" t="n"/>
    </row>
    <row r="3023" ht="18" customHeight="1" s="17">
      <c r="A3023" s="48">
        <f>IF(Generation!AG65="","",Generation!AG65)</f>
        <v/>
      </c>
      <c r="B3023" s="48" t="n"/>
      <c r="C3023" s="48" t="n"/>
    </row>
    <row r="3024" ht="18" customHeight="1" s="17">
      <c r="A3024" s="48">
        <f>IF(Generation!AH65="","",Generation!AH65)</f>
        <v/>
      </c>
      <c r="B3024" s="48" t="n"/>
      <c r="C3024" s="48" t="n"/>
    </row>
    <row r="3025" ht="18" customHeight="1" s="17">
      <c r="A3025" s="48">
        <f>IF(Generation!AI65="","",Generation!AI65)</f>
        <v/>
      </c>
      <c r="B3025" s="48" t="n"/>
      <c r="C3025" s="48" t="n"/>
    </row>
    <row r="3026" ht="18" customHeight="1" s="17">
      <c r="A3026" s="48">
        <f>IF(Generation!$B65,"        &lt;/render_choice&gt;","")</f>
        <v/>
      </c>
      <c r="B3026" s="48" t="n"/>
      <c r="C3026" s="48" t="n"/>
    </row>
    <row r="3027" ht="18" customHeight="1" s="17">
      <c r="A3027" s="48">
        <f>IF(Generation!$B65,"      &lt;/response_lid&gt;","")</f>
        <v/>
      </c>
      <c r="B3027" s="48" t="n"/>
      <c r="C3027" s="48" t="n"/>
    </row>
    <row r="3028" ht="18" customHeight="1" s="17">
      <c r="A3028" s="48">
        <f>IF(Generation!$B65,"    &lt;/presentation&gt;","")</f>
        <v/>
      </c>
      <c r="B3028" s="48" t="n"/>
      <c r="C3028" s="48" t="n"/>
    </row>
    <row r="3029" ht="18" customHeight="1" s="17">
      <c r="A3029" s="48">
        <f>IF(Generation!$B65,"    &lt;resprocessing&gt;","")</f>
        <v/>
      </c>
      <c r="B3029" s="48" t="n"/>
      <c r="C3029" s="48" t="n"/>
    </row>
    <row r="3030" ht="18" customHeight="1" s="17">
      <c r="A3030" s="48">
        <f>IF(Generation!$B65,"      &lt;outcomes&gt;&lt;decvar varname=""SCORE"" vartype=""Decimal"" minvalue=""0"" maxvalue="""&amp;Generation!$H65&amp;"""/&gt;&lt;/outcomes&gt;","")</f>
        <v/>
      </c>
      <c r="B3030" s="48" t="n"/>
      <c r="C3030" s="48" t="n"/>
    </row>
    <row r="3031" ht="18" customHeight="1" s="17">
      <c r="A3031" s="48">
        <f>IF(Generation!AJ65="","",Generation!AJ65)</f>
        <v/>
      </c>
      <c r="B3031" s="48" t="n"/>
      <c r="C3031" s="48" t="n"/>
    </row>
    <row r="3032" ht="18" customHeight="1" s="17">
      <c r="A3032" s="48">
        <f>IF(Generation!AK65="","",Generation!AK65)</f>
        <v/>
      </c>
      <c r="B3032" s="48" t="n"/>
      <c r="C3032" s="48" t="n"/>
    </row>
    <row r="3033" ht="18" customHeight="1" s="17">
      <c r="A3033" s="48">
        <f>IF(Generation!AL65="","",Generation!AL65)</f>
        <v/>
      </c>
      <c r="B3033" s="48" t="n"/>
      <c r="C3033" s="48" t="n"/>
    </row>
    <row r="3034" ht="18" customHeight="1" s="17">
      <c r="A3034" s="48">
        <f>IF(Generation!AM65="","",Generation!AM65)</f>
        <v/>
      </c>
      <c r="B3034" s="48" t="n"/>
      <c r="C3034" s="48" t="n"/>
    </row>
    <row r="3035" ht="18" customHeight="1" s="17">
      <c r="A3035" s="48">
        <f>IF(Generation!AN65="","",Generation!AN65)</f>
        <v/>
      </c>
      <c r="B3035" s="48" t="n"/>
      <c r="C3035" s="48" t="n"/>
    </row>
    <row r="3036" ht="18" customHeight="1" s="17">
      <c r="A3036" s="48">
        <f>IF(Generation!AO65="","",Generation!AO65)</f>
        <v/>
      </c>
      <c r="B3036" s="48" t="n"/>
      <c r="C3036" s="48" t="n"/>
    </row>
    <row r="3037" ht="18" customHeight="1" s="17">
      <c r="A3037" s="48">
        <f>IF(Generation!AP65="","",Generation!AP65)</f>
        <v/>
      </c>
      <c r="B3037" s="48" t="n"/>
      <c r="C3037" s="48" t="n"/>
    </row>
    <row r="3038" ht="18" customHeight="1" s="17">
      <c r="A3038" s="48">
        <f>IF(Generation!AQ65="","",Generation!AQ65)</f>
        <v/>
      </c>
      <c r="B3038" s="48" t="n"/>
      <c r="C3038" s="48" t="n"/>
    </row>
    <row r="3039" ht="18" customHeight="1" s="17">
      <c r="A3039" s="48">
        <f>IF(Generation!$B65,"    &lt;/resprocessing&gt;","")</f>
        <v/>
      </c>
      <c r="B3039" s="48" t="n"/>
      <c r="C3039" s="48" t="n"/>
    </row>
    <row r="3040" ht="18" customHeight="1" s="17">
      <c r="A3040" s="48">
        <f>IF(Generation!BB65="","",Generation!BB65)</f>
        <v/>
      </c>
      <c r="B3040" s="48" t="n"/>
      <c r="C3040" s="48" t="n"/>
    </row>
    <row r="3041" ht="18" customHeight="1" s="17">
      <c r="A3041" s="48">
        <f>IF(Generation!BC65="","",Generation!BC65)</f>
        <v/>
      </c>
      <c r="B3041" s="48" t="n"/>
      <c r="C3041" s="48" t="n"/>
    </row>
    <row r="3042" ht="18" customHeight="1" s="17">
      <c r="A3042" s="48">
        <f>IF(Generation!BD65="","",Generation!BD65)</f>
        <v/>
      </c>
      <c r="B3042" s="48" t="n"/>
      <c r="C3042" s="48" t="n"/>
    </row>
    <row r="3043" ht="18" customHeight="1" s="17">
      <c r="A3043" s="48">
        <f>IF(Generation!BE65="","",Generation!BE65)</f>
        <v/>
      </c>
      <c r="B3043" s="48" t="n"/>
      <c r="C3043" s="48" t="n"/>
    </row>
    <row r="3044" ht="18" customHeight="1" s="17">
      <c r="A3044" s="48">
        <f>IF(Generation!BF65="","",Generation!BF65)</f>
        <v/>
      </c>
      <c r="B3044" s="48" t="n"/>
      <c r="C3044" s="48" t="n"/>
    </row>
    <row r="3045" ht="18" customHeight="1" s="17">
      <c r="A3045" s="48">
        <f>IF(Generation!BG65="","",Generation!BG65)</f>
        <v/>
      </c>
      <c r="B3045" s="48" t="n"/>
      <c r="C3045" s="48" t="n"/>
    </row>
    <row r="3046" ht="18" customHeight="1" s="17">
      <c r="A3046" s="48">
        <f>IF(Generation!BH65="","",Generation!BH65)</f>
        <v/>
      </c>
      <c r="B3046" s="48" t="n"/>
      <c r="C3046" s="48" t="n"/>
    </row>
    <row r="3047" ht="18" customHeight="1" s="17">
      <c r="A3047" s="48">
        <f>IF(Generation!BI65="","",Generation!BI65)</f>
        <v/>
      </c>
      <c r="B3047" s="48" t="n"/>
      <c r="C3047" s="48" t="n"/>
    </row>
    <row r="3048" ht="18" customHeight="1" s="17">
      <c r="A3048" s="48">
        <f>IF(Generation!BJ65="","",Generation!BJ65)</f>
        <v/>
      </c>
      <c r="B3048" s="48" t="n"/>
      <c r="C3048" s="48" t="n"/>
    </row>
    <row r="3049" ht="18" customHeight="1" s="17">
      <c r="A3049" s="48">
        <f>IF(Generation!$B65,"  &lt;/item&gt;","")</f>
        <v/>
      </c>
      <c r="B3049" s="48" t="n"/>
      <c r="C3049" s="48" t="n"/>
    </row>
    <row r="3050" ht="18" customHeight="1" s="17">
      <c r="A3050" s="48">
        <f>""</f>
        <v/>
      </c>
      <c r="B3050" s="48" t="n"/>
      <c r="C3050" s="48" t="n"/>
    </row>
    <row r="3051" ht="18" customHeight="1" s="17">
      <c r="A3051" s="48">
        <f>""</f>
        <v/>
      </c>
      <c r="B3051" s="48" t="n"/>
      <c r="C3051" s="48" t="n"/>
    </row>
    <row r="3052" ht="18" customHeight="1" s="17">
      <c r="A3052" s="48">
        <f>""</f>
        <v/>
      </c>
      <c r="B3052" s="48" t="n"/>
      <c r="C3052" s="48" t="n"/>
    </row>
    <row r="3053" ht="18" customHeight="1" s="17">
      <c r="A3053" s="48">
        <f>""</f>
        <v/>
      </c>
      <c r="B3053" s="48" t="n"/>
      <c r="C3053" s="48" t="n"/>
    </row>
    <row r="3054" ht="18" customHeight="1" s="17">
      <c r="A3054" s="48">
        <f>IF(Generation!$B66,"  &lt;item ident=""il_0_qst_"&amp;TEXT(Generation!$A66,"000")&amp;""" title="""&amp;Generation!$F66&amp;"""&gt;","")</f>
        <v/>
      </c>
      <c r="B3054" s="48" t="n"/>
      <c r="C3054" s="48" t="n"/>
    </row>
    <row r="3055" ht="18" customHeight="1" s="17">
      <c r="A3055" s="48">
        <f>IF(Generation!$B66,"    &lt;duration&gt;P0Y0M0DT0H1M0S&lt;/duration&gt;","")</f>
        <v/>
      </c>
      <c r="B3055" s="48" t="n"/>
      <c r="C3055" s="48" t="n"/>
    </row>
    <row r="3056" ht="18" customHeight="1" s="17">
      <c r="A3056" s="48">
        <f>IF(Generation!$B66,"    &lt;itemmetadata&gt;","")</f>
        <v/>
      </c>
      <c r="B3056" s="48" t="n"/>
      <c r="C3056" s="48" t="n"/>
    </row>
    <row r="3057" ht="18" customHeight="1" s="17">
      <c r="A3057" s="48">
        <f>IF(Generation!$B66,"      &lt;qtimetadata&gt;","")</f>
        <v/>
      </c>
      <c r="B3057" s="48" t="n"/>
      <c r="C3057" s="48" t="n"/>
    </row>
    <row r="3058" ht="18" customHeight="1" s="17">
      <c r="A3058" s="48">
        <f>IF(Generation!$B66,"        &lt;qtimetadatafield&gt;&lt;fieldlabel&gt;ILIAS_VERSION&lt;/fieldlabel&gt;&lt;fieldentry&gt;8&lt;/fieldentry&gt;&lt;/qtimetadatafield&gt;","")</f>
        <v/>
      </c>
      <c r="B3058" s="48" t="n"/>
      <c r="C3058" s="48" t="n"/>
    </row>
    <row r="3059" ht="18" customHeight="1" s="17">
      <c r="A3059" s="48">
        <f>IF(Generation!$B66,"        &lt;qtimetadatafield&gt;&lt;fieldlabel&gt;QUESTIONTYPE&lt;/fieldlabel&gt;&lt;fieldentry&gt;"&amp;Generation!$D66&amp;"&lt;/fieldentry&gt;&lt;/qtimetadatafield&gt;","")</f>
        <v/>
      </c>
      <c r="B3059" s="48" t="n"/>
      <c r="C3059" s="48" t="n"/>
    </row>
    <row r="3060" ht="18" customHeight="1" s="17">
      <c r="A3060" s="48">
        <f>IF(Generation!$B66,"        &lt;qtimetadatafield&gt;&lt;fieldlabel&gt;AUTHOR&lt;/fieldlabel&gt;&lt;fieldentry&gt;"&amp;Generation!$AR66&amp;"&lt;/fieldentry&gt;&lt;/qtimetadatafield&gt;","")</f>
        <v/>
      </c>
      <c r="B3060" s="48" t="n"/>
      <c r="C3060" s="48" t="n"/>
    </row>
    <row r="3061" ht="18" customHeight="1" s="17">
      <c r="A3061" s="48">
        <f>IF(Generation!$B66,"        &lt;qtimetadatafield&gt;&lt;fieldlabel&gt;identicalScoring&lt;/fieldlabel&gt;&lt;fieldentry&gt;1&lt;/fieldentry&gt;&lt;/qtimetadatafield&gt;","")</f>
        <v/>
      </c>
      <c r="B3061" s="48" t="n"/>
      <c r="C3061" s="48" t="n"/>
    </row>
    <row r="3062" ht="18" customHeight="1" s="17">
      <c r="A3062" s="48">
        <f>IF(Generation!$B66,"      &lt;/qtimetadata&gt;","")</f>
        <v/>
      </c>
      <c r="B3062" s="48" t="n"/>
      <c r="C3062" s="48" t="n"/>
    </row>
    <row r="3063" ht="18" customHeight="1" s="17">
      <c r="A3063" s="48">
        <f>IF(Generation!$B66,"    &lt;/itemmetadata&gt;","")</f>
        <v/>
      </c>
      <c r="B3063" s="48" t="n"/>
      <c r="C3063" s="48" t="n"/>
    </row>
    <row r="3064" ht="18" customHeight="1" s="17">
      <c r="A3064" s="48">
        <f>IF(Generation!$B66,"    &lt;presentation label="""&amp;Generation!$F66&amp;"""&gt;","")</f>
        <v/>
      </c>
      <c r="B3064" s="48" t="n"/>
      <c r="C3064" s="48" t="n"/>
    </row>
    <row r="3065" ht="18" customHeight="1" s="17">
      <c r="A3065" s="48">
        <f>IF(Generation!$B66,"      &lt;material&gt;&lt;mattext texttype=""text/html""&gt;"&amp;Generation!$G66&amp;"&lt;/mattext&gt;&lt;/material&gt;","")</f>
        <v/>
      </c>
      <c r="B3065" s="48" t="n"/>
      <c r="C3065" s="48" t="n"/>
    </row>
    <row r="3066" ht="18" customHeight="1" s="17">
      <c r="A3066" s="48">
        <f>IF(Generation!$B66,"      &lt;response_lid ident=""RESPONSE"" rcardinality="""&amp;Generation!$E66&amp;"""&gt;","")</f>
        <v/>
      </c>
      <c r="B3066" s="48" t="n"/>
      <c r="C3066" s="48" t="n"/>
    </row>
    <row r="3067" ht="18" customHeight="1" s="17">
      <c r="A3067" s="48">
        <f>IF(Generation!$B66,"        &lt;render_choice shuffle=""No""&gt;","")</f>
        <v/>
      </c>
      <c r="B3067" s="48" t="n"/>
      <c r="C3067" s="48" t="n"/>
    </row>
    <row r="3068" ht="18" customHeight="1" s="17">
      <c r="A3068" s="48">
        <f>IF(Generation!AB66="","",Generation!AB66)</f>
        <v/>
      </c>
      <c r="B3068" s="48" t="n"/>
      <c r="C3068" s="48" t="n"/>
    </row>
    <row r="3069" ht="18" customHeight="1" s="17">
      <c r="A3069" s="48">
        <f>IF(Generation!AC66="","",Generation!AC66)</f>
        <v/>
      </c>
      <c r="B3069" s="48" t="n"/>
      <c r="C3069" s="48" t="n"/>
    </row>
    <row r="3070" ht="18" customHeight="1" s="17">
      <c r="A3070" s="48">
        <f>IF(Generation!AD66="","",Generation!AD66)</f>
        <v/>
      </c>
      <c r="B3070" s="48" t="n"/>
      <c r="C3070" s="48" t="n"/>
    </row>
    <row r="3071" ht="18" customHeight="1" s="17">
      <c r="A3071" s="48">
        <f>IF(Generation!AE66="","",Generation!AE66)</f>
        <v/>
      </c>
      <c r="B3071" s="48" t="n"/>
      <c r="C3071" s="48" t="n"/>
    </row>
    <row r="3072" ht="18" customHeight="1" s="17">
      <c r="A3072" s="48">
        <f>IF(Generation!AF66="","",Generation!AF66)</f>
        <v/>
      </c>
      <c r="B3072" s="48" t="n"/>
      <c r="C3072" s="48" t="n"/>
    </row>
    <row r="3073" ht="18" customHeight="1" s="17">
      <c r="A3073" s="48">
        <f>IF(Generation!AG66="","",Generation!AG66)</f>
        <v/>
      </c>
      <c r="B3073" s="48" t="n"/>
      <c r="C3073" s="48" t="n"/>
    </row>
    <row r="3074" ht="18" customHeight="1" s="17">
      <c r="A3074" s="48">
        <f>IF(Generation!AH66="","",Generation!AH66)</f>
        <v/>
      </c>
      <c r="B3074" s="48" t="n"/>
      <c r="C3074" s="48" t="n"/>
    </row>
    <row r="3075" ht="18" customHeight="1" s="17">
      <c r="A3075" s="48">
        <f>IF(Generation!AI66="","",Generation!AI66)</f>
        <v/>
      </c>
      <c r="B3075" s="48" t="n"/>
      <c r="C3075" s="48" t="n"/>
    </row>
    <row r="3076" ht="18" customHeight="1" s="17">
      <c r="A3076" s="48">
        <f>IF(Generation!$B66,"        &lt;/render_choice&gt;","")</f>
        <v/>
      </c>
      <c r="B3076" s="48" t="n"/>
      <c r="C3076" s="48" t="n"/>
    </row>
    <row r="3077" ht="18" customHeight="1" s="17">
      <c r="A3077" s="48">
        <f>IF(Generation!$B66,"      &lt;/response_lid&gt;","")</f>
        <v/>
      </c>
      <c r="B3077" s="48" t="n"/>
      <c r="C3077" s="48" t="n"/>
    </row>
    <row r="3078" ht="18" customHeight="1" s="17">
      <c r="A3078" s="48">
        <f>IF(Generation!$B66,"    &lt;/presentation&gt;","")</f>
        <v/>
      </c>
      <c r="B3078" s="48" t="n"/>
      <c r="C3078" s="48" t="n"/>
    </row>
    <row r="3079" ht="18" customHeight="1" s="17">
      <c r="A3079" s="48">
        <f>IF(Generation!$B66,"    &lt;resprocessing&gt;","")</f>
        <v/>
      </c>
      <c r="B3079" s="48" t="n"/>
      <c r="C3079" s="48" t="n"/>
    </row>
    <row r="3080" ht="18" customHeight="1" s="17">
      <c r="A3080" s="48">
        <f>IF(Generation!$B66,"      &lt;outcomes&gt;&lt;decvar varname=""SCORE"" vartype=""Decimal"" minvalue=""0"" maxvalue="""&amp;Generation!$H66&amp;"""/&gt;&lt;/outcomes&gt;","")</f>
        <v/>
      </c>
      <c r="B3080" s="48" t="n"/>
      <c r="C3080" s="48" t="n"/>
    </row>
    <row r="3081" ht="18" customHeight="1" s="17">
      <c r="A3081" s="48">
        <f>IF(Generation!AJ66="","",Generation!AJ66)</f>
        <v/>
      </c>
      <c r="B3081" s="48" t="n"/>
      <c r="C3081" s="48" t="n"/>
    </row>
    <row r="3082" ht="18" customHeight="1" s="17">
      <c r="A3082" s="48">
        <f>IF(Generation!AK66="","",Generation!AK66)</f>
        <v/>
      </c>
      <c r="B3082" s="48" t="n"/>
      <c r="C3082" s="48" t="n"/>
    </row>
    <row r="3083" ht="18" customHeight="1" s="17">
      <c r="A3083" s="48">
        <f>IF(Generation!AL66="","",Generation!AL66)</f>
        <v/>
      </c>
      <c r="B3083" s="48" t="n"/>
      <c r="C3083" s="48" t="n"/>
    </row>
    <row r="3084" ht="18" customHeight="1" s="17">
      <c r="A3084" s="48">
        <f>IF(Generation!AM66="","",Generation!AM66)</f>
        <v/>
      </c>
      <c r="B3084" s="48" t="n"/>
      <c r="C3084" s="48" t="n"/>
    </row>
    <row r="3085" ht="18" customHeight="1" s="17">
      <c r="A3085" s="48">
        <f>IF(Generation!AN66="","",Generation!AN66)</f>
        <v/>
      </c>
      <c r="B3085" s="48" t="n"/>
      <c r="C3085" s="48" t="n"/>
    </row>
    <row r="3086" ht="18" customHeight="1" s="17">
      <c r="A3086" s="48">
        <f>IF(Generation!AO66="","",Generation!AO66)</f>
        <v/>
      </c>
      <c r="B3086" s="48" t="n"/>
      <c r="C3086" s="48" t="n"/>
    </row>
    <row r="3087" ht="18" customHeight="1" s="17">
      <c r="A3087" s="48">
        <f>IF(Generation!AP66="","",Generation!AP66)</f>
        <v/>
      </c>
      <c r="B3087" s="48" t="n"/>
      <c r="C3087" s="48" t="n"/>
    </row>
    <row r="3088" ht="18" customHeight="1" s="17">
      <c r="A3088" s="48">
        <f>IF(Generation!AQ66="","",Generation!AQ66)</f>
        <v/>
      </c>
      <c r="B3088" s="48" t="n"/>
      <c r="C3088" s="48" t="n"/>
    </row>
    <row r="3089" ht="18" customHeight="1" s="17">
      <c r="A3089" s="48">
        <f>IF(Generation!$B66,"    &lt;/resprocessing&gt;","")</f>
        <v/>
      </c>
      <c r="B3089" s="48" t="n"/>
      <c r="C3089" s="48" t="n"/>
    </row>
    <row r="3090" ht="18" customHeight="1" s="17">
      <c r="A3090" s="48">
        <f>IF(Generation!BB66="","",Generation!BB66)</f>
        <v/>
      </c>
      <c r="B3090" s="48" t="n"/>
      <c r="C3090" s="48" t="n"/>
    </row>
    <row r="3091" ht="18" customHeight="1" s="17">
      <c r="A3091" s="48">
        <f>IF(Generation!BC66="","",Generation!BC66)</f>
        <v/>
      </c>
      <c r="B3091" s="48" t="n"/>
      <c r="C3091" s="48" t="n"/>
    </row>
    <row r="3092" ht="18" customHeight="1" s="17">
      <c r="A3092" s="48">
        <f>IF(Generation!BD66="","",Generation!BD66)</f>
        <v/>
      </c>
      <c r="B3092" s="48" t="n"/>
      <c r="C3092" s="48" t="n"/>
    </row>
    <row r="3093" ht="18" customHeight="1" s="17">
      <c r="A3093" s="48">
        <f>IF(Generation!BE66="","",Generation!BE66)</f>
        <v/>
      </c>
      <c r="B3093" s="48" t="n"/>
      <c r="C3093" s="48" t="n"/>
    </row>
    <row r="3094" ht="18" customHeight="1" s="17">
      <c r="A3094" s="48">
        <f>IF(Generation!BF66="","",Generation!BF66)</f>
        <v/>
      </c>
      <c r="B3094" s="48" t="n"/>
      <c r="C3094" s="48" t="n"/>
    </row>
    <row r="3095" ht="18" customHeight="1" s="17">
      <c r="A3095" s="48">
        <f>IF(Generation!BG66="","",Generation!BG66)</f>
        <v/>
      </c>
      <c r="B3095" s="48" t="n"/>
      <c r="C3095" s="48" t="n"/>
    </row>
    <row r="3096" ht="18" customHeight="1" s="17">
      <c r="A3096" s="48">
        <f>IF(Generation!BH66="","",Generation!BH66)</f>
        <v/>
      </c>
      <c r="B3096" s="48" t="n"/>
      <c r="C3096" s="48" t="n"/>
    </row>
    <row r="3097" ht="18" customHeight="1" s="17">
      <c r="A3097" s="48">
        <f>IF(Generation!BI66="","",Generation!BI66)</f>
        <v/>
      </c>
      <c r="B3097" s="48" t="n"/>
      <c r="C3097" s="48" t="n"/>
    </row>
    <row r="3098" ht="18" customHeight="1" s="17">
      <c r="A3098" s="48">
        <f>IF(Generation!BJ66="","",Generation!BJ66)</f>
        <v/>
      </c>
      <c r="B3098" s="48" t="n"/>
      <c r="C3098" s="48" t="n"/>
    </row>
    <row r="3099" ht="18" customHeight="1" s="17">
      <c r="A3099" s="48">
        <f>IF(Generation!$B66,"  &lt;/item&gt;","")</f>
        <v/>
      </c>
      <c r="B3099" s="48" t="n"/>
      <c r="C3099" s="48" t="n"/>
    </row>
    <row r="3100" ht="18" customHeight="1" s="17">
      <c r="A3100" s="48">
        <f>""</f>
        <v/>
      </c>
      <c r="B3100" s="48" t="n"/>
      <c r="C3100" s="48" t="n"/>
    </row>
    <row r="3101" ht="18" customHeight="1" s="17">
      <c r="A3101" s="48">
        <f>""</f>
        <v/>
      </c>
      <c r="B3101" s="48" t="n"/>
      <c r="C3101" s="48" t="n"/>
    </row>
    <row r="3102" ht="18" customHeight="1" s="17">
      <c r="A3102" s="48">
        <f>""</f>
        <v/>
      </c>
      <c r="B3102" s="48" t="n"/>
      <c r="C3102" s="48" t="n"/>
    </row>
    <row r="3103" ht="18" customHeight="1" s="17">
      <c r="A3103" s="48">
        <f>""</f>
        <v/>
      </c>
      <c r="B3103" s="48" t="n"/>
      <c r="C3103" s="48" t="n"/>
    </row>
    <row r="3104" ht="18" customHeight="1" s="17">
      <c r="A3104" s="48">
        <f>IF(Generation!$B67,"  &lt;item ident=""il_0_qst_"&amp;TEXT(Generation!$A67,"000")&amp;""" title="""&amp;Generation!$F67&amp;"""&gt;","")</f>
        <v/>
      </c>
      <c r="B3104" s="48" t="n"/>
      <c r="C3104" s="48" t="n"/>
    </row>
    <row r="3105" ht="18" customHeight="1" s="17">
      <c r="A3105" s="48">
        <f>IF(Generation!$B67,"    &lt;duration&gt;P0Y0M0DT0H1M0S&lt;/duration&gt;","")</f>
        <v/>
      </c>
      <c r="B3105" s="48" t="n"/>
      <c r="C3105" s="48" t="n"/>
    </row>
    <row r="3106" ht="18" customHeight="1" s="17">
      <c r="A3106" s="48">
        <f>IF(Generation!$B67,"    &lt;itemmetadata&gt;","")</f>
        <v/>
      </c>
      <c r="B3106" s="48" t="n"/>
      <c r="C3106" s="48" t="n"/>
    </row>
    <row r="3107" ht="18" customHeight="1" s="17">
      <c r="A3107" s="48">
        <f>IF(Generation!$B67,"      &lt;qtimetadata&gt;","")</f>
        <v/>
      </c>
      <c r="B3107" s="48" t="n"/>
      <c r="C3107" s="48" t="n"/>
    </row>
    <row r="3108" ht="18" customHeight="1" s="17">
      <c r="A3108" s="48">
        <f>IF(Generation!$B67,"        &lt;qtimetadatafield&gt;&lt;fieldlabel&gt;ILIAS_VERSION&lt;/fieldlabel&gt;&lt;fieldentry&gt;8&lt;/fieldentry&gt;&lt;/qtimetadatafield&gt;","")</f>
        <v/>
      </c>
      <c r="B3108" s="48" t="n"/>
      <c r="C3108" s="48" t="n"/>
    </row>
    <row r="3109" ht="18" customHeight="1" s="17">
      <c r="A3109" s="48">
        <f>IF(Generation!$B67,"        &lt;qtimetadatafield&gt;&lt;fieldlabel&gt;QUESTIONTYPE&lt;/fieldlabel&gt;&lt;fieldentry&gt;"&amp;Generation!$D67&amp;"&lt;/fieldentry&gt;&lt;/qtimetadatafield&gt;","")</f>
        <v/>
      </c>
      <c r="B3109" s="48" t="n"/>
      <c r="C3109" s="48" t="n"/>
    </row>
    <row r="3110" ht="18" customHeight="1" s="17">
      <c r="A3110" s="48">
        <f>IF(Generation!$B67,"        &lt;qtimetadatafield&gt;&lt;fieldlabel&gt;AUTHOR&lt;/fieldlabel&gt;&lt;fieldentry&gt;"&amp;Generation!$AR67&amp;"&lt;/fieldentry&gt;&lt;/qtimetadatafield&gt;","")</f>
        <v/>
      </c>
      <c r="B3110" s="48" t="n"/>
      <c r="C3110" s="48" t="n"/>
    </row>
    <row r="3111" ht="18" customHeight="1" s="17">
      <c r="A3111" s="48">
        <f>IF(Generation!$B67,"        &lt;qtimetadatafield&gt;&lt;fieldlabel&gt;identicalScoring&lt;/fieldlabel&gt;&lt;fieldentry&gt;1&lt;/fieldentry&gt;&lt;/qtimetadatafield&gt;","")</f>
        <v/>
      </c>
      <c r="B3111" s="48" t="n"/>
      <c r="C3111" s="48" t="n"/>
    </row>
    <row r="3112" ht="18" customHeight="1" s="17">
      <c r="A3112" s="48">
        <f>IF(Generation!$B67,"      &lt;/qtimetadata&gt;","")</f>
        <v/>
      </c>
      <c r="B3112" s="48" t="n"/>
      <c r="C3112" s="48" t="n"/>
    </row>
    <row r="3113" ht="18" customHeight="1" s="17">
      <c r="A3113" s="48">
        <f>IF(Generation!$B67,"    &lt;/itemmetadata&gt;","")</f>
        <v/>
      </c>
      <c r="B3113" s="48" t="n"/>
      <c r="C3113" s="48" t="n"/>
    </row>
    <row r="3114" ht="18" customHeight="1" s="17">
      <c r="A3114" s="48">
        <f>IF(Generation!$B67,"    &lt;presentation label="""&amp;Generation!$F67&amp;"""&gt;","")</f>
        <v/>
      </c>
      <c r="B3114" s="48" t="n"/>
      <c r="C3114" s="48" t="n"/>
    </row>
    <row r="3115" ht="18" customHeight="1" s="17">
      <c r="A3115" s="48">
        <f>IF(Generation!$B67,"      &lt;material&gt;&lt;mattext texttype=""text/html""&gt;"&amp;Generation!$G67&amp;"&lt;/mattext&gt;&lt;/material&gt;","")</f>
        <v/>
      </c>
      <c r="B3115" s="48" t="n"/>
      <c r="C3115" s="48" t="n"/>
    </row>
    <row r="3116" ht="18" customHeight="1" s="17">
      <c r="A3116" s="48">
        <f>IF(Generation!$B67,"      &lt;response_lid ident=""RESPONSE"" rcardinality="""&amp;Generation!$E67&amp;"""&gt;","")</f>
        <v/>
      </c>
      <c r="B3116" s="48" t="n"/>
      <c r="C3116" s="48" t="n"/>
    </row>
    <row r="3117" ht="18" customHeight="1" s="17">
      <c r="A3117" s="48">
        <f>IF(Generation!$B67,"        &lt;render_choice shuffle=""No""&gt;","")</f>
        <v/>
      </c>
      <c r="B3117" s="48" t="n"/>
      <c r="C3117" s="48" t="n"/>
    </row>
    <row r="3118" ht="18" customHeight="1" s="17">
      <c r="A3118" s="48">
        <f>IF(Generation!AB67="","",Generation!AB67)</f>
        <v/>
      </c>
      <c r="B3118" s="48" t="n"/>
      <c r="C3118" s="48" t="n"/>
    </row>
    <row r="3119" ht="18" customHeight="1" s="17">
      <c r="A3119" s="48">
        <f>IF(Generation!AC67="","",Generation!AC67)</f>
        <v/>
      </c>
      <c r="B3119" s="48" t="n"/>
      <c r="C3119" s="48" t="n"/>
    </row>
    <row r="3120" ht="18" customHeight="1" s="17">
      <c r="A3120" s="48">
        <f>IF(Generation!AD67="","",Generation!AD67)</f>
        <v/>
      </c>
      <c r="B3120" s="48" t="n"/>
      <c r="C3120" s="48" t="n"/>
    </row>
    <row r="3121" ht="18" customHeight="1" s="17">
      <c r="A3121" s="48">
        <f>IF(Generation!AE67="","",Generation!AE67)</f>
        <v/>
      </c>
      <c r="B3121" s="48" t="n"/>
      <c r="C3121" s="48" t="n"/>
    </row>
    <row r="3122" ht="18" customHeight="1" s="17">
      <c r="A3122" s="48">
        <f>IF(Generation!AF67="","",Generation!AF67)</f>
        <v/>
      </c>
      <c r="B3122" s="48" t="n"/>
      <c r="C3122" s="48" t="n"/>
    </row>
    <row r="3123" ht="18" customHeight="1" s="17">
      <c r="A3123" s="48">
        <f>IF(Generation!AG67="","",Generation!AG67)</f>
        <v/>
      </c>
      <c r="B3123" s="48" t="n"/>
      <c r="C3123" s="48" t="n"/>
    </row>
    <row r="3124" ht="18" customHeight="1" s="17">
      <c r="A3124" s="48">
        <f>IF(Generation!AH67="","",Generation!AH67)</f>
        <v/>
      </c>
      <c r="B3124" s="48" t="n"/>
      <c r="C3124" s="48" t="n"/>
    </row>
    <row r="3125" ht="18" customHeight="1" s="17">
      <c r="A3125" s="48">
        <f>IF(Generation!AI67="","",Generation!AI67)</f>
        <v/>
      </c>
      <c r="B3125" s="48" t="n"/>
      <c r="C3125" s="48" t="n"/>
    </row>
    <row r="3126" ht="18" customHeight="1" s="17">
      <c r="A3126" s="48">
        <f>IF(Generation!$B67,"        &lt;/render_choice&gt;","")</f>
        <v/>
      </c>
      <c r="B3126" s="48" t="n"/>
      <c r="C3126" s="48" t="n"/>
    </row>
    <row r="3127" ht="18" customHeight="1" s="17">
      <c r="A3127" s="48">
        <f>IF(Generation!$B67,"      &lt;/response_lid&gt;","")</f>
        <v/>
      </c>
      <c r="B3127" s="48" t="n"/>
      <c r="C3127" s="48" t="n"/>
    </row>
    <row r="3128" ht="18" customHeight="1" s="17">
      <c r="A3128" s="48">
        <f>IF(Generation!$B67,"    &lt;/presentation&gt;","")</f>
        <v/>
      </c>
      <c r="B3128" s="48" t="n"/>
      <c r="C3128" s="48" t="n"/>
    </row>
    <row r="3129" ht="18" customHeight="1" s="17">
      <c r="A3129" s="48">
        <f>IF(Generation!$B67,"    &lt;resprocessing&gt;","")</f>
        <v/>
      </c>
      <c r="B3129" s="48" t="n"/>
      <c r="C3129" s="48" t="n"/>
    </row>
    <row r="3130" ht="18" customHeight="1" s="17">
      <c r="A3130" s="48">
        <f>IF(Generation!$B67,"      &lt;outcomes&gt;&lt;decvar varname=""SCORE"" vartype=""Decimal"" minvalue=""0"" maxvalue="""&amp;Generation!$H67&amp;"""/&gt;&lt;/outcomes&gt;","")</f>
        <v/>
      </c>
      <c r="B3130" s="48" t="n"/>
      <c r="C3130" s="48" t="n"/>
    </row>
    <row r="3131" ht="18" customHeight="1" s="17">
      <c r="A3131" s="48">
        <f>IF(Generation!AJ67="","",Generation!AJ67)</f>
        <v/>
      </c>
      <c r="B3131" s="48" t="n"/>
      <c r="C3131" s="48" t="n"/>
    </row>
    <row r="3132" ht="18" customHeight="1" s="17">
      <c r="A3132" s="48">
        <f>IF(Generation!AK67="","",Generation!AK67)</f>
        <v/>
      </c>
      <c r="B3132" s="48" t="n"/>
      <c r="C3132" s="48" t="n"/>
    </row>
    <row r="3133" ht="18" customHeight="1" s="17">
      <c r="A3133" s="48">
        <f>IF(Generation!AL67="","",Generation!AL67)</f>
        <v/>
      </c>
      <c r="B3133" s="48" t="n"/>
      <c r="C3133" s="48" t="n"/>
    </row>
    <row r="3134" ht="18" customHeight="1" s="17">
      <c r="A3134" s="48">
        <f>IF(Generation!AM67="","",Generation!AM67)</f>
        <v/>
      </c>
      <c r="B3134" s="48" t="n"/>
      <c r="C3134" s="48" t="n"/>
    </row>
    <row r="3135" ht="18" customHeight="1" s="17">
      <c r="A3135" s="48">
        <f>IF(Generation!AN67="","",Generation!AN67)</f>
        <v/>
      </c>
      <c r="B3135" s="48" t="n"/>
      <c r="C3135" s="48" t="n"/>
    </row>
    <row r="3136" ht="18" customHeight="1" s="17">
      <c r="A3136" s="48">
        <f>IF(Generation!AO67="","",Generation!AO67)</f>
        <v/>
      </c>
      <c r="B3136" s="48" t="n"/>
      <c r="C3136" s="48" t="n"/>
    </row>
    <row r="3137" ht="18" customHeight="1" s="17">
      <c r="A3137" s="48">
        <f>IF(Generation!AP67="","",Generation!AP67)</f>
        <v/>
      </c>
      <c r="B3137" s="48" t="n"/>
      <c r="C3137" s="48" t="n"/>
    </row>
    <row r="3138" ht="18" customHeight="1" s="17">
      <c r="A3138" s="48">
        <f>IF(Generation!AQ67="","",Generation!AQ67)</f>
        <v/>
      </c>
      <c r="B3138" s="48" t="n"/>
      <c r="C3138" s="48" t="n"/>
    </row>
    <row r="3139" ht="18" customHeight="1" s="17">
      <c r="A3139" s="48">
        <f>IF(Generation!$B67,"    &lt;/resprocessing&gt;","")</f>
        <v/>
      </c>
      <c r="B3139" s="48" t="n"/>
      <c r="C3139" s="48" t="n"/>
    </row>
    <row r="3140" ht="18" customHeight="1" s="17">
      <c r="A3140" s="48">
        <f>IF(Generation!BB67="","",Generation!BB67)</f>
        <v/>
      </c>
      <c r="B3140" s="48" t="n"/>
      <c r="C3140" s="48" t="n"/>
    </row>
    <row r="3141" ht="18" customHeight="1" s="17">
      <c r="A3141" s="48">
        <f>IF(Generation!BC67="","",Generation!BC67)</f>
        <v/>
      </c>
      <c r="B3141" s="48" t="n"/>
      <c r="C3141" s="48" t="n"/>
    </row>
    <row r="3142" ht="18" customHeight="1" s="17">
      <c r="A3142" s="48">
        <f>IF(Generation!BD67="","",Generation!BD67)</f>
        <v/>
      </c>
      <c r="B3142" s="48" t="n"/>
      <c r="C3142" s="48" t="n"/>
    </row>
    <row r="3143" ht="18" customHeight="1" s="17">
      <c r="A3143" s="48">
        <f>IF(Generation!BE67="","",Generation!BE67)</f>
        <v/>
      </c>
      <c r="B3143" s="48" t="n"/>
      <c r="C3143" s="48" t="n"/>
    </row>
    <row r="3144" ht="18" customHeight="1" s="17">
      <c r="A3144" s="48">
        <f>IF(Generation!BF67="","",Generation!BF67)</f>
        <v/>
      </c>
      <c r="B3144" s="48" t="n"/>
      <c r="C3144" s="48" t="n"/>
    </row>
    <row r="3145" ht="18" customHeight="1" s="17">
      <c r="A3145" s="48">
        <f>IF(Generation!BG67="","",Generation!BG67)</f>
        <v/>
      </c>
      <c r="B3145" s="48" t="n"/>
      <c r="C3145" s="48" t="n"/>
    </row>
    <row r="3146" ht="18" customHeight="1" s="17">
      <c r="A3146" s="48">
        <f>IF(Generation!BH67="","",Generation!BH67)</f>
        <v/>
      </c>
      <c r="B3146" s="48" t="n"/>
      <c r="C3146" s="48" t="n"/>
    </row>
    <row r="3147" ht="18" customHeight="1" s="17">
      <c r="A3147" s="48">
        <f>IF(Generation!BI67="","",Generation!BI67)</f>
        <v/>
      </c>
      <c r="B3147" s="48" t="n"/>
      <c r="C3147" s="48" t="n"/>
    </row>
    <row r="3148" ht="18" customHeight="1" s="17">
      <c r="A3148" s="48">
        <f>IF(Generation!BJ67="","",Generation!BJ67)</f>
        <v/>
      </c>
      <c r="B3148" s="48" t="n"/>
      <c r="C3148" s="48" t="n"/>
    </row>
    <row r="3149" ht="18" customHeight="1" s="17">
      <c r="A3149" s="48">
        <f>IF(Generation!$B67,"  &lt;/item&gt;","")</f>
        <v/>
      </c>
      <c r="B3149" s="48" t="n"/>
      <c r="C3149" s="48" t="n"/>
    </row>
    <row r="3150" ht="18" customHeight="1" s="17">
      <c r="A3150" s="48">
        <f>""</f>
        <v/>
      </c>
      <c r="B3150" s="48" t="n"/>
      <c r="C3150" s="48" t="n"/>
    </row>
    <row r="3151" ht="18" customHeight="1" s="17">
      <c r="A3151" s="48">
        <f>""</f>
        <v/>
      </c>
      <c r="B3151" s="48" t="n"/>
      <c r="C3151" s="48" t="n"/>
    </row>
    <row r="3152" ht="18" customHeight="1" s="17">
      <c r="A3152" s="48">
        <f>""</f>
        <v/>
      </c>
      <c r="B3152" s="48" t="n"/>
      <c r="C3152" s="48" t="n"/>
    </row>
    <row r="3153" ht="18" customHeight="1" s="17">
      <c r="A3153" s="48">
        <f>""</f>
        <v/>
      </c>
      <c r="B3153" s="48" t="n"/>
      <c r="C3153" s="48" t="n"/>
    </row>
    <row r="3154" ht="18" customHeight="1" s="17">
      <c r="A3154" s="48">
        <f>IF(Generation!$B68,"  &lt;item ident=""il_0_qst_"&amp;TEXT(Generation!$A68,"000")&amp;""" title="""&amp;Generation!$F68&amp;"""&gt;","")</f>
        <v/>
      </c>
      <c r="B3154" s="48" t="n"/>
      <c r="C3154" s="48" t="n"/>
    </row>
    <row r="3155" ht="18" customHeight="1" s="17">
      <c r="A3155" s="48">
        <f>IF(Generation!$B68,"    &lt;duration&gt;P0Y0M0DT0H1M0S&lt;/duration&gt;","")</f>
        <v/>
      </c>
      <c r="B3155" s="48" t="n"/>
      <c r="C3155" s="48" t="n"/>
    </row>
    <row r="3156" ht="18" customHeight="1" s="17">
      <c r="A3156" s="48">
        <f>IF(Generation!$B68,"    &lt;itemmetadata&gt;","")</f>
        <v/>
      </c>
      <c r="B3156" s="48" t="n"/>
      <c r="C3156" s="48" t="n"/>
    </row>
    <row r="3157" ht="18" customHeight="1" s="17">
      <c r="A3157" s="48">
        <f>IF(Generation!$B68,"      &lt;qtimetadata&gt;","")</f>
        <v/>
      </c>
      <c r="B3157" s="48" t="n"/>
      <c r="C3157" s="48" t="n"/>
    </row>
    <row r="3158" ht="18" customHeight="1" s="17">
      <c r="A3158" s="48">
        <f>IF(Generation!$B68,"        &lt;qtimetadatafield&gt;&lt;fieldlabel&gt;ILIAS_VERSION&lt;/fieldlabel&gt;&lt;fieldentry&gt;8&lt;/fieldentry&gt;&lt;/qtimetadatafield&gt;","")</f>
        <v/>
      </c>
      <c r="B3158" s="48" t="n"/>
      <c r="C3158" s="48" t="n"/>
    </row>
    <row r="3159" ht="18" customHeight="1" s="17">
      <c r="A3159" s="48">
        <f>IF(Generation!$B68,"        &lt;qtimetadatafield&gt;&lt;fieldlabel&gt;QUESTIONTYPE&lt;/fieldlabel&gt;&lt;fieldentry&gt;"&amp;Generation!$D68&amp;"&lt;/fieldentry&gt;&lt;/qtimetadatafield&gt;","")</f>
        <v/>
      </c>
      <c r="B3159" s="48" t="n"/>
      <c r="C3159" s="48" t="n"/>
    </row>
    <row r="3160" ht="18" customHeight="1" s="17">
      <c r="A3160" s="48">
        <f>IF(Generation!$B68,"        &lt;qtimetadatafield&gt;&lt;fieldlabel&gt;AUTHOR&lt;/fieldlabel&gt;&lt;fieldentry&gt;"&amp;Generation!$AR68&amp;"&lt;/fieldentry&gt;&lt;/qtimetadatafield&gt;","")</f>
        <v/>
      </c>
      <c r="B3160" s="48" t="n"/>
      <c r="C3160" s="48" t="n"/>
    </row>
    <row r="3161" ht="18" customHeight="1" s="17">
      <c r="A3161" s="48">
        <f>IF(Generation!$B68,"        &lt;qtimetadatafield&gt;&lt;fieldlabel&gt;identicalScoring&lt;/fieldlabel&gt;&lt;fieldentry&gt;1&lt;/fieldentry&gt;&lt;/qtimetadatafield&gt;","")</f>
        <v/>
      </c>
      <c r="B3161" s="48" t="n"/>
      <c r="C3161" s="48" t="n"/>
    </row>
    <row r="3162" ht="18" customHeight="1" s="17">
      <c r="A3162" s="48">
        <f>IF(Generation!$B68,"      &lt;/qtimetadata&gt;","")</f>
        <v/>
      </c>
      <c r="B3162" s="48" t="n"/>
      <c r="C3162" s="48" t="n"/>
    </row>
    <row r="3163" ht="18" customHeight="1" s="17">
      <c r="A3163" s="48">
        <f>IF(Generation!$B68,"    &lt;/itemmetadata&gt;","")</f>
        <v/>
      </c>
      <c r="B3163" s="48" t="n"/>
      <c r="C3163" s="48" t="n"/>
    </row>
    <row r="3164" ht="18" customHeight="1" s="17">
      <c r="A3164" s="48">
        <f>IF(Generation!$B68,"    &lt;presentation label="""&amp;Generation!$F68&amp;"""&gt;","")</f>
        <v/>
      </c>
      <c r="B3164" s="48" t="n"/>
      <c r="C3164" s="48" t="n"/>
    </row>
    <row r="3165" ht="18" customHeight="1" s="17">
      <c r="A3165" s="48">
        <f>IF(Generation!$B68,"      &lt;material&gt;&lt;mattext texttype=""text/html""&gt;"&amp;Generation!$G68&amp;"&lt;/mattext&gt;&lt;/material&gt;","")</f>
        <v/>
      </c>
      <c r="B3165" s="48" t="n"/>
      <c r="C3165" s="48" t="n"/>
    </row>
    <row r="3166" ht="18" customHeight="1" s="17">
      <c r="A3166" s="48">
        <f>IF(Generation!$B68,"      &lt;response_lid ident=""RESPONSE"" rcardinality="""&amp;Generation!$E68&amp;"""&gt;","")</f>
        <v/>
      </c>
      <c r="B3166" s="48" t="n"/>
      <c r="C3166" s="48" t="n"/>
    </row>
    <row r="3167" ht="18" customHeight="1" s="17">
      <c r="A3167" s="48">
        <f>IF(Generation!$B68,"        &lt;render_choice shuffle=""No""&gt;","")</f>
        <v/>
      </c>
      <c r="B3167" s="48" t="n"/>
      <c r="C3167" s="48" t="n"/>
    </row>
    <row r="3168" ht="18" customHeight="1" s="17">
      <c r="A3168" s="48">
        <f>IF(Generation!AB68="","",Generation!AB68)</f>
        <v/>
      </c>
      <c r="B3168" s="48" t="n"/>
      <c r="C3168" s="48" t="n"/>
    </row>
    <row r="3169" ht="18" customHeight="1" s="17">
      <c r="A3169" s="48">
        <f>IF(Generation!AC68="","",Generation!AC68)</f>
        <v/>
      </c>
      <c r="B3169" s="48" t="n"/>
      <c r="C3169" s="48" t="n"/>
    </row>
    <row r="3170" ht="18" customHeight="1" s="17">
      <c r="A3170" s="48">
        <f>IF(Generation!AD68="","",Generation!AD68)</f>
        <v/>
      </c>
      <c r="B3170" s="48" t="n"/>
      <c r="C3170" s="48" t="n"/>
    </row>
    <row r="3171" ht="18" customHeight="1" s="17">
      <c r="A3171" s="48">
        <f>IF(Generation!AE68="","",Generation!AE68)</f>
        <v/>
      </c>
      <c r="B3171" s="48" t="n"/>
      <c r="C3171" s="48" t="n"/>
    </row>
    <row r="3172" ht="18" customHeight="1" s="17">
      <c r="A3172" s="48">
        <f>IF(Generation!AF68="","",Generation!AF68)</f>
        <v/>
      </c>
      <c r="B3172" s="48" t="n"/>
      <c r="C3172" s="48" t="n"/>
    </row>
    <row r="3173" ht="18" customHeight="1" s="17">
      <c r="A3173" s="48">
        <f>IF(Generation!AG68="","",Generation!AG68)</f>
        <v/>
      </c>
      <c r="B3173" s="48" t="n"/>
      <c r="C3173" s="48" t="n"/>
    </row>
    <row r="3174" ht="18" customHeight="1" s="17">
      <c r="A3174" s="48">
        <f>IF(Generation!AH68="","",Generation!AH68)</f>
        <v/>
      </c>
      <c r="B3174" s="48" t="n"/>
      <c r="C3174" s="48" t="n"/>
    </row>
    <row r="3175" ht="18" customHeight="1" s="17">
      <c r="A3175" s="48">
        <f>IF(Generation!AI68="","",Generation!AI68)</f>
        <v/>
      </c>
      <c r="B3175" s="48" t="n"/>
      <c r="C3175" s="48" t="n"/>
    </row>
    <row r="3176" ht="18" customHeight="1" s="17">
      <c r="A3176" s="48">
        <f>IF(Generation!$B68,"        &lt;/render_choice&gt;","")</f>
        <v/>
      </c>
      <c r="B3176" s="48" t="n"/>
      <c r="C3176" s="48" t="n"/>
    </row>
    <row r="3177" ht="18" customHeight="1" s="17">
      <c r="A3177" s="48">
        <f>IF(Generation!$B68,"      &lt;/response_lid&gt;","")</f>
        <v/>
      </c>
      <c r="B3177" s="48" t="n"/>
      <c r="C3177" s="48" t="n"/>
    </row>
    <row r="3178" ht="18" customHeight="1" s="17">
      <c r="A3178" s="48">
        <f>IF(Generation!$B68,"    &lt;/presentation&gt;","")</f>
        <v/>
      </c>
      <c r="B3178" s="48" t="n"/>
      <c r="C3178" s="48" t="n"/>
    </row>
    <row r="3179" ht="18" customHeight="1" s="17">
      <c r="A3179" s="48">
        <f>IF(Generation!$B68,"    &lt;resprocessing&gt;","")</f>
        <v/>
      </c>
      <c r="B3179" s="48" t="n"/>
      <c r="C3179" s="48" t="n"/>
    </row>
    <row r="3180" ht="18" customHeight="1" s="17">
      <c r="A3180" s="48">
        <f>IF(Generation!$B68,"      &lt;outcomes&gt;&lt;decvar varname=""SCORE"" vartype=""Decimal"" minvalue=""0"" maxvalue="""&amp;Generation!$H68&amp;"""/&gt;&lt;/outcomes&gt;","")</f>
        <v/>
      </c>
      <c r="B3180" s="48" t="n"/>
      <c r="C3180" s="48" t="n"/>
    </row>
    <row r="3181" ht="18" customHeight="1" s="17">
      <c r="A3181" s="48">
        <f>IF(Generation!AJ68="","",Generation!AJ68)</f>
        <v/>
      </c>
      <c r="B3181" s="48" t="n"/>
      <c r="C3181" s="48" t="n"/>
    </row>
    <row r="3182" ht="18" customHeight="1" s="17">
      <c r="A3182" s="48">
        <f>IF(Generation!AK68="","",Generation!AK68)</f>
        <v/>
      </c>
      <c r="B3182" s="48" t="n"/>
      <c r="C3182" s="48" t="n"/>
    </row>
    <row r="3183" ht="18" customHeight="1" s="17">
      <c r="A3183" s="48">
        <f>IF(Generation!AL68="","",Generation!AL68)</f>
        <v/>
      </c>
      <c r="B3183" s="48" t="n"/>
      <c r="C3183" s="48" t="n"/>
    </row>
    <row r="3184" ht="18" customHeight="1" s="17">
      <c r="A3184" s="48">
        <f>IF(Generation!AM68="","",Generation!AM68)</f>
        <v/>
      </c>
      <c r="B3184" s="48" t="n"/>
      <c r="C3184" s="48" t="n"/>
    </row>
    <row r="3185" ht="18" customHeight="1" s="17">
      <c r="A3185" s="48">
        <f>IF(Generation!AN68="","",Generation!AN68)</f>
        <v/>
      </c>
      <c r="B3185" s="48" t="n"/>
      <c r="C3185" s="48" t="n"/>
    </row>
    <row r="3186" ht="18" customHeight="1" s="17">
      <c r="A3186" s="48">
        <f>IF(Generation!AO68="","",Generation!AO68)</f>
        <v/>
      </c>
      <c r="B3186" s="48" t="n"/>
      <c r="C3186" s="48" t="n"/>
    </row>
    <row r="3187" ht="18" customHeight="1" s="17">
      <c r="A3187" s="48">
        <f>IF(Generation!AP68="","",Generation!AP68)</f>
        <v/>
      </c>
      <c r="B3187" s="48" t="n"/>
      <c r="C3187" s="48" t="n"/>
    </row>
    <row r="3188" ht="18" customHeight="1" s="17">
      <c r="A3188" s="48">
        <f>IF(Generation!AQ68="","",Generation!AQ68)</f>
        <v/>
      </c>
      <c r="B3188" s="48" t="n"/>
      <c r="C3188" s="48" t="n"/>
    </row>
    <row r="3189" ht="18" customHeight="1" s="17">
      <c r="A3189" s="48">
        <f>IF(Generation!$B68,"    &lt;/resprocessing&gt;","")</f>
        <v/>
      </c>
      <c r="B3189" s="48" t="n"/>
      <c r="C3189" s="48" t="n"/>
    </row>
    <row r="3190" ht="18" customHeight="1" s="17">
      <c r="A3190" s="48">
        <f>IF(Generation!BB68="","",Generation!BB68)</f>
        <v/>
      </c>
      <c r="B3190" s="48" t="n"/>
      <c r="C3190" s="48" t="n"/>
    </row>
    <row r="3191" ht="18" customHeight="1" s="17">
      <c r="A3191" s="48">
        <f>IF(Generation!BC68="","",Generation!BC68)</f>
        <v/>
      </c>
      <c r="B3191" s="48" t="n"/>
      <c r="C3191" s="48" t="n"/>
    </row>
    <row r="3192" ht="18" customHeight="1" s="17">
      <c r="A3192" s="48">
        <f>IF(Generation!BD68="","",Generation!BD68)</f>
        <v/>
      </c>
      <c r="B3192" s="48" t="n"/>
      <c r="C3192" s="48" t="n"/>
    </row>
    <row r="3193" ht="18" customHeight="1" s="17">
      <c r="A3193" s="48">
        <f>IF(Generation!BE68="","",Generation!BE68)</f>
        <v/>
      </c>
      <c r="B3193" s="48" t="n"/>
      <c r="C3193" s="48" t="n"/>
    </row>
    <row r="3194" ht="18" customHeight="1" s="17">
      <c r="A3194" s="48">
        <f>IF(Generation!BF68="","",Generation!BF68)</f>
        <v/>
      </c>
      <c r="B3194" s="48" t="n"/>
      <c r="C3194" s="48" t="n"/>
    </row>
    <row r="3195" ht="18" customHeight="1" s="17">
      <c r="A3195" s="48">
        <f>IF(Generation!BG68="","",Generation!BG68)</f>
        <v/>
      </c>
      <c r="B3195" s="48" t="n"/>
      <c r="C3195" s="48" t="n"/>
    </row>
    <row r="3196" ht="18" customHeight="1" s="17">
      <c r="A3196" s="48">
        <f>IF(Generation!BH68="","",Generation!BH68)</f>
        <v/>
      </c>
      <c r="B3196" s="48" t="n"/>
      <c r="C3196" s="48" t="n"/>
    </row>
    <row r="3197" ht="18" customHeight="1" s="17">
      <c r="A3197" s="48">
        <f>IF(Generation!BI68="","",Generation!BI68)</f>
        <v/>
      </c>
      <c r="B3197" s="48" t="n"/>
      <c r="C3197" s="48" t="n"/>
    </row>
    <row r="3198" ht="18" customHeight="1" s="17">
      <c r="A3198" s="48">
        <f>IF(Generation!BJ68="","",Generation!BJ68)</f>
        <v/>
      </c>
      <c r="B3198" s="48" t="n"/>
      <c r="C3198" s="48" t="n"/>
    </row>
    <row r="3199" ht="18" customHeight="1" s="17">
      <c r="A3199" s="48">
        <f>IF(Generation!$B68,"  &lt;/item&gt;","")</f>
        <v/>
      </c>
      <c r="B3199" s="48" t="n"/>
      <c r="C3199" s="48" t="n"/>
    </row>
    <row r="3200" ht="18" customHeight="1" s="17">
      <c r="A3200" s="48">
        <f>""</f>
        <v/>
      </c>
      <c r="B3200" s="48" t="n"/>
      <c r="C3200" s="48" t="n"/>
    </row>
    <row r="3201" ht="18" customHeight="1" s="17">
      <c r="A3201" s="48">
        <f>""</f>
        <v/>
      </c>
      <c r="B3201" s="48" t="n"/>
      <c r="C3201" s="48" t="n"/>
    </row>
    <row r="3202" ht="18" customHeight="1" s="17">
      <c r="A3202" s="48">
        <f>""</f>
        <v/>
      </c>
      <c r="B3202" s="48" t="n"/>
      <c r="C3202" s="48" t="n"/>
    </row>
    <row r="3203" ht="18" customHeight="1" s="17">
      <c r="A3203" s="48">
        <f>""</f>
        <v/>
      </c>
      <c r="B3203" s="48" t="n"/>
      <c r="C3203" s="48" t="n"/>
    </row>
    <row r="3204" ht="18" customHeight="1" s="17">
      <c r="A3204" s="48">
        <f>IF(Generation!$B69,"  &lt;item ident=""il_0_qst_"&amp;TEXT(Generation!$A69,"000")&amp;""" title="""&amp;Generation!$F69&amp;"""&gt;","")</f>
        <v/>
      </c>
      <c r="B3204" s="48" t="n"/>
      <c r="C3204" s="48" t="n"/>
    </row>
    <row r="3205" ht="18" customHeight="1" s="17">
      <c r="A3205" s="48">
        <f>IF(Generation!$B69,"    &lt;duration&gt;P0Y0M0DT0H1M0S&lt;/duration&gt;","")</f>
        <v/>
      </c>
      <c r="B3205" s="48" t="n"/>
      <c r="C3205" s="48" t="n"/>
    </row>
    <row r="3206" ht="18" customHeight="1" s="17">
      <c r="A3206" s="48">
        <f>IF(Generation!$B69,"    &lt;itemmetadata&gt;","")</f>
        <v/>
      </c>
      <c r="B3206" s="48" t="n"/>
      <c r="C3206" s="48" t="n"/>
    </row>
    <row r="3207" ht="18" customHeight="1" s="17">
      <c r="A3207" s="48">
        <f>IF(Generation!$B69,"      &lt;qtimetadata&gt;","")</f>
        <v/>
      </c>
      <c r="B3207" s="48" t="n"/>
      <c r="C3207" s="48" t="n"/>
    </row>
    <row r="3208" ht="18" customHeight="1" s="17">
      <c r="A3208" s="48">
        <f>IF(Generation!$B69,"        &lt;qtimetadatafield&gt;&lt;fieldlabel&gt;ILIAS_VERSION&lt;/fieldlabel&gt;&lt;fieldentry&gt;8&lt;/fieldentry&gt;&lt;/qtimetadatafield&gt;","")</f>
        <v/>
      </c>
      <c r="B3208" s="48" t="n"/>
      <c r="C3208" s="48" t="n"/>
    </row>
    <row r="3209" ht="18" customHeight="1" s="17">
      <c r="A3209" s="48">
        <f>IF(Generation!$B69,"        &lt;qtimetadatafield&gt;&lt;fieldlabel&gt;QUESTIONTYPE&lt;/fieldlabel&gt;&lt;fieldentry&gt;"&amp;Generation!$D69&amp;"&lt;/fieldentry&gt;&lt;/qtimetadatafield&gt;","")</f>
        <v/>
      </c>
      <c r="B3209" s="48" t="n"/>
      <c r="C3209" s="48" t="n"/>
    </row>
    <row r="3210" ht="18" customHeight="1" s="17">
      <c r="A3210" s="48">
        <f>IF(Generation!$B69,"        &lt;qtimetadatafield&gt;&lt;fieldlabel&gt;AUTHOR&lt;/fieldlabel&gt;&lt;fieldentry&gt;"&amp;Generation!$AR69&amp;"&lt;/fieldentry&gt;&lt;/qtimetadatafield&gt;","")</f>
        <v/>
      </c>
      <c r="B3210" s="48" t="n"/>
      <c r="C3210" s="48" t="n"/>
    </row>
    <row r="3211" ht="18" customHeight="1" s="17">
      <c r="A3211" s="48">
        <f>IF(Generation!$B69,"        &lt;qtimetadatafield&gt;&lt;fieldlabel&gt;identicalScoring&lt;/fieldlabel&gt;&lt;fieldentry&gt;1&lt;/fieldentry&gt;&lt;/qtimetadatafield&gt;","")</f>
        <v/>
      </c>
      <c r="B3211" s="48" t="n"/>
      <c r="C3211" s="48" t="n"/>
    </row>
    <row r="3212" ht="18" customHeight="1" s="17">
      <c r="A3212" s="48">
        <f>IF(Generation!$B69,"      &lt;/qtimetadata&gt;","")</f>
        <v/>
      </c>
      <c r="B3212" s="48" t="n"/>
      <c r="C3212" s="48" t="n"/>
    </row>
    <row r="3213" ht="18" customHeight="1" s="17">
      <c r="A3213" s="48">
        <f>IF(Generation!$B69,"    &lt;/itemmetadata&gt;","")</f>
        <v/>
      </c>
      <c r="B3213" s="48" t="n"/>
      <c r="C3213" s="48" t="n"/>
    </row>
    <row r="3214" ht="18" customHeight="1" s="17">
      <c r="A3214" s="48">
        <f>IF(Generation!$B69,"    &lt;presentation label="""&amp;Generation!$F69&amp;"""&gt;","")</f>
        <v/>
      </c>
      <c r="B3214" s="48" t="n"/>
      <c r="C3214" s="48" t="n"/>
    </row>
    <row r="3215" ht="18" customHeight="1" s="17">
      <c r="A3215" s="48">
        <f>IF(Generation!$B69,"      &lt;material&gt;&lt;mattext texttype=""text/html""&gt;"&amp;Generation!$G69&amp;"&lt;/mattext&gt;&lt;/material&gt;","")</f>
        <v/>
      </c>
      <c r="B3215" s="48" t="n"/>
      <c r="C3215" s="48" t="n"/>
    </row>
    <row r="3216" ht="18" customHeight="1" s="17">
      <c r="A3216" s="48">
        <f>IF(Generation!$B69,"      &lt;response_lid ident=""RESPONSE"" rcardinality="""&amp;Generation!$E69&amp;"""&gt;","")</f>
        <v/>
      </c>
      <c r="B3216" s="48" t="n"/>
      <c r="C3216" s="48" t="n"/>
    </row>
    <row r="3217" ht="18" customHeight="1" s="17">
      <c r="A3217" s="48">
        <f>IF(Generation!$B69,"        &lt;render_choice shuffle=""No""&gt;","")</f>
        <v/>
      </c>
      <c r="B3217" s="48" t="n"/>
      <c r="C3217" s="48" t="n"/>
    </row>
    <row r="3218" ht="18" customHeight="1" s="17">
      <c r="A3218" s="48">
        <f>IF(Generation!AB69="","",Generation!AB69)</f>
        <v/>
      </c>
      <c r="B3218" s="48" t="n"/>
      <c r="C3218" s="48" t="n"/>
    </row>
    <row r="3219" ht="18" customHeight="1" s="17">
      <c r="A3219" s="48">
        <f>IF(Generation!AC69="","",Generation!AC69)</f>
        <v/>
      </c>
      <c r="B3219" s="48" t="n"/>
      <c r="C3219" s="48" t="n"/>
    </row>
    <row r="3220" ht="18" customHeight="1" s="17">
      <c r="A3220" s="48">
        <f>IF(Generation!AD69="","",Generation!AD69)</f>
        <v/>
      </c>
      <c r="B3220" s="48" t="n"/>
      <c r="C3220" s="48" t="n"/>
    </row>
    <row r="3221" ht="18" customHeight="1" s="17">
      <c r="A3221" s="48">
        <f>IF(Generation!AE69="","",Generation!AE69)</f>
        <v/>
      </c>
      <c r="B3221" s="48" t="n"/>
      <c r="C3221" s="48" t="n"/>
    </row>
    <row r="3222" ht="18" customHeight="1" s="17">
      <c r="A3222" s="48">
        <f>IF(Generation!AF69="","",Generation!AF69)</f>
        <v/>
      </c>
      <c r="B3222" s="48" t="n"/>
      <c r="C3222" s="48" t="n"/>
    </row>
    <row r="3223" ht="18" customHeight="1" s="17">
      <c r="A3223" s="48">
        <f>IF(Generation!AG69="","",Generation!AG69)</f>
        <v/>
      </c>
      <c r="B3223" s="48" t="n"/>
      <c r="C3223" s="48" t="n"/>
    </row>
    <row r="3224" ht="18" customHeight="1" s="17">
      <c r="A3224" s="48">
        <f>IF(Generation!AH69="","",Generation!AH69)</f>
        <v/>
      </c>
      <c r="B3224" s="48" t="n"/>
      <c r="C3224" s="48" t="n"/>
    </row>
    <row r="3225" ht="18" customHeight="1" s="17">
      <c r="A3225" s="48">
        <f>IF(Generation!AI69="","",Generation!AI69)</f>
        <v/>
      </c>
      <c r="B3225" s="48" t="n"/>
      <c r="C3225" s="48" t="n"/>
    </row>
    <row r="3226" ht="18" customHeight="1" s="17">
      <c r="A3226" s="48">
        <f>IF(Generation!$B69,"        &lt;/render_choice&gt;","")</f>
        <v/>
      </c>
      <c r="B3226" s="48" t="n"/>
      <c r="C3226" s="48" t="n"/>
    </row>
    <row r="3227" ht="18" customHeight="1" s="17">
      <c r="A3227" s="48">
        <f>IF(Generation!$B69,"      &lt;/response_lid&gt;","")</f>
        <v/>
      </c>
      <c r="B3227" s="48" t="n"/>
      <c r="C3227" s="48" t="n"/>
    </row>
    <row r="3228" ht="18" customHeight="1" s="17">
      <c r="A3228" s="48">
        <f>IF(Generation!$B69,"    &lt;/presentation&gt;","")</f>
        <v/>
      </c>
      <c r="B3228" s="48" t="n"/>
      <c r="C3228" s="48" t="n"/>
    </row>
    <row r="3229" ht="18" customHeight="1" s="17">
      <c r="A3229" s="48">
        <f>IF(Generation!$B69,"    &lt;resprocessing&gt;","")</f>
        <v/>
      </c>
      <c r="B3229" s="48" t="n"/>
      <c r="C3229" s="48" t="n"/>
    </row>
    <row r="3230" ht="18" customHeight="1" s="17">
      <c r="A3230" s="48">
        <f>IF(Generation!$B69,"      &lt;outcomes&gt;&lt;decvar varname=""SCORE"" vartype=""Decimal"" minvalue=""0"" maxvalue="""&amp;Generation!$H69&amp;"""/&gt;&lt;/outcomes&gt;","")</f>
        <v/>
      </c>
      <c r="B3230" s="48" t="n"/>
      <c r="C3230" s="48" t="n"/>
    </row>
    <row r="3231" ht="18" customHeight="1" s="17">
      <c r="A3231" s="48">
        <f>IF(Generation!AJ69="","",Generation!AJ69)</f>
        <v/>
      </c>
      <c r="B3231" s="48" t="n"/>
      <c r="C3231" s="48" t="n"/>
    </row>
    <row r="3232" ht="18" customHeight="1" s="17">
      <c r="A3232" s="48">
        <f>IF(Generation!AK69="","",Generation!AK69)</f>
        <v/>
      </c>
      <c r="B3232" s="48" t="n"/>
      <c r="C3232" s="48" t="n"/>
    </row>
    <row r="3233" ht="18" customHeight="1" s="17">
      <c r="A3233" s="48">
        <f>IF(Generation!AL69="","",Generation!AL69)</f>
        <v/>
      </c>
      <c r="B3233" s="48" t="n"/>
      <c r="C3233" s="48" t="n"/>
    </row>
    <row r="3234" ht="18" customHeight="1" s="17">
      <c r="A3234" s="48">
        <f>IF(Generation!AM69="","",Generation!AM69)</f>
        <v/>
      </c>
      <c r="B3234" s="48" t="n"/>
      <c r="C3234" s="48" t="n"/>
    </row>
    <row r="3235" ht="18" customHeight="1" s="17">
      <c r="A3235" s="48">
        <f>IF(Generation!AN69="","",Generation!AN69)</f>
        <v/>
      </c>
      <c r="B3235" s="48" t="n"/>
      <c r="C3235" s="48" t="n"/>
    </row>
    <row r="3236" ht="18" customHeight="1" s="17">
      <c r="A3236" s="48">
        <f>IF(Generation!AO69="","",Generation!AO69)</f>
        <v/>
      </c>
      <c r="B3236" s="48" t="n"/>
      <c r="C3236" s="48" t="n"/>
    </row>
    <row r="3237" ht="18" customHeight="1" s="17">
      <c r="A3237" s="48">
        <f>IF(Generation!AP69="","",Generation!AP69)</f>
        <v/>
      </c>
      <c r="B3237" s="48" t="n"/>
      <c r="C3237" s="48" t="n"/>
    </row>
    <row r="3238" ht="18" customHeight="1" s="17">
      <c r="A3238" s="48">
        <f>IF(Generation!AQ69="","",Generation!AQ69)</f>
        <v/>
      </c>
      <c r="B3238" s="48" t="n"/>
      <c r="C3238" s="48" t="n"/>
    </row>
    <row r="3239" ht="18" customHeight="1" s="17">
      <c r="A3239" s="48">
        <f>IF(Generation!$B69,"    &lt;/resprocessing&gt;","")</f>
        <v/>
      </c>
      <c r="B3239" s="48" t="n"/>
      <c r="C3239" s="48" t="n"/>
    </row>
    <row r="3240" ht="18" customHeight="1" s="17">
      <c r="A3240" s="48">
        <f>IF(Generation!BB69="","",Generation!BB69)</f>
        <v/>
      </c>
      <c r="B3240" s="48" t="n"/>
      <c r="C3240" s="48" t="n"/>
    </row>
    <row r="3241" ht="18" customHeight="1" s="17">
      <c r="A3241" s="48">
        <f>IF(Generation!BC69="","",Generation!BC69)</f>
        <v/>
      </c>
      <c r="B3241" s="48" t="n"/>
      <c r="C3241" s="48" t="n"/>
    </row>
    <row r="3242" ht="18" customHeight="1" s="17">
      <c r="A3242" s="48">
        <f>IF(Generation!BD69="","",Generation!BD69)</f>
        <v/>
      </c>
      <c r="B3242" s="48" t="n"/>
      <c r="C3242" s="48" t="n"/>
    </row>
    <row r="3243" ht="18" customHeight="1" s="17">
      <c r="A3243" s="48">
        <f>IF(Generation!BE69="","",Generation!BE69)</f>
        <v/>
      </c>
      <c r="B3243" s="48" t="n"/>
      <c r="C3243" s="48" t="n"/>
    </row>
    <row r="3244" ht="18" customHeight="1" s="17">
      <c r="A3244" s="48">
        <f>IF(Generation!BF69="","",Generation!BF69)</f>
        <v/>
      </c>
      <c r="B3244" s="48" t="n"/>
      <c r="C3244" s="48" t="n"/>
    </row>
    <row r="3245" ht="18" customHeight="1" s="17">
      <c r="A3245" s="48">
        <f>IF(Generation!BG69="","",Generation!BG69)</f>
        <v/>
      </c>
      <c r="B3245" s="48" t="n"/>
      <c r="C3245" s="48" t="n"/>
    </row>
    <row r="3246" ht="18" customHeight="1" s="17">
      <c r="A3246" s="48">
        <f>IF(Generation!BH69="","",Generation!BH69)</f>
        <v/>
      </c>
      <c r="B3246" s="48" t="n"/>
      <c r="C3246" s="48" t="n"/>
    </row>
    <row r="3247" ht="18" customHeight="1" s="17">
      <c r="A3247" s="48">
        <f>IF(Generation!BI69="","",Generation!BI69)</f>
        <v/>
      </c>
      <c r="B3247" s="48" t="n"/>
      <c r="C3247" s="48" t="n"/>
    </row>
    <row r="3248" ht="18" customHeight="1" s="17">
      <c r="A3248" s="48">
        <f>IF(Generation!BJ69="","",Generation!BJ69)</f>
        <v/>
      </c>
      <c r="B3248" s="48" t="n"/>
      <c r="C3248" s="48" t="n"/>
    </row>
    <row r="3249" ht="18" customHeight="1" s="17">
      <c r="A3249" s="48">
        <f>IF(Generation!$B69,"  &lt;/item&gt;","")</f>
        <v/>
      </c>
      <c r="B3249" s="48" t="n"/>
      <c r="C3249" s="48" t="n"/>
    </row>
    <row r="3250" ht="18" customHeight="1" s="17">
      <c r="A3250" s="48">
        <f>""</f>
        <v/>
      </c>
      <c r="B3250" s="48" t="n"/>
      <c r="C3250" s="48" t="n"/>
    </row>
    <row r="3251" ht="18" customHeight="1" s="17">
      <c r="A3251" s="48">
        <f>""</f>
        <v/>
      </c>
      <c r="B3251" s="48" t="n"/>
      <c r="C3251" s="48" t="n"/>
    </row>
    <row r="3252" ht="18" customHeight="1" s="17">
      <c r="A3252" s="48">
        <f>""</f>
        <v/>
      </c>
      <c r="B3252" s="48" t="n"/>
      <c r="C3252" s="48" t="n"/>
    </row>
    <row r="3253" ht="18" customHeight="1" s="17">
      <c r="A3253" s="48">
        <f>""</f>
        <v/>
      </c>
      <c r="B3253" s="48" t="n"/>
      <c r="C3253" s="48" t="n"/>
    </row>
    <row r="3254" ht="18" customHeight="1" s="17">
      <c r="A3254" s="48">
        <f>IF(Generation!$B70,"  &lt;item ident=""il_0_qst_"&amp;TEXT(Generation!$A70,"000")&amp;""" title="""&amp;Generation!$F70&amp;"""&gt;","")</f>
        <v/>
      </c>
      <c r="B3254" s="48" t="n"/>
      <c r="C3254" s="48" t="n"/>
    </row>
    <row r="3255" ht="18" customHeight="1" s="17">
      <c r="A3255" s="48">
        <f>IF(Generation!$B70,"    &lt;duration&gt;P0Y0M0DT0H1M0S&lt;/duration&gt;","")</f>
        <v/>
      </c>
      <c r="B3255" s="48" t="n"/>
      <c r="C3255" s="48" t="n"/>
    </row>
    <row r="3256" ht="18" customHeight="1" s="17">
      <c r="A3256" s="48">
        <f>IF(Generation!$B70,"    &lt;itemmetadata&gt;","")</f>
        <v/>
      </c>
      <c r="B3256" s="48" t="n"/>
      <c r="C3256" s="48" t="n"/>
    </row>
    <row r="3257" ht="18" customHeight="1" s="17">
      <c r="A3257" s="48">
        <f>IF(Generation!$B70,"      &lt;qtimetadata&gt;","")</f>
        <v/>
      </c>
      <c r="B3257" s="48" t="n"/>
      <c r="C3257" s="48" t="n"/>
    </row>
    <row r="3258" ht="18" customHeight="1" s="17">
      <c r="A3258" s="48">
        <f>IF(Generation!$B70,"        &lt;qtimetadatafield&gt;&lt;fieldlabel&gt;ILIAS_VERSION&lt;/fieldlabel&gt;&lt;fieldentry&gt;8&lt;/fieldentry&gt;&lt;/qtimetadatafield&gt;","")</f>
        <v/>
      </c>
      <c r="B3258" s="48" t="n"/>
      <c r="C3258" s="48" t="n"/>
    </row>
    <row r="3259" ht="18" customHeight="1" s="17">
      <c r="A3259" s="48">
        <f>IF(Generation!$B70,"        &lt;qtimetadatafield&gt;&lt;fieldlabel&gt;QUESTIONTYPE&lt;/fieldlabel&gt;&lt;fieldentry&gt;"&amp;Generation!$D70&amp;"&lt;/fieldentry&gt;&lt;/qtimetadatafield&gt;","")</f>
        <v/>
      </c>
      <c r="B3259" s="48" t="n"/>
      <c r="C3259" s="48" t="n"/>
    </row>
    <row r="3260" ht="18" customHeight="1" s="17">
      <c r="A3260" s="48">
        <f>IF(Generation!$B70,"        &lt;qtimetadatafield&gt;&lt;fieldlabel&gt;AUTHOR&lt;/fieldlabel&gt;&lt;fieldentry&gt;"&amp;Generation!$AR70&amp;"&lt;/fieldentry&gt;&lt;/qtimetadatafield&gt;","")</f>
        <v/>
      </c>
      <c r="B3260" s="48" t="n"/>
      <c r="C3260" s="48" t="n"/>
    </row>
    <row r="3261" ht="18" customHeight="1" s="17">
      <c r="A3261" s="48">
        <f>IF(Generation!$B70,"        &lt;qtimetadatafield&gt;&lt;fieldlabel&gt;identicalScoring&lt;/fieldlabel&gt;&lt;fieldentry&gt;1&lt;/fieldentry&gt;&lt;/qtimetadatafield&gt;","")</f>
        <v/>
      </c>
      <c r="B3261" s="48" t="n"/>
      <c r="C3261" s="48" t="n"/>
    </row>
    <row r="3262" ht="18" customHeight="1" s="17">
      <c r="A3262" s="48">
        <f>IF(Generation!$B70,"      &lt;/qtimetadata&gt;","")</f>
        <v/>
      </c>
      <c r="B3262" s="48" t="n"/>
      <c r="C3262" s="48" t="n"/>
    </row>
    <row r="3263" ht="18" customHeight="1" s="17">
      <c r="A3263" s="48">
        <f>IF(Generation!$B70,"    &lt;/itemmetadata&gt;","")</f>
        <v/>
      </c>
      <c r="B3263" s="48" t="n"/>
      <c r="C3263" s="48" t="n"/>
    </row>
    <row r="3264" ht="18" customHeight="1" s="17">
      <c r="A3264" s="48">
        <f>IF(Generation!$B70,"    &lt;presentation label="""&amp;Generation!$F70&amp;"""&gt;","")</f>
        <v/>
      </c>
      <c r="B3264" s="48" t="n"/>
      <c r="C3264" s="48" t="n"/>
    </row>
    <row r="3265" ht="18" customHeight="1" s="17">
      <c r="A3265" s="48">
        <f>IF(Generation!$B70,"      &lt;material&gt;&lt;mattext texttype=""text/html""&gt;"&amp;Generation!$G70&amp;"&lt;/mattext&gt;&lt;/material&gt;","")</f>
        <v/>
      </c>
      <c r="B3265" s="48" t="n"/>
      <c r="C3265" s="48" t="n"/>
    </row>
    <row r="3266" ht="18" customHeight="1" s="17">
      <c r="A3266" s="48">
        <f>IF(Generation!$B70,"      &lt;response_lid ident=""RESPONSE"" rcardinality="""&amp;Generation!$E70&amp;"""&gt;","")</f>
        <v/>
      </c>
      <c r="B3266" s="48" t="n"/>
      <c r="C3266" s="48" t="n"/>
    </row>
    <row r="3267" ht="18" customHeight="1" s="17">
      <c r="A3267" s="48">
        <f>IF(Generation!$B70,"        &lt;render_choice shuffle=""No""&gt;","")</f>
        <v/>
      </c>
      <c r="B3267" s="48" t="n"/>
      <c r="C3267" s="48" t="n"/>
    </row>
    <row r="3268" ht="18" customHeight="1" s="17">
      <c r="A3268" s="48">
        <f>IF(Generation!AB70="","",Generation!AB70)</f>
        <v/>
      </c>
      <c r="B3268" s="48" t="n"/>
      <c r="C3268" s="48" t="n"/>
    </row>
    <row r="3269" ht="18" customHeight="1" s="17">
      <c r="A3269" s="48">
        <f>IF(Generation!AC70="","",Generation!AC70)</f>
        <v/>
      </c>
      <c r="B3269" s="48" t="n"/>
      <c r="C3269" s="48" t="n"/>
    </row>
    <row r="3270" ht="18" customHeight="1" s="17">
      <c r="A3270" s="48">
        <f>IF(Generation!AD70="","",Generation!AD70)</f>
        <v/>
      </c>
      <c r="B3270" s="48" t="n"/>
      <c r="C3270" s="48" t="n"/>
    </row>
    <row r="3271" ht="18" customHeight="1" s="17">
      <c r="A3271" s="48">
        <f>IF(Generation!AE70="","",Generation!AE70)</f>
        <v/>
      </c>
      <c r="B3271" s="48" t="n"/>
      <c r="C3271" s="48" t="n"/>
    </row>
    <row r="3272" ht="18" customHeight="1" s="17">
      <c r="A3272" s="48">
        <f>IF(Generation!AF70="","",Generation!AF70)</f>
        <v/>
      </c>
      <c r="B3272" s="48" t="n"/>
      <c r="C3272" s="48" t="n"/>
    </row>
    <row r="3273" ht="18" customHeight="1" s="17">
      <c r="A3273" s="48">
        <f>IF(Generation!AG70="","",Generation!AG70)</f>
        <v/>
      </c>
      <c r="B3273" s="48" t="n"/>
      <c r="C3273" s="48" t="n"/>
    </row>
    <row r="3274" ht="18" customHeight="1" s="17">
      <c r="A3274" s="48">
        <f>IF(Generation!AH70="","",Generation!AH70)</f>
        <v/>
      </c>
      <c r="B3274" s="48" t="n"/>
      <c r="C3274" s="48" t="n"/>
    </row>
    <row r="3275" ht="18" customHeight="1" s="17">
      <c r="A3275" s="48">
        <f>IF(Generation!AI70="","",Generation!AI70)</f>
        <v/>
      </c>
      <c r="B3275" s="48" t="n"/>
      <c r="C3275" s="48" t="n"/>
    </row>
    <row r="3276" ht="18" customHeight="1" s="17">
      <c r="A3276" s="48">
        <f>IF(Generation!$B70,"        &lt;/render_choice&gt;","")</f>
        <v/>
      </c>
      <c r="B3276" s="48" t="n"/>
      <c r="C3276" s="48" t="n"/>
    </row>
    <row r="3277" ht="18" customHeight="1" s="17">
      <c r="A3277" s="48">
        <f>IF(Generation!$B70,"      &lt;/response_lid&gt;","")</f>
        <v/>
      </c>
      <c r="B3277" s="48" t="n"/>
      <c r="C3277" s="48" t="n"/>
    </row>
    <row r="3278" ht="18" customHeight="1" s="17">
      <c r="A3278" s="48">
        <f>IF(Generation!$B70,"    &lt;/presentation&gt;","")</f>
        <v/>
      </c>
      <c r="B3278" s="48" t="n"/>
      <c r="C3278" s="48" t="n"/>
    </row>
    <row r="3279" ht="18" customHeight="1" s="17">
      <c r="A3279" s="48">
        <f>IF(Generation!$B70,"    &lt;resprocessing&gt;","")</f>
        <v/>
      </c>
      <c r="B3279" s="48" t="n"/>
      <c r="C3279" s="48" t="n"/>
    </row>
    <row r="3280" ht="18" customHeight="1" s="17">
      <c r="A3280" s="48">
        <f>IF(Generation!$B70,"      &lt;outcomes&gt;&lt;decvar varname=""SCORE"" vartype=""Decimal"" minvalue=""0"" maxvalue="""&amp;Generation!$H70&amp;"""/&gt;&lt;/outcomes&gt;","")</f>
        <v/>
      </c>
      <c r="B3280" s="48" t="n"/>
      <c r="C3280" s="48" t="n"/>
    </row>
    <row r="3281" ht="18" customHeight="1" s="17">
      <c r="A3281" s="48">
        <f>IF(Generation!AJ70="","",Generation!AJ70)</f>
        <v/>
      </c>
      <c r="B3281" s="48" t="n"/>
      <c r="C3281" s="48" t="n"/>
    </row>
    <row r="3282" ht="18" customHeight="1" s="17">
      <c r="A3282" s="48">
        <f>IF(Generation!AK70="","",Generation!AK70)</f>
        <v/>
      </c>
      <c r="B3282" s="48" t="n"/>
      <c r="C3282" s="48" t="n"/>
    </row>
    <row r="3283" ht="18" customHeight="1" s="17">
      <c r="A3283" s="48">
        <f>IF(Generation!AL70="","",Generation!AL70)</f>
        <v/>
      </c>
      <c r="B3283" s="48" t="n"/>
      <c r="C3283" s="48" t="n"/>
    </row>
    <row r="3284" ht="18" customHeight="1" s="17">
      <c r="A3284" s="48">
        <f>IF(Generation!AM70="","",Generation!AM70)</f>
        <v/>
      </c>
      <c r="B3284" s="48" t="n"/>
      <c r="C3284" s="48" t="n"/>
    </row>
    <row r="3285" ht="18" customHeight="1" s="17">
      <c r="A3285" s="48">
        <f>IF(Generation!AN70="","",Generation!AN70)</f>
        <v/>
      </c>
      <c r="B3285" s="48" t="n"/>
      <c r="C3285" s="48" t="n"/>
    </row>
    <row r="3286" ht="18" customHeight="1" s="17">
      <c r="A3286" s="48">
        <f>IF(Generation!AO70="","",Generation!AO70)</f>
        <v/>
      </c>
      <c r="B3286" s="48" t="n"/>
      <c r="C3286" s="48" t="n"/>
    </row>
    <row r="3287" ht="18" customHeight="1" s="17">
      <c r="A3287" s="48">
        <f>IF(Generation!AP70="","",Generation!AP70)</f>
        <v/>
      </c>
      <c r="B3287" s="48" t="n"/>
      <c r="C3287" s="48" t="n"/>
    </row>
    <row r="3288" ht="18" customHeight="1" s="17">
      <c r="A3288" s="48">
        <f>IF(Generation!AQ70="","",Generation!AQ70)</f>
        <v/>
      </c>
      <c r="B3288" s="48" t="n"/>
      <c r="C3288" s="48" t="n"/>
    </row>
    <row r="3289" ht="18" customHeight="1" s="17">
      <c r="A3289" s="48">
        <f>IF(Generation!$B70,"    &lt;/resprocessing&gt;","")</f>
        <v/>
      </c>
      <c r="B3289" s="48" t="n"/>
      <c r="C3289" s="48" t="n"/>
    </row>
    <row r="3290" ht="18" customHeight="1" s="17">
      <c r="A3290" s="48">
        <f>IF(Generation!BB70="","",Generation!BB70)</f>
        <v/>
      </c>
      <c r="B3290" s="48" t="n"/>
      <c r="C3290" s="48" t="n"/>
    </row>
    <row r="3291" ht="18" customHeight="1" s="17">
      <c r="A3291" s="48">
        <f>IF(Generation!BC70="","",Generation!BC70)</f>
        <v/>
      </c>
      <c r="B3291" s="48" t="n"/>
      <c r="C3291" s="48" t="n"/>
    </row>
    <row r="3292" ht="18" customHeight="1" s="17">
      <c r="A3292" s="48">
        <f>IF(Generation!BD70="","",Generation!BD70)</f>
        <v/>
      </c>
      <c r="B3292" s="48" t="n"/>
      <c r="C3292" s="48" t="n"/>
    </row>
    <row r="3293" ht="18" customHeight="1" s="17">
      <c r="A3293" s="48">
        <f>IF(Generation!BE70="","",Generation!BE70)</f>
        <v/>
      </c>
      <c r="B3293" s="48" t="n"/>
      <c r="C3293" s="48" t="n"/>
    </row>
    <row r="3294" ht="18" customHeight="1" s="17">
      <c r="A3294" s="48">
        <f>IF(Generation!BF70="","",Generation!BF70)</f>
        <v/>
      </c>
      <c r="B3294" s="48" t="n"/>
      <c r="C3294" s="48" t="n"/>
    </row>
    <row r="3295" ht="18" customHeight="1" s="17">
      <c r="A3295" s="48">
        <f>IF(Generation!BG70="","",Generation!BG70)</f>
        <v/>
      </c>
      <c r="B3295" s="48" t="n"/>
      <c r="C3295" s="48" t="n"/>
    </row>
    <row r="3296" ht="18" customHeight="1" s="17">
      <c r="A3296" s="48">
        <f>IF(Generation!BH70="","",Generation!BH70)</f>
        <v/>
      </c>
      <c r="B3296" s="48" t="n"/>
      <c r="C3296" s="48" t="n"/>
    </row>
    <row r="3297" ht="18" customHeight="1" s="17">
      <c r="A3297" s="48">
        <f>IF(Generation!BI70="","",Generation!BI70)</f>
        <v/>
      </c>
      <c r="B3297" s="48" t="n"/>
      <c r="C3297" s="48" t="n"/>
    </row>
    <row r="3298" ht="18" customHeight="1" s="17">
      <c r="A3298" s="48">
        <f>IF(Generation!BJ70="","",Generation!BJ70)</f>
        <v/>
      </c>
      <c r="B3298" s="48" t="n"/>
      <c r="C3298" s="48" t="n"/>
    </row>
    <row r="3299" ht="18" customHeight="1" s="17">
      <c r="A3299" s="48">
        <f>IF(Generation!$B70,"  &lt;/item&gt;","")</f>
        <v/>
      </c>
      <c r="B3299" s="48" t="n"/>
      <c r="C3299" s="48" t="n"/>
    </row>
    <row r="3300" ht="18" customHeight="1" s="17">
      <c r="A3300" s="48">
        <f>""</f>
        <v/>
      </c>
      <c r="B3300" s="48" t="n"/>
      <c r="C3300" s="48" t="n"/>
    </row>
    <row r="3301" ht="18" customHeight="1" s="17">
      <c r="A3301" s="48">
        <f>""</f>
        <v/>
      </c>
      <c r="B3301" s="48" t="n"/>
      <c r="C3301" s="48" t="n"/>
    </row>
    <row r="3302" ht="18" customHeight="1" s="17">
      <c r="A3302" s="48">
        <f>""</f>
        <v/>
      </c>
      <c r="B3302" s="48" t="n"/>
      <c r="C3302" s="48" t="n"/>
    </row>
    <row r="3303" ht="18" customHeight="1" s="17">
      <c r="A3303" s="48">
        <f>""</f>
        <v/>
      </c>
      <c r="B3303" s="48" t="n"/>
      <c r="C3303" s="48" t="n"/>
    </row>
    <row r="3304" ht="18" customHeight="1" s="17">
      <c r="A3304" s="48">
        <f>IF(Generation!$B71,"  &lt;item ident=""il_0_qst_"&amp;TEXT(Generation!$A71,"000")&amp;""" title="""&amp;Generation!$F71&amp;"""&gt;","")</f>
        <v/>
      </c>
      <c r="B3304" s="48" t="n"/>
      <c r="C3304" s="48" t="n"/>
    </row>
    <row r="3305" ht="18" customHeight="1" s="17">
      <c r="A3305" s="48">
        <f>IF(Generation!$B71,"    &lt;duration&gt;P0Y0M0DT0H1M0S&lt;/duration&gt;","")</f>
        <v/>
      </c>
      <c r="B3305" s="48" t="n"/>
      <c r="C3305" s="48" t="n"/>
    </row>
    <row r="3306" ht="18" customHeight="1" s="17">
      <c r="A3306" s="48">
        <f>IF(Generation!$B71,"    &lt;itemmetadata&gt;","")</f>
        <v/>
      </c>
      <c r="B3306" s="48" t="n"/>
      <c r="C3306" s="48" t="n"/>
    </row>
    <row r="3307" ht="18" customHeight="1" s="17">
      <c r="A3307" s="48">
        <f>IF(Generation!$B71,"      &lt;qtimetadata&gt;","")</f>
        <v/>
      </c>
      <c r="B3307" s="48" t="n"/>
      <c r="C3307" s="48" t="n"/>
    </row>
    <row r="3308" ht="18" customHeight="1" s="17">
      <c r="A3308" s="48">
        <f>IF(Generation!$B71,"        &lt;qtimetadatafield&gt;&lt;fieldlabel&gt;ILIAS_VERSION&lt;/fieldlabel&gt;&lt;fieldentry&gt;8&lt;/fieldentry&gt;&lt;/qtimetadatafield&gt;","")</f>
        <v/>
      </c>
      <c r="B3308" s="48" t="n"/>
      <c r="C3308" s="48" t="n"/>
    </row>
    <row r="3309" ht="18" customHeight="1" s="17">
      <c r="A3309" s="48">
        <f>IF(Generation!$B71,"        &lt;qtimetadatafield&gt;&lt;fieldlabel&gt;QUESTIONTYPE&lt;/fieldlabel&gt;&lt;fieldentry&gt;"&amp;Generation!$D71&amp;"&lt;/fieldentry&gt;&lt;/qtimetadatafield&gt;","")</f>
        <v/>
      </c>
      <c r="B3309" s="48" t="n"/>
      <c r="C3309" s="48" t="n"/>
    </row>
    <row r="3310" ht="18" customHeight="1" s="17">
      <c r="A3310" s="48">
        <f>IF(Generation!$B71,"        &lt;qtimetadatafield&gt;&lt;fieldlabel&gt;AUTHOR&lt;/fieldlabel&gt;&lt;fieldentry&gt;"&amp;Generation!$AR71&amp;"&lt;/fieldentry&gt;&lt;/qtimetadatafield&gt;","")</f>
        <v/>
      </c>
      <c r="B3310" s="48" t="n"/>
      <c r="C3310" s="48" t="n"/>
    </row>
    <row r="3311" ht="18" customHeight="1" s="17">
      <c r="A3311" s="48">
        <f>IF(Generation!$B71,"        &lt;qtimetadatafield&gt;&lt;fieldlabel&gt;identicalScoring&lt;/fieldlabel&gt;&lt;fieldentry&gt;1&lt;/fieldentry&gt;&lt;/qtimetadatafield&gt;","")</f>
        <v/>
      </c>
      <c r="B3311" s="48" t="n"/>
      <c r="C3311" s="48" t="n"/>
    </row>
    <row r="3312" ht="18" customHeight="1" s="17">
      <c r="A3312" s="48">
        <f>IF(Generation!$B71,"      &lt;/qtimetadata&gt;","")</f>
        <v/>
      </c>
      <c r="B3312" s="48" t="n"/>
      <c r="C3312" s="48" t="n"/>
    </row>
    <row r="3313" ht="18" customHeight="1" s="17">
      <c r="A3313" s="48">
        <f>IF(Generation!$B71,"    &lt;/itemmetadata&gt;","")</f>
        <v/>
      </c>
      <c r="B3313" s="48" t="n"/>
      <c r="C3313" s="48" t="n"/>
    </row>
    <row r="3314" ht="18" customHeight="1" s="17">
      <c r="A3314" s="48">
        <f>IF(Generation!$B71,"    &lt;presentation label="""&amp;Generation!$F71&amp;"""&gt;","")</f>
        <v/>
      </c>
      <c r="B3314" s="48" t="n"/>
      <c r="C3314" s="48" t="n"/>
    </row>
    <row r="3315" ht="18" customHeight="1" s="17">
      <c r="A3315" s="48">
        <f>IF(Generation!$B71,"      &lt;material&gt;&lt;mattext texttype=""text/html""&gt;"&amp;Generation!$G71&amp;"&lt;/mattext&gt;&lt;/material&gt;","")</f>
        <v/>
      </c>
      <c r="B3315" s="48" t="n"/>
      <c r="C3315" s="48" t="n"/>
    </row>
    <row r="3316" ht="18" customHeight="1" s="17">
      <c r="A3316" s="48">
        <f>IF(Generation!$B71,"      &lt;response_lid ident=""RESPONSE"" rcardinality="""&amp;Generation!$E71&amp;"""&gt;","")</f>
        <v/>
      </c>
      <c r="B3316" s="48" t="n"/>
      <c r="C3316" s="48" t="n"/>
    </row>
    <row r="3317" ht="18" customHeight="1" s="17">
      <c r="A3317" s="48">
        <f>IF(Generation!$B71,"        &lt;render_choice shuffle=""No""&gt;","")</f>
        <v/>
      </c>
      <c r="B3317" s="48" t="n"/>
      <c r="C3317" s="48" t="n"/>
    </row>
    <row r="3318" ht="18" customHeight="1" s="17">
      <c r="A3318" s="48">
        <f>IF(Generation!AB71="","",Generation!AB71)</f>
        <v/>
      </c>
      <c r="B3318" s="48" t="n"/>
      <c r="C3318" s="48" t="n"/>
    </row>
    <row r="3319" ht="18" customHeight="1" s="17">
      <c r="A3319" s="48">
        <f>IF(Generation!AC71="","",Generation!AC71)</f>
        <v/>
      </c>
      <c r="B3319" s="48" t="n"/>
      <c r="C3319" s="48" t="n"/>
    </row>
    <row r="3320" ht="18" customHeight="1" s="17">
      <c r="A3320" s="48">
        <f>IF(Generation!AD71="","",Generation!AD71)</f>
        <v/>
      </c>
      <c r="B3320" s="48" t="n"/>
      <c r="C3320" s="48" t="n"/>
    </row>
    <row r="3321" ht="18" customHeight="1" s="17">
      <c r="A3321" s="48">
        <f>IF(Generation!AE71="","",Generation!AE71)</f>
        <v/>
      </c>
      <c r="B3321" s="48" t="n"/>
      <c r="C3321" s="48" t="n"/>
    </row>
    <row r="3322" ht="18" customHeight="1" s="17">
      <c r="A3322" s="48">
        <f>IF(Generation!AF71="","",Generation!AF71)</f>
        <v/>
      </c>
      <c r="B3322" s="48" t="n"/>
      <c r="C3322" s="48" t="n"/>
    </row>
    <row r="3323" ht="18" customHeight="1" s="17">
      <c r="A3323" s="48">
        <f>IF(Generation!AG71="","",Generation!AG71)</f>
        <v/>
      </c>
      <c r="B3323" s="48" t="n"/>
      <c r="C3323" s="48" t="n"/>
    </row>
    <row r="3324" ht="18" customHeight="1" s="17">
      <c r="A3324" s="48">
        <f>IF(Generation!AH71="","",Generation!AH71)</f>
        <v/>
      </c>
      <c r="B3324" s="48" t="n"/>
      <c r="C3324" s="48" t="n"/>
    </row>
    <row r="3325" ht="18" customHeight="1" s="17">
      <c r="A3325" s="48">
        <f>IF(Generation!AI71="","",Generation!AI71)</f>
        <v/>
      </c>
      <c r="B3325" s="48" t="n"/>
      <c r="C3325" s="48" t="n"/>
    </row>
    <row r="3326" ht="18" customHeight="1" s="17">
      <c r="A3326" s="48">
        <f>IF(Generation!$B71,"        &lt;/render_choice&gt;","")</f>
        <v/>
      </c>
      <c r="B3326" s="48" t="n"/>
      <c r="C3326" s="48" t="n"/>
    </row>
    <row r="3327" ht="18" customHeight="1" s="17">
      <c r="A3327" s="48">
        <f>IF(Generation!$B71,"      &lt;/response_lid&gt;","")</f>
        <v/>
      </c>
      <c r="B3327" s="48" t="n"/>
      <c r="C3327" s="48" t="n"/>
    </row>
    <row r="3328" ht="18" customHeight="1" s="17">
      <c r="A3328" s="48">
        <f>IF(Generation!$B71,"    &lt;/presentation&gt;","")</f>
        <v/>
      </c>
      <c r="B3328" s="48" t="n"/>
      <c r="C3328" s="48" t="n"/>
    </row>
    <row r="3329" ht="18" customHeight="1" s="17">
      <c r="A3329" s="48">
        <f>IF(Generation!$B71,"    &lt;resprocessing&gt;","")</f>
        <v/>
      </c>
      <c r="B3329" s="48" t="n"/>
      <c r="C3329" s="48" t="n"/>
    </row>
    <row r="3330" ht="18" customHeight="1" s="17">
      <c r="A3330" s="48">
        <f>IF(Generation!$B71,"      &lt;outcomes&gt;&lt;decvar varname=""SCORE"" vartype=""Decimal"" minvalue=""0"" maxvalue="""&amp;Generation!$H71&amp;"""/&gt;&lt;/outcomes&gt;","")</f>
        <v/>
      </c>
      <c r="B3330" s="48" t="n"/>
      <c r="C3330" s="48" t="n"/>
    </row>
    <row r="3331" ht="18" customHeight="1" s="17">
      <c r="A3331" s="48">
        <f>IF(Generation!AJ71="","",Generation!AJ71)</f>
        <v/>
      </c>
      <c r="B3331" s="48" t="n"/>
      <c r="C3331" s="48" t="n"/>
    </row>
    <row r="3332" ht="18" customHeight="1" s="17">
      <c r="A3332" s="48">
        <f>IF(Generation!AK71="","",Generation!AK71)</f>
        <v/>
      </c>
      <c r="B3332" s="48" t="n"/>
      <c r="C3332" s="48" t="n"/>
    </row>
    <row r="3333" ht="18" customHeight="1" s="17">
      <c r="A3333" s="48">
        <f>IF(Generation!AL71="","",Generation!AL71)</f>
        <v/>
      </c>
      <c r="B3333" s="48" t="n"/>
      <c r="C3333" s="48" t="n"/>
    </row>
    <row r="3334" ht="18" customHeight="1" s="17">
      <c r="A3334" s="48">
        <f>IF(Generation!AM71="","",Generation!AM71)</f>
        <v/>
      </c>
      <c r="B3334" s="48" t="n"/>
      <c r="C3334" s="48" t="n"/>
    </row>
    <row r="3335" ht="18" customHeight="1" s="17">
      <c r="A3335" s="48">
        <f>IF(Generation!AN71="","",Generation!AN71)</f>
        <v/>
      </c>
      <c r="B3335" s="48" t="n"/>
      <c r="C3335" s="48" t="n"/>
    </row>
    <row r="3336" ht="18" customHeight="1" s="17">
      <c r="A3336" s="48">
        <f>IF(Generation!AO71="","",Generation!AO71)</f>
        <v/>
      </c>
      <c r="B3336" s="48" t="n"/>
      <c r="C3336" s="48" t="n"/>
    </row>
    <row r="3337" ht="18" customHeight="1" s="17">
      <c r="A3337" s="48">
        <f>IF(Generation!AP71="","",Generation!AP71)</f>
        <v/>
      </c>
      <c r="B3337" s="48" t="n"/>
      <c r="C3337" s="48" t="n"/>
    </row>
    <row r="3338" ht="18" customHeight="1" s="17">
      <c r="A3338" s="48">
        <f>IF(Generation!AQ71="","",Generation!AQ71)</f>
        <v/>
      </c>
      <c r="B3338" s="48" t="n"/>
      <c r="C3338" s="48" t="n"/>
    </row>
    <row r="3339" ht="18" customHeight="1" s="17">
      <c r="A3339" s="48">
        <f>IF(Generation!$B71,"    &lt;/resprocessing&gt;","")</f>
        <v/>
      </c>
      <c r="B3339" s="48" t="n"/>
      <c r="C3339" s="48" t="n"/>
    </row>
    <row r="3340" ht="18" customHeight="1" s="17">
      <c r="A3340" s="48">
        <f>IF(Generation!BB71="","",Generation!BB71)</f>
        <v/>
      </c>
      <c r="B3340" s="48" t="n"/>
      <c r="C3340" s="48" t="n"/>
    </row>
    <row r="3341" ht="18" customHeight="1" s="17">
      <c r="A3341" s="48">
        <f>IF(Generation!BC71="","",Generation!BC71)</f>
        <v/>
      </c>
      <c r="B3341" s="48" t="n"/>
      <c r="C3341" s="48" t="n"/>
    </row>
    <row r="3342" ht="18" customHeight="1" s="17">
      <c r="A3342" s="48">
        <f>IF(Generation!BD71="","",Generation!BD71)</f>
        <v/>
      </c>
      <c r="B3342" s="48" t="n"/>
      <c r="C3342" s="48" t="n"/>
    </row>
    <row r="3343" ht="18" customHeight="1" s="17">
      <c r="A3343" s="48">
        <f>IF(Generation!BE71="","",Generation!BE71)</f>
        <v/>
      </c>
      <c r="B3343" s="48" t="n"/>
      <c r="C3343" s="48" t="n"/>
    </row>
    <row r="3344" ht="18" customHeight="1" s="17">
      <c r="A3344" s="48">
        <f>IF(Generation!BF71="","",Generation!BF71)</f>
        <v/>
      </c>
      <c r="B3344" s="48" t="n"/>
      <c r="C3344" s="48" t="n"/>
    </row>
    <row r="3345" ht="18" customHeight="1" s="17">
      <c r="A3345" s="48">
        <f>IF(Generation!BG71="","",Generation!BG71)</f>
        <v/>
      </c>
      <c r="B3345" s="48" t="n"/>
      <c r="C3345" s="48" t="n"/>
    </row>
    <row r="3346" ht="18" customHeight="1" s="17">
      <c r="A3346" s="48">
        <f>IF(Generation!BH71="","",Generation!BH71)</f>
        <v/>
      </c>
      <c r="B3346" s="48" t="n"/>
      <c r="C3346" s="48" t="n"/>
    </row>
    <row r="3347" ht="18" customHeight="1" s="17">
      <c r="A3347" s="48">
        <f>IF(Generation!BI71="","",Generation!BI71)</f>
        <v/>
      </c>
      <c r="B3347" s="48" t="n"/>
      <c r="C3347" s="48" t="n"/>
    </row>
    <row r="3348" ht="18" customHeight="1" s="17">
      <c r="A3348" s="48">
        <f>IF(Generation!BJ71="","",Generation!BJ71)</f>
        <v/>
      </c>
      <c r="B3348" s="48" t="n"/>
      <c r="C3348" s="48" t="n"/>
    </row>
    <row r="3349" ht="18" customHeight="1" s="17">
      <c r="A3349" s="48">
        <f>IF(Generation!$B71,"  &lt;/item&gt;","")</f>
        <v/>
      </c>
      <c r="B3349" s="48" t="n"/>
      <c r="C3349" s="48" t="n"/>
    </row>
    <row r="3350" ht="18" customHeight="1" s="17">
      <c r="A3350" s="48">
        <f>""</f>
        <v/>
      </c>
      <c r="B3350" s="48" t="n"/>
      <c r="C3350" s="48" t="n"/>
    </row>
    <row r="3351" ht="18" customHeight="1" s="17">
      <c r="A3351" s="48">
        <f>""</f>
        <v/>
      </c>
      <c r="B3351" s="48" t="n"/>
      <c r="C3351" s="48" t="n"/>
    </row>
    <row r="3352" ht="18" customHeight="1" s="17">
      <c r="A3352" s="48">
        <f>""</f>
        <v/>
      </c>
      <c r="B3352" s="48" t="n"/>
      <c r="C3352" s="48" t="n"/>
    </row>
    <row r="3353" ht="18" customHeight="1" s="17">
      <c r="A3353" s="48">
        <f>""</f>
        <v/>
      </c>
      <c r="B3353" s="48" t="n"/>
      <c r="C3353" s="48" t="n"/>
    </row>
    <row r="3354" ht="18" customHeight="1" s="17">
      <c r="A3354" s="48">
        <f>IF(Generation!$B72,"  &lt;item ident=""il_0_qst_"&amp;TEXT(Generation!$A72,"000")&amp;""" title="""&amp;Generation!$F72&amp;"""&gt;","")</f>
        <v/>
      </c>
      <c r="B3354" s="48" t="n"/>
      <c r="C3354" s="48" t="n"/>
    </row>
    <row r="3355" ht="18" customHeight="1" s="17">
      <c r="A3355" s="48">
        <f>IF(Generation!$B72,"    &lt;duration&gt;P0Y0M0DT0H1M0S&lt;/duration&gt;","")</f>
        <v/>
      </c>
      <c r="B3355" s="48" t="n"/>
      <c r="C3355" s="48" t="n"/>
    </row>
    <row r="3356" ht="18" customHeight="1" s="17">
      <c r="A3356" s="48">
        <f>IF(Generation!$B72,"    &lt;itemmetadata&gt;","")</f>
        <v/>
      </c>
      <c r="B3356" s="48" t="n"/>
      <c r="C3356" s="48" t="n"/>
    </row>
    <row r="3357" ht="18" customHeight="1" s="17">
      <c r="A3357" s="48">
        <f>IF(Generation!$B72,"      &lt;qtimetadata&gt;","")</f>
        <v/>
      </c>
      <c r="B3357" s="48" t="n"/>
      <c r="C3357" s="48" t="n"/>
    </row>
    <row r="3358" ht="18" customHeight="1" s="17">
      <c r="A3358" s="48">
        <f>IF(Generation!$B72,"        &lt;qtimetadatafield&gt;&lt;fieldlabel&gt;ILIAS_VERSION&lt;/fieldlabel&gt;&lt;fieldentry&gt;8&lt;/fieldentry&gt;&lt;/qtimetadatafield&gt;","")</f>
        <v/>
      </c>
      <c r="B3358" s="48" t="n"/>
      <c r="C3358" s="48" t="n"/>
    </row>
    <row r="3359" ht="18" customHeight="1" s="17">
      <c r="A3359" s="48">
        <f>IF(Generation!$B72,"        &lt;qtimetadatafield&gt;&lt;fieldlabel&gt;QUESTIONTYPE&lt;/fieldlabel&gt;&lt;fieldentry&gt;"&amp;Generation!$D72&amp;"&lt;/fieldentry&gt;&lt;/qtimetadatafield&gt;","")</f>
        <v/>
      </c>
      <c r="B3359" s="48" t="n"/>
      <c r="C3359" s="48" t="n"/>
    </row>
    <row r="3360" ht="18" customHeight="1" s="17">
      <c r="A3360" s="48">
        <f>IF(Generation!$B72,"        &lt;qtimetadatafield&gt;&lt;fieldlabel&gt;AUTHOR&lt;/fieldlabel&gt;&lt;fieldentry&gt;"&amp;Generation!$AR72&amp;"&lt;/fieldentry&gt;&lt;/qtimetadatafield&gt;","")</f>
        <v/>
      </c>
      <c r="B3360" s="48" t="n"/>
      <c r="C3360" s="48" t="n"/>
    </row>
    <row r="3361" ht="18" customHeight="1" s="17">
      <c r="A3361" s="48">
        <f>IF(Generation!$B72,"        &lt;qtimetadatafield&gt;&lt;fieldlabel&gt;identicalScoring&lt;/fieldlabel&gt;&lt;fieldentry&gt;1&lt;/fieldentry&gt;&lt;/qtimetadatafield&gt;","")</f>
        <v/>
      </c>
      <c r="B3361" s="48" t="n"/>
      <c r="C3361" s="48" t="n"/>
    </row>
    <row r="3362" ht="18" customHeight="1" s="17">
      <c r="A3362" s="48">
        <f>IF(Generation!$B72,"      &lt;/qtimetadata&gt;","")</f>
        <v/>
      </c>
      <c r="B3362" s="48" t="n"/>
      <c r="C3362" s="48" t="n"/>
    </row>
    <row r="3363" ht="18" customHeight="1" s="17">
      <c r="A3363" s="48">
        <f>IF(Generation!$B72,"    &lt;/itemmetadata&gt;","")</f>
        <v/>
      </c>
      <c r="B3363" s="48" t="n"/>
      <c r="C3363" s="48" t="n"/>
    </row>
    <row r="3364" ht="18" customHeight="1" s="17">
      <c r="A3364" s="48">
        <f>IF(Generation!$B72,"    &lt;presentation label="""&amp;Generation!$F72&amp;"""&gt;","")</f>
        <v/>
      </c>
      <c r="B3364" s="48" t="n"/>
      <c r="C3364" s="48" t="n"/>
    </row>
    <row r="3365" ht="18" customHeight="1" s="17">
      <c r="A3365" s="48">
        <f>IF(Generation!$B72,"      &lt;material&gt;&lt;mattext texttype=""text/html""&gt;"&amp;Generation!$G72&amp;"&lt;/mattext&gt;&lt;/material&gt;","")</f>
        <v/>
      </c>
      <c r="B3365" s="48" t="n"/>
      <c r="C3365" s="48" t="n"/>
    </row>
    <row r="3366" ht="18" customHeight="1" s="17">
      <c r="A3366" s="48">
        <f>IF(Generation!$B72,"      &lt;response_lid ident=""RESPONSE"" rcardinality="""&amp;Generation!$E72&amp;"""&gt;","")</f>
        <v/>
      </c>
      <c r="B3366" s="48" t="n"/>
      <c r="C3366" s="48" t="n"/>
    </row>
    <row r="3367" ht="18" customHeight="1" s="17">
      <c r="A3367" s="48">
        <f>IF(Generation!$B72,"        &lt;render_choice shuffle=""No""&gt;","")</f>
        <v/>
      </c>
      <c r="B3367" s="48" t="n"/>
      <c r="C3367" s="48" t="n"/>
    </row>
    <row r="3368" ht="18" customHeight="1" s="17">
      <c r="A3368" s="48">
        <f>IF(Generation!AB72="","",Generation!AB72)</f>
        <v/>
      </c>
      <c r="B3368" s="48" t="n"/>
      <c r="C3368" s="48" t="n"/>
    </row>
    <row r="3369" ht="18" customHeight="1" s="17">
      <c r="A3369" s="48">
        <f>IF(Generation!AC72="","",Generation!AC72)</f>
        <v/>
      </c>
      <c r="B3369" s="48" t="n"/>
      <c r="C3369" s="48" t="n"/>
    </row>
    <row r="3370" ht="18" customHeight="1" s="17">
      <c r="A3370" s="48">
        <f>IF(Generation!AD72="","",Generation!AD72)</f>
        <v/>
      </c>
      <c r="B3370" s="48" t="n"/>
      <c r="C3370" s="48" t="n"/>
    </row>
    <row r="3371" ht="18" customHeight="1" s="17">
      <c r="A3371" s="48">
        <f>IF(Generation!AE72="","",Generation!AE72)</f>
        <v/>
      </c>
      <c r="B3371" s="48" t="n"/>
      <c r="C3371" s="48" t="n"/>
    </row>
    <row r="3372" ht="18" customHeight="1" s="17">
      <c r="A3372" s="48">
        <f>IF(Generation!AF72="","",Generation!AF72)</f>
        <v/>
      </c>
      <c r="B3372" s="48" t="n"/>
      <c r="C3372" s="48" t="n"/>
    </row>
    <row r="3373" ht="18" customHeight="1" s="17">
      <c r="A3373" s="48">
        <f>IF(Generation!AG72="","",Generation!AG72)</f>
        <v/>
      </c>
      <c r="B3373" s="48" t="n"/>
      <c r="C3373" s="48" t="n"/>
    </row>
    <row r="3374" ht="18" customHeight="1" s="17">
      <c r="A3374" s="48">
        <f>IF(Generation!AH72="","",Generation!AH72)</f>
        <v/>
      </c>
      <c r="B3374" s="48" t="n"/>
      <c r="C3374" s="48" t="n"/>
    </row>
    <row r="3375" ht="18" customHeight="1" s="17">
      <c r="A3375" s="48">
        <f>IF(Generation!AI72="","",Generation!AI72)</f>
        <v/>
      </c>
      <c r="B3375" s="48" t="n"/>
      <c r="C3375" s="48" t="n"/>
    </row>
    <row r="3376" ht="18" customHeight="1" s="17">
      <c r="A3376" s="48">
        <f>IF(Generation!$B72,"        &lt;/render_choice&gt;","")</f>
        <v/>
      </c>
      <c r="B3376" s="48" t="n"/>
      <c r="C3376" s="48" t="n"/>
    </row>
    <row r="3377" ht="18" customHeight="1" s="17">
      <c r="A3377" s="48">
        <f>IF(Generation!$B72,"      &lt;/response_lid&gt;","")</f>
        <v/>
      </c>
      <c r="B3377" s="48" t="n"/>
      <c r="C3377" s="48" t="n"/>
    </row>
    <row r="3378" ht="18" customHeight="1" s="17">
      <c r="A3378" s="48">
        <f>IF(Generation!$B72,"    &lt;/presentation&gt;","")</f>
        <v/>
      </c>
      <c r="B3378" s="48" t="n"/>
      <c r="C3378" s="48" t="n"/>
    </row>
    <row r="3379" ht="18" customHeight="1" s="17">
      <c r="A3379" s="48">
        <f>IF(Generation!$B72,"    &lt;resprocessing&gt;","")</f>
        <v/>
      </c>
      <c r="B3379" s="48" t="n"/>
      <c r="C3379" s="48" t="n"/>
    </row>
    <row r="3380" ht="18" customHeight="1" s="17">
      <c r="A3380" s="48">
        <f>IF(Generation!$B72,"      &lt;outcomes&gt;&lt;decvar varname=""SCORE"" vartype=""Decimal"" minvalue=""0"" maxvalue="""&amp;Generation!$H72&amp;"""/&gt;&lt;/outcomes&gt;","")</f>
        <v/>
      </c>
      <c r="B3380" s="48" t="n"/>
      <c r="C3380" s="48" t="n"/>
    </row>
    <row r="3381" ht="18" customHeight="1" s="17">
      <c r="A3381" s="48">
        <f>IF(Generation!AJ72="","",Generation!AJ72)</f>
        <v/>
      </c>
      <c r="B3381" s="48" t="n"/>
      <c r="C3381" s="48" t="n"/>
    </row>
    <row r="3382" ht="18" customHeight="1" s="17">
      <c r="A3382" s="48">
        <f>IF(Generation!AK72="","",Generation!AK72)</f>
        <v/>
      </c>
      <c r="B3382" s="48" t="n"/>
      <c r="C3382" s="48" t="n"/>
    </row>
    <row r="3383" ht="18" customHeight="1" s="17">
      <c r="A3383" s="48">
        <f>IF(Generation!AL72="","",Generation!AL72)</f>
        <v/>
      </c>
      <c r="B3383" s="48" t="n"/>
      <c r="C3383" s="48" t="n"/>
    </row>
    <row r="3384" ht="18" customHeight="1" s="17">
      <c r="A3384" s="48">
        <f>IF(Generation!AM72="","",Generation!AM72)</f>
        <v/>
      </c>
      <c r="B3384" s="48" t="n"/>
      <c r="C3384" s="48" t="n"/>
    </row>
    <row r="3385" ht="18" customHeight="1" s="17">
      <c r="A3385" s="48">
        <f>IF(Generation!AN72="","",Generation!AN72)</f>
        <v/>
      </c>
      <c r="B3385" s="48" t="n"/>
      <c r="C3385" s="48" t="n"/>
    </row>
    <row r="3386" ht="18" customHeight="1" s="17">
      <c r="A3386" s="48">
        <f>IF(Generation!AO72="","",Generation!AO72)</f>
        <v/>
      </c>
      <c r="B3386" s="48" t="n"/>
      <c r="C3386" s="48" t="n"/>
    </row>
    <row r="3387" ht="18" customHeight="1" s="17">
      <c r="A3387" s="48">
        <f>IF(Generation!AP72="","",Generation!AP72)</f>
        <v/>
      </c>
      <c r="B3387" s="48" t="n"/>
      <c r="C3387" s="48" t="n"/>
    </row>
    <row r="3388" ht="18" customHeight="1" s="17">
      <c r="A3388" s="48">
        <f>IF(Generation!AQ72="","",Generation!AQ72)</f>
        <v/>
      </c>
      <c r="B3388" s="48" t="n"/>
      <c r="C3388" s="48" t="n"/>
    </row>
    <row r="3389" ht="18" customHeight="1" s="17">
      <c r="A3389" s="48">
        <f>IF(Generation!$B72,"    &lt;/resprocessing&gt;","")</f>
        <v/>
      </c>
      <c r="B3389" s="48" t="n"/>
      <c r="C3389" s="48" t="n"/>
    </row>
    <row r="3390" ht="18" customHeight="1" s="17">
      <c r="A3390" s="48">
        <f>IF(Generation!BB72="","",Generation!BB72)</f>
        <v/>
      </c>
      <c r="B3390" s="48" t="n"/>
      <c r="C3390" s="48" t="n"/>
    </row>
    <row r="3391" ht="18" customHeight="1" s="17">
      <c r="A3391" s="48">
        <f>IF(Generation!BC72="","",Generation!BC72)</f>
        <v/>
      </c>
      <c r="B3391" s="48" t="n"/>
      <c r="C3391" s="48" t="n"/>
    </row>
    <row r="3392" ht="18" customHeight="1" s="17">
      <c r="A3392" s="48">
        <f>IF(Generation!BD72="","",Generation!BD72)</f>
        <v/>
      </c>
      <c r="B3392" s="48" t="n"/>
      <c r="C3392" s="48" t="n"/>
    </row>
    <row r="3393" ht="18" customHeight="1" s="17">
      <c r="A3393" s="48">
        <f>IF(Generation!BE72="","",Generation!BE72)</f>
        <v/>
      </c>
      <c r="B3393" s="48" t="n"/>
      <c r="C3393" s="48" t="n"/>
    </row>
    <row r="3394" ht="18" customHeight="1" s="17">
      <c r="A3394" s="48">
        <f>IF(Generation!BF72="","",Generation!BF72)</f>
        <v/>
      </c>
      <c r="B3394" s="48" t="n"/>
      <c r="C3394" s="48" t="n"/>
    </row>
    <row r="3395" ht="18" customHeight="1" s="17">
      <c r="A3395" s="48">
        <f>IF(Generation!BG72="","",Generation!BG72)</f>
        <v/>
      </c>
      <c r="B3395" s="48" t="n"/>
      <c r="C3395" s="48" t="n"/>
    </row>
    <row r="3396" ht="18" customHeight="1" s="17">
      <c r="A3396" s="48">
        <f>IF(Generation!BH72="","",Generation!BH72)</f>
        <v/>
      </c>
      <c r="B3396" s="48" t="n"/>
      <c r="C3396" s="48" t="n"/>
    </row>
    <row r="3397" ht="18" customHeight="1" s="17">
      <c r="A3397" s="48">
        <f>IF(Generation!BI72="","",Generation!BI72)</f>
        <v/>
      </c>
      <c r="B3397" s="48" t="n"/>
      <c r="C3397" s="48" t="n"/>
    </row>
    <row r="3398" ht="18" customHeight="1" s="17">
      <c r="A3398" s="48">
        <f>IF(Generation!BJ72="","",Generation!BJ72)</f>
        <v/>
      </c>
      <c r="B3398" s="48" t="n"/>
      <c r="C3398" s="48" t="n"/>
    </row>
    <row r="3399" ht="18" customHeight="1" s="17">
      <c r="A3399" s="48">
        <f>IF(Generation!$B72,"  &lt;/item&gt;","")</f>
        <v/>
      </c>
      <c r="B3399" s="48" t="n"/>
      <c r="C3399" s="48" t="n"/>
    </row>
    <row r="3400" ht="18" customHeight="1" s="17">
      <c r="A3400" s="48">
        <f>""</f>
        <v/>
      </c>
      <c r="B3400" s="48" t="n"/>
      <c r="C3400" s="48" t="n"/>
    </row>
    <row r="3401" ht="18" customHeight="1" s="17">
      <c r="A3401" s="48">
        <f>""</f>
        <v/>
      </c>
      <c r="B3401" s="48" t="n"/>
      <c r="C3401" s="48" t="n"/>
    </row>
    <row r="3402" ht="18" customHeight="1" s="17">
      <c r="A3402" s="48">
        <f>""</f>
        <v/>
      </c>
      <c r="B3402" s="48" t="n"/>
      <c r="C3402" s="48" t="n"/>
    </row>
    <row r="3403" ht="18" customHeight="1" s="17">
      <c r="A3403" s="48">
        <f>""</f>
        <v/>
      </c>
      <c r="B3403" s="48" t="n"/>
      <c r="C3403" s="48" t="n"/>
    </row>
    <row r="3404" ht="18" customHeight="1" s="17">
      <c r="A3404" s="48">
        <f>IF(Generation!$B73,"  &lt;item ident=""il_0_qst_"&amp;TEXT(Generation!$A73,"000")&amp;""" title="""&amp;Generation!$F73&amp;"""&gt;","")</f>
        <v/>
      </c>
      <c r="B3404" s="48" t="n"/>
      <c r="C3404" s="48" t="n"/>
    </row>
    <row r="3405" ht="18" customHeight="1" s="17">
      <c r="A3405" s="48">
        <f>IF(Generation!$B73,"    &lt;duration&gt;P0Y0M0DT0H1M0S&lt;/duration&gt;","")</f>
        <v/>
      </c>
      <c r="B3405" s="48" t="n"/>
      <c r="C3405" s="48" t="n"/>
    </row>
    <row r="3406" ht="18" customHeight="1" s="17">
      <c r="A3406" s="48">
        <f>IF(Generation!$B73,"    &lt;itemmetadata&gt;","")</f>
        <v/>
      </c>
      <c r="B3406" s="48" t="n"/>
      <c r="C3406" s="48" t="n"/>
    </row>
    <row r="3407" ht="18" customHeight="1" s="17">
      <c r="A3407" s="48">
        <f>IF(Generation!$B73,"      &lt;qtimetadata&gt;","")</f>
        <v/>
      </c>
      <c r="B3407" s="48" t="n"/>
      <c r="C3407" s="48" t="n"/>
    </row>
    <row r="3408" ht="18" customHeight="1" s="17">
      <c r="A3408" s="48">
        <f>IF(Generation!$B73,"        &lt;qtimetadatafield&gt;&lt;fieldlabel&gt;ILIAS_VERSION&lt;/fieldlabel&gt;&lt;fieldentry&gt;8&lt;/fieldentry&gt;&lt;/qtimetadatafield&gt;","")</f>
        <v/>
      </c>
      <c r="B3408" s="48" t="n"/>
      <c r="C3408" s="48" t="n"/>
    </row>
    <row r="3409" ht="18" customHeight="1" s="17">
      <c r="A3409" s="48">
        <f>IF(Generation!$B73,"        &lt;qtimetadatafield&gt;&lt;fieldlabel&gt;QUESTIONTYPE&lt;/fieldlabel&gt;&lt;fieldentry&gt;"&amp;Generation!$D73&amp;"&lt;/fieldentry&gt;&lt;/qtimetadatafield&gt;","")</f>
        <v/>
      </c>
      <c r="B3409" s="48" t="n"/>
      <c r="C3409" s="48" t="n"/>
    </row>
    <row r="3410" ht="18" customHeight="1" s="17">
      <c r="A3410" s="48">
        <f>IF(Generation!$B73,"        &lt;qtimetadatafield&gt;&lt;fieldlabel&gt;AUTHOR&lt;/fieldlabel&gt;&lt;fieldentry&gt;"&amp;Generation!$AR73&amp;"&lt;/fieldentry&gt;&lt;/qtimetadatafield&gt;","")</f>
        <v/>
      </c>
      <c r="B3410" s="48" t="n"/>
      <c r="C3410" s="48" t="n"/>
    </row>
    <row r="3411" ht="18" customHeight="1" s="17">
      <c r="A3411" s="48">
        <f>IF(Generation!$B73,"        &lt;qtimetadatafield&gt;&lt;fieldlabel&gt;identicalScoring&lt;/fieldlabel&gt;&lt;fieldentry&gt;1&lt;/fieldentry&gt;&lt;/qtimetadatafield&gt;","")</f>
        <v/>
      </c>
      <c r="B3411" s="48" t="n"/>
      <c r="C3411" s="48" t="n"/>
    </row>
    <row r="3412" ht="18" customHeight="1" s="17">
      <c r="A3412" s="48">
        <f>IF(Generation!$B73,"      &lt;/qtimetadata&gt;","")</f>
        <v/>
      </c>
      <c r="B3412" s="48" t="n"/>
      <c r="C3412" s="48" t="n"/>
    </row>
    <row r="3413" ht="18" customHeight="1" s="17">
      <c r="A3413" s="48">
        <f>IF(Generation!$B73,"    &lt;/itemmetadata&gt;","")</f>
        <v/>
      </c>
      <c r="B3413" s="48" t="n"/>
      <c r="C3413" s="48" t="n"/>
    </row>
    <row r="3414" ht="18" customHeight="1" s="17">
      <c r="A3414" s="48">
        <f>IF(Generation!$B73,"    &lt;presentation label="""&amp;Generation!$F73&amp;"""&gt;","")</f>
        <v/>
      </c>
      <c r="B3414" s="48" t="n"/>
      <c r="C3414" s="48" t="n"/>
    </row>
    <row r="3415" ht="18" customHeight="1" s="17">
      <c r="A3415" s="48">
        <f>IF(Generation!$B73,"      &lt;material&gt;&lt;mattext texttype=""text/html""&gt;"&amp;Generation!$G73&amp;"&lt;/mattext&gt;&lt;/material&gt;","")</f>
        <v/>
      </c>
      <c r="B3415" s="48" t="n"/>
      <c r="C3415" s="48" t="n"/>
    </row>
    <row r="3416" ht="18" customHeight="1" s="17">
      <c r="A3416" s="48">
        <f>IF(Generation!$B73,"      &lt;response_lid ident=""RESPONSE"" rcardinality="""&amp;Generation!$E73&amp;"""&gt;","")</f>
        <v/>
      </c>
      <c r="B3416" s="48" t="n"/>
      <c r="C3416" s="48" t="n"/>
    </row>
    <row r="3417" ht="18" customHeight="1" s="17">
      <c r="A3417" s="48">
        <f>IF(Generation!$B73,"        &lt;render_choice shuffle=""No""&gt;","")</f>
        <v/>
      </c>
      <c r="B3417" s="48" t="n"/>
      <c r="C3417" s="48" t="n"/>
    </row>
    <row r="3418" ht="18" customHeight="1" s="17">
      <c r="A3418" s="48">
        <f>IF(Generation!AB73="","",Generation!AB73)</f>
        <v/>
      </c>
      <c r="B3418" s="48" t="n"/>
      <c r="C3418" s="48" t="n"/>
    </row>
    <row r="3419" ht="18" customHeight="1" s="17">
      <c r="A3419" s="48">
        <f>IF(Generation!AC73="","",Generation!AC73)</f>
        <v/>
      </c>
      <c r="B3419" s="48" t="n"/>
      <c r="C3419" s="48" t="n"/>
    </row>
    <row r="3420" ht="18" customHeight="1" s="17">
      <c r="A3420" s="48">
        <f>IF(Generation!AD73="","",Generation!AD73)</f>
        <v/>
      </c>
      <c r="B3420" s="48" t="n"/>
      <c r="C3420" s="48" t="n"/>
    </row>
    <row r="3421" ht="18" customHeight="1" s="17">
      <c r="A3421" s="48">
        <f>IF(Generation!AE73="","",Generation!AE73)</f>
        <v/>
      </c>
      <c r="B3421" s="48" t="n"/>
      <c r="C3421" s="48" t="n"/>
    </row>
    <row r="3422" ht="18" customHeight="1" s="17">
      <c r="A3422" s="48">
        <f>IF(Generation!AF73="","",Generation!AF73)</f>
        <v/>
      </c>
      <c r="B3422" s="48" t="n"/>
      <c r="C3422" s="48" t="n"/>
    </row>
    <row r="3423" ht="18" customHeight="1" s="17">
      <c r="A3423" s="48">
        <f>IF(Generation!AG73="","",Generation!AG73)</f>
        <v/>
      </c>
      <c r="B3423" s="48" t="n"/>
      <c r="C3423" s="48" t="n"/>
    </row>
    <row r="3424" ht="18" customHeight="1" s="17">
      <c r="A3424" s="48">
        <f>IF(Generation!AH73="","",Generation!AH73)</f>
        <v/>
      </c>
      <c r="B3424" s="48" t="n"/>
      <c r="C3424" s="48" t="n"/>
    </row>
    <row r="3425" ht="18" customHeight="1" s="17">
      <c r="A3425" s="48">
        <f>IF(Generation!AI73="","",Generation!AI73)</f>
        <v/>
      </c>
      <c r="B3425" s="48" t="n"/>
      <c r="C3425" s="48" t="n"/>
    </row>
    <row r="3426" ht="18" customHeight="1" s="17">
      <c r="A3426" s="48">
        <f>IF(Generation!$B73,"        &lt;/render_choice&gt;","")</f>
        <v/>
      </c>
      <c r="B3426" s="48" t="n"/>
      <c r="C3426" s="48" t="n"/>
    </row>
    <row r="3427" ht="18" customHeight="1" s="17">
      <c r="A3427" s="48">
        <f>IF(Generation!$B73,"      &lt;/response_lid&gt;","")</f>
        <v/>
      </c>
      <c r="B3427" s="48" t="n"/>
      <c r="C3427" s="48" t="n"/>
    </row>
    <row r="3428" ht="18" customHeight="1" s="17">
      <c r="A3428" s="48">
        <f>IF(Generation!$B73,"    &lt;/presentation&gt;","")</f>
        <v/>
      </c>
      <c r="B3428" s="48" t="n"/>
      <c r="C3428" s="48" t="n"/>
    </row>
    <row r="3429" ht="18" customHeight="1" s="17">
      <c r="A3429" s="48">
        <f>IF(Generation!$B73,"    &lt;resprocessing&gt;","")</f>
        <v/>
      </c>
      <c r="B3429" s="48" t="n"/>
      <c r="C3429" s="48" t="n"/>
    </row>
    <row r="3430" ht="18" customHeight="1" s="17">
      <c r="A3430" s="48">
        <f>IF(Generation!$B73,"      &lt;outcomes&gt;&lt;decvar varname=""SCORE"" vartype=""Decimal"" minvalue=""0"" maxvalue="""&amp;Generation!$H73&amp;"""/&gt;&lt;/outcomes&gt;","")</f>
        <v/>
      </c>
      <c r="B3430" s="48" t="n"/>
      <c r="C3430" s="48" t="n"/>
    </row>
    <row r="3431" ht="18" customHeight="1" s="17">
      <c r="A3431" s="48">
        <f>IF(Generation!AJ73="","",Generation!AJ73)</f>
        <v/>
      </c>
      <c r="B3431" s="48" t="n"/>
      <c r="C3431" s="48" t="n"/>
    </row>
    <row r="3432" ht="18" customHeight="1" s="17">
      <c r="A3432" s="48">
        <f>IF(Generation!AK73="","",Generation!AK73)</f>
        <v/>
      </c>
      <c r="B3432" s="48" t="n"/>
      <c r="C3432" s="48" t="n"/>
    </row>
    <row r="3433" ht="18" customHeight="1" s="17">
      <c r="A3433" s="48">
        <f>IF(Generation!AL73="","",Generation!AL73)</f>
        <v/>
      </c>
      <c r="B3433" s="48" t="n"/>
      <c r="C3433" s="48" t="n"/>
    </row>
    <row r="3434" ht="18" customHeight="1" s="17">
      <c r="A3434" s="48">
        <f>IF(Generation!AM73="","",Generation!AM73)</f>
        <v/>
      </c>
      <c r="B3434" s="48" t="n"/>
      <c r="C3434" s="48" t="n"/>
    </row>
    <row r="3435" ht="18" customHeight="1" s="17">
      <c r="A3435" s="48">
        <f>IF(Generation!AN73="","",Generation!AN73)</f>
        <v/>
      </c>
      <c r="B3435" s="48" t="n"/>
      <c r="C3435" s="48" t="n"/>
    </row>
    <row r="3436" ht="18" customHeight="1" s="17">
      <c r="A3436" s="48">
        <f>IF(Generation!AO73="","",Generation!AO73)</f>
        <v/>
      </c>
      <c r="B3436" s="48" t="n"/>
      <c r="C3436" s="48" t="n"/>
    </row>
    <row r="3437" ht="18" customHeight="1" s="17">
      <c r="A3437" s="48">
        <f>IF(Generation!AP73="","",Generation!AP73)</f>
        <v/>
      </c>
      <c r="B3437" s="48" t="n"/>
      <c r="C3437" s="48" t="n"/>
    </row>
    <row r="3438" ht="18" customHeight="1" s="17">
      <c r="A3438" s="48">
        <f>IF(Generation!AQ73="","",Generation!AQ73)</f>
        <v/>
      </c>
      <c r="B3438" s="48" t="n"/>
      <c r="C3438" s="48" t="n"/>
    </row>
    <row r="3439" ht="18" customHeight="1" s="17">
      <c r="A3439" s="48">
        <f>IF(Generation!$B73,"    &lt;/resprocessing&gt;","")</f>
        <v/>
      </c>
      <c r="B3439" s="48" t="n"/>
      <c r="C3439" s="48" t="n"/>
    </row>
    <row r="3440" ht="18" customHeight="1" s="17">
      <c r="A3440" s="48">
        <f>IF(Generation!BB73="","",Generation!BB73)</f>
        <v/>
      </c>
      <c r="B3440" s="48" t="n"/>
      <c r="C3440" s="48" t="n"/>
    </row>
    <row r="3441" ht="18" customHeight="1" s="17">
      <c r="A3441" s="48">
        <f>IF(Generation!BC73="","",Generation!BC73)</f>
        <v/>
      </c>
      <c r="B3441" s="48" t="n"/>
      <c r="C3441" s="48" t="n"/>
    </row>
    <row r="3442" ht="18" customHeight="1" s="17">
      <c r="A3442" s="48">
        <f>IF(Generation!BD73="","",Generation!BD73)</f>
        <v/>
      </c>
      <c r="B3442" s="48" t="n"/>
      <c r="C3442" s="48" t="n"/>
    </row>
    <row r="3443" ht="18" customHeight="1" s="17">
      <c r="A3443" s="48">
        <f>IF(Generation!BE73="","",Generation!BE73)</f>
        <v/>
      </c>
      <c r="B3443" s="48" t="n"/>
      <c r="C3443" s="48" t="n"/>
    </row>
    <row r="3444" ht="18" customHeight="1" s="17">
      <c r="A3444" s="48">
        <f>IF(Generation!BF73="","",Generation!BF73)</f>
        <v/>
      </c>
      <c r="B3444" s="48" t="n"/>
      <c r="C3444" s="48" t="n"/>
    </row>
    <row r="3445" ht="18" customHeight="1" s="17">
      <c r="A3445" s="48">
        <f>IF(Generation!BG73="","",Generation!BG73)</f>
        <v/>
      </c>
      <c r="B3445" s="48" t="n"/>
      <c r="C3445" s="48" t="n"/>
    </row>
    <row r="3446" ht="18" customHeight="1" s="17">
      <c r="A3446" s="48">
        <f>IF(Generation!BH73="","",Generation!BH73)</f>
        <v/>
      </c>
      <c r="B3446" s="48" t="n"/>
      <c r="C3446" s="48" t="n"/>
    </row>
    <row r="3447" ht="18" customHeight="1" s="17">
      <c r="A3447" s="48">
        <f>IF(Generation!BI73="","",Generation!BI73)</f>
        <v/>
      </c>
      <c r="B3447" s="48" t="n"/>
      <c r="C3447" s="48" t="n"/>
    </row>
    <row r="3448" ht="18" customHeight="1" s="17">
      <c r="A3448" s="48">
        <f>IF(Generation!BJ73="","",Generation!BJ73)</f>
        <v/>
      </c>
      <c r="B3448" s="48" t="n"/>
      <c r="C3448" s="48" t="n"/>
    </row>
    <row r="3449" ht="18" customHeight="1" s="17">
      <c r="A3449" s="48">
        <f>IF(Generation!$B73,"  &lt;/item&gt;","")</f>
        <v/>
      </c>
      <c r="B3449" s="48" t="n"/>
      <c r="C3449" s="48" t="n"/>
    </row>
    <row r="3450" ht="18" customHeight="1" s="17">
      <c r="A3450" s="48">
        <f>""</f>
        <v/>
      </c>
      <c r="B3450" s="48" t="n"/>
      <c r="C3450" s="48" t="n"/>
    </row>
    <row r="3451" ht="18" customHeight="1" s="17">
      <c r="A3451" s="48">
        <f>""</f>
        <v/>
      </c>
      <c r="B3451" s="48" t="n"/>
      <c r="C3451" s="48" t="n"/>
    </row>
    <row r="3452" ht="18" customHeight="1" s="17">
      <c r="A3452" s="48">
        <f>""</f>
        <v/>
      </c>
      <c r="B3452" s="48" t="n"/>
      <c r="C3452" s="48" t="n"/>
    </row>
    <row r="3453" ht="18" customHeight="1" s="17">
      <c r="A3453" s="48">
        <f>""</f>
        <v/>
      </c>
      <c r="B3453" s="48" t="n"/>
      <c r="C3453" s="48" t="n"/>
    </row>
    <row r="3454" ht="18" customHeight="1" s="17">
      <c r="A3454" s="48">
        <f>IF(Generation!$B74,"  &lt;item ident=""il_0_qst_"&amp;TEXT(Generation!$A74,"000")&amp;""" title="""&amp;Generation!$F74&amp;"""&gt;","")</f>
        <v/>
      </c>
      <c r="B3454" s="48" t="n"/>
      <c r="C3454" s="48" t="n"/>
    </row>
    <row r="3455" ht="18" customHeight="1" s="17">
      <c r="A3455" s="48">
        <f>IF(Generation!$B74,"    &lt;duration&gt;P0Y0M0DT0H1M0S&lt;/duration&gt;","")</f>
        <v/>
      </c>
      <c r="B3455" s="48" t="n"/>
      <c r="C3455" s="48" t="n"/>
    </row>
    <row r="3456" ht="18" customHeight="1" s="17">
      <c r="A3456" s="48">
        <f>IF(Generation!$B74,"    &lt;itemmetadata&gt;","")</f>
        <v/>
      </c>
      <c r="B3456" s="48" t="n"/>
      <c r="C3456" s="48" t="n"/>
    </row>
    <row r="3457" ht="18" customHeight="1" s="17">
      <c r="A3457" s="48">
        <f>IF(Generation!$B74,"      &lt;qtimetadata&gt;","")</f>
        <v/>
      </c>
      <c r="B3457" s="48" t="n"/>
      <c r="C3457" s="48" t="n"/>
    </row>
    <row r="3458" ht="18" customHeight="1" s="17">
      <c r="A3458" s="48">
        <f>IF(Generation!$B74,"        &lt;qtimetadatafield&gt;&lt;fieldlabel&gt;ILIAS_VERSION&lt;/fieldlabel&gt;&lt;fieldentry&gt;8&lt;/fieldentry&gt;&lt;/qtimetadatafield&gt;","")</f>
        <v/>
      </c>
      <c r="B3458" s="48" t="n"/>
      <c r="C3458" s="48" t="n"/>
    </row>
    <row r="3459" ht="18" customHeight="1" s="17">
      <c r="A3459" s="48">
        <f>IF(Generation!$B74,"        &lt;qtimetadatafield&gt;&lt;fieldlabel&gt;QUESTIONTYPE&lt;/fieldlabel&gt;&lt;fieldentry&gt;"&amp;Generation!$D74&amp;"&lt;/fieldentry&gt;&lt;/qtimetadatafield&gt;","")</f>
        <v/>
      </c>
      <c r="B3459" s="48" t="n"/>
      <c r="C3459" s="48" t="n"/>
    </row>
    <row r="3460" ht="18" customHeight="1" s="17">
      <c r="A3460" s="48">
        <f>IF(Generation!$B74,"        &lt;qtimetadatafield&gt;&lt;fieldlabel&gt;AUTHOR&lt;/fieldlabel&gt;&lt;fieldentry&gt;"&amp;Generation!$AR74&amp;"&lt;/fieldentry&gt;&lt;/qtimetadatafield&gt;","")</f>
        <v/>
      </c>
      <c r="B3460" s="48" t="n"/>
      <c r="C3460" s="48" t="n"/>
    </row>
    <row r="3461" ht="18" customHeight="1" s="17">
      <c r="A3461" s="48">
        <f>IF(Generation!$B74,"        &lt;qtimetadatafield&gt;&lt;fieldlabel&gt;identicalScoring&lt;/fieldlabel&gt;&lt;fieldentry&gt;1&lt;/fieldentry&gt;&lt;/qtimetadatafield&gt;","")</f>
        <v/>
      </c>
      <c r="B3461" s="48" t="n"/>
      <c r="C3461" s="48" t="n"/>
    </row>
    <row r="3462" ht="18" customHeight="1" s="17">
      <c r="A3462" s="48">
        <f>IF(Generation!$B74,"      &lt;/qtimetadata&gt;","")</f>
        <v/>
      </c>
      <c r="B3462" s="48" t="n"/>
      <c r="C3462" s="48" t="n"/>
    </row>
    <row r="3463" ht="18" customHeight="1" s="17">
      <c r="A3463" s="48">
        <f>IF(Generation!$B74,"    &lt;/itemmetadata&gt;","")</f>
        <v/>
      </c>
      <c r="B3463" s="48" t="n"/>
      <c r="C3463" s="48" t="n"/>
    </row>
    <row r="3464" ht="18" customHeight="1" s="17">
      <c r="A3464" s="48">
        <f>IF(Generation!$B74,"    &lt;presentation label="""&amp;Generation!$F74&amp;"""&gt;","")</f>
        <v/>
      </c>
      <c r="B3464" s="48" t="n"/>
      <c r="C3464" s="48" t="n"/>
    </row>
    <row r="3465" ht="18" customHeight="1" s="17">
      <c r="A3465" s="48">
        <f>IF(Generation!$B74,"      &lt;material&gt;&lt;mattext texttype=""text/html""&gt;"&amp;Generation!$G74&amp;"&lt;/mattext&gt;&lt;/material&gt;","")</f>
        <v/>
      </c>
      <c r="B3465" s="48" t="n"/>
      <c r="C3465" s="48" t="n"/>
    </row>
    <row r="3466" ht="18" customHeight="1" s="17">
      <c r="A3466" s="48">
        <f>IF(Generation!$B74,"      &lt;response_lid ident=""RESPONSE"" rcardinality="""&amp;Generation!$E74&amp;"""&gt;","")</f>
        <v/>
      </c>
      <c r="B3466" s="48" t="n"/>
      <c r="C3466" s="48" t="n"/>
    </row>
    <row r="3467" ht="18" customHeight="1" s="17">
      <c r="A3467" s="48">
        <f>IF(Generation!$B74,"        &lt;render_choice shuffle=""No""&gt;","")</f>
        <v/>
      </c>
      <c r="B3467" s="48" t="n"/>
      <c r="C3467" s="48" t="n"/>
    </row>
    <row r="3468" ht="18" customHeight="1" s="17">
      <c r="A3468" s="48">
        <f>IF(Generation!AB74="","",Generation!AB74)</f>
        <v/>
      </c>
      <c r="B3468" s="48" t="n"/>
      <c r="C3468" s="48" t="n"/>
    </row>
    <row r="3469" ht="18" customHeight="1" s="17">
      <c r="A3469" s="48">
        <f>IF(Generation!AC74="","",Generation!AC74)</f>
        <v/>
      </c>
      <c r="B3469" s="48" t="n"/>
      <c r="C3469" s="48" t="n"/>
    </row>
    <row r="3470" ht="18" customHeight="1" s="17">
      <c r="A3470" s="48">
        <f>IF(Generation!AD74="","",Generation!AD74)</f>
        <v/>
      </c>
      <c r="B3470" s="48" t="n"/>
      <c r="C3470" s="48" t="n"/>
    </row>
    <row r="3471" ht="18" customHeight="1" s="17">
      <c r="A3471" s="48">
        <f>IF(Generation!AE74="","",Generation!AE74)</f>
        <v/>
      </c>
      <c r="B3471" s="48" t="n"/>
      <c r="C3471" s="48" t="n"/>
    </row>
    <row r="3472" ht="18" customHeight="1" s="17">
      <c r="A3472" s="48">
        <f>IF(Generation!AF74="","",Generation!AF74)</f>
        <v/>
      </c>
      <c r="B3472" s="48" t="n"/>
      <c r="C3472" s="48" t="n"/>
    </row>
    <row r="3473" ht="18" customHeight="1" s="17">
      <c r="A3473" s="48">
        <f>IF(Generation!AG74="","",Generation!AG74)</f>
        <v/>
      </c>
      <c r="B3473" s="48" t="n"/>
      <c r="C3473" s="48" t="n"/>
    </row>
    <row r="3474" ht="18" customHeight="1" s="17">
      <c r="A3474" s="48">
        <f>IF(Generation!AH74="","",Generation!AH74)</f>
        <v/>
      </c>
      <c r="B3474" s="48" t="n"/>
      <c r="C3474" s="48" t="n"/>
    </row>
    <row r="3475" ht="18" customHeight="1" s="17">
      <c r="A3475" s="48">
        <f>IF(Generation!AI74="","",Generation!AI74)</f>
        <v/>
      </c>
      <c r="B3475" s="48" t="n"/>
      <c r="C3475" s="48" t="n"/>
    </row>
    <row r="3476" ht="18" customHeight="1" s="17">
      <c r="A3476" s="48">
        <f>IF(Generation!$B74,"        &lt;/render_choice&gt;","")</f>
        <v/>
      </c>
      <c r="B3476" s="48" t="n"/>
      <c r="C3476" s="48" t="n"/>
    </row>
    <row r="3477" ht="18" customHeight="1" s="17">
      <c r="A3477" s="48">
        <f>IF(Generation!$B74,"      &lt;/response_lid&gt;","")</f>
        <v/>
      </c>
      <c r="B3477" s="48" t="n"/>
      <c r="C3477" s="48" t="n"/>
    </row>
    <row r="3478" ht="18" customHeight="1" s="17">
      <c r="A3478" s="48">
        <f>IF(Generation!$B74,"    &lt;/presentation&gt;","")</f>
        <v/>
      </c>
      <c r="B3478" s="48" t="n"/>
      <c r="C3478" s="48" t="n"/>
    </row>
    <row r="3479" ht="18" customHeight="1" s="17">
      <c r="A3479" s="48">
        <f>IF(Generation!$B74,"    &lt;resprocessing&gt;","")</f>
        <v/>
      </c>
      <c r="B3479" s="48" t="n"/>
      <c r="C3479" s="48" t="n"/>
    </row>
    <row r="3480" ht="18" customHeight="1" s="17">
      <c r="A3480" s="48">
        <f>IF(Generation!$B74,"      &lt;outcomes&gt;&lt;decvar varname=""SCORE"" vartype=""Decimal"" minvalue=""0"" maxvalue="""&amp;Generation!$H74&amp;"""/&gt;&lt;/outcomes&gt;","")</f>
        <v/>
      </c>
      <c r="B3480" s="48" t="n"/>
      <c r="C3480" s="48" t="n"/>
    </row>
    <row r="3481" ht="18" customHeight="1" s="17">
      <c r="A3481" s="48">
        <f>IF(Generation!AJ74="","",Generation!AJ74)</f>
        <v/>
      </c>
      <c r="B3481" s="48" t="n"/>
      <c r="C3481" s="48" t="n"/>
    </row>
    <row r="3482" ht="18" customHeight="1" s="17">
      <c r="A3482" s="48">
        <f>IF(Generation!AK74="","",Generation!AK74)</f>
        <v/>
      </c>
      <c r="B3482" s="48" t="n"/>
      <c r="C3482" s="48" t="n"/>
    </row>
    <row r="3483" ht="18" customHeight="1" s="17">
      <c r="A3483" s="48">
        <f>IF(Generation!AL74="","",Generation!AL74)</f>
        <v/>
      </c>
      <c r="B3483" s="48" t="n"/>
      <c r="C3483" s="48" t="n"/>
    </row>
    <row r="3484" ht="18" customHeight="1" s="17">
      <c r="A3484" s="48">
        <f>IF(Generation!AM74="","",Generation!AM74)</f>
        <v/>
      </c>
      <c r="B3484" s="48" t="n"/>
      <c r="C3484" s="48" t="n"/>
    </row>
    <row r="3485" ht="18" customHeight="1" s="17">
      <c r="A3485" s="48">
        <f>IF(Generation!AN74="","",Generation!AN74)</f>
        <v/>
      </c>
      <c r="B3485" s="48" t="n"/>
      <c r="C3485" s="48" t="n"/>
    </row>
    <row r="3486" ht="18" customHeight="1" s="17">
      <c r="A3486" s="48">
        <f>IF(Generation!AO74="","",Generation!AO74)</f>
        <v/>
      </c>
      <c r="B3486" s="48" t="n"/>
      <c r="C3486" s="48" t="n"/>
    </row>
    <row r="3487" ht="18" customHeight="1" s="17">
      <c r="A3487" s="48">
        <f>IF(Generation!AP74="","",Generation!AP74)</f>
        <v/>
      </c>
      <c r="B3487" s="48" t="n"/>
      <c r="C3487" s="48" t="n"/>
    </row>
    <row r="3488" ht="18" customHeight="1" s="17">
      <c r="A3488" s="48">
        <f>IF(Generation!AQ74="","",Generation!AQ74)</f>
        <v/>
      </c>
      <c r="B3488" s="48" t="n"/>
      <c r="C3488" s="48" t="n"/>
    </row>
    <row r="3489" ht="18" customHeight="1" s="17">
      <c r="A3489" s="48">
        <f>IF(Generation!$B74,"    &lt;/resprocessing&gt;","")</f>
        <v/>
      </c>
      <c r="B3489" s="48" t="n"/>
      <c r="C3489" s="48" t="n"/>
    </row>
    <row r="3490" ht="18" customHeight="1" s="17">
      <c r="A3490" s="48">
        <f>IF(Generation!BB74="","",Generation!BB74)</f>
        <v/>
      </c>
      <c r="B3490" s="48" t="n"/>
      <c r="C3490" s="48" t="n"/>
    </row>
    <row r="3491" ht="18" customHeight="1" s="17">
      <c r="A3491" s="48">
        <f>IF(Generation!BC74="","",Generation!BC74)</f>
        <v/>
      </c>
      <c r="B3491" s="48" t="n"/>
      <c r="C3491" s="48" t="n"/>
    </row>
    <row r="3492" ht="18" customHeight="1" s="17">
      <c r="A3492" s="48">
        <f>IF(Generation!BD74="","",Generation!BD74)</f>
        <v/>
      </c>
      <c r="B3492" s="48" t="n"/>
      <c r="C3492" s="48" t="n"/>
    </row>
    <row r="3493" ht="18" customHeight="1" s="17">
      <c r="A3493" s="48">
        <f>IF(Generation!BE74="","",Generation!BE74)</f>
        <v/>
      </c>
      <c r="B3493" s="48" t="n"/>
      <c r="C3493" s="48" t="n"/>
    </row>
    <row r="3494" ht="18" customHeight="1" s="17">
      <c r="A3494" s="48">
        <f>IF(Generation!BF74="","",Generation!BF74)</f>
        <v/>
      </c>
      <c r="B3494" s="48" t="n"/>
      <c r="C3494" s="48" t="n"/>
    </row>
    <row r="3495" ht="18" customHeight="1" s="17">
      <c r="A3495" s="48">
        <f>IF(Generation!BG74="","",Generation!BG74)</f>
        <v/>
      </c>
      <c r="B3495" s="48" t="n"/>
      <c r="C3495" s="48" t="n"/>
    </row>
    <row r="3496" ht="18" customHeight="1" s="17">
      <c r="A3496" s="48">
        <f>IF(Generation!BH74="","",Generation!BH74)</f>
        <v/>
      </c>
      <c r="B3496" s="48" t="n"/>
      <c r="C3496" s="48" t="n"/>
    </row>
    <row r="3497" ht="18" customHeight="1" s="17">
      <c r="A3497" s="48">
        <f>IF(Generation!BI74="","",Generation!BI74)</f>
        <v/>
      </c>
      <c r="B3497" s="48" t="n"/>
      <c r="C3497" s="48" t="n"/>
    </row>
    <row r="3498" ht="18" customHeight="1" s="17">
      <c r="A3498" s="48">
        <f>IF(Generation!BJ74="","",Generation!BJ74)</f>
        <v/>
      </c>
      <c r="B3498" s="48" t="n"/>
      <c r="C3498" s="48" t="n"/>
    </row>
    <row r="3499" ht="18" customHeight="1" s="17">
      <c r="A3499" s="48">
        <f>IF(Generation!$B74,"  &lt;/item&gt;","")</f>
        <v/>
      </c>
      <c r="B3499" s="48" t="n"/>
      <c r="C3499" s="48" t="n"/>
    </row>
    <row r="3500" ht="18" customHeight="1" s="17">
      <c r="A3500" s="48">
        <f>""</f>
        <v/>
      </c>
      <c r="B3500" s="48" t="n"/>
      <c r="C3500" s="48" t="n"/>
    </row>
    <row r="3501" ht="18" customHeight="1" s="17">
      <c r="A3501" s="48">
        <f>""</f>
        <v/>
      </c>
      <c r="B3501" s="48" t="n"/>
      <c r="C3501" s="48" t="n"/>
    </row>
    <row r="3502" ht="18" customHeight="1" s="17">
      <c r="A3502" s="48">
        <f>""</f>
        <v/>
      </c>
      <c r="B3502" s="48" t="n"/>
      <c r="C3502" s="48" t="n"/>
    </row>
    <row r="3503" ht="18" customHeight="1" s="17">
      <c r="A3503" s="48">
        <f>""</f>
        <v/>
      </c>
      <c r="B3503" s="48" t="n"/>
      <c r="C3503" s="48" t="n"/>
    </row>
    <row r="3504" ht="18" customHeight="1" s="17">
      <c r="A3504" s="48">
        <f>IF(Generation!$B75,"  &lt;item ident=""il_0_qst_"&amp;TEXT(Generation!$A75,"000")&amp;""" title="""&amp;Generation!$F75&amp;"""&gt;","")</f>
        <v/>
      </c>
      <c r="B3504" s="48" t="n"/>
      <c r="C3504" s="48" t="n"/>
    </row>
    <row r="3505" ht="18" customHeight="1" s="17">
      <c r="A3505" s="48">
        <f>IF(Generation!$B75,"    &lt;duration&gt;P0Y0M0DT0H1M0S&lt;/duration&gt;","")</f>
        <v/>
      </c>
      <c r="B3505" s="48" t="n"/>
      <c r="C3505" s="48" t="n"/>
    </row>
    <row r="3506" ht="18" customHeight="1" s="17">
      <c r="A3506" s="48">
        <f>IF(Generation!$B75,"    &lt;itemmetadata&gt;","")</f>
        <v/>
      </c>
      <c r="B3506" s="48" t="n"/>
      <c r="C3506" s="48" t="n"/>
    </row>
    <row r="3507" ht="18" customHeight="1" s="17">
      <c r="A3507" s="48">
        <f>IF(Generation!$B75,"      &lt;qtimetadata&gt;","")</f>
        <v/>
      </c>
      <c r="B3507" s="48" t="n"/>
      <c r="C3507" s="48" t="n"/>
    </row>
    <row r="3508" ht="18" customHeight="1" s="17">
      <c r="A3508" s="48">
        <f>IF(Generation!$B75,"        &lt;qtimetadatafield&gt;&lt;fieldlabel&gt;ILIAS_VERSION&lt;/fieldlabel&gt;&lt;fieldentry&gt;8&lt;/fieldentry&gt;&lt;/qtimetadatafield&gt;","")</f>
        <v/>
      </c>
      <c r="B3508" s="48" t="n"/>
      <c r="C3508" s="48" t="n"/>
    </row>
    <row r="3509" ht="18" customHeight="1" s="17">
      <c r="A3509" s="48">
        <f>IF(Generation!$B75,"        &lt;qtimetadatafield&gt;&lt;fieldlabel&gt;QUESTIONTYPE&lt;/fieldlabel&gt;&lt;fieldentry&gt;"&amp;Generation!$D75&amp;"&lt;/fieldentry&gt;&lt;/qtimetadatafield&gt;","")</f>
        <v/>
      </c>
      <c r="B3509" s="48" t="n"/>
      <c r="C3509" s="48" t="n"/>
    </row>
    <row r="3510" ht="18" customHeight="1" s="17">
      <c r="A3510" s="48">
        <f>IF(Generation!$B75,"        &lt;qtimetadatafield&gt;&lt;fieldlabel&gt;AUTHOR&lt;/fieldlabel&gt;&lt;fieldentry&gt;"&amp;Generation!$AR75&amp;"&lt;/fieldentry&gt;&lt;/qtimetadatafield&gt;","")</f>
        <v/>
      </c>
      <c r="B3510" s="48" t="n"/>
      <c r="C3510" s="48" t="n"/>
    </row>
    <row r="3511" ht="18" customHeight="1" s="17">
      <c r="A3511" s="48">
        <f>IF(Generation!$B75,"        &lt;qtimetadatafield&gt;&lt;fieldlabel&gt;identicalScoring&lt;/fieldlabel&gt;&lt;fieldentry&gt;1&lt;/fieldentry&gt;&lt;/qtimetadatafield&gt;","")</f>
        <v/>
      </c>
      <c r="B3511" s="48" t="n"/>
      <c r="C3511" s="48" t="n"/>
    </row>
    <row r="3512" ht="18" customHeight="1" s="17">
      <c r="A3512" s="48">
        <f>IF(Generation!$B75,"      &lt;/qtimetadata&gt;","")</f>
        <v/>
      </c>
      <c r="B3512" s="48" t="n"/>
      <c r="C3512" s="48" t="n"/>
    </row>
    <row r="3513" ht="18" customHeight="1" s="17">
      <c r="A3513" s="48">
        <f>IF(Generation!$B75,"    &lt;/itemmetadata&gt;","")</f>
        <v/>
      </c>
      <c r="B3513" s="48" t="n"/>
      <c r="C3513" s="48" t="n"/>
    </row>
    <row r="3514" ht="18" customHeight="1" s="17">
      <c r="A3514" s="48">
        <f>IF(Generation!$B75,"    &lt;presentation label="""&amp;Generation!$F75&amp;"""&gt;","")</f>
        <v/>
      </c>
      <c r="B3514" s="48" t="n"/>
      <c r="C3514" s="48" t="n"/>
    </row>
    <row r="3515" ht="18" customHeight="1" s="17">
      <c r="A3515" s="48">
        <f>IF(Generation!$B75,"      &lt;material&gt;&lt;mattext texttype=""text/html""&gt;"&amp;Generation!$G75&amp;"&lt;/mattext&gt;&lt;/material&gt;","")</f>
        <v/>
      </c>
      <c r="B3515" s="48" t="n"/>
      <c r="C3515" s="48" t="n"/>
    </row>
    <row r="3516" ht="18" customHeight="1" s="17">
      <c r="A3516" s="48">
        <f>IF(Generation!$B75,"      &lt;response_lid ident=""RESPONSE"" rcardinality="""&amp;Generation!$E75&amp;"""&gt;","")</f>
        <v/>
      </c>
      <c r="B3516" s="48" t="n"/>
      <c r="C3516" s="48" t="n"/>
    </row>
    <row r="3517" ht="18" customHeight="1" s="17">
      <c r="A3517" s="48">
        <f>IF(Generation!$B75,"        &lt;render_choice shuffle=""No""&gt;","")</f>
        <v/>
      </c>
      <c r="B3517" s="48" t="n"/>
      <c r="C3517" s="48" t="n"/>
    </row>
    <row r="3518" ht="18" customHeight="1" s="17">
      <c r="A3518" s="48">
        <f>IF(Generation!AB75="","",Generation!AB75)</f>
        <v/>
      </c>
      <c r="B3518" s="48" t="n"/>
      <c r="C3518" s="48" t="n"/>
    </row>
    <row r="3519" ht="18" customHeight="1" s="17">
      <c r="A3519" s="48">
        <f>IF(Generation!AC75="","",Generation!AC75)</f>
        <v/>
      </c>
      <c r="B3519" s="48" t="n"/>
      <c r="C3519" s="48" t="n"/>
    </row>
    <row r="3520" ht="18" customHeight="1" s="17">
      <c r="A3520" s="48">
        <f>IF(Generation!AD75="","",Generation!AD75)</f>
        <v/>
      </c>
      <c r="B3520" s="48" t="n"/>
      <c r="C3520" s="48" t="n"/>
    </row>
    <row r="3521" ht="18" customHeight="1" s="17">
      <c r="A3521" s="48">
        <f>IF(Generation!AE75="","",Generation!AE75)</f>
        <v/>
      </c>
      <c r="B3521" s="48" t="n"/>
      <c r="C3521" s="48" t="n"/>
    </row>
    <row r="3522" ht="18" customHeight="1" s="17">
      <c r="A3522" s="48">
        <f>IF(Generation!AF75="","",Generation!AF75)</f>
        <v/>
      </c>
      <c r="B3522" s="48" t="n"/>
      <c r="C3522" s="48" t="n"/>
    </row>
    <row r="3523" ht="18" customHeight="1" s="17">
      <c r="A3523" s="48">
        <f>IF(Generation!AG75="","",Generation!AG75)</f>
        <v/>
      </c>
      <c r="B3523" s="48" t="n"/>
      <c r="C3523" s="48" t="n"/>
    </row>
    <row r="3524" ht="18" customHeight="1" s="17">
      <c r="A3524" s="48">
        <f>IF(Generation!AH75="","",Generation!AH75)</f>
        <v/>
      </c>
      <c r="B3524" s="48" t="n"/>
      <c r="C3524" s="48" t="n"/>
    </row>
    <row r="3525" ht="18" customHeight="1" s="17">
      <c r="A3525" s="48">
        <f>IF(Generation!AI75="","",Generation!AI75)</f>
        <v/>
      </c>
      <c r="B3525" s="48" t="n"/>
      <c r="C3525" s="48" t="n"/>
    </row>
    <row r="3526" ht="18" customHeight="1" s="17">
      <c r="A3526" s="48">
        <f>IF(Generation!$B75,"        &lt;/render_choice&gt;","")</f>
        <v/>
      </c>
      <c r="B3526" s="48" t="n"/>
      <c r="C3526" s="48" t="n"/>
    </row>
    <row r="3527" ht="18" customHeight="1" s="17">
      <c r="A3527" s="48">
        <f>IF(Generation!$B75,"      &lt;/response_lid&gt;","")</f>
        <v/>
      </c>
      <c r="B3527" s="48" t="n"/>
      <c r="C3527" s="48" t="n"/>
    </row>
    <row r="3528" ht="18" customHeight="1" s="17">
      <c r="A3528" s="48">
        <f>IF(Generation!$B75,"    &lt;/presentation&gt;","")</f>
        <v/>
      </c>
      <c r="B3528" s="48" t="n"/>
      <c r="C3528" s="48" t="n"/>
    </row>
    <row r="3529" ht="18" customHeight="1" s="17">
      <c r="A3529" s="48">
        <f>IF(Generation!$B75,"    &lt;resprocessing&gt;","")</f>
        <v/>
      </c>
      <c r="B3529" s="48" t="n"/>
      <c r="C3529" s="48" t="n"/>
    </row>
    <row r="3530" ht="18" customHeight="1" s="17">
      <c r="A3530" s="48">
        <f>IF(Generation!$B75,"      &lt;outcomes&gt;&lt;decvar varname=""SCORE"" vartype=""Decimal"" minvalue=""0"" maxvalue="""&amp;Generation!$H75&amp;"""/&gt;&lt;/outcomes&gt;","")</f>
        <v/>
      </c>
      <c r="B3530" s="48" t="n"/>
      <c r="C3530" s="48" t="n"/>
    </row>
    <row r="3531" ht="18" customHeight="1" s="17">
      <c r="A3531" s="48">
        <f>IF(Generation!AJ75="","",Generation!AJ75)</f>
        <v/>
      </c>
      <c r="B3531" s="48" t="n"/>
      <c r="C3531" s="48" t="n"/>
    </row>
    <row r="3532" ht="18" customHeight="1" s="17">
      <c r="A3532" s="48">
        <f>IF(Generation!AK75="","",Generation!AK75)</f>
        <v/>
      </c>
      <c r="B3532" s="48" t="n"/>
      <c r="C3532" s="48" t="n"/>
    </row>
    <row r="3533" ht="18" customHeight="1" s="17">
      <c r="A3533" s="48">
        <f>IF(Generation!AL75="","",Generation!AL75)</f>
        <v/>
      </c>
      <c r="B3533" s="48" t="n"/>
      <c r="C3533" s="48" t="n"/>
    </row>
    <row r="3534" ht="18" customHeight="1" s="17">
      <c r="A3534" s="48">
        <f>IF(Generation!AM75="","",Generation!AM75)</f>
        <v/>
      </c>
      <c r="B3534" s="48" t="n"/>
      <c r="C3534" s="48" t="n"/>
    </row>
    <row r="3535" ht="18" customHeight="1" s="17">
      <c r="A3535" s="48">
        <f>IF(Generation!AN75="","",Generation!AN75)</f>
        <v/>
      </c>
      <c r="B3535" s="48" t="n"/>
      <c r="C3535" s="48" t="n"/>
    </row>
    <row r="3536" ht="18" customHeight="1" s="17">
      <c r="A3536" s="48">
        <f>IF(Generation!AO75="","",Generation!AO75)</f>
        <v/>
      </c>
      <c r="B3536" s="48" t="n"/>
      <c r="C3536" s="48" t="n"/>
    </row>
    <row r="3537" ht="18" customHeight="1" s="17">
      <c r="A3537" s="48">
        <f>IF(Generation!AP75="","",Generation!AP75)</f>
        <v/>
      </c>
      <c r="B3537" s="48" t="n"/>
      <c r="C3537" s="48" t="n"/>
    </row>
    <row r="3538" ht="18" customHeight="1" s="17">
      <c r="A3538" s="48">
        <f>IF(Generation!AQ75="","",Generation!AQ75)</f>
        <v/>
      </c>
      <c r="B3538" s="48" t="n"/>
      <c r="C3538" s="48" t="n"/>
    </row>
    <row r="3539" ht="18" customHeight="1" s="17">
      <c r="A3539" s="48">
        <f>IF(Generation!$B75,"    &lt;/resprocessing&gt;","")</f>
        <v/>
      </c>
      <c r="B3539" s="48" t="n"/>
      <c r="C3539" s="48" t="n"/>
    </row>
    <row r="3540" ht="18" customHeight="1" s="17">
      <c r="A3540" s="48">
        <f>IF(Generation!BB75="","",Generation!BB75)</f>
        <v/>
      </c>
      <c r="B3540" s="48" t="n"/>
      <c r="C3540" s="48" t="n"/>
    </row>
    <row r="3541" ht="18" customHeight="1" s="17">
      <c r="A3541" s="48">
        <f>IF(Generation!BC75="","",Generation!BC75)</f>
        <v/>
      </c>
      <c r="B3541" s="48" t="n"/>
      <c r="C3541" s="48" t="n"/>
    </row>
    <row r="3542" ht="18" customHeight="1" s="17">
      <c r="A3542" s="48">
        <f>IF(Generation!BD75="","",Generation!BD75)</f>
        <v/>
      </c>
      <c r="B3542" s="48" t="n"/>
      <c r="C3542" s="48" t="n"/>
    </row>
    <row r="3543" ht="18" customHeight="1" s="17">
      <c r="A3543" s="48">
        <f>IF(Generation!BE75="","",Generation!BE75)</f>
        <v/>
      </c>
      <c r="B3543" s="48" t="n"/>
      <c r="C3543" s="48" t="n"/>
    </row>
    <row r="3544" ht="18" customHeight="1" s="17">
      <c r="A3544" s="48">
        <f>IF(Generation!BF75="","",Generation!BF75)</f>
        <v/>
      </c>
      <c r="B3544" s="48" t="n"/>
      <c r="C3544" s="48" t="n"/>
    </row>
    <row r="3545" ht="18" customHeight="1" s="17">
      <c r="A3545" s="48">
        <f>IF(Generation!BG75="","",Generation!BG75)</f>
        <v/>
      </c>
      <c r="B3545" s="48" t="n"/>
      <c r="C3545" s="48" t="n"/>
    </row>
    <row r="3546" ht="18" customHeight="1" s="17">
      <c r="A3546" s="48">
        <f>IF(Generation!BH75="","",Generation!BH75)</f>
        <v/>
      </c>
      <c r="B3546" s="48" t="n"/>
      <c r="C3546" s="48" t="n"/>
    </row>
    <row r="3547" ht="18" customHeight="1" s="17">
      <c r="A3547" s="48">
        <f>IF(Generation!BI75="","",Generation!BI75)</f>
        <v/>
      </c>
      <c r="B3547" s="48" t="n"/>
      <c r="C3547" s="48" t="n"/>
    </row>
    <row r="3548" ht="18" customHeight="1" s="17">
      <c r="A3548" s="48">
        <f>IF(Generation!BJ75="","",Generation!BJ75)</f>
        <v/>
      </c>
      <c r="B3548" s="48" t="n"/>
      <c r="C3548" s="48" t="n"/>
    </row>
    <row r="3549" ht="18" customHeight="1" s="17">
      <c r="A3549" s="48">
        <f>IF(Generation!$B75,"  &lt;/item&gt;","")</f>
        <v/>
      </c>
      <c r="B3549" s="48" t="n"/>
      <c r="C3549" s="48" t="n"/>
    </row>
    <row r="3550" ht="18" customHeight="1" s="17">
      <c r="A3550" s="48">
        <f>""</f>
        <v/>
      </c>
      <c r="B3550" s="48" t="n"/>
      <c r="C3550" s="48" t="n"/>
    </row>
    <row r="3551" ht="18" customHeight="1" s="17">
      <c r="A3551" s="48">
        <f>""</f>
        <v/>
      </c>
      <c r="B3551" s="48" t="n"/>
      <c r="C3551" s="48" t="n"/>
    </row>
    <row r="3552" ht="18" customHeight="1" s="17">
      <c r="A3552" s="48">
        <f>""</f>
        <v/>
      </c>
      <c r="B3552" s="48" t="n"/>
      <c r="C3552" s="48" t="n"/>
    </row>
    <row r="3553" ht="18" customHeight="1" s="17">
      <c r="A3553" s="48">
        <f>""</f>
        <v/>
      </c>
      <c r="B3553" s="48" t="n"/>
      <c r="C3553" s="48" t="n"/>
    </row>
    <row r="3554" ht="18" customHeight="1" s="17">
      <c r="A3554" s="48">
        <f>IF(Generation!$B76,"  &lt;item ident=""il_0_qst_"&amp;TEXT(Generation!$A76,"000")&amp;""" title="""&amp;Generation!$F76&amp;"""&gt;","")</f>
        <v/>
      </c>
      <c r="B3554" s="48" t="n"/>
      <c r="C3554" s="48" t="n"/>
    </row>
    <row r="3555" ht="18" customHeight="1" s="17">
      <c r="A3555" s="48">
        <f>IF(Generation!$B76,"    &lt;duration&gt;P0Y0M0DT0H1M0S&lt;/duration&gt;","")</f>
        <v/>
      </c>
      <c r="B3555" s="48" t="n"/>
      <c r="C3555" s="48" t="n"/>
    </row>
    <row r="3556" ht="18" customHeight="1" s="17">
      <c r="A3556" s="48">
        <f>IF(Generation!$B76,"    &lt;itemmetadata&gt;","")</f>
        <v/>
      </c>
      <c r="B3556" s="48" t="n"/>
      <c r="C3556" s="48" t="n"/>
    </row>
    <row r="3557" ht="18" customHeight="1" s="17">
      <c r="A3557" s="48">
        <f>IF(Generation!$B76,"      &lt;qtimetadata&gt;","")</f>
        <v/>
      </c>
      <c r="B3557" s="48" t="n"/>
      <c r="C3557" s="48" t="n"/>
    </row>
    <row r="3558" ht="18" customHeight="1" s="17">
      <c r="A3558" s="48">
        <f>IF(Generation!$B76,"        &lt;qtimetadatafield&gt;&lt;fieldlabel&gt;ILIAS_VERSION&lt;/fieldlabel&gt;&lt;fieldentry&gt;8&lt;/fieldentry&gt;&lt;/qtimetadatafield&gt;","")</f>
        <v/>
      </c>
      <c r="B3558" s="48" t="n"/>
      <c r="C3558" s="48" t="n"/>
    </row>
    <row r="3559" ht="18" customHeight="1" s="17">
      <c r="A3559" s="48">
        <f>IF(Generation!$B76,"        &lt;qtimetadatafield&gt;&lt;fieldlabel&gt;QUESTIONTYPE&lt;/fieldlabel&gt;&lt;fieldentry&gt;"&amp;Generation!$D76&amp;"&lt;/fieldentry&gt;&lt;/qtimetadatafield&gt;","")</f>
        <v/>
      </c>
      <c r="B3559" s="48" t="n"/>
      <c r="C3559" s="48" t="n"/>
    </row>
    <row r="3560" ht="18" customHeight="1" s="17">
      <c r="A3560" s="48">
        <f>IF(Generation!$B76,"        &lt;qtimetadatafield&gt;&lt;fieldlabel&gt;AUTHOR&lt;/fieldlabel&gt;&lt;fieldentry&gt;"&amp;Generation!$AR76&amp;"&lt;/fieldentry&gt;&lt;/qtimetadatafield&gt;","")</f>
        <v/>
      </c>
      <c r="B3560" s="48" t="n"/>
      <c r="C3560" s="48" t="n"/>
    </row>
    <row r="3561" ht="18" customHeight="1" s="17">
      <c r="A3561" s="48">
        <f>IF(Generation!$B76,"        &lt;qtimetadatafield&gt;&lt;fieldlabel&gt;identicalScoring&lt;/fieldlabel&gt;&lt;fieldentry&gt;1&lt;/fieldentry&gt;&lt;/qtimetadatafield&gt;","")</f>
        <v/>
      </c>
      <c r="B3561" s="48" t="n"/>
      <c r="C3561" s="48" t="n"/>
    </row>
    <row r="3562" ht="18" customHeight="1" s="17">
      <c r="A3562" s="48">
        <f>IF(Generation!$B76,"      &lt;/qtimetadata&gt;","")</f>
        <v/>
      </c>
      <c r="B3562" s="48" t="n"/>
      <c r="C3562" s="48" t="n"/>
    </row>
    <row r="3563" ht="18" customHeight="1" s="17">
      <c r="A3563" s="48">
        <f>IF(Generation!$B76,"    &lt;/itemmetadata&gt;","")</f>
        <v/>
      </c>
      <c r="B3563" s="48" t="n"/>
      <c r="C3563" s="48" t="n"/>
    </row>
    <row r="3564" ht="18" customHeight="1" s="17">
      <c r="A3564" s="48">
        <f>IF(Generation!$B76,"    &lt;presentation label="""&amp;Generation!$F76&amp;"""&gt;","")</f>
        <v/>
      </c>
      <c r="B3564" s="48" t="n"/>
      <c r="C3564" s="48" t="n"/>
    </row>
    <row r="3565" ht="18" customHeight="1" s="17">
      <c r="A3565" s="48">
        <f>IF(Generation!$B76,"      &lt;material&gt;&lt;mattext texttype=""text/html""&gt;"&amp;Generation!$G76&amp;"&lt;/mattext&gt;&lt;/material&gt;","")</f>
        <v/>
      </c>
      <c r="B3565" s="48" t="n"/>
      <c r="C3565" s="48" t="n"/>
    </row>
    <row r="3566" ht="18" customHeight="1" s="17">
      <c r="A3566" s="48">
        <f>IF(Generation!$B76,"      &lt;response_lid ident=""RESPONSE"" rcardinality="""&amp;Generation!$E76&amp;"""&gt;","")</f>
        <v/>
      </c>
      <c r="B3566" s="48" t="n"/>
      <c r="C3566" s="48" t="n"/>
    </row>
    <row r="3567" ht="18" customHeight="1" s="17">
      <c r="A3567" s="48">
        <f>IF(Generation!$B76,"        &lt;render_choice shuffle=""No""&gt;","")</f>
        <v/>
      </c>
      <c r="B3567" s="48" t="n"/>
      <c r="C3567" s="48" t="n"/>
    </row>
    <row r="3568" ht="18" customHeight="1" s="17">
      <c r="A3568" s="48">
        <f>IF(Generation!AB76="","",Generation!AB76)</f>
        <v/>
      </c>
      <c r="B3568" s="48" t="n"/>
      <c r="C3568" s="48" t="n"/>
    </row>
    <row r="3569" ht="18" customHeight="1" s="17">
      <c r="A3569" s="48">
        <f>IF(Generation!AC76="","",Generation!AC76)</f>
        <v/>
      </c>
      <c r="B3569" s="48" t="n"/>
      <c r="C3569" s="48" t="n"/>
    </row>
    <row r="3570" ht="18" customHeight="1" s="17">
      <c r="A3570" s="48">
        <f>IF(Generation!AD76="","",Generation!AD76)</f>
        <v/>
      </c>
      <c r="B3570" s="48" t="n"/>
      <c r="C3570" s="48" t="n"/>
    </row>
    <row r="3571" ht="18" customHeight="1" s="17">
      <c r="A3571" s="48">
        <f>IF(Generation!AE76="","",Generation!AE76)</f>
        <v/>
      </c>
      <c r="B3571" s="48" t="n"/>
      <c r="C3571" s="48" t="n"/>
    </row>
    <row r="3572" ht="18" customHeight="1" s="17">
      <c r="A3572" s="48">
        <f>IF(Generation!AF76="","",Generation!AF76)</f>
        <v/>
      </c>
      <c r="B3572" s="48" t="n"/>
      <c r="C3572" s="48" t="n"/>
    </row>
    <row r="3573" ht="18" customHeight="1" s="17">
      <c r="A3573" s="48">
        <f>IF(Generation!AG76="","",Generation!AG76)</f>
        <v/>
      </c>
      <c r="B3573" s="48" t="n"/>
      <c r="C3573" s="48" t="n"/>
    </row>
    <row r="3574" ht="18" customHeight="1" s="17">
      <c r="A3574" s="48">
        <f>IF(Generation!AH76="","",Generation!AH76)</f>
        <v/>
      </c>
      <c r="B3574" s="48" t="n"/>
      <c r="C3574" s="48" t="n"/>
    </row>
    <row r="3575" ht="18" customHeight="1" s="17">
      <c r="A3575" s="48">
        <f>IF(Generation!AI76="","",Generation!AI76)</f>
        <v/>
      </c>
      <c r="B3575" s="48" t="n"/>
      <c r="C3575" s="48" t="n"/>
    </row>
    <row r="3576" ht="18" customHeight="1" s="17">
      <c r="A3576" s="48">
        <f>IF(Generation!$B76,"        &lt;/render_choice&gt;","")</f>
        <v/>
      </c>
      <c r="B3576" s="48" t="n"/>
      <c r="C3576" s="48" t="n"/>
    </row>
    <row r="3577" ht="18" customHeight="1" s="17">
      <c r="A3577" s="48">
        <f>IF(Generation!$B76,"      &lt;/response_lid&gt;","")</f>
        <v/>
      </c>
      <c r="B3577" s="48" t="n"/>
      <c r="C3577" s="48" t="n"/>
    </row>
    <row r="3578" ht="18" customHeight="1" s="17">
      <c r="A3578" s="48">
        <f>IF(Generation!$B76,"    &lt;/presentation&gt;","")</f>
        <v/>
      </c>
      <c r="B3578" s="48" t="n"/>
      <c r="C3578" s="48" t="n"/>
    </row>
    <row r="3579" ht="18" customHeight="1" s="17">
      <c r="A3579" s="48">
        <f>IF(Generation!$B76,"    &lt;resprocessing&gt;","")</f>
        <v/>
      </c>
      <c r="B3579" s="48" t="n"/>
      <c r="C3579" s="48" t="n"/>
    </row>
    <row r="3580" ht="18" customHeight="1" s="17">
      <c r="A3580" s="48">
        <f>IF(Generation!$B76,"      &lt;outcomes&gt;&lt;decvar varname=""SCORE"" vartype=""Decimal"" minvalue=""0"" maxvalue="""&amp;Generation!$H76&amp;"""/&gt;&lt;/outcomes&gt;","")</f>
        <v/>
      </c>
      <c r="B3580" s="48" t="n"/>
      <c r="C3580" s="48" t="n"/>
    </row>
    <row r="3581" ht="18" customHeight="1" s="17">
      <c r="A3581" s="48">
        <f>IF(Generation!AJ76="","",Generation!AJ76)</f>
        <v/>
      </c>
      <c r="B3581" s="48" t="n"/>
      <c r="C3581" s="48" t="n"/>
    </row>
    <row r="3582" ht="18" customHeight="1" s="17">
      <c r="A3582" s="48">
        <f>IF(Generation!AK76="","",Generation!AK76)</f>
        <v/>
      </c>
      <c r="B3582" s="48" t="n"/>
      <c r="C3582" s="48" t="n"/>
    </row>
    <row r="3583" ht="18" customHeight="1" s="17">
      <c r="A3583" s="48">
        <f>IF(Generation!AL76="","",Generation!AL76)</f>
        <v/>
      </c>
      <c r="B3583" s="48" t="n"/>
      <c r="C3583" s="48" t="n"/>
    </row>
    <row r="3584" ht="18" customHeight="1" s="17">
      <c r="A3584" s="48">
        <f>IF(Generation!AM76="","",Generation!AM76)</f>
        <v/>
      </c>
      <c r="B3584" s="48" t="n"/>
      <c r="C3584" s="48" t="n"/>
    </row>
    <row r="3585" ht="18" customHeight="1" s="17">
      <c r="A3585" s="48">
        <f>IF(Generation!AN76="","",Generation!AN76)</f>
        <v/>
      </c>
      <c r="B3585" s="48" t="n"/>
      <c r="C3585" s="48" t="n"/>
    </row>
    <row r="3586" ht="18" customHeight="1" s="17">
      <c r="A3586" s="48">
        <f>IF(Generation!AO76="","",Generation!AO76)</f>
        <v/>
      </c>
      <c r="B3586" s="48" t="n"/>
      <c r="C3586" s="48" t="n"/>
    </row>
    <row r="3587" ht="18" customHeight="1" s="17">
      <c r="A3587" s="48">
        <f>IF(Generation!AP76="","",Generation!AP76)</f>
        <v/>
      </c>
      <c r="B3587" s="48" t="n"/>
      <c r="C3587" s="48" t="n"/>
    </row>
    <row r="3588" ht="18" customHeight="1" s="17">
      <c r="A3588" s="48">
        <f>IF(Generation!AQ76="","",Generation!AQ76)</f>
        <v/>
      </c>
      <c r="B3588" s="48" t="n"/>
      <c r="C3588" s="48" t="n"/>
    </row>
    <row r="3589" ht="18" customHeight="1" s="17">
      <c r="A3589" s="48">
        <f>IF(Generation!$B76,"    &lt;/resprocessing&gt;","")</f>
        <v/>
      </c>
      <c r="B3589" s="48" t="n"/>
      <c r="C3589" s="48" t="n"/>
    </row>
    <row r="3590" ht="18" customHeight="1" s="17">
      <c r="A3590" s="48">
        <f>IF(Generation!BB76="","",Generation!BB76)</f>
        <v/>
      </c>
      <c r="B3590" s="48" t="n"/>
      <c r="C3590" s="48" t="n"/>
    </row>
    <row r="3591" ht="18" customHeight="1" s="17">
      <c r="A3591" s="48">
        <f>IF(Generation!BC76="","",Generation!BC76)</f>
        <v/>
      </c>
      <c r="B3591" s="48" t="n"/>
      <c r="C3591" s="48" t="n"/>
    </row>
    <row r="3592" ht="18" customHeight="1" s="17">
      <c r="A3592" s="48">
        <f>IF(Generation!BD76="","",Generation!BD76)</f>
        <v/>
      </c>
      <c r="B3592" s="48" t="n"/>
      <c r="C3592" s="48" t="n"/>
    </row>
    <row r="3593" ht="18" customHeight="1" s="17">
      <c r="A3593" s="48">
        <f>IF(Generation!BE76="","",Generation!BE76)</f>
        <v/>
      </c>
      <c r="B3593" s="48" t="n"/>
      <c r="C3593" s="48" t="n"/>
    </row>
    <row r="3594" ht="18" customHeight="1" s="17">
      <c r="A3594" s="48">
        <f>IF(Generation!BF76="","",Generation!BF76)</f>
        <v/>
      </c>
      <c r="B3594" s="48" t="n"/>
      <c r="C3594" s="48" t="n"/>
    </row>
    <row r="3595" ht="18" customHeight="1" s="17">
      <c r="A3595" s="48">
        <f>IF(Generation!BG76="","",Generation!BG76)</f>
        <v/>
      </c>
      <c r="B3595" s="48" t="n"/>
      <c r="C3595" s="48" t="n"/>
    </row>
    <row r="3596" ht="18" customHeight="1" s="17">
      <c r="A3596" s="48">
        <f>IF(Generation!BH76="","",Generation!BH76)</f>
        <v/>
      </c>
      <c r="B3596" s="48" t="n"/>
      <c r="C3596" s="48" t="n"/>
    </row>
    <row r="3597" ht="18" customHeight="1" s="17">
      <c r="A3597" s="48">
        <f>IF(Generation!BI76="","",Generation!BI76)</f>
        <v/>
      </c>
      <c r="B3597" s="48" t="n"/>
      <c r="C3597" s="48" t="n"/>
    </row>
    <row r="3598" ht="18" customHeight="1" s="17">
      <c r="A3598" s="48">
        <f>IF(Generation!BJ76="","",Generation!BJ76)</f>
        <v/>
      </c>
      <c r="B3598" s="48" t="n"/>
      <c r="C3598" s="48" t="n"/>
    </row>
    <row r="3599" ht="18" customHeight="1" s="17">
      <c r="A3599" s="48">
        <f>IF(Generation!$B76,"  &lt;/item&gt;","")</f>
        <v/>
      </c>
      <c r="B3599" s="48" t="n"/>
      <c r="C3599" s="48" t="n"/>
    </row>
    <row r="3600" ht="18" customHeight="1" s="17">
      <c r="A3600" s="48">
        <f>""</f>
        <v/>
      </c>
      <c r="B3600" s="48" t="n"/>
      <c r="C3600" s="48" t="n"/>
    </row>
    <row r="3601" ht="18" customHeight="1" s="17">
      <c r="A3601" s="48">
        <f>""</f>
        <v/>
      </c>
      <c r="B3601" s="48" t="n"/>
      <c r="C3601" s="48" t="n"/>
    </row>
    <row r="3602" ht="18" customHeight="1" s="17">
      <c r="A3602" s="48">
        <f>""</f>
        <v/>
      </c>
      <c r="B3602" s="48" t="n"/>
      <c r="C3602" s="48" t="n"/>
    </row>
    <row r="3603" ht="18" customHeight="1" s="17">
      <c r="A3603" s="48">
        <f>""</f>
        <v/>
      </c>
      <c r="B3603" s="48" t="n"/>
      <c r="C3603" s="48" t="n"/>
    </row>
    <row r="3604" ht="18" customHeight="1" s="17">
      <c r="A3604" s="48">
        <f>IF(Generation!$B77,"  &lt;item ident=""il_0_qst_"&amp;TEXT(Generation!$A77,"000")&amp;""" title="""&amp;Generation!$F77&amp;"""&gt;","")</f>
        <v/>
      </c>
      <c r="B3604" s="48" t="n"/>
      <c r="C3604" s="48" t="n"/>
    </row>
    <row r="3605" ht="18" customHeight="1" s="17">
      <c r="A3605" s="48">
        <f>IF(Generation!$B77,"    &lt;duration&gt;P0Y0M0DT0H1M0S&lt;/duration&gt;","")</f>
        <v/>
      </c>
      <c r="B3605" s="48" t="n"/>
      <c r="C3605" s="48" t="n"/>
    </row>
    <row r="3606" ht="18" customHeight="1" s="17">
      <c r="A3606" s="48">
        <f>IF(Generation!$B77,"    &lt;itemmetadata&gt;","")</f>
        <v/>
      </c>
      <c r="B3606" s="48" t="n"/>
      <c r="C3606" s="48" t="n"/>
    </row>
    <row r="3607" ht="18" customHeight="1" s="17">
      <c r="A3607" s="48">
        <f>IF(Generation!$B77,"      &lt;qtimetadata&gt;","")</f>
        <v/>
      </c>
      <c r="B3607" s="48" t="n"/>
      <c r="C3607" s="48" t="n"/>
    </row>
    <row r="3608" ht="18" customHeight="1" s="17">
      <c r="A3608" s="48">
        <f>IF(Generation!$B77,"        &lt;qtimetadatafield&gt;&lt;fieldlabel&gt;ILIAS_VERSION&lt;/fieldlabel&gt;&lt;fieldentry&gt;8&lt;/fieldentry&gt;&lt;/qtimetadatafield&gt;","")</f>
        <v/>
      </c>
      <c r="B3608" s="48" t="n"/>
      <c r="C3608" s="48" t="n"/>
    </row>
    <row r="3609" ht="18" customHeight="1" s="17">
      <c r="A3609" s="48">
        <f>IF(Generation!$B77,"        &lt;qtimetadatafield&gt;&lt;fieldlabel&gt;QUESTIONTYPE&lt;/fieldlabel&gt;&lt;fieldentry&gt;"&amp;Generation!$D77&amp;"&lt;/fieldentry&gt;&lt;/qtimetadatafield&gt;","")</f>
        <v/>
      </c>
      <c r="B3609" s="48" t="n"/>
      <c r="C3609" s="48" t="n"/>
    </row>
    <row r="3610" ht="18" customHeight="1" s="17">
      <c r="A3610" s="48">
        <f>IF(Generation!$B77,"        &lt;qtimetadatafield&gt;&lt;fieldlabel&gt;AUTHOR&lt;/fieldlabel&gt;&lt;fieldentry&gt;"&amp;Generation!$AR77&amp;"&lt;/fieldentry&gt;&lt;/qtimetadatafield&gt;","")</f>
        <v/>
      </c>
      <c r="B3610" s="48" t="n"/>
      <c r="C3610" s="48" t="n"/>
    </row>
    <row r="3611" ht="18" customHeight="1" s="17">
      <c r="A3611" s="48">
        <f>IF(Generation!$B77,"        &lt;qtimetadatafield&gt;&lt;fieldlabel&gt;identicalScoring&lt;/fieldlabel&gt;&lt;fieldentry&gt;1&lt;/fieldentry&gt;&lt;/qtimetadatafield&gt;","")</f>
        <v/>
      </c>
      <c r="B3611" s="48" t="n"/>
      <c r="C3611" s="48" t="n"/>
    </row>
    <row r="3612" ht="18" customHeight="1" s="17">
      <c r="A3612" s="48">
        <f>IF(Generation!$B77,"      &lt;/qtimetadata&gt;","")</f>
        <v/>
      </c>
      <c r="B3612" s="48" t="n"/>
      <c r="C3612" s="48" t="n"/>
    </row>
    <row r="3613" ht="18" customHeight="1" s="17">
      <c r="A3613" s="48">
        <f>IF(Generation!$B77,"    &lt;/itemmetadata&gt;","")</f>
        <v/>
      </c>
      <c r="B3613" s="48" t="n"/>
      <c r="C3613" s="48" t="n"/>
    </row>
    <row r="3614" ht="18" customHeight="1" s="17">
      <c r="A3614" s="48">
        <f>IF(Generation!$B77,"    &lt;presentation label="""&amp;Generation!$F77&amp;"""&gt;","")</f>
        <v/>
      </c>
      <c r="B3614" s="48" t="n"/>
      <c r="C3614" s="48" t="n"/>
    </row>
    <row r="3615" ht="18" customHeight="1" s="17">
      <c r="A3615" s="48">
        <f>IF(Generation!$B77,"      &lt;material&gt;&lt;mattext texttype=""text/html""&gt;"&amp;Generation!$G77&amp;"&lt;/mattext&gt;&lt;/material&gt;","")</f>
        <v/>
      </c>
      <c r="B3615" s="48" t="n"/>
      <c r="C3615" s="48" t="n"/>
    </row>
    <row r="3616" ht="18" customHeight="1" s="17">
      <c r="A3616" s="48">
        <f>IF(Generation!$B77,"      &lt;response_lid ident=""RESPONSE"" rcardinality="""&amp;Generation!$E77&amp;"""&gt;","")</f>
        <v/>
      </c>
      <c r="B3616" s="48" t="n"/>
      <c r="C3616" s="48" t="n"/>
    </row>
    <row r="3617" ht="18" customHeight="1" s="17">
      <c r="A3617" s="48">
        <f>IF(Generation!$B77,"        &lt;render_choice shuffle=""No""&gt;","")</f>
        <v/>
      </c>
      <c r="B3617" s="48" t="n"/>
      <c r="C3617" s="48" t="n"/>
    </row>
    <row r="3618" ht="18" customHeight="1" s="17">
      <c r="A3618" s="48">
        <f>IF(Generation!AB77="","",Generation!AB77)</f>
        <v/>
      </c>
      <c r="B3618" s="48" t="n"/>
      <c r="C3618" s="48" t="n"/>
    </row>
    <row r="3619" ht="18" customHeight="1" s="17">
      <c r="A3619" s="48">
        <f>IF(Generation!AC77="","",Generation!AC77)</f>
        <v/>
      </c>
      <c r="B3619" s="48" t="n"/>
      <c r="C3619" s="48" t="n"/>
    </row>
    <row r="3620" ht="18" customHeight="1" s="17">
      <c r="A3620" s="48">
        <f>IF(Generation!AD77="","",Generation!AD77)</f>
        <v/>
      </c>
      <c r="B3620" s="48" t="n"/>
      <c r="C3620" s="48" t="n"/>
    </row>
    <row r="3621" ht="18" customHeight="1" s="17">
      <c r="A3621" s="48">
        <f>IF(Generation!AE77="","",Generation!AE77)</f>
        <v/>
      </c>
      <c r="B3621" s="48" t="n"/>
      <c r="C3621" s="48" t="n"/>
    </row>
    <row r="3622" ht="18" customHeight="1" s="17">
      <c r="A3622" s="48">
        <f>IF(Generation!AF77="","",Generation!AF77)</f>
        <v/>
      </c>
      <c r="B3622" s="48" t="n"/>
      <c r="C3622" s="48" t="n"/>
    </row>
    <row r="3623" ht="18" customHeight="1" s="17">
      <c r="A3623" s="48">
        <f>IF(Generation!AG77="","",Generation!AG77)</f>
        <v/>
      </c>
      <c r="B3623" s="48" t="n"/>
      <c r="C3623" s="48" t="n"/>
    </row>
    <row r="3624" ht="18" customHeight="1" s="17">
      <c r="A3624" s="48">
        <f>IF(Generation!AH77="","",Generation!AH77)</f>
        <v/>
      </c>
      <c r="B3624" s="48" t="n"/>
      <c r="C3624" s="48" t="n"/>
    </row>
    <row r="3625" ht="18" customHeight="1" s="17">
      <c r="A3625" s="48">
        <f>IF(Generation!AI77="","",Generation!AI77)</f>
        <v/>
      </c>
      <c r="B3625" s="48" t="n"/>
      <c r="C3625" s="48" t="n"/>
    </row>
    <row r="3626" ht="18" customHeight="1" s="17">
      <c r="A3626" s="48">
        <f>IF(Generation!$B77,"        &lt;/render_choice&gt;","")</f>
        <v/>
      </c>
      <c r="B3626" s="48" t="n"/>
      <c r="C3626" s="48" t="n"/>
    </row>
    <row r="3627" ht="18" customHeight="1" s="17">
      <c r="A3627" s="48">
        <f>IF(Generation!$B77,"      &lt;/response_lid&gt;","")</f>
        <v/>
      </c>
      <c r="B3627" s="48" t="n"/>
      <c r="C3627" s="48" t="n"/>
    </row>
    <row r="3628" ht="18" customHeight="1" s="17">
      <c r="A3628" s="48">
        <f>IF(Generation!$B77,"    &lt;/presentation&gt;","")</f>
        <v/>
      </c>
      <c r="B3628" s="48" t="n"/>
      <c r="C3628" s="48" t="n"/>
    </row>
    <row r="3629" ht="18" customHeight="1" s="17">
      <c r="A3629" s="48">
        <f>IF(Generation!$B77,"    &lt;resprocessing&gt;","")</f>
        <v/>
      </c>
      <c r="B3629" s="48" t="n"/>
      <c r="C3629" s="48" t="n"/>
    </row>
    <row r="3630" ht="18" customHeight="1" s="17">
      <c r="A3630" s="48">
        <f>IF(Generation!$B77,"      &lt;outcomes&gt;&lt;decvar varname=""SCORE"" vartype=""Decimal"" minvalue=""0"" maxvalue="""&amp;Generation!$H77&amp;"""/&gt;&lt;/outcomes&gt;","")</f>
        <v/>
      </c>
      <c r="B3630" s="48" t="n"/>
      <c r="C3630" s="48" t="n"/>
    </row>
    <row r="3631" ht="18" customHeight="1" s="17">
      <c r="A3631" s="48">
        <f>IF(Generation!AJ77="","",Generation!AJ77)</f>
        <v/>
      </c>
      <c r="B3631" s="48" t="n"/>
      <c r="C3631" s="48" t="n"/>
    </row>
    <row r="3632" ht="18" customHeight="1" s="17">
      <c r="A3632" s="48">
        <f>IF(Generation!AK77="","",Generation!AK77)</f>
        <v/>
      </c>
      <c r="B3632" s="48" t="n"/>
      <c r="C3632" s="48" t="n"/>
    </row>
    <row r="3633" ht="18" customHeight="1" s="17">
      <c r="A3633" s="48">
        <f>IF(Generation!AL77="","",Generation!AL77)</f>
        <v/>
      </c>
      <c r="B3633" s="48" t="n"/>
      <c r="C3633" s="48" t="n"/>
    </row>
    <row r="3634" ht="18" customHeight="1" s="17">
      <c r="A3634" s="48">
        <f>IF(Generation!AM77="","",Generation!AM77)</f>
        <v/>
      </c>
      <c r="B3634" s="48" t="n"/>
      <c r="C3634" s="48" t="n"/>
    </row>
    <row r="3635" ht="18" customHeight="1" s="17">
      <c r="A3635" s="48">
        <f>IF(Generation!AN77="","",Generation!AN77)</f>
        <v/>
      </c>
      <c r="B3635" s="48" t="n"/>
      <c r="C3635" s="48" t="n"/>
    </row>
    <row r="3636" ht="18" customHeight="1" s="17">
      <c r="A3636" s="48">
        <f>IF(Generation!AO77="","",Generation!AO77)</f>
        <v/>
      </c>
      <c r="B3636" s="48" t="n"/>
      <c r="C3636" s="48" t="n"/>
    </row>
    <row r="3637" ht="18" customHeight="1" s="17">
      <c r="A3637" s="48">
        <f>IF(Generation!AP77="","",Generation!AP77)</f>
        <v/>
      </c>
      <c r="B3637" s="48" t="n"/>
      <c r="C3637" s="48" t="n"/>
    </row>
    <row r="3638" ht="18" customHeight="1" s="17">
      <c r="A3638" s="48">
        <f>IF(Generation!AQ77="","",Generation!AQ77)</f>
        <v/>
      </c>
      <c r="B3638" s="48" t="n"/>
      <c r="C3638" s="48" t="n"/>
    </row>
    <row r="3639" ht="18" customHeight="1" s="17">
      <c r="A3639" s="48">
        <f>IF(Generation!$B77,"    &lt;/resprocessing&gt;","")</f>
        <v/>
      </c>
      <c r="B3639" s="48" t="n"/>
      <c r="C3639" s="48" t="n"/>
    </row>
    <row r="3640" ht="18" customHeight="1" s="17">
      <c r="A3640" s="48">
        <f>IF(Generation!BB77="","",Generation!BB77)</f>
        <v/>
      </c>
      <c r="B3640" s="48" t="n"/>
      <c r="C3640" s="48" t="n"/>
    </row>
    <row r="3641" ht="18" customHeight="1" s="17">
      <c r="A3641" s="48">
        <f>IF(Generation!BC77="","",Generation!BC77)</f>
        <v/>
      </c>
      <c r="B3641" s="48" t="n"/>
      <c r="C3641" s="48" t="n"/>
    </row>
    <row r="3642" ht="18" customHeight="1" s="17">
      <c r="A3642" s="48">
        <f>IF(Generation!BD77="","",Generation!BD77)</f>
        <v/>
      </c>
      <c r="B3642" s="48" t="n"/>
      <c r="C3642" s="48" t="n"/>
    </row>
    <row r="3643" ht="18" customHeight="1" s="17">
      <c r="A3643" s="48">
        <f>IF(Generation!BE77="","",Generation!BE77)</f>
        <v/>
      </c>
      <c r="B3643" s="48" t="n"/>
      <c r="C3643" s="48" t="n"/>
    </row>
    <row r="3644" ht="18" customHeight="1" s="17">
      <c r="A3644" s="48">
        <f>IF(Generation!BF77="","",Generation!BF77)</f>
        <v/>
      </c>
      <c r="B3644" s="48" t="n"/>
      <c r="C3644" s="48" t="n"/>
    </row>
    <row r="3645" ht="18" customHeight="1" s="17">
      <c r="A3645" s="48">
        <f>IF(Generation!BG77="","",Generation!BG77)</f>
        <v/>
      </c>
      <c r="B3645" s="48" t="n"/>
      <c r="C3645" s="48" t="n"/>
    </row>
    <row r="3646" ht="18" customHeight="1" s="17">
      <c r="A3646" s="48">
        <f>IF(Generation!BH77="","",Generation!BH77)</f>
        <v/>
      </c>
      <c r="B3646" s="48" t="n"/>
      <c r="C3646" s="48" t="n"/>
    </row>
    <row r="3647" ht="18" customHeight="1" s="17">
      <c r="A3647" s="48">
        <f>IF(Generation!BI77="","",Generation!BI77)</f>
        <v/>
      </c>
      <c r="B3647" s="48" t="n"/>
      <c r="C3647" s="48" t="n"/>
    </row>
    <row r="3648" ht="18" customHeight="1" s="17">
      <c r="A3648" s="48">
        <f>IF(Generation!BJ77="","",Generation!BJ77)</f>
        <v/>
      </c>
      <c r="B3648" s="48" t="n"/>
      <c r="C3648" s="48" t="n"/>
    </row>
    <row r="3649" ht="18" customHeight="1" s="17">
      <c r="A3649" s="48">
        <f>IF(Generation!$B77,"  &lt;/item&gt;","")</f>
        <v/>
      </c>
      <c r="B3649" s="48" t="n"/>
      <c r="C3649" s="48" t="n"/>
    </row>
    <row r="3650" ht="18" customHeight="1" s="17">
      <c r="A3650" s="48">
        <f>""</f>
        <v/>
      </c>
      <c r="B3650" s="48" t="n"/>
      <c r="C3650" s="48" t="n"/>
    </row>
    <row r="3651" ht="18" customHeight="1" s="17">
      <c r="A3651" s="48">
        <f>""</f>
        <v/>
      </c>
      <c r="B3651" s="48" t="n"/>
      <c r="C3651" s="48" t="n"/>
    </row>
    <row r="3652" ht="18" customHeight="1" s="17">
      <c r="A3652" s="48">
        <f>""</f>
        <v/>
      </c>
      <c r="B3652" s="48" t="n"/>
      <c r="C3652" s="48" t="n"/>
    </row>
    <row r="3653" ht="18" customHeight="1" s="17">
      <c r="A3653" s="48">
        <f>""</f>
        <v/>
      </c>
      <c r="B3653" s="48" t="n"/>
      <c r="C3653" s="48" t="n"/>
    </row>
    <row r="3654" ht="18" customHeight="1" s="17">
      <c r="A3654" s="48">
        <f>IF(Generation!$B78,"  &lt;item ident=""il_0_qst_"&amp;TEXT(Generation!$A78,"000")&amp;""" title="""&amp;Generation!$F78&amp;"""&gt;","")</f>
        <v/>
      </c>
      <c r="B3654" s="48" t="n"/>
      <c r="C3654" s="48" t="n"/>
    </row>
    <row r="3655" ht="18" customHeight="1" s="17">
      <c r="A3655" s="48">
        <f>IF(Generation!$B78,"    &lt;duration&gt;P0Y0M0DT0H1M0S&lt;/duration&gt;","")</f>
        <v/>
      </c>
      <c r="B3655" s="48" t="n"/>
      <c r="C3655" s="48" t="n"/>
    </row>
    <row r="3656" ht="18" customHeight="1" s="17">
      <c r="A3656" s="48">
        <f>IF(Generation!$B78,"    &lt;itemmetadata&gt;","")</f>
        <v/>
      </c>
      <c r="B3656" s="48" t="n"/>
      <c r="C3656" s="48" t="n"/>
    </row>
    <row r="3657" ht="18" customHeight="1" s="17">
      <c r="A3657" s="48">
        <f>IF(Generation!$B78,"      &lt;qtimetadata&gt;","")</f>
        <v/>
      </c>
      <c r="B3657" s="48" t="n"/>
      <c r="C3657" s="48" t="n"/>
    </row>
    <row r="3658" ht="18" customHeight="1" s="17">
      <c r="A3658" s="48">
        <f>IF(Generation!$B78,"        &lt;qtimetadatafield&gt;&lt;fieldlabel&gt;ILIAS_VERSION&lt;/fieldlabel&gt;&lt;fieldentry&gt;8&lt;/fieldentry&gt;&lt;/qtimetadatafield&gt;","")</f>
        <v/>
      </c>
      <c r="B3658" s="48" t="n"/>
      <c r="C3658" s="48" t="n"/>
    </row>
    <row r="3659" ht="18" customHeight="1" s="17">
      <c r="A3659" s="48">
        <f>IF(Generation!$B78,"        &lt;qtimetadatafield&gt;&lt;fieldlabel&gt;QUESTIONTYPE&lt;/fieldlabel&gt;&lt;fieldentry&gt;"&amp;Generation!$D78&amp;"&lt;/fieldentry&gt;&lt;/qtimetadatafield&gt;","")</f>
        <v/>
      </c>
      <c r="B3659" s="48" t="n"/>
      <c r="C3659" s="48" t="n"/>
    </row>
    <row r="3660" ht="18" customHeight="1" s="17">
      <c r="A3660" s="48">
        <f>IF(Generation!$B78,"        &lt;qtimetadatafield&gt;&lt;fieldlabel&gt;AUTHOR&lt;/fieldlabel&gt;&lt;fieldentry&gt;"&amp;Generation!$AR78&amp;"&lt;/fieldentry&gt;&lt;/qtimetadatafield&gt;","")</f>
        <v/>
      </c>
      <c r="B3660" s="48" t="n"/>
      <c r="C3660" s="48" t="n"/>
    </row>
    <row r="3661" ht="18" customHeight="1" s="17">
      <c r="A3661" s="48">
        <f>IF(Generation!$B78,"        &lt;qtimetadatafield&gt;&lt;fieldlabel&gt;identicalScoring&lt;/fieldlabel&gt;&lt;fieldentry&gt;1&lt;/fieldentry&gt;&lt;/qtimetadatafield&gt;","")</f>
        <v/>
      </c>
      <c r="B3661" s="48" t="n"/>
      <c r="C3661" s="48" t="n"/>
    </row>
    <row r="3662" ht="18" customHeight="1" s="17">
      <c r="A3662" s="48">
        <f>IF(Generation!$B78,"      &lt;/qtimetadata&gt;","")</f>
        <v/>
      </c>
      <c r="B3662" s="48" t="n"/>
      <c r="C3662" s="48" t="n"/>
    </row>
    <row r="3663" ht="18" customHeight="1" s="17">
      <c r="A3663" s="48">
        <f>IF(Generation!$B78,"    &lt;/itemmetadata&gt;","")</f>
        <v/>
      </c>
      <c r="B3663" s="48" t="n"/>
      <c r="C3663" s="48" t="n"/>
    </row>
    <row r="3664" ht="18" customHeight="1" s="17">
      <c r="A3664" s="48">
        <f>IF(Generation!$B78,"    &lt;presentation label="""&amp;Generation!$F78&amp;"""&gt;","")</f>
        <v/>
      </c>
      <c r="B3664" s="48" t="n"/>
      <c r="C3664" s="48" t="n"/>
    </row>
    <row r="3665" ht="18" customHeight="1" s="17">
      <c r="A3665" s="48">
        <f>IF(Generation!$B78,"      &lt;material&gt;&lt;mattext texttype=""text/html""&gt;"&amp;Generation!$G78&amp;"&lt;/mattext&gt;&lt;/material&gt;","")</f>
        <v/>
      </c>
      <c r="B3665" s="48" t="n"/>
      <c r="C3665" s="48" t="n"/>
    </row>
    <row r="3666" ht="18" customHeight="1" s="17">
      <c r="A3666" s="48">
        <f>IF(Generation!$B78,"      &lt;response_lid ident=""RESPONSE"" rcardinality="""&amp;Generation!$E78&amp;"""&gt;","")</f>
        <v/>
      </c>
      <c r="B3666" s="48" t="n"/>
      <c r="C3666" s="48" t="n"/>
    </row>
    <row r="3667" ht="18" customHeight="1" s="17">
      <c r="A3667" s="48">
        <f>IF(Generation!$B78,"        &lt;render_choice shuffle=""No""&gt;","")</f>
        <v/>
      </c>
      <c r="B3667" s="48" t="n"/>
      <c r="C3667" s="48" t="n"/>
    </row>
    <row r="3668" ht="18" customHeight="1" s="17">
      <c r="A3668" s="48">
        <f>IF(Generation!AB78="","",Generation!AB78)</f>
        <v/>
      </c>
      <c r="B3668" s="48" t="n"/>
      <c r="C3668" s="48" t="n"/>
    </row>
    <row r="3669" ht="18" customHeight="1" s="17">
      <c r="A3669" s="48">
        <f>IF(Generation!AC78="","",Generation!AC78)</f>
        <v/>
      </c>
      <c r="B3669" s="48" t="n"/>
      <c r="C3669" s="48" t="n"/>
    </row>
    <row r="3670" ht="18" customHeight="1" s="17">
      <c r="A3670" s="48">
        <f>IF(Generation!AD78="","",Generation!AD78)</f>
        <v/>
      </c>
      <c r="B3670" s="48" t="n"/>
      <c r="C3670" s="48" t="n"/>
    </row>
    <row r="3671" ht="18" customHeight="1" s="17">
      <c r="A3671" s="48">
        <f>IF(Generation!AE78="","",Generation!AE78)</f>
        <v/>
      </c>
      <c r="B3671" s="48" t="n"/>
      <c r="C3671" s="48" t="n"/>
    </row>
    <row r="3672" ht="18" customHeight="1" s="17">
      <c r="A3672" s="48">
        <f>IF(Generation!AF78="","",Generation!AF78)</f>
        <v/>
      </c>
      <c r="B3672" s="48" t="n"/>
      <c r="C3672" s="48" t="n"/>
    </row>
    <row r="3673" ht="18" customHeight="1" s="17">
      <c r="A3673" s="48">
        <f>IF(Generation!AG78="","",Generation!AG78)</f>
        <v/>
      </c>
      <c r="B3673" s="48" t="n"/>
      <c r="C3673" s="48" t="n"/>
    </row>
    <row r="3674" ht="18" customHeight="1" s="17">
      <c r="A3674" s="48">
        <f>IF(Generation!AH78="","",Generation!AH78)</f>
        <v/>
      </c>
      <c r="B3674" s="48" t="n"/>
      <c r="C3674" s="48" t="n"/>
    </row>
    <row r="3675" ht="18" customHeight="1" s="17">
      <c r="A3675" s="48">
        <f>IF(Generation!AI78="","",Generation!AI78)</f>
        <v/>
      </c>
      <c r="B3675" s="48" t="n"/>
      <c r="C3675" s="48" t="n"/>
    </row>
    <row r="3676" ht="18" customHeight="1" s="17">
      <c r="A3676" s="48">
        <f>IF(Generation!$B78,"        &lt;/render_choice&gt;","")</f>
        <v/>
      </c>
      <c r="B3676" s="48" t="n"/>
      <c r="C3676" s="48" t="n"/>
    </row>
    <row r="3677" ht="18" customHeight="1" s="17">
      <c r="A3677" s="48">
        <f>IF(Generation!$B78,"      &lt;/response_lid&gt;","")</f>
        <v/>
      </c>
      <c r="B3677" s="48" t="n"/>
      <c r="C3677" s="48" t="n"/>
    </row>
    <row r="3678" ht="18" customHeight="1" s="17">
      <c r="A3678" s="48">
        <f>IF(Generation!$B78,"    &lt;/presentation&gt;","")</f>
        <v/>
      </c>
      <c r="B3678" s="48" t="n"/>
      <c r="C3678" s="48" t="n"/>
    </row>
    <row r="3679" ht="18" customHeight="1" s="17">
      <c r="A3679" s="48">
        <f>IF(Generation!$B78,"    &lt;resprocessing&gt;","")</f>
        <v/>
      </c>
      <c r="B3679" s="48" t="n"/>
      <c r="C3679" s="48" t="n"/>
    </row>
    <row r="3680" ht="18" customHeight="1" s="17">
      <c r="A3680" s="48">
        <f>IF(Generation!$B78,"      &lt;outcomes&gt;&lt;decvar varname=""SCORE"" vartype=""Decimal"" minvalue=""0"" maxvalue="""&amp;Generation!$H78&amp;"""/&gt;&lt;/outcomes&gt;","")</f>
        <v/>
      </c>
      <c r="B3680" s="48" t="n"/>
      <c r="C3680" s="48" t="n"/>
    </row>
    <row r="3681" ht="18" customHeight="1" s="17">
      <c r="A3681" s="48">
        <f>IF(Generation!AJ78="","",Generation!AJ78)</f>
        <v/>
      </c>
      <c r="B3681" s="48" t="n"/>
      <c r="C3681" s="48" t="n"/>
    </row>
    <row r="3682" ht="18" customHeight="1" s="17">
      <c r="A3682" s="48">
        <f>IF(Generation!AK78="","",Generation!AK78)</f>
        <v/>
      </c>
      <c r="B3682" s="48" t="n"/>
      <c r="C3682" s="48" t="n"/>
    </row>
    <row r="3683" ht="18" customHeight="1" s="17">
      <c r="A3683" s="48">
        <f>IF(Generation!AL78="","",Generation!AL78)</f>
        <v/>
      </c>
      <c r="B3683" s="48" t="n"/>
      <c r="C3683" s="48" t="n"/>
    </row>
    <row r="3684" ht="18" customHeight="1" s="17">
      <c r="A3684" s="48">
        <f>IF(Generation!AM78="","",Generation!AM78)</f>
        <v/>
      </c>
      <c r="B3684" s="48" t="n"/>
      <c r="C3684" s="48" t="n"/>
    </row>
    <row r="3685" ht="18" customHeight="1" s="17">
      <c r="A3685" s="48">
        <f>IF(Generation!AN78="","",Generation!AN78)</f>
        <v/>
      </c>
      <c r="B3685" s="48" t="n"/>
      <c r="C3685" s="48" t="n"/>
    </row>
    <row r="3686" ht="18" customHeight="1" s="17">
      <c r="A3686" s="48">
        <f>IF(Generation!AO78="","",Generation!AO78)</f>
        <v/>
      </c>
      <c r="B3686" s="48" t="n"/>
      <c r="C3686" s="48" t="n"/>
    </row>
    <row r="3687" ht="18" customHeight="1" s="17">
      <c r="A3687" s="48">
        <f>IF(Generation!AP78="","",Generation!AP78)</f>
        <v/>
      </c>
      <c r="B3687" s="48" t="n"/>
      <c r="C3687" s="48" t="n"/>
    </row>
    <row r="3688" ht="18" customHeight="1" s="17">
      <c r="A3688" s="48">
        <f>IF(Generation!AQ78="","",Generation!AQ78)</f>
        <v/>
      </c>
      <c r="B3688" s="48" t="n"/>
      <c r="C3688" s="48" t="n"/>
    </row>
    <row r="3689" ht="18" customHeight="1" s="17">
      <c r="A3689" s="48">
        <f>IF(Generation!$B78,"    &lt;/resprocessing&gt;","")</f>
        <v/>
      </c>
      <c r="B3689" s="48" t="n"/>
      <c r="C3689" s="48" t="n"/>
    </row>
    <row r="3690" ht="18" customHeight="1" s="17">
      <c r="A3690" s="48">
        <f>IF(Generation!BB78="","",Generation!BB78)</f>
        <v/>
      </c>
      <c r="B3690" s="48" t="n"/>
      <c r="C3690" s="48" t="n"/>
    </row>
    <row r="3691" ht="18" customHeight="1" s="17">
      <c r="A3691" s="48">
        <f>IF(Generation!BC78="","",Generation!BC78)</f>
        <v/>
      </c>
      <c r="B3691" s="48" t="n"/>
      <c r="C3691" s="48" t="n"/>
    </row>
    <row r="3692" ht="18" customHeight="1" s="17">
      <c r="A3692" s="48">
        <f>IF(Generation!BD78="","",Generation!BD78)</f>
        <v/>
      </c>
      <c r="B3692" s="48" t="n"/>
      <c r="C3692" s="48" t="n"/>
    </row>
    <row r="3693" ht="18" customHeight="1" s="17">
      <c r="A3693" s="48">
        <f>IF(Generation!BE78="","",Generation!BE78)</f>
        <v/>
      </c>
      <c r="B3693" s="48" t="n"/>
      <c r="C3693" s="48" t="n"/>
    </row>
    <row r="3694" ht="18" customHeight="1" s="17">
      <c r="A3694" s="48">
        <f>IF(Generation!BF78="","",Generation!BF78)</f>
        <v/>
      </c>
      <c r="B3694" s="48" t="n"/>
      <c r="C3694" s="48" t="n"/>
    </row>
    <row r="3695" ht="18" customHeight="1" s="17">
      <c r="A3695" s="48">
        <f>IF(Generation!BG78="","",Generation!BG78)</f>
        <v/>
      </c>
      <c r="B3695" s="48" t="n"/>
      <c r="C3695" s="48" t="n"/>
    </row>
    <row r="3696" ht="18" customHeight="1" s="17">
      <c r="A3696" s="48">
        <f>IF(Generation!BH78="","",Generation!BH78)</f>
        <v/>
      </c>
      <c r="B3696" s="48" t="n"/>
      <c r="C3696" s="48" t="n"/>
    </row>
    <row r="3697" ht="18" customHeight="1" s="17">
      <c r="A3697" s="48">
        <f>IF(Generation!BI78="","",Generation!BI78)</f>
        <v/>
      </c>
      <c r="B3697" s="48" t="n"/>
      <c r="C3697" s="48" t="n"/>
    </row>
    <row r="3698" ht="18" customHeight="1" s="17">
      <c r="A3698" s="48">
        <f>IF(Generation!BJ78="","",Generation!BJ78)</f>
        <v/>
      </c>
      <c r="B3698" s="48" t="n"/>
      <c r="C3698" s="48" t="n"/>
    </row>
    <row r="3699" ht="18" customHeight="1" s="17">
      <c r="A3699" s="48">
        <f>IF(Generation!$B78,"  &lt;/item&gt;","")</f>
        <v/>
      </c>
      <c r="B3699" s="48" t="n"/>
      <c r="C3699" s="48" t="n"/>
    </row>
    <row r="3700" ht="18" customHeight="1" s="17">
      <c r="A3700" s="48">
        <f>""</f>
        <v/>
      </c>
      <c r="B3700" s="48" t="n"/>
      <c r="C3700" s="48" t="n"/>
    </row>
    <row r="3701" ht="18" customHeight="1" s="17">
      <c r="A3701" s="48">
        <f>""</f>
        <v/>
      </c>
      <c r="B3701" s="48" t="n"/>
      <c r="C3701" s="48" t="n"/>
    </row>
    <row r="3702" ht="18" customHeight="1" s="17">
      <c r="A3702" s="48">
        <f>""</f>
        <v/>
      </c>
      <c r="B3702" s="48" t="n"/>
      <c r="C3702" s="48" t="n"/>
    </row>
    <row r="3703" ht="18" customHeight="1" s="17">
      <c r="A3703" s="48">
        <f>""</f>
        <v/>
      </c>
      <c r="B3703" s="48" t="n"/>
      <c r="C3703" s="48" t="n"/>
    </row>
    <row r="3704" ht="18" customHeight="1" s="17">
      <c r="A3704" s="48">
        <f>IF(Generation!$B79,"  &lt;item ident=""il_0_qst_"&amp;TEXT(Generation!$A79,"000")&amp;""" title="""&amp;Generation!$F79&amp;"""&gt;","")</f>
        <v/>
      </c>
      <c r="B3704" s="48" t="n"/>
      <c r="C3704" s="48" t="n"/>
    </row>
    <row r="3705" ht="18" customHeight="1" s="17">
      <c r="A3705" s="48">
        <f>IF(Generation!$B79,"    &lt;duration&gt;P0Y0M0DT0H1M0S&lt;/duration&gt;","")</f>
        <v/>
      </c>
      <c r="B3705" s="48" t="n"/>
      <c r="C3705" s="48" t="n"/>
    </row>
    <row r="3706" ht="18" customHeight="1" s="17">
      <c r="A3706" s="48">
        <f>IF(Generation!$B79,"    &lt;itemmetadata&gt;","")</f>
        <v/>
      </c>
      <c r="B3706" s="48" t="n"/>
      <c r="C3706" s="48" t="n"/>
    </row>
    <row r="3707" ht="18" customHeight="1" s="17">
      <c r="A3707" s="48">
        <f>IF(Generation!$B79,"      &lt;qtimetadata&gt;","")</f>
        <v/>
      </c>
      <c r="B3707" s="48" t="n"/>
      <c r="C3707" s="48" t="n"/>
    </row>
    <row r="3708" ht="18" customHeight="1" s="17">
      <c r="A3708" s="48">
        <f>IF(Generation!$B79,"        &lt;qtimetadatafield&gt;&lt;fieldlabel&gt;ILIAS_VERSION&lt;/fieldlabel&gt;&lt;fieldentry&gt;8&lt;/fieldentry&gt;&lt;/qtimetadatafield&gt;","")</f>
        <v/>
      </c>
      <c r="B3708" s="48" t="n"/>
      <c r="C3708" s="48" t="n"/>
    </row>
    <row r="3709" ht="18" customHeight="1" s="17">
      <c r="A3709" s="48">
        <f>IF(Generation!$B79,"        &lt;qtimetadatafield&gt;&lt;fieldlabel&gt;QUESTIONTYPE&lt;/fieldlabel&gt;&lt;fieldentry&gt;"&amp;Generation!$D79&amp;"&lt;/fieldentry&gt;&lt;/qtimetadatafield&gt;","")</f>
        <v/>
      </c>
      <c r="B3709" s="48" t="n"/>
      <c r="C3709" s="48" t="n"/>
    </row>
    <row r="3710" ht="18" customHeight="1" s="17">
      <c r="A3710" s="48">
        <f>IF(Generation!$B79,"        &lt;qtimetadatafield&gt;&lt;fieldlabel&gt;AUTHOR&lt;/fieldlabel&gt;&lt;fieldentry&gt;"&amp;Generation!$AR79&amp;"&lt;/fieldentry&gt;&lt;/qtimetadatafield&gt;","")</f>
        <v/>
      </c>
      <c r="B3710" s="48" t="n"/>
      <c r="C3710" s="48" t="n"/>
    </row>
    <row r="3711" ht="18" customHeight="1" s="17">
      <c r="A3711" s="48">
        <f>IF(Generation!$B79,"        &lt;qtimetadatafield&gt;&lt;fieldlabel&gt;identicalScoring&lt;/fieldlabel&gt;&lt;fieldentry&gt;1&lt;/fieldentry&gt;&lt;/qtimetadatafield&gt;","")</f>
        <v/>
      </c>
      <c r="B3711" s="48" t="n"/>
      <c r="C3711" s="48" t="n"/>
    </row>
    <row r="3712" ht="18" customHeight="1" s="17">
      <c r="A3712" s="48">
        <f>IF(Generation!$B79,"      &lt;/qtimetadata&gt;","")</f>
        <v/>
      </c>
      <c r="B3712" s="48" t="n"/>
      <c r="C3712" s="48" t="n"/>
    </row>
    <row r="3713" ht="18" customHeight="1" s="17">
      <c r="A3713" s="48">
        <f>IF(Generation!$B79,"    &lt;/itemmetadata&gt;","")</f>
        <v/>
      </c>
      <c r="B3713" s="48" t="n"/>
      <c r="C3713" s="48" t="n"/>
    </row>
    <row r="3714" ht="18" customHeight="1" s="17">
      <c r="A3714" s="48">
        <f>IF(Generation!$B79,"    &lt;presentation label="""&amp;Generation!$F79&amp;"""&gt;","")</f>
        <v/>
      </c>
      <c r="B3714" s="48" t="n"/>
      <c r="C3714" s="48" t="n"/>
    </row>
    <row r="3715" ht="18" customHeight="1" s="17">
      <c r="A3715" s="48">
        <f>IF(Generation!$B79,"      &lt;material&gt;&lt;mattext texttype=""text/html""&gt;"&amp;Generation!$G79&amp;"&lt;/mattext&gt;&lt;/material&gt;","")</f>
        <v/>
      </c>
      <c r="B3715" s="48" t="n"/>
      <c r="C3715" s="48" t="n"/>
    </row>
    <row r="3716" ht="18" customHeight="1" s="17">
      <c r="A3716" s="48">
        <f>IF(Generation!$B79,"      &lt;response_lid ident=""RESPONSE"" rcardinality="""&amp;Generation!$E79&amp;"""&gt;","")</f>
        <v/>
      </c>
      <c r="B3716" s="48" t="n"/>
      <c r="C3716" s="48" t="n"/>
    </row>
    <row r="3717" ht="18" customHeight="1" s="17">
      <c r="A3717" s="48">
        <f>IF(Generation!$B79,"        &lt;render_choice shuffle=""No""&gt;","")</f>
        <v/>
      </c>
      <c r="B3717" s="48" t="n"/>
      <c r="C3717" s="48" t="n"/>
    </row>
    <row r="3718" ht="18" customHeight="1" s="17">
      <c r="A3718" s="48">
        <f>IF(Generation!AB79="","",Generation!AB79)</f>
        <v/>
      </c>
      <c r="B3718" s="48" t="n"/>
      <c r="C3718" s="48" t="n"/>
    </row>
    <row r="3719" ht="18" customHeight="1" s="17">
      <c r="A3719" s="48">
        <f>IF(Generation!AC79="","",Generation!AC79)</f>
        <v/>
      </c>
      <c r="B3719" s="48" t="n"/>
      <c r="C3719" s="48" t="n"/>
    </row>
    <row r="3720" ht="18" customHeight="1" s="17">
      <c r="A3720" s="48">
        <f>IF(Generation!AD79="","",Generation!AD79)</f>
        <v/>
      </c>
      <c r="B3720" s="48" t="n"/>
      <c r="C3720" s="48" t="n"/>
    </row>
    <row r="3721" ht="18" customHeight="1" s="17">
      <c r="A3721" s="48">
        <f>IF(Generation!AE79="","",Generation!AE79)</f>
        <v/>
      </c>
      <c r="B3721" s="48" t="n"/>
      <c r="C3721" s="48" t="n"/>
    </row>
    <row r="3722" ht="18" customHeight="1" s="17">
      <c r="A3722" s="48">
        <f>IF(Generation!AF79="","",Generation!AF79)</f>
        <v/>
      </c>
      <c r="B3722" s="48" t="n"/>
      <c r="C3722" s="48" t="n"/>
    </row>
    <row r="3723" ht="18" customHeight="1" s="17">
      <c r="A3723" s="48">
        <f>IF(Generation!AG79="","",Generation!AG79)</f>
        <v/>
      </c>
      <c r="B3723" s="48" t="n"/>
      <c r="C3723" s="48" t="n"/>
    </row>
    <row r="3724" ht="18" customHeight="1" s="17">
      <c r="A3724" s="48">
        <f>IF(Generation!AH79="","",Generation!AH79)</f>
        <v/>
      </c>
      <c r="B3724" s="48" t="n"/>
      <c r="C3724" s="48" t="n"/>
    </row>
    <row r="3725" ht="18" customHeight="1" s="17">
      <c r="A3725" s="48">
        <f>IF(Generation!AI79="","",Generation!AI79)</f>
        <v/>
      </c>
      <c r="B3725" s="48" t="n"/>
      <c r="C3725" s="48" t="n"/>
    </row>
    <row r="3726" ht="18" customHeight="1" s="17">
      <c r="A3726" s="48">
        <f>IF(Generation!$B79,"        &lt;/render_choice&gt;","")</f>
        <v/>
      </c>
      <c r="B3726" s="48" t="n"/>
      <c r="C3726" s="48" t="n"/>
    </row>
    <row r="3727" ht="18" customHeight="1" s="17">
      <c r="A3727" s="48">
        <f>IF(Generation!$B79,"      &lt;/response_lid&gt;","")</f>
        <v/>
      </c>
      <c r="B3727" s="48" t="n"/>
      <c r="C3727" s="48" t="n"/>
    </row>
    <row r="3728" ht="18" customHeight="1" s="17">
      <c r="A3728" s="48">
        <f>IF(Generation!$B79,"    &lt;/presentation&gt;","")</f>
        <v/>
      </c>
      <c r="B3728" s="48" t="n"/>
      <c r="C3728" s="48" t="n"/>
    </row>
    <row r="3729" ht="18" customHeight="1" s="17">
      <c r="A3729" s="48">
        <f>IF(Generation!$B79,"    &lt;resprocessing&gt;","")</f>
        <v/>
      </c>
      <c r="B3729" s="48" t="n"/>
      <c r="C3729" s="48" t="n"/>
    </row>
    <row r="3730" ht="18" customHeight="1" s="17">
      <c r="A3730" s="48">
        <f>IF(Generation!$B79,"      &lt;outcomes&gt;&lt;decvar varname=""SCORE"" vartype=""Decimal"" minvalue=""0"" maxvalue="""&amp;Generation!$H79&amp;"""/&gt;&lt;/outcomes&gt;","")</f>
        <v/>
      </c>
      <c r="B3730" s="48" t="n"/>
      <c r="C3730" s="48" t="n"/>
    </row>
    <row r="3731" ht="18" customHeight="1" s="17">
      <c r="A3731" s="48">
        <f>IF(Generation!AJ79="","",Generation!AJ79)</f>
        <v/>
      </c>
      <c r="B3731" s="48" t="n"/>
      <c r="C3731" s="48" t="n"/>
    </row>
    <row r="3732" ht="18" customHeight="1" s="17">
      <c r="A3732" s="48">
        <f>IF(Generation!AK79="","",Generation!AK79)</f>
        <v/>
      </c>
      <c r="B3732" s="48" t="n"/>
      <c r="C3732" s="48" t="n"/>
    </row>
    <row r="3733" ht="18" customHeight="1" s="17">
      <c r="A3733" s="48">
        <f>IF(Generation!AL79="","",Generation!AL79)</f>
        <v/>
      </c>
      <c r="B3733" s="48" t="n"/>
      <c r="C3733" s="48" t="n"/>
    </row>
    <row r="3734" ht="18" customHeight="1" s="17">
      <c r="A3734" s="48">
        <f>IF(Generation!AM79="","",Generation!AM79)</f>
        <v/>
      </c>
      <c r="B3734" s="48" t="n"/>
      <c r="C3734" s="48" t="n"/>
    </row>
    <row r="3735" ht="18" customHeight="1" s="17">
      <c r="A3735" s="48">
        <f>IF(Generation!AN79="","",Generation!AN79)</f>
        <v/>
      </c>
      <c r="B3735" s="48" t="n"/>
      <c r="C3735" s="48" t="n"/>
    </row>
    <row r="3736" ht="18" customHeight="1" s="17">
      <c r="A3736" s="48">
        <f>IF(Generation!AO79="","",Generation!AO79)</f>
        <v/>
      </c>
      <c r="B3736" s="48" t="n"/>
      <c r="C3736" s="48" t="n"/>
    </row>
    <row r="3737" ht="18" customHeight="1" s="17">
      <c r="A3737" s="48">
        <f>IF(Generation!AP79="","",Generation!AP79)</f>
        <v/>
      </c>
      <c r="B3737" s="48" t="n"/>
      <c r="C3737" s="48" t="n"/>
    </row>
    <row r="3738" ht="18" customHeight="1" s="17">
      <c r="A3738" s="48">
        <f>IF(Generation!AQ79="","",Generation!AQ79)</f>
        <v/>
      </c>
      <c r="B3738" s="48" t="n"/>
      <c r="C3738" s="48" t="n"/>
    </row>
    <row r="3739" ht="18" customHeight="1" s="17">
      <c r="A3739" s="48">
        <f>IF(Generation!$B79,"    &lt;/resprocessing&gt;","")</f>
        <v/>
      </c>
      <c r="B3739" s="48" t="n"/>
      <c r="C3739" s="48" t="n"/>
    </row>
    <row r="3740" ht="18" customHeight="1" s="17">
      <c r="A3740" s="48">
        <f>IF(Generation!BB79="","",Generation!BB79)</f>
        <v/>
      </c>
      <c r="B3740" s="48" t="n"/>
      <c r="C3740" s="48" t="n"/>
    </row>
    <row r="3741" ht="18" customHeight="1" s="17">
      <c r="A3741" s="48">
        <f>IF(Generation!BC79="","",Generation!BC79)</f>
        <v/>
      </c>
      <c r="B3741" s="48" t="n"/>
      <c r="C3741" s="48" t="n"/>
    </row>
    <row r="3742" ht="18" customHeight="1" s="17">
      <c r="A3742" s="48">
        <f>IF(Generation!BD79="","",Generation!BD79)</f>
        <v/>
      </c>
      <c r="B3742" s="48" t="n"/>
      <c r="C3742" s="48" t="n"/>
    </row>
    <row r="3743" ht="18" customHeight="1" s="17">
      <c r="A3743" s="48">
        <f>IF(Generation!BE79="","",Generation!BE79)</f>
        <v/>
      </c>
      <c r="B3743" s="48" t="n"/>
      <c r="C3743" s="48" t="n"/>
    </row>
    <row r="3744" ht="18" customHeight="1" s="17">
      <c r="A3744" s="48">
        <f>IF(Generation!BF79="","",Generation!BF79)</f>
        <v/>
      </c>
      <c r="B3744" s="48" t="n"/>
      <c r="C3744" s="48" t="n"/>
    </row>
    <row r="3745" ht="18" customHeight="1" s="17">
      <c r="A3745" s="48">
        <f>IF(Generation!BG79="","",Generation!BG79)</f>
        <v/>
      </c>
      <c r="B3745" s="48" t="n"/>
      <c r="C3745" s="48" t="n"/>
    </row>
    <row r="3746" ht="18" customHeight="1" s="17">
      <c r="A3746" s="48">
        <f>IF(Generation!BH79="","",Generation!BH79)</f>
        <v/>
      </c>
      <c r="B3746" s="48" t="n"/>
      <c r="C3746" s="48" t="n"/>
    </row>
    <row r="3747" ht="18" customHeight="1" s="17">
      <c r="A3747" s="48">
        <f>IF(Generation!BI79="","",Generation!BI79)</f>
        <v/>
      </c>
      <c r="B3747" s="48" t="n"/>
      <c r="C3747" s="48" t="n"/>
    </row>
    <row r="3748" ht="18" customHeight="1" s="17">
      <c r="A3748" s="48">
        <f>IF(Generation!BJ79="","",Generation!BJ79)</f>
        <v/>
      </c>
      <c r="B3748" s="48" t="n"/>
      <c r="C3748" s="48" t="n"/>
    </row>
    <row r="3749" ht="18" customHeight="1" s="17">
      <c r="A3749" s="48">
        <f>IF(Generation!$B79,"  &lt;/item&gt;","")</f>
        <v/>
      </c>
      <c r="B3749" s="48" t="n"/>
      <c r="C3749" s="48" t="n"/>
    </row>
    <row r="3750" ht="18" customHeight="1" s="17">
      <c r="A3750" s="48">
        <f>""</f>
        <v/>
      </c>
      <c r="B3750" s="48" t="n"/>
      <c r="C3750" s="48" t="n"/>
    </row>
    <row r="3751" ht="18" customHeight="1" s="17">
      <c r="A3751" s="48">
        <f>""</f>
        <v/>
      </c>
      <c r="B3751" s="48" t="n"/>
      <c r="C3751" s="48" t="n"/>
    </row>
    <row r="3752" ht="18" customHeight="1" s="17">
      <c r="A3752" s="48">
        <f>""</f>
        <v/>
      </c>
      <c r="B3752" s="48" t="n"/>
      <c r="C3752" s="48" t="n"/>
    </row>
    <row r="3753" ht="18" customHeight="1" s="17">
      <c r="A3753" s="48">
        <f>""</f>
        <v/>
      </c>
      <c r="B3753" s="48" t="n"/>
      <c r="C3753" s="48" t="n"/>
    </row>
    <row r="3754" ht="18" customHeight="1" s="17">
      <c r="A3754" s="48">
        <f>IF(Generation!$B80,"  &lt;item ident=""il_0_qst_"&amp;TEXT(Generation!$A80,"000")&amp;""" title="""&amp;Generation!$F80&amp;"""&gt;","")</f>
        <v/>
      </c>
      <c r="B3754" s="48" t="n"/>
      <c r="C3754" s="48" t="n"/>
    </row>
    <row r="3755" ht="18" customHeight="1" s="17">
      <c r="A3755" s="48">
        <f>IF(Generation!$B80,"    &lt;duration&gt;P0Y0M0DT0H1M0S&lt;/duration&gt;","")</f>
        <v/>
      </c>
      <c r="B3755" s="48" t="n"/>
      <c r="C3755" s="48" t="n"/>
    </row>
    <row r="3756" ht="18" customHeight="1" s="17">
      <c r="A3756" s="48">
        <f>IF(Generation!$B80,"    &lt;itemmetadata&gt;","")</f>
        <v/>
      </c>
      <c r="B3756" s="48" t="n"/>
      <c r="C3756" s="48" t="n"/>
    </row>
    <row r="3757" ht="18" customHeight="1" s="17">
      <c r="A3757" s="48">
        <f>IF(Generation!$B80,"      &lt;qtimetadata&gt;","")</f>
        <v/>
      </c>
      <c r="B3757" s="48" t="n"/>
      <c r="C3757" s="48" t="n"/>
    </row>
    <row r="3758" ht="18" customHeight="1" s="17">
      <c r="A3758" s="48">
        <f>IF(Generation!$B80,"        &lt;qtimetadatafield&gt;&lt;fieldlabel&gt;ILIAS_VERSION&lt;/fieldlabel&gt;&lt;fieldentry&gt;8&lt;/fieldentry&gt;&lt;/qtimetadatafield&gt;","")</f>
        <v/>
      </c>
      <c r="B3758" s="48" t="n"/>
      <c r="C3758" s="48" t="n"/>
    </row>
    <row r="3759" ht="18" customHeight="1" s="17">
      <c r="A3759" s="48">
        <f>IF(Generation!$B80,"        &lt;qtimetadatafield&gt;&lt;fieldlabel&gt;QUESTIONTYPE&lt;/fieldlabel&gt;&lt;fieldentry&gt;"&amp;Generation!$D80&amp;"&lt;/fieldentry&gt;&lt;/qtimetadatafield&gt;","")</f>
        <v/>
      </c>
      <c r="B3759" s="48" t="n"/>
      <c r="C3759" s="48" t="n"/>
    </row>
    <row r="3760" ht="18" customHeight="1" s="17">
      <c r="A3760" s="48">
        <f>IF(Generation!$B80,"        &lt;qtimetadatafield&gt;&lt;fieldlabel&gt;AUTHOR&lt;/fieldlabel&gt;&lt;fieldentry&gt;"&amp;Generation!$AR80&amp;"&lt;/fieldentry&gt;&lt;/qtimetadatafield&gt;","")</f>
        <v/>
      </c>
      <c r="B3760" s="48" t="n"/>
      <c r="C3760" s="48" t="n"/>
    </row>
    <row r="3761" ht="18" customHeight="1" s="17">
      <c r="A3761" s="48">
        <f>IF(Generation!$B80,"        &lt;qtimetadatafield&gt;&lt;fieldlabel&gt;identicalScoring&lt;/fieldlabel&gt;&lt;fieldentry&gt;1&lt;/fieldentry&gt;&lt;/qtimetadatafield&gt;","")</f>
        <v/>
      </c>
      <c r="B3761" s="48" t="n"/>
      <c r="C3761" s="48" t="n"/>
    </row>
    <row r="3762" ht="18" customHeight="1" s="17">
      <c r="A3762" s="48">
        <f>IF(Generation!$B80,"      &lt;/qtimetadata&gt;","")</f>
        <v/>
      </c>
      <c r="B3762" s="48" t="n"/>
      <c r="C3762" s="48" t="n"/>
    </row>
    <row r="3763" ht="18" customHeight="1" s="17">
      <c r="A3763" s="48">
        <f>IF(Generation!$B80,"    &lt;/itemmetadata&gt;","")</f>
        <v/>
      </c>
      <c r="B3763" s="48" t="n"/>
      <c r="C3763" s="48" t="n"/>
    </row>
    <row r="3764" ht="18" customHeight="1" s="17">
      <c r="A3764" s="48">
        <f>IF(Generation!$B80,"    &lt;presentation label="""&amp;Generation!$F80&amp;"""&gt;","")</f>
        <v/>
      </c>
      <c r="B3764" s="48" t="n"/>
      <c r="C3764" s="48" t="n"/>
    </row>
    <row r="3765" ht="18" customHeight="1" s="17">
      <c r="A3765" s="48">
        <f>IF(Generation!$B80,"      &lt;material&gt;&lt;mattext texttype=""text/html""&gt;"&amp;Generation!$G80&amp;"&lt;/mattext&gt;&lt;/material&gt;","")</f>
        <v/>
      </c>
      <c r="B3765" s="48" t="n"/>
      <c r="C3765" s="48" t="n"/>
    </row>
    <row r="3766" ht="18" customHeight="1" s="17">
      <c r="A3766" s="48">
        <f>IF(Generation!$B80,"      &lt;response_lid ident=""RESPONSE"" rcardinality="""&amp;Generation!$E80&amp;"""&gt;","")</f>
        <v/>
      </c>
      <c r="B3766" s="48" t="n"/>
      <c r="C3766" s="48" t="n"/>
    </row>
    <row r="3767" ht="18" customHeight="1" s="17">
      <c r="A3767" s="48">
        <f>IF(Generation!$B80,"        &lt;render_choice shuffle=""No""&gt;","")</f>
        <v/>
      </c>
      <c r="B3767" s="48" t="n"/>
      <c r="C3767" s="48" t="n"/>
    </row>
    <row r="3768" ht="18" customHeight="1" s="17">
      <c r="A3768" s="48">
        <f>IF(Generation!AB80="","",Generation!AB80)</f>
        <v/>
      </c>
      <c r="B3768" s="48" t="n"/>
      <c r="C3768" s="48" t="n"/>
    </row>
    <row r="3769" ht="18" customHeight="1" s="17">
      <c r="A3769" s="48">
        <f>IF(Generation!AC80="","",Generation!AC80)</f>
        <v/>
      </c>
      <c r="B3769" s="48" t="n"/>
      <c r="C3769" s="48" t="n"/>
    </row>
    <row r="3770" ht="18" customHeight="1" s="17">
      <c r="A3770" s="48">
        <f>IF(Generation!AD80="","",Generation!AD80)</f>
        <v/>
      </c>
      <c r="B3770" s="48" t="n"/>
      <c r="C3770" s="48" t="n"/>
    </row>
    <row r="3771" ht="18" customHeight="1" s="17">
      <c r="A3771" s="48">
        <f>IF(Generation!AE80="","",Generation!AE80)</f>
        <v/>
      </c>
      <c r="B3771" s="48" t="n"/>
      <c r="C3771" s="48" t="n"/>
    </row>
    <row r="3772" ht="18" customHeight="1" s="17">
      <c r="A3772" s="48">
        <f>IF(Generation!AF80="","",Generation!AF80)</f>
        <v/>
      </c>
      <c r="B3772" s="48" t="n"/>
      <c r="C3772" s="48" t="n"/>
    </row>
    <row r="3773" ht="18" customHeight="1" s="17">
      <c r="A3773" s="48">
        <f>IF(Generation!AG80="","",Generation!AG80)</f>
        <v/>
      </c>
      <c r="B3773" s="48" t="n"/>
      <c r="C3773" s="48" t="n"/>
    </row>
    <row r="3774" ht="18" customHeight="1" s="17">
      <c r="A3774" s="48">
        <f>IF(Generation!AH80="","",Generation!AH80)</f>
        <v/>
      </c>
      <c r="B3774" s="48" t="n"/>
      <c r="C3774" s="48" t="n"/>
    </row>
    <row r="3775" ht="18" customHeight="1" s="17">
      <c r="A3775" s="48">
        <f>IF(Generation!AI80="","",Generation!AI80)</f>
        <v/>
      </c>
      <c r="B3775" s="48" t="n"/>
      <c r="C3775" s="48" t="n"/>
    </row>
    <row r="3776" ht="18" customHeight="1" s="17">
      <c r="A3776" s="48">
        <f>IF(Generation!$B80,"        &lt;/render_choice&gt;","")</f>
        <v/>
      </c>
      <c r="B3776" s="48" t="n"/>
      <c r="C3776" s="48" t="n"/>
    </row>
    <row r="3777" ht="18" customHeight="1" s="17">
      <c r="A3777" s="48">
        <f>IF(Generation!$B80,"      &lt;/response_lid&gt;","")</f>
        <v/>
      </c>
      <c r="B3777" s="48" t="n"/>
      <c r="C3777" s="48" t="n"/>
    </row>
    <row r="3778" ht="18" customHeight="1" s="17">
      <c r="A3778" s="48">
        <f>IF(Generation!$B80,"    &lt;/presentation&gt;","")</f>
        <v/>
      </c>
      <c r="B3778" s="48" t="n"/>
      <c r="C3778" s="48" t="n"/>
    </row>
    <row r="3779" ht="18" customHeight="1" s="17">
      <c r="A3779" s="48">
        <f>IF(Generation!$B80,"    &lt;resprocessing&gt;","")</f>
        <v/>
      </c>
      <c r="B3779" s="48" t="n"/>
      <c r="C3779" s="48" t="n"/>
    </row>
    <row r="3780" ht="18" customHeight="1" s="17">
      <c r="A3780" s="48">
        <f>IF(Generation!$B80,"      &lt;outcomes&gt;&lt;decvar varname=""SCORE"" vartype=""Decimal"" minvalue=""0"" maxvalue="""&amp;Generation!$H80&amp;"""/&gt;&lt;/outcomes&gt;","")</f>
        <v/>
      </c>
      <c r="B3780" s="48" t="n"/>
      <c r="C3780" s="48" t="n"/>
    </row>
    <row r="3781" ht="18" customHeight="1" s="17">
      <c r="A3781" s="48">
        <f>IF(Generation!AJ80="","",Generation!AJ80)</f>
        <v/>
      </c>
      <c r="B3781" s="48" t="n"/>
      <c r="C3781" s="48" t="n"/>
    </row>
    <row r="3782" ht="18" customHeight="1" s="17">
      <c r="A3782" s="48">
        <f>IF(Generation!AK80="","",Generation!AK80)</f>
        <v/>
      </c>
      <c r="B3782" s="48" t="n"/>
      <c r="C3782" s="48" t="n"/>
    </row>
    <row r="3783" ht="18" customHeight="1" s="17">
      <c r="A3783" s="48">
        <f>IF(Generation!AL80="","",Generation!AL80)</f>
        <v/>
      </c>
      <c r="B3783" s="48" t="n"/>
      <c r="C3783" s="48" t="n"/>
    </row>
    <row r="3784" ht="18" customHeight="1" s="17">
      <c r="A3784" s="48">
        <f>IF(Generation!AM80="","",Generation!AM80)</f>
        <v/>
      </c>
      <c r="B3784" s="48" t="n"/>
      <c r="C3784" s="48" t="n"/>
    </row>
    <row r="3785" ht="18" customHeight="1" s="17">
      <c r="A3785" s="48">
        <f>IF(Generation!AN80="","",Generation!AN80)</f>
        <v/>
      </c>
      <c r="B3785" s="48" t="n"/>
      <c r="C3785" s="48" t="n"/>
    </row>
    <row r="3786" ht="18" customHeight="1" s="17">
      <c r="A3786" s="48">
        <f>IF(Generation!AO80="","",Generation!AO80)</f>
        <v/>
      </c>
      <c r="B3786" s="48" t="n"/>
      <c r="C3786" s="48" t="n"/>
    </row>
    <row r="3787" ht="18" customHeight="1" s="17">
      <c r="A3787" s="48">
        <f>IF(Generation!AP80="","",Generation!AP80)</f>
        <v/>
      </c>
      <c r="B3787" s="48" t="n"/>
      <c r="C3787" s="48" t="n"/>
    </row>
    <row r="3788" ht="18" customHeight="1" s="17">
      <c r="A3788" s="48">
        <f>IF(Generation!AQ80="","",Generation!AQ80)</f>
        <v/>
      </c>
      <c r="B3788" s="48" t="n"/>
      <c r="C3788" s="48" t="n"/>
    </row>
    <row r="3789" ht="18" customHeight="1" s="17">
      <c r="A3789" s="48">
        <f>IF(Generation!$B80,"    &lt;/resprocessing&gt;","")</f>
        <v/>
      </c>
      <c r="B3789" s="48" t="n"/>
      <c r="C3789" s="48" t="n"/>
    </row>
    <row r="3790" ht="18" customHeight="1" s="17">
      <c r="A3790" s="48">
        <f>IF(Generation!BB80="","",Generation!BB80)</f>
        <v/>
      </c>
      <c r="B3790" s="48" t="n"/>
      <c r="C3790" s="48" t="n"/>
    </row>
    <row r="3791" ht="18" customHeight="1" s="17">
      <c r="A3791" s="48">
        <f>IF(Generation!BC80="","",Generation!BC80)</f>
        <v/>
      </c>
      <c r="B3791" s="48" t="n"/>
      <c r="C3791" s="48" t="n"/>
    </row>
    <row r="3792" ht="18" customHeight="1" s="17">
      <c r="A3792" s="48">
        <f>IF(Generation!BD80="","",Generation!BD80)</f>
        <v/>
      </c>
      <c r="B3792" s="48" t="n"/>
      <c r="C3792" s="48" t="n"/>
    </row>
    <row r="3793" ht="18" customHeight="1" s="17">
      <c r="A3793" s="48">
        <f>IF(Generation!BE80="","",Generation!BE80)</f>
        <v/>
      </c>
      <c r="B3793" s="48" t="n"/>
      <c r="C3793" s="48" t="n"/>
    </row>
    <row r="3794" ht="18" customHeight="1" s="17">
      <c r="A3794" s="48">
        <f>IF(Generation!BF80="","",Generation!BF80)</f>
        <v/>
      </c>
      <c r="B3794" s="48" t="n"/>
      <c r="C3794" s="48" t="n"/>
    </row>
    <row r="3795" ht="18" customHeight="1" s="17">
      <c r="A3795" s="48">
        <f>IF(Generation!BG80="","",Generation!BG80)</f>
        <v/>
      </c>
      <c r="B3795" s="48" t="n"/>
      <c r="C3795" s="48" t="n"/>
    </row>
    <row r="3796" ht="18" customHeight="1" s="17">
      <c r="A3796" s="48">
        <f>IF(Generation!BH80="","",Generation!BH80)</f>
        <v/>
      </c>
      <c r="B3796" s="48" t="n"/>
      <c r="C3796" s="48" t="n"/>
    </row>
    <row r="3797" ht="18" customHeight="1" s="17">
      <c r="A3797" s="48">
        <f>IF(Generation!BI80="","",Generation!BI80)</f>
        <v/>
      </c>
      <c r="B3797" s="48" t="n"/>
      <c r="C3797" s="48" t="n"/>
    </row>
    <row r="3798" ht="18" customHeight="1" s="17">
      <c r="A3798" s="48">
        <f>IF(Generation!BJ80="","",Generation!BJ80)</f>
        <v/>
      </c>
      <c r="B3798" s="48" t="n"/>
      <c r="C3798" s="48" t="n"/>
    </row>
    <row r="3799" ht="18" customHeight="1" s="17">
      <c r="A3799" s="48">
        <f>IF(Generation!$B80,"  &lt;/item&gt;","")</f>
        <v/>
      </c>
      <c r="B3799" s="48" t="n"/>
      <c r="C3799" s="48" t="n"/>
    </row>
    <row r="3800" ht="18" customHeight="1" s="17">
      <c r="A3800" s="48">
        <f>""</f>
        <v/>
      </c>
      <c r="B3800" s="48" t="n"/>
      <c r="C3800" s="48" t="n"/>
    </row>
    <row r="3801" ht="18" customHeight="1" s="17">
      <c r="A3801" s="48">
        <f>""</f>
        <v/>
      </c>
      <c r="B3801" s="48" t="n"/>
      <c r="C3801" s="48" t="n"/>
    </row>
    <row r="3802" ht="18" customHeight="1" s="17">
      <c r="A3802" s="48">
        <f>""</f>
        <v/>
      </c>
      <c r="B3802" s="48" t="n"/>
      <c r="C3802" s="48" t="n"/>
    </row>
    <row r="3803" ht="18" customHeight="1" s="17">
      <c r="A3803" s="48">
        <f>""</f>
        <v/>
      </c>
      <c r="B3803" s="48" t="n"/>
      <c r="C3803" s="48" t="n"/>
    </row>
    <row r="3804" ht="18" customHeight="1" s="17">
      <c r="A3804" s="48">
        <f>IF(Generation!$B81,"  &lt;item ident=""il_0_qst_"&amp;TEXT(Generation!$A81,"000")&amp;""" title="""&amp;Generation!$F81&amp;"""&gt;","")</f>
        <v/>
      </c>
      <c r="B3804" s="48" t="n"/>
      <c r="C3804" s="48" t="n"/>
    </row>
    <row r="3805" ht="18" customHeight="1" s="17">
      <c r="A3805" s="48">
        <f>IF(Generation!$B81,"    &lt;duration&gt;P0Y0M0DT0H1M0S&lt;/duration&gt;","")</f>
        <v/>
      </c>
      <c r="B3805" s="48" t="n"/>
      <c r="C3805" s="48" t="n"/>
    </row>
    <row r="3806" ht="18" customHeight="1" s="17">
      <c r="A3806" s="48">
        <f>IF(Generation!$B81,"    &lt;itemmetadata&gt;","")</f>
        <v/>
      </c>
      <c r="B3806" s="48" t="n"/>
      <c r="C3806" s="48" t="n"/>
    </row>
    <row r="3807" ht="18" customHeight="1" s="17">
      <c r="A3807" s="48">
        <f>IF(Generation!$B81,"      &lt;qtimetadata&gt;","")</f>
        <v/>
      </c>
      <c r="B3807" s="48" t="n"/>
      <c r="C3807" s="48" t="n"/>
    </row>
    <row r="3808" ht="18" customHeight="1" s="17">
      <c r="A3808" s="48">
        <f>IF(Generation!$B81,"        &lt;qtimetadatafield&gt;&lt;fieldlabel&gt;ILIAS_VERSION&lt;/fieldlabel&gt;&lt;fieldentry&gt;8&lt;/fieldentry&gt;&lt;/qtimetadatafield&gt;","")</f>
        <v/>
      </c>
      <c r="B3808" s="48" t="n"/>
      <c r="C3808" s="48" t="n"/>
    </row>
    <row r="3809" ht="18" customHeight="1" s="17">
      <c r="A3809" s="48">
        <f>IF(Generation!$B81,"        &lt;qtimetadatafield&gt;&lt;fieldlabel&gt;QUESTIONTYPE&lt;/fieldlabel&gt;&lt;fieldentry&gt;"&amp;Generation!$D81&amp;"&lt;/fieldentry&gt;&lt;/qtimetadatafield&gt;","")</f>
        <v/>
      </c>
      <c r="B3809" s="48" t="n"/>
      <c r="C3809" s="48" t="n"/>
    </row>
    <row r="3810" ht="18" customHeight="1" s="17">
      <c r="A3810" s="48">
        <f>IF(Generation!$B81,"        &lt;qtimetadatafield&gt;&lt;fieldlabel&gt;AUTHOR&lt;/fieldlabel&gt;&lt;fieldentry&gt;"&amp;Generation!$AR81&amp;"&lt;/fieldentry&gt;&lt;/qtimetadatafield&gt;","")</f>
        <v/>
      </c>
      <c r="B3810" s="48" t="n"/>
      <c r="C3810" s="48" t="n"/>
    </row>
    <row r="3811" ht="18" customHeight="1" s="17">
      <c r="A3811" s="48">
        <f>IF(Generation!$B81,"        &lt;qtimetadatafield&gt;&lt;fieldlabel&gt;identicalScoring&lt;/fieldlabel&gt;&lt;fieldentry&gt;1&lt;/fieldentry&gt;&lt;/qtimetadatafield&gt;","")</f>
        <v/>
      </c>
      <c r="B3811" s="48" t="n"/>
      <c r="C3811" s="48" t="n"/>
    </row>
    <row r="3812" ht="18" customHeight="1" s="17">
      <c r="A3812" s="48">
        <f>IF(Generation!$B81,"      &lt;/qtimetadata&gt;","")</f>
        <v/>
      </c>
      <c r="B3812" s="48" t="n"/>
      <c r="C3812" s="48" t="n"/>
    </row>
    <row r="3813" ht="18" customHeight="1" s="17">
      <c r="A3813" s="48">
        <f>IF(Generation!$B81,"    &lt;/itemmetadata&gt;","")</f>
        <v/>
      </c>
      <c r="B3813" s="48" t="n"/>
      <c r="C3813" s="48" t="n"/>
    </row>
    <row r="3814" ht="18" customHeight="1" s="17">
      <c r="A3814" s="48">
        <f>IF(Generation!$B81,"    &lt;presentation label="""&amp;Generation!$F81&amp;"""&gt;","")</f>
        <v/>
      </c>
      <c r="B3814" s="48" t="n"/>
      <c r="C3814" s="48" t="n"/>
    </row>
    <row r="3815" ht="18" customHeight="1" s="17">
      <c r="A3815" s="48">
        <f>IF(Generation!$B81,"      &lt;material&gt;&lt;mattext texttype=""text/html""&gt;"&amp;Generation!$G81&amp;"&lt;/mattext&gt;&lt;/material&gt;","")</f>
        <v/>
      </c>
      <c r="B3815" s="48" t="n"/>
      <c r="C3815" s="48" t="n"/>
    </row>
    <row r="3816" ht="18" customHeight="1" s="17">
      <c r="A3816" s="48">
        <f>IF(Generation!$B81,"      &lt;response_lid ident=""RESPONSE"" rcardinality="""&amp;Generation!$E81&amp;"""&gt;","")</f>
        <v/>
      </c>
      <c r="B3816" s="48" t="n"/>
      <c r="C3816" s="48" t="n"/>
    </row>
    <row r="3817" ht="18" customHeight="1" s="17">
      <c r="A3817" s="48">
        <f>IF(Generation!$B81,"        &lt;render_choice shuffle=""No""&gt;","")</f>
        <v/>
      </c>
      <c r="B3817" s="48" t="n"/>
      <c r="C3817" s="48" t="n"/>
    </row>
    <row r="3818" ht="18" customHeight="1" s="17">
      <c r="A3818" s="48">
        <f>IF(Generation!AB81="","",Generation!AB81)</f>
        <v/>
      </c>
      <c r="B3818" s="48" t="n"/>
      <c r="C3818" s="48" t="n"/>
    </row>
    <row r="3819" ht="18" customHeight="1" s="17">
      <c r="A3819" s="48">
        <f>IF(Generation!AC81="","",Generation!AC81)</f>
        <v/>
      </c>
      <c r="B3819" s="48" t="n"/>
      <c r="C3819" s="48" t="n"/>
    </row>
    <row r="3820" ht="18" customHeight="1" s="17">
      <c r="A3820" s="48">
        <f>IF(Generation!AD81="","",Generation!AD81)</f>
        <v/>
      </c>
      <c r="B3820" s="48" t="n"/>
      <c r="C3820" s="48" t="n"/>
    </row>
    <row r="3821" ht="18" customHeight="1" s="17">
      <c r="A3821" s="48">
        <f>IF(Generation!AE81="","",Generation!AE81)</f>
        <v/>
      </c>
      <c r="B3821" s="48" t="n"/>
      <c r="C3821" s="48" t="n"/>
    </row>
    <row r="3822" ht="18" customHeight="1" s="17">
      <c r="A3822" s="48">
        <f>IF(Generation!AF81="","",Generation!AF81)</f>
        <v/>
      </c>
      <c r="B3822" s="48" t="n"/>
      <c r="C3822" s="48" t="n"/>
    </row>
    <row r="3823" ht="18" customHeight="1" s="17">
      <c r="A3823" s="48">
        <f>IF(Generation!AG81="","",Generation!AG81)</f>
        <v/>
      </c>
      <c r="B3823" s="48" t="n"/>
      <c r="C3823" s="48" t="n"/>
    </row>
    <row r="3824" ht="18" customHeight="1" s="17">
      <c r="A3824" s="48">
        <f>IF(Generation!AH81="","",Generation!AH81)</f>
        <v/>
      </c>
      <c r="B3824" s="48" t="n"/>
      <c r="C3824" s="48" t="n"/>
    </row>
    <row r="3825" ht="18" customHeight="1" s="17">
      <c r="A3825" s="48">
        <f>IF(Generation!AI81="","",Generation!AI81)</f>
        <v/>
      </c>
      <c r="B3825" s="48" t="n"/>
      <c r="C3825" s="48" t="n"/>
    </row>
    <row r="3826" ht="18" customHeight="1" s="17">
      <c r="A3826" s="48">
        <f>IF(Generation!$B81,"        &lt;/render_choice&gt;","")</f>
        <v/>
      </c>
      <c r="B3826" s="48" t="n"/>
      <c r="C3826" s="48" t="n"/>
    </row>
    <row r="3827" ht="18" customHeight="1" s="17">
      <c r="A3827" s="48">
        <f>IF(Generation!$B81,"      &lt;/response_lid&gt;","")</f>
        <v/>
      </c>
      <c r="B3827" s="48" t="n"/>
      <c r="C3827" s="48" t="n"/>
    </row>
    <row r="3828" ht="18" customHeight="1" s="17">
      <c r="A3828" s="48">
        <f>IF(Generation!$B81,"    &lt;/presentation&gt;","")</f>
        <v/>
      </c>
      <c r="B3828" s="48" t="n"/>
      <c r="C3828" s="48" t="n"/>
    </row>
    <row r="3829" ht="18" customHeight="1" s="17">
      <c r="A3829" s="48">
        <f>IF(Generation!$B81,"    &lt;resprocessing&gt;","")</f>
        <v/>
      </c>
      <c r="B3829" s="48" t="n"/>
      <c r="C3829" s="48" t="n"/>
    </row>
    <row r="3830" ht="18" customHeight="1" s="17">
      <c r="A3830" s="48">
        <f>IF(Generation!$B81,"      &lt;outcomes&gt;&lt;decvar varname=""SCORE"" vartype=""Decimal"" minvalue=""0"" maxvalue="""&amp;Generation!$H81&amp;"""/&gt;&lt;/outcomes&gt;","")</f>
        <v/>
      </c>
      <c r="B3830" s="48" t="n"/>
      <c r="C3830" s="48" t="n"/>
    </row>
    <row r="3831" ht="18" customHeight="1" s="17">
      <c r="A3831" s="48">
        <f>IF(Generation!AJ81="","",Generation!AJ81)</f>
        <v/>
      </c>
      <c r="B3831" s="48" t="n"/>
      <c r="C3831" s="48" t="n"/>
    </row>
    <row r="3832" ht="18" customHeight="1" s="17">
      <c r="A3832" s="48">
        <f>IF(Generation!AK81="","",Generation!AK81)</f>
        <v/>
      </c>
      <c r="B3832" s="48" t="n"/>
      <c r="C3832" s="48" t="n"/>
    </row>
    <row r="3833" ht="18" customHeight="1" s="17">
      <c r="A3833" s="48">
        <f>IF(Generation!AL81="","",Generation!AL81)</f>
        <v/>
      </c>
      <c r="B3833" s="48" t="n"/>
      <c r="C3833" s="48" t="n"/>
    </row>
    <row r="3834" ht="18" customHeight="1" s="17">
      <c r="A3834" s="48">
        <f>IF(Generation!AM81="","",Generation!AM81)</f>
        <v/>
      </c>
      <c r="B3834" s="48" t="n"/>
      <c r="C3834" s="48" t="n"/>
    </row>
    <row r="3835" ht="18" customHeight="1" s="17">
      <c r="A3835" s="48">
        <f>IF(Generation!AN81="","",Generation!AN81)</f>
        <v/>
      </c>
      <c r="B3835" s="48" t="n"/>
      <c r="C3835" s="48" t="n"/>
    </row>
    <row r="3836" ht="18" customHeight="1" s="17">
      <c r="A3836" s="48">
        <f>IF(Generation!AO81="","",Generation!AO81)</f>
        <v/>
      </c>
      <c r="B3836" s="48" t="n"/>
      <c r="C3836" s="48" t="n"/>
    </row>
    <row r="3837" ht="18" customHeight="1" s="17">
      <c r="A3837" s="48">
        <f>IF(Generation!AP81="","",Generation!AP81)</f>
        <v/>
      </c>
      <c r="B3837" s="48" t="n"/>
      <c r="C3837" s="48" t="n"/>
    </row>
    <row r="3838" ht="18" customHeight="1" s="17">
      <c r="A3838" s="48">
        <f>IF(Generation!AQ81="","",Generation!AQ81)</f>
        <v/>
      </c>
      <c r="B3838" s="48" t="n"/>
      <c r="C3838" s="48" t="n"/>
    </row>
    <row r="3839" ht="18" customHeight="1" s="17">
      <c r="A3839" s="48">
        <f>IF(Generation!$B81,"    &lt;/resprocessing&gt;","")</f>
        <v/>
      </c>
      <c r="B3839" s="48" t="n"/>
      <c r="C3839" s="48" t="n"/>
    </row>
    <row r="3840" ht="18" customHeight="1" s="17">
      <c r="A3840" s="48">
        <f>IF(Generation!BB81="","",Generation!BB81)</f>
        <v/>
      </c>
      <c r="B3840" s="48" t="n"/>
      <c r="C3840" s="48" t="n"/>
    </row>
    <row r="3841" ht="18" customHeight="1" s="17">
      <c r="A3841" s="48">
        <f>IF(Generation!BC81="","",Generation!BC81)</f>
        <v/>
      </c>
      <c r="B3841" s="48" t="n"/>
      <c r="C3841" s="48" t="n"/>
    </row>
    <row r="3842" ht="18" customHeight="1" s="17">
      <c r="A3842" s="48">
        <f>IF(Generation!BD81="","",Generation!BD81)</f>
        <v/>
      </c>
      <c r="B3842" s="48" t="n"/>
      <c r="C3842" s="48" t="n"/>
    </row>
    <row r="3843" ht="18" customHeight="1" s="17">
      <c r="A3843" s="48">
        <f>IF(Generation!BE81="","",Generation!BE81)</f>
        <v/>
      </c>
      <c r="B3843" s="48" t="n"/>
      <c r="C3843" s="48" t="n"/>
    </row>
    <row r="3844" ht="18" customHeight="1" s="17">
      <c r="A3844" s="48">
        <f>IF(Generation!BF81="","",Generation!BF81)</f>
        <v/>
      </c>
      <c r="B3844" s="48" t="n"/>
      <c r="C3844" s="48" t="n"/>
    </row>
    <row r="3845" ht="18" customHeight="1" s="17">
      <c r="A3845" s="48">
        <f>IF(Generation!BG81="","",Generation!BG81)</f>
        <v/>
      </c>
      <c r="B3845" s="48" t="n"/>
      <c r="C3845" s="48" t="n"/>
    </row>
    <row r="3846" ht="18" customHeight="1" s="17">
      <c r="A3846" s="48">
        <f>IF(Generation!BH81="","",Generation!BH81)</f>
        <v/>
      </c>
      <c r="B3846" s="48" t="n"/>
      <c r="C3846" s="48" t="n"/>
    </row>
    <row r="3847" ht="18" customHeight="1" s="17">
      <c r="A3847" s="48">
        <f>IF(Generation!BI81="","",Generation!BI81)</f>
        <v/>
      </c>
      <c r="B3847" s="48" t="n"/>
      <c r="C3847" s="48" t="n"/>
    </row>
    <row r="3848" ht="18" customHeight="1" s="17">
      <c r="A3848" s="48">
        <f>IF(Generation!BJ81="","",Generation!BJ81)</f>
        <v/>
      </c>
      <c r="B3848" s="48" t="n"/>
      <c r="C3848" s="48" t="n"/>
    </row>
    <row r="3849" ht="18" customHeight="1" s="17">
      <c r="A3849" s="48">
        <f>IF(Generation!$B81,"  &lt;/item&gt;","")</f>
        <v/>
      </c>
      <c r="B3849" s="48" t="n"/>
      <c r="C3849" s="48" t="n"/>
    </row>
    <row r="3850" ht="18" customHeight="1" s="17">
      <c r="A3850" s="48">
        <f>""</f>
        <v/>
      </c>
      <c r="B3850" s="48" t="n"/>
      <c r="C3850" s="48" t="n"/>
    </row>
    <row r="3851" ht="18" customHeight="1" s="17">
      <c r="A3851" s="48">
        <f>""</f>
        <v/>
      </c>
      <c r="B3851" s="48" t="n"/>
      <c r="C3851" s="48" t="n"/>
    </row>
    <row r="3852" ht="18" customHeight="1" s="17">
      <c r="A3852" s="48">
        <f>""</f>
        <v/>
      </c>
      <c r="B3852" s="48" t="n"/>
      <c r="C3852" s="48" t="n"/>
    </row>
    <row r="3853" ht="18" customHeight="1" s="17">
      <c r="A3853" s="48">
        <f>""</f>
        <v/>
      </c>
      <c r="B3853" s="48" t="n"/>
      <c r="C3853" s="48" t="n"/>
    </row>
    <row r="3854" ht="18" customHeight="1" s="17">
      <c r="A3854" s="48">
        <f>IF(Generation!$B82,"  &lt;item ident=""il_0_qst_"&amp;TEXT(Generation!$A82,"000")&amp;""" title="""&amp;Generation!$F82&amp;"""&gt;","")</f>
        <v/>
      </c>
      <c r="B3854" s="48" t="n"/>
      <c r="C3854" s="48" t="n"/>
    </row>
    <row r="3855" ht="18" customHeight="1" s="17">
      <c r="A3855" s="48">
        <f>IF(Generation!$B82,"    &lt;duration&gt;P0Y0M0DT0H1M0S&lt;/duration&gt;","")</f>
        <v/>
      </c>
      <c r="B3855" s="48" t="n"/>
      <c r="C3855" s="48" t="n"/>
    </row>
    <row r="3856" ht="18" customHeight="1" s="17">
      <c r="A3856" s="48">
        <f>IF(Generation!$B82,"    &lt;itemmetadata&gt;","")</f>
        <v/>
      </c>
      <c r="B3856" s="48" t="n"/>
      <c r="C3856" s="48" t="n"/>
    </row>
    <row r="3857" ht="18" customHeight="1" s="17">
      <c r="A3857" s="48">
        <f>IF(Generation!$B82,"      &lt;qtimetadata&gt;","")</f>
        <v/>
      </c>
      <c r="B3857" s="48" t="n"/>
      <c r="C3857" s="48" t="n"/>
    </row>
    <row r="3858" ht="18" customHeight="1" s="17">
      <c r="A3858" s="48">
        <f>IF(Generation!$B82,"        &lt;qtimetadatafield&gt;&lt;fieldlabel&gt;ILIAS_VERSION&lt;/fieldlabel&gt;&lt;fieldentry&gt;8&lt;/fieldentry&gt;&lt;/qtimetadatafield&gt;","")</f>
        <v/>
      </c>
      <c r="B3858" s="48" t="n"/>
      <c r="C3858" s="48" t="n"/>
    </row>
    <row r="3859" ht="18" customHeight="1" s="17">
      <c r="A3859" s="48">
        <f>IF(Generation!$B82,"        &lt;qtimetadatafield&gt;&lt;fieldlabel&gt;QUESTIONTYPE&lt;/fieldlabel&gt;&lt;fieldentry&gt;"&amp;Generation!$D82&amp;"&lt;/fieldentry&gt;&lt;/qtimetadatafield&gt;","")</f>
        <v/>
      </c>
      <c r="B3859" s="48" t="n"/>
      <c r="C3859" s="48" t="n"/>
    </row>
    <row r="3860" ht="18" customHeight="1" s="17">
      <c r="A3860" s="48">
        <f>IF(Generation!$B82,"        &lt;qtimetadatafield&gt;&lt;fieldlabel&gt;AUTHOR&lt;/fieldlabel&gt;&lt;fieldentry&gt;"&amp;Generation!$AR82&amp;"&lt;/fieldentry&gt;&lt;/qtimetadatafield&gt;","")</f>
        <v/>
      </c>
      <c r="B3860" s="48" t="n"/>
      <c r="C3860" s="48" t="n"/>
    </row>
    <row r="3861" ht="18" customHeight="1" s="17">
      <c r="A3861" s="48">
        <f>IF(Generation!$B82,"        &lt;qtimetadatafield&gt;&lt;fieldlabel&gt;identicalScoring&lt;/fieldlabel&gt;&lt;fieldentry&gt;1&lt;/fieldentry&gt;&lt;/qtimetadatafield&gt;","")</f>
        <v/>
      </c>
      <c r="B3861" s="48" t="n"/>
      <c r="C3861" s="48" t="n"/>
    </row>
    <row r="3862" ht="18" customHeight="1" s="17">
      <c r="A3862" s="48">
        <f>IF(Generation!$B82,"      &lt;/qtimetadata&gt;","")</f>
        <v/>
      </c>
      <c r="B3862" s="48" t="n"/>
      <c r="C3862" s="48" t="n"/>
    </row>
    <row r="3863" ht="18" customHeight="1" s="17">
      <c r="A3863" s="48">
        <f>IF(Generation!$B82,"    &lt;/itemmetadata&gt;","")</f>
        <v/>
      </c>
      <c r="B3863" s="48" t="n"/>
      <c r="C3863" s="48" t="n"/>
    </row>
    <row r="3864" ht="18" customHeight="1" s="17">
      <c r="A3864" s="48">
        <f>IF(Generation!$B82,"    &lt;presentation label="""&amp;Generation!$F82&amp;"""&gt;","")</f>
        <v/>
      </c>
      <c r="B3864" s="48" t="n"/>
      <c r="C3864" s="48" t="n"/>
    </row>
    <row r="3865" ht="18" customHeight="1" s="17">
      <c r="A3865" s="48">
        <f>IF(Generation!$B82,"      &lt;material&gt;&lt;mattext texttype=""text/html""&gt;"&amp;Generation!$G82&amp;"&lt;/mattext&gt;&lt;/material&gt;","")</f>
        <v/>
      </c>
      <c r="B3865" s="48" t="n"/>
      <c r="C3865" s="48" t="n"/>
    </row>
    <row r="3866" ht="18" customHeight="1" s="17">
      <c r="A3866" s="48">
        <f>IF(Generation!$B82,"      &lt;response_lid ident=""RESPONSE"" rcardinality="""&amp;Generation!$E82&amp;"""&gt;","")</f>
        <v/>
      </c>
      <c r="B3866" s="48" t="n"/>
      <c r="C3866" s="48" t="n"/>
    </row>
    <row r="3867" ht="18" customHeight="1" s="17">
      <c r="A3867" s="48">
        <f>IF(Generation!$B82,"        &lt;render_choice shuffle=""No""&gt;","")</f>
        <v/>
      </c>
      <c r="B3867" s="48" t="n"/>
      <c r="C3867" s="48" t="n"/>
    </row>
    <row r="3868" ht="18" customHeight="1" s="17">
      <c r="A3868" s="48">
        <f>IF(Generation!AB82="","",Generation!AB82)</f>
        <v/>
      </c>
      <c r="B3868" s="48" t="n"/>
      <c r="C3868" s="48" t="n"/>
    </row>
    <row r="3869" ht="18" customHeight="1" s="17">
      <c r="A3869" s="48">
        <f>IF(Generation!AC82="","",Generation!AC82)</f>
        <v/>
      </c>
      <c r="B3869" s="48" t="n"/>
      <c r="C3869" s="48" t="n"/>
    </row>
    <row r="3870" ht="18" customHeight="1" s="17">
      <c r="A3870" s="48">
        <f>IF(Generation!AD82="","",Generation!AD82)</f>
        <v/>
      </c>
      <c r="B3870" s="48" t="n"/>
      <c r="C3870" s="48" t="n"/>
    </row>
    <row r="3871" ht="18" customHeight="1" s="17">
      <c r="A3871" s="48">
        <f>IF(Generation!AE82="","",Generation!AE82)</f>
        <v/>
      </c>
      <c r="B3871" s="48" t="n"/>
      <c r="C3871" s="48" t="n"/>
    </row>
    <row r="3872" ht="18" customHeight="1" s="17">
      <c r="A3872" s="48">
        <f>IF(Generation!AF82="","",Generation!AF82)</f>
        <v/>
      </c>
      <c r="B3872" s="48" t="n"/>
      <c r="C3872" s="48" t="n"/>
    </row>
    <row r="3873" ht="18" customHeight="1" s="17">
      <c r="A3873" s="48">
        <f>IF(Generation!AG82="","",Generation!AG82)</f>
        <v/>
      </c>
      <c r="B3873" s="48" t="n"/>
      <c r="C3873" s="48" t="n"/>
    </row>
    <row r="3874" ht="18" customHeight="1" s="17">
      <c r="A3874" s="48">
        <f>IF(Generation!AH82="","",Generation!AH82)</f>
        <v/>
      </c>
      <c r="B3874" s="48" t="n"/>
      <c r="C3874" s="48" t="n"/>
    </row>
    <row r="3875" ht="18" customHeight="1" s="17">
      <c r="A3875" s="48">
        <f>IF(Generation!AI82="","",Generation!AI82)</f>
        <v/>
      </c>
      <c r="B3875" s="48" t="n"/>
      <c r="C3875" s="48" t="n"/>
    </row>
    <row r="3876" ht="18" customHeight="1" s="17">
      <c r="A3876" s="48">
        <f>IF(Generation!$B82,"        &lt;/render_choice&gt;","")</f>
        <v/>
      </c>
      <c r="B3876" s="48" t="n"/>
      <c r="C3876" s="48" t="n"/>
    </row>
    <row r="3877" ht="18" customHeight="1" s="17">
      <c r="A3877" s="48">
        <f>IF(Generation!$B82,"      &lt;/response_lid&gt;","")</f>
        <v/>
      </c>
      <c r="B3877" s="48" t="n"/>
      <c r="C3877" s="48" t="n"/>
    </row>
    <row r="3878" ht="18" customHeight="1" s="17">
      <c r="A3878" s="48">
        <f>IF(Generation!$B82,"    &lt;/presentation&gt;","")</f>
        <v/>
      </c>
      <c r="B3878" s="48" t="n"/>
      <c r="C3878" s="48" t="n"/>
    </row>
    <row r="3879" ht="18" customHeight="1" s="17">
      <c r="A3879" s="48">
        <f>IF(Generation!$B82,"    &lt;resprocessing&gt;","")</f>
        <v/>
      </c>
      <c r="B3879" s="48" t="n"/>
      <c r="C3879" s="48" t="n"/>
    </row>
    <row r="3880" ht="18" customHeight="1" s="17">
      <c r="A3880" s="48">
        <f>IF(Generation!$B82,"      &lt;outcomes&gt;&lt;decvar varname=""SCORE"" vartype=""Decimal"" minvalue=""0"" maxvalue="""&amp;Generation!$H82&amp;"""/&gt;&lt;/outcomes&gt;","")</f>
        <v/>
      </c>
      <c r="B3880" s="48" t="n"/>
      <c r="C3880" s="48" t="n"/>
    </row>
    <row r="3881" ht="18" customHeight="1" s="17">
      <c r="A3881" s="48">
        <f>IF(Generation!AJ82="","",Generation!AJ82)</f>
        <v/>
      </c>
      <c r="B3881" s="48" t="n"/>
      <c r="C3881" s="48" t="n"/>
    </row>
    <row r="3882" ht="18" customHeight="1" s="17">
      <c r="A3882" s="48">
        <f>IF(Generation!AK82="","",Generation!AK82)</f>
        <v/>
      </c>
      <c r="B3882" s="48" t="n"/>
      <c r="C3882" s="48" t="n"/>
    </row>
    <row r="3883" ht="18" customHeight="1" s="17">
      <c r="A3883" s="48">
        <f>IF(Generation!AL82="","",Generation!AL82)</f>
        <v/>
      </c>
      <c r="B3883" s="48" t="n"/>
      <c r="C3883" s="48" t="n"/>
    </row>
    <row r="3884" ht="18" customHeight="1" s="17">
      <c r="A3884" s="48">
        <f>IF(Generation!AM82="","",Generation!AM82)</f>
        <v/>
      </c>
      <c r="B3884" s="48" t="n"/>
      <c r="C3884" s="48" t="n"/>
    </row>
    <row r="3885" ht="18" customHeight="1" s="17">
      <c r="A3885" s="48">
        <f>IF(Generation!AN82="","",Generation!AN82)</f>
        <v/>
      </c>
      <c r="B3885" s="48" t="n"/>
      <c r="C3885" s="48" t="n"/>
    </row>
    <row r="3886" ht="18" customHeight="1" s="17">
      <c r="A3886" s="48">
        <f>IF(Generation!AO82="","",Generation!AO82)</f>
        <v/>
      </c>
      <c r="B3886" s="48" t="n"/>
      <c r="C3886" s="48" t="n"/>
    </row>
    <row r="3887" ht="18" customHeight="1" s="17">
      <c r="A3887" s="48">
        <f>IF(Generation!AP82="","",Generation!AP82)</f>
        <v/>
      </c>
      <c r="B3887" s="48" t="n"/>
      <c r="C3887" s="48" t="n"/>
    </row>
    <row r="3888" ht="18" customHeight="1" s="17">
      <c r="A3888" s="48">
        <f>IF(Generation!AQ82="","",Generation!AQ82)</f>
        <v/>
      </c>
      <c r="B3888" s="48" t="n"/>
      <c r="C3888" s="48" t="n"/>
    </row>
    <row r="3889" ht="18" customHeight="1" s="17">
      <c r="A3889" s="48">
        <f>IF(Generation!$B82,"    &lt;/resprocessing&gt;","")</f>
        <v/>
      </c>
      <c r="B3889" s="48" t="n"/>
      <c r="C3889" s="48" t="n"/>
    </row>
    <row r="3890" ht="18" customHeight="1" s="17">
      <c r="A3890" s="48">
        <f>IF(Generation!BB82="","",Generation!BB82)</f>
        <v/>
      </c>
      <c r="B3890" s="48" t="n"/>
      <c r="C3890" s="48" t="n"/>
    </row>
    <row r="3891" ht="18" customHeight="1" s="17">
      <c r="A3891" s="48">
        <f>IF(Generation!BC82="","",Generation!BC82)</f>
        <v/>
      </c>
      <c r="B3891" s="48" t="n"/>
      <c r="C3891" s="48" t="n"/>
    </row>
    <row r="3892" ht="18" customHeight="1" s="17">
      <c r="A3892" s="48">
        <f>IF(Generation!BD82="","",Generation!BD82)</f>
        <v/>
      </c>
      <c r="B3892" s="48" t="n"/>
      <c r="C3892" s="48" t="n"/>
    </row>
    <row r="3893" ht="18" customHeight="1" s="17">
      <c r="A3893" s="48">
        <f>IF(Generation!BE82="","",Generation!BE82)</f>
        <v/>
      </c>
      <c r="B3893" s="48" t="n"/>
      <c r="C3893" s="48" t="n"/>
    </row>
    <row r="3894" ht="18" customHeight="1" s="17">
      <c r="A3894" s="48">
        <f>IF(Generation!BF82="","",Generation!BF82)</f>
        <v/>
      </c>
      <c r="B3894" s="48" t="n"/>
      <c r="C3894" s="48" t="n"/>
    </row>
    <row r="3895" ht="18" customHeight="1" s="17">
      <c r="A3895" s="48">
        <f>IF(Generation!BG82="","",Generation!BG82)</f>
        <v/>
      </c>
      <c r="B3895" s="48" t="n"/>
      <c r="C3895" s="48" t="n"/>
    </row>
    <row r="3896" ht="18" customHeight="1" s="17">
      <c r="A3896" s="48">
        <f>IF(Generation!BH82="","",Generation!BH82)</f>
        <v/>
      </c>
      <c r="B3896" s="48" t="n"/>
      <c r="C3896" s="48" t="n"/>
    </row>
    <row r="3897" ht="18" customHeight="1" s="17">
      <c r="A3897" s="48">
        <f>IF(Generation!BI82="","",Generation!BI82)</f>
        <v/>
      </c>
      <c r="B3897" s="48" t="n"/>
      <c r="C3897" s="48" t="n"/>
    </row>
    <row r="3898" ht="18" customHeight="1" s="17">
      <c r="A3898" s="48">
        <f>IF(Generation!BJ82="","",Generation!BJ82)</f>
        <v/>
      </c>
      <c r="B3898" s="48" t="n"/>
      <c r="C3898" s="48" t="n"/>
    </row>
    <row r="3899" ht="18" customHeight="1" s="17">
      <c r="A3899" s="48">
        <f>IF(Generation!$B82,"  &lt;/item&gt;","")</f>
        <v/>
      </c>
      <c r="B3899" s="48" t="n"/>
      <c r="C3899" s="48" t="n"/>
    </row>
    <row r="3900" ht="18" customHeight="1" s="17">
      <c r="A3900" s="48">
        <f>""</f>
        <v/>
      </c>
      <c r="B3900" s="48" t="n"/>
      <c r="C3900" s="48" t="n"/>
    </row>
    <row r="3901" ht="18" customHeight="1" s="17">
      <c r="A3901" s="48">
        <f>""</f>
        <v/>
      </c>
      <c r="B3901" s="48" t="n"/>
      <c r="C3901" s="48" t="n"/>
    </row>
    <row r="3902" ht="18" customHeight="1" s="17">
      <c r="A3902" s="48">
        <f>""</f>
        <v/>
      </c>
      <c r="B3902" s="48" t="n"/>
      <c r="C3902" s="48" t="n"/>
    </row>
    <row r="3903" ht="18" customHeight="1" s="17">
      <c r="A3903" s="48">
        <f>""</f>
        <v/>
      </c>
      <c r="B3903" s="48" t="n"/>
      <c r="C3903" s="48" t="n"/>
    </row>
    <row r="3904" ht="18" customHeight="1" s="17">
      <c r="A3904" s="48">
        <f>IF(Generation!$B83,"  &lt;item ident=""il_0_qst_"&amp;TEXT(Generation!$A83,"000")&amp;""" title="""&amp;Generation!$F83&amp;"""&gt;","")</f>
        <v/>
      </c>
      <c r="B3904" s="48" t="n"/>
      <c r="C3904" s="48" t="n"/>
    </row>
    <row r="3905" ht="18" customHeight="1" s="17">
      <c r="A3905" s="48">
        <f>IF(Generation!$B83,"    &lt;duration&gt;P0Y0M0DT0H1M0S&lt;/duration&gt;","")</f>
        <v/>
      </c>
      <c r="B3905" s="48" t="n"/>
      <c r="C3905" s="48" t="n"/>
    </row>
    <row r="3906" ht="18" customHeight="1" s="17">
      <c r="A3906" s="48">
        <f>IF(Generation!$B83,"    &lt;itemmetadata&gt;","")</f>
        <v/>
      </c>
      <c r="B3906" s="48" t="n"/>
      <c r="C3906" s="48" t="n"/>
    </row>
    <row r="3907" ht="18" customHeight="1" s="17">
      <c r="A3907" s="48">
        <f>IF(Generation!$B83,"      &lt;qtimetadata&gt;","")</f>
        <v/>
      </c>
      <c r="B3907" s="48" t="n"/>
      <c r="C3907" s="48" t="n"/>
    </row>
    <row r="3908" ht="18" customHeight="1" s="17">
      <c r="A3908" s="48">
        <f>IF(Generation!$B83,"        &lt;qtimetadatafield&gt;&lt;fieldlabel&gt;ILIAS_VERSION&lt;/fieldlabel&gt;&lt;fieldentry&gt;8&lt;/fieldentry&gt;&lt;/qtimetadatafield&gt;","")</f>
        <v/>
      </c>
      <c r="B3908" s="48" t="n"/>
      <c r="C3908" s="48" t="n"/>
    </row>
    <row r="3909" ht="18" customHeight="1" s="17">
      <c r="A3909" s="48">
        <f>IF(Generation!$B83,"        &lt;qtimetadatafield&gt;&lt;fieldlabel&gt;QUESTIONTYPE&lt;/fieldlabel&gt;&lt;fieldentry&gt;"&amp;Generation!$D83&amp;"&lt;/fieldentry&gt;&lt;/qtimetadatafield&gt;","")</f>
        <v/>
      </c>
      <c r="B3909" s="48" t="n"/>
      <c r="C3909" s="48" t="n"/>
    </row>
    <row r="3910" ht="18" customHeight="1" s="17">
      <c r="A3910" s="48">
        <f>IF(Generation!$B83,"        &lt;qtimetadatafield&gt;&lt;fieldlabel&gt;AUTHOR&lt;/fieldlabel&gt;&lt;fieldentry&gt;"&amp;Generation!$AR83&amp;"&lt;/fieldentry&gt;&lt;/qtimetadatafield&gt;","")</f>
        <v/>
      </c>
      <c r="B3910" s="48" t="n"/>
      <c r="C3910" s="48" t="n"/>
    </row>
    <row r="3911" ht="18" customHeight="1" s="17">
      <c r="A3911" s="48">
        <f>IF(Generation!$B83,"        &lt;qtimetadatafield&gt;&lt;fieldlabel&gt;identicalScoring&lt;/fieldlabel&gt;&lt;fieldentry&gt;1&lt;/fieldentry&gt;&lt;/qtimetadatafield&gt;","")</f>
        <v/>
      </c>
      <c r="B3911" s="48" t="n"/>
      <c r="C3911" s="48" t="n"/>
    </row>
    <row r="3912" ht="18" customHeight="1" s="17">
      <c r="A3912" s="48">
        <f>IF(Generation!$B83,"      &lt;/qtimetadata&gt;","")</f>
        <v/>
      </c>
      <c r="B3912" s="48" t="n"/>
      <c r="C3912" s="48" t="n"/>
    </row>
    <row r="3913" ht="18" customHeight="1" s="17">
      <c r="A3913" s="48">
        <f>IF(Generation!$B83,"    &lt;/itemmetadata&gt;","")</f>
        <v/>
      </c>
      <c r="B3913" s="48" t="n"/>
      <c r="C3913" s="48" t="n"/>
    </row>
    <row r="3914" ht="18" customHeight="1" s="17">
      <c r="A3914" s="48">
        <f>IF(Generation!$B83,"    &lt;presentation label="""&amp;Generation!$F83&amp;"""&gt;","")</f>
        <v/>
      </c>
      <c r="B3914" s="48" t="n"/>
      <c r="C3914" s="48" t="n"/>
    </row>
    <row r="3915" ht="18" customHeight="1" s="17">
      <c r="A3915" s="48">
        <f>IF(Generation!$B83,"      &lt;material&gt;&lt;mattext texttype=""text/html""&gt;"&amp;Generation!$G83&amp;"&lt;/mattext&gt;&lt;/material&gt;","")</f>
        <v/>
      </c>
      <c r="B3915" s="48" t="n"/>
      <c r="C3915" s="48" t="n"/>
    </row>
    <row r="3916" ht="18" customHeight="1" s="17">
      <c r="A3916" s="48">
        <f>IF(Generation!$B83,"      &lt;response_lid ident=""RESPONSE"" rcardinality="""&amp;Generation!$E83&amp;"""&gt;","")</f>
        <v/>
      </c>
      <c r="B3916" s="48" t="n"/>
      <c r="C3916" s="48" t="n"/>
    </row>
    <row r="3917" ht="18" customHeight="1" s="17">
      <c r="A3917" s="48">
        <f>IF(Generation!$B83,"        &lt;render_choice shuffle=""No""&gt;","")</f>
        <v/>
      </c>
      <c r="B3917" s="48" t="n"/>
      <c r="C3917" s="48" t="n"/>
    </row>
    <row r="3918" ht="18" customHeight="1" s="17">
      <c r="A3918" s="48">
        <f>IF(Generation!AB83="","",Generation!AB83)</f>
        <v/>
      </c>
      <c r="B3918" s="48" t="n"/>
      <c r="C3918" s="48" t="n"/>
    </row>
    <row r="3919" ht="18" customHeight="1" s="17">
      <c r="A3919" s="48">
        <f>IF(Generation!AC83="","",Generation!AC83)</f>
        <v/>
      </c>
      <c r="B3919" s="48" t="n"/>
      <c r="C3919" s="48" t="n"/>
    </row>
    <row r="3920" ht="18" customHeight="1" s="17">
      <c r="A3920" s="48">
        <f>IF(Generation!AD83="","",Generation!AD83)</f>
        <v/>
      </c>
      <c r="B3920" s="48" t="n"/>
      <c r="C3920" s="48" t="n"/>
    </row>
    <row r="3921" ht="18" customHeight="1" s="17">
      <c r="A3921" s="48">
        <f>IF(Generation!AE83="","",Generation!AE83)</f>
        <v/>
      </c>
      <c r="B3921" s="48" t="n"/>
      <c r="C3921" s="48" t="n"/>
    </row>
    <row r="3922" ht="18" customHeight="1" s="17">
      <c r="A3922" s="48">
        <f>IF(Generation!AF83="","",Generation!AF83)</f>
        <v/>
      </c>
      <c r="B3922" s="48" t="n"/>
      <c r="C3922" s="48" t="n"/>
    </row>
    <row r="3923" ht="18" customHeight="1" s="17">
      <c r="A3923" s="48">
        <f>IF(Generation!AG83="","",Generation!AG83)</f>
        <v/>
      </c>
      <c r="B3923" s="48" t="n"/>
      <c r="C3923" s="48" t="n"/>
    </row>
    <row r="3924" ht="18" customHeight="1" s="17">
      <c r="A3924" s="48">
        <f>IF(Generation!AH83="","",Generation!AH83)</f>
        <v/>
      </c>
      <c r="B3924" s="48" t="n"/>
      <c r="C3924" s="48" t="n"/>
    </row>
    <row r="3925" ht="18" customHeight="1" s="17">
      <c r="A3925" s="48">
        <f>IF(Generation!AI83="","",Generation!AI83)</f>
        <v/>
      </c>
      <c r="B3925" s="48" t="n"/>
      <c r="C3925" s="48" t="n"/>
    </row>
    <row r="3926" ht="18" customHeight="1" s="17">
      <c r="A3926" s="48">
        <f>IF(Generation!$B83,"        &lt;/render_choice&gt;","")</f>
        <v/>
      </c>
      <c r="B3926" s="48" t="n"/>
      <c r="C3926" s="48" t="n"/>
    </row>
    <row r="3927" ht="18" customHeight="1" s="17">
      <c r="A3927" s="48">
        <f>IF(Generation!$B83,"      &lt;/response_lid&gt;","")</f>
        <v/>
      </c>
      <c r="B3927" s="48" t="n"/>
      <c r="C3927" s="48" t="n"/>
    </row>
    <row r="3928" ht="18" customHeight="1" s="17">
      <c r="A3928" s="48">
        <f>IF(Generation!$B83,"    &lt;/presentation&gt;","")</f>
        <v/>
      </c>
      <c r="B3928" s="48" t="n"/>
      <c r="C3928" s="48" t="n"/>
    </row>
    <row r="3929" ht="18" customHeight="1" s="17">
      <c r="A3929" s="48">
        <f>IF(Generation!$B83,"    &lt;resprocessing&gt;","")</f>
        <v/>
      </c>
      <c r="B3929" s="48" t="n"/>
      <c r="C3929" s="48" t="n"/>
    </row>
    <row r="3930" ht="18" customHeight="1" s="17">
      <c r="A3930" s="48">
        <f>IF(Generation!$B83,"      &lt;outcomes&gt;&lt;decvar varname=""SCORE"" vartype=""Decimal"" minvalue=""0"" maxvalue="""&amp;Generation!$H83&amp;"""/&gt;&lt;/outcomes&gt;","")</f>
        <v/>
      </c>
      <c r="B3930" s="48" t="n"/>
      <c r="C3930" s="48" t="n"/>
    </row>
    <row r="3931" ht="18" customHeight="1" s="17">
      <c r="A3931" s="48">
        <f>IF(Generation!AJ83="","",Generation!AJ83)</f>
        <v/>
      </c>
      <c r="B3931" s="48" t="n"/>
      <c r="C3931" s="48" t="n"/>
    </row>
    <row r="3932" ht="18" customHeight="1" s="17">
      <c r="A3932" s="48">
        <f>IF(Generation!AK83="","",Generation!AK83)</f>
        <v/>
      </c>
      <c r="B3932" s="48" t="n"/>
      <c r="C3932" s="48" t="n"/>
    </row>
    <row r="3933" ht="18" customHeight="1" s="17">
      <c r="A3933" s="48">
        <f>IF(Generation!AL83="","",Generation!AL83)</f>
        <v/>
      </c>
      <c r="B3933" s="48" t="n"/>
      <c r="C3933" s="48" t="n"/>
    </row>
    <row r="3934" ht="18" customHeight="1" s="17">
      <c r="A3934" s="48">
        <f>IF(Generation!AM83="","",Generation!AM83)</f>
        <v/>
      </c>
      <c r="B3934" s="48" t="n"/>
      <c r="C3934" s="48" t="n"/>
    </row>
    <row r="3935" ht="18" customHeight="1" s="17">
      <c r="A3935" s="48">
        <f>IF(Generation!AN83="","",Generation!AN83)</f>
        <v/>
      </c>
      <c r="B3935" s="48" t="n"/>
      <c r="C3935" s="48" t="n"/>
    </row>
    <row r="3936" ht="18" customHeight="1" s="17">
      <c r="A3936" s="48">
        <f>IF(Generation!AO83="","",Generation!AO83)</f>
        <v/>
      </c>
      <c r="B3936" s="48" t="n"/>
      <c r="C3936" s="48" t="n"/>
    </row>
    <row r="3937" ht="18" customHeight="1" s="17">
      <c r="A3937" s="48">
        <f>IF(Generation!AP83="","",Generation!AP83)</f>
        <v/>
      </c>
      <c r="B3937" s="48" t="n"/>
      <c r="C3937" s="48" t="n"/>
    </row>
    <row r="3938" ht="18" customHeight="1" s="17">
      <c r="A3938" s="48">
        <f>IF(Generation!AQ83="","",Generation!AQ83)</f>
        <v/>
      </c>
      <c r="B3938" s="48" t="n"/>
      <c r="C3938" s="48" t="n"/>
    </row>
    <row r="3939" ht="18" customHeight="1" s="17">
      <c r="A3939" s="48">
        <f>IF(Generation!$B83,"    &lt;/resprocessing&gt;","")</f>
        <v/>
      </c>
      <c r="B3939" s="48" t="n"/>
      <c r="C3939" s="48" t="n"/>
    </row>
    <row r="3940" ht="18" customHeight="1" s="17">
      <c r="A3940" s="48">
        <f>IF(Generation!BB83="","",Generation!BB83)</f>
        <v/>
      </c>
      <c r="B3940" s="48" t="n"/>
      <c r="C3940" s="48" t="n"/>
    </row>
    <row r="3941" ht="18" customHeight="1" s="17">
      <c r="A3941" s="48">
        <f>IF(Generation!BC83="","",Generation!BC83)</f>
        <v/>
      </c>
      <c r="B3941" s="48" t="n"/>
      <c r="C3941" s="48" t="n"/>
    </row>
    <row r="3942" ht="18" customHeight="1" s="17">
      <c r="A3942" s="48">
        <f>IF(Generation!BD83="","",Generation!BD83)</f>
        <v/>
      </c>
      <c r="B3942" s="48" t="n"/>
      <c r="C3942" s="48" t="n"/>
    </row>
    <row r="3943" ht="18" customHeight="1" s="17">
      <c r="A3943" s="48">
        <f>IF(Generation!BE83="","",Generation!BE83)</f>
        <v/>
      </c>
      <c r="B3943" s="48" t="n"/>
      <c r="C3943" s="48" t="n"/>
    </row>
    <row r="3944" ht="18" customHeight="1" s="17">
      <c r="A3944" s="48">
        <f>IF(Generation!BF83="","",Generation!BF83)</f>
        <v/>
      </c>
      <c r="B3944" s="48" t="n"/>
      <c r="C3944" s="48" t="n"/>
    </row>
    <row r="3945" ht="18" customHeight="1" s="17">
      <c r="A3945" s="48">
        <f>IF(Generation!BG83="","",Generation!BG83)</f>
        <v/>
      </c>
      <c r="B3945" s="48" t="n"/>
      <c r="C3945" s="48" t="n"/>
    </row>
    <row r="3946" ht="18" customHeight="1" s="17">
      <c r="A3946" s="48">
        <f>IF(Generation!BH83="","",Generation!BH83)</f>
        <v/>
      </c>
      <c r="B3946" s="48" t="n"/>
      <c r="C3946" s="48" t="n"/>
    </row>
    <row r="3947" ht="18" customHeight="1" s="17">
      <c r="A3947" s="48">
        <f>IF(Generation!BI83="","",Generation!BI83)</f>
        <v/>
      </c>
      <c r="B3947" s="48" t="n"/>
      <c r="C3947" s="48" t="n"/>
    </row>
    <row r="3948" ht="18" customHeight="1" s="17">
      <c r="A3948" s="48">
        <f>IF(Generation!BJ83="","",Generation!BJ83)</f>
        <v/>
      </c>
      <c r="B3948" s="48" t="n"/>
      <c r="C3948" s="48" t="n"/>
    </row>
    <row r="3949" ht="18" customHeight="1" s="17">
      <c r="A3949" s="48">
        <f>IF(Generation!$B83,"  &lt;/item&gt;","")</f>
        <v/>
      </c>
      <c r="B3949" s="48" t="n"/>
      <c r="C3949" s="48" t="n"/>
    </row>
    <row r="3950" ht="18" customHeight="1" s="17">
      <c r="A3950" s="48">
        <f>""</f>
        <v/>
      </c>
      <c r="B3950" s="48" t="n"/>
      <c r="C3950" s="48" t="n"/>
    </row>
    <row r="3951" ht="18" customHeight="1" s="17">
      <c r="A3951" s="48">
        <f>""</f>
        <v/>
      </c>
      <c r="B3951" s="48" t="n"/>
      <c r="C3951" s="48" t="n"/>
    </row>
    <row r="3952" ht="18" customHeight="1" s="17">
      <c r="A3952" s="48">
        <f>""</f>
        <v/>
      </c>
      <c r="B3952" s="48" t="n"/>
      <c r="C3952" s="48" t="n"/>
    </row>
    <row r="3953" ht="18" customHeight="1" s="17">
      <c r="A3953" s="48">
        <f>""</f>
        <v/>
      </c>
      <c r="B3953" s="48" t="n"/>
      <c r="C3953" s="48" t="n"/>
    </row>
    <row r="3954" ht="18" customHeight="1" s="17">
      <c r="A3954" s="48">
        <f>IF(Generation!$B84,"  &lt;item ident=""il_0_qst_"&amp;TEXT(Generation!$A84,"000")&amp;""" title="""&amp;Generation!$F84&amp;"""&gt;","")</f>
        <v/>
      </c>
      <c r="B3954" s="48" t="n"/>
      <c r="C3954" s="48" t="n"/>
    </row>
    <row r="3955" ht="18" customHeight="1" s="17">
      <c r="A3955" s="48">
        <f>IF(Generation!$B84,"    &lt;duration&gt;P0Y0M0DT0H1M0S&lt;/duration&gt;","")</f>
        <v/>
      </c>
      <c r="B3955" s="48" t="n"/>
      <c r="C3955" s="48" t="n"/>
    </row>
    <row r="3956" ht="18" customHeight="1" s="17">
      <c r="A3956" s="48">
        <f>IF(Generation!$B84,"    &lt;itemmetadata&gt;","")</f>
        <v/>
      </c>
      <c r="B3956" s="48" t="n"/>
      <c r="C3956" s="48" t="n"/>
    </row>
    <row r="3957" ht="18" customHeight="1" s="17">
      <c r="A3957" s="48">
        <f>IF(Generation!$B84,"      &lt;qtimetadata&gt;","")</f>
        <v/>
      </c>
      <c r="B3957" s="48" t="n"/>
      <c r="C3957" s="48" t="n"/>
    </row>
    <row r="3958" ht="18" customHeight="1" s="17">
      <c r="A3958" s="48">
        <f>IF(Generation!$B84,"        &lt;qtimetadatafield&gt;&lt;fieldlabel&gt;ILIAS_VERSION&lt;/fieldlabel&gt;&lt;fieldentry&gt;8&lt;/fieldentry&gt;&lt;/qtimetadatafield&gt;","")</f>
        <v/>
      </c>
      <c r="B3958" s="48" t="n"/>
      <c r="C3958" s="48" t="n"/>
    </row>
    <row r="3959" ht="18" customHeight="1" s="17">
      <c r="A3959" s="48">
        <f>IF(Generation!$B84,"        &lt;qtimetadatafield&gt;&lt;fieldlabel&gt;QUESTIONTYPE&lt;/fieldlabel&gt;&lt;fieldentry&gt;"&amp;Generation!$D84&amp;"&lt;/fieldentry&gt;&lt;/qtimetadatafield&gt;","")</f>
        <v/>
      </c>
      <c r="B3959" s="48" t="n"/>
      <c r="C3959" s="48" t="n"/>
    </row>
    <row r="3960" ht="18" customHeight="1" s="17">
      <c r="A3960" s="48">
        <f>IF(Generation!$B84,"        &lt;qtimetadatafield&gt;&lt;fieldlabel&gt;AUTHOR&lt;/fieldlabel&gt;&lt;fieldentry&gt;"&amp;Generation!$AR84&amp;"&lt;/fieldentry&gt;&lt;/qtimetadatafield&gt;","")</f>
        <v/>
      </c>
      <c r="B3960" s="48" t="n"/>
      <c r="C3960" s="48" t="n"/>
    </row>
    <row r="3961" ht="18" customHeight="1" s="17">
      <c r="A3961" s="48">
        <f>IF(Generation!$B84,"        &lt;qtimetadatafield&gt;&lt;fieldlabel&gt;identicalScoring&lt;/fieldlabel&gt;&lt;fieldentry&gt;1&lt;/fieldentry&gt;&lt;/qtimetadatafield&gt;","")</f>
        <v/>
      </c>
      <c r="B3961" s="48" t="n"/>
      <c r="C3961" s="48" t="n"/>
    </row>
    <row r="3962" ht="18" customHeight="1" s="17">
      <c r="A3962" s="48">
        <f>IF(Generation!$B84,"      &lt;/qtimetadata&gt;","")</f>
        <v/>
      </c>
      <c r="B3962" s="48" t="n"/>
      <c r="C3962" s="48" t="n"/>
    </row>
    <row r="3963" ht="18" customHeight="1" s="17">
      <c r="A3963" s="48">
        <f>IF(Generation!$B84,"    &lt;/itemmetadata&gt;","")</f>
        <v/>
      </c>
      <c r="B3963" s="48" t="n"/>
      <c r="C3963" s="48" t="n"/>
    </row>
    <row r="3964" ht="18" customHeight="1" s="17">
      <c r="A3964" s="48">
        <f>IF(Generation!$B84,"    &lt;presentation label="""&amp;Generation!$F84&amp;"""&gt;","")</f>
        <v/>
      </c>
      <c r="B3964" s="48" t="n"/>
      <c r="C3964" s="48" t="n"/>
    </row>
    <row r="3965" ht="18" customHeight="1" s="17">
      <c r="A3965" s="48">
        <f>IF(Generation!$B84,"      &lt;material&gt;&lt;mattext texttype=""text/html""&gt;"&amp;Generation!$G84&amp;"&lt;/mattext&gt;&lt;/material&gt;","")</f>
        <v/>
      </c>
      <c r="B3965" s="48" t="n"/>
      <c r="C3965" s="48" t="n"/>
    </row>
    <row r="3966" ht="18" customHeight="1" s="17">
      <c r="A3966" s="48">
        <f>IF(Generation!$B84,"      &lt;response_lid ident=""RESPONSE"" rcardinality="""&amp;Generation!$E84&amp;"""&gt;","")</f>
        <v/>
      </c>
      <c r="B3966" s="48" t="n"/>
      <c r="C3966" s="48" t="n"/>
    </row>
    <row r="3967" ht="18" customHeight="1" s="17">
      <c r="A3967" s="48">
        <f>IF(Generation!$B84,"        &lt;render_choice shuffle=""No""&gt;","")</f>
        <v/>
      </c>
      <c r="B3967" s="48" t="n"/>
      <c r="C3967" s="48" t="n"/>
    </row>
    <row r="3968" ht="18" customHeight="1" s="17">
      <c r="A3968" s="48">
        <f>IF(Generation!AB84="","",Generation!AB84)</f>
        <v/>
      </c>
      <c r="B3968" s="48" t="n"/>
      <c r="C3968" s="48" t="n"/>
    </row>
    <row r="3969" ht="18" customHeight="1" s="17">
      <c r="A3969" s="48">
        <f>IF(Generation!AC84="","",Generation!AC84)</f>
        <v/>
      </c>
      <c r="B3969" s="48" t="n"/>
      <c r="C3969" s="48" t="n"/>
    </row>
    <row r="3970" ht="18" customHeight="1" s="17">
      <c r="A3970" s="48">
        <f>IF(Generation!AD84="","",Generation!AD84)</f>
        <v/>
      </c>
      <c r="B3970" s="48" t="n"/>
      <c r="C3970" s="48" t="n"/>
    </row>
    <row r="3971" ht="18" customHeight="1" s="17">
      <c r="A3971" s="48">
        <f>IF(Generation!AE84="","",Generation!AE84)</f>
        <v/>
      </c>
      <c r="B3971" s="48" t="n"/>
      <c r="C3971" s="48" t="n"/>
    </row>
    <row r="3972" ht="18" customHeight="1" s="17">
      <c r="A3972" s="48">
        <f>IF(Generation!AF84="","",Generation!AF84)</f>
        <v/>
      </c>
      <c r="B3972" s="48" t="n"/>
      <c r="C3972" s="48" t="n"/>
    </row>
    <row r="3973" ht="18" customHeight="1" s="17">
      <c r="A3973" s="48">
        <f>IF(Generation!AG84="","",Generation!AG84)</f>
        <v/>
      </c>
      <c r="B3973" s="48" t="n"/>
      <c r="C3973" s="48" t="n"/>
    </row>
    <row r="3974" ht="18" customHeight="1" s="17">
      <c r="A3974" s="48">
        <f>IF(Generation!AH84="","",Generation!AH84)</f>
        <v/>
      </c>
      <c r="B3974" s="48" t="n"/>
      <c r="C3974" s="48" t="n"/>
    </row>
    <row r="3975" ht="18" customHeight="1" s="17">
      <c r="A3975" s="48">
        <f>IF(Generation!AI84="","",Generation!AI84)</f>
        <v/>
      </c>
      <c r="B3975" s="48" t="n"/>
      <c r="C3975" s="48" t="n"/>
    </row>
    <row r="3976" ht="18" customHeight="1" s="17">
      <c r="A3976" s="48">
        <f>IF(Generation!$B84,"        &lt;/render_choice&gt;","")</f>
        <v/>
      </c>
      <c r="B3976" s="48" t="n"/>
      <c r="C3976" s="48" t="n"/>
    </row>
    <row r="3977" ht="18" customHeight="1" s="17">
      <c r="A3977" s="48">
        <f>IF(Generation!$B84,"      &lt;/response_lid&gt;","")</f>
        <v/>
      </c>
      <c r="B3977" s="48" t="n"/>
      <c r="C3977" s="48" t="n"/>
    </row>
    <row r="3978" ht="18" customHeight="1" s="17">
      <c r="A3978" s="48">
        <f>IF(Generation!$B84,"    &lt;/presentation&gt;","")</f>
        <v/>
      </c>
      <c r="B3978" s="48" t="n"/>
      <c r="C3978" s="48" t="n"/>
    </row>
    <row r="3979" ht="18" customHeight="1" s="17">
      <c r="A3979" s="48">
        <f>IF(Generation!$B84,"    &lt;resprocessing&gt;","")</f>
        <v/>
      </c>
      <c r="B3979" s="48" t="n"/>
      <c r="C3979" s="48" t="n"/>
    </row>
    <row r="3980" ht="18" customHeight="1" s="17">
      <c r="A3980" s="48">
        <f>IF(Generation!$B84,"      &lt;outcomes&gt;&lt;decvar varname=""SCORE"" vartype=""Decimal"" minvalue=""0"" maxvalue="""&amp;Generation!$H84&amp;"""/&gt;&lt;/outcomes&gt;","")</f>
        <v/>
      </c>
      <c r="B3980" s="48" t="n"/>
      <c r="C3980" s="48" t="n"/>
    </row>
    <row r="3981" ht="18" customHeight="1" s="17">
      <c r="A3981" s="48">
        <f>IF(Generation!AJ84="","",Generation!AJ84)</f>
        <v/>
      </c>
      <c r="B3981" s="48" t="n"/>
      <c r="C3981" s="48" t="n"/>
    </row>
    <row r="3982" ht="18" customHeight="1" s="17">
      <c r="A3982" s="48">
        <f>IF(Generation!AK84="","",Generation!AK84)</f>
        <v/>
      </c>
      <c r="B3982" s="48" t="n"/>
      <c r="C3982" s="48" t="n"/>
    </row>
    <row r="3983" ht="18" customHeight="1" s="17">
      <c r="A3983" s="48">
        <f>IF(Generation!AL84="","",Generation!AL84)</f>
        <v/>
      </c>
      <c r="B3983" s="48" t="n"/>
      <c r="C3983" s="48" t="n"/>
    </row>
    <row r="3984" ht="18" customHeight="1" s="17">
      <c r="A3984" s="48">
        <f>IF(Generation!AM84="","",Generation!AM84)</f>
        <v/>
      </c>
      <c r="B3984" s="48" t="n"/>
      <c r="C3984" s="48" t="n"/>
    </row>
    <row r="3985" ht="18" customHeight="1" s="17">
      <c r="A3985" s="48">
        <f>IF(Generation!AN84="","",Generation!AN84)</f>
        <v/>
      </c>
      <c r="B3985" s="48" t="n"/>
      <c r="C3985" s="48" t="n"/>
    </row>
    <row r="3986" ht="18" customHeight="1" s="17">
      <c r="A3986" s="48">
        <f>IF(Generation!AO84="","",Generation!AO84)</f>
        <v/>
      </c>
      <c r="B3986" s="48" t="n"/>
      <c r="C3986" s="48" t="n"/>
    </row>
    <row r="3987" ht="18" customHeight="1" s="17">
      <c r="A3987" s="48">
        <f>IF(Generation!AP84="","",Generation!AP84)</f>
        <v/>
      </c>
      <c r="B3987" s="48" t="n"/>
      <c r="C3987" s="48" t="n"/>
    </row>
    <row r="3988" ht="18" customHeight="1" s="17">
      <c r="A3988" s="48">
        <f>IF(Generation!AQ84="","",Generation!AQ84)</f>
        <v/>
      </c>
      <c r="B3988" s="48" t="n"/>
      <c r="C3988" s="48" t="n"/>
    </row>
    <row r="3989" ht="18" customHeight="1" s="17">
      <c r="A3989" s="48">
        <f>IF(Generation!$B84,"    &lt;/resprocessing&gt;","")</f>
        <v/>
      </c>
      <c r="B3989" s="48" t="n"/>
      <c r="C3989" s="48" t="n"/>
    </row>
    <row r="3990" ht="18" customHeight="1" s="17">
      <c r="A3990" s="48">
        <f>IF(Generation!BB84="","",Generation!BB84)</f>
        <v/>
      </c>
      <c r="B3990" s="48" t="n"/>
      <c r="C3990" s="48" t="n"/>
    </row>
    <row r="3991" ht="18" customHeight="1" s="17">
      <c r="A3991" s="48">
        <f>IF(Generation!BC84="","",Generation!BC84)</f>
        <v/>
      </c>
      <c r="B3991" s="48" t="n"/>
      <c r="C3991" s="48" t="n"/>
    </row>
    <row r="3992" ht="18" customHeight="1" s="17">
      <c r="A3992" s="48">
        <f>IF(Generation!BD84="","",Generation!BD84)</f>
        <v/>
      </c>
      <c r="B3992" s="48" t="n"/>
      <c r="C3992" s="48" t="n"/>
    </row>
    <row r="3993" ht="18" customHeight="1" s="17">
      <c r="A3993" s="48">
        <f>IF(Generation!BE84="","",Generation!BE84)</f>
        <v/>
      </c>
      <c r="B3993" s="48" t="n"/>
      <c r="C3993" s="48" t="n"/>
    </row>
    <row r="3994" ht="18" customHeight="1" s="17">
      <c r="A3994" s="48">
        <f>IF(Generation!BF84="","",Generation!BF84)</f>
        <v/>
      </c>
      <c r="B3994" s="48" t="n"/>
      <c r="C3994" s="48" t="n"/>
    </row>
    <row r="3995" ht="18" customHeight="1" s="17">
      <c r="A3995" s="48">
        <f>IF(Generation!BG84="","",Generation!BG84)</f>
        <v/>
      </c>
      <c r="B3995" s="48" t="n"/>
      <c r="C3995" s="48" t="n"/>
    </row>
    <row r="3996" ht="18" customHeight="1" s="17">
      <c r="A3996" s="48">
        <f>IF(Generation!BH84="","",Generation!BH84)</f>
        <v/>
      </c>
      <c r="B3996" s="48" t="n"/>
      <c r="C3996" s="48" t="n"/>
    </row>
    <row r="3997" ht="18" customHeight="1" s="17">
      <c r="A3997" s="48">
        <f>IF(Generation!BI84="","",Generation!BI84)</f>
        <v/>
      </c>
      <c r="B3997" s="48" t="n"/>
      <c r="C3997" s="48" t="n"/>
    </row>
    <row r="3998" ht="18" customHeight="1" s="17">
      <c r="A3998" s="48">
        <f>IF(Generation!BJ84="","",Generation!BJ84)</f>
        <v/>
      </c>
      <c r="B3998" s="48" t="n"/>
      <c r="C3998" s="48" t="n"/>
    </row>
    <row r="3999" ht="18" customHeight="1" s="17">
      <c r="A3999" s="48">
        <f>IF(Generation!$B84,"  &lt;/item&gt;","")</f>
        <v/>
      </c>
      <c r="B3999" s="48" t="n"/>
      <c r="C3999" s="48" t="n"/>
    </row>
    <row r="4000" ht="18" customHeight="1" s="17">
      <c r="A4000" s="48">
        <f>""</f>
        <v/>
      </c>
      <c r="B4000" s="48" t="n"/>
      <c r="C4000" s="48" t="n"/>
    </row>
    <row r="4001" ht="18" customHeight="1" s="17">
      <c r="A4001" s="48">
        <f>""</f>
        <v/>
      </c>
      <c r="B4001" s="48" t="n"/>
      <c r="C4001" s="48" t="n"/>
    </row>
    <row r="4002" ht="18" customHeight="1" s="17">
      <c r="A4002" s="48">
        <f>""</f>
        <v/>
      </c>
      <c r="B4002" s="48" t="n"/>
      <c r="C4002" s="48" t="n"/>
    </row>
    <row r="4003" ht="18" customHeight="1" s="17">
      <c r="A4003" s="48">
        <f>""</f>
        <v/>
      </c>
      <c r="B4003" s="48" t="n"/>
      <c r="C4003" s="48" t="n"/>
    </row>
    <row r="4004" ht="18" customHeight="1" s="17">
      <c r="A4004" s="48">
        <f>IF(Generation!$B85,"  &lt;item ident=""il_0_qst_"&amp;TEXT(Generation!$A85,"000")&amp;""" title="""&amp;Generation!$F85&amp;"""&gt;","")</f>
        <v/>
      </c>
      <c r="B4004" s="48" t="n"/>
      <c r="C4004" s="48" t="n"/>
    </row>
    <row r="4005" ht="18" customHeight="1" s="17">
      <c r="A4005" s="48">
        <f>IF(Generation!$B85,"    &lt;duration&gt;P0Y0M0DT0H1M0S&lt;/duration&gt;","")</f>
        <v/>
      </c>
      <c r="B4005" s="48" t="n"/>
      <c r="C4005" s="48" t="n"/>
    </row>
    <row r="4006" ht="18" customHeight="1" s="17">
      <c r="A4006" s="48">
        <f>IF(Generation!$B85,"    &lt;itemmetadata&gt;","")</f>
        <v/>
      </c>
      <c r="B4006" s="48" t="n"/>
      <c r="C4006" s="48" t="n"/>
    </row>
    <row r="4007" ht="18" customHeight="1" s="17">
      <c r="A4007" s="48">
        <f>IF(Generation!$B85,"      &lt;qtimetadata&gt;","")</f>
        <v/>
      </c>
      <c r="B4007" s="48" t="n"/>
      <c r="C4007" s="48" t="n"/>
    </row>
    <row r="4008" ht="18" customHeight="1" s="17">
      <c r="A4008" s="48">
        <f>IF(Generation!$B85,"        &lt;qtimetadatafield&gt;&lt;fieldlabel&gt;ILIAS_VERSION&lt;/fieldlabel&gt;&lt;fieldentry&gt;8&lt;/fieldentry&gt;&lt;/qtimetadatafield&gt;","")</f>
        <v/>
      </c>
      <c r="B4008" s="48" t="n"/>
      <c r="C4008" s="48" t="n"/>
    </row>
    <row r="4009" ht="18" customHeight="1" s="17">
      <c r="A4009" s="48">
        <f>IF(Generation!$B85,"        &lt;qtimetadatafield&gt;&lt;fieldlabel&gt;QUESTIONTYPE&lt;/fieldlabel&gt;&lt;fieldentry&gt;"&amp;Generation!$D85&amp;"&lt;/fieldentry&gt;&lt;/qtimetadatafield&gt;","")</f>
        <v/>
      </c>
      <c r="B4009" s="48" t="n"/>
      <c r="C4009" s="48" t="n"/>
    </row>
    <row r="4010" ht="18" customHeight="1" s="17">
      <c r="A4010" s="48">
        <f>IF(Generation!$B85,"        &lt;qtimetadatafield&gt;&lt;fieldlabel&gt;AUTHOR&lt;/fieldlabel&gt;&lt;fieldentry&gt;"&amp;Generation!$AR85&amp;"&lt;/fieldentry&gt;&lt;/qtimetadatafield&gt;","")</f>
        <v/>
      </c>
      <c r="B4010" s="48" t="n"/>
      <c r="C4010" s="48" t="n"/>
    </row>
    <row r="4011" ht="18" customHeight="1" s="17">
      <c r="A4011" s="48">
        <f>IF(Generation!$B85,"        &lt;qtimetadatafield&gt;&lt;fieldlabel&gt;identicalScoring&lt;/fieldlabel&gt;&lt;fieldentry&gt;1&lt;/fieldentry&gt;&lt;/qtimetadatafield&gt;","")</f>
        <v/>
      </c>
      <c r="B4011" s="48" t="n"/>
      <c r="C4011" s="48" t="n"/>
    </row>
    <row r="4012" ht="18" customHeight="1" s="17">
      <c r="A4012" s="48">
        <f>IF(Generation!$B85,"      &lt;/qtimetadata&gt;","")</f>
        <v/>
      </c>
      <c r="B4012" s="48" t="n"/>
      <c r="C4012" s="48" t="n"/>
    </row>
    <row r="4013" ht="18" customHeight="1" s="17">
      <c r="A4013" s="48">
        <f>IF(Generation!$B85,"    &lt;/itemmetadata&gt;","")</f>
        <v/>
      </c>
      <c r="B4013" s="48" t="n"/>
      <c r="C4013" s="48" t="n"/>
    </row>
    <row r="4014" ht="18" customHeight="1" s="17">
      <c r="A4014" s="48">
        <f>IF(Generation!$B85,"    &lt;presentation label="""&amp;Generation!$F85&amp;"""&gt;","")</f>
        <v/>
      </c>
      <c r="B4014" s="48" t="n"/>
      <c r="C4014" s="48" t="n"/>
    </row>
    <row r="4015" ht="18" customHeight="1" s="17">
      <c r="A4015" s="48">
        <f>IF(Generation!$B85,"      &lt;material&gt;&lt;mattext texttype=""text/html""&gt;"&amp;Generation!$G85&amp;"&lt;/mattext&gt;&lt;/material&gt;","")</f>
        <v/>
      </c>
      <c r="B4015" s="48" t="n"/>
      <c r="C4015" s="48" t="n"/>
    </row>
    <row r="4016" ht="18" customHeight="1" s="17">
      <c r="A4016" s="48">
        <f>IF(Generation!$B85,"      &lt;response_lid ident=""RESPONSE"" rcardinality="""&amp;Generation!$E85&amp;"""&gt;","")</f>
        <v/>
      </c>
      <c r="B4016" s="48" t="n"/>
      <c r="C4016" s="48" t="n"/>
    </row>
    <row r="4017" ht="18" customHeight="1" s="17">
      <c r="A4017" s="48">
        <f>IF(Generation!$B85,"        &lt;render_choice shuffle=""No""&gt;","")</f>
        <v/>
      </c>
      <c r="B4017" s="48" t="n"/>
      <c r="C4017" s="48" t="n"/>
    </row>
    <row r="4018" ht="18" customHeight="1" s="17">
      <c r="A4018" s="48">
        <f>IF(Generation!AB85="","",Generation!AB85)</f>
        <v/>
      </c>
      <c r="B4018" s="48" t="n"/>
      <c r="C4018" s="48" t="n"/>
    </row>
    <row r="4019" ht="18" customHeight="1" s="17">
      <c r="A4019" s="48">
        <f>IF(Generation!AC85="","",Generation!AC85)</f>
        <v/>
      </c>
      <c r="B4019" s="48" t="n"/>
      <c r="C4019" s="48" t="n"/>
    </row>
    <row r="4020" ht="18" customHeight="1" s="17">
      <c r="A4020" s="48">
        <f>IF(Generation!AD85="","",Generation!AD85)</f>
        <v/>
      </c>
      <c r="B4020" s="48" t="n"/>
      <c r="C4020" s="48" t="n"/>
    </row>
    <row r="4021" ht="18" customHeight="1" s="17">
      <c r="A4021" s="48">
        <f>IF(Generation!AE85="","",Generation!AE85)</f>
        <v/>
      </c>
      <c r="B4021" s="48" t="n"/>
      <c r="C4021" s="48" t="n"/>
    </row>
    <row r="4022" ht="18" customHeight="1" s="17">
      <c r="A4022" s="48">
        <f>IF(Generation!AF85="","",Generation!AF85)</f>
        <v/>
      </c>
      <c r="B4022" s="48" t="n"/>
      <c r="C4022" s="48" t="n"/>
    </row>
    <row r="4023" ht="18" customHeight="1" s="17">
      <c r="A4023" s="48">
        <f>IF(Generation!AG85="","",Generation!AG85)</f>
        <v/>
      </c>
      <c r="B4023" s="48" t="n"/>
      <c r="C4023" s="48" t="n"/>
    </row>
    <row r="4024" ht="18" customHeight="1" s="17">
      <c r="A4024" s="48">
        <f>IF(Generation!AH85="","",Generation!AH85)</f>
        <v/>
      </c>
      <c r="B4024" s="48" t="n"/>
      <c r="C4024" s="48" t="n"/>
    </row>
    <row r="4025" ht="18" customHeight="1" s="17">
      <c r="A4025" s="48">
        <f>IF(Generation!AI85="","",Generation!AI85)</f>
        <v/>
      </c>
      <c r="B4025" s="48" t="n"/>
      <c r="C4025" s="48" t="n"/>
    </row>
    <row r="4026" ht="18" customHeight="1" s="17">
      <c r="A4026" s="48">
        <f>IF(Generation!$B85,"        &lt;/render_choice&gt;","")</f>
        <v/>
      </c>
      <c r="B4026" s="48" t="n"/>
      <c r="C4026" s="48" t="n"/>
    </row>
    <row r="4027" ht="18" customHeight="1" s="17">
      <c r="A4027" s="48">
        <f>IF(Generation!$B85,"      &lt;/response_lid&gt;","")</f>
        <v/>
      </c>
      <c r="B4027" s="48" t="n"/>
      <c r="C4027" s="48" t="n"/>
    </row>
    <row r="4028" ht="18" customHeight="1" s="17">
      <c r="A4028" s="48">
        <f>IF(Generation!$B85,"    &lt;/presentation&gt;","")</f>
        <v/>
      </c>
      <c r="B4028" s="48" t="n"/>
      <c r="C4028" s="48" t="n"/>
    </row>
    <row r="4029" ht="18" customHeight="1" s="17">
      <c r="A4029" s="48">
        <f>IF(Generation!$B85,"    &lt;resprocessing&gt;","")</f>
        <v/>
      </c>
      <c r="B4029" s="48" t="n"/>
      <c r="C4029" s="48" t="n"/>
    </row>
    <row r="4030" ht="18" customHeight="1" s="17">
      <c r="A4030" s="48">
        <f>IF(Generation!$B85,"      &lt;outcomes&gt;&lt;decvar varname=""SCORE"" vartype=""Decimal"" minvalue=""0"" maxvalue="""&amp;Generation!$H85&amp;"""/&gt;&lt;/outcomes&gt;","")</f>
        <v/>
      </c>
      <c r="B4030" s="48" t="n"/>
      <c r="C4030" s="48" t="n"/>
    </row>
    <row r="4031" ht="18" customHeight="1" s="17">
      <c r="A4031" s="48">
        <f>IF(Generation!AJ85="","",Generation!AJ85)</f>
        <v/>
      </c>
      <c r="B4031" s="48" t="n"/>
      <c r="C4031" s="48" t="n"/>
    </row>
    <row r="4032" ht="18" customHeight="1" s="17">
      <c r="A4032" s="48">
        <f>IF(Generation!AK85="","",Generation!AK85)</f>
        <v/>
      </c>
      <c r="B4032" s="48" t="n"/>
      <c r="C4032" s="48" t="n"/>
    </row>
    <row r="4033" ht="18" customHeight="1" s="17">
      <c r="A4033" s="48">
        <f>IF(Generation!AL85="","",Generation!AL85)</f>
        <v/>
      </c>
      <c r="B4033" s="48" t="n"/>
      <c r="C4033" s="48" t="n"/>
    </row>
    <row r="4034" ht="18" customHeight="1" s="17">
      <c r="A4034" s="48">
        <f>IF(Generation!AM85="","",Generation!AM85)</f>
        <v/>
      </c>
      <c r="B4034" s="48" t="n"/>
      <c r="C4034" s="48" t="n"/>
    </row>
    <row r="4035" ht="18" customHeight="1" s="17">
      <c r="A4035" s="48">
        <f>IF(Generation!AN85="","",Generation!AN85)</f>
        <v/>
      </c>
      <c r="B4035" s="48" t="n"/>
      <c r="C4035" s="48" t="n"/>
    </row>
    <row r="4036" ht="18" customHeight="1" s="17">
      <c r="A4036" s="48">
        <f>IF(Generation!AO85="","",Generation!AO85)</f>
        <v/>
      </c>
      <c r="B4036" s="48" t="n"/>
      <c r="C4036" s="48" t="n"/>
    </row>
    <row r="4037" ht="18" customHeight="1" s="17">
      <c r="A4037" s="48">
        <f>IF(Generation!AP85="","",Generation!AP85)</f>
        <v/>
      </c>
      <c r="B4037" s="48" t="n"/>
      <c r="C4037" s="48" t="n"/>
    </row>
    <row r="4038" ht="18" customHeight="1" s="17">
      <c r="A4038" s="48">
        <f>IF(Generation!AQ85="","",Generation!AQ85)</f>
        <v/>
      </c>
      <c r="B4038" s="48" t="n"/>
      <c r="C4038" s="48" t="n"/>
    </row>
    <row r="4039" ht="18" customHeight="1" s="17">
      <c r="A4039" s="48">
        <f>IF(Generation!$B85,"    &lt;/resprocessing&gt;","")</f>
        <v/>
      </c>
      <c r="B4039" s="48" t="n"/>
      <c r="C4039" s="48" t="n"/>
    </row>
    <row r="4040" ht="18" customHeight="1" s="17">
      <c r="A4040" s="48">
        <f>IF(Generation!BB85="","",Generation!BB85)</f>
        <v/>
      </c>
      <c r="B4040" s="48" t="n"/>
      <c r="C4040" s="48" t="n"/>
    </row>
    <row r="4041" ht="18" customHeight="1" s="17">
      <c r="A4041" s="48">
        <f>IF(Generation!BC85="","",Generation!BC85)</f>
        <v/>
      </c>
      <c r="B4041" s="48" t="n"/>
      <c r="C4041" s="48" t="n"/>
    </row>
    <row r="4042" ht="18" customHeight="1" s="17">
      <c r="A4042" s="48">
        <f>IF(Generation!BD85="","",Generation!BD85)</f>
        <v/>
      </c>
      <c r="B4042" s="48" t="n"/>
      <c r="C4042" s="48" t="n"/>
    </row>
    <row r="4043" ht="18" customHeight="1" s="17">
      <c r="A4043" s="48">
        <f>IF(Generation!BE85="","",Generation!BE85)</f>
        <v/>
      </c>
      <c r="B4043" s="48" t="n"/>
      <c r="C4043" s="48" t="n"/>
    </row>
    <row r="4044" ht="18" customHeight="1" s="17">
      <c r="A4044" s="48">
        <f>IF(Generation!BF85="","",Generation!BF85)</f>
        <v/>
      </c>
      <c r="B4044" s="48" t="n"/>
      <c r="C4044" s="48" t="n"/>
    </row>
    <row r="4045" ht="18" customHeight="1" s="17">
      <c r="A4045" s="48">
        <f>IF(Generation!BG85="","",Generation!BG85)</f>
        <v/>
      </c>
      <c r="B4045" s="48" t="n"/>
      <c r="C4045" s="48" t="n"/>
    </row>
    <row r="4046" ht="18" customHeight="1" s="17">
      <c r="A4046" s="48">
        <f>IF(Generation!BH85="","",Generation!BH85)</f>
        <v/>
      </c>
      <c r="B4046" s="48" t="n"/>
      <c r="C4046" s="48" t="n"/>
    </row>
    <row r="4047" ht="18" customHeight="1" s="17">
      <c r="A4047" s="48">
        <f>IF(Generation!BI85="","",Generation!BI85)</f>
        <v/>
      </c>
      <c r="B4047" s="48" t="n"/>
      <c r="C4047" s="48" t="n"/>
    </row>
    <row r="4048" ht="18" customHeight="1" s="17">
      <c r="A4048" s="48">
        <f>IF(Generation!BJ85="","",Generation!BJ85)</f>
        <v/>
      </c>
      <c r="B4048" s="48" t="n"/>
      <c r="C4048" s="48" t="n"/>
    </row>
    <row r="4049" ht="18" customHeight="1" s="17">
      <c r="A4049" s="48">
        <f>IF(Generation!$B85,"  &lt;/item&gt;","")</f>
        <v/>
      </c>
      <c r="B4049" s="48" t="n"/>
      <c r="C4049" s="48" t="n"/>
    </row>
    <row r="4050" ht="18" customHeight="1" s="17">
      <c r="A4050" s="48">
        <f>""</f>
        <v/>
      </c>
      <c r="B4050" s="48" t="n"/>
      <c r="C4050" s="48" t="n"/>
    </row>
    <row r="4051" ht="18" customHeight="1" s="17">
      <c r="A4051" s="48">
        <f>""</f>
        <v/>
      </c>
      <c r="B4051" s="48" t="n"/>
      <c r="C4051" s="48" t="n"/>
    </row>
    <row r="4052" ht="18" customHeight="1" s="17">
      <c r="A4052" s="48">
        <f>""</f>
        <v/>
      </c>
      <c r="B4052" s="48" t="n"/>
      <c r="C4052" s="48" t="n"/>
    </row>
    <row r="4053" ht="18" customHeight="1" s="17">
      <c r="A4053" s="48">
        <f>""</f>
        <v/>
      </c>
      <c r="B4053" s="48" t="n"/>
      <c r="C4053" s="48" t="n"/>
    </row>
    <row r="4054" ht="18" customHeight="1" s="17">
      <c r="A4054" s="48">
        <f>IF(Generation!$B86,"  &lt;item ident=""il_0_qst_"&amp;TEXT(Generation!$A86,"000")&amp;""" title="""&amp;Generation!$F86&amp;"""&gt;","")</f>
        <v/>
      </c>
      <c r="B4054" s="48" t="n"/>
      <c r="C4054" s="48" t="n"/>
    </row>
    <row r="4055" ht="18" customHeight="1" s="17">
      <c r="A4055" s="48">
        <f>IF(Generation!$B86,"    &lt;duration&gt;P0Y0M0DT0H1M0S&lt;/duration&gt;","")</f>
        <v/>
      </c>
      <c r="B4055" s="48" t="n"/>
      <c r="C4055" s="48" t="n"/>
    </row>
    <row r="4056" ht="18" customHeight="1" s="17">
      <c r="A4056" s="48">
        <f>IF(Generation!$B86,"    &lt;itemmetadata&gt;","")</f>
        <v/>
      </c>
      <c r="B4056" s="48" t="n"/>
      <c r="C4056" s="48" t="n"/>
    </row>
    <row r="4057" ht="18" customHeight="1" s="17">
      <c r="A4057" s="48">
        <f>IF(Generation!$B86,"      &lt;qtimetadata&gt;","")</f>
        <v/>
      </c>
      <c r="B4057" s="48" t="n"/>
      <c r="C4057" s="48" t="n"/>
    </row>
    <row r="4058" ht="18" customHeight="1" s="17">
      <c r="A4058" s="48">
        <f>IF(Generation!$B86,"        &lt;qtimetadatafield&gt;&lt;fieldlabel&gt;ILIAS_VERSION&lt;/fieldlabel&gt;&lt;fieldentry&gt;8&lt;/fieldentry&gt;&lt;/qtimetadatafield&gt;","")</f>
        <v/>
      </c>
      <c r="B4058" s="48" t="n"/>
      <c r="C4058" s="48" t="n"/>
    </row>
    <row r="4059" ht="18" customHeight="1" s="17">
      <c r="A4059" s="48">
        <f>IF(Generation!$B86,"        &lt;qtimetadatafield&gt;&lt;fieldlabel&gt;QUESTIONTYPE&lt;/fieldlabel&gt;&lt;fieldentry&gt;"&amp;Generation!$D86&amp;"&lt;/fieldentry&gt;&lt;/qtimetadatafield&gt;","")</f>
        <v/>
      </c>
      <c r="B4059" s="48" t="n"/>
      <c r="C4059" s="48" t="n"/>
    </row>
    <row r="4060" ht="18" customHeight="1" s="17">
      <c r="A4060" s="48">
        <f>IF(Generation!$B86,"        &lt;qtimetadatafield&gt;&lt;fieldlabel&gt;AUTHOR&lt;/fieldlabel&gt;&lt;fieldentry&gt;"&amp;Generation!$AR86&amp;"&lt;/fieldentry&gt;&lt;/qtimetadatafield&gt;","")</f>
        <v/>
      </c>
      <c r="B4060" s="48" t="n"/>
      <c r="C4060" s="48" t="n"/>
    </row>
    <row r="4061" ht="18" customHeight="1" s="17">
      <c r="A4061" s="48">
        <f>IF(Generation!$B86,"        &lt;qtimetadatafield&gt;&lt;fieldlabel&gt;identicalScoring&lt;/fieldlabel&gt;&lt;fieldentry&gt;1&lt;/fieldentry&gt;&lt;/qtimetadatafield&gt;","")</f>
        <v/>
      </c>
      <c r="B4061" s="48" t="n"/>
      <c r="C4061" s="48" t="n"/>
    </row>
    <row r="4062" ht="18" customHeight="1" s="17">
      <c r="A4062" s="48">
        <f>IF(Generation!$B86,"      &lt;/qtimetadata&gt;","")</f>
        <v/>
      </c>
      <c r="B4062" s="48" t="n"/>
      <c r="C4062" s="48" t="n"/>
    </row>
    <row r="4063" ht="18" customHeight="1" s="17">
      <c r="A4063" s="48">
        <f>IF(Generation!$B86,"    &lt;/itemmetadata&gt;","")</f>
        <v/>
      </c>
      <c r="B4063" s="48" t="n"/>
      <c r="C4063" s="48" t="n"/>
    </row>
    <row r="4064" ht="18" customHeight="1" s="17">
      <c r="A4064" s="48">
        <f>IF(Generation!$B86,"    &lt;presentation label="""&amp;Generation!$F86&amp;"""&gt;","")</f>
        <v/>
      </c>
      <c r="B4064" s="48" t="n"/>
      <c r="C4064" s="48" t="n"/>
    </row>
    <row r="4065" ht="18" customHeight="1" s="17">
      <c r="A4065" s="48">
        <f>IF(Generation!$B86,"      &lt;material&gt;&lt;mattext texttype=""text/html""&gt;"&amp;Generation!$G86&amp;"&lt;/mattext&gt;&lt;/material&gt;","")</f>
        <v/>
      </c>
      <c r="B4065" s="48" t="n"/>
      <c r="C4065" s="48" t="n"/>
    </row>
    <row r="4066" ht="18" customHeight="1" s="17">
      <c r="A4066" s="48">
        <f>IF(Generation!$B86,"      &lt;response_lid ident=""RESPONSE"" rcardinality="""&amp;Generation!$E86&amp;"""&gt;","")</f>
        <v/>
      </c>
      <c r="B4066" s="48" t="n"/>
      <c r="C4066" s="48" t="n"/>
    </row>
    <row r="4067" ht="18" customHeight="1" s="17">
      <c r="A4067" s="48">
        <f>IF(Generation!$B86,"        &lt;render_choice shuffle=""No""&gt;","")</f>
        <v/>
      </c>
      <c r="B4067" s="48" t="n"/>
      <c r="C4067" s="48" t="n"/>
    </row>
    <row r="4068" ht="18" customHeight="1" s="17">
      <c r="A4068" s="48">
        <f>IF(Generation!AB86="","",Generation!AB86)</f>
        <v/>
      </c>
      <c r="B4068" s="48" t="n"/>
      <c r="C4068" s="48" t="n"/>
    </row>
    <row r="4069" ht="18" customHeight="1" s="17">
      <c r="A4069" s="48">
        <f>IF(Generation!AC86="","",Generation!AC86)</f>
        <v/>
      </c>
      <c r="B4069" s="48" t="n"/>
      <c r="C4069" s="48" t="n"/>
    </row>
    <row r="4070" ht="18" customHeight="1" s="17">
      <c r="A4070" s="48">
        <f>IF(Generation!AD86="","",Generation!AD86)</f>
        <v/>
      </c>
      <c r="B4070" s="48" t="n"/>
      <c r="C4070" s="48" t="n"/>
    </row>
    <row r="4071" ht="18" customHeight="1" s="17">
      <c r="A4071" s="48">
        <f>IF(Generation!AE86="","",Generation!AE86)</f>
        <v/>
      </c>
      <c r="B4071" s="48" t="n"/>
      <c r="C4071" s="48" t="n"/>
    </row>
    <row r="4072" ht="18" customHeight="1" s="17">
      <c r="A4072" s="48">
        <f>IF(Generation!AF86="","",Generation!AF86)</f>
        <v/>
      </c>
      <c r="B4072" s="48" t="n"/>
      <c r="C4072" s="48" t="n"/>
    </row>
    <row r="4073" ht="18" customHeight="1" s="17">
      <c r="A4073" s="48">
        <f>IF(Generation!AG86="","",Generation!AG86)</f>
        <v/>
      </c>
      <c r="B4073" s="48" t="n"/>
      <c r="C4073" s="48" t="n"/>
    </row>
    <row r="4074" ht="18" customHeight="1" s="17">
      <c r="A4074" s="48">
        <f>IF(Generation!AH86="","",Generation!AH86)</f>
        <v/>
      </c>
      <c r="B4074" s="48" t="n"/>
      <c r="C4074" s="48" t="n"/>
    </row>
    <row r="4075" ht="18" customHeight="1" s="17">
      <c r="A4075" s="48">
        <f>IF(Generation!AI86="","",Generation!AI86)</f>
        <v/>
      </c>
      <c r="B4075" s="48" t="n"/>
      <c r="C4075" s="48" t="n"/>
    </row>
    <row r="4076" ht="18" customHeight="1" s="17">
      <c r="A4076" s="48">
        <f>IF(Generation!$B86,"        &lt;/render_choice&gt;","")</f>
        <v/>
      </c>
      <c r="B4076" s="48" t="n"/>
      <c r="C4076" s="48" t="n"/>
    </row>
    <row r="4077" ht="18" customHeight="1" s="17">
      <c r="A4077" s="48">
        <f>IF(Generation!$B86,"      &lt;/response_lid&gt;","")</f>
        <v/>
      </c>
      <c r="B4077" s="48" t="n"/>
      <c r="C4077" s="48" t="n"/>
    </row>
    <row r="4078" ht="18" customHeight="1" s="17">
      <c r="A4078" s="48">
        <f>IF(Generation!$B86,"    &lt;/presentation&gt;","")</f>
        <v/>
      </c>
      <c r="B4078" s="48" t="n"/>
      <c r="C4078" s="48" t="n"/>
    </row>
    <row r="4079" ht="18" customHeight="1" s="17">
      <c r="A4079" s="48">
        <f>IF(Generation!$B86,"    &lt;resprocessing&gt;","")</f>
        <v/>
      </c>
      <c r="B4079" s="48" t="n"/>
      <c r="C4079" s="48" t="n"/>
    </row>
    <row r="4080" ht="18" customHeight="1" s="17">
      <c r="A4080" s="48">
        <f>IF(Generation!$B86,"      &lt;outcomes&gt;&lt;decvar varname=""SCORE"" vartype=""Decimal"" minvalue=""0"" maxvalue="""&amp;Generation!$H86&amp;"""/&gt;&lt;/outcomes&gt;","")</f>
        <v/>
      </c>
      <c r="B4080" s="48" t="n"/>
      <c r="C4080" s="48" t="n"/>
    </row>
    <row r="4081" ht="18" customHeight="1" s="17">
      <c r="A4081" s="48">
        <f>IF(Generation!AJ86="","",Generation!AJ86)</f>
        <v/>
      </c>
      <c r="B4081" s="48" t="n"/>
      <c r="C4081" s="48" t="n"/>
    </row>
    <row r="4082" ht="18" customHeight="1" s="17">
      <c r="A4082" s="48">
        <f>IF(Generation!AK86="","",Generation!AK86)</f>
        <v/>
      </c>
      <c r="B4082" s="48" t="n"/>
      <c r="C4082" s="48" t="n"/>
    </row>
    <row r="4083" ht="18" customHeight="1" s="17">
      <c r="A4083" s="48">
        <f>IF(Generation!AL86="","",Generation!AL86)</f>
        <v/>
      </c>
      <c r="B4083" s="48" t="n"/>
      <c r="C4083" s="48" t="n"/>
    </row>
    <row r="4084" ht="18" customHeight="1" s="17">
      <c r="A4084" s="48">
        <f>IF(Generation!AM86="","",Generation!AM86)</f>
        <v/>
      </c>
      <c r="B4084" s="48" t="n"/>
      <c r="C4084" s="48" t="n"/>
    </row>
    <row r="4085" ht="18" customHeight="1" s="17">
      <c r="A4085" s="48">
        <f>IF(Generation!AN86="","",Generation!AN86)</f>
        <v/>
      </c>
      <c r="B4085" s="48" t="n"/>
      <c r="C4085" s="48" t="n"/>
    </row>
    <row r="4086" ht="18" customHeight="1" s="17">
      <c r="A4086" s="48">
        <f>IF(Generation!AO86="","",Generation!AO86)</f>
        <v/>
      </c>
      <c r="B4086" s="48" t="n"/>
      <c r="C4086" s="48" t="n"/>
    </row>
    <row r="4087" ht="18" customHeight="1" s="17">
      <c r="A4087" s="48">
        <f>IF(Generation!AP86="","",Generation!AP86)</f>
        <v/>
      </c>
      <c r="B4087" s="48" t="n"/>
      <c r="C4087" s="48" t="n"/>
    </row>
    <row r="4088" ht="18" customHeight="1" s="17">
      <c r="A4088" s="48">
        <f>IF(Generation!AQ86="","",Generation!AQ86)</f>
        <v/>
      </c>
      <c r="B4088" s="48" t="n"/>
      <c r="C4088" s="48" t="n"/>
    </row>
    <row r="4089" ht="18" customHeight="1" s="17">
      <c r="A4089" s="48">
        <f>IF(Generation!$B86,"    &lt;/resprocessing&gt;","")</f>
        <v/>
      </c>
      <c r="B4089" s="48" t="n"/>
      <c r="C4089" s="48" t="n"/>
    </row>
    <row r="4090" ht="18" customHeight="1" s="17">
      <c r="A4090" s="48">
        <f>IF(Generation!BB86="","",Generation!BB86)</f>
        <v/>
      </c>
      <c r="B4090" s="48" t="n"/>
      <c r="C4090" s="48" t="n"/>
    </row>
    <row r="4091" ht="18" customHeight="1" s="17">
      <c r="A4091" s="48">
        <f>IF(Generation!BC86="","",Generation!BC86)</f>
        <v/>
      </c>
      <c r="B4091" s="48" t="n"/>
      <c r="C4091" s="48" t="n"/>
    </row>
    <row r="4092" ht="18" customHeight="1" s="17">
      <c r="A4092" s="48">
        <f>IF(Generation!BD86="","",Generation!BD86)</f>
        <v/>
      </c>
      <c r="B4092" s="48" t="n"/>
      <c r="C4092" s="48" t="n"/>
    </row>
    <row r="4093" ht="18" customHeight="1" s="17">
      <c r="A4093" s="48">
        <f>IF(Generation!BE86="","",Generation!BE86)</f>
        <v/>
      </c>
      <c r="B4093" s="48" t="n"/>
      <c r="C4093" s="48" t="n"/>
    </row>
    <row r="4094" ht="18" customHeight="1" s="17">
      <c r="A4094" s="48">
        <f>IF(Generation!BF86="","",Generation!BF86)</f>
        <v/>
      </c>
      <c r="B4094" s="48" t="n"/>
      <c r="C4094" s="48" t="n"/>
    </row>
    <row r="4095" ht="18" customHeight="1" s="17">
      <c r="A4095" s="48">
        <f>IF(Generation!BG86="","",Generation!BG86)</f>
        <v/>
      </c>
      <c r="B4095" s="48" t="n"/>
      <c r="C4095" s="48" t="n"/>
    </row>
    <row r="4096" ht="18" customHeight="1" s="17">
      <c r="A4096" s="48">
        <f>IF(Generation!BH86="","",Generation!BH86)</f>
        <v/>
      </c>
      <c r="B4096" s="48" t="n"/>
      <c r="C4096" s="48" t="n"/>
    </row>
    <row r="4097" ht="18" customHeight="1" s="17">
      <c r="A4097" s="48">
        <f>IF(Generation!BI86="","",Generation!BI86)</f>
        <v/>
      </c>
      <c r="B4097" s="48" t="n"/>
      <c r="C4097" s="48" t="n"/>
    </row>
    <row r="4098" ht="18" customHeight="1" s="17">
      <c r="A4098" s="48">
        <f>IF(Generation!BJ86="","",Generation!BJ86)</f>
        <v/>
      </c>
      <c r="B4098" s="48" t="n"/>
      <c r="C4098" s="48" t="n"/>
    </row>
    <row r="4099" ht="18" customHeight="1" s="17">
      <c r="A4099" s="48">
        <f>IF(Generation!$B86,"  &lt;/item&gt;","")</f>
        <v/>
      </c>
      <c r="B4099" s="48" t="n"/>
      <c r="C4099" s="48" t="n"/>
    </row>
    <row r="4100" ht="18" customHeight="1" s="17">
      <c r="A4100" s="48">
        <f>""</f>
        <v/>
      </c>
      <c r="B4100" s="48" t="n"/>
      <c r="C4100" s="48" t="n"/>
    </row>
    <row r="4101" ht="18" customHeight="1" s="17">
      <c r="A4101" s="48">
        <f>""</f>
        <v/>
      </c>
      <c r="B4101" s="48" t="n"/>
      <c r="C4101" s="48" t="n"/>
    </row>
    <row r="4102" ht="18" customHeight="1" s="17">
      <c r="A4102" s="48">
        <f>""</f>
        <v/>
      </c>
      <c r="B4102" s="48" t="n"/>
      <c r="C4102" s="48" t="n"/>
    </row>
    <row r="4103" ht="18" customHeight="1" s="17">
      <c r="A4103" s="48">
        <f>""</f>
        <v/>
      </c>
      <c r="B4103" s="48" t="n"/>
      <c r="C4103" s="48" t="n"/>
    </row>
    <row r="4104" ht="18" customHeight="1" s="17">
      <c r="A4104" s="48">
        <f>IF(Generation!$B87,"  &lt;item ident=""il_0_qst_"&amp;TEXT(Generation!$A87,"000")&amp;""" title="""&amp;Generation!$F87&amp;"""&gt;","")</f>
        <v/>
      </c>
      <c r="B4104" s="48" t="n"/>
      <c r="C4104" s="48" t="n"/>
    </row>
    <row r="4105" ht="18" customHeight="1" s="17">
      <c r="A4105" s="48">
        <f>IF(Generation!$B87,"    &lt;duration&gt;P0Y0M0DT0H1M0S&lt;/duration&gt;","")</f>
        <v/>
      </c>
      <c r="B4105" s="48" t="n"/>
      <c r="C4105" s="48" t="n"/>
    </row>
    <row r="4106" ht="18" customHeight="1" s="17">
      <c r="A4106" s="48">
        <f>IF(Generation!$B87,"    &lt;itemmetadata&gt;","")</f>
        <v/>
      </c>
      <c r="B4106" s="48" t="n"/>
      <c r="C4106" s="48" t="n"/>
    </row>
    <row r="4107" ht="18" customHeight="1" s="17">
      <c r="A4107" s="48">
        <f>IF(Generation!$B87,"      &lt;qtimetadata&gt;","")</f>
        <v/>
      </c>
      <c r="B4107" s="48" t="n"/>
      <c r="C4107" s="48" t="n"/>
    </row>
    <row r="4108" ht="18" customHeight="1" s="17">
      <c r="A4108" s="48">
        <f>IF(Generation!$B87,"        &lt;qtimetadatafield&gt;&lt;fieldlabel&gt;ILIAS_VERSION&lt;/fieldlabel&gt;&lt;fieldentry&gt;8&lt;/fieldentry&gt;&lt;/qtimetadatafield&gt;","")</f>
        <v/>
      </c>
      <c r="B4108" s="48" t="n"/>
      <c r="C4108" s="48" t="n"/>
    </row>
    <row r="4109" ht="18" customHeight="1" s="17">
      <c r="A4109" s="48">
        <f>IF(Generation!$B87,"        &lt;qtimetadatafield&gt;&lt;fieldlabel&gt;QUESTIONTYPE&lt;/fieldlabel&gt;&lt;fieldentry&gt;"&amp;Generation!$D87&amp;"&lt;/fieldentry&gt;&lt;/qtimetadatafield&gt;","")</f>
        <v/>
      </c>
      <c r="B4109" s="48" t="n"/>
      <c r="C4109" s="48" t="n"/>
    </row>
    <row r="4110" ht="18" customHeight="1" s="17">
      <c r="A4110" s="48">
        <f>IF(Generation!$B87,"        &lt;qtimetadatafield&gt;&lt;fieldlabel&gt;AUTHOR&lt;/fieldlabel&gt;&lt;fieldentry&gt;"&amp;Generation!$AR87&amp;"&lt;/fieldentry&gt;&lt;/qtimetadatafield&gt;","")</f>
        <v/>
      </c>
      <c r="B4110" s="48" t="n"/>
      <c r="C4110" s="48" t="n"/>
    </row>
    <row r="4111" ht="18" customHeight="1" s="17">
      <c r="A4111" s="48">
        <f>IF(Generation!$B87,"        &lt;qtimetadatafield&gt;&lt;fieldlabel&gt;identicalScoring&lt;/fieldlabel&gt;&lt;fieldentry&gt;1&lt;/fieldentry&gt;&lt;/qtimetadatafield&gt;","")</f>
        <v/>
      </c>
      <c r="B4111" s="48" t="n"/>
      <c r="C4111" s="48" t="n"/>
    </row>
    <row r="4112" ht="18" customHeight="1" s="17">
      <c r="A4112" s="48">
        <f>IF(Generation!$B87,"      &lt;/qtimetadata&gt;","")</f>
        <v/>
      </c>
      <c r="B4112" s="48" t="n"/>
      <c r="C4112" s="48" t="n"/>
    </row>
    <row r="4113" ht="18" customHeight="1" s="17">
      <c r="A4113" s="48">
        <f>IF(Generation!$B87,"    &lt;/itemmetadata&gt;","")</f>
        <v/>
      </c>
      <c r="B4113" s="48" t="n"/>
      <c r="C4113" s="48" t="n"/>
    </row>
    <row r="4114" ht="18" customHeight="1" s="17">
      <c r="A4114" s="48">
        <f>IF(Generation!$B87,"    &lt;presentation label="""&amp;Generation!$F87&amp;"""&gt;","")</f>
        <v/>
      </c>
      <c r="B4114" s="48" t="n"/>
      <c r="C4114" s="48" t="n"/>
    </row>
    <row r="4115" ht="18" customHeight="1" s="17">
      <c r="A4115" s="48">
        <f>IF(Generation!$B87,"      &lt;material&gt;&lt;mattext texttype=""text/html""&gt;"&amp;Generation!$G87&amp;"&lt;/mattext&gt;&lt;/material&gt;","")</f>
        <v/>
      </c>
      <c r="B4115" s="48" t="n"/>
      <c r="C4115" s="48" t="n"/>
    </row>
    <row r="4116" ht="18" customHeight="1" s="17">
      <c r="A4116" s="48">
        <f>IF(Generation!$B87,"      &lt;response_lid ident=""RESPONSE"" rcardinality="""&amp;Generation!$E87&amp;"""&gt;","")</f>
        <v/>
      </c>
      <c r="B4116" s="48" t="n"/>
      <c r="C4116" s="48" t="n"/>
    </row>
    <row r="4117" ht="18" customHeight="1" s="17">
      <c r="A4117" s="48">
        <f>IF(Generation!$B87,"        &lt;render_choice shuffle=""No""&gt;","")</f>
        <v/>
      </c>
      <c r="B4117" s="48" t="n"/>
      <c r="C4117" s="48" t="n"/>
    </row>
    <row r="4118" ht="18" customHeight="1" s="17">
      <c r="A4118" s="48">
        <f>IF(Generation!AB87="","",Generation!AB87)</f>
        <v/>
      </c>
      <c r="B4118" s="48" t="n"/>
      <c r="C4118" s="48" t="n"/>
    </row>
    <row r="4119" ht="18" customHeight="1" s="17">
      <c r="A4119" s="48">
        <f>IF(Generation!AC87="","",Generation!AC87)</f>
        <v/>
      </c>
      <c r="B4119" s="48" t="n"/>
      <c r="C4119" s="48" t="n"/>
    </row>
    <row r="4120" ht="18" customHeight="1" s="17">
      <c r="A4120" s="48">
        <f>IF(Generation!AD87="","",Generation!AD87)</f>
        <v/>
      </c>
      <c r="B4120" s="48" t="n"/>
      <c r="C4120" s="48" t="n"/>
    </row>
    <row r="4121" ht="18" customHeight="1" s="17">
      <c r="A4121" s="48">
        <f>IF(Generation!AE87="","",Generation!AE87)</f>
        <v/>
      </c>
      <c r="B4121" s="48" t="n"/>
      <c r="C4121" s="48" t="n"/>
    </row>
    <row r="4122" ht="18" customHeight="1" s="17">
      <c r="A4122" s="48">
        <f>IF(Generation!AF87="","",Generation!AF87)</f>
        <v/>
      </c>
      <c r="B4122" s="48" t="n"/>
      <c r="C4122" s="48" t="n"/>
    </row>
    <row r="4123" ht="18" customHeight="1" s="17">
      <c r="A4123" s="48">
        <f>IF(Generation!AG87="","",Generation!AG87)</f>
        <v/>
      </c>
      <c r="B4123" s="48" t="n"/>
      <c r="C4123" s="48" t="n"/>
    </row>
    <row r="4124" ht="18" customHeight="1" s="17">
      <c r="A4124" s="48">
        <f>IF(Generation!AH87="","",Generation!AH87)</f>
        <v/>
      </c>
      <c r="B4124" s="48" t="n"/>
      <c r="C4124" s="48" t="n"/>
    </row>
    <row r="4125" ht="18" customHeight="1" s="17">
      <c r="A4125" s="48">
        <f>IF(Generation!AI87="","",Generation!AI87)</f>
        <v/>
      </c>
      <c r="B4125" s="48" t="n"/>
      <c r="C4125" s="48" t="n"/>
    </row>
    <row r="4126" ht="18" customHeight="1" s="17">
      <c r="A4126" s="48">
        <f>IF(Generation!$B87,"        &lt;/render_choice&gt;","")</f>
        <v/>
      </c>
      <c r="B4126" s="48" t="n"/>
      <c r="C4126" s="48" t="n"/>
    </row>
    <row r="4127" ht="18" customHeight="1" s="17">
      <c r="A4127" s="48">
        <f>IF(Generation!$B87,"      &lt;/response_lid&gt;","")</f>
        <v/>
      </c>
      <c r="B4127" s="48" t="n"/>
      <c r="C4127" s="48" t="n"/>
    </row>
    <row r="4128" ht="18" customHeight="1" s="17">
      <c r="A4128" s="48">
        <f>IF(Generation!$B87,"    &lt;/presentation&gt;","")</f>
        <v/>
      </c>
      <c r="B4128" s="48" t="n"/>
      <c r="C4128" s="48" t="n"/>
    </row>
    <row r="4129" ht="18" customHeight="1" s="17">
      <c r="A4129" s="48">
        <f>IF(Generation!$B87,"    &lt;resprocessing&gt;","")</f>
        <v/>
      </c>
      <c r="B4129" s="48" t="n"/>
      <c r="C4129" s="48" t="n"/>
    </row>
    <row r="4130" ht="18" customHeight="1" s="17">
      <c r="A4130" s="48">
        <f>IF(Generation!$B87,"      &lt;outcomes&gt;&lt;decvar varname=""SCORE"" vartype=""Decimal"" minvalue=""0"" maxvalue="""&amp;Generation!$H87&amp;"""/&gt;&lt;/outcomes&gt;","")</f>
        <v/>
      </c>
      <c r="B4130" s="48" t="n"/>
      <c r="C4130" s="48" t="n"/>
    </row>
    <row r="4131" ht="18" customHeight="1" s="17">
      <c r="A4131" s="48">
        <f>IF(Generation!AJ87="","",Generation!AJ87)</f>
        <v/>
      </c>
      <c r="B4131" s="48" t="n"/>
      <c r="C4131" s="48" t="n"/>
    </row>
    <row r="4132" ht="18" customHeight="1" s="17">
      <c r="A4132" s="48">
        <f>IF(Generation!AK87="","",Generation!AK87)</f>
        <v/>
      </c>
      <c r="B4132" s="48" t="n"/>
      <c r="C4132" s="48" t="n"/>
    </row>
    <row r="4133" ht="18" customHeight="1" s="17">
      <c r="A4133" s="48">
        <f>IF(Generation!AL87="","",Generation!AL87)</f>
        <v/>
      </c>
      <c r="B4133" s="48" t="n"/>
      <c r="C4133" s="48" t="n"/>
    </row>
    <row r="4134" ht="18" customHeight="1" s="17">
      <c r="A4134" s="48">
        <f>IF(Generation!AM87="","",Generation!AM87)</f>
        <v/>
      </c>
      <c r="B4134" s="48" t="n"/>
      <c r="C4134" s="48" t="n"/>
    </row>
    <row r="4135" ht="18" customHeight="1" s="17">
      <c r="A4135" s="48">
        <f>IF(Generation!AN87="","",Generation!AN87)</f>
        <v/>
      </c>
      <c r="B4135" s="48" t="n"/>
      <c r="C4135" s="48" t="n"/>
    </row>
    <row r="4136" ht="18" customHeight="1" s="17">
      <c r="A4136" s="48">
        <f>IF(Generation!AO87="","",Generation!AO87)</f>
        <v/>
      </c>
      <c r="B4136" s="48" t="n"/>
      <c r="C4136" s="48" t="n"/>
    </row>
    <row r="4137" ht="18" customHeight="1" s="17">
      <c r="A4137" s="48">
        <f>IF(Generation!AP87="","",Generation!AP87)</f>
        <v/>
      </c>
      <c r="B4137" s="48" t="n"/>
      <c r="C4137" s="48" t="n"/>
    </row>
    <row r="4138" ht="18" customHeight="1" s="17">
      <c r="A4138" s="48">
        <f>IF(Generation!AQ87="","",Generation!AQ87)</f>
        <v/>
      </c>
      <c r="B4138" s="48" t="n"/>
      <c r="C4138" s="48" t="n"/>
    </row>
    <row r="4139" ht="18" customHeight="1" s="17">
      <c r="A4139" s="48">
        <f>IF(Generation!$B87,"    &lt;/resprocessing&gt;","")</f>
        <v/>
      </c>
      <c r="B4139" s="48" t="n"/>
      <c r="C4139" s="48" t="n"/>
    </row>
    <row r="4140" ht="18" customHeight="1" s="17">
      <c r="A4140" s="48">
        <f>IF(Generation!BB87="","",Generation!BB87)</f>
        <v/>
      </c>
      <c r="B4140" s="48" t="n"/>
      <c r="C4140" s="48" t="n"/>
    </row>
    <row r="4141" ht="18" customHeight="1" s="17">
      <c r="A4141" s="48">
        <f>IF(Generation!BC87="","",Generation!BC87)</f>
        <v/>
      </c>
      <c r="B4141" s="48" t="n"/>
      <c r="C4141" s="48" t="n"/>
    </row>
    <row r="4142" ht="18" customHeight="1" s="17">
      <c r="A4142" s="48">
        <f>IF(Generation!BD87="","",Generation!BD87)</f>
        <v/>
      </c>
      <c r="B4142" s="48" t="n"/>
      <c r="C4142" s="48" t="n"/>
    </row>
    <row r="4143" ht="18" customHeight="1" s="17">
      <c r="A4143" s="48">
        <f>IF(Generation!BE87="","",Generation!BE87)</f>
        <v/>
      </c>
      <c r="B4143" s="48" t="n"/>
      <c r="C4143" s="48" t="n"/>
    </row>
    <row r="4144" ht="18" customHeight="1" s="17">
      <c r="A4144" s="48">
        <f>IF(Generation!BF87="","",Generation!BF87)</f>
        <v/>
      </c>
      <c r="B4144" s="48" t="n"/>
      <c r="C4144" s="48" t="n"/>
    </row>
    <row r="4145" ht="18" customHeight="1" s="17">
      <c r="A4145" s="48">
        <f>IF(Generation!BG87="","",Generation!BG87)</f>
        <v/>
      </c>
      <c r="B4145" s="48" t="n"/>
      <c r="C4145" s="48" t="n"/>
    </row>
    <row r="4146" ht="18" customHeight="1" s="17">
      <c r="A4146" s="48">
        <f>IF(Generation!BH87="","",Generation!BH87)</f>
        <v/>
      </c>
      <c r="B4146" s="48" t="n"/>
      <c r="C4146" s="48" t="n"/>
    </row>
    <row r="4147" ht="18" customHeight="1" s="17">
      <c r="A4147" s="48">
        <f>IF(Generation!BI87="","",Generation!BI87)</f>
        <v/>
      </c>
      <c r="B4147" s="48" t="n"/>
      <c r="C4147" s="48" t="n"/>
    </row>
    <row r="4148" ht="18" customHeight="1" s="17">
      <c r="A4148" s="48">
        <f>IF(Generation!BJ87="","",Generation!BJ87)</f>
        <v/>
      </c>
      <c r="B4148" s="48" t="n"/>
      <c r="C4148" s="48" t="n"/>
    </row>
    <row r="4149" ht="18" customHeight="1" s="17">
      <c r="A4149" s="48">
        <f>IF(Generation!$B87,"  &lt;/item&gt;","")</f>
        <v/>
      </c>
      <c r="B4149" s="48" t="n"/>
      <c r="C4149" s="48" t="n"/>
    </row>
    <row r="4150" ht="18" customHeight="1" s="17">
      <c r="A4150" s="48">
        <f>""</f>
        <v/>
      </c>
      <c r="B4150" s="48" t="n"/>
      <c r="C4150" s="48" t="n"/>
    </row>
    <row r="4151" ht="18" customHeight="1" s="17">
      <c r="A4151" s="48">
        <f>""</f>
        <v/>
      </c>
      <c r="B4151" s="48" t="n"/>
      <c r="C4151" s="48" t="n"/>
    </row>
    <row r="4152" ht="18" customHeight="1" s="17">
      <c r="A4152" s="48">
        <f>""</f>
        <v/>
      </c>
      <c r="B4152" s="48" t="n"/>
      <c r="C4152" s="48" t="n"/>
    </row>
    <row r="4153" ht="18" customHeight="1" s="17">
      <c r="A4153" s="48">
        <f>""</f>
        <v/>
      </c>
      <c r="B4153" s="48" t="n"/>
      <c r="C4153" s="48" t="n"/>
    </row>
    <row r="4154" ht="18" customHeight="1" s="17">
      <c r="A4154" s="48">
        <f>IF(Generation!$B88,"  &lt;item ident=""il_0_qst_"&amp;TEXT(Generation!$A88,"000")&amp;""" title="""&amp;Generation!$F88&amp;"""&gt;","")</f>
        <v/>
      </c>
      <c r="B4154" s="48" t="n"/>
      <c r="C4154" s="48" t="n"/>
    </row>
    <row r="4155" ht="18" customHeight="1" s="17">
      <c r="A4155" s="48">
        <f>IF(Generation!$B88,"    &lt;duration&gt;P0Y0M0DT0H1M0S&lt;/duration&gt;","")</f>
        <v/>
      </c>
      <c r="B4155" s="48" t="n"/>
      <c r="C4155" s="48" t="n"/>
    </row>
    <row r="4156" ht="18" customHeight="1" s="17">
      <c r="A4156" s="48">
        <f>IF(Generation!$B88,"    &lt;itemmetadata&gt;","")</f>
        <v/>
      </c>
      <c r="B4156" s="48" t="n"/>
      <c r="C4156" s="48" t="n"/>
    </row>
    <row r="4157" ht="18" customHeight="1" s="17">
      <c r="A4157" s="48">
        <f>IF(Generation!$B88,"      &lt;qtimetadata&gt;","")</f>
        <v/>
      </c>
      <c r="B4157" s="48" t="n"/>
      <c r="C4157" s="48" t="n"/>
    </row>
    <row r="4158" ht="18" customHeight="1" s="17">
      <c r="A4158" s="48">
        <f>IF(Generation!$B88,"        &lt;qtimetadatafield&gt;&lt;fieldlabel&gt;ILIAS_VERSION&lt;/fieldlabel&gt;&lt;fieldentry&gt;8&lt;/fieldentry&gt;&lt;/qtimetadatafield&gt;","")</f>
        <v/>
      </c>
      <c r="B4158" s="48" t="n"/>
      <c r="C4158" s="48" t="n"/>
    </row>
    <row r="4159" ht="18" customHeight="1" s="17">
      <c r="A4159" s="48">
        <f>IF(Generation!$B88,"        &lt;qtimetadatafield&gt;&lt;fieldlabel&gt;QUESTIONTYPE&lt;/fieldlabel&gt;&lt;fieldentry&gt;"&amp;Generation!$D88&amp;"&lt;/fieldentry&gt;&lt;/qtimetadatafield&gt;","")</f>
        <v/>
      </c>
      <c r="B4159" s="48" t="n"/>
      <c r="C4159" s="48" t="n"/>
    </row>
    <row r="4160" ht="18" customHeight="1" s="17">
      <c r="A4160" s="48">
        <f>IF(Generation!$B88,"        &lt;qtimetadatafield&gt;&lt;fieldlabel&gt;AUTHOR&lt;/fieldlabel&gt;&lt;fieldentry&gt;"&amp;Generation!$AR88&amp;"&lt;/fieldentry&gt;&lt;/qtimetadatafield&gt;","")</f>
        <v/>
      </c>
      <c r="B4160" s="48" t="n"/>
      <c r="C4160" s="48" t="n"/>
    </row>
    <row r="4161" ht="18" customHeight="1" s="17">
      <c r="A4161" s="48">
        <f>IF(Generation!$B88,"        &lt;qtimetadatafield&gt;&lt;fieldlabel&gt;identicalScoring&lt;/fieldlabel&gt;&lt;fieldentry&gt;1&lt;/fieldentry&gt;&lt;/qtimetadatafield&gt;","")</f>
        <v/>
      </c>
      <c r="B4161" s="48" t="n"/>
      <c r="C4161" s="48" t="n"/>
    </row>
    <row r="4162" ht="18" customHeight="1" s="17">
      <c r="A4162" s="48">
        <f>IF(Generation!$B88,"      &lt;/qtimetadata&gt;","")</f>
        <v/>
      </c>
      <c r="B4162" s="48" t="n"/>
      <c r="C4162" s="48" t="n"/>
    </row>
    <row r="4163" ht="18" customHeight="1" s="17">
      <c r="A4163" s="48">
        <f>IF(Generation!$B88,"    &lt;/itemmetadata&gt;","")</f>
        <v/>
      </c>
      <c r="B4163" s="48" t="n"/>
      <c r="C4163" s="48" t="n"/>
    </row>
    <row r="4164" ht="18" customHeight="1" s="17">
      <c r="A4164" s="48">
        <f>IF(Generation!$B88,"    &lt;presentation label="""&amp;Generation!$F88&amp;"""&gt;","")</f>
        <v/>
      </c>
      <c r="B4164" s="48" t="n"/>
      <c r="C4164" s="48" t="n"/>
    </row>
    <row r="4165" ht="18" customHeight="1" s="17">
      <c r="A4165" s="48">
        <f>IF(Generation!$B88,"      &lt;material&gt;&lt;mattext texttype=""text/html""&gt;"&amp;Generation!$G88&amp;"&lt;/mattext&gt;&lt;/material&gt;","")</f>
        <v/>
      </c>
      <c r="B4165" s="48" t="n"/>
      <c r="C4165" s="48" t="n"/>
    </row>
    <row r="4166" ht="18" customHeight="1" s="17">
      <c r="A4166" s="48">
        <f>IF(Generation!$B88,"      &lt;response_lid ident=""RESPONSE"" rcardinality="""&amp;Generation!$E88&amp;"""&gt;","")</f>
        <v/>
      </c>
      <c r="B4166" s="48" t="n"/>
      <c r="C4166" s="48" t="n"/>
    </row>
    <row r="4167" ht="18" customHeight="1" s="17">
      <c r="A4167" s="48">
        <f>IF(Generation!$B88,"        &lt;render_choice shuffle=""No""&gt;","")</f>
        <v/>
      </c>
      <c r="B4167" s="48" t="n"/>
      <c r="C4167" s="48" t="n"/>
    </row>
    <row r="4168" ht="18" customHeight="1" s="17">
      <c r="A4168" s="48">
        <f>IF(Generation!AB88="","",Generation!AB88)</f>
        <v/>
      </c>
      <c r="B4168" s="48" t="n"/>
      <c r="C4168" s="48" t="n"/>
    </row>
    <row r="4169" ht="18" customHeight="1" s="17">
      <c r="A4169" s="48">
        <f>IF(Generation!AC88="","",Generation!AC88)</f>
        <v/>
      </c>
      <c r="B4169" s="48" t="n"/>
      <c r="C4169" s="48" t="n"/>
    </row>
    <row r="4170" ht="18" customHeight="1" s="17">
      <c r="A4170" s="48">
        <f>IF(Generation!AD88="","",Generation!AD88)</f>
        <v/>
      </c>
      <c r="B4170" s="48" t="n"/>
      <c r="C4170" s="48" t="n"/>
    </row>
    <row r="4171" ht="18" customHeight="1" s="17">
      <c r="A4171" s="48">
        <f>IF(Generation!AE88="","",Generation!AE88)</f>
        <v/>
      </c>
      <c r="B4171" s="48" t="n"/>
      <c r="C4171" s="48" t="n"/>
    </row>
    <row r="4172" ht="18" customHeight="1" s="17">
      <c r="A4172" s="48">
        <f>IF(Generation!AF88="","",Generation!AF88)</f>
        <v/>
      </c>
      <c r="B4172" s="48" t="n"/>
      <c r="C4172" s="48" t="n"/>
    </row>
    <row r="4173" ht="18" customHeight="1" s="17">
      <c r="A4173" s="48">
        <f>IF(Generation!AG88="","",Generation!AG88)</f>
        <v/>
      </c>
      <c r="B4173" s="48" t="n"/>
      <c r="C4173" s="48" t="n"/>
    </row>
    <row r="4174" ht="18" customHeight="1" s="17">
      <c r="A4174" s="48">
        <f>IF(Generation!AH88="","",Generation!AH88)</f>
        <v/>
      </c>
      <c r="B4174" s="48" t="n"/>
      <c r="C4174" s="48" t="n"/>
    </row>
    <row r="4175" ht="18" customHeight="1" s="17">
      <c r="A4175" s="48">
        <f>IF(Generation!AI88="","",Generation!AI88)</f>
        <v/>
      </c>
      <c r="B4175" s="48" t="n"/>
      <c r="C4175" s="48" t="n"/>
    </row>
    <row r="4176" ht="18" customHeight="1" s="17">
      <c r="A4176" s="48">
        <f>IF(Generation!$B88,"        &lt;/render_choice&gt;","")</f>
        <v/>
      </c>
      <c r="B4176" s="48" t="n"/>
      <c r="C4176" s="48" t="n"/>
    </row>
    <row r="4177" ht="18" customHeight="1" s="17">
      <c r="A4177" s="48">
        <f>IF(Generation!$B88,"      &lt;/response_lid&gt;","")</f>
        <v/>
      </c>
      <c r="B4177" s="48" t="n"/>
      <c r="C4177" s="48" t="n"/>
    </row>
    <row r="4178" ht="18" customHeight="1" s="17">
      <c r="A4178" s="48">
        <f>IF(Generation!$B88,"    &lt;/presentation&gt;","")</f>
        <v/>
      </c>
      <c r="B4178" s="48" t="n"/>
      <c r="C4178" s="48" t="n"/>
    </row>
    <row r="4179" ht="18" customHeight="1" s="17">
      <c r="A4179" s="48">
        <f>IF(Generation!$B88,"    &lt;resprocessing&gt;","")</f>
        <v/>
      </c>
      <c r="B4179" s="48" t="n"/>
      <c r="C4179" s="48" t="n"/>
    </row>
    <row r="4180" ht="18" customHeight="1" s="17">
      <c r="A4180" s="48">
        <f>IF(Generation!$B88,"      &lt;outcomes&gt;&lt;decvar varname=""SCORE"" vartype=""Decimal"" minvalue=""0"" maxvalue="""&amp;Generation!$H88&amp;"""/&gt;&lt;/outcomes&gt;","")</f>
        <v/>
      </c>
      <c r="B4180" s="48" t="n"/>
      <c r="C4180" s="48" t="n"/>
    </row>
    <row r="4181" ht="18" customHeight="1" s="17">
      <c r="A4181" s="48">
        <f>IF(Generation!AJ88="","",Generation!AJ88)</f>
        <v/>
      </c>
      <c r="B4181" s="48" t="n"/>
      <c r="C4181" s="48" t="n"/>
    </row>
    <row r="4182" ht="18" customHeight="1" s="17">
      <c r="A4182" s="48">
        <f>IF(Generation!AK88="","",Generation!AK88)</f>
        <v/>
      </c>
      <c r="B4182" s="48" t="n"/>
      <c r="C4182" s="48" t="n"/>
    </row>
    <row r="4183" ht="18" customHeight="1" s="17">
      <c r="A4183" s="48">
        <f>IF(Generation!AL88="","",Generation!AL88)</f>
        <v/>
      </c>
      <c r="B4183" s="48" t="n"/>
      <c r="C4183" s="48" t="n"/>
    </row>
    <row r="4184" ht="18" customHeight="1" s="17">
      <c r="A4184" s="48">
        <f>IF(Generation!AM88="","",Generation!AM88)</f>
        <v/>
      </c>
      <c r="B4184" s="48" t="n"/>
      <c r="C4184" s="48" t="n"/>
    </row>
    <row r="4185" ht="18" customHeight="1" s="17">
      <c r="A4185" s="48">
        <f>IF(Generation!AN88="","",Generation!AN88)</f>
        <v/>
      </c>
      <c r="B4185" s="48" t="n"/>
      <c r="C4185" s="48" t="n"/>
    </row>
    <row r="4186" ht="18" customHeight="1" s="17">
      <c r="A4186" s="48">
        <f>IF(Generation!AO88="","",Generation!AO88)</f>
        <v/>
      </c>
      <c r="B4186" s="48" t="n"/>
      <c r="C4186" s="48" t="n"/>
    </row>
    <row r="4187" ht="18" customHeight="1" s="17">
      <c r="A4187" s="48">
        <f>IF(Generation!AP88="","",Generation!AP88)</f>
        <v/>
      </c>
      <c r="B4187" s="48" t="n"/>
      <c r="C4187" s="48" t="n"/>
    </row>
    <row r="4188" ht="18" customHeight="1" s="17">
      <c r="A4188" s="48">
        <f>IF(Generation!AQ88="","",Generation!AQ88)</f>
        <v/>
      </c>
      <c r="B4188" s="48" t="n"/>
      <c r="C4188" s="48" t="n"/>
    </row>
    <row r="4189" ht="18" customHeight="1" s="17">
      <c r="A4189" s="48">
        <f>IF(Generation!$B88,"    &lt;/resprocessing&gt;","")</f>
        <v/>
      </c>
      <c r="B4189" s="48" t="n"/>
      <c r="C4189" s="48" t="n"/>
    </row>
    <row r="4190" ht="18" customHeight="1" s="17">
      <c r="A4190" s="48">
        <f>IF(Generation!BB88="","",Generation!BB88)</f>
        <v/>
      </c>
      <c r="B4190" s="48" t="n"/>
      <c r="C4190" s="48" t="n"/>
    </row>
    <row r="4191" ht="18" customHeight="1" s="17">
      <c r="A4191" s="48">
        <f>IF(Generation!BC88="","",Generation!BC88)</f>
        <v/>
      </c>
      <c r="B4191" s="48" t="n"/>
      <c r="C4191" s="48" t="n"/>
    </row>
    <row r="4192" ht="18" customHeight="1" s="17">
      <c r="A4192" s="48">
        <f>IF(Generation!BD88="","",Generation!BD88)</f>
        <v/>
      </c>
      <c r="B4192" s="48" t="n"/>
      <c r="C4192" s="48" t="n"/>
    </row>
    <row r="4193" ht="18" customHeight="1" s="17">
      <c r="A4193" s="48">
        <f>IF(Generation!BE88="","",Generation!BE88)</f>
        <v/>
      </c>
      <c r="B4193" s="48" t="n"/>
      <c r="C4193" s="48" t="n"/>
    </row>
    <row r="4194" ht="18" customHeight="1" s="17">
      <c r="A4194" s="48">
        <f>IF(Generation!BF88="","",Generation!BF88)</f>
        <v/>
      </c>
      <c r="B4194" s="48" t="n"/>
      <c r="C4194" s="48" t="n"/>
    </row>
    <row r="4195" ht="18" customHeight="1" s="17">
      <c r="A4195" s="48">
        <f>IF(Generation!BG88="","",Generation!BG88)</f>
        <v/>
      </c>
      <c r="B4195" s="48" t="n"/>
      <c r="C4195" s="48" t="n"/>
    </row>
    <row r="4196" ht="18" customHeight="1" s="17">
      <c r="A4196" s="48">
        <f>IF(Generation!BH88="","",Generation!BH88)</f>
        <v/>
      </c>
      <c r="B4196" s="48" t="n"/>
      <c r="C4196" s="48" t="n"/>
    </row>
    <row r="4197" ht="18" customHeight="1" s="17">
      <c r="A4197" s="48">
        <f>IF(Generation!BI88="","",Generation!BI88)</f>
        <v/>
      </c>
      <c r="B4197" s="48" t="n"/>
      <c r="C4197" s="48" t="n"/>
    </row>
    <row r="4198" ht="18" customHeight="1" s="17">
      <c r="A4198" s="48">
        <f>IF(Generation!BJ88="","",Generation!BJ88)</f>
        <v/>
      </c>
      <c r="B4198" s="48" t="n"/>
      <c r="C4198" s="48" t="n"/>
    </row>
    <row r="4199" ht="18" customHeight="1" s="17">
      <c r="A4199" s="48">
        <f>IF(Generation!$B88,"  &lt;/item&gt;","")</f>
        <v/>
      </c>
      <c r="B4199" s="48" t="n"/>
      <c r="C4199" s="48" t="n"/>
    </row>
    <row r="4200" ht="18" customHeight="1" s="17">
      <c r="A4200" s="48">
        <f>""</f>
        <v/>
      </c>
      <c r="B4200" s="48" t="n"/>
      <c r="C4200" s="48" t="n"/>
    </row>
    <row r="4201" ht="18" customHeight="1" s="17">
      <c r="A4201" s="48">
        <f>""</f>
        <v/>
      </c>
      <c r="B4201" s="48" t="n"/>
      <c r="C4201" s="48" t="n"/>
    </row>
    <row r="4202" ht="18" customHeight="1" s="17">
      <c r="A4202" s="48">
        <f>""</f>
        <v/>
      </c>
      <c r="B4202" s="48" t="n"/>
      <c r="C4202" s="48" t="n"/>
    </row>
    <row r="4203" ht="18" customHeight="1" s="17">
      <c r="A4203" s="48">
        <f>""</f>
        <v/>
      </c>
      <c r="B4203" s="48" t="n"/>
      <c r="C4203" s="48" t="n"/>
    </row>
    <row r="4204" ht="18" customHeight="1" s="17">
      <c r="A4204" s="48">
        <f>IF(Generation!$B89,"  &lt;item ident=""il_0_qst_"&amp;TEXT(Generation!$A89,"000")&amp;""" title="""&amp;Generation!$F89&amp;"""&gt;","")</f>
        <v/>
      </c>
      <c r="B4204" s="48" t="n"/>
      <c r="C4204" s="48" t="n"/>
    </row>
    <row r="4205" ht="18" customHeight="1" s="17">
      <c r="A4205" s="48">
        <f>IF(Generation!$B89,"    &lt;duration&gt;P0Y0M0DT0H1M0S&lt;/duration&gt;","")</f>
        <v/>
      </c>
      <c r="B4205" s="48" t="n"/>
      <c r="C4205" s="48" t="n"/>
    </row>
    <row r="4206" ht="18" customHeight="1" s="17">
      <c r="A4206" s="48">
        <f>IF(Generation!$B89,"    &lt;itemmetadata&gt;","")</f>
        <v/>
      </c>
      <c r="B4206" s="48" t="n"/>
      <c r="C4206" s="48" t="n"/>
    </row>
    <row r="4207" ht="18" customHeight="1" s="17">
      <c r="A4207" s="48">
        <f>IF(Generation!$B89,"      &lt;qtimetadata&gt;","")</f>
        <v/>
      </c>
      <c r="B4207" s="48" t="n"/>
      <c r="C4207" s="48" t="n"/>
    </row>
    <row r="4208" ht="18" customHeight="1" s="17">
      <c r="A4208" s="48">
        <f>IF(Generation!$B89,"        &lt;qtimetadatafield&gt;&lt;fieldlabel&gt;ILIAS_VERSION&lt;/fieldlabel&gt;&lt;fieldentry&gt;8&lt;/fieldentry&gt;&lt;/qtimetadatafield&gt;","")</f>
        <v/>
      </c>
      <c r="B4208" s="48" t="n"/>
      <c r="C4208" s="48" t="n"/>
    </row>
    <row r="4209" ht="18" customHeight="1" s="17">
      <c r="A4209" s="48">
        <f>IF(Generation!$B89,"        &lt;qtimetadatafield&gt;&lt;fieldlabel&gt;QUESTIONTYPE&lt;/fieldlabel&gt;&lt;fieldentry&gt;"&amp;Generation!$D89&amp;"&lt;/fieldentry&gt;&lt;/qtimetadatafield&gt;","")</f>
        <v/>
      </c>
      <c r="B4209" s="48" t="n"/>
      <c r="C4209" s="48" t="n"/>
    </row>
    <row r="4210" ht="18" customHeight="1" s="17">
      <c r="A4210" s="48">
        <f>IF(Generation!$B89,"        &lt;qtimetadatafield&gt;&lt;fieldlabel&gt;AUTHOR&lt;/fieldlabel&gt;&lt;fieldentry&gt;"&amp;Generation!$AR89&amp;"&lt;/fieldentry&gt;&lt;/qtimetadatafield&gt;","")</f>
        <v/>
      </c>
      <c r="B4210" s="48" t="n"/>
      <c r="C4210" s="48" t="n"/>
    </row>
    <row r="4211" ht="18" customHeight="1" s="17">
      <c r="A4211" s="48">
        <f>IF(Generation!$B89,"        &lt;qtimetadatafield&gt;&lt;fieldlabel&gt;identicalScoring&lt;/fieldlabel&gt;&lt;fieldentry&gt;1&lt;/fieldentry&gt;&lt;/qtimetadatafield&gt;","")</f>
        <v/>
      </c>
      <c r="B4211" s="48" t="n"/>
      <c r="C4211" s="48" t="n"/>
    </row>
    <row r="4212" ht="18" customHeight="1" s="17">
      <c r="A4212" s="48">
        <f>IF(Generation!$B89,"      &lt;/qtimetadata&gt;","")</f>
        <v/>
      </c>
      <c r="B4212" s="48" t="n"/>
      <c r="C4212" s="48" t="n"/>
    </row>
    <row r="4213" ht="18" customHeight="1" s="17">
      <c r="A4213" s="48">
        <f>IF(Generation!$B89,"    &lt;/itemmetadata&gt;","")</f>
        <v/>
      </c>
      <c r="B4213" s="48" t="n"/>
      <c r="C4213" s="48" t="n"/>
    </row>
    <row r="4214" ht="18" customHeight="1" s="17">
      <c r="A4214" s="48">
        <f>IF(Generation!$B89,"    &lt;presentation label="""&amp;Generation!$F89&amp;"""&gt;","")</f>
        <v/>
      </c>
      <c r="B4214" s="48" t="n"/>
      <c r="C4214" s="48" t="n"/>
    </row>
    <row r="4215" ht="18" customHeight="1" s="17">
      <c r="A4215" s="48">
        <f>IF(Generation!$B89,"      &lt;material&gt;&lt;mattext texttype=""text/html""&gt;"&amp;Generation!$G89&amp;"&lt;/mattext&gt;&lt;/material&gt;","")</f>
        <v/>
      </c>
      <c r="B4215" s="48" t="n"/>
      <c r="C4215" s="48" t="n"/>
    </row>
    <row r="4216" ht="18" customHeight="1" s="17">
      <c r="A4216" s="48">
        <f>IF(Generation!$B89,"      &lt;response_lid ident=""RESPONSE"" rcardinality="""&amp;Generation!$E89&amp;"""&gt;","")</f>
        <v/>
      </c>
      <c r="B4216" s="48" t="n"/>
      <c r="C4216" s="48" t="n"/>
    </row>
    <row r="4217" ht="18" customHeight="1" s="17">
      <c r="A4217" s="48">
        <f>IF(Generation!$B89,"        &lt;render_choice shuffle=""No""&gt;","")</f>
        <v/>
      </c>
      <c r="B4217" s="48" t="n"/>
      <c r="C4217" s="48" t="n"/>
    </row>
    <row r="4218" ht="18" customHeight="1" s="17">
      <c r="A4218" s="48">
        <f>IF(Generation!AB89="","",Generation!AB89)</f>
        <v/>
      </c>
      <c r="B4218" s="48" t="n"/>
      <c r="C4218" s="48" t="n"/>
    </row>
    <row r="4219" ht="18" customHeight="1" s="17">
      <c r="A4219" s="48">
        <f>IF(Generation!AC89="","",Generation!AC89)</f>
        <v/>
      </c>
      <c r="B4219" s="48" t="n"/>
      <c r="C4219" s="48" t="n"/>
    </row>
    <row r="4220" ht="18" customHeight="1" s="17">
      <c r="A4220" s="48">
        <f>IF(Generation!AD89="","",Generation!AD89)</f>
        <v/>
      </c>
      <c r="B4220" s="48" t="n"/>
      <c r="C4220" s="48" t="n"/>
    </row>
    <row r="4221" ht="18" customHeight="1" s="17">
      <c r="A4221" s="48">
        <f>IF(Generation!AE89="","",Generation!AE89)</f>
        <v/>
      </c>
      <c r="B4221" s="48" t="n"/>
      <c r="C4221" s="48" t="n"/>
    </row>
    <row r="4222" ht="18" customHeight="1" s="17">
      <c r="A4222" s="48">
        <f>IF(Generation!AF89="","",Generation!AF89)</f>
        <v/>
      </c>
      <c r="B4222" s="48" t="n"/>
      <c r="C4222" s="48" t="n"/>
    </row>
    <row r="4223" ht="18" customHeight="1" s="17">
      <c r="A4223" s="48">
        <f>IF(Generation!AG89="","",Generation!AG89)</f>
        <v/>
      </c>
      <c r="B4223" s="48" t="n"/>
      <c r="C4223" s="48" t="n"/>
    </row>
    <row r="4224" ht="18" customHeight="1" s="17">
      <c r="A4224" s="48">
        <f>IF(Generation!AH89="","",Generation!AH89)</f>
        <v/>
      </c>
      <c r="B4224" s="48" t="n"/>
      <c r="C4224" s="48" t="n"/>
    </row>
    <row r="4225" ht="18" customHeight="1" s="17">
      <c r="A4225" s="48">
        <f>IF(Generation!AI89="","",Generation!AI89)</f>
        <v/>
      </c>
      <c r="B4225" s="48" t="n"/>
      <c r="C4225" s="48" t="n"/>
    </row>
    <row r="4226" ht="18" customHeight="1" s="17">
      <c r="A4226" s="48">
        <f>IF(Generation!$B89,"        &lt;/render_choice&gt;","")</f>
        <v/>
      </c>
      <c r="B4226" s="48" t="n"/>
      <c r="C4226" s="48" t="n"/>
    </row>
    <row r="4227" ht="18" customHeight="1" s="17">
      <c r="A4227" s="48">
        <f>IF(Generation!$B89,"      &lt;/response_lid&gt;","")</f>
        <v/>
      </c>
      <c r="B4227" s="48" t="n"/>
      <c r="C4227" s="48" t="n"/>
    </row>
    <row r="4228" ht="18" customHeight="1" s="17">
      <c r="A4228" s="48">
        <f>IF(Generation!$B89,"    &lt;/presentation&gt;","")</f>
        <v/>
      </c>
      <c r="B4228" s="48" t="n"/>
      <c r="C4228" s="48" t="n"/>
    </row>
    <row r="4229" ht="18" customHeight="1" s="17">
      <c r="A4229" s="48">
        <f>IF(Generation!$B89,"    &lt;resprocessing&gt;","")</f>
        <v/>
      </c>
      <c r="B4229" s="48" t="n"/>
      <c r="C4229" s="48" t="n"/>
    </row>
    <row r="4230" ht="18" customHeight="1" s="17">
      <c r="A4230" s="48">
        <f>IF(Generation!$B89,"      &lt;outcomes&gt;&lt;decvar varname=""SCORE"" vartype=""Decimal"" minvalue=""0"" maxvalue="""&amp;Generation!$H89&amp;"""/&gt;&lt;/outcomes&gt;","")</f>
        <v/>
      </c>
      <c r="B4230" s="48" t="n"/>
      <c r="C4230" s="48" t="n"/>
    </row>
    <row r="4231" ht="18" customHeight="1" s="17">
      <c r="A4231" s="48">
        <f>IF(Generation!AJ89="","",Generation!AJ89)</f>
        <v/>
      </c>
      <c r="B4231" s="48" t="n"/>
      <c r="C4231" s="48" t="n"/>
    </row>
    <row r="4232" ht="18" customHeight="1" s="17">
      <c r="A4232" s="48">
        <f>IF(Generation!AK89="","",Generation!AK89)</f>
        <v/>
      </c>
      <c r="B4232" s="48" t="n"/>
      <c r="C4232" s="48" t="n"/>
    </row>
    <row r="4233" ht="18" customHeight="1" s="17">
      <c r="A4233" s="48">
        <f>IF(Generation!AL89="","",Generation!AL89)</f>
        <v/>
      </c>
      <c r="B4233" s="48" t="n"/>
      <c r="C4233" s="48" t="n"/>
    </row>
    <row r="4234" ht="18" customHeight="1" s="17">
      <c r="A4234" s="48">
        <f>IF(Generation!AM89="","",Generation!AM89)</f>
        <v/>
      </c>
      <c r="B4234" s="48" t="n"/>
      <c r="C4234" s="48" t="n"/>
    </row>
    <row r="4235" ht="18" customHeight="1" s="17">
      <c r="A4235" s="48">
        <f>IF(Generation!AN89="","",Generation!AN89)</f>
        <v/>
      </c>
      <c r="B4235" s="48" t="n"/>
      <c r="C4235" s="48" t="n"/>
    </row>
    <row r="4236" ht="18" customHeight="1" s="17">
      <c r="A4236" s="48">
        <f>IF(Generation!AO89="","",Generation!AO89)</f>
        <v/>
      </c>
      <c r="B4236" s="48" t="n"/>
      <c r="C4236" s="48" t="n"/>
    </row>
    <row r="4237" ht="18" customHeight="1" s="17">
      <c r="A4237" s="48">
        <f>IF(Generation!AP89="","",Generation!AP89)</f>
        <v/>
      </c>
      <c r="B4237" s="48" t="n"/>
      <c r="C4237" s="48" t="n"/>
    </row>
    <row r="4238" ht="18" customHeight="1" s="17">
      <c r="A4238" s="48">
        <f>IF(Generation!AQ89="","",Generation!AQ89)</f>
        <v/>
      </c>
      <c r="B4238" s="48" t="n"/>
      <c r="C4238" s="48" t="n"/>
    </row>
    <row r="4239" ht="18" customHeight="1" s="17">
      <c r="A4239" s="48">
        <f>IF(Generation!$B89,"    &lt;/resprocessing&gt;","")</f>
        <v/>
      </c>
      <c r="B4239" s="48" t="n"/>
      <c r="C4239" s="48" t="n"/>
    </row>
    <row r="4240" ht="18" customHeight="1" s="17">
      <c r="A4240" s="48">
        <f>IF(Generation!BB89="","",Generation!BB89)</f>
        <v/>
      </c>
      <c r="B4240" s="48" t="n"/>
      <c r="C4240" s="48" t="n"/>
    </row>
    <row r="4241" ht="18" customHeight="1" s="17">
      <c r="A4241" s="48">
        <f>IF(Generation!BC89="","",Generation!BC89)</f>
        <v/>
      </c>
      <c r="B4241" s="48" t="n"/>
      <c r="C4241" s="48" t="n"/>
    </row>
    <row r="4242" ht="18" customHeight="1" s="17">
      <c r="A4242" s="48">
        <f>IF(Generation!BD89="","",Generation!BD89)</f>
        <v/>
      </c>
      <c r="B4242" s="48" t="n"/>
      <c r="C4242" s="48" t="n"/>
    </row>
    <row r="4243" ht="18" customHeight="1" s="17">
      <c r="A4243" s="48">
        <f>IF(Generation!BE89="","",Generation!BE89)</f>
        <v/>
      </c>
      <c r="B4243" s="48" t="n"/>
      <c r="C4243" s="48" t="n"/>
    </row>
    <row r="4244" ht="18" customHeight="1" s="17">
      <c r="A4244" s="48">
        <f>IF(Generation!BF89="","",Generation!BF89)</f>
        <v/>
      </c>
      <c r="B4244" s="48" t="n"/>
      <c r="C4244" s="48" t="n"/>
    </row>
    <row r="4245" ht="18" customHeight="1" s="17">
      <c r="A4245" s="48">
        <f>IF(Generation!BG89="","",Generation!BG89)</f>
        <v/>
      </c>
      <c r="B4245" s="48" t="n"/>
      <c r="C4245" s="48" t="n"/>
    </row>
    <row r="4246" ht="18" customHeight="1" s="17">
      <c r="A4246" s="48">
        <f>IF(Generation!BH89="","",Generation!BH89)</f>
        <v/>
      </c>
      <c r="B4246" s="48" t="n"/>
      <c r="C4246" s="48" t="n"/>
    </row>
    <row r="4247" ht="18" customHeight="1" s="17">
      <c r="A4247" s="48">
        <f>IF(Generation!BI89="","",Generation!BI89)</f>
        <v/>
      </c>
      <c r="B4247" s="48" t="n"/>
      <c r="C4247" s="48" t="n"/>
    </row>
    <row r="4248" ht="18" customHeight="1" s="17">
      <c r="A4248" s="48">
        <f>IF(Generation!BJ89="","",Generation!BJ89)</f>
        <v/>
      </c>
      <c r="B4248" s="48" t="n"/>
      <c r="C4248" s="48" t="n"/>
    </row>
    <row r="4249" ht="18" customHeight="1" s="17">
      <c r="A4249" s="48">
        <f>IF(Generation!$B89,"  &lt;/item&gt;","")</f>
        <v/>
      </c>
      <c r="B4249" s="48" t="n"/>
      <c r="C4249" s="48" t="n"/>
    </row>
    <row r="4250" ht="18" customHeight="1" s="17">
      <c r="A4250" s="48">
        <f>""</f>
        <v/>
      </c>
      <c r="B4250" s="48" t="n"/>
      <c r="C4250" s="48" t="n"/>
    </row>
    <row r="4251" ht="18" customHeight="1" s="17">
      <c r="A4251" s="48">
        <f>""</f>
        <v/>
      </c>
      <c r="B4251" s="48" t="n"/>
      <c r="C4251" s="48" t="n"/>
    </row>
    <row r="4252" ht="18" customHeight="1" s="17">
      <c r="A4252" s="48">
        <f>""</f>
        <v/>
      </c>
      <c r="B4252" s="48" t="n"/>
      <c r="C4252" s="48" t="n"/>
    </row>
    <row r="4253" ht="18" customHeight="1" s="17">
      <c r="A4253" s="48">
        <f>""</f>
        <v/>
      </c>
      <c r="B4253" s="48" t="n"/>
      <c r="C4253" s="48" t="n"/>
    </row>
    <row r="4254" ht="18" customHeight="1" s="17">
      <c r="A4254" s="48">
        <f>IF(Generation!$B90,"  &lt;item ident=""il_0_qst_"&amp;TEXT(Generation!$A90,"000")&amp;""" title="""&amp;Generation!$F90&amp;"""&gt;","")</f>
        <v/>
      </c>
      <c r="B4254" s="48" t="n"/>
      <c r="C4254" s="48" t="n"/>
    </row>
    <row r="4255" ht="18" customHeight="1" s="17">
      <c r="A4255" s="48">
        <f>IF(Generation!$B90,"    &lt;duration&gt;P0Y0M0DT0H1M0S&lt;/duration&gt;","")</f>
        <v/>
      </c>
      <c r="B4255" s="48" t="n"/>
      <c r="C4255" s="48" t="n"/>
    </row>
    <row r="4256" ht="18" customHeight="1" s="17">
      <c r="A4256" s="48">
        <f>IF(Generation!$B90,"    &lt;itemmetadata&gt;","")</f>
        <v/>
      </c>
      <c r="B4256" s="48" t="n"/>
      <c r="C4256" s="48" t="n"/>
    </row>
    <row r="4257" ht="18" customHeight="1" s="17">
      <c r="A4257" s="48">
        <f>IF(Generation!$B90,"      &lt;qtimetadata&gt;","")</f>
        <v/>
      </c>
      <c r="B4257" s="48" t="n"/>
      <c r="C4257" s="48" t="n"/>
    </row>
    <row r="4258" ht="18" customHeight="1" s="17">
      <c r="A4258" s="48">
        <f>IF(Generation!$B90,"        &lt;qtimetadatafield&gt;&lt;fieldlabel&gt;ILIAS_VERSION&lt;/fieldlabel&gt;&lt;fieldentry&gt;8&lt;/fieldentry&gt;&lt;/qtimetadatafield&gt;","")</f>
        <v/>
      </c>
      <c r="B4258" s="48" t="n"/>
      <c r="C4258" s="48" t="n"/>
    </row>
    <row r="4259" ht="18" customHeight="1" s="17">
      <c r="A4259" s="48">
        <f>IF(Generation!$B90,"        &lt;qtimetadatafield&gt;&lt;fieldlabel&gt;QUESTIONTYPE&lt;/fieldlabel&gt;&lt;fieldentry&gt;"&amp;Generation!$D90&amp;"&lt;/fieldentry&gt;&lt;/qtimetadatafield&gt;","")</f>
        <v/>
      </c>
      <c r="B4259" s="48" t="n"/>
      <c r="C4259" s="48" t="n"/>
    </row>
    <row r="4260" ht="18" customHeight="1" s="17">
      <c r="A4260" s="48">
        <f>IF(Generation!$B90,"        &lt;qtimetadatafield&gt;&lt;fieldlabel&gt;AUTHOR&lt;/fieldlabel&gt;&lt;fieldentry&gt;"&amp;Generation!$AR90&amp;"&lt;/fieldentry&gt;&lt;/qtimetadatafield&gt;","")</f>
        <v/>
      </c>
      <c r="B4260" s="48" t="n"/>
      <c r="C4260" s="48" t="n"/>
    </row>
    <row r="4261" ht="18" customHeight="1" s="17">
      <c r="A4261" s="48">
        <f>IF(Generation!$B90,"        &lt;qtimetadatafield&gt;&lt;fieldlabel&gt;identicalScoring&lt;/fieldlabel&gt;&lt;fieldentry&gt;1&lt;/fieldentry&gt;&lt;/qtimetadatafield&gt;","")</f>
        <v/>
      </c>
      <c r="B4261" s="48" t="n"/>
      <c r="C4261" s="48" t="n"/>
    </row>
    <row r="4262" ht="18" customHeight="1" s="17">
      <c r="A4262" s="48">
        <f>IF(Generation!$B90,"      &lt;/qtimetadata&gt;","")</f>
        <v/>
      </c>
      <c r="B4262" s="48" t="n"/>
      <c r="C4262" s="48" t="n"/>
    </row>
    <row r="4263" ht="18" customHeight="1" s="17">
      <c r="A4263" s="48">
        <f>IF(Generation!$B90,"    &lt;/itemmetadata&gt;","")</f>
        <v/>
      </c>
      <c r="B4263" s="48" t="n"/>
      <c r="C4263" s="48" t="n"/>
    </row>
    <row r="4264" ht="18" customHeight="1" s="17">
      <c r="A4264" s="48">
        <f>IF(Generation!$B90,"    &lt;presentation label="""&amp;Generation!$F90&amp;"""&gt;","")</f>
        <v/>
      </c>
      <c r="B4264" s="48" t="n"/>
      <c r="C4264" s="48" t="n"/>
    </row>
    <row r="4265" ht="18" customHeight="1" s="17">
      <c r="A4265" s="48">
        <f>IF(Generation!$B90,"      &lt;material&gt;&lt;mattext texttype=""text/html""&gt;"&amp;Generation!$G90&amp;"&lt;/mattext&gt;&lt;/material&gt;","")</f>
        <v/>
      </c>
      <c r="B4265" s="48" t="n"/>
      <c r="C4265" s="48" t="n"/>
    </row>
    <row r="4266" ht="18" customHeight="1" s="17">
      <c r="A4266" s="48">
        <f>IF(Generation!$B90,"      &lt;response_lid ident=""RESPONSE"" rcardinality="""&amp;Generation!$E90&amp;"""&gt;","")</f>
        <v/>
      </c>
      <c r="B4266" s="48" t="n"/>
      <c r="C4266" s="48" t="n"/>
    </row>
    <row r="4267" ht="18" customHeight="1" s="17">
      <c r="A4267" s="48">
        <f>IF(Generation!$B90,"        &lt;render_choice shuffle=""No""&gt;","")</f>
        <v/>
      </c>
      <c r="B4267" s="48" t="n"/>
      <c r="C4267" s="48" t="n"/>
    </row>
    <row r="4268" ht="18" customHeight="1" s="17">
      <c r="A4268" s="48">
        <f>IF(Generation!AB90="","",Generation!AB90)</f>
        <v/>
      </c>
      <c r="B4268" s="48" t="n"/>
      <c r="C4268" s="48" t="n"/>
    </row>
    <row r="4269" ht="18" customHeight="1" s="17">
      <c r="A4269" s="48">
        <f>IF(Generation!AC90="","",Generation!AC90)</f>
        <v/>
      </c>
      <c r="B4269" s="48" t="n"/>
      <c r="C4269" s="48" t="n"/>
    </row>
    <row r="4270" ht="18" customHeight="1" s="17">
      <c r="A4270" s="48">
        <f>IF(Generation!AD90="","",Generation!AD90)</f>
        <v/>
      </c>
      <c r="B4270" s="48" t="n"/>
      <c r="C4270" s="48" t="n"/>
    </row>
    <row r="4271" ht="18" customHeight="1" s="17">
      <c r="A4271" s="48">
        <f>IF(Generation!AE90="","",Generation!AE90)</f>
        <v/>
      </c>
      <c r="B4271" s="48" t="n"/>
      <c r="C4271" s="48" t="n"/>
    </row>
    <row r="4272" ht="18" customHeight="1" s="17">
      <c r="A4272" s="48">
        <f>IF(Generation!AF90="","",Generation!AF90)</f>
        <v/>
      </c>
      <c r="B4272" s="48" t="n"/>
      <c r="C4272" s="48" t="n"/>
    </row>
    <row r="4273" ht="18" customHeight="1" s="17">
      <c r="A4273" s="48">
        <f>IF(Generation!AG90="","",Generation!AG90)</f>
        <v/>
      </c>
      <c r="B4273" s="48" t="n"/>
      <c r="C4273" s="48" t="n"/>
    </row>
    <row r="4274" ht="18" customHeight="1" s="17">
      <c r="A4274" s="48">
        <f>IF(Generation!AH90="","",Generation!AH90)</f>
        <v/>
      </c>
      <c r="B4274" s="48" t="n"/>
      <c r="C4274" s="48" t="n"/>
    </row>
    <row r="4275" ht="18" customHeight="1" s="17">
      <c r="A4275" s="48">
        <f>IF(Generation!AI90="","",Generation!AI90)</f>
        <v/>
      </c>
      <c r="B4275" s="48" t="n"/>
      <c r="C4275" s="48" t="n"/>
    </row>
    <row r="4276" ht="18" customHeight="1" s="17">
      <c r="A4276" s="48">
        <f>IF(Generation!$B90,"        &lt;/render_choice&gt;","")</f>
        <v/>
      </c>
      <c r="B4276" s="48" t="n"/>
      <c r="C4276" s="48" t="n"/>
    </row>
    <row r="4277" ht="18" customHeight="1" s="17">
      <c r="A4277" s="48">
        <f>IF(Generation!$B90,"      &lt;/response_lid&gt;","")</f>
        <v/>
      </c>
      <c r="B4277" s="48" t="n"/>
      <c r="C4277" s="48" t="n"/>
    </row>
    <row r="4278" ht="18" customHeight="1" s="17">
      <c r="A4278" s="48">
        <f>IF(Generation!$B90,"    &lt;/presentation&gt;","")</f>
        <v/>
      </c>
      <c r="B4278" s="48" t="n"/>
      <c r="C4278" s="48" t="n"/>
    </row>
    <row r="4279" ht="18" customHeight="1" s="17">
      <c r="A4279" s="48">
        <f>IF(Generation!$B90,"    &lt;resprocessing&gt;","")</f>
        <v/>
      </c>
      <c r="B4279" s="48" t="n"/>
      <c r="C4279" s="48" t="n"/>
    </row>
    <row r="4280" ht="18" customHeight="1" s="17">
      <c r="A4280" s="48">
        <f>IF(Generation!$B90,"      &lt;outcomes&gt;&lt;decvar varname=""SCORE"" vartype=""Decimal"" minvalue=""0"" maxvalue="""&amp;Generation!$H90&amp;"""/&gt;&lt;/outcomes&gt;","")</f>
        <v/>
      </c>
      <c r="B4280" s="48" t="n"/>
      <c r="C4280" s="48" t="n"/>
    </row>
    <row r="4281" ht="18" customHeight="1" s="17">
      <c r="A4281" s="48">
        <f>IF(Generation!AJ90="","",Generation!AJ90)</f>
        <v/>
      </c>
      <c r="B4281" s="48" t="n"/>
      <c r="C4281" s="48" t="n"/>
    </row>
    <row r="4282" ht="18" customHeight="1" s="17">
      <c r="A4282" s="48">
        <f>IF(Generation!AK90="","",Generation!AK90)</f>
        <v/>
      </c>
      <c r="B4282" s="48" t="n"/>
      <c r="C4282" s="48" t="n"/>
    </row>
    <row r="4283" ht="18" customHeight="1" s="17">
      <c r="A4283" s="48">
        <f>IF(Generation!AL90="","",Generation!AL90)</f>
        <v/>
      </c>
      <c r="B4283" s="48" t="n"/>
      <c r="C4283" s="48" t="n"/>
    </row>
    <row r="4284" ht="18" customHeight="1" s="17">
      <c r="A4284" s="48">
        <f>IF(Generation!AM90="","",Generation!AM90)</f>
        <v/>
      </c>
      <c r="B4284" s="48" t="n"/>
      <c r="C4284" s="48" t="n"/>
    </row>
    <row r="4285" ht="18" customHeight="1" s="17">
      <c r="A4285" s="48">
        <f>IF(Generation!AN90="","",Generation!AN90)</f>
        <v/>
      </c>
      <c r="B4285" s="48" t="n"/>
      <c r="C4285" s="48" t="n"/>
    </row>
    <row r="4286" ht="18" customHeight="1" s="17">
      <c r="A4286" s="48">
        <f>IF(Generation!AO90="","",Generation!AO90)</f>
        <v/>
      </c>
      <c r="B4286" s="48" t="n"/>
      <c r="C4286" s="48" t="n"/>
    </row>
    <row r="4287" ht="18" customHeight="1" s="17">
      <c r="A4287" s="48">
        <f>IF(Generation!AP90="","",Generation!AP90)</f>
        <v/>
      </c>
      <c r="B4287" s="48" t="n"/>
      <c r="C4287" s="48" t="n"/>
    </row>
    <row r="4288" ht="18" customHeight="1" s="17">
      <c r="A4288" s="48">
        <f>IF(Generation!AQ90="","",Generation!AQ90)</f>
        <v/>
      </c>
      <c r="B4288" s="48" t="n"/>
      <c r="C4288" s="48" t="n"/>
    </row>
    <row r="4289" ht="18" customHeight="1" s="17">
      <c r="A4289" s="48">
        <f>IF(Generation!$B90,"    &lt;/resprocessing&gt;","")</f>
        <v/>
      </c>
      <c r="B4289" s="48" t="n"/>
      <c r="C4289" s="48" t="n"/>
    </row>
    <row r="4290" ht="18" customHeight="1" s="17">
      <c r="A4290" s="48">
        <f>IF(Generation!BB90="","",Generation!BB90)</f>
        <v/>
      </c>
      <c r="B4290" s="48" t="n"/>
      <c r="C4290" s="48" t="n"/>
    </row>
    <row r="4291" ht="18" customHeight="1" s="17">
      <c r="A4291" s="48">
        <f>IF(Generation!BC90="","",Generation!BC90)</f>
        <v/>
      </c>
      <c r="B4291" s="48" t="n"/>
      <c r="C4291" s="48" t="n"/>
    </row>
    <row r="4292" ht="18" customHeight="1" s="17">
      <c r="A4292" s="48">
        <f>IF(Generation!BD90="","",Generation!BD90)</f>
        <v/>
      </c>
      <c r="B4292" s="48" t="n"/>
      <c r="C4292" s="48" t="n"/>
    </row>
    <row r="4293" ht="18" customHeight="1" s="17">
      <c r="A4293" s="48">
        <f>IF(Generation!BE90="","",Generation!BE90)</f>
        <v/>
      </c>
      <c r="B4293" s="48" t="n"/>
      <c r="C4293" s="48" t="n"/>
    </row>
    <row r="4294" ht="18" customHeight="1" s="17">
      <c r="A4294" s="48">
        <f>IF(Generation!BF90="","",Generation!BF90)</f>
        <v/>
      </c>
      <c r="B4294" s="48" t="n"/>
      <c r="C4294" s="48" t="n"/>
    </row>
    <row r="4295" ht="18" customHeight="1" s="17">
      <c r="A4295" s="48">
        <f>IF(Generation!BG90="","",Generation!BG90)</f>
        <v/>
      </c>
      <c r="B4295" s="48" t="n"/>
      <c r="C4295" s="48" t="n"/>
    </row>
    <row r="4296" ht="18" customHeight="1" s="17">
      <c r="A4296" s="48">
        <f>IF(Generation!BH90="","",Generation!BH90)</f>
        <v/>
      </c>
      <c r="B4296" s="48" t="n"/>
      <c r="C4296" s="48" t="n"/>
    </row>
    <row r="4297" ht="18" customHeight="1" s="17">
      <c r="A4297" s="48">
        <f>IF(Generation!BI90="","",Generation!BI90)</f>
        <v/>
      </c>
      <c r="B4297" s="48" t="n"/>
      <c r="C4297" s="48" t="n"/>
    </row>
    <row r="4298" ht="18" customHeight="1" s="17">
      <c r="A4298" s="48">
        <f>IF(Generation!BJ90="","",Generation!BJ90)</f>
        <v/>
      </c>
      <c r="B4298" s="48" t="n"/>
      <c r="C4298" s="48" t="n"/>
    </row>
    <row r="4299" ht="18" customHeight="1" s="17">
      <c r="A4299" s="48">
        <f>IF(Generation!$B90,"  &lt;/item&gt;","")</f>
        <v/>
      </c>
      <c r="B4299" s="48" t="n"/>
      <c r="C4299" s="48" t="n"/>
    </row>
    <row r="4300" ht="18" customHeight="1" s="17">
      <c r="A4300" s="48">
        <f>""</f>
        <v/>
      </c>
      <c r="B4300" s="48" t="n"/>
      <c r="C4300" s="48" t="n"/>
    </row>
    <row r="4301" ht="18" customHeight="1" s="17">
      <c r="A4301" s="48">
        <f>""</f>
        <v/>
      </c>
      <c r="B4301" s="48" t="n"/>
      <c r="C4301" s="48" t="n"/>
    </row>
    <row r="4302" ht="18" customHeight="1" s="17">
      <c r="A4302" s="48">
        <f>""</f>
        <v/>
      </c>
      <c r="B4302" s="48" t="n"/>
      <c r="C4302" s="48" t="n"/>
    </row>
    <row r="4303" ht="18" customHeight="1" s="17">
      <c r="A4303" s="48">
        <f>""</f>
        <v/>
      </c>
      <c r="B4303" s="48" t="n"/>
      <c r="C4303" s="48" t="n"/>
    </row>
    <row r="4304" ht="18" customHeight="1" s="17">
      <c r="A4304" s="48">
        <f>IF(Generation!$B91,"  &lt;item ident=""il_0_qst_"&amp;TEXT(Generation!$A91,"000")&amp;""" title="""&amp;Generation!$F91&amp;"""&gt;","")</f>
        <v/>
      </c>
      <c r="B4304" s="48" t="n"/>
      <c r="C4304" s="48" t="n"/>
    </row>
    <row r="4305" ht="18" customHeight="1" s="17">
      <c r="A4305" s="48">
        <f>IF(Generation!$B91,"    &lt;duration&gt;P0Y0M0DT0H1M0S&lt;/duration&gt;","")</f>
        <v/>
      </c>
      <c r="B4305" s="48" t="n"/>
      <c r="C4305" s="48" t="n"/>
    </row>
    <row r="4306" ht="18" customHeight="1" s="17">
      <c r="A4306" s="48">
        <f>IF(Generation!$B91,"    &lt;itemmetadata&gt;","")</f>
        <v/>
      </c>
      <c r="B4306" s="48" t="n"/>
      <c r="C4306" s="48" t="n"/>
    </row>
    <row r="4307" ht="18" customHeight="1" s="17">
      <c r="A4307" s="48">
        <f>IF(Generation!$B91,"      &lt;qtimetadata&gt;","")</f>
        <v/>
      </c>
      <c r="B4307" s="48" t="n"/>
      <c r="C4307" s="48" t="n"/>
    </row>
    <row r="4308" ht="18" customHeight="1" s="17">
      <c r="A4308" s="48">
        <f>IF(Generation!$B91,"        &lt;qtimetadatafield&gt;&lt;fieldlabel&gt;ILIAS_VERSION&lt;/fieldlabel&gt;&lt;fieldentry&gt;8&lt;/fieldentry&gt;&lt;/qtimetadatafield&gt;","")</f>
        <v/>
      </c>
      <c r="B4308" s="48" t="n"/>
      <c r="C4308" s="48" t="n"/>
    </row>
    <row r="4309" ht="18" customHeight="1" s="17">
      <c r="A4309" s="48">
        <f>IF(Generation!$B91,"        &lt;qtimetadatafield&gt;&lt;fieldlabel&gt;QUESTIONTYPE&lt;/fieldlabel&gt;&lt;fieldentry&gt;"&amp;Generation!$D91&amp;"&lt;/fieldentry&gt;&lt;/qtimetadatafield&gt;","")</f>
        <v/>
      </c>
      <c r="B4309" s="48" t="n"/>
      <c r="C4309" s="48" t="n"/>
    </row>
    <row r="4310" ht="18" customHeight="1" s="17">
      <c r="A4310" s="48">
        <f>IF(Generation!$B91,"        &lt;qtimetadatafield&gt;&lt;fieldlabel&gt;AUTHOR&lt;/fieldlabel&gt;&lt;fieldentry&gt;"&amp;Generation!$AR91&amp;"&lt;/fieldentry&gt;&lt;/qtimetadatafield&gt;","")</f>
        <v/>
      </c>
      <c r="B4310" s="48" t="n"/>
      <c r="C4310" s="48" t="n"/>
    </row>
    <row r="4311" ht="18" customHeight="1" s="17">
      <c r="A4311" s="48">
        <f>IF(Generation!$B91,"        &lt;qtimetadatafield&gt;&lt;fieldlabel&gt;identicalScoring&lt;/fieldlabel&gt;&lt;fieldentry&gt;1&lt;/fieldentry&gt;&lt;/qtimetadatafield&gt;","")</f>
        <v/>
      </c>
      <c r="B4311" s="48" t="n"/>
      <c r="C4311" s="48" t="n"/>
    </row>
    <row r="4312" ht="18" customHeight="1" s="17">
      <c r="A4312" s="48">
        <f>IF(Generation!$B91,"      &lt;/qtimetadata&gt;","")</f>
        <v/>
      </c>
      <c r="B4312" s="48" t="n"/>
      <c r="C4312" s="48" t="n"/>
    </row>
    <row r="4313" ht="18" customHeight="1" s="17">
      <c r="A4313" s="48">
        <f>IF(Generation!$B91,"    &lt;/itemmetadata&gt;","")</f>
        <v/>
      </c>
      <c r="B4313" s="48" t="n"/>
      <c r="C4313" s="48" t="n"/>
    </row>
    <row r="4314" ht="18" customHeight="1" s="17">
      <c r="A4314" s="48">
        <f>IF(Generation!$B91,"    &lt;presentation label="""&amp;Generation!$F91&amp;"""&gt;","")</f>
        <v/>
      </c>
      <c r="B4314" s="48" t="n"/>
      <c r="C4314" s="48" t="n"/>
    </row>
    <row r="4315" ht="18" customHeight="1" s="17">
      <c r="A4315" s="48">
        <f>IF(Generation!$B91,"      &lt;material&gt;&lt;mattext texttype=""text/html""&gt;"&amp;Generation!$G91&amp;"&lt;/mattext&gt;&lt;/material&gt;","")</f>
        <v/>
      </c>
      <c r="B4315" s="48" t="n"/>
      <c r="C4315" s="48" t="n"/>
    </row>
    <row r="4316" ht="18" customHeight="1" s="17">
      <c r="A4316" s="48">
        <f>IF(Generation!$B91,"      &lt;response_lid ident=""RESPONSE"" rcardinality="""&amp;Generation!$E91&amp;"""&gt;","")</f>
        <v/>
      </c>
      <c r="B4316" s="48" t="n"/>
      <c r="C4316" s="48" t="n"/>
    </row>
    <row r="4317" ht="18" customHeight="1" s="17">
      <c r="A4317" s="48">
        <f>IF(Generation!$B91,"        &lt;render_choice shuffle=""No""&gt;","")</f>
        <v/>
      </c>
      <c r="B4317" s="48" t="n"/>
      <c r="C4317" s="48" t="n"/>
    </row>
    <row r="4318" ht="18" customHeight="1" s="17">
      <c r="A4318" s="48">
        <f>IF(Generation!AB91="","",Generation!AB91)</f>
        <v/>
      </c>
      <c r="B4318" s="48" t="n"/>
      <c r="C4318" s="48" t="n"/>
    </row>
    <row r="4319" ht="18" customHeight="1" s="17">
      <c r="A4319" s="48">
        <f>IF(Generation!AC91="","",Generation!AC91)</f>
        <v/>
      </c>
      <c r="B4319" s="48" t="n"/>
      <c r="C4319" s="48" t="n"/>
    </row>
    <row r="4320" ht="18" customHeight="1" s="17">
      <c r="A4320" s="48">
        <f>IF(Generation!AD91="","",Generation!AD91)</f>
        <v/>
      </c>
      <c r="B4320" s="48" t="n"/>
      <c r="C4320" s="48" t="n"/>
    </row>
    <row r="4321" ht="18" customHeight="1" s="17">
      <c r="A4321" s="48">
        <f>IF(Generation!AE91="","",Generation!AE91)</f>
        <v/>
      </c>
      <c r="B4321" s="48" t="n"/>
      <c r="C4321" s="48" t="n"/>
    </row>
    <row r="4322" ht="18" customHeight="1" s="17">
      <c r="A4322" s="48">
        <f>IF(Generation!AF91="","",Generation!AF91)</f>
        <v/>
      </c>
      <c r="B4322" s="48" t="n"/>
      <c r="C4322" s="48" t="n"/>
    </row>
    <row r="4323" ht="18" customHeight="1" s="17">
      <c r="A4323" s="48">
        <f>IF(Generation!AG91="","",Generation!AG91)</f>
        <v/>
      </c>
      <c r="B4323" s="48" t="n"/>
      <c r="C4323" s="48" t="n"/>
    </row>
    <row r="4324" ht="18" customHeight="1" s="17">
      <c r="A4324" s="48">
        <f>IF(Generation!AH91="","",Generation!AH91)</f>
        <v/>
      </c>
      <c r="B4324" s="48" t="n"/>
      <c r="C4324" s="48" t="n"/>
    </row>
    <row r="4325" ht="18" customHeight="1" s="17">
      <c r="A4325" s="48">
        <f>IF(Generation!AI91="","",Generation!AI91)</f>
        <v/>
      </c>
      <c r="B4325" s="48" t="n"/>
      <c r="C4325" s="48" t="n"/>
    </row>
    <row r="4326" ht="18" customHeight="1" s="17">
      <c r="A4326" s="48">
        <f>IF(Generation!$B91,"        &lt;/render_choice&gt;","")</f>
        <v/>
      </c>
      <c r="B4326" s="48" t="n"/>
      <c r="C4326" s="48" t="n"/>
    </row>
    <row r="4327" ht="18" customHeight="1" s="17">
      <c r="A4327" s="48">
        <f>IF(Generation!$B91,"      &lt;/response_lid&gt;","")</f>
        <v/>
      </c>
      <c r="B4327" s="48" t="n"/>
      <c r="C4327" s="48" t="n"/>
    </row>
    <row r="4328" ht="18" customHeight="1" s="17">
      <c r="A4328" s="48">
        <f>IF(Generation!$B91,"    &lt;/presentation&gt;","")</f>
        <v/>
      </c>
      <c r="B4328" s="48" t="n"/>
      <c r="C4328" s="48" t="n"/>
    </row>
    <row r="4329" ht="18" customHeight="1" s="17">
      <c r="A4329" s="48">
        <f>IF(Generation!$B91,"    &lt;resprocessing&gt;","")</f>
        <v/>
      </c>
      <c r="B4329" s="48" t="n"/>
      <c r="C4329" s="48" t="n"/>
    </row>
    <row r="4330" ht="18" customHeight="1" s="17">
      <c r="A4330" s="48">
        <f>IF(Generation!$B91,"      &lt;outcomes&gt;&lt;decvar varname=""SCORE"" vartype=""Decimal"" minvalue=""0"" maxvalue="""&amp;Generation!$H91&amp;"""/&gt;&lt;/outcomes&gt;","")</f>
        <v/>
      </c>
      <c r="B4330" s="48" t="n"/>
      <c r="C4330" s="48" t="n"/>
    </row>
    <row r="4331" ht="18" customHeight="1" s="17">
      <c r="A4331" s="48">
        <f>IF(Generation!AJ91="","",Generation!AJ91)</f>
        <v/>
      </c>
      <c r="B4331" s="48" t="n"/>
      <c r="C4331" s="48" t="n"/>
    </row>
    <row r="4332" ht="18" customHeight="1" s="17">
      <c r="A4332" s="48">
        <f>IF(Generation!AK91="","",Generation!AK91)</f>
        <v/>
      </c>
      <c r="B4332" s="48" t="n"/>
      <c r="C4332" s="48" t="n"/>
    </row>
    <row r="4333" ht="18" customHeight="1" s="17">
      <c r="A4333" s="48">
        <f>IF(Generation!AL91="","",Generation!AL91)</f>
        <v/>
      </c>
      <c r="B4333" s="48" t="n"/>
      <c r="C4333" s="48" t="n"/>
    </row>
    <row r="4334" ht="18" customHeight="1" s="17">
      <c r="A4334" s="48">
        <f>IF(Generation!AM91="","",Generation!AM91)</f>
        <v/>
      </c>
      <c r="B4334" s="48" t="n"/>
      <c r="C4334" s="48" t="n"/>
    </row>
    <row r="4335" ht="18" customHeight="1" s="17">
      <c r="A4335" s="48">
        <f>IF(Generation!AN91="","",Generation!AN91)</f>
        <v/>
      </c>
      <c r="B4335" s="48" t="n"/>
      <c r="C4335" s="48" t="n"/>
    </row>
    <row r="4336" ht="18" customHeight="1" s="17">
      <c r="A4336" s="48">
        <f>IF(Generation!AO91="","",Generation!AO91)</f>
        <v/>
      </c>
      <c r="B4336" s="48" t="n"/>
      <c r="C4336" s="48" t="n"/>
    </row>
    <row r="4337" ht="18" customHeight="1" s="17">
      <c r="A4337" s="48">
        <f>IF(Generation!AP91="","",Generation!AP91)</f>
        <v/>
      </c>
      <c r="B4337" s="48" t="n"/>
      <c r="C4337" s="48" t="n"/>
    </row>
    <row r="4338" ht="18" customHeight="1" s="17">
      <c r="A4338" s="48">
        <f>IF(Generation!AQ91="","",Generation!AQ91)</f>
        <v/>
      </c>
      <c r="B4338" s="48" t="n"/>
      <c r="C4338" s="48" t="n"/>
    </row>
    <row r="4339" ht="18" customHeight="1" s="17">
      <c r="A4339" s="48">
        <f>IF(Generation!$B91,"    &lt;/resprocessing&gt;","")</f>
        <v/>
      </c>
      <c r="B4339" s="48" t="n"/>
      <c r="C4339" s="48" t="n"/>
    </row>
    <row r="4340" ht="18" customHeight="1" s="17">
      <c r="A4340" s="48">
        <f>IF(Generation!BB91="","",Generation!BB91)</f>
        <v/>
      </c>
      <c r="B4340" s="48" t="n"/>
      <c r="C4340" s="48" t="n"/>
    </row>
    <row r="4341" ht="18" customHeight="1" s="17">
      <c r="A4341" s="48">
        <f>IF(Generation!BC91="","",Generation!BC91)</f>
        <v/>
      </c>
      <c r="B4341" s="48" t="n"/>
      <c r="C4341" s="48" t="n"/>
    </row>
    <row r="4342" ht="18" customHeight="1" s="17">
      <c r="A4342" s="48">
        <f>IF(Generation!BD91="","",Generation!BD91)</f>
        <v/>
      </c>
      <c r="B4342" s="48" t="n"/>
      <c r="C4342" s="48" t="n"/>
    </row>
    <row r="4343" ht="18" customHeight="1" s="17">
      <c r="A4343" s="48">
        <f>IF(Generation!BE91="","",Generation!BE91)</f>
        <v/>
      </c>
      <c r="B4343" s="48" t="n"/>
      <c r="C4343" s="48" t="n"/>
    </row>
    <row r="4344" ht="18" customHeight="1" s="17">
      <c r="A4344" s="48">
        <f>IF(Generation!BF91="","",Generation!BF91)</f>
        <v/>
      </c>
      <c r="B4344" s="48" t="n"/>
      <c r="C4344" s="48" t="n"/>
    </row>
    <row r="4345" ht="18" customHeight="1" s="17">
      <c r="A4345" s="48">
        <f>IF(Generation!BG91="","",Generation!BG91)</f>
        <v/>
      </c>
      <c r="B4345" s="48" t="n"/>
      <c r="C4345" s="48" t="n"/>
    </row>
    <row r="4346" ht="18" customHeight="1" s="17">
      <c r="A4346" s="48">
        <f>IF(Generation!BH91="","",Generation!BH91)</f>
        <v/>
      </c>
      <c r="B4346" s="48" t="n"/>
      <c r="C4346" s="48" t="n"/>
    </row>
    <row r="4347" ht="18" customHeight="1" s="17">
      <c r="A4347" s="48">
        <f>IF(Generation!BI91="","",Generation!BI91)</f>
        <v/>
      </c>
      <c r="B4347" s="48" t="n"/>
      <c r="C4347" s="48" t="n"/>
    </row>
    <row r="4348" ht="18" customHeight="1" s="17">
      <c r="A4348" s="48">
        <f>IF(Generation!BJ91="","",Generation!BJ91)</f>
        <v/>
      </c>
      <c r="B4348" s="48" t="n"/>
      <c r="C4348" s="48" t="n"/>
    </row>
    <row r="4349" ht="18" customHeight="1" s="17">
      <c r="A4349" s="48">
        <f>IF(Generation!$B91,"  &lt;/item&gt;","")</f>
        <v/>
      </c>
      <c r="B4349" s="48" t="n"/>
      <c r="C4349" s="48" t="n"/>
    </row>
    <row r="4350" ht="18" customHeight="1" s="17">
      <c r="A4350" s="48">
        <f>""</f>
        <v/>
      </c>
      <c r="B4350" s="48" t="n"/>
      <c r="C4350" s="48" t="n"/>
    </row>
    <row r="4351" ht="18" customHeight="1" s="17">
      <c r="A4351" s="48">
        <f>""</f>
        <v/>
      </c>
      <c r="B4351" s="48" t="n"/>
      <c r="C4351" s="48" t="n"/>
    </row>
    <row r="4352" ht="18" customHeight="1" s="17">
      <c r="A4352" s="48">
        <f>""</f>
        <v/>
      </c>
      <c r="B4352" s="48" t="n"/>
      <c r="C4352" s="48" t="n"/>
    </row>
    <row r="4353" ht="18" customHeight="1" s="17">
      <c r="A4353" s="48">
        <f>""</f>
        <v/>
      </c>
      <c r="B4353" s="48" t="n"/>
      <c r="C4353" s="48" t="n"/>
    </row>
    <row r="4354" ht="18" customHeight="1" s="17">
      <c r="A4354" s="48">
        <f>IF(Generation!$B92,"  &lt;item ident=""il_0_qst_"&amp;TEXT(Generation!$A92,"000")&amp;""" title="""&amp;Generation!$F92&amp;"""&gt;","")</f>
        <v/>
      </c>
      <c r="B4354" s="48" t="n"/>
      <c r="C4354" s="48" t="n"/>
    </row>
    <row r="4355" ht="18" customHeight="1" s="17">
      <c r="A4355" s="48">
        <f>IF(Generation!$B92,"    &lt;duration&gt;P0Y0M0DT0H1M0S&lt;/duration&gt;","")</f>
        <v/>
      </c>
      <c r="B4355" s="48" t="n"/>
      <c r="C4355" s="48" t="n"/>
    </row>
    <row r="4356" ht="18" customHeight="1" s="17">
      <c r="A4356" s="48">
        <f>IF(Generation!$B92,"    &lt;itemmetadata&gt;","")</f>
        <v/>
      </c>
      <c r="B4356" s="48" t="n"/>
      <c r="C4356" s="48" t="n"/>
    </row>
    <row r="4357" ht="18" customHeight="1" s="17">
      <c r="A4357" s="48">
        <f>IF(Generation!$B92,"      &lt;qtimetadata&gt;","")</f>
        <v/>
      </c>
      <c r="B4357" s="48" t="n"/>
      <c r="C4357" s="48" t="n"/>
    </row>
    <row r="4358" ht="18" customHeight="1" s="17">
      <c r="A4358" s="48">
        <f>IF(Generation!$B92,"        &lt;qtimetadatafield&gt;&lt;fieldlabel&gt;ILIAS_VERSION&lt;/fieldlabel&gt;&lt;fieldentry&gt;8&lt;/fieldentry&gt;&lt;/qtimetadatafield&gt;","")</f>
        <v/>
      </c>
      <c r="B4358" s="48" t="n"/>
      <c r="C4358" s="48" t="n"/>
    </row>
    <row r="4359" ht="18" customHeight="1" s="17">
      <c r="A4359" s="48">
        <f>IF(Generation!$B92,"        &lt;qtimetadatafield&gt;&lt;fieldlabel&gt;QUESTIONTYPE&lt;/fieldlabel&gt;&lt;fieldentry&gt;"&amp;Generation!$D92&amp;"&lt;/fieldentry&gt;&lt;/qtimetadatafield&gt;","")</f>
        <v/>
      </c>
      <c r="B4359" s="48" t="n"/>
      <c r="C4359" s="48" t="n"/>
    </row>
    <row r="4360" ht="18" customHeight="1" s="17">
      <c r="A4360" s="48">
        <f>IF(Generation!$B92,"        &lt;qtimetadatafield&gt;&lt;fieldlabel&gt;AUTHOR&lt;/fieldlabel&gt;&lt;fieldentry&gt;"&amp;Generation!$AR92&amp;"&lt;/fieldentry&gt;&lt;/qtimetadatafield&gt;","")</f>
        <v/>
      </c>
      <c r="B4360" s="48" t="n"/>
      <c r="C4360" s="48" t="n"/>
    </row>
    <row r="4361" ht="18" customHeight="1" s="17">
      <c r="A4361" s="48">
        <f>IF(Generation!$B92,"        &lt;qtimetadatafield&gt;&lt;fieldlabel&gt;identicalScoring&lt;/fieldlabel&gt;&lt;fieldentry&gt;1&lt;/fieldentry&gt;&lt;/qtimetadatafield&gt;","")</f>
        <v/>
      </c>
      <c r="B4361" s="48" t="n"/>
      <c r="C4361" s="48" t="n"/>
    </row>
    <row r="4362" ht="18" customHeight="1" s="17">
      <c r="A4362" s="48">
        <f>IF(Generation!$B92,"      &lt;/qtimetadata&gt;","")</f>
        <v/>
      </c>
      <c r="B4362" s="48" t="n"/>
      <c r="C4362" s="48" t="n"/>
    </row>
    <row r="4363" ht="18" customHeight="1" s="17">
      <c r="A4363" s="48">
        <f>IF(Generation!$B92,"    &lt;/itemmetadata&gt;","")</f>
        <v/>
      </c>
      <c r="B4363" s="48" t="n"/>
      <c r="C4363" s="48" t="n"/>
    </row>
    <row r="4364" ht="18" customHeight="1" s="17">
      <c r="A4364" s="48">
        <f>IF(Generation!$B92,"    &lt;presentation label="""&amp;Generation!$F92&amp;"""&gt;","")</f>
        <v/>
      </c>
      <c r="B4364" s="48" t="n"/>
      <c r="C4364" s="48" t="n"/>
    </row>
    <row r="4365" ht="18" customHeight="1" s="17">
      <c r="A4365" s="48">
        <f>IF(Generation!$B92,"      &lt;material&gt;&lt;mattext texttype=""text/html""&gt;"&amp;Generation!$G92&amp;"&lt;/mattext&gt;&lt;/material&gt;","")</f>
        <v/>
      </c>
      <c r="B4365" s="48" t="n"/>
      <c r="C4365" s="48" t="n"/>
    </row>
    <row r="4366" ht="18" customHeight="1" s="17">
      <c r="A4366" s="48">
        <f>IF(Generation!$B92,"      &lt;response_lid ident=""RESPONSE"" rcardinality="""&amp;Generation!$E92&amp;"""&gt;","")</f>
        <v/>
      </c>
      <c r="B4366" s="48" t="n"/>
      <c r="C4366" s="48" t="n"/>
    </row>
    <row r="4367" ht="18" customHeight="1" s="17">
      <c r="A4367" s="48">
        <f>IF(Generation!$B92,"        &lt;render_choice shuffle=""No""&gt;","")</f>
        <v/>
      </c>
      <c r="B4367" s="48" t="n"/>
      <c r="C4367" s="48" t="n"/>
    </row>
    <row r="4368" ht="18" customHeight="1" s="17">
      <c r="A4368" s="48">
        <f>IF(Generation!AB92="","",Generation!AB92)</f>
        <v/>
      </c>
      <c r="B4368" s="48" t="n"/>
      <c r="C4368" s="48" t="n"/>
    </row>
    <row r="4369" ht="18" customHeight="1" s="17">
      <c r="A4369" s="48">
        <f>IF(Generation!AC92="","",Generation!AC92)</f>
        <v/>
      </c>
      <c r="B4369" s="48" t="n"/>
      <c r="C4369" s="48" t="n"/>
    </row>
    <row r="4370" ht="18" customHeight="1" s="17">
      <c r="A4370" s="48">
        <f>IF(Generation!AD92="","",Generation!AD92)</f>
        <v/>
      </c>
      <c r="B4370" s="48" t="n"/>
      <c r="C4370" s="48" t="n"/>
    </row>
    <row r="4371" ht="18" customHeight="1" s="17">
      <c r="A4371" s="48">
        <f>IF(Generation!AE92="","",Generation!AE92)</f>
        <v/>
      </c>
      <c r="B4371" s="48" t="n"/>
      <c r="C4371" s="48" t="n"/>
    </row>
    <row r="4372" ht="18" customHeight="1" s="17">
      <c r="A4372" s="48">
        <f>IF(Generation!AF92="","",Generation!AF92)</f>
        <v/>
      </c>
      <c r="B4372" s="48" t="n"/>
      <c r="C4372" s="48" t="n"/>
    </row>
    <row r="4373" ht="18" customHeight="1" s="17">
      <c r="A4373" s="48">
        <f>IF(Generation!AG92="","",Generation!AG92)</f>
        <v/>
      </c>
      <c r="B4373" s="48" t="n"/>
      <c r="C4373" s="48" t="n"/>
    </row>
    <row r="4374" ht="18" customHeight="1" s="17">
      <c r="A4374" s="48">
        <f>IF(Generation!AH92="","",Generation!AH92)</f>
        <v/>
      </c>
      <c r="B4374" s="48" t="n"/>
      <c r="C4374" s="48" t="n"/>
    </row>
    <row r="4375" ht="18" customHeight="1" s="17">
      <c r="A4375" s="48">
        <f>IF(Generation!AI92="","",Generation!AI92)</f>
        <v/>
      </c>
      <c r="B4375" s="48" t="n"/>
      <c r="C4375" s="48" t="n"/>
    </row>
    <row r="4376" ht="18" customHeight="1" s="17">
      <c r="A4376" s="48">
        <f>IF(Generation!$B92,"        &lt;/render_choice&gt;","")</f>
        <v/>
      </c>
      <c r="B4376" s="48" t="n"/>
      <c r="C4376" s="48" t="n"/>
    </row>
    <row r="4377" ht="18" customHeight="1" s="17">
      <c r="A4377" s="48">
        <f>IF(Generation!$B92,"      &lt;/response_lid&gt;","")</f>
        <v/>
      </c>
      <c r="B4377" s="48" t="n"/>
      <c r="C4377" s="48" t="n"/>
    </row>
    <row r="4378" ht="18" customHeight="1" s="17">
      <c r="A4378" s="48">
        <f>IF(Generation!$B92,"    &lt;/presentation&gt;","")</f>
        <v/>
      </c>
      <c r="B4378" s="48" t="n"/>
      <c r="C4378" s="48" t="n"/>
    </row>
    <row r="4379" ht="18" customHeight="1" s="17">
      <c r="A4379" s="48">
        <f>IF(Generation!$B92,"    &lt;resprocessing&gt;","")</f>
        <v/>
      </c>
      <c r="B4379" s="48" t="n"/>
      <c r="C4379" s="48" t="n"/>
    </row>
    <row r="4380" ht="18" customHeight="1" s="17">
      <c r="A4380" s="48">
        <f>IF(Generation!$B92,"      &lt;outcomes&gt;&lt;decvar varname=""SCORE"" vartype=""Decimal"" minvalue=""0"" maxvalue="""&amp;Generation!$H92&amp;"""/&gt;&lt;/outcomes&gt;","")</f>
        <v/>
      </c>
      <c r="B4380" s="48" t="n"/>
      <c r="C4380" s="48" t="n"/>
    </row>
    <row r="4381" ht="18" customHeight="1" s="17">
      <c r="A4381" s="48">
        <f>IF(Generation!AJ92="","",Generation!AJ92)</f>
        <v/>
      </c>
      <c r="B4381" s="48" t="n"/>
      <c r="C4381" s="48" t="n"/>
    </row>
    <row r="4382" ht="18" customHeight="1" s="17">
      <c r="A4382" s="48">
        <f>IF(Generation!AK92="","",Generation!AK92)</f>
        <v/>
      </c>
      <c r="B4382" s="48" t="n"/>
      <c r="C4382" s="48" t="n"/>
    </row>
    <row r="4383" ht="18" customHeight="1" s="17">
      <c r="A4383" s="48">
        <f>IF(Generation!AL92="","",Generation!AL92)</f>
        <v/>
      </c>
      <c r="B4383" s="48" t="n"/>
      <c r="C4383" s="48" t="n"/>
    </row>
    <row r="4384" ht="18" customHeight="1" s="17">
      <c r="A4384" s="48">
        <f>IF(Generation!AM92="","",Generation!AM92)</f>
        <v/>
      </c>
      <c r="B4384" s="48" t="n"/>
      <c r="C4384" s="48" t="n"/>
    </row>
    <row r="4385" ht="18" customHeight="1" s="17">
      <c r="A4385" s="48">
        <f>IF(Generation!AN92="","",Generation!AN92)</f>
        <v/>
      </c>
      <c r="B4385" s="48" t="n"/>
      <c r="C4385" s="48" t="n"/>
    </row>
    <row r="4386" ht="18" customHeight="1" s="17">
      <c r="A4386" s="48">
        <f>IF(Generation!AO92="","",Generation!AO92)</f>
        <v/>
      </c>
      <c r="B4386" s="48" t="n"/>
      <c r="C4386" s="48" t="n"/>
    </row>
    <row r="4387" ht="18" customHeight="1" s="17">
      <c r="A4387" s="48">
        <f>IF(Generation!AP92="","",Generation!AP92)</f>
        <v/>
      </c>
      <c r="B4387" s="48" t="n"/>
      <c r="C4387" s="48" t="n"/>
    </row>
    <row r="4388" ht="18" customHeight="1" s="17">
      <c r="A4388" s="48">
        <f>IF(Generation!AQ92="","",Generation!AQ92)</f>
        <v/>
      </c>
      <c r="B4388" s="48" t="n"/>
      <c r="C4388" s="48" t="n"/>
    </row>
    <row r="4389" ht="18" customHeight="1" s="17">
      <c r="A4389" s="48">
        <f>IF(Generation!$B92,"    &lt;/resprocessing&gt;","")</f>
        <v/>
      </c>
      <c r="B4389" s="48" t="n"/>
      <c r="C4389" s="48" t="n"/>
    </row>
    <row r="4390" ht="18" customHeight="1" s="17">
      <c r="A4390" s="48">
        <f>IF(Generation!BB92="","",Generation!BB92)</f>
        <v/>
      </c>
      <c r="B4390" s="48" t="n"/>
      <c r="C4390" s="48" t="n"/>
    </row>
    <row r="4391" ht="18" customHeight="1" s="17">
      <c r="A4391" s="48">
        <f>IF(Generation!BC92="","",Generation!BC92)</f>
        <v/>
      </c>
      <c r="B4391" s="48" t="n"/>
      <c r="C4391" s="48" t="n"/>
    </row>
    <row r="4392" ht="18" customHeight="1" s="17">
      <c r="A4392" s="48">
        <f>IF(Generation!BD92="","",Generation!BD92)</f>
        <v/>
      </c>
      <c r="B4392" s="48" t="n"/>
      <c r="C4392" s="48" t="n"/>
    </row>
    <row r="4393" ht="18" customHeight="1" s="17">
      <c r="A4393" s="48">
        <f>IF(Generation!BE92="","",Generation!BE92)</f>
        <v/>
      </c>
      <c r="B4393" s="48" t="n"/>
      <c r="C4393" s="48" t="n"/>
    </row>
    <row r="4394" ht="18" customHeight="1" s="17">
      <c r="A4394" s="48">
        <f>IF(Generation!BF92="","",Generation!BF92)</f>
        <v/>
      </c>
      <c r="B4394" s="48" t="n"/>
      <c r="C4394" s="48" t="n"/>
    </row>
    <row r="4395" ht="18" customHeight="1" s="17">
      <c r="A4395" s="48">
        <f>IF(Generation!BG92="","",Generation!BG92)</f>
        <v/>
      </c>
      <c r="B4395" s="48" t="n"/>
      <c r="C4395" s="48" t="n"/>
    </row>
    <row r="4396" ht="18" customHeight="1" s="17">
      <c r="A4396" s="48">
        <f>IF(Generation!BH92="","",Generation!BH92)</f>
        <v/>
      </c>
      <c r="B4396" s="48" t="n"/>
      <c r="C4396" s="48" t="n"/>
    </row>
    <row r="4397" ht="18" customHeight="1" s="17">
      <c r="A4397" s="48">
        <f>IF(Generation!BI92="","",Generation!BI92)</f>
        <v/>
      </c>
      <c r="B4397" s="48" t="n"/>
      <c r="C4397" s="48" t="n"/>
    </row>
    <row r="4398" ht="18" customHeight="1" s="17">
      <c r="A4398" s="48">
        <f>IF(Generation!BJ92="","",Generation!BJ92)</f>
        <v/>
      </c>
      <c r="B4398" s="48" t="n"/>
      <c r="C4398" s="48" t="n"/>
    </row>
    <row r="4399" ht="18" customHeight="1" s="17">
      <c r="A4399" s="48">
        <f>IF(Generation!$B92,"  &lt;/item&gt;","")</f>
        <v/>
      </c>
      <c r="B4399" s="48" t="n"/>
      <c r="C4399" s="48" t="n"/>
    </row>
    <row r="4400" ht="18" customHeight="1" s="17">
      <c r="A4400" s="48">
        <f>""</f>
        <v/>
      </c>
      <c r="B4400" s="48" t="n"/>
      <c r="C4400" s="48" t="n"/>
    </row>
    <row r="4401" ht="18" customHeight="1" s="17">
      <c r="A4401" s="48">
        <f>""</f>
        <v/>
      </c>
      <c r="B4401" s="48" t="n"/>
      <c r="C4401" s="48" t="n"/>
    </row>
    <row r="4402" ht="18" customHeight="1" s="17">
      <c r="A4402" s="48">
        <f>""</f>
        <v/>
      </c>
      <c r="B4402" s="48" t="n"/>
      <c r="C4402" s="48" t="n"/>
    </row>
    <row r="4403" ht="18" customHeight="1" s="17">
      <c r="A4403" s="48">
        <f>""</f>
        <v/>
      </c>
      <c r="B4403" s="48" t="n"/>
      <c r="C4403" s="48" t="n"/>
    </row>
    <row r="4404" ht="18" customHeight="1" s="17">
      <c r="A4404" s="48">
        <f>IF(Generation!$B93,"  &lt;item ident=""il_0_qst_"&amp;TEXT(Generation!$A93,"000")&amp;""" title="""&amp;Generation!$F93&amp;"""&gt;","")</f>
        <v/>
      </c>
      <c r="B4404" s="48" t="n"/>
      <c r="C4404" s="48" t="n"/>
    </row>
    <row r="4405" ht="18" customHeight="1" s="17">
      <c r="A4405" s="48">
        <f>IF(Generation!$B93,"    &lt;duration&gt;P0Y0M0DT0H1M0S&lt;/duration&gt;","")</f>
        <v/>
      </c>
      <c r="B4405" s="48" t="n"/>
      <c r="C4405" s="48" t="n"/>
    </row>
    <row r="4406" ht="18" customHeight="1" s="17">
      <c r="A4406" s="48">
        <f>IF(Generation!$B93,"    &lt;itemmetadata&gt;","")</f>
        <v/>
      </c>
      <c r="B4406" s="48" t="n"/>
      <c r="C4406" s="48" t="n"/>
    </row>
    <row r="4407" ht="18" customHeight="1" s="17">
      <c r="A4407" s="48">
        <f>IF(Generation!$B93,"      &lt;qtimetadata&gt;","")</f>
        <v/>
      </c>
      <c r="B4407" s="48" t="n"/>
      <c r="C4407" s="48" t="n"/>
    </row>
    <row r="4408" ht="18" customHeight="1" s="17">
      <c r="A4408" s="48">
        <f>IF(Generation!$B93,"        &lt;qtimetadatafield&gt;&lt;fieldlabel&gt;ILIAS_VERSION&lt;/fieldlabel&gt;&lt;fieldentry&gt;8&lt;/fieldentry&gt;&lt;/qtimetadatafield&gt;","")</f>
        <v/>
      </c>
      <c r="B4408" s="48" t="n"/>
      <c r="C4408" s="48" t="n"/>
    </row>
    <row r="4409" ht="18" customHeight="1" s="17">
      <c r="A4409" s="48">
        <f>IF(Generation!$B93,"        &lt;qtimetadatafield&gt;&lt;fieldlabel&gt;QUESTIONTYPE&lt;/fieldlabel&gt;&lt;fieldentry&gt;"&amp;Generation!$D93&amp;"&lt;/fieldentry&gt;&lt;/qtimetadatafield&gt;","")</f>
        <v/>
      </c>
      <c r="B4409" s="48" t="n"/>
      <c r="C4409" s="48" t="n"/>
    </row>
    <row r="4410" ht="18" customHeight="1" s="17">
      <c r="A4410" s="48">
        <f>IF(Generation!$B93,"        &lt;qtimetadatafield&gt;&lt;fieldlabel&gt;AUTHOR&lt;/fieldlabel&gt;&lt;fieldentry&gt;"&amp;Generation!$AR93&amp;"&lt;/fieldentry&gt;&lt;/qtimetadatafield&gt;","")</f>
        <v/>
      </c>
      <c r="B4410" s="48" t="n"/>
      <c r="C4410" s="48" t="n"/>
    </row>
    <row r="4411" ht="18" customHeight="1" s="17">
      <c r="A4411" s="48">
        <f>IF(Generation!$B93,"        &lt;qtimetadatafield&gt;&lt;fieldlabel&gt;identicalScoring&lt;/fieldlabel&gt;&lt;fieldentry&gt;1&lt;/fieldentry&gt;&lt;/qtimetadatafield&gt;","")</f>
        <v/>
      </c>
      <c r="B4411" s="48" t="n"/>
      <c r="C4411" s="48" t="n"/>
    </row>
    <row r="4412" ht="18" customHeight="1" s="17">
      <c r="A4412" s="48">
        <f>IF(Generation!$B93,"      &lt;/qtimetadata&gt;","")</f>
        <v/>
      </c>
      <c r="B4412" s="48" t="n"/>
      <c r="C4412" s="48" t="n"/>
    </row>
    <row r="4413" ht="18" customHeight="1" s="17">
      <c r="A4413" s="48">
        <f>IF(Generation!$B93,"    &lt;/itemmetadata&gt;","")</f>
        <v/>
      </c>
      <c r="B4413" s="48" t="n"/>
      <c r="C4413" s="48" t="n"/>
    </row>
    <row r="4414" ht="18" customHeight="1" s="17">
      <c r="A4414" s="48">
        <f>IF(Generation!$B93,"    &lt;presentation label="""&amp;Generation!$F93&amp;"""&gt;","")</f>
        <v/>
      </c>
      <c r="B4414" s="48" t="n"/>
      <c r="C4414" s="48" t="n"/>
    </row>
    <row r="4415" ht="18" customHeight="1" s="17">
      <c r="A4415" s="48">
        <f>IF(Generation!$B93,"      &lt;material&gt;&lt;mattext texttype=""text/html""&gt;"&amp;Generation!$G93&amp;"&lt;/mattext&gt;&lt;/material&gt;","")</f>
        <v/>
      </c>
      <c r="B4415" s="48" t="n"/>
      <c r="C4415" s="48" t="n"/>
    </row>
    <row r="4416" ht="18" customHeight="1" s="17">
      <c r="A4416" s="48">
        <f>IF(Generation!$B93,"      &lt;response_lid ident=""RESPONSE"" rcardinality="""&amp;Generation!$E93&amp;"""&gt;","")</f>
        <v/>
      </c>
      <c r="B4416" s="48" t="n"/>
      <c r="C4416" s="48" t="n"/>
    </row>
    <row r="4417" ht="18" customHeight="1" s="17">
      <c r="A4417" s="48">
        <f>IF(Generation!$B93,"        &lt;render_choice shuffle=""No""&gt;","")</f>
        <v/>
      </c>
      <c r="B4417" s="48" t="n"/>
      <c r="C4417" s="48" t="n"/>
    </row>
    <row r="4418" ht="18" customHeight="1" s="17">
      <c r="A4418" s="48">
        <f>IF(Generation!AB93="","",Generation!AB93)</f>
        <v/>
      </c>
      <c r="B4418" s="48" t="n"/>
      <c r="C4418" s="48" t="n"/>
    </row>
    <row r="4419" ht="18" customHeight="1" s="17">
      <c r="A4419" s="48">
        <f>IF(Generation!AC93="","",Generation!AC93)</f>
        <v/>
      </c>
      <c r="B4419" s="48" t="n"/>
      <c r="C4419" s="48" t="n"/>
    </row>
    <row r="4420" ht="18" customHeight="1" s="17">
      <c r="A4420" s="48">
        <f>IF(Generation!AD93="","",Generation!AD93)</f>
        <v/>
      </c>
      <c r="B4420" s="48" t="n"/>
      <c r="C4420" s="48" t="n"/>
    </row>
    <row r="4421" ht="18" customHeight="1" s="17">
      <c r="A4421" s="48">
        <f>IF(Generation!AE93="","",Generation!AE93)</f>
        <v/>
      </c>
      <c r="B4421" s="48" t="n"/>
      <c r="C4421" s="48" t="n"/>
    </row>
    <row r="4422" ht="18" customHeight="1" s="17">
      <c r="A4422" s="48">
        <f>IF(Generation!AF93="","",Generation!AF93)</f>
        <v/>
      </c>
      <c r="B4422" s="48" t="n"/>
      <c r="C4422" s="48" t="n"/>
    </row>
    <row r="4423" ht="18" customHeight="1" s="17">
      <c r="A4423" s="48">
        <f>IF(Generation!AG93="","",Generation!AG93)</f>
        <v/>
      </c>
      <c r="B4423" s="48" t="n"/>
      <c r="C4423" s="48" t="n"/>
    </row>
    <row r="4424" ht="18" customHeight="1" s="17">
      <c r="A4424" s="48">
        <f>IF(Generation!AH93="","",Generation!AH93)</f>
        <v/>
      </c>
      <c r="B4424" s="48" t="n"/>
      <c r="C4424" s="48" t="n"/>
    </row>
    <row r="4425" ht="18" customHeight="1" s="17">
      <c r="A4425" s="48">
        <f>IF(Generation!AI93="","",Generation!AI93)</f>
        <v/>
      </c>
      <c r="B4425" s="48" t="n"/>
      <c r="C4425" s="48" t="n"/>
    </row>
    <row r="4426" ht="18" customHeight="1" s="17">
      <c r="A4426" s="48">
        <f>IF(Generation!$B93,"        &lt;/render_choice&gt;","")</f>
        <v/>
      </c>
      <c r="B4426" s="48" t="n"/>
      <c r="C4426" s="48" t="n"/>
    </row>
    <row r="4427" ht="18" customHeight="1" s="17">
      <c r="A4427" s="48">
        <f>IF(Generation!$B93,"      &lt;/response_lid&gt;","")</f>
        <v/>
      </c>
      <c r="B4427" s="48" t="n"/>
      <c r="C4427" s="48" t="n"/>
    </row>
    <row r="4428" ht="18" customHeight="1" s="17">
      <c r="A4428" s="48">
        <f>IF(Generation!$B93,"    &lt;/presentation&gt;","")</f>
        <v/>
      </c>
      <c r="B4428" s="48" t="n"/>
      <c r="C4428" s="48" t="n"/>
    </row>
    <row r="4429" ht="18" customHeight="1" s="17">
      <c r="A4429" s="48">
        <f>IF(Generation!$B93,"    &lt;resprocessing&gt;","")</f>
        <v/>
      </c>
      <c r="B4429" s="48" t="n"/>
      <c r="C4429" s="48" t="n"/>
    </row>
    <row r="4430" ht="18" customHeight="1" s="17">
      <c r="A4430" s="48">
        <f>IF(Generation!$B93,"      &lt;outcomes&gt;&lt;decvar varname=""SCORE"" vartype=""Decimal"" minvalue=""0"" maxvalue="""&amp;Generation!$H93&amp;"""/&gt;&lt;/outcomes&gt;","")</f>
        <v/>
      </c>
      <c r="B4430" s="48" t="n"/>
      <c r="C4430" s="48" t="n"/>
    </row>
    <row r="4431" ht="18" customHeight="1" s="17">
      <c r="A4431" s="48">
        <f>IF(Generation!AJ93="","",Generation!AJ93)</f>
        <v/>
      </c>
      <c r="B4431" s="48" t="n"/>
      <c r="C4431" s="48" t="n"/>
    </row>
    <row r="4432" ht="18" customHeight="1" s="17">
      <c r="A4432" s="48">
        <f>IF(Generation!AK93="","",Generation!AK93)</f>
        <v/>
      </c>
      <c r="B4432" s="48" t="n"/>
      <c r="C4432" s="48" t="n"/>
    </row>
    <row r="4433" ht="18" customHeight="1" s="17">
      <c r="A4433" s="48">
        <f>IF(Generation!AL93="","",Generation!AL93)</f>
        <v/>
      </c>
      <c r="B4433" s="48" t="n"/>
      <c r="C4433" s="48" t="n"/>
    </row>
    <row r="4434" ht="18" customHeight="1" s="17">
      <c r="A4434" s="48">
        <f>IF(Generation!AM93="","",Generation!AM93)</f>
        <v/>
      </c>
      <c r="B4434" s="48" t="n"/>
      <c r="C4434" s="48" t="n"/>
    </row>
    <row r="4435" ht="18" customHeight="1" s="17">
      <c r="A4435" s="48">
        <f>IF(Generation!AN93="","",Generation!AN93)</f>
        <v/>
      </c>
      <c r="B4435" s="48" t="n"/>
      <c r="C4435" s="48" t="n"/>
    </row>
    <row r="4436" ht="18" customHeight="1" s="17">
      <c r="A4436" s="48">
        <f>IF(Generation!AO93="","",Generation!AO93)</f>
        <v/>
      </c>
      <c r="B4436" s="48" t="n"/>
      <c r="C4436" s="48" t="n"/>
    </row>
    <row r="4437" ht="18" customHeight="1" s="17">
      <c r="A4437" s="48">
        <f>IF(Generation!AP93="","",Generation!AP93)</f>
        <v/>
      </c>
      <c r="B4437" s="48" t="n"/>
      <c r="C4437" s="48" t="n"/>
    </row>
    <row r="4438" ht="18" customHeight="1" s="17">
      <c r="A4438" s="48">
        <f>IF(Generation!AQ93="","",Generation!AQ93)</f>
        <v/>
      </c>
      <c r="B4438" s="48" t="n"/>
      <c r="C4438" s="48" t="n"/>
    </row>
    <row r="4439" ht="18" customHeight="1" s="17">
      <c r="A4439" s="48">
        <f>IF(Generation!$B93,"    &lt;/resprocessing&gt;","")</f>
        <v/>
      </c>
      <c r="B4439" s="48" t="n"/>
      <c r="C4439" s="48" t="n"/>
    </row>
    <row r="4440" ht="18" customHeight="1" s="17">
      <c r="A4440" s="48">
        <f>IF(Generation!BB93="","",Generation!BB93)</f>
        <v/>
      </c>
      <c r="B4440" s="48" t="n"/>
      <c r="C4440" s="48" t="n"/>
    </row>
    <row r="4441" ht="18" customHeight="1" s="17">
      <c r="A4441" s="48">
        <f>IF(Generation!BC93="","",Generation!BC93)</f>
        <v/>
      </c>
      <c r="B4441" s="48" t="n"/>
      <c r="C4441" s="48" t="n"/>
    </row>
    <row r="4442" ht="18" customHeight="1" s="17">
      <c r="A4442" s="48">
        <f>IF(Generation!BD93="","",Generation!BD93)</f>
        <v/>
      </c>
      <c r="B4442" s="48" t="n"/>
      <c r="C4442" s="48" t="n"/>
    </row>
    <row r="4443" ht="18" customHeight="1" s="17">
      <c r="A4443" s="48">
        <f>IF(Generation!BE93="","",Generation!BE93)</f>
        <v/>
      </c>
      <c r="B4443" s="48" t="n"/>
      <c r="C4443" s="48" t="n"/>
    </row>
    <row r="4444" ht="18" customHeight="1" s="17">
      <c r="A4444" s="48">
        <f>IF(Generation!BF93="","",Generation!BF93)</f>
        <v/>
      </c>
      <c r="B4444" s="48" t="n"/>
      <c r="C4444" s="48" t="n"/>
    </row>
    <row r="4445" ht="18" customHeight="1" s="17">
      <c r="A4445" s="48">
        <f>IF(Generation!BG93="","",Generation!BG93)</f>
        <v/>
      </c>
      <c r="B4445" s="48" t="n"/>
      <c r="C4445" s="48" t="n"/>
    </row>
    <row r="4446" ht="18" customHeight="1" s="17">
      <c r="A4446" s="48">
        <f>IF(Generation!BH93="","",Generation!BH93)</f>
        <v/>
      </c>
      <c r="B4446" s="48" t="n"/>
      <c r="C4446" s="48" t="n"/>
    </row>
    <row r="4447" ht="18" customHeight="1" s="17">
      <c r="A4447" s="48">
        <f>IF(Generation!BI93="","",Generation!BI93)</f>
        <v/>
      </c>
      <c r="B4447" s="48" t="n"/>
      <c r="C4447" s="48" t="n"/>
    </row>
    <row r="4448" ht="18" customHeight="1" s="17">
      <c r="A4448" s="48">
        <f>IF(Generation!BJ93="","",Generation!BJ93)</f>
        <v/>
      </c>
      <c r="B4448" s="48" t="n"/>
      <c r="C4448" s="48" t="n"/>
    </row>
    <row r="4449" ht="18" customHeight="1" s="17">
      <c r="A4449" s="48">
        <f>IF(Generation!$B93,"  &lt;/item&gt;","")</f>
        <v/>
      </c>
      <c r="B4449" s="48" t="n"/>
      <c r="C4449" s="48" t="n"/>
    </row>
    <row r="4450" ht="18" customHeight="1" s="17">
      <c r="A4450" s="48">
        <f>""</f>
        <v/>
      </c>
      <c r="B4450" s="48" t="n"/>
      <c r="C4450" s="48" t="n"/>
    </row>
    <row r="4451" ht="18" customHeight="1" s="17">
      <c r="A4451" s="48">
        <f>""</f>
        <v/>
      </c>
      <c r="B4451" s="48" t="n"/>
      <c r="C4451" s="48" t="n"/>
    </row>
    <row r="4452" ht="18" customHeight="1" s="17">
      <c r="A4452" s="48">
        <f>""</f>
        <v/>
      </c>
      <c r="B4452" s="48" t="n"/>
      <c r="C4452" s="48" t="n"/>
    </row>
    <row r="4453" ht="18" customHeight="1" s="17">
      <c r="A4453" s="48">
        <f>""</f>
        <v/>
      </c>
      <c r="B4453" s="48" t="n"/>
      <c r="C4453" s="48" t="n"/>
    </row>
    <row r="4454" ht="18" customHeight="1" s="17">
      <c r="A4454" s="48">
        <f>IF(Generation!$B94,"  &lt;item ident=""il_0_qst_"&amp;TEXT(Generation!$A94,"000")&amp;""" title="""&amp;Generation!$F94&amp;"""&gt;","")</f>
        <v/>
      </c>
      <c r="B4454" s="48" t="n"/>
      <c r="C4454" s="48" t="n"/>
    </row>
    <row r="4455" ht="18" customHeight="1" s="17">
      <c r="A4455" s="48">
        <f>IF(Generation!$B94,"    &lt;duration&gt;P0Y0M0DT0H1M0S&lt;/duration&gt;","")</f>
        <v/>
      </c>
      <c r="B4455" s="48" t="n"/>
      <c r="C4455" s="48" t="n"/>
    </row>
    <row r="4456" ht="18" customHeight="1" s="17">
      <c r="A4456" s="48">
        <f>IF(Generation!$B94,"    &lt;itemmetadata&gt;","")</f>
        <v/>
      </c>
      <c r="B4456" s="48" t="n"/>
      <c r="C4456" s="48" t="n"/>
    </row>
    <row r="4457" ht="18" customHeight="1" s="17">
      <c r="A4457" s="48">
        <f>IF(Generation!$B94,"      &lt;qtimetadata&gt;","")</f>
        <v/>
      </c>
      <c r="B4457" s="48" t="n"/>
      <c r="C4457" s="48" t="n"/>
    </row>
    <row r="4458" ht="18" customHeight="1" s="17">
      <c r="A4458" s="48">
        <f>IF(Generation!$B94,"        &lt;qtimetadatafield&gt;&lt;fieldlabel&gt;ILIAS_VERSION&lt;/fieldlabel&gt;&lt;fieldentry&gt;8&lt;/fieldentry&gt;&lt;/qtimetadatafield&gt;","")</f>
        <v/>
      </c>
      <c r="B4458" s="48" t="n"/>
      <c r="C4458" s="48" t="n"/>
    </row>
    <row r="4459" ht="18" customHeight="1" s="17">
      <c r="A4459" s="48">
        <f>IF(Generation!$B94,"        &lt;qtimetadatafield&gt;&lt;fieldlabel&gt;QUESTIONTYPE&lt;/fieldlabel&gt;&lt;fieldentry&gt;"&amp;Generation!$D94&amp;"&lt;/fieldentry&gt;&lt;/qtimetadatafield&gt;","")</f>
        <v/>
      </c>
      <c r="B4459" s="48" t="n"/>
      <c r="C4459" s="48" t="n"/>
    </row>
    <row r="4460" ht="18" customHeight="1" s="17">
      <c r="A4460" s="48">
        <f>IF(Generation!$B94,"        &lt;qtimetadatafield&gt;&lt;fieldlabel&gt;AUTHOR&lt;/fieldlabel&gt;&lt;fieldentry&gt;"&amp;Generation!$AR94&amp;"&lt;/fieldentry&gt;&lt;/qtimetadatafield&gt;","")</f>
        <v/>
      </c>
      <c r="B4460" s="48" t="n"/>
      <c r="C4460" s="48" t="n"/>
    </row>
    <row r="4461" ht="18" customHeight="1" s="17">
      <c r="A4461" s="48">
        <f>IF(Generation!$B94,"        &lt;qtimetadatafield&gt;&lt;fieldlabel&gt;identicalScoring&lt;/fieldlabel&gt;&lt;fieldentry&gt;1&lt;/fieldentry&gt;&lt;/qtimetadatafield&gt;","")</f>
        <v/>
      </c>
      <c r="B4461" s="48" t="n"/>
      <c r="C4461" s="48" t="n"/>
    </row>
    <row r="4462" ht="18" customHeight="1" s="17">
      <c r="A4462" s="48">
        <f>IF(Generation!$B94,"      &lt;/qtimetadata&gt;","")</f>
        <v/>
      </c>
      <c r="B4462" s="48" t="n"/>
      <c r="C4462" s="48" t="n"/>
    </row>
    <row r="4463" ht="18" customHeight="1" s="17">
      <c r="A4463" s="48">
        <f>IF(Generation!$B94,"    &lt;/itemmetadata&gt;","")</f>
        <v/>
      </c>
      <c r="B4463" s="48" t="n"/>
      <c r="C4463" s="48" t="n"/>
    </row>
    <row r="4464" ht="18" customHeight="1" s="17">
      <c r="A4464" s="48">
        <f>IF(Generation!$B94,"    &lt;presentation label="""&amp;Generation!$F94&amp;"""&gt;","")</f>
        <v/>
      </c>
      <c r="B4464" s="48" t="n"/>
      <c r="C4464" s="48" t="n"/>
    </row>
    <row r="4465" ht="18" customHeight="1" s="17">
      <c r="A4465" s="48">
        <f>IF(Generation!$B94,"      &lt;material&gt;&lt;mattext texttype=""text/html""&gt;"&amp;Generation!$G94&amp;"&lt;/mattext&gt;&lt;/material&gt;","")</f>
        <v/>
      </c>
      <c r="B4465" s="48" t="n"/>
      <c r="C4465" s="48" t="n"/>
    </row>
    <row r="4466" ht="18" customHeight="1" s="17">
      <c r="A4466" s="48">
        <f>IF(Generation!$B94,"      &lt;response_lid ident=""RESPONSE"" rcardinality="""&amp;Generation!$E94&amp;"""&gt;","")</f>
        <v/>
      </c>
      <c r="B4466" s="48" t="n"/>
      <c r="C4466" s="48" t="n"/>
    </row>
    <row r="4467" ht="18" customHeight="1" s="17">
      <c r="A4467" s="48">
        <f>IF(Generation!$B94,"        &lt;render_choice shuffle=""No""&gt;","")</f>
        <v/>
      </c>
      <c r="B4467" s="48" t="n"/>
      <c r="C4467" s="48" t="n"/>
    </row>
    <row r="4468" ht="18" customHeight="1" s="17">
      <c r="A4468" s="48">
        <f>IF(Generation!AB94="","",Generation!AB94)</f>
        <v/>
      </c>
      <c r="B4468" s="48" t="n"/>
      <c r="C4468" s="48" t="n"/>
    </row>
    <row r="4469" ht="18" customHeight="1" s="17">
      <c r="A4469" s="48">
        <f>IF(Generation!AC94="","",Generation!AC94)</f>
        <v/>
      </c>
      <c r="B4469" s="48" t="n"/>
      <c r="C4469" s="48" t="n"/>
    </row>
    <row r="4470" ht="18" customHeight="1" s="17">
      <c r="A4470" s="48">
        <f>IF(Generation!AD94="","",Generation!AD94)</f>
        <v/>
      </c>
      <c r="B4470" s="48" t="n"/>
      <c r="C4470" s="48" t="n"/>
    </row>
    <row r="4471" ht="18" customHeight="1" s="17">
      <c r="A4471" s="48">
        <f>IF(Generation!AE94="","",Generation!AE94)</f>
        <v/>
      </c>
      <c r="B4471" s="48" t="n"/>
      <c r="C4471" s="48" t="n"/>
    </row>
    <row r="4472" ht="18" customHeight="1" s="17">
      <c r="A4472" s="48">
        <f>IF(Generation!AF94="","",Generation!AF94)</f>
        <v/>
      </c>
      <c r="B4472" s="48" t="n"/>
      <c r="C4472" s="48" t="n"/>
    </row>
    <row r="4473" ht="18" customHeight="1" s="17">
      <c r="A4473" s="48">
        <f>IF(Generation!AG94="","",Generation!AG94)</f>
        <v/>
      </c>
      <c r="B4473" s="48" t="n"/>
      <c r="C4473" s="48" t="n"/>
    </row>
    <row r="4474" ht="18" customHeight="1" s="17">
      <c r="A4474" s="48">
        <f>IF(Generation!AH94="","",Generation!AH94)</f>
        <v/>
      </c>
      <c r="B4474" s="48" t="n"/>
      <c r="C4474" s="48" t="n"/>
    </row>
    <row r="4475" ht="18" customHeight="1" s="17">
      <c r="A4475" s="48">
        <f>IF(Generation!AI94="","",Generation!AI94)</f>
        <v/>
      </c>
      <c r="B4475" s="48" t="n"/>
      <c r="C4475" s="48" t="n"/>
    </row>
    <row r="4476" ht="18" customHeight="1" s="17">
      <c r="A4476" s="48">
        <f>IF(Generation!$B94,"        &lt;/render_choice&gt;","")</f>
        <v/>
      </c>
      <c r="B4476" s="48" t="n"/>
      <c r="C4476" s="48" t="n"/>
    </row>
    <row r="4477" ht="18" customHeight="1" s="17">
      <c r="A4477" s="48">
        <f>IF(Generation!$B94,"      &lt;/response_lid&gt;","")</f>
        <v/>
      </c>
      <c r="B4477" s="48" t="n"/>
      <c r="C4477" s="48" t="n"/>
    </row>
    <row r="4478" ht="18" customHeight="1" s="17">
      <c r="A4478" s="48">
        <f>IF(Generation!$B94,"    &lt;/presentation&gt;","")</f>
        <v/>
      </c>
      <c r="B4478" s="48" t="n"/>
      <c r="C4478" s="48" t="n"/>
    </row>
    <row r="4479" ht="18" customHeight="1" s="17">
      <c r="A4479" s="48">
        <f>IF(Generation!$B94,"    &lt;resprocessing&gt;","")</f>
        <v/>
      </c>
      <c r="B4479" s="48" t="n"/>
      <c r="C4479" s="48" t="n"/>
    </row>
    <row r="4480" ht="18" customHeight="1" s="17">
      <c r="A4480" s="48">
        <f>IF(Generation!$B94,"      &lt;outcomes&gt;&lt;decvar varname=""SCORE"" vartype=""Decimal"" minvalue=""0"" maxvalue="""&amp;Generation!$H94&amp;"""/&gt;&lt;/outcomes&gt;","")</f>
        <v/>
      </c>
      <c r="B4480" s="48" t="n"/>
      <c r="C4480" s="48" t="n"/>
    </row>
    <row r="4481" ht="18" customHeight="1" s="17">
      <c r="A4481" s="48">
        <f>IF(Generation!AJ94="","",Generation!AJ94)</f>
        <v/>
      </c>
      <c r="B4481" s="48" t="n"/>
      <c r="C4481" s="48" t="n"/>
    </row>
    <row r="4482" ht="18" customHeight="1" s="17">
      <c r="A4482" s="48">
        <f>IF(Generation!AK94="","",Generation!AK94)</f>
        <v/>
      </c>
      <c r="B4482" s="48" t="n"/>
      <c r="C4482" s="48" t="n"/>
    </row>
    <row r="4483" ht="18" customHeight="1" s="17">
      <c r="A4483" s="48">
        <f>IF(Generation!AL94="","",Generation!AL94)</f>
        <v/>
      </c>
      <c r="B4483" s="48" t="n"/>
      <c r="C4483" s="48" t="n"/>
    </row>
    <row r="4484" ht="18" customHeight="1" s="17">
      <c r="A4484" s="48">
        <f>IF(Generation!AM94="","",Generation!AM94)</f>
        <v/>
      </c>
      <c r="B4484" s="48" t="n"/>
      <c r="C4484" s="48" t="n"/>
    </row>
    <row r="4485" ht="18" customHeight="1" s="17">
      <c r="A4485" s="48">
        <f>IF(Generation!AN94="","",Generation!AN94)</f>
        <v/>
      </c>
      <c r="B4485" s="48" t="n"/>
      <c r="C4485" s="48" t="n"/>
    </row>
    <row r="4486" ht="18" customHeight="1" s="17">
      <c r="A4486" s="48">
        <f>IF(Generation!AO94="","",Generation!AO94)</f>
        <v/>
      </c>
      <c r="B4486" s="48" t="n"/>
      <c r="C4486" s="48" t="n"/>
    </row>
    <row r="4487" ht="18" customHeight="1" s="17">
      <c r="A4487" s="48">
        <f>IF(Generation!AP94="","",Generation!AP94)</f>
        <v/>
      </c>
      <c r="B4487" s="48" t="n"/>
      <c r="C4487" s="48" t="n"/>
    </row>
    <row r="4488" ht="18" customHeight="1" s="17">
      <c r="A4488" s="48">
        <f>IF(Generation!AQ94="","",Generation!AQ94)</f>
        <v/>
      </c>
      <c r="B4488" s="48" t="n"/>
      <c r="C4488" s="48" t="n"/>
    </row>
    <row r="4489" ht="18" customHeight="1" s="17">
      <c r="A4489" s="48">
        <f>IF(Generation!$B94,"    &lt;/resprocessing&gt;","")</f>
        <v/>
      </c>
      <c r="B4489" s="48" t="n"/>
      <c r="C4489" s="48" t="n"/>
    </row>
    <row r="4490" ht="18" customHeight="1" s="17">
      <c r="A4490" s="48">
        <f>IF(Generation!BB94="","",Generation!BB94)</f>
        <v/>
      </c>
      <c r="B4490" s="48" t="n"/>
      <c r="C4490" s="48" t="n"/>
    </row>
    <row r="4491" ht="18" customHeight="1" s="17">
      <c r="A4491" s="48">
        <f>IF(Generation!BC94="","",Generation!BC94)</f>
        <v/>
      </c>
      <c r="B4491" s="48" t="n"/>
      <c r="C4491" s="48" t="n"/>
    </row>
    <row r="4492" ht="18" customHeight="1" s="17">
      <c r="A4492" s="48">
        <f>IF(Generation!BD94="","",Generation!BD94)</f>
        <v/>
      </c>
      <c r="B4492" s="48" t="n"/>
      <c r="C4492" s="48" t="n"/>
    </row>
    <row r="4493" ht="18" customHeight="1" s="17">
      <c r="A4493" s="48">
        <f>IF(Generation!BE94="","",Generation!BE94)</f>
        <v/>
      </c>
      <c r="B4493" s="48" t="n"/>
      <c r="C4493" s="48" t="n"/>
    </row>
    <row r="4494" ht="18" customHeight="1" s="17">
      <c r="A4494" s="48">
        <f>IF(Generation!BF94="","",Generation!BF94)</f>
        <v/>
      </c>
      <c r="B4494" s="48" t="n"/>
      <c r="C4494" s="48" t="n"/>
    </row>
    <row r="4495" ht="18" customHeight="1" s="17">
      <c r="A4495" s="48">
        <f>IF(Generation!BG94="","",Generation!BG94)</f>
        <v/>
      </c>
      <c r="B4495" s="48" t="n"/>
      <c r="C4495" s="48" t="n"/>
    </row>
    <row r="4496" ht="18" customHeight="1" s="17">
      <c r="A4496" s="48">
        <f>IF(Generation!BH94="","",Generation!BH94)</f>
        <v/>
      </c>
      <c r="B4496" s="48" t="n"/>
      <c r="C4496" s="48" t="n"/>
    </row>
    <row r="4497" ht="18" customHeight="1" s="17">
      <c r="A4497" s="48">
        <f>IF(Generation!BI94="","",Generation!BI94)</f>
        <v/>
      </c>
      <c r="B4497" s="48" t="n"/>
      <c r="C4497" s="48" t="n"/>
    </row>
    <row r="4498" ht="18" customHeight="1" s="17">
      <c r="A4498" s="48">
        <f>IF(Generation!BJ94="","",Generation!BJ94)</f>
        <v/>
      </c>
      <c r="B4498" s="48" t="n"/>
      <c r="C4498" s="48" t="n"/>
    </row>
    <row r="4499" ht="18" customHeight="1" s="17">
      <c r="A4499" s="48">
        <f>IF(Generation!$B94,"  &lt;/item&gt;","")</f>
        <v/>
      </c>
      <c r="B4499" s="48" t="n"/>
      <c r="C4499" s="48" t="n"/>
    </row>
    <row r="4500" ht="18" customHeight="1" s="17">
      <c r="A4500" s="48">
        <f>""</f>
        <v/>
      </c>
      <c r="B4500" s="48" t="n"/>
      <c r="C4500" s="48" t="n"/>
    </row>
    <row r="4501" ht="18" customHeight="1" s="17">
      <c r="A4501" s="48">
        <f>""</f>
        <v/>
      </c>
      <c r="B4501" s="48" t="n"/>
      <c r="C4501" s="48" t="n"/>
    </row>
    <row r="4502" ht="18" customHeight="1" s="17">
      <c r="A4502" s="48">
        <f>""</f>
        <v/>
      </c>
      <c r="B4502" s="48" t="n"/>
      <c r="C4502" s="48" t="n"/>
    </row>
    <row r="4503" ht="18" customHeight="1" s="17">
      <c r="A4503" s="48">
        <f>""</f>
        <v/>
      </c>
      <c r="B4503" s="48" t="n"/>
      <c r="C4503" s="48" t="n"/>
    </row>
    <row r="4504" ht="18" customHeight="1" s="17">
      <c r="A4504" s="48">
        <f>IF(Generation!$B95,"  &lt;item ident=""il_0_qst_"&amp;TEXT(Generation!$A95,"000")&amp;""" title="""&amp;Generation!$F95&amp;"""&gt;","")</f>
        <v/>
      </c>
      <c r="B4504" s="48" t="n"/>
      <c r="C4504" s="48" t="n"/>
    </row>
    <row r="4505" ht="18" customHeight="1" s="17">
      <c r="A4505" s="48">
        <f>IF(Generation!$B95,"    &lt;duration&gt;P0Y0M0DT0H1M0S&lt;/duration&gt;","")</f>
        <v/>
      </c>
      <c r="B4505" s="48" t="n"/>
      <c r="C4505" s="48" t="n"/>
    </row>
    <row r="4506" ht="18" customHeight="1" s="17">
      <c r="A4506" s="48">
        <f>IF(Generation!$B95,"    &lt;itemmetadata&gt;","")</f>
        <v/>
      </c>
      <c r="B4506" s="48" t="n"/>
      <c r="C4506" s="48" t="n"/>
    </row>
    <row r="4507" ht="18" customHeight="1" s="17">
      <c r="A4507" s="48">
        <f>IF(Generation!$B95,"      &lt;qtimetadata&gt;","")</f>
        <v/>
      </c>
      <c r="B4507" s="48" t="n"/>
      <c r="C4507" s="48" t="n"/>
    </row>
    <row r="4508" ht="18" customHeight="1" s="17">
      <c r="A4508" s="48">
        <f>IF(Generation!$B95,"        &lt;qtimetadatafield&gt;&lt;fieldlabel&gt;ILIAS_VERSION&lt;/fieldlabel&gt;&lt;fieldentry&gt;8&lt;/fieldentry&gt;&lt;/qtimetadatafield&gt;","")</f>
        <v/>
      </c>
      <c r="B4508" s="48" t="n"/>
      <c r="C4508" s="48" t="n"/>
    </row>
    <row r="4509" ht="18" customHeight="1" s="17">
      <c r="A4509" s="48">
        <f>IF(Generation!$B95,"        &lt;qtimetadatafield&gt;&lt;fieldlabel&gt;QUESTIONTYPE&lt;/fieldlabel&gt;&lt;fieldentry&gt;"&amp;Generation!$D95&amp;"&lt;/fieldentry&gt;&lt;/qtimetadatafield&gt;","")</f>
        <v/>
      </c>
      <c r="B4509" s="48" t="n"/>
      <c r="C4509" s="48" t="n"/>
    </row>
    <row r="4510" ht="18" customHeight="1" s="17">
      <c r="A4510" s="48">
        <f>IF(Generation!$B95,"        &lt;qtimetadatafield&gt;&lt;fieldlabel&gt;AUTHOR&lt;/fieldlabel&gt;&lt;fieldentry&gt;"&amp;Generation!$AR95&amp;"&lt;/fieldentry&gt;&lt;/qtimetadatafield&gt;","")</f>
        <v/>
      </c>
      <c r="B4510" s="48" t="n"/>
      <c r="C4510" s="48" t="n"/>
    </row>
    <row r="4511" ht="18" customHeight="1" s="17">
      <c r="A4511" s="48">
        <f>IF(Generation!$B95,"        &lt;qtimetadatafield&gt;&lt;fieldlabel&gt;identicalScoring&lt;/fieldlabel&gt;&lt;fieldentry&gt;1&lt;/fieldentry&gt;&lt;/qtimetadatafield&gt;","")</f>
        <v/>
      </c>
      <c r="B4511" s="48" t="n"/>
      <c r="C4511" s="48" t="n"/>
    </row>
    <row r="4512" ht="18" customHeight="1" s="17">
      <c r="A4512" s="48">
        <f>IF(Generation!$B95,"      &lt;/qtimetadata&gt;","")</f>
        <v/>
      </c>
      <c r="B4512" s="48" t="n"/>
      <c r="C4512" s="48" t="n"/>
    </row>
    <row r="4513" ht="18" customHeight="1" s="17">
      <c r="A4513" s="48">
        <f>IF(Generation!$B95,"    &lt;/itemmetadata&gt;","")</f>
        <v/>
      </c>
      <c r="B4513" s="48" t="n"/>
      <c r="C4513" s="48" t="n"/>
    </row>
    <row r="4514" ht="18" customHeight="1" s="17">
      <c r="A4514" s="48">
        <f>IF(Generation!$B95,"    &lt;presentation label="""&amp;Generation!$F95&amp;"""&gt;","")</f>
        <v/>
      </c>
      <c r="B4514" s="48" t="n"/>
      <c r="C4514" s="48" t="n"/>
    </row>
    <row r="4515" ht="18" customHeight="1" s="17">
      <c r="A4515" s="48">
        <f>IF(Generation!$B95,"      &lt;material&gt;&lt;mattext texttype=""text/html""&gt;"&amp;Generation!$G95&amp;"&lt;/mattext&gt;&lt;/material&gt;","")</f>
        <v/>
      </c>
      <c r="B4515" s="48" t="n"/>
      <c r="C4515" s="48" t="n"/>
    </row>
    <row r="4516" ht="18" customHeight="1" s="17">
      <c r="A4516" s="48">
        <f>IF(Generation!$B95,"      &lt;response_lid ident=""RESPONSE"" rcardinality="""&amp;Generation!$E95&amp;"""&gt;","")</f>
        <v/>
      </c>
      <c r="B4516" s="48" t="n"/>
      <c r="C4516" s="48" t="n"/>
    </row>
    <row r="4517" ht="18" customHeight="1" s="17">
      <c r="A4517" s="48">
        <f>IF(Generation!$B95,"        &lt;render_choice shuffle=""No""&gt;","")</f>
        <v/>
      </c>
      <c r="B4517" s="48" t="n"/>
      <c r="C4517" s="48" t="n"/>
    </row>
    <row r="4518" ht="18" customHeight="1" s="17">
      <c r="A4518" s="48">
        <f>IF(Generation!AB95="","",Generation!AB95)</f>
        <v/>
      </c>
      <c r="B4518" s="48" t="n"/>
      <c r="C4518" s="48" t="n"/>
    </row>
    <row r="4519" ht="18" customHeight="1" s="17">
      <c r="A4519" s="48">
        <f>IF(Generation!AC95="","",Generation!AC95)</f>
        <v/>
      </c>
      <c r="B4519" s="48" t="n"/>
      <c r="C4519" s="48" t="n"/>
    </row>
    <row r="4520" ht="18" customHeight="1" s="17">
      <c r="A4520" s="48">
        <f>IF(Generation!AD95="","",Generation!AD95)</f>
        <v/>
      </c>
      <c r="B4520" s="48" t="n"/>
      <c r="C4520" s="48" t="n"/>
    </row>
    <row r="4521" ht="18" customHeight="1" s="17">
      <c r="A4521" s="48">
        <f>IF(Generation!AE95="","",Generation!AE95)</f>
        <v/>
      </c>
      <c r="B4521" s="48" t="n"/>
      <c r="C4521" s="48" t="n"/>
    </row>
    <row r="4522" ht="18" customHeight="1" s="17">
      <c r="A4522" s="48">
        <f>IF(Generation!AF95="","",Generation!AF95)</f>
        <v/>
      </c>
      <c r="B4522" s="48" t="n"/>
      <c r="C4522" s="48" t="n"/>
    </row>
    <row r="4523" ht="18" customHeight="1" s="17">
      <c r="A4523" s="48">
        <f>IF(Generation!AG95="","",Generation!AG95)</f>
        <v/>
      </c>
      <c r="B4523" s="48" t="n"/>
      <c r="C4523" s="48" t="n"/>
    </row>
    <row r="4524" ht="18" customHeight="1" s="17">
      <c r="A4524" s="48">
        <f>IF(Generation!AH95="","",Generation!AH95)</f>
        <v/>
      </c>
      <c r="B4524" s="48" t="n"/>
      <c r="C4524" s="48" t="n"/>
    </row>
    <row r="4525" ht="18" customHeight="1" s="17">
      <c r="A4525" s="48">
        <f>IF(Generation!AI95="","",Generation!AI95)</f>
        <v/>
      </c>
      <c r="B4525" s="48" t="n"/>
      <c r="C4525" s="48" t="n"/>
    </row>
    <row r="4526" ht="18" customHeight="1" s="17">
      <c r="A4526" s="48">
        <f>IF(Generation!$B95,"        &lt;/render_choice&gt;","")</f>
        <v/>
      </c>
      <c r="B4526" s="48" t="n"/>
      <c r="C4526" s="48" t="n"/>
    </row>
    <row r="4527" ht="18" customHeight="1" s="17">
      <c r="A4527" s="48">
        <f>IF(Generation!$B95,"      &lt;/response_lid&gt;","")</f>
        <v/>
      </c>
      <c r="B4527" s="48" t="n"/>
      <c r="C4527" s="48" t="n"/>
    </row>
    <row r="4528" ht="18" customHeight="1" s="17">
      <c r="A4528" s="48">
        <f>IF(Generation!$B95,"    &lt;/presentation&gt;","")</f>
        <v/>
      </c>
      <c r="B4528" s="48" t="n"/>
      <c r="C4528" s="48" t="n"/>
    </row>
    <row r="4529" ht="18" customHeight="1" s="17">
      <c r="A4529" s="48">
        <f>IF(Generation!$B95,"    &lt;resprocessing&gt;","")</f>
        <v/>
      </c>
      <c r="B4529" s="48" t="n"/>
      <c r="C4529" s="48" t="n"/>
    </row>
    <row r="4530" ht="18" customHeight="1" s="17">
      <c r="A4530" s="48">
        <f>IF(Generation!$B95,"      &lt;outcomes&gt;&lt;decvar varname=""SCORE"" vartype=""Decimal"" minvalue=""0"" maxvalue="""&amp;Generation!$H95&amp;"""/&gt;&lt;/outcomes&gt;","")</f>
        <v/>
      </c>
      <c r="B4530" s="48" t="n"/>
      <c r="C4530" s="48" t="n"/>
    </row>
    <row r="4531" ht="18" customHeight="1" s="17">
      <c r="A4531" s="48">
        <f>IF(Generation!AJ95="","",Generation!AJ95)</f>
        <v/>
      </c>
      <c r="B4531" s="48" t="n"/>
      <c r="C4531" s="48" t="n"/>
    </row>
    <row r="4532" ht="18" customHeight="1" s="17">
      <c r="A4532" s="48">
        <f>IF(Generation!AK95="","",Generation!AK95)</f>
        <v/>
      </c>
      <c r="B4532" s="48" t="n"/>
      <c r="C4532" s="48" t="n"/>
    </row>
    <row r="4533" ht="18" customHeight="1" s="17">
      <c r="A4533" s="48">
        <f>IF(Generation!AL95="","",Generation!AL95)</f>
        <v/>
      </c>
      <c r="B4533" s="48" t="n"/>
      <c r="C4533" s="48" t="n"/>
    </row>
    <row r="4534" ht="18" customHeight="1" s="17">
      <c r="A4534" s="48">
        <f>IF(Generation!AM95="","",Generation!AM95)</f>
        <v/>
      </c>
      <c r="B4534" s="48" t="n"/>
      <c r="C4534" s="48" t="n"/>
    </row>
    <row r="4535" ht="18" customHeight="1" s="17">
      <c r="A4535" s="48">
        <f>IF(Generation!AN95="","",Generation!AN95)</f>
        <v/>
      </c>
      <c r="B4535" s="48" t="n"/>
      <c r="C4535" s="48" t="n"/>
    </row>
    <row r="4536" ht="18" customHeight="1" s="17">
      <c r="A4536" s="48">
        <f>IF(Generation!AO95="","",Generation!AO95)</f>
        <v/>
      </c>
      <c r="B4536" s="48" t="n"/>
      <c r="C4536" s="48" t="n"/>
    </row>
    <row r="4537" ht="18" customHeight="1" s="17">
      <c r="A4537" s="48">
        <f>IF(Generation!AP95="","",Generation!AP95)</f>
        <v/>
      </c>
      <c r="B4537" s="48" t="n"/>
      <c r="C4537" s="48" t="n"/>
    </row>
    <row r="4538" ht="18" customHeight="1" s="17">
      <c r="A4538" s="48">
        <f>IF(Generation!AQ95="","",Generation!AQ95)</f>
        <v/>
      </c>
      <c r="B4538" s="48" t="n"/>
      <c r="C4538" s="48" t="n"/>
    </row>
    <row r="4539" ht="18" customHeight="1" s="17">
      <c r="A4539" s="48">
        <f>IF(Generation!$B95,"    &lt;/resprocessing&gt;","")</f>
        <v/>
      </c>
      <c r="B4539" s="48" t="n"/>
      <c r="C4539" s="48" t="n"/>
    </row>
    <row r="4540" ht="18" customHeight="1" s="17">
      <c r="A4540" s="48">
        <f>IF(Generation!BB95="","",Generation!BB95)</f>
        <v/>
      </c>
      <c r="B4540" s="48" t="n"/>
      <c r="C4540" s="48" t="n"/>
    </row>
    <row r="4541" ht="18" customHeight="1" s="17">
      <c r="A4541" s="48">
        <f>IF(Generation!BC95="","",Generation!BC95)</f>
        <v/>
      </c>
      <c r="B4541" s="48" t="n"/>
      <c r="C4541" s="48" t="n"/>
    </row>
    <row r="4542" ht="18" customHeight="1" s="17">
      <c r="A4542" s="48">
        <f>IF(Generation!BD95="","",Generation!BD95)</f>
        <v/>
      </c>
      <c r="B4542" s="48" t="n"/>
      <c r="C4542" s="48" t="n"/>
    </row>
    <row r="4543" ht="18" customHeight="1" s="17">
      <c r="A4543" s="48">
        <f>IF(Generation!BE95="","",Generation!BE95)</f>
        <v/>
      </c>
      <c r="B4543" s="48" t="n"/>
      <c r="C4543" s="48" t="n"/>
    </row>
    <row r="4544" ht="18" customHeight="1" s="17">
      <c r="A4544" s="48">
        <f>IF(Generation!BF95="","",Generation!BF95)</f>
        <v/>
      </c>
      <c r="B4544" s="48" t="n"/>
      <c r="C4544" s="48" t="n"/>
    </row>
    <row r="4545" ht="18" customHeight="1" s="17">
      <c r="A4545" s="48">
        <f>IF(Generation!BG95="","",Generation!BG95)</f>
        <v/>
      </c>
      <c r="B4545" s="48" t="n"/>
      <c r="C4545" s="48" t="n"/>
    </row>
    <row r="4546" ht="18" customHeight="1" s="17">
      <c r="A4546" s="48">
        <f>IF(Generation!BH95="","",Generation!BH95)</f>
        <v/>
      </c>
      <c r="B4546" s="48" t="n"/>
      <c r="C4546" s="48" t="n"/>
    </row>
    <row r="4547" ht="18" customHeight="1" s="17">
      <c r="A4547" s="48">
        <f>IF(Generation!BI95="","",Generation!BI95)</f>
        <v/>
      </c>
      <c r="B4547" s="48" t="n"/>
      <c r="C4547" s="48" t="n"/>
    </row>
    <row r="4548" ht="18" customHeight="1" s="17">
      <c r="A4548" s="48">
        <f>IF(Generation!BJ95="","",Generation!BJ95)</f>
        <v/>
      </c>
      <c r="B4548" s="48" t="n"/>
      <c r="C4548" s="48" t="n"/>
    </row>
    <row r="4549" ht="18" customHeight="1" s="17">
      <c r="A4549" s="48">
        <f>IF(Generation!$B95,"  &lt;/item&gt;","")</f>
        <v/>
      </c>
      <c r="B4549" s="48" t="n"/>
      <c r="C4549" s="48" t="n"/>
    </row>
    <row r="4550" ht="18" customHeight="1" s="17">
      <c r="A4550" s="48">
        <f>""</f>
        <v/>
      </c>
      <c r="B4550" s="48" t="n"/>
      <c r="C4550" s="48" t="n"/>
    </row>
    <row r="4551" ht="18" customHeight="1" s="17">
      <c r="A4551" s="48">
        <f>""</f>
        <v/>
      </c>
      <c r="B4551" s="48" t="n"/>
      <c r="C4551" s="48" t="n"/>
    </row>
    <row r="4552" ht="18" customHeight="1" s="17">
      <c r="A4552" s="48">
        <f>""</f>
        <v/>
      </c>
      <c r="B4552" s="48" t="n"/>
      <c r="C4552" s="48" t="n"/>
    </row>
    <row r="4553" ht="18" customHeight="1" s="17">
      <c r="A4553" s="48">
        <f>""</f>
        <v/>
      </c>
      <c r="B4553" s="48" t="n"/>
      <c r="C4553" s="48" t="n"/>
    </row>
    <row r="4554" ht="18" customHeight="1" s="17">
      <c r="A4554" s="48">
        <f>IF(Generation!$B96,"  &lt;item ident=""il_0_qst_"&amp;TEXT(Generation!$A96,"000")&amp;""" title="""&amp;Generation!$F96&amp;"""&gt;","")</f>
        <v/>
      </c>
      <c r="B4554" s="48" t="n"/>
      <c r="C4554" s="48" t="n"/>
    </row>
    <row r="4555" ht="18" customHeight="1" s="17">
      <c r="A4555" s="48">
        <f>IF(Generation!$B96,"    &lt;duration&gt;P0Y0M0DT0H1M0S&lt;/duration&gt;","")</f>
        <v/>
      </c>
      <c r="B4555" s="48" t="n"/>
      <c r="C4555" s="48" t="n"/>
    </row>
    <row r="4556" ht="18" customHeight="1" s="17">
      <c r="A4556" s="48">
        <f>IF(Generation!$B96,"    &lt;itemmetadata&gt;","")</f>
        <v/>
      </c>
      <c r="B4556" s="48" t="n"/>
      <c r="C4556" s="48" t="n"/>
    </row>
    <row r="4557" ht="18" customHeight="1" s="17">
      <c r="A4557" s="48">
        <f>IF(Generation!$B96,"      &lt;qtimetadata&gt;","")</f>
        <v/>
      </c>
      <c r="B4557" s="48" t="n"/>
      <c r="C4557" s="48" t="n"/>
    </row>
    <row r="4558" ht="18" customHeight="1" s="17">
      <c r="A4558" s="48">
        <f>IF(Generation!$B96,"        &lt;qtimetadatafield&gt;&lt;fieldlabel&gt;ILIAS_VERSION&lt;/fieldlabel&gt;&lt;fieldentry&gt;8&lt;/fieldentry&gt;&lt;/qtimetadatafield&gt;","")</f>
        <v/>
      </c>
      <c r="B4558" s="48" t="n"/>
      <c r="C4558" s="48" t="n"/>
    </row>
    <row r="4559" ht="18" customHeight="1" s="17">
      <c r="A4559" s="48">
        <f>IF(Generation!$B96,"        &lt;qtimetadatafield&gt;&lt;fieldlabel&gt;QUESTIONTYPE&lt;/fieldlabel&gt;&lt;fieldentry&gt;"&amp;Generation!$D96&amp;"&lt;/fieldentry&gt;&lt;/qtimetadatafield&gt;","")</f>
        <v/>
      </c>
      <c r="B4559" s="48" t="n"/>
      <c r="C4559" s="48" t="n"/>
    </row>
    <row r="4560" ht="18" customHeight="1" s="17">
      <c r="A4560" s="48">
        <f>IF(Generation!$B96,"        &lt;qtimetadatafield&gt;&lt;fieldlabel&gt;AUTHOR&lt;/fieldlabel&gt;&lt;fieldentry&gt;"&amp;Generation!$AR96&amp;"&lt;/fieldentry&gt;&lt;/qtimetadatafield&gt;","")</f>
        <v/>
      </c>
      <c r="B4560" s="48" t="n"/>
      <c r="C4560" s="48" t="n"/>
    </row>
    <row r="4561" ht="18" customHeight="1" s="17">
      <c r="A4561" s="48">
        <f>IF(Generation!$B96,"        &lt;qtimetadatafield&gt;&lt;fieldlabel&gt;identicalScoring&lt;/fieldlabel&gt;&lt;fieldentry&gt;1&lt;/fieldentry&gt;&lt;/qtimetadatafield&gt;","")</f>
        <v/>
      </c>
      <c r="B4561" s="48" t="n"/>
      <c r="C4561" s="48" t="n"/>
    </row>
    <row r="4562" ht="18" customHeight="1" s="17">
      <c r="A4562" s="48">
        <f>IF(Generation!$B96,"      &lt;/qtimetadata&gt;","")</f>
        <v/>
      </c>
      <c r="B4562" s="48" t="n"/>
      <c r="C4562" s="48" t="n"/>
    </row>
    <row r="4563" ht="18" customHeight="1" s="17">
      <c r="A4563" s="48">
        <f>IF(Generation!$B96,"    &lt;/itemmetadata&gt;","")</f>
        <v/>
      </c>
      <c r="B4563" s="48" t="n"/>
      <c r="C4563" s="48" t="n"/>
    </row>
    <row r="4564" ht="18" customHeight="1" s="17">
      <c r="A4564" s="48">
        <f>IF(Generation!$B96,"    &lt;presentation label="""&amp;Generation!$F96&amp;"""&gt;","")</f>
        <v/>
      </c>
      <c r="B4564" s="48" t="n"/>
      <c r="C4564" s="48" t="n"/>
    </row>
    <row r="4565" ht="18" customHeight="1" s="17">
      <c r="A4565" s="48">
        <f>IF(Generation!$B96,"      &lt;material&gt;&lt;mattext texttype=""text/html""&gt;"&amp;Generation!$G96&amp;"&lt;/mattext&gt;&lt;/material&gt;","")</f>
        <v/>
      </c>
      <c r="B4565" s="48" t="n"/>
      <c r="C4565" s="48" t="n"/>
    </row>
    <row r="4566" ht="18" customHeight="1" s="17">
      <c r="A4566" s="48">
        <f>IF(Generation!$B96,"      &lt;response_lid ident=""RESPONSE"" rcardinality="""&amp;Generation!$E96&amp;"""&gt;","")</f>
        <v/>
      </c>
      <c r="B4566" s="48" t="n"/>
      <c r="C4566" s="48" t="n"/>
    </row>
    <row r="4567" ht="18" customHeight="1" s="17">
      <c r="A4567" s="48">
        <f>IF(Generation!$B96,"        &lt;render_choice shuffle=""No""&gt;","")</f>
        <v/>
      </c>
      <c r="B4567" s="48" t="n"/>
      <c r="C4567" s="48" t="n"/>
    </row>
    <row r="4568" ht="18" customHeight="1" s="17">
      <c r="A4568" s="48">
        <f>IF(Generation!AB96="","",Generation!AB96)</f>
        <v/>
      </c>
      <c r="B4568" s="48" t="n"/>
      <c r="C4568" s="48" t="n"/>
    </row>
    <row r="4569" ht="18" customHeight="1" s="17">
      <c r="A4569" s="48">
        <f>IF(Generation!AC96="","",Generation!AC96)</f>
        <v/>
      </c>
      <c r="B4569" s="48" t="n"/>
      <c r="C4569" s="48" t="n"/>
    </row>
    <row r="4570" ht="18" customHeight="1" s="17">
      <c r="A4570" s="48">
        <f>IF(Generation!AD96="","",Generation!AD96)</f>
        <v/>
      </c>
      <c r="B4570" s="48" t="n"/>
      <c r="C4570" s="48" t="n"/>
    </row>
    <row r="4571" ht="18" customHeight="1" s="17">
      <c r="A4571" s="48">
        <f>IF(Generation!AE96="","",Generation!AE96)</f>
        <v/>
      </c>
      <c r="B4571" s="48" t="n"/>
      <c r="C4571" s="48" t="n"/>
    </row>
    <row r="4572" ht="18" customHeight="1" s="17">
      <c r="A4572" s="48">
        <f>IF(Generation!AF96="","",Generation!AF96)</f>
        <v/>
      </c>
      <c r="B4572" s="48" t="n"/>
      <c r="C4572" s="48" t="n"/>
    </row>
    <row r="4573" ht="18" customHeight="1" s="17">
      <c r="A4573" s="48">
        <f>IF(Generation!AG96="","",Generation!AG96)</f>
        <v/>
      </c>
      <c r="B4573" s="48" t="n"/>
      <c r="C4573" s="48" t="n"/>
    </row>
    <row r="4574" ht="18" customHeight="1" s="17">
      <c r="A4574" s="48">
        <f>IF(Generation!AH96="","",Generation!AH96)</f>
        <v/>
      </c>
      <c r="B4574" s="48" t="n"/>
      <c r="C4574" s="48" t="n"/>
    </row>
    <row r="4575" ht="18" customHeight="1" s="17">
      <c r="A4575" s="48">
        <f>IF(Generation!AI96="","",Generation!AI96)</f>
        <v/>
      </c>
      <c r="B4575" s="48" t="n"/>
      <c r="C4575" s="48" t="n"/>
    </row>
    <row r="4576" ht="18" customHeight="1" s="17">
      <c r="A4576" s="48">
        <f>IF(Generation!$B96,"        &lt;/render_choice&gt;","")</f>
        <v/>
      </c>
      <c r="B4576" s="48" t="n"/>
      <c r="C4576" s="48" t="n"/>
    </row>
    <row r="4577" ht="18" customHeight="1" s="17">
      <c r="A4577" s="48">
        <f>IF(Generation!$B96,"      &lt;/response_lid&gt;","")</f>
        <v/>
      </c>
      <c r="B4577" s="48" t="n"/>
      <c r="C4577" s="48" t="n"/>
    </row>
    <row r="4578" ht="18" customHeight="1" s="17">
      <c r="A4578" s="48">
        <f>IF(Generation!$B96,"    &lt;/presentation&gt;","")</f>
        <v/>
      </c>
      <c r="B4578" s="48" t="n"/>
      <c r="C4578" s="48" t="n"/>
    </row>
    <row r="4579" ht="18" customHeight="1" s="17">
      <c r="A4579" s="48">
        <f>IF(Generation!$B96,"    &lt;resprocessing&gt;","")</f>
        <v/>
      </c>
      <c r="B4579" s="48" t="n"/>
      <c r="C4579" s="48" t="n"/>
    </row>
    <row r="4580" ht="18" customHeight="1" s="17">
      <c r="A4580" s="48">
        <f>IF(Generation!$B96,"      &lt;outcomes&gt;&lt;decvar varname=""SCORE"" vartype=""Decimal"" minvalue=""0"" maxvalue="""&amp;Generation!$H96&amp;"""/&gt;&lt;/outcomes&gt;","")</f>
        <v/>
      </c>
      <c r="B4580" s="48" t="n"/>
      <c r="C4580" s="48" t="n"/>
    </row>
    <row r="4581" ht="18" customHeight="1" s="17">
      <c r="A4581" s="48">
        <f>IF(Generation!AJ96="","",Generation!AJ96)</f>
        <v/>
      </c>
      <c r="B4581" s="48" t="n"/>
      <c r="C4581" s="48" t="n"/>
    </row>
    <row r="4582" ht="18" customHeight="1" s="17">
      <c r="A4582" s="48">
        <f>IF(Generation!AK96="","",Generation!AK96)</f>
        <v/>
      </c>
      <c r="B4582" s="48" t="n"/>
      <c r="C4582" s="48" t="n"/>
    </row>
    <row r="4583" ht="18" customHeight="1" s="17">
      <c r="A4583" s="48">
        <f>IF(Generation!AL96="","",Generation!AL96)</f>
        <v/>
      </c>
      <c r="B4583" s="48" t="n"/>
      <c r="C4583" s="48" t="n"/>
    </row>
    <row r="4584" ht="18" customHeight="1" s="17">
      <c r="A4584" s="48">
        <f>IF(Generation!AM96="","",Generation!AM96)</f>
        <v/>
      </c>
      <c r="B4584" s="48" t="n"/>
      <c r="C4584" s="48" t="n"/>
    </row>
    <row r="4585" ht="18" customHeight="1" s="17">
      <c r="A4585" s="48">
        <f>IF(Generation!AN96="","",Generation!AN96)</f>
        <v/>
      </c>
      <c r="B4585" s="48" t="n"/>
      <c r="C4585" s="48" t="n"/>
    </row>
    <row r="4586" ht="18" customHeight="1" s="17">
      <c r="A4586" s="48">
        <f>IF(Generation!AO96="","",Generation!AO96)</f>
        <v/>
      </c>
      <c r="B4586" s="48" t="n"/>
      <c r="C4586" s="48" t="n"/>
    </row>
    <row r="4587" ht="18" customHeight="1" s="17">
      <c r="A4587" s="48">
        <f>IF(Generation!AP96="","",Generation!AP96)</f>
        <v/>
      </c>
      <c r="B4587" s="48" t="n"/>
      <c r="C4587" s="48" t="n"/>
    </row>
    <row r="4588" ht="18" customHeight="1" s="17">
      <c r="A4588" s="48">
        <f>IF(Generation!AQ96="","",Generation!AQ96)</f>
        <v/>
      </c>
      <c r="B4588" s="48" t="n"/>
      <c r="C4588" s="48" t="n"/>
    </row>
    <row r="4589" ht="18" customHeight="1" s="17">
      <c r="A4589" s="48">
        <f>IF(Generation!$B96,"    &lt;/resprocessing&gt;","")</f>
        <v/>
      </c>
      <c r="B4589" s="48" t="n"/>
      <c r="C4589" s="48" t="n"/>
    </row>
    <row r="4590" ht="18" customHeight="1" s="17">
      <c r="A4590" s="48">
        <f>IF(Generation!BB96="","",Generation!BB96)</f>
        <v/>
      </c>
      <c r="B4590" s="48" t="n"/>
      <c r="C4590" s="48" t="n"/>
    </row>
    <row r="4591" ht="18" customHeight="1" s="17">
      <c r="A4591" s="48">
        <f>IF(Generation!BC96="","",Generation!BC96)</f>
        <v/>
      </c>
      <c r="B4591" s="48" t="n"/>
      <c r="C4591" s="48" t="n"/>
    </row>
    <row r="4592" ht="18" customHeight="1" s="17">
      <c r="A4592" s="48">
        <f>IF(Generation!BD96="","",Generation!BD96)</f>
        <v/>
      </c>
      <c r="B4592" s="48" t="n"/>
      <c r="C4592" s="48" t="n"/>
    </row>
    <row r="4593" ht="18" customHeight="1" s="17">
      <c r="A4593" s="48">
        <f>IF(Generation!BE96="","",Generation!BE96)</f>
        <v/>
      </c>
      <c r="B4593" s="48" t="n"/>
      <c r="C4593" s="48" t="n"/>
    </row>
    <row r="4594" ht="18" customHeight="1" s="17">
      <c r="A4594" s="48">
        <f>IF(Generation!BF96="","",Generation!BF96)</f>
        <v/>
      </c>
      <c r="B4594" s="48" t="n"/>
      <c r="C4594" s="48" t="n"/>
    </row>
    <row r="4595" ht="18" customHeight="1" s="17">
      <c r="A4595" s="48">
        <f>IF(Generation!BG96="","",Generation!BG96)</f>
        <v/>
      </c>
      <c r="B4595" s="48" t="n"/>
      <c r="C4595" s="48" t="n"/>
    </row>
    <row r="4596" ht="18" customHeight="1" s="17">
      <c r="A4596" s="48">
        <f>IF(Generation!BH96="","",Generation!BH96)</f>
        <v/>
      </c>
      <c r="B4596" s="48" t="n"/>
      <c r="C4596" s="48" t="n"/>
    </row>
    <row r="4597" ht="18" customHeight="1" s="17">
      <c r="A4597" s="48">
        <f>IF(Generation!BI96="","",Generation!BI96)</f>
        <v/>
      </c>
      <c r="B4597" s="48" t="n"/>
      <c r="C4597" s="48" t="n"/>
    </row>
    <row r="4598" ht="18" customHeight="1" s="17">
      <c r="A4598" s="48">
        <f>IF(Generation!BJ96="","",Generation!BJ96)</f>
        <v/>
      </c>
      <c r="B4598" s="48" t="n"/>
      <c r="C4598" s="48" t="n"/>
    </row>
    <row r="4599" ht="18" customHeight="1" s="17">
      <c r="A4599" s="48">
        <f>IF(Generation!$B96,"  &lt;/item&gt;","")</f>
        <v/>
      </c>
      <c r="B4599" s="48" t="n"/>
      <c r="C4599" s="48" t="n"/>
    </row>
    <row r="4600" ht="18" customHeight="1" s="17">
      <c r="A4600" s="48">
        <f>""</f>
        <v/>
      </c>
      <c r="B4600" s="48" t="n"/>
      <c r="C4600" s="48" t="n"/>
    </row>
    <row r="4601" ht="18" customHeight="1" s="17">
      <c r="A4601" s="48">
        <f>""</f>
        <v/>
      </c>
      <c r="B4601" s="48" t="n"/>
      <c r="C4601" s="48" t="n"/>
    </row>
    <row r="4602" ht="18" customHeight="1" s="17">
      <c r="A4602" s="48">
        <f>""</f>
        <v/>
      </c>
      <c r="B4602" s="48" t="n"/>
      <c r="C4602" s="48" t="n"/>
    </row>
    <row r="4603" ht="18" customHeight="1" s="17">
      <c r="A4603" s="48">
        <f>""</f>
        <v/>
      </c>
      <c r="B4603" s="48" t="n"/>
      <c r="C4603" s="48" t="n"/>
    </row>
    <row r="4604" ht="18" customHeight="1" s="17">
      <c r="A4604" s="48">
        <f>IF(Generation!$B97,"  &lt;item ident=""il_0_qst_"&amp;TEXT(Generation!$A97,"000")&amp;""" title="""&amp;Generation!$F97&amp;"""&gt;","")</f>
        <v/>
      </c>
      <c r="B4604" s="48" t="n"/>
      <c r="C4604" s="48" t="n"/>
    </row>
    <row r="4605" ht="18" customHeight="1" s="17">
      <c r="A4605" s="48">
        <f>IF(Generation!$B97,"    &lt;duration&gt;P0Y0M0DT0H1M0S&lt;/duration&gt;","")</f>
        <v/>
      </c>
      <c r="B4605" s="48" t="n"/>
      <c r="C4605" s="48" t="n"/>
    </row>
    <row r="4606" ht="18" customHeight="1" s="17">
      <c r="A4606" s="48">
        <f>IF(Generation!$B97,"    &lt;itemmetadata&gt;","")</f>
        <v/>
      </c>
      <c r="B4606" s="48" t="n"/>
      <c r="C4606" s="48" t="n"/>
    </row>
    <row r="4607" ht="18" customHeight="1" s="17">
      <c r="A4607" s="48">
        <f>IF(Generation!$B97,"      &lt;qtimetadata&gt;","")</f>
        <v/>
      </c>
      <c r="B4607" s="48" t="n"/>
      <c r="C4607" s="48" t="n"/>
    </row>
    <row r="4608" ht="18" customHeight="1" s="17">
      <c r="A4608" s="48">
        <f>IF(Generation!$B97,"        &lt;qtimetadatafield&gt;&lt;fieldlabel&gt;ILIAS_VERSION&lt;/fieldlabel&gt;&lt;fieldentry&gt;8&lt;/fieldentry&gt;&lt;/qtimetadatafield&gt;","")</f>
        <v/>
      </c>
      <c r="B4608" s="48" t="n"/>
      <c r="C4608" s="48" t="n"/>
    </row>
    <row r="4609" ht="18" customHeight="1" s="17">
      <c r="A4609" s="48">
        <f>IF(Generation!$B97,"        &lt;qtimetadatafield&gt;&lt;fieldlabel&gt;QUESTIONTYPE&lt;/fieldlabel&gt;&lt;fieldentry&gt;"&amp;Generation!$D97&amp;"&lt;/fieldentry&gt;&lt;/qtimetadatafield&gt;","")</f>
        <v/>
      </c>
      <c r="B4609" s="48" t="n"/>
      <c r="C4609" s="48" t="n"/>
    </row>
    <row r="4610" ht="18" customHeight="1" s="17">
      <c r="A4610" s="48">
        <f>IF(Generation!$B97,"        &lt;qtimetadatafield&gt;&lt;fieldlabel&gt;AUTHOR&lt;/fieldlabel&gt;&lt;fieldentry&gt;"&amp;Generation!$AR97&amp;"&lt;/fieldentry&gt;&lt;/qtimetadatafield&gt;","")</f>
        <v/>
      </c>
      <c r="B4610" s="48" t="n"/>
      <c r="C4610" s="48" t="n"/>
    </row>
    <row r="4611" ht="18" customHeight="1" s="17">
      <c r="A4611" s="48">
        <f>IF(Generation!$B97,"        &lt;qtimetadatafield&gt;&lt;fieldlabel&gt;identicalScoring&lt;/fieldlabel&gt;&lt;fieldentry&gt;1&lt;/fieldentry&gt;&lt;/qtimetadatafield&gt;","")</f>
        <v/>
      </c>
      <c r="B4611" s="48" t="n"/>
      <c r="C4611" s="48" t="n"/>
    </row>
    <row r="4612" ht="18" customHeight="1" s="17">
      <c r="A4612" s="48">
        <f>IF(Generation!$B97,"      &lt;/qtimetadata&gt;","")</f>
        <v/>
      </c>
      <c r="B4612" s="48" t="n"/>
      <c r="C4612" s="48" t="n"/>
    </row>
    <row r="4613" ht="18" customHeight="1" s="17">
      <c r="A4613" s="48">
        <f>IF(Generation!$B97,"    &lt;/itemmetadata&gt;","")</f>
        <v/>
      </c>
      <c r="B4613" s="48" t="n"/>
      <c r="C4613" s="48" t="n"/>
    </row>
    <row r="4614" ht="18" customHeight="1" s="17">
      <c r="A4614" s="48">
        <f>IF(Generation!$B97,"    &lt;presentation label="""&amp;Generation!$F97&amp;"""&gt;","")</f>
        <v/>
      </c>
      <c r="B4614" s="48" t="n"/>
      <c r="C4614" s="48" t="n"/>
    </row>
    <row r="4615" ht="18" customHeight="1" s="17">
      <c r="A4615" s="48">
        <f>IF(Generation!$B97,"      &lt;material&gt;&lt;mattext texttype=""text/html""&gt;"&amp;Generation!$G97&amp;"&lt;/mattext&gt;&lt;/material&gt;","")</f>
        <v/>
      </c>
      <c r="B4615" s="48" t="n"/>
      <c r="C4615" s="48" t="n"/>
    </row>
    <row r="4616" ht="18" customHeight="1" s="17">
      <c r="A4616" s="48">
        <f>IF(Generation!$B97,"      &lt;response_lid ident=""RESPONSE"" rcardinality="""&amp;Generation!$E97&amp;"""&gt;","")</f>
        <v/>
      </c>
      <c r="B4616" s="48" t="n"/>
      <c r="C4616" s="48" t="n"/>
    </row>
    <row r="4617" ht="18" customHeight="1" s="17">
      <c r="A4617" s="48">
        <f>IF(Generation!$B97,"        &lt;render_choice shuffle=""No""&gt;","")</f>
        <v/>
      </c>
      <c r="B4617" s="48" t="n"/>
      <c r="C4617" s="48" t="n"/>
    </row>
    <row r="4618" ht="18" customHeight="1" s="17">
      <c r="A4618" s="48">
        <f>IF(Generation!AB97="","",Generation!AB97)</f>
        <v/>
      </c>
      <c r="B4618" s="48" t="n"/>
      <c r="C4618" s="48" t="n"/>
    </row>
    <row r="4619" ht="18" customHeight="1" s="17">
      <c r="A4619" s="48">
        <f>IF(Generation!AC97="","",Generation!AC97)</f>
        <v/>
      </c>
      <c r="B4619" s="48" t="n"/>
      <c r="C4619" s="48" t="n"/>
    </row>
    <row r="4620" ht="18" customHeight="1" s="17">
      <c r="A4620" s="48">
        <f>IF(Generation!AD97="","",Generation!AD97)</f>
        <v/>
      </c>
      <c r="B4620" s="48" t="n"/>
      <c r="C4620" s="48" t="n"/>
    </row>
    <row r="4621" ht="18" customHeight="1" s="17">
      <c r="A4621" s="48">
        <f>IF(Generation!AE97="","",Generation!AE97)</f>
        <v/>
      </c>
      <c r="B4621" s="48" t="n"/>
      <c r="C4621" s="48" t="n"/>
    </row>
    <row r="4622" ht="18" customHeight="1" s="17">
      <c r="A4622" s="48">
        <f>IF(Generation!AF97="","",Generation!AF97)</f>
        <v/>
      </c>
      <c r="B4622" s="48" t="n"/>
      <c r="C4622" s="48" t="n"/>
    </row>
    <row r="4623" ht="18" customHeight="1" s="17">
      <c r="A4623" s="48">
        <f>IF(Generation!AG97="","",Generation!AG97)</f>
        <v/>
      </c>
      <c r="B4623" s="48" t="n"/>
      <c r="C4623" s="48" t="n"/>
    </row>
    <row r="4624" ht="18" customHeight="1" s="17">
      <c r="A4624" s="48">
        <f>IF(Generation!AH97="","",Generation!AH97)</f>
        <v/>
      </c>
      <c r="B4624" s="48" t="n"/>
      <c r="C4624" s="48" t="n"/>
    </row>
    <row r="4625" ht="18" customHeight="1" s="17">
      <c r="A4625" s="48">
        <f>IF(Generation!AI97="","",Generation!AI97)</f>
        <v/>
      </c>
      <c r="B4625" s="48" t="n"/>
      <c r="C4625" s="48" t="n"/>
    </row>
    <row r="4626" ht="18" customHeight="1" s="17">
      <c r="A4626" s="48">
        <f>IF(Generation!$B97,"        &lt;/render_choice&gt;","")</f>
        <v/>
      </c>
      <c r="B4626" s="48" t="n"/>
      <c r="C4626" s="48" t="n"/>
    </row>
    <row r="4627" ht="18" customHeight="1" s="17">
      <c r="A4627" s="48">
        <f>IF(Generation!$B97,"      &lt;/response_lid&gt;","")</f>
        <v/>
      </c>
      <c r="B4627" s="48" t="n"/>
      <c r="C4627" s="48" t="n"/>
    </row>
    <row r="4628" ht="18" customHeight="1" s="17">
      <c r="A4628" s="48">
        <f>IF(Generation!$B97,"    &lt;/presentation&gt;","")</f>
        <v/>
      </c>
      <c r="B4628" s="48" t="n"/>
      <c r="C4628" s="48" t="n"/>
    </row>
    <row r="4629" ht="18" customHeight="1" s="17">
      <c r="A4629" s="48">
        <f>IF(Generation!$B97,"    &lt;resprocessing&gt;","")</f>
        <v/>
      </c>
      <c r="B4629" s="48" t="n"/>
      <c r="C4629" s="48" t="n"/>
    </row>
    <row r="4630" ht="18" customHeight="1" s="17">
      <c r="A4630" s="48">
        <f>IF(Generation!$B97,"      &lt;outcomes&gt;&lt;decvar varname=""SCORE"" vartype=""Decimal"" minvalue=""0"" maxvalue="""&amp;Generation!$H97&amp;"""/&gt;&lt;/outcomes&gt;","")</f>
        <v/>
      </c>
      <c r="B4630" s="48" t="n"/>
      <c r="C4630" s="48" t="n"/>
    </row>
    <row r="4631" ht="18" customHeight="1" s="17">
      <c r="A4631" s="48">
        <f>IF(Generation!AJ97="","",Generation!AJ97)</f>
        <v/>
      </c>
      <c r="B4631" s="48" t="n"/>
      <c r="C4631" s="48" t="n"/>
    </row>
    <row r="4632" ht="18" customHeight="1" s="17">
      <c r="A4632" s="48">
        <f>IF(Generation!AK97="","",Generation!AK97)</f>
        <v/>
      </c>
      <c r="B4632" s="48" t="n"/>
      <c r="C4632" s="48" t="n"/>
    </row>
    <row r="4633" ht="18" customHeight="1" s="17">
      <c r="A4633" s="48">
        <f>IF(Generation!AL97="","",Generation!AL97)</f>
        <v/>
      </c>
      <c r="B4633" s="48" t="n"/>
      <c r="C4633" s="48" t="n"/>
    </row>
    <row r="4634" ht="18" customHeight="1" s="17">
      <c r="A4634" s="48">
        <f>IF(Generation!AM97="","",Generation!AM97)</f>
        <v/>
      </c>
      <c r="B4634" s="48" t="n"/>
      <c r="C4634" s="48" t="n"/>
    </row>
    <row r="4635" ht="18" customHeight="1" s="17">
      <c r="A4635" s="48">
        <f>IF(Generation!AN97="","",Generation!AN97)</f>
        <v/>
      </c>
      <c r="B4635" s="48" t="n"/>
      <c r="C4635" s="48" t="n"/>
    </row>
    <row r="4636" ht="18" customHeight="1" s="17">
      <c r="A4636" s="48">
        <f>IF(Generation!AO97="","",Generation!AO97)</f>
        <v/>
      </c>
      <c r="B4636" s="48" t="n"/>
      <c r="C4636" s="48" t="n"/>
    </row>
    <row r="4637" ht="18" customHeight="1" s="17">
      <c r="A4637" s="48">
        <f>IF(Generation!AP97="","",Generation!AP97)</f>
        <v/>
      </c>
      <c r="B4637" s="48" t="n"/>
      <c r="C4637" s="48" t="n"/>
    </row>
    <row r="4638" ht="18" customHeight="1" s="17">
      <c r="A4638" s="48">
        <f>IF(Generation!AQ97="","",Generation!AQ97)</f>
        <v/>
      </c>
      <c r="B4638" s="48" t="n"/>
      <c r="C4638" s="48" t="n"/>
    </row>
    <row r="4639" ht="18" customHeight="1" s="17">
      <c r="A4639" s="48">
        <f>IF(Generation!$B97,"    &lt;/resprocessing&gt;","")</f>
        <v/>
      </c>
      <c r="B4639" s="48" t="n"/>
      <c r="C4639" s="48" t="n"/>
    </row>
    <row r="4640" ht="18" customHeight="1" s="17">
      <c r="A4640" s="48">
        <f>IF(Generation!BB97="","",Generation!BB97)</f>
        <v/>
      </c>
      <c r="B4640" s="48" t="n"/>
      <c r="C4640" s="48" t="n"/>
    </row>
    <row r="4641" ht="18" customHeight="1" s="17">
      <c r="A4641" s="48">
        <f>IF(Generation!BC97="","",Generation!BC97)</f>
        <v/>
      </c>
      <c r="B4641" s="48" t="n"/>
      <c r="C4641" s="48" t="n"/>
    </row>
    <row r="4642" ht="18" customHeight="1" s="17">
      <c r="A4642" s="48">
        <f>IF(Generation!BD97="","",Generation!BD97)</f>
        <v/>
      </c>
      <c r="B4642" s="48" t="n"/>
      <c r="C4642" s="48" t="n"/>
    </row>
    <row r="4643" ht="18" customHeight="1" s="17">
      <c r="A4643" s="48">
        <f>IF(Generation!BE97="","",Generation!BE97)</f>
        <v/>
      </c>
      <c r="B4643" s="48" t="n"/>
      <c r="C4643" s="48" t="n"/>
    </row>
    <row r="4644" ht="18" customHeight="1" s="17">
      <c r="A4644" s="48">
        <f>IF(Generation!BF97="","",Generation!BF97)</f>
        <v/>
      </c>
      <c r="B4644" s="48" t="n"/>
      <c r="C4644" s="48" t="n"/>
    </row>
    <row r="4645" ht="18" customHeight="1" s="17">
      <c r="A4645" s="48">
        <f>IF(Generation!BG97="","",Generation!BG97)</f>
        <v/>
      </c>
      <c r="B4645" s="48" t="n"/>
      <c r="C4645" s="48" t="n"/>
    </row>
    <row r="4646" ht="18" customHeight="1" s="17">
      <c r="A4646" s="48">
        <f>IF(Generation!BH97="","",Generation!BH97)</f>
        <v/>
      </c>
      <c r="B4646" s="48" t="n"/>
      <c r="C4646" s="48" t="n"/>
    </row>
    <row r="4647" ht="18" customHeight="1" s="17">
      <c r="A4647" s="48">
        <f>IF(Generation!BI97="","",Generation!BI97)</f>
        <v/>
      </c>
      <c r="B4647" s="48" t="n"/>
      <c r="C4647" s="48" t="n"/>
    </row>
    <row r="4648" ht="18" customHeight="1" s="17">
      <c r="A4648" s="48">
        <f>IF(Generation!BJ97="","",Generation!BJ97)</f>
        <v/>
      </c>
      <c r="B4648" s="48" t="n"/>
      <c r="C4648" s="48" t="n"/>
    </row>
    <row r="4649" ht="18" customHeight="1" s="17">
      <c r="A4649" s="48">
        <f>IF(Generation!$B97,"  &lt;/item&gt;","")</f>
        <v/>
      </c>
      <c r="B4649" s="48" t="n"/>
      <c r="C4649" s="48" t="n"/>
    </row>
    <row r="4650" ht="18" customHeight="1" s="17">
      <c r="A4650" s="48">
        <f>""</f>
        <v/>
      </c>
      <c r="B4650" s="48" t="n"/>
      <c r="C4650" s="48" t="n"/>
    </row>
    <row r="4651" ht="18" customHeight="1" s="17">
      <c r="A4651" s="48">
        <f>""</f>
        <v/>
      </c>
      <c r="B4651" s="48" t="n"/>
      <c r="C4651" s="48" t="n"/>
    </row>
    <row r="4652" ht="18" customHeight="1" s="17">
      <c r="A4652" s="48">
        <f>""</f>
        <v/>
      </c>
      <c r="B4652" s="48" t="n"/>
      <c r="C4652" s="48" t="n"/>
    </row>
    <row r="4653" ht="18" customHeight="1" s="17">
      <c r="A4653" s="48">
        <f>""</f>
        <v/>
      </c>
      <c r="B4653" s="48" t="n"/>
      <c r="C4653" s="48" t="n"/>
    </row>
    <row r="4654" ht="18" customHeight="1" s="17">
      <c r="A4654" s="48">
        <f>IF(Generation!$B98,"  &lt;item ident=""il_0_qst_"&amp;TEXT(Generation!$A98,"000")&amp;""" title="""&amp;Generation!$F98&amp;"""&gt;","")</f>
        <v/>
      </c>
      <c r="B4654" s="48" t="n"/>
      <c r="C4654" s="48" t="n"/>
    </row>
    <row r="4655" ht="18" customHeight="1" s="17">
      <c r="A4655" s="48">
        <f>IF(Generation!$B98,"    &lt;duration&gt;P0Y0M0DT0H1M0S&lt;/duration&gt;","")</f>
        <v/>
      </c>
      <c r="B4655" s="48" t="n"/>
      <c r="C4655" s="48" t="n"/>
    </row>
    <row r="4656" ht="18" customHeight="1" s="17">
      <c r="A4656" s="48">
        <f>IF(Generation!$B98,"    &lt;itemmetadata&gt;","")</f>
        <v/>
      </c>
      <c r="B4656" s="48" t="n"/>
      <c r="C4656" s="48" t="n"/>
    </row>
    <row r="4657" ht="18" customHeight="1" s="17">
      <c r="A4657" s="48">
        <f>IF(Generation!$B98,"      &lt;qtimetadata&gt;","")</f>
        <v/>
      </c>
      <c r="B4657" s="48" t="n"/>
      <c r="C4657" s="48" t="n"/>
    </row>
    <row r="4658" ht="18" customHeight="1" s="17">
      <c r="A4658" s="48">
        <f>IF(Generation!$B98,"        &lt;qtimetadatafield&gt;&lt;fieldlabel&gt;ILIAS_VERSION&lt;/fieldlabel&gt;&lt;fieldentry&gt;8&lt;/fieldentry&gt;&lt;/qtimetadatafield&gt;","")</f>
        <v/>
      </c>
      <c r="B4658" s="48" t="n"/>
      <c r="C4658" s="48" t="n"/>
    </row>
    <row r="4659" ht="18" customHeight="1" s="17">
      <c r="A4659" s="48">
        <f>IF(Generation!$B98,"        &lt;qtimetadatafield&gt;&lt;fieldlabel&gt;QUESTIONTYPE&lt;/fieldlabel&gt;&lt;fieldentry&gt;"&amp;Generation!$D98&amp;"&lt;/fieldentry&gt;&lt;/qtimetadatafield&gt;","")</f>
        <v/>
      </c>
      <c r="B4659" s="48" t="n"/>
      <c r="C4659" s="48" t="n"/>
    </row>
    <row r="4660" ht="18" customHeight="1" s="17">
      <c r="A4660" s="48">
        <f>IF(Generation!$B98,"        &lt;qtimetadatafield&gt;&lt;fieldlabel&gt;AUTHOR&lt;/fieldlabel&gt;&lt;fieldentry&gt;"&amp;Generation!$AR98&amp;"&lt;/fieldentry&gt;&lt;/qtimetadatafield&gt;","")</f>
        <v/>
      </c>
      <c r="B4660" s="48" t="n"/>
      <c r="C4660" s="48" t="n"/>
    </row>
    <row r="4661" ht="18" customHeight="1" s="17">
      <c r="A4661" s="48">
        <f>IF(Generation!$B98,"        &lt;qtimetadatafield&gt;&lt;fieldlabel&gt;identicalScoring&lt;/fieldlabel&gt;&lt;fieldentry&gt;1&lt;/fieldentry&gt;&lt;/qtimetadatafield&gt;","")</f>
        <v/>
      </c>
      <c r="B4661" s="48" t="n"/>
      <c r="C4661" s="48" t="n"/>
    </row>
    <row r="4662" ht="18" customHeight="1" s="17">
      <c r="A4662" s="48">
        <f>IF(Generation!$B98,"      &lt;/qtimetadata&gt;","")</f>
        <v/>
      </c>
      <c r="B4662" s="48" t="n"/>
      <c r="C4662" s="48" t="n"/>
    </row>
    <row r="4663" ht="18" customHeight="1" s="17">
      <c r="A4663" s="48">
        <f>IF(Generation!$B98,"    &lt;/itemmetadata&gt;","")</f>
        <v/>
      </c>
      <c r="B4663" s="48" t="n"/>
      <c r="C4663" s="48" t="n"/>
    </row>
    <row r="4664" ht="18" customHeight="1" s="17">
      <c r="A4664" s="48">
        <f>IF(Generation!$B98,"    &lt;presentation label="""&amp;Generation!$F98&amp;"""&gt;","")</f>
        <v/>
      </c>
      <c r="B4664" s="48" t="n"/>
      <c r="C4664" s="48" t="n"/>
    </row>
    <row r="4665" ht="18" customHeight="1" s="17">
      <c r="A4665" s="48">
        <f>IF(Generation!$B98,"      &lt;material&gt;&lt;mattext texttype=""text/html""&gt;"&amp;Generation!$G98&amp;"&lt;/mattext&gt;&lt;/material&gt;","")</f>
        <v/>
      </c>
      <c r="B4665" s="48" t="n"/>
      <c r="C4665" s="48" t="n"/>
    </row>
    <row r="4666" ht="18" customHeight="1" s="17">
      <c r="A4666" s="48">
        <f>IF(Generation!$B98,"      &lt;response_lid ident=""RESPONSE"" rcardinality="""&amp;Generation!$E98&amp;"""&gt;","")</f>
        <v/>
      </c>
      <c r="B4666" s="48" t="n"/>
      <c r="C4666" s="48" t="n"/>
    </row>
    <row r="4667" ht="18" customHeight="1" s="17">
      <c r="A4667" s="48">
        <f>IF(Generation!$B98,"        &lt;render_choice shuffle=""No""&gt;","")</f>
        <v/>
      </c>
      <c r="B4667" s="48" t="n"/>
      <c r="C4667" s="48" t="n"/>
    </row>
    <row r="4668" ht="18" customHeight="1" s="17">
      <c r="A4668" s="48">
        <f>IF(Generation!AB98="","",Generation!AB98)</f>
        <v/>
      </c>
      <c r="B4668" s="48" t="n"/>
      <c r="C4668" s="48" t="n"/>
    </row>
    <row r="4669" ht="18" customHeight="1" s="17">
      <c r="A4669" s="48">
        <f>IF(Generation!AC98="","",Generation!AC98)</f>
        <v/>
      </c>
      <c r="B4669" s="48" t="n"/>
      <c r="C4669" s="48" t="n"/>
    </row>
    <row r="4670" ht="18" customHeight="1" s="17">
      <c r="A4670" s="48">
        <f>IF(Generation!AD98="","",Generation!AD98)</f>
        <v/>
      </c>
      <c r="B4670" s="48" t="n"/>
      <c r="C4670" s="48" t="n"/>
    </row>
    <row r="4671" ht="18" customHeight="1" s="17">
      <c r="A4671" s="48">
        <f>IF(Generation!AE98="","",Generation!AE98)</f>
        <v/>
      </c>
      <c r="B4671" s="48" t="n"/>
      <c r="C4671" s="48" t="n"/>
    </row>
    <row r="4672" ht="18" customHeight="1" s="17">
      <c r="A4672" s="48">
        <f>IF(Generation!AF98="","",Generation!AF98)</f>
        <v/>
      </c>
      <c r="B4672" s="48" t="n"/>
      <c r="C4672" s="48" t="n"/>
    </row>
    <row r="4673" ht="18" customHeight="1" s="17">
      <c r="A4673" s="48">
        <f>IF(Generation!AG98="","",Generation!AG98)</f>
        <v/>
      </c>
      <c r="B4673" s="48" t="n"/>
      <c r="C4673" s="48" t="n"/>
    </row>
    <row r="4674" ht="18" customHeight="1" s="17">
      <c r="A4674" s="48">
        <f>IF(Generation!AH98="","",Generation!AH98)</f>
        <v/>
      </c>
      <c r="B4674" s="48" t="n"/>
      <c r="C4674" s="48" t="n"/>
    </row>
    <row r="4675" ht="18" customHeight="1" s="17">
      <c r="A4675" s="48">
        <f>IF(Generation!AI98="","",Generation!AI98)</f>
        <v/>
      </c>
      <c r="B4675" s="48" t="n"/>
      <c r="C4675" s="48" t="n"/>
    </row>
    <row r="4676" ht="18" customHeight="1" s="17">
      <c r="A4676" s="48">
        <f>IF(Generation!$B98,"        &lt;/render_choice&gt;","")</f>
        <v/>
      </c>
      <c r="B4676" s="48" t="n"/>
      <c r="C4676" s="48" t="n"/>
    </row>
    <row r="4677" ht="18" customHeight="1" s="17">
      <c r="A4677" s="48">
        <f>IF(Generation!$B98,"      &lt;/response_lid&gt;","")</f>
        <v/>
      </c>
      <c r="B4677" s="48" t="n"/>
      <c r="C4677" s="48" t="n"/>
    </row>
    <row r="4678" ht="18" customHeight="1" s="17">
      <c r="A4678" s="48">
        <f>IF(Generation!$B98,"    &lt;/presentation&gt;","")</f>
        <v/>
      </c>
      <c r="B4678" s="48" t="n"/>
      <c r="C4678" s="48" t="n"/>
    </row>
    <row r="4679" ht="18" customHeight="1" s="17">
      <c r="A4679" s="48">
        <f>IF(Generation!$B98,"    &lt;resprocessing&gt;","")</f>
        <v/>
      </c>
      <c r="B4679" s="48" t="n"/>
      <c r="C4679" s="48" t="n"/>
    </row>
    <row r="4680" ht="18" customHeight="1" s="17">
      <c r="A4680" s="48">
        <f>IF(Generation!$B98,"      &lt;outcomes&gt;&lt;decvar varname=""SCORE"" vartype=""Decimal"" minvalue=""0"" maxvalue="""&amp;Generation!$H98&amp;"""/&gt;&lt;/outcomes&gt;","")</f>
        <v/>
      </c>
      <c r="B4680" s="48" t="n"/>
      <c r="C4680" s="48" t="n"/>
    </row>
    <row r="4681" ht="18" customHeight="1" s="17">
      <c r="A4681" s="48">
        <f>IF(Generation!AJ98="","",Generation!AJ98)</f>
        <v/>
      </c>
      <c r="B4681" s="48" t="n"/>
      <c r="C4681" s="48" t="n"/>
    </row>
    <row r="4682" ht="18" customHeight="1" s="17">
      <c r="A4682" s="48">
        <f>IF(Generation!AK98="","",Generation!AK98)</f>
        <v/>
      </c>
      <c r="B4682" s="48" t="n"/>
      <c r="C4682" s="48" t="n"/>
    </row>
    <row r="4683" ht="18" customHeight="1" s="17">
      <c r="A4683" s="48">
        <f>IF(Generation!AL98="","",Generation!AL98)</f>
        <v/>
      </c>
      <c r="B4683" s="48" t="n"/>
      <c r="C4683" s="48" t="n"/>
    </row>
    <row r="4684" ht="18" customHeight="1" s="17">
      <c r="A4684" s="48">
        <f>IF(Generation!AM98="","",Generation!AM98)</f>
        <v/>
      </c>
      <c r="B4684" s="48" t="n"/>
      <c r="C4684" s="48" t="n"/>
    </row>
    <row r="4685" ht="18" customHeight="1" s="17">
      <c r="A4685" s="48">
        <f>IF(Generation!AN98="","",Generation!AN98)</f>
        <v/>
      </c>
      <c r="B4685" s="48" t="n"/>
      <c r="C4685" s="48" t="n"/>
    </row>
    <row r="4686" ht="18" customHeight="1" s="17">
      <c r="A4686" s="48">
        <f>IF(Generation!AO98="","",Generation!AO98)</f>
        <v/>
      </c>
      <c r="B4686" s="48" t="n"/>
      <c r="C4686" s="48" t="n"/>
    </row>
    <row r="4687" ht="18" customHeight="1" s="17">
      <c r="A4687" s="48">
        <f>IF(Generation!AP98="","",Generation!AP98)</f>
        <v/>
      </c>
      <c r="B4687" s="48" t="n"/>
      <c r="C4687" s="48" t="n"/>
    </row>
    <row r="4688" ht="18" customHeight="1" s="17">
      <c r="A4688" s="48">
        <f>IF(Generation!AQ98="","",Generation!AQ98)</f>
        <v/>
      </c>
      <c r="B4688" s="48" t="n"/>
      <c r="C4688" s="48" t="n"/>
    </row>
    <row r="4689" ht="18" customHeight="1" s="17">
      <c r="A4689" s="48">
        <f>IF(Generation!$B98,"    &lt;/resprocessing&gt;","")</f>
        <v/>
      </c>
      <c r="B4689" s="48" t="n"/>
      <c r="C4689" s="48" t="n"/>
    </row>
    <row r="4690" ht="18" customHeight="1" s="17">
      <c r="A4690" s="48">
        <f>IF(Generation!BB98="","",Generation!BB98)</f>
        <v/>
      </c>
      <c r="B4690" s="48" t="n"/>
      <c r="C4690" s="48" t="n"/>
    </row>
    <row r="4691" ht="18" customHeight="1" s="17">
      <c r="A4691" s="48">
        <f>IF(Generation!BC98="","",Generation!BC98)</f>
        <v/>
      </c>
      <c r="B4691" s="48" t="n"/>
      <c r="C4691" s="48" t="n"/>
    </row>
    <row r="4692" ht="18" customHeight="1" s="17">
      <c r="A4692" s="48">
        <f>IF(Generation!BD98="","",Generation!BD98)</f>
        <v/>
      </c>
      <c r="B4692" s="48" t="n"/>
      <c r="C4692" s="48" t="n"/>
    </row>
    <row r="4693" ht="18" customHeight="1" s="17">
      <c r="A4693" s="48">
        <f>IF(Generation!BE98="","",Generation!BE98)</f>
        <v/>
      </c>
      <c r="B4693" s="48" t="n"/>
      <c r="C4693" s="48" t="n"/>
    </row>
    <row r="4694" ht="18" customHeight="1" s="17">
      <c r="A4694" s="48">
        <f>IF(Generation!BF98="","",Generation!BF98)</f>
        <v/>
      </c>
      <c r="B4694" s="48" t="n"/>
      <c r="C4694" s="48" t="n"/>
    </row>
    <row r="4695" ht="18" customHeight="1" s="17">
      <c r="A4695" s="48">
        <f>IF(Generation!BG98="","",Generation!BG98)</f>
        <v/>
      </c>
      <c r="B4695" s="48" t="n"/>
      <c r="C4695" s="48" t="n"/>
    </row>
    <row r="4696" ht="18" customHeight="1" s="17">
      <c r="A4696" s="48">
        <f>IF(Generation!BH98="","",Generation!BH98)</f>
        <v/>
      </c>
      <c r="B4696" s="48" t="n"/>
      <c r="C4696" s="48" t="n"/>
    </row>
    <row r="4697" ht="18" customHeight="1" s="17">
      <c r="A4697" s="48">
        <f>IF(Generation!BI98="","",Generation!BI98)</f>
        <v/>
      </c>
      <c r="B4697" s="48" t="n"/>
      <c r="C4697" s="48" t="n"/>
    </row>
    <row r="4698" ht="18" customHeight="1" s="17">
      <c r="A4698" s="48">
        <f>IF(Generation!BJ98="","",Generation!BJ98)</f>
        <v/>
      </c>
      <c r="B4698" s="48" t="n"/>
      <c r="C4698" s="48" t="n"/>
    </row>
    <row r="4699" ht="18" customHeight="1" s="17">
      <c r="A4699" s="48">
        <f>IF(Generation!$B98,"  &lt;/item&gt;","")</f>
        <v/>
      </c>
      <c r="B4699" s="48" t="n"/>
      <c r="C4699" s="48" t="n"/>
    </row>
    <row r="4700" ht="18" customHeight="1" s="17">
      <c r="A4700" s="48">
        <f>""</f>
        <v/>
      </c>
      <c r="B4700" s="48" t="n"/>
      <c r="C4700" s="48" t="n"/>
    </row>
    <row r="4701" ht="18" customHeight="1" s="17">
      <c r="A4701" s="48">
        <f>""</f>
        <v/>
      </c>
      <c r="B4701" s="48" t="n"/>
      <c r="C4701" s="48" t="n"/>
    </row>
    <row r="4702" ht="18" customHeight="1" s="17">
      <c r="A4702" s="48">
        <f>""</f>
        <v/>
      </c>
      <c r="B4702" s="48" t="n"/>
      <c r="C4702" s="48" t="n"/>
    </row>
    <row r="4703" ht="18" customHeight="1" s="17">
      <c r="A4703" s="48">
        <f>""</f>
        <v/>
      </c>
      <c r="B4703" s="48" t="n"/>
      <c r="C4703" s="48" t="n"/>
    </row>
    <row r="4704" ht="18" customHeight="1" s="17">
      <c r="A4704" s="48">
        <f>IF(Generation!$B99,"  &lt;item ident=""il_0_qst_"&amp;TEXT(Generation!$A99,"000")&amp;""" title="""&amp;Generation!$F99&amp;"""&gt;","")</f>
        <v/>
      </c>
      <c r="B4704" s="48" t="n"/>
      <c r="C4704" s="48" t="n"/>
    </row>
    <row r="4705" ht="18" customHeight="1" s="17">
      <c r="A4705" s="48">
        <f>IF(Generation!$B99,"    &lt;duration&gt;P0Y0M0DT0H1M0S&lt;/duration&gt;","")</f>
        <v/>
      </c>
      <c r="B4705" s="48" t="n"/>
      <c r="C4705" s="48" t="n"/>
    </row>
    <row r="4706" ht="18" customHeight="1" s="17">
      <c r="A4706" s="48">
        <f>IF(Generation!$B99,"    &lt;itemmetadata&gt;","")</f>
        <v/>
      </c>
      <c r="B4706" s="48" t="n"/>
      <c r="C4706" s="48" t="n"/>
    </row>
    <row r="4707" ht="18" customHeight="1" s="17">
      <c r="A4707" s="48">
        <f>IF(Generation!$B99,"      &lt;qtimetadata&gt;","")</f>
        <v/>
      </c>
      <c r="B4707" s="48" t="n"/>
      <c r="C4707" s="48" t="n"/>
    </row>
    <row r="4708" ht="18" customHeight="1" s="17">
      <c r="A4708" s="48">
        <f>IF(Generation!$B99,"        &lt;qtimetadatafield&gt;&lt;fieldlabel&gt;ILIAS_VERSION&lt;/fieldlabel&gt;&lt;fieldentry&gt;8&lt;/fieldentry&gt;&lt;/qtimetadatafield&gt;","")</f>
        <v/>
      </c>
      <c r="B4708" s="48" t="n"/>
      <c r="C4708" s="48" t="n"/>
    </row>
    <row r="4709" ht="18" customHeight="1" s="17">
      <c r="A4709" s="48">
        <f>IF(Generation!$B99,"        &lt;qtimetadatafield&gt;&lt;fieldlabel&gt;QUESTIONTYPE&lt;/fieldlabel&gt;&lt;fieldentry&gt;"&amp;Generation!$D99&amp;"&lt;/fieldentry&gt;&lt;/qtimetadatafield&gt;","")</f>
        <v/>
      </c>
      <c r="B4709" s="48" t="n"/>
      <c r="C4709" s="48" t="n"/>
    </row>
    <row r="4710" ht="18" customHeight="1" s="17">
      <c r="A4710" s="48">
        <f>IF(Generation!$B99,"        &lt;qtimetadatafield&gt;&lt;fieldlabel&gt;AUTHOR&lt;/fieldlabel&gt;&lt;fieldentry&gt;"&amp;Generation!$AR99&amp;"&lt;/fieldentry&gt;&lt;/qtimetadatafield&gt;","")</f>
        <v/>
      </c>
      <c r="B4710" s="48" t="n"/>
      <c r="C4710" s="48" t="n"/>
    </row>
    <row r="4711" ht="18" customHeight="1" s="17">
      <c r="A4711" s="48">
        <f>IF(Generation!$B99,"        &lt;qtimetadatafield&gt;&lt;fieldlabel&gt;identicalScoring&lt;/fieldlabel&gt;&lt;fieldentry&gt;1&lt;/fieldentry&gt;&lt;/qtimetadatafield&gt;","")</f>
        <v/>
      </c>
      <c r="B4711" s="48" t="n"/>
      <c r="C4711" s="48" t="n"/>
    </row>
    <row r="4712" ht="18" customHeight="1" s="17">
      <c r="A4712" s="48">
        <f>IF(Generation!$B99,"      &lt;/qtimetadata&gt;","")</f>
        <v/>
      </c>
      <c r="B4712" s="48" t="n"/>
      <c r="C4712" s="48" t="n"/>
    </row>
    <row r="4713" ht="18" customHeight="1" s="17">
      <c r="A4713" s="48">
        <f>IF(Generation!$B99,"    &lt;/itemmetadata&gt;","")</f>
        <v/>
      </c>
      <c r="B4713" s="48" t="n"/>
      <c r="C4713" s="48" t="n"/>
    </row>
    <row r="4714" ht="18" customHeight="1" s="17">
      <c r="A4714" s="48">
        <f>IF(Generation!$B99,"    &lt;presentation label="""&amp;Generation!$F99&amp;"""&gt;","")</f>
        <v/>
      </c>
      <c r="B4714" s="48" t="n"/>
      <c r="C4714" s="48" t="n"/>
    </row>
    <row r="4715" ht="18" customHeight="1" s="17">
      <c r="A4715" s="48">
        <f>IF(Generation!$B99,"      &lt;material&gt;&lt;mattext texttype=""text/html""&gt;"&amp;Generation!$G99&amp;"&lt;/mattext&gt;&lt;/material&gt;","")</f>
        <v/>
      </c>
      <c r="B4715" s="48" t="n"/>
      <c r="C4715" s="48" t="n"/>
    </row>
    <row r="4716" ht="18" customHeight="1" s="17">
      <c r="A4716" s="48">
        <f>IF(Generation!$B99,"      &lt;response_lid ident=""RESPONSE"" rcardinality="""&amp;Generation!$E99&amp;"""&gt;","")</f>
        <v/>
      </c>
      <c r="B4716" s="48" t="n"/>
      <c r="C4716" s="48" t="n"/>
    </row>
    <row r="4717" ht="18" customHeight="1" s="17">
      <c r="A4717" s="48">
        <f>IF(Generation!$B99,"        &lt;render_choice shuffle=""No""&gt;","")</f>
        <v/>
      </c>
      <c r="B4717" s="48" t="n"/>
      <c r="C4717" s="48" t="n"/>
    </row>
    <row r="4718" ht="18" customHeight="1" s="17">
      <c r="A4718" s="48">
        <f>IF(Generation!AB99="","",Generation!AB99)</f>
        <v/>
      </c>
      <c r="B4718" s="48" t="n"/>
      <c r="C4718" s="48" t="n"/>
    </row>
    <row r="4719" ht="18" customHeight="1" s="17">
      <c r="A4719" s="48">
        <f>IF(Generation!AC99="","",Generation!AC99)</f>
        <v/>
      </c>
      <c r="B4719" s="48" t="n"/>
      <c r="C4719" s="48" t="n"/>
    </row>
    <row r="4720" ht="18" customHeight="1" s="17">
      <c r="A4720" s="48">
        <f>IF(Generation!AD99="","",Generation!AD99)</f>
        <v/>
      </c>
      <c r="B4720" s="48" t="n"/>
      <c r="C4720" s="48" t="n"/>
    </row>
    <row r="4721" ht="18" customHeight="1" s="17">
      <c r="A4721" s="48">
        <f>IF(Generation!AE99="","",Generation!AE99)</f>
        <v/>
      </c>
      <c r="B4721" s="48" t="n"/>
      <c r="C4721" s="48" t="n"/>
    </row>
    <row r="4722" ht="18" customHeight="1" s="17">
      <c r="A4722" s="48">
        <f>IF(Generation!AF99="","",Generation!AF99)</f>
        <v/>
      </c>
      <c r="B4722" s="48" t="n"/>
      <c r="C4722" s="48" t="n"/>
    </row>
    <row r="4723" ht="18" customHeight="1" s="17">
      <c r="A4723" s="48">
        <f>IF(Generation!AG99="","",Generation!AG99)</f>
        <v/>
      </c>
      <c r="B4723" s="48" t="n"/>
      <c r="C4723" s="48" t="n"/>
    </row>
    <row r="4724" ht="18" customHeight="1" s="17">
      <c r="A4724" s="48">
        <f>IF(Generation!AH99="","",Generation!AH99)</f>
        <v/>
      </c>
      <c r="B4724" s="48" t="n"/>
      <c r="C4724" s="48" t="n"/>
    </row>
    <row r="4725" ht="18" customHeight="1" s="17">
      <c r="A4725" s="48">
        <f>IF(Generation!AI99="","",Generation!AI99)</f>
        <v/>
      </c>
      <c r="B4725" s="48" t="n"/>
      <c r="C4725" s="48" t="n"/>
    </row>
    <row r="4726" ht="18" customHeight="1" s="17">
      <c r="A4726" s="48">
        <f>IF(Generation!$B99,"        &lt;/render_choice&gt;","")</f>
        <v/>
      </c>
      <c r="B4726" s="48" t="n"/>
      <c r="C4726" s="48" t="n"/>
    </row>
    <row r="4727" ht="18" customHeight="1" s="17">
      <c r="A4727" s="48">
        <f>IF(Generation!$B99,"      &lt;/response_lid&gt;","")</f>
        <v/>
      </c>
      <c r="B4727" s="48" t="n"/>
      <c r="C4727" s="48" t="n"/>
    </row>
    <row r="4728" ht="18" customHeight="1" s="17">
      <c r="A4728" s="48">
        <f>IF(Generation!$B99,"    &lt;/presentation&gt;","")</f>
        <v/>
      </c>
      <c r="B4728" s="48" t="n"/>
      <c r="C4728" s="48" t="n"/>
    </row>
    <row r="4729" ht="18" customHeight="1" s="17">
      <c r="A4729" s="48">
        <f>IF(Generation!$B99,"    &lt;resprocessing&gt;","")</f>
        <v/>
      </c>
      <c r="B4729" s="48" t="n"/>
      <c r="C4729" s="48" t="n"/>
    </row>
    <row r="4730" ht="18" customHeight="1" s="17">
      <c r="A4730" s="48">
        <f>IF(Generation!$B99,"      &lt;outcomes&gt;&lt;decvar varname=""SCORE"" vartype=""Decimal"" minvalue=""0"" maxvalue="""&amp;Generation!$H99&amp;"""/&gt;&lt;/outcomes&gt;","")</f>
        <v/>
      </c>
      <c r="B4730" s="48" t="n"/>
      <c r="C4730" s="48" t="n"/>
    </row>
    <row r="4731" ht="18" customHeight="1" s="17">
      <c r="A4731" s="48">
        <f>IF(Generation!AJ99="","",Generation!AJ99)</f>
        <v/>
      </c>
      <c r="B4731" s="48" t="n"/>
      <c r="C4731" s="48" t="n"/>
    </row>
    <row r="4732" ht="18" customHeight="1" s="17">
      <c r="A4732" s="48">
        <f>IF(Generation!AK99="","",Generation!AK99)</f>
        <v/>
      </c>
      <c r="B4732" s="48" t="n"/>
      <c r="C4732" s="48" t="n"/>
    </row>
    <row r="4733" ht="18" customHeight="1" s="17">
      <c r="A4733" s="48">
        <f>IF(Generation!AL99="","",Generation!AL99)</f>
        <v/>
      </c>
      <c r="B4733" s="48" t="n"/>
      <c r="C4733" s="48" t="n"/>
    </row>
    <row r="4734" ht="18" customHeight="1" s="17">
      <c r="A4734" s="48">
        <f>IF(Generation!AM99="","",Generation!AM99)</f>
        <v/>
      </c>
      <c r="B4734" s="48" t="n"/>
      <c r="C4734" s="48" t="n"/>
    </row>
    <row r="4735" ht="18" customHeight="1" s="17">
      <c r="A4735" s="48">
        <f>IF(Generation!AN99="","",Generation!AN99)</f>
        <v/>
      </c>
      <c r="B4735" s="48" t="n"/>
      <c r="C4735" s="48" t="n"/>
    </row>
    <row r="4736" ht="18" customHeight="1" s="17">
      <c r="A4736" s="48">
        <f>IF(Generation!AO99="","",Generation!AO99)</f>
        <v/>
      </c>
      <c r="B4736" s="48" t="n"/>
      <c r="C4736" s="48" t="n"/>
    </row>
    <row r="4737" ht="18" customHeight="1" s="17">
      <c r="A4737" s="48">
        <f>IF(Generation!AP99="","",Generation!AP99)</f>
        <v/>
      </c>
      <c r="B4737" s="48" t="n"/>
      <c r="C4737" s="48" t="n"/>
    </row>
    <row r="4738" ht="18" customHeight="1" s="17">
      <c r="A4738" s="48">
        <f>IF(Generation!AQ99="","",Generation!AQ99)</f>
        <v/>
      </c>
      <c r="B4738" s="48" t="n"/>
      <c r="C4738" s="48" t="n"/>
    </row>
    <row r="4739" ht="18" customHeight="1" s="17">
      <c r="A4739" s="48">
        <f>IF(Generation!$B99,"    &lt;/resprocessing&gt;","")</f>
        <v/>
      </c>
      <c r="B4739" s="48" t="n"/>
      <c r="C4739" s="48" t="n"/>
    </row>
    <row r="4740" ht="18" customHeight="1" s="17">
      <c r="A4740" s="48">
        <f>IF(Generation!BB99="","",Generation!BB99)</f>
        <v/>
      </c>
      <c r="B4740" s="48" t="n"/>
      <c r="C4740" s="48" t="n"/>
    </row>
    <row r="4741" ht="18" customHeight="1" s="17">
      <c r="A4741" s="48">
        <f>IF(Generation!BC99="","",Generation!BC99)</f>
        <v/>
      </c>
      <c r="B4741" s="48" t="n"/>
      <c r="C4741" s="48" t="n"/>
    </row>
    <row r="4742" ht="18" customHeight="1" s="17">
      <c r="A4742" s="48">
        <f>IF(Generation!BD99="","",Generation!BD99)</f>
        <v/>
      </c>
      <c r="B4742" s="48" t="n"/>
      <c r="C4742" s="48" t="n"/>
    </row>
    <row r="4743" ht="18" customHeight="1" s="17">
      <c r="A4743" s="48">
        <f>IF(Generation!BE99="","",Generation!BE99)</f>
        <v/>
      </c>
      <c r="B4743" s="48" t="n"/>
      <c r="C4743" s="48" t="n"/>
    </row>
    <row r="4744" ht="18" customHeight="1" s="17">
      <c r="A4744" s="48">
        <f>IF(Generation!BF99="","",Generation!BF99)</f>
        <v/>
      </c>
      <c r="B4744" s="48" t="n"/>
      <c r="C4744" s="48" t="n"/>
    </row>
    <row r="4745" ht="18" customHeight="1" s="17">
      <c r="A4745" s="48">
        <f>IF(Generation!BG99="","",Generation!BG99)</f>
        <v/>
      </c>
      <c r="B4745" s="48" t="n"/>
      <c r="C4745" s="48" t="n"/>
    </row>
    <row r="4746" ht="18" customHeight="1" s="17">
      <c r="A4746" s="48">
        <f>IF(Generation!BH99="","",Generation!BH99)</f>
        <v/>
      </c>
      <c r="B4746" s="48" t="n"/>
      <c r="C4746" s="48" t="n"/>
    </row>
    <row r="4747" ht="18" customHeight="1" s="17">
      <c r="A4747" s="48">
        <f>IF(Generation!BI99="","",Generation!BI99)</f>
        <v/>
      </c>
      <c r="B4747" s="48" t="n"/>
      <c r="C4747" s="48" t="n"/>
    </row>
    <row r="4748" ht="18" customHeight="1" s="17">
      <c r="A4748" s="48">
        <f>IF(Generation!BJ99="","",Generation!BJ99)</f>
        <v/>
      </c>
      <c r="B4748" s="48" t="n"/>
      <c r="C4748" s="48" t="n"/>
    </row>
    <row r="4749" ht="18" customHeight="1" s="17">
      <c r="A4749" s="48">
        <f>IF(Generation!$B99,"  &lt;/item&gt;","")</f>
        <v/>
      </c>
      <c r="B4749" s="48" t="n"/>
      <c r="C4749" s="48" t="n"/>
    </row>
    <row r="4750" ht="18" customHeight="1" s="17">
      <c r="A4750" s="48">
        <f>""</f>
        <v/>
      </c>
      <c r="B4750" s="48" t="n"/>
      <c r="C4750" s="48" t="n"/>
    </row>
    <row r="4751" ht="18" customHeight="1" s="17">
      <c r="A4751" s="48">
        <f>""</f>
        <v/>
      </c>
      <c r="B4751" s="48" t="n"/>
      <c r="C4751" s="48" t="n"/>
    </row>
    <row r="4752" ht="18" customHeight="1" s="17">
      <c r="A4752" s="48">
        <f>""</f>
        <v/>
      </c>
      <c r="B4752" s="48" t="n"/>
      <c r="C4752" s="48" t="n"/>
    </row>
    <row r="4753" ht="18" customHeight="1" s="17">
      <c r="A4753" s="48">
        <f>""</f>
        <v/>
      </c>
      <c r="B4753" s="48" t="n"/>
      <c r="C4753" s="48" t="n"/>
    </row>
    <row r="4754" ht="18" customHeight="1" s="17">
      <c r="A4754" s="48">
        <f>IF(Generation!$B100,"  &lt;item ident=""il_0_qst_"&amp;TEXT(Generation!$A100,"000")&amp;""" title="""&amp;Generation!$F100&amp;"""&gt;","")</f>
        <v/>
      </c>
      <c r="B4754" s="48" t="n"/>
      <c r="C4754" s="48" t="n"/>
    </row>
    <row r="4755" ht="18" customHeight="1" s="17">
      <c r="A4755" s="48">
        <f>IF(Generation!$B100,"    &lt;duration&gt;P0Y0M0DT0H1M0S&lt;/duration&gt;","")</f>
        <v/>
      </c>
      <c r="B4755" s="48" t="n"/>
      <c r="C4755" s="48" t="n"/>
    </row>
    <row r="4756" ht="18" customHeight="1" s="17">
      <c r="A4756" s="48">
        <f>IF(Generation!$B100,"    &lt;itemmetadata&gt;","")</f>
        <v/>
      </c>
      <c r="B4756" s="48" t="n"/>
      <c r="C4756" s="48" t="n"/>
    </row>
    <row r="4757" ht="18" customHeight="1" s="17">
      <c r="A4757" s="48">
        <f>IF(Generation!$B100,"      &lt;qtimetadata&gt;","")</f>
        <v/>
      </c>
      <c r="B4757" s="48" t="n"/>
      <c r="C4757" s="48" t="n"/>
    </row>
    <row r="4758" ht="18" customHeight="1" s="17">
      <c r="A4758" s="48">
        <f>IF(Generation!$B100,"        &lt;qtimetadatafield&gt;&lt;fieldlabel&gt;ILIAS_VERSION&lt;/fieldlabel&gt;&lt;fieldentry&gt;8&lt;/fieldentry&gt;&lt;/qtimetadatafield&gt;","")</f>
        <v/>
      </c>
      <c r="B4758" s="48" t="n"/>
      <c r="C4758" s="48" t="n"/>
    </row>
    <row r="4759" ht="18" customHeight="1" s="17">
      <c r="A4759" s="48">
        <f>IF(Generation!$B100,"        &lt;qtimetadatafield&gt;&lt;fieldlabel&gt;QUESTIONTYPE&lt;/fieldlabel&gt;&lt;fieldentry&gt;"&amp;Generation!$D100&amp;"&lt;/fieldentry&gt;&lt;/qtimetadatafield&gt;","")</f>
        <v/>
      </c>
      <c r="B4759" s="48" t="n"/>
      <c r="C4759" s="48" t="n"/>
    </row>
    <row r="4760" ht="18" customHeight="1" s="17">
      <c r="A4760" s="48">
        <f>IF(Generation!$B100,"        &lt;qtimetadatafield&gt;&lt;fieldlabel&gt;AUTHOR&lt;/fieldlabel&gt;&lt;fieldentry&gt;"&amp;Generation!$AR100&amp;"&lt;/fieldentry&gt;&lt;/qtimetadatafield&gt;","")</f>
        <v/>
      </c>
      <c r="B4760" s="48" t="n"/>
      <c r="C4760" s="48" t="n"/>
    </row>
    <row r="4761" ht="18" customHeight="1" s="17">
      <c r="A4761" s="48">
        <f>IF(Generation!$B100,"        &lt;qtimetadatafield&gt;&lt;fieldlabel&gt;identicalScoring&lt;/fieldlabel&gt;&lt;fieldentry&gt;1&lt;/fieldentry&gt;&lt;/qtimetadatafield&gt;","")</f>
        <v/>
      </c>
      <c r="B4761" s="48" t="n"/>
      <c r="C4761" s="48" t="n"/>
    </row>
    <row r="4762" ht="18" customHeight="1" s="17">
      <c r="A4762" s="48">
        <f>IF(Generation!$B100,"      &lt;/qtimetadata&gt;","")</f>
        <v/>
      </c>
      <c r="B4762" s="48" t="n"/>
      <c r="C4762" s="48" t="n"/>
    </row>
    <row r="4763" ht="18" customHeight="1" s="17">
      <c r="A4763" s="48">
        <f>IF(Generation!$B100,"    &lt;/itemmetadata&gt;","")</f>
        <v/>
      </c>
      <c r="B4763" s="48" t="n"/>
      <c r="C4763" s="48" t="n"/>
    </row>
    <row r="4764" ht="18" customHeight="1" s="17">
      <c r="A4764" s="48">
        <f>IF(Generation!$B100,"    &lt;presentation label="""&amp;Generation!$F100&amp;"""&gt;","")</f>
        <v/>
      </c>
      <c r="B4764" s="48" t="n"/>
      <c r="C4764" s="48" t="n"/>
    </row>
    <row r="4765" ht="18" customHeight="1" s="17">
      <c r="A4765" s="48">
        <f>IF(Generation!$B100,"      &lt;material&gt;&lt;mattext texttype=""text/html""&gt;"&amp;Generation!$G100&amp;"&lt;/mattext&gt;&lt;/material&gt;","")</f>
        <v/>
      </c>
      <c r="B4765" s="48" t="n"/>
      <c r="C4765" s="48" t="n"/>
    </row>
    <row r="4766" ht="18" customHeight="1" s="17">
      <c r="A4766" s="48">
        <f>IF(Generation!$B100,"      &lt;response_lid ident=""RESPONSE"" rcardinality="""&amp;Generation!$E100&amp;"""&gt;","")</f>
        <v/>
      </c>
      <c r="B4766" s="48" t="n"/>
      <c r="C4766" s="48" t="n"/>
    </row>
    <row r="4767" ht="18" customHeight="1" s="17">
      <c r="A4767" s="48">
        <f>IF(Generation!$B100,"        &lt;render_choice shuffle=""No""&gt;","")</f>
        <v/>
      </c>
      <c r="B4767" s="48" t="n"/>
      <c r="C4767" s="48" t="n"/>
    </row>
    <row r="4768" ht="18" customHeight="1" s="17">
      <c r="A4768" s="48">
        <f>IF(Generation!AB100="","",Generation!AB100)</f>
        <v/>
      </c>
      <c r="B4768" s="48" t="n"/>
      <c r="C4768" s="48" t="n"/>
    </row>
    <row r="4769" ht="18" customHeight="1" s="17">
      <c r="A4769" s="48">
        <f>IF(Generation!AC100="","",Generation!AC100)</f>
        <v/>
      </c>
      <c r="B4769" s="48" t="n"/>
      <c r="C4769" s="48" t="n"/>
    </row>
    <row r="4770" ht="18" customHeight="1" s="17">
      <c r="A4770" s="48">
        <f>IF(Generation!AD100="","",Generation!AD100)</f>
        <v/>
      </c>
      <c r="B4770" s="48" t="n"/>
      <c r="C4770" s="48" t="n"/>
    </row>
    <row r="4771" ht="18" customHeight="1" s="17">
      <c r="A4771" s="48">
        <f>IF(Generation!AE100="","",Generation!AE100)</f>
        <v/>
      </c>
      <c r="B4771" s="48" t="n"/>
      <c r="C4771" s="48" t="n"/>
    </row>
    <row r="4772" ht="18" customHeight="1" s="17">
      <c r="A4772" s="48">
        <f>IF(Generation!AF100="","",Generation!AF100)</f>
        <v/>
      </c>
      <c r="B4772" s="48" t="n"/>
      <c r="C4772" s="48" t="n"/>
    </row>
    <row r="4773" ht="18" customHeight="1" s="17">
      <c r="A4773" s="48">
        <f>IF(Generation!AG100="","",Generation!AG100)</f>
        <v/>
      </c>
      <c r="B4773" s="48" t="n"/>
      <c r="C4773" s="48" t="n"/>
    </row>
    <row r="4774" ht="18" customHeight="1" s="17">
      <c r="A4774" s="48">
        <f>IF(Generation!AH100="","",Generation!AH100)</f>
        <v/>
      </c>
      <c r="B4774" s="48" t="n"/>
      <c r="C4774" s="48" t="n"/>
    </row>
    <row r="4775" ht="18" customHeight="1" s="17">
      <c r="A4775" s="48">
        <f>IF(Generation!AI100="","",Generation!AI100)</f>
        <v/>
      </c>
      <c r="B4775" s="48" t="n"/>
      <c r="C4775" s="48" t="n"/>
    </row>
    <row r="4776" ht="18" customHeight="1" s="17">
      <c r="A4776" s="48">
        <f>IF(Generation!$B100,"        &lt;/render_choice&gt;","")</f>
        <v/>
      </c>
      <c r="B4776" s="48" t="n"/>
      <c r="C4776" s="48" t="n"/>
    </row>
    <row r="4777" ht="18" customHeight="1" s="17">
      <c r="A4777" s="48">
        <f>IF(Generation!$B100,"      &lt;/response_lid&gt;","")</f>
        <v/>
      </c>
      <c r="B4777" s="48" t="n"/>
      <c r="C4777" s="48" t="n"/>
    </row>
    <row r="4778" ht="18" customHeight="1" s="17">
      <c r="A4778" s="48">
        <f>IF(Generation!$B100,"    &lt;/presentation&gt;","")</f>
        <v/>
      </c>
      <c r="B4778" s="48" t="n"/>
      <c r="C4778" s="48" t="n"/>
    </row>
    <row r="4779" ht="18" customHeight="1" s="17">
      <c r="A4779" s="48">
        <f>IF(Generation!$B100,"    &lt;resprocessing&gt;","")</f>
        <v/>
      </c>
      <c r="B4779" s="48" t="n"/>
      <c r="C4779" s="48" t="n"/>
    </row>
    <row r="4780" ht="18" customHeight="1" s="17">
      <c r="A4780" s="48">
        <f>IF(Generation!$B100,"      &lt;outcomes&gt;&lt;decvar varname=""SCORE"" vartype=""Decimal"" minvalue=""0"" maxvalue="""&amp;Generation!$H100&amp;"""/&gt;&lt;/outcomes&gt;","")</f>
        <v/>
      </c>
      <c r="B4780" s="48" t="n"/>
      <c r="C4780" s="48" t="n"/>
    </row>
    <row r="4781" ht="18" customHeight="1" s="17">
      <c r="A4781" s="48">
        <f>IF(Generation!AJ100="","",Generation!AJ100)</f>
        <v/>
      </c>
      <c r="B4781" s="48" t="n"/>
      <c r="C4781" s="48" t="n"/>
    </row>
    <row r="4782" ht="18" customHeight="1" s="17">
      <c r="A4782" s="48">
        <f>IF(Generation!AK100="","",Generation!AK100)</f>
        <v/>
      </c>
      <c r="B4782" s="48" t="n"/>
      <c r="C4782" s="48" t="n"/>
    </row>
    <row r="4783" ht="18" customHeight="1" s="17">
      <c r="A4783" s="48">
        <f>IF(Generation!AL100="","",Generation!AL100)</f>
        <v/>
      </c>
      <c r="B4783" s="48" t="n"/>
      <c r="C4783" s="48" t="n"/>
    </row>
    <row r="4784" ht="18" customHeight="1" s="17">
      <c r="A4784" s="48">
        <f>IF(Generation!AM100="","",Generation!AM100)</f>
        <v/>
      </c>
      <c r="B4784" s="48" t="n"/>
      <c r="C4784" s="48" t="n"/>
    </row>
    <row r="4785" ht="18" customHeight="1" s="17">
      <c r="A4785" s="48">
        <f>IF(Generation!AN100="","",Generation!AN100)</f>
        <v/>
      </c>
      <c r="B4785" s="48" t="n"/>
      <c r="C4785" s="48" t="n"/>
    </row>
    <row r="4786" ht="18" customHeight="1" s="17">
      <c r="A4786" s="48">
        <f>IF(Generation!AO100="","",Generation!AO100)</f>
        <v/>
      </c>
      <c r="B4786" s="48" t="n"/>
      <c r="C4786" s="48" t="n"/>
    </row>
    <row r="4787" ht="18" customHeight="1" s="17">
      <c r="A4787" s="48">
        <f>IF(Generation!AP100="","",Generation!AP100)</f>
        <v/>
      </c>
      <c r="B4787" s="48" t="n"/>
      <c r="C4787" s="48" t="n"/>
    </row>
    <row r="4788" ht="18" customHeight="1" s="17">
      <c r="A4788" s="48">
        <f>IF(Generation!AQ100="","",Generation!AQ100)</f>
        <v/>
      </c>
      <c r="B4788" s="48" t="n"/>
      <c r="C4788" s="48" t="n"/>
    </row>
    <row r="4789" ht="18" customHeight="1" s="17">
      <c r="A4789" s="48">
        <f>IF(Generation!$B100,"    &lt;/resprocessing&gt;","")</f>
        <v/>
      </c>
      <c r="B4789" s="48" t="n"/>
      <c r="C4789" s="48" t="n"/>
    </row>
    <row r="4790" ht="18" customHeight="1" s="17">
      <c r="A4790" s="48">
        <f>IF(Generation!BB100="","",Generation!BB100)</f>
        <v/>
      </c>
      <c r="B4790" s="48" t="n"/>
      <c r="C4790" s="48" t="n"/>
    </row>
    <row r="4791" ht="18" customHeight="1" s="17">
      <c r="A4791" s="48">
        <f>IF(Generation!BC100="","",Generation!BC100)</f>
        <v/>
      </c>
      <c r="B4791" s="48" t="n"/>
      <c r="C4791" s="48" t="n"/>
    </row>
    <row r="4792" ht="18" customHeight="1" s="17">
      <c r="A4792" s="48">
        <f>IF(Generation!BD100="","",Generation!BD100)</f>
        <v/>
      </c>
      <c r="B4792" s="48" t="n"/>
      <c r="C4792" s="48" t="n"/>
    </row>
    <row r="4793" ht="18" customHeight="1" s="17">
      <c r="A4793" s="48">
        <f>IF(Generation!BE100="","",Generation!BE100)</f>
        <v/>
      </c>
      <c r="B4793" s="48" t="n"/>
      <c r="C4793" s="48" t="n"/>
    </row>
    <row r="4794" ht="18" customHeight="1" s="17">
      <c r="A4794" s="48">
        <f>IF(Generation!BF100="","",Generation!BF100)</f>
        <v/>
      </c>
      <c r="B4794" s="48" t="n"/>
      <c r="C4794" s="48" t="n"/>
    </row>
    <row r="4795" ht="18" customHeight="1" s="17">
      <c r="A4795" s="48">
        <f>IF(Generation!BG100="","",Generation!BG100)</f>
        <v/>
      </c>
      <c r="B4795" s="48" t="n"/>
      <c r="C4795" s="48" t="n"/>
    </row>
    <row r="4796" ht="18" customHeight="1" s="17">
      <c r="A4796" s="48">
        <f>IF(Generation!BH100="","",Generation!BH100)</f>
        <v/>
      </c>
      <c r="B4796" s="48" t="n"/>
      <c r="C4796" s="48" t="n"/>
    </row>
    <row r="4797" ht="18" customHeight="1" s="17">
      <c r="A4797" s="48">
        <f>IF(Generation!BI100="","",Generation!BI100)</f>
        <v/>
      </c>
      <c r="B4797" s="48" t="n"/>
      <c r="C4797" s="48" t="n"/>
    </row>
    <row r="4798" ht="18" customHeight="1" s="17">
      <c r="A4798" s="48">
        <f>IF(Generation!BJ100="","",Generation!BJ100)</f>
        <v/>
      </c>
      <c r="B4798" s="48" t="n"/>
      <c r="C4798" s="48" t="n"/>
    </row>
    <row r="4799" ht="18" customHeight="1" s="17">
      <c r="A4799" s="48">
        <f>IF(Generation!$B100,"  &lt;/item&gt;","")</f>
        <v/>
      </c>
      <c r="B4799" s="48" t="n"/>
      <c r="C4799" s="48" t="n"/>
    </row>
    <row r="4800" ht="18" customHeight="1" s="17">
      <c r="A4800" s="48">
        <f>""</f>
        <v/>
      </c>
      <c r="B4800" s="48" t="n"/>
      <c r="C4800" s="48" t="n"/>
    </row>
    <row r="4801" ht="18" customHeight="1" s="17">
      <c r="A4801" s="48">
        <f>""</f>
        <v/>
      </c>
      <c r="B4801" s="48" t="n"/>
      <c r="C4801" s="48" t="n"/>
    </row>
    <row r="4802" ht="18" customHeight="1" s="17">
      <c r="A4802" s="48">
        <f>""</f>
        <v/>
      </c>
      <c r="B4802" s="48" t="n"/>
      <c r="C4802" s="48" t="n"/>
    </row>
    <row r="4803" ht="18" customHeight="1" s="17">
      <c r="A4803" s="48">
        <f>""</f>
        <v/>
      </c>
      <c r="B4803" s="48" t="n"/>
      <c r="C4803" s="48" t="n"/>
    </row>
    <row r="4804" ht="18" customHeight="1" s="17">
      <c r="A4804" s="48">
        <f>IF(Generation!$B101,"  &lt;item ident=""il_0_qst_"&amp;TEXT(Generation!$A101,"000")&amp;""" title="""&amp;Generation!$F101&amp;"""&gt;","")</f>
        <v/>
      </c>
      <c r="B4804" s="48" t="n"/>
      <c r="C4804" s="48" t="n"/>
    </row>
    <row r="4805" ht="18" customHeight="1" s="17">
      <c r="A4805" s="48">
        <f>IF(Generation!$B101,"    &lt;duration&gt;P0Y0M0DT0H1M0S&lt;/duration&gt;","")</f>
        <v/>
      </c>
      <c r="B4805" s="48" t="n"/>
      <c r="C4805" s="48" t="n"/>
    </row>
    <row r="4806" ht="18" customHeight="1" s="17">
      <c r="A4806" s="48">
        <f>IF(Generation!$B101,"    &lt;itemmetadata&gt;","")</f>
        <v/>
      </c>
      <c r="B4806" s="48" t="n"/>
      <c r="C4806" s="48" t="n"/>
    </row>
    <row r="4807" ht="18" customHeight="1" s="17">
      <c r="A4807" s="48">
        <f>IF(Generation!$B101,"      &lt;qtimetadata&gt;","")</f>
        <v/>
      </c>
      <c r="B4807" s="48" t="n"/>
      <c r="C4807" s="48" t="n"/>
    </row>
    <row r="4808" ht="18" customHeight="1" s="17">
      <c r="A4808" s="48">
        <f>IF(Generation!$B101,"        &lt;qtimetadatafield&gt;&lt;fieldlabel&gt;ILIAS_VERSION&lt;/fieldlabel&gt;&lt;fieldentry&gt;8&lt;/fieldentry&gt;&lt;/qtimetadatafield&gt;","")</f>
        <v/>
      </c>
      <c r="B4808" s="48" t="n"/>
      <c r="C4808" s="48" t="n"/>
    </row>
    <row r="4809" ht="18" customHeight="1" s="17">
      <c r="A4809" s="48">
        <f>IF(Generation!$B101,"        &lt;qtimetadatafield&gt;&lt;fieldlabel&gt;QUESTIONTYPE&lt;/fieldlabel&gt;&lt;fieldentry&gt;"&amp;Generation!$D101&amp;"&lt;/fieldentry&gt;&lt;/qtimetadatafield&gt;","")</f>
        <v/>
      </c>
      <c r="B4809" s="48" t="n"/>
      <c r="C4809" s="48" t="n"/>
    </row>
    <row r="4810" ht="18" customHeight="1" s="17">
      <c r="A4810" s="48">
        <f>IF(Generation!$B101,"        &lt;qtimetadatafield&gt;&lt;fieldlabel&gt;AUTHOR&lt;/fieldlabel&gt;&lt;fieldentry&gt;"&amp;Generation!$AR101&amp;"&lt;/fieldentry&gt;&lt;/qtimetadatafield&gt;","")</f>
        <v/>
      </c>
      <c r="B4810" s="48" t="n"/>
      <c r="C4810" s="48" t="n"/>
    </row>
    <row r="4811" ht="18" customHeight="1" s="17">
      <c r="A4811" s="48">
        <f>IF(Generation!$B101,"        &lt;qtimetadatafield&gt;&lt;fieldlabel&gt;identicalScoring&lt;/fieldlabel&gt;&lt;fieldentry&gt;1&lt;/fieldentry&gt;&lt;/qtimetadatafield&gt;","")</f>
        <v/>
      </c>
      <c r="B4811" s="48" t="n"/>
      <c r="C4811" s="48" t="n"/>
    </row>
    <row r="4812" ht="18" customHeight="1" s="17">
      <c r="A4812" s="48">
        <f>IF(Generation!$B101,"      &lt;/qtimetadata&gt;","")</f>
        <v/>
      </c>
      <c r="B4812" s="48" t="n"/>
      <c r="C4812" s="48" t="n"/>
    </row>
    <row r="4813" ht="18" customHeight="1" s="17">
      <c r="A4813" s="48">
        <f>IF(Generation!$B101,"    &lt;/itemmetadata&gt;","")</f>
        <v/>
      </c>
      <c r="B4813" s="48" t="n"/>
      <c r="C4813" s="48" t="n"/>
    </row>
    <row r="4814" ht="18" customHeight="1" s="17">
      <c r="A4814" s="48">
        <f>IF(Generation!$B101,"    &lt;presentation label="""&amp;Generation!$F101&amp;"""&gt;","")</f>
        <v/>
      </c>
      <c r="B4814" s="48" t="n"/>
      <c r="C4814" s="48" t="n"/>
    </row>
    <row r="4815" ht="18" customHeight="1" s="17">
      <c r="A4815" s="48">
        <f>IF(Generation!$B101,"      &lt;material&gt;&lt;mattext texttype=""text/html""&gt;"&amp;Generation!$G101&amp;"&lt;/mattext&gt;&lt;/material&gt;","")</f>
        <v/>
      </c>
      <c r="B4815" s="48" t="n"/>
      <c r="C4815" s="48" t="n"/>
    </row>
    <row r="4816" ht="18" customHeight="1" s="17">
      <c r="A4816" s="48">
        <f>IF(Generation!$B101,"      &lt;response_lid ident=""RESPONSE"" rcardinality="""&amp;Generation!$E101&amp;"""&gt;","")</f>
        <v/>
      </c>
      <c r="B4816" s="48" t="n"/>
      <c r="C4816" s="48" t="n"/>
    </row>
    <row r="4817" ht="18" customHeight="1" s="17">
      <c r="A4817" s="48">
        <f>IF(Generation!$B101,"        &lt;render_choice shuffle=""No""&gt;","")</f>
        <v/>
      </c>
      <c r="B4817" s="48" t="n"/>
      <c r="C4817" s="48" t="n"/>
    </row>
    <row r="4818" ht="18" customHeight="1" s="17">
      <c r="A4818" s="48">
        <f>IF(Generation!AB101="","",Generation!AB101)</f>
        <v/>
      </c>
      <c r="B4818" s="48" t="n"/>
      <c r="C4818" s="48" t="n"/>
    </row>
    <row r="4819" ht="18" customHeight="1" s="17">
      <c r="A4819" s="48">
        <f>IF(Generation!AC101="","",Generation!AC101)</f>
        <v/>
      </c>
      <c r="B4819" s="48" t="n"/>
      <c r="C4819" s="48" t="n"/>
    </row>
    <row r="4820" ht="18" customHeight="1" s="17">
      <c r="A4820" s="48">
        <f>IF(Generation!AD101="","",Generation!AD101)</f>
        <v/>
      </c>
      <c r="B4820" s="48" t="n"/>
      <c r="C4820" s="48" t="n"/>
    </row>
    <row r="4821" ht="18" customHeight="1" s="17">
      <c r="A4821" s="48">
        <f>IF(Generation!AE101="","",Generation!AE101)</f>
        <v/>
      </c>
      <c r="B4821" s="48" t="n"/>
      <c r="C4821" s="48" t="n"/>
    </row>
    <row r="4822" ht="18" customHeight="1" s="17">
      <c r="A4822" s="48">
        <f>IF(Generation!AF101="","",Generation!AF101)</f>
        <v/>
      </c>
      <c r="B4822" s="48" t="n"/>
      <c r="C4822" s="48" t="n"/>
    </row>
    <row r="4823" ht="18" customHeight="1" s="17">
      <c r="A4823" s="48">
        <f>IF(Generation!AG101="","",Generation!AG101)</f>
        <v/>
      </c>
      <c r="B4823" s="48" t="n"/>
      <c r="C4823" s="48" t="n"/>
    </row>
    <row r="4824" ht="18" customHeight="1" s="17">
      <c r="A4824" s="48">
        <f>IF(Generation!AH101="","",Generation!AH101)</f>
        <v/>
      </c>
      <c r="B4824" s="48" t="n"/>
      <c r="C4824" s="48" t="n"/>
    </row>
    <row r="4825" ht="18" customHeight="1" s="17">
      <c r="A4825" s="48">
        <f>IF(Generation!AI101="","",Generation!AI101)</f>
        <v/>
      </c>
      <c r="B4825" s="48" t="n"/>
      <c r="C4825" s="48" t="n"/>
    </row>
    <row r="4826" ht="18" customHeight="1" s="17">
      <c r="A4826" s="48">
        <f>IF(Generation!$B101,"        &lt;/render_choice&gt;","")</f>
        <v/>
      </c>
      <c r="B4826" s="48" t="n"/>
      <c r="C4826" s="48" t="n"/>
    </row>
    <row r="4827" ht="18" customHeight="1" s="17">
      <c r="A4827" s="48">
        <f>IF(Generation!$B101,"      &lt;/response_lid&gt;","")</f>
        <v/>
      </c>
      <c r="B4827" s="48" t="n"/>
      <c r="C4827" s="48" t="n"/>
    </row>
    <row r="4828" ht="18" customHeight="1" s="17">
      <c r="A4828" s="48">
        <f>IF(Generation!$B101,"    &lt;/presentation&gt;","")</f>
        <v/>
      </c>
      <c r="B4828" s="48" t="n"/>
      <c r="C4828" s="48" t="n"/>
    </row>
    <row r="4829" ht="18" customHeight="1" s="17">
      <c r="A4829" s="48">
        <f>IF(Generation!$B101,"    &lt;resprocessing&gt;","")</f>
        <v/>
      </c>
      <c r="B4829" s="48" t="n"/>
      <c r="C4829" s="48" t="n"/>
    </row>
    <row r="4830" ht="18" customHeight="1" s="17">
      <c r="A4830" s="48">
        <f>IF(Generation!$B101,"      &lt;outcomes&gt;&lt;decvar varname=""SCORE"" vartype=""Decimal"" minvalue=""0"" maxvalue="""&amp;Generation!$H101&amp;"""/&gt;&lt;/outcomes&gt;","")</f>
        <v/>
      </c>
      <c r="B4830" s="48" t="n"/>
      <c r="C4830" s="48" t="n"/>
    </row>
    <row r="4831" ht="18" customHeight="1" s="17">
      <c r="A4831" s="48">
        <f>IF(Generation!AJ101="","",Generation!AJ101)</f>
        <v/>
      </c>
      <c r="B4831" s="48" t="n"/>
      <c r="C4831" s="48" t="n"/>
    </row>
    <row r="4832" ht="18" customHeight="1" s="17">
      <c r="A4832" s="48">
        <f>IF(Generation!AK101="","",Generation!AK101)</f>
        <v/>
      </c>
      <c r="B4832" s="48" t="n"/>
      <c r="C4832" s="48" t="n"/>
    </row>
    <row r="4833" ht="18" customHeight="1" s="17">
      <c r="A4833" s="48">
        <f>IF(Generation!AL101="","",Generation!AL101)</f>
        <v/>
      </c>
      <c r="B4833" s="48" t="n"/>
      <c r="C4833" s="48" t="n"/>
    </row>
    <row r="4834" ht="18" customHeight="1" s="17">
      <c r="A4834" s="48">
        <f>IF(Generation!AM101="","",Generation!AM101)</f>
        <v/>
      </c>
      <c r="B4834" s="48" t="n"/>
      <c r="C4834" s="48" t="n"/>
    </row>
    <row r="4835" ht="18" customHeight="1" s="17">
      <c r="A4835" s="48">
        <f>IF(Generation!AN101="","",Generation!AN101)</f>
        <v/>
      </c>
      <c r="B4835" s="48" t="n"/>
      <c r="C4835" s="48" t="n"/>
    </row>
    <row r="4836" ht="18" customHeight="1" s="17">
      <c r="A4836" s="48">
        <f>IF(Generation!AO101="","",Generation!AO101)</f>
        <v/>
      </c>
      <c r="B4836" s="48" t="n"/>
      <c r="C4836" s="48" t="n"/>
    </row>
    <row r="4837" ht="18" customHeight="1" s="17">
      <c r="A4837" s="48">
        <f>IF(Generation!AP101="","",Generation!AP101)</f>
        <v/>
      </c>
      <c r="B4837" s="48" t="n"/>
      <c r="C4837" s="48" t="n"/>
    </row>
    <row r="4838" ht="18" customHeight="1" s="17">
      <c r="A4838" s="48">
        <f>IF(Generation!AQ101="","",Generation!AQ101)</f>
        <v/>
      </c>
      <c r="B4838" s="48" t="n"/>
      <c r="C4838" s="48" t="n"/>
    </row>
    <row r="4839" ht="18" customHeight="1" s="17">
      <c r="A4839" s="48">
        <f>IF(Generation!$B101,"    &lt;/resprocessing&gt;","")</f>
        <v/>
      </c>
      <c r="B4839" s="48" t="n"/>
      <c r="C4839" s="48" t="n"/>
    </row>
    <row r="4840" ht="18" customHeight="1" s="17">
      <c r="A4840" s="48">
        <f>IF(Generation!BB101="","",Generation!BB101)</f>
        <v/>
      </c>
      <c r="B4840" s="48" t="n"/>
      <c r="C4840" s="48" t="n"/>
    </row>
    <row r="4841" ht="18" customHeight="1" s="17">
      <c r="A4841" s="48">
        <f>IF(Generation!BC101="","",Generation!BC101)</f>
        <v/>
      </c>
      <c r="B4841" s="48" t="n"/>
      <c r="C4841" s="48" t="n"/>
    </row>
    <row r="4842" ht="18" customHeight="1" s="17">
      <c r="A4842" s="48">
        <f>IF(Generation!BD101="","",Generation!BD101)</f>
        <v/>
      </c>
      <c r="B4842" s="48" t="n"/>
      <c r="C4842" s="48" t="n"/>
    </row>
    <row r="4843" ht="18" customHeight="1" s="17">
      <c r="A4843" s="48">
        <f>IF(Generation!BE101="","",Generation!BE101)</f>
        <v/>
      </c>
      <c r="B4843" s="48" t="n"/>
      <c r="C4843" s="48" t="n"/>
    </row>
    <row r="4844" ht="18" customHeight="1" s="17">
      <c r="A4844" s="48">
        <f>IF(Generation!BF101="","",Generation!BF101)</f>
        <v/>
      </c>
      <c r="B4844" s="48" t="n"/>
      <c r="C4844" s="48" t="n"/>
    </row>
    <row r="4845" ht="18" customHeight="1" s="17">
      <c r="A4845" s="48">
        <f>IF(Generation!BG101="","",Generation!BG101)</f>
        <v/>
      </c>
      <c r="B4845" s="48" t="n"/>
      <c r="C4845" s="48" t="n"/>
    </row>
    <row r="4846" ht="18" customHeight="1" s="17">
      <c r="A4846" s="48">
        <f>IF(Generation!BH101="","",Generation!BH101)</f>
        <v/>
      </c>
      <c r="B4846" s="48" t="n"/>
      <c r="C4846" s="48" t="n"/>
    </row>
    <row r="4847" ht="18" customHeight="1" s="17">
      <c r="A4847" s="48">
        <f>IF(Generation!BI101="","",Generation!BI101)</f>
        <v/>
      </c>
      <c r="B4847" s="48" t="n"/>
      <c r="C4847" s="48" t="n"/>
    </row>
    <row r="4848" ht="18" customHeight="1" s="17">
      <c r="A4848" s="48">
        <f>IF(Generation!BJ101="","",Generation!BJ101)</f>
        <v/>
      </c>
      <c r="B4848" s="48" t="n"/>
      <c r="C4848" s="48" t="n"/>
    </row>
    <row r="4849" ht="18" customHeight="1" s="17">
      <c r="A4849" s="48">
        <f>IF(Generation!$B101,"  &lt;/item&gt;","")</f>
        <v/>
      </c>
      <c r="B4849" s="48" t="n"/>
      <c r="C4849" s="48" t="n"/>
    </row>
    <row r="4850" ht="18" customHeight="1" s="17">
      <c r="A4850" s="48">
        <f>""</f>
        <v/>
      </c>
      <c r="B4850" s="48" t="n"/>
      <c r="C4850" s="48" t="n"/>
    </row>
    <row r="4851" ht="18" customHeight="1" s="17">
      <c r="A4851" s="48">
        <f>""</f>
        <v/>
      </c>
      <c r="B4851" s="48" t="n"/>
      <c r="C4851" s="48" t="n"/>
    </row>
    <row r="4852" ht="18" customHeight="1" s="17">
      <c r="A4852" s="48">
        <f>""</f>
        <v/>
      </c>
      <c r="B4852" s="48" t="n"/>
      <c r="C4852" s="48" t="n"/>
    </row>
    <row r="4853" ht="18" customHeight="1" s="17">
      <c r="A4853" s="48">
        <f>""</f>
        <v/>
      </c>
      <c r="B4853" s="48" t="n"/>
      <c r="C4853" s="48" t="n"/>
    </row>
    <row r="4854" ht="18" customHeight="1" s="17">
      <c r="A4854" s="48">
        <f>IF(Generation!$B102,"  &lt;item ident=""il_0_qst_"&amp;TEXT(Generation!$A102,"000")&amp;""" title="""&amp;Generation!$F102&amp;"""&gt;","")</f>
        <v/>
      </c>
      <c r="B4854" s="48" t="n"/>
      <c r="C4854" s="48" t="n"/>
    </row>
    <row r="4855" ht="18" customHeight="1" s="17">
      <c r="A4855" s="48">
        <f>IF(Generation!$B102,"    &lt;duration&gt;P0Y0M0DT0H1M0S&lt;/duration&gt;","")</f>
        <v/>
      </c>
      <c r="B4855" s="48" t="n"/>
      <c r="C4855" s="48" t="n"/>
    </row>
    <row r="4856" ht="18" customHeight="1" s="17">
      <c r="A4856" s="48">
        <f>IF(Generation!$B102,"    &lt;itemmetadata&gt;","")</f>
        <v/>
      </c>
      <c r="B4856" s="48" t="n"/>
      <c r="C4856" s="48" t="n"/>
    </row>
    <row r="4857" ht="18" customHeight="1" s="17">
      <c r="A4857" s="48">
        <f>IF(Generation!$B102,"      &lt;qtimetadata&gt;","")</f>
        <v/>
      </c>
      <c r="B4857" s="48" t="n"/>
      <c r="C4857" s="48" t="n"/>
    </row>
    <row r="4858" ht="18" customHeight="1" s="17">
      <c r="A4858" s="48">
        <f>IF(Generation!$B102,"        &lt;qtimetadatafield&gt;&lt;fieldlabel&gt;ILIAS_VERSION&lt;/fieldlabel&gt;&lt;fieldentry&gt;8&lt;/fieldentry&gt;&lt;/qtimetadatafield&gt;","")</f>
        <v/>
      </c>
      <c r="B4858" s="48" t="n"/>
      <c r="C4858" s="48" t="n"/>
    </row>
    <row r="4859" ht="18" customHeight="1" s="17">
      <c r="A4859" s="48">
        <f>IF(Generation!$B102,"        &lt;qtimetadatafield&gt;&lt;fieldlabel&gt;QUESTIONTYPE&lt;/fieldlabel&gt;&lt;fieldentry&gt;"&amp;Generation!$D102&amp;"&lt;/fieldentry&gt;&lt;/qtimetadatafield&gt;","")</f>
        <v/>
      </c>
      <c r="B4859" s="48" t="n"/>
      <c r="C4859" s="48" t="n"/>
    </row>
    <row r="4860" ht="18" customHeight="1" s="17">
      <c r="A4860" s="48">
        <f>IF(Generation!$B102,"        &lt;qtimetadatafield&gt;&lt;fieldlabel&gt;AUTHOR&lt;/fieldlabel&gt;&lt;fieldentry&gt;"&amp;Generation!$AR102&amp;"&lt;/fieldentry&gt;&lt;/qtimetadatafield&gt;","")</f>
        <v/>
      </c>
      <c r="B4860" s="48" t="n"/>
      <c r="C4860" s="48" t="n"/>
    </row>
    <row r="4861" ht="18" customHeight="1" s="17">
      <c r="A4861" s="48">
        <f>IF(Generation!$B102,"        &lt;qtimetadatafield&gt;&lt;fieldlabel&gt;identicalScoring&lt;/fieldlabel&gt;&lt;fieldentry&gt;1&lt;/fieldentry&gt;&lt;/qtimetadatafield&gt;","")</f>
        <v/>
      </c>
      <c r="B4861" s="48" t="n"/>
      <c r="C4861" s="48" t="n"/>
    </row>
    <row r="4862" ht="18" customHeight="1" s="17">
      <c r="A4862" s="48">
        <f>IF(Generation!$B102,"      &lt;/qtimetadata&gt;","")</f>
        <v/>
      </c>
      <c r="B4862" s="48" t="n"/>
      <c r="C4862" s="48" t="n"/>
    </row>
    <row r="4863" ht="18" customHeight="1" s="17">
      <c r="A4863" s="48">
        <f>IF(Generation!$B102,"    &lt;/itemmetadata&gt;","")</f>
        <v/>
      </c>
      <c r="B4863" s="48" t="n"/>
      <c r="C4863" s="48" t="n"/>
    </row>
    <row r="4864" ht="18" customHeight="1" s="17">
      <c r="A4864" s="48">
        <f>IF(Generation!$B102,"    &lt;presentation label="""&amp;Generation!$F102&amp;"""&gt;","")</f>
        <v/>
      </c>
      <c r="B4864" s="48" t="n"/>
      <c r="C4864" s="48" t="n"/>
    </row>
    <row r="4865" ht="18" customHeight="1" s="17">
      <c r="A4865" s="48">
        <f>IF(Generation!$B102,"      &lt;material&gt;&lt;mattext texttype=""text/html""&gt;"&amp;Generation!$G102&amp;"&lt;/mattext&gt;&lt;/material&gt;","")</f>
        <v/>
      </c>
      <c r="B4865" s="48" t="n"/>
      <c r="C4865" s="48" t="n"/>
    </row>
    <row r="4866" ht="18" customHeight="1" s="17">
      <c r="A4866" s="48">
        <f>IF(Generation!$B102,"      &lt;response_lid ident=""RESPONSE"" rcardinality="""&amp;Generation!$E102&amp;"""&gt;","")</f>
        <v/>
      </c>
      <c r="B4866" s="48" t="n"/>
      <c r="C4866" s="48" t="n"/>
    </row>
    <row r="4867" ht="18" customHeight="1" s="17">
      <c r="A4867" s="48">
        <f>IF(Generation!$B102,"        &lt;render_choice shuffle=""No""&gt;","")</f>
        <v/>
      </c>
      <c r="B4867" s="48" t="n"/>
      <c r="C4867" s="48" t="n"/>
    </row>
    <row r="4868" ht="18" customHeight="1" s="17">
      <c r="A4868" s="48">
        <f>IF(Generation!AB102="","",Generation!AB102)</f>
        <v/>
      </c>
      <c r="B4868" s="48" t="n"/>
      <c r="C4868" s="48" t="n"/>
    </row>
    <row r="4869" ht="18" customHeight="1" s="17">
      <c r="A4869" s="48">
        <f>IF(Generation!AC102="","",Generation!AC102)</f>
        <v/>
      </c>
      <c r="B4869" s="48" t="n"/>
      <c r="C4869" s="48" t="n"/>
    </row>
    <row r="4870" ht="18" customHeight="1" s="17">
      <c r="A4870" s="48">
        <f>IF(Generation!AD102="","",Generation!AD102)</f>
        <v/>
      </c>
      <c r="B4870" s="48" t="n"/>
      <c r="C4870" s="48" t="n"/>
    </row>
    <row r="4871" ht="18" customHeight="1" s="17">
      <c r="A4871" s="48">
        <f>IF(Generation!AE102="","",Generation!AE102)</f>
        <v/>
      </c>
      <c r="B4871" s="48" t="n"/>
      <c r="C4871" s="48" t="n"/>
    </row>
    <row r="4872" ht="18" customHeight="1" s="17">
      <c r="A4872" s="48">
        <f>IF(Generation!AF102="","",Generation!AF102)</f>
        <v/>
      </c>
      <c r="B4872" s="48" t="n"/>
      <c r="C4872" s="48" t="n"/>
    </row>
    <row r="4873" ht="18" customHeight="1" s="17">
      <c r="A4873" s="48">
        <f>IF(Generation!AG102="","",Generation!AG102)</f>
        <v/>
      </c>
      <c r="B4873" s="48" t="n"/>
      <c r="C4873" s="48" t="n"/>
    </row>
    <row r="4874" ht="18" customHeight="1" s="17">
      <c r="A4874" s="48">
        <f>IF(Generation!AH102="","",Generation!AH102)</f>
        <v/>
      </c>
      <c r="B4874" s="48" t="n"/>
      <c r="C4874" s="48" t="n"/>
    </row>
    <row r="4875" ht="18" customHeight="1" s="17">
      <c r="A4875" s="48">
        <f>IF(Generation!AI102="","",Generation!AI102)</f>
        <v/>
      </c>
      <c r="B4875" s="48" t="n"/>
      <c r="C4875" s="48" t="n"/>
    </row>
    <row r="4876" ht="18" customHeight="1" s="17">
      <c r="A4876" s="48">
        <f>IF(Generation!$B102,"        &lt;/render_choice&gt;","")</f>
        <v/>
      </c>
      <c r="B4876" s="48" t="n"/>
      <c r="C4876" s="48" t="n"/>
    </row>
    <row r="4877" ht="18" customHeight="1" s="17">
      <c r="A4877" s="48">
        <f>IF(Generation!$B102,"      &lt;/response_lid&gt;","")</f>
        <v/>
      </c>
      <c r="B4877" s="48" t="n"/>
      <c r="C4877" s="48" t="n"/>
    </row>
    <row r="4878" ht="18" customHeight="1" s="17">
      <c r="A4878" s="48">
        <f>IF(Generation!$B102,"    &lt;/presentation&gt;","")</f>
        <v/>
      </c>
      <c r="B4878" s="48" t="n"/>
      <c r="C4878" s="48" t="n"/>
    </row>
    <row r="4879" ht="18" customHeight="1" s="17">
      <c r="A4879" s="48">
        <f>IF(Generation!$B102,"    &lt;resprocessing&gt;","")</f>
        <v/>
      </c>
      <c r="B4879" s="48" t="n"/>
      <c r="C4879" s="48" t="n"/>
    </row>
    <row r="4880" ht="18" customHeight="1" s="17">
      <c r="A4880" s="48">
        <f>IF(Generation!$B102,"      &lt;outcomes&gt;&lt;decvar varname=""SCORE"" vartype=""Decimal"" minvalue=""0"" maxvalue="""&amp;Generation!$H102&amp;"""/&gt;&lt;/outcomes&gt;","")</f>
        <v/>
      </c>
      <c r="B4880" s="48" t="n"/>
      <c r="C4880" s="48" t="n"/>
    </row>
    <row r="4881" ht="18" customHeight="1" s="17">
      <c r="A4881" s="48">
        <f>IF(Generation!AJ102="","",Generation!AJ102)</f>
        <v/>
      </c>
      <c r="B4881" s="48" t="n"/>
      <c r="C4881" s="48" t="n"/>
    </row>
    <row r="4882" ht="18" customHeight="1" s="17">
      <c r="A4882" s="48">
        <f>IF(Generation!AK102="","",Generation!AK102)</f>
        <v/>
      </c>
      <c r="B4882" s="48" t="n"/>
      <c r="C4882" s="48" t="n"/>
    </row>
    <row r="4883" ht="18" customHeight="1" s="17">
      <c r="A4883" s="48">
        <f>IF(Generation!AL102="","",Generation!AL102)</f>
        <v/>
      </c>
      <c r="B4883" s="48" t="n"/>
      <c r="C4883" s="48" t="n"/>
    </row>
    <row r="4884" ht="18" customHeight="1" s="17">
      <c r="A4884" s="48">
        <f>IF(Generation!AM102="","",Generation!AM102)</f>
        <v/>
      </c>
      <c r="B4884" s="48" t="n"/>
      <c r="C4884" s="48" t="n"/>
    </row>
    <row r="4885" ht="18" customHeight="1" s="17">
      <c r="A4885" s="48">
        <f>IF(Generation!AN102="","",Generation!AN102)</f>
        <v/>
      </c>
      <c r="B4885" s="48" t="n"/>
      <c r="C4885" s="48" t="n"/>
    </row>
    <row r="4886" ht="18" customHeight="1" s="17">
      <c r="A4886" s="48">
        <f>IF(Generation!AO102="","",Generation!AO102)</f>
        <v/>
      </c>
      <c r="B4886" s="48" t="n"/>
      <c r="C4886" s="48" t="n"/>
    </row>
    <row r="4887" ht="18" customHeight="1" s="17">
      <c r="A4887" s="48">
        <f>IF(Generation!AP102="","",Generation!AP102)</f>
        <v/>
      </c>
      <c r="B4887" s="48" t="n"/>
      <c r="C4887" s="48" t="n"/>
    </row>
    <row r="4888" ht="18" customHeight="1" s="17">
      <c r="A4888" s="48">
        <f>IF(Generation!AQ102="","",Generation!AQ102)</f>
        <v/>
      </c>
      <c r="B4888" s="48" t="n"/>
      <c r="C4888" s="48" t="n"/>
    </row>
    <row r="4889" ht="18" customHeight="1" s="17">
      <c r="A4889" s="48">
        <f>IF(Generation!$B102,"    &lt;/resprocessing&gt;","")</f>
        <v/>
      </c>
      <c r="B4889" s="48" t="n"/>
      <c r="C4889" s="48" t="n"/>
    </row>
    <row r="4890" ht="18" customHeight="1" s="17">
      <c r="A4890" s="48">
        <f>IF(Generation!BB102="","",Generation!BB102)</f>
        <v/>
      </c>
      <c r="B4890" s="48" t="n"/>
      <c r="C4890" s="48" t="n"/>
    </row>
    <row r="4891" ht="18" customHeight="1" s="17">
      <c r="A4891" s="48">
        <f>IF(Generation!BC102="","",Generation!BC102)</f>
        <v/>
      </c>
      <c r="B4891" s="48" t="n"/>
      <c r="C4891" s="48" t="n"/>
    </row>
    <row r="4892" ht="18" customHeight="1" s="17">
      <c r="A4892" s="48">
        <f>IF(Generation!BD102="","",Generation!BD102)</f>
        <v/>
      </c>
      <c r="B4892" s="48" t="n"/>
      <c r="C4892" s="48" t="n"/>
    </row>
    <row r="4893" ht="18" customHeight="1" s="17">
      <c r="A4893" s="48">
        <f>IF(Generation!BE102="","",Generation!BE102)</f>
        <v/>
      </c>
      <c r="B4893" s="48" t="n"/>
      <c r="C4893" s="48" t="n"/>
    </row>
    <row r="4894" ht="18" customHeight="1" s="17">
      <c r="A4894" s="48">
        <f>IF(Generation!BF102="","",Generation!BF102)</f>
        <v/>
      </c>
      <c r="B4894" s="48" t="n"/>
      <c r="C4894" s="48" t="n"/>
    </row>
    <row r="4895" ht="18" customHeight="1" s="17">
      <c r="A4895" s="48">
        <f>IF(Generation!BG102="","",Generation!BG102)</f>
        <v/>
      </c>
      <c r="B4895" s="48" t="n"/>
      <c r="C4895" s="48" t="n"/>
    </row>
    <row r="4896" ht="18" customHeight="1" s="17">
      <c r="A4896" s="48">
        <f>IF(Generation!BH102="","",Generation!BH102)</f>
        <v/>
      </c>
      <c r="B4896" s="48" t="n"/>
      <c r="C4896" s="48" t="n"/>
    </row>
    <row r="4897" ht="18" customHeight="1" s="17">
      <c r="A4897" s="48">
        <f>IF(Generation!BI102="","",Generation!BI102)</f>
        <v/>
      </c>
      <c r="B4897" s="48" t="n"/>
      <c r="C4897" s="48" t="n"/>
    </row>
    <row r="4898" ht="18" customHeight="1" s="17">
      <c r="A4898" s="48">
        <f>IF(Generation!BJ102="","",Generation!BJ102)</f>
        <v/>
      </c>
      <c r="B4898" s="48" t="n"/>
      <c r="C4898" s="48" t="n"/>
    </row>
    <row r="4899" ht="18" customHeight="1" s="17">
      <c r="A4899" s="48">
        <f>IF(Generation!$B102,"  &lt;/item&gt;","")</f>
        <v/>
      </c>
      <c r="B4899" s="48" t="n"/>
      <c r="C4899" s="48" t="n"/>
    </row>
    <row r="4900" ht="18" customHeight="1" s="17">
      <c r="A4900" s="48">
        <f>""</f>
        <v/>
      </c>
      <c r="B4900" s="48" t="n"/>
      <c r="C4900" s="48" t="n"/>
    </row>
    <row r="4901" ht="18" customHeight="1" s="17">
      <c r="A4901" s="48">
        <f>""</f>
        <v/>
      </c>
      <c r="B4901" s="48" t="n"/>
      <c r="C4901" s="48" t="n"/>
    </row>
    <row r="4902" ht="18" customHeight="1" s="17">
      <c r="A4902" s="48">
        <f>""</f>
        <v/>
      </c>
      <c r="B4902" s="48" t="n"/>
      <c r="C4902" s="48" t="n"/>
    </row>
    <row r="4903" ht="18" customHeight="1" s="17">
      <c r="A4903" s="48">
        <f>""</f>
        <v/>
      </c>
      <c r="B4903" s="48" t="n"/>
      <c r="C4903" s="48" t="n"/>
    </row>
    <row r="4904" ht="18" customHeight="1" s="17">
      <c r="A4904" s="48">
        <f>IF(Generation!$B103,"  &lt;item ident=""il_0_qst_"&amp;TEXT(Generation!$A103,"000")&amp;""" title="""&amp;Generation!$F103&amp;"""&gt;","")</f>
        <v/>
      </c>
      <c r="B4904" s="48" t="n"/>
      <c r="C4904" s="48" t="n"/>
    </row>
    <row r="4905" ht="18" customHeight="1" s="17">
      <c r="A4905" s="48">
        <f>IF(Generation!$B103,"    &lt;duration&gt;P0Y0M0DT0H1M0S&lt;/duration&gt;","")</f>
        <v/>
      </c>
      <c r="B4905" s="48" t="n"/>
      <c r="C4905" s="48" t="n"/>
    </row>
    <row r="4906" ht="18" customHeight="1" s="17">
      <c r="A4906" s="48">
        <f>IF(Generation!$B103,"    &lt;itemmetadata&gt;","")</f>
        <v/>
      </c>
      <c r="B4906" s="48" t="n"/>
      <c r="C4906" s="48" t="n"/>
    </row>
    <row r="4907" ht="18" customHeight="1" s="17">
      <c r="A4907" s="48">
        <f>IF(Generation!$B103,"      &lt;qtimetadata&gt;","")</f>
        <v/>
      </c>
      <c r="B4907" s="48" t="n"/>
      <c r="C4907" s="48" t="n"/>
    </row>
    <row r="4908" ht="18" customHeight="1" s="17">
      <c r="A4908" s="48">
        <f>IF(Generation!$B103,"        &lt;qtimetadatafield&gt;&lt;fieldlabel&gt;ILIAS_VERSION&lt;/fieldlabel&gt;&lt;fieldentry&gt;8&lt;/fieldentry&gt;&lt;/qtimetadatafield&gt;","")</f>
        <v/>
      </c>
      <c r="B4908" s="48" t="n"/>
      <c r="C4908" s="48" t="n"/>
    </row>
    <row r="4909" ht="18" customHeight="1" s="17">
      <c r="A4909" s="48">
        <f>IF(Generation!$B103,"        &lt;qtimetadatafield&gt;&lt;fieldlabel&gt;QUESTIONTYPE&lt;/fieldlabel&gt;&lt;fieldentry&gt;"&amp;Generation!$D103&amp;"&lt;/fieldentry&gt;&lt;/qtimetadatafield&gt;","")</f>
        <v/>
      </c>
      <c r="B4909" s="48" t="n"/>
      <c r="C4909" s="48" t="n"/>
    </row>
    <row r="4910" ht="18" customHeight="1" s="17">
      <c r="A4910" s="48">
        <f>IF(Generation!$B103,"        &lt;qtimetadatafield&gt;&lt;fieldlabel&gt;AUTHOR&lt;/fieldlabel&gt;&lt;fieldentry&gt;"&amp;Generation!$AR103&amp;"&lt;/fieldentry&gt;&lt;/qtimetadatafield&gt;","")</f>
        <v/>
      </c>
      <c r="B4910" s="48" t="n"/>
      <c r="C4910" s="48" t="n"/>
    </row>
    <row r="4911" ht="18" customHeight="1" s="17">
      <c r="A4911" s="48">
        <f>IF(Generation!$B103,"        &lt;qtimetadatafield&gt;&lt;fieldlabel&gt;identicalScoring&lt;/fieldlabel&gt;&lt;fieldentry&gt;1&lt;/fieldentry&gt;&lt;/qtimetadatafield&gt;","")</f>
        <v/>
      </c>
      <c r="B4911" s="48" t="n"/>
      <c r="C4911" s="48" t="n"/>
    </row>
    <row r="4912" ht="18" customHeight="1" s="17">
      <c r="A4912" s="48">
        <f>IF(Generation!$B103,"      &lt;/qtimetadata&gt;","")</f>
        <v/>
      </c>
      <c r="B4912" s="48" t="n"/>
      <c r="C4912" s="48" t="n"/>
    </row>
    <row r="4913" ht="18" customHeight="1" s="17">
      <c r="A4913" s="48">
        <f>IF(Generation!$B103,"    &lt;/itemmetadata&gt;","")</f>
        <v/>
      </c>
      <c r="B4913" s="48" t="n"/>
      <c r="C4913" s="48" t="n"/>
    </row>
    <row r="4914" ht="18" customHeight="1" s="17">
      <c r="A4914" s="48">
        <f>IF(Generation!$B103,"    &lt;presentation label="""&amp;Generation!$F103&amp;"""&gt;","")</f>
        <v/>
      </c>
      <c r="B4914" s="48" t="n"/>
      <c r="C4914" s="48" t="n"/>
    </row>
    <row r="4915" ht="18" customHeight="1" s="17">
      <c r="A4915" s="48">
        <f>IF(Generation!$B103,"      &lt;material&gt;&lt;mattext texttype=""text/html""&gt;"&amp;Generation!$G103&amp;"&lt;/mattext&gt;&lt;/material&gt;","")</f>
        <v/>
      </c>
      <c r="B4915" s="48" t="n"/>
      <c r="C4915" s="48" t="n"/>
    </row>
    <row r="4916" ht="18" customHeight="1" s="17">
      <c r="A4916" s="48">
        <f>IF(Generation!$B103,"      &lt;response_lid ident=""RESPONSE"" rcardinality="""&amp;Generation!$E103&amp;"""&gt;","")</f>
        <v/>
      </c>
      <c r="B4916" s="48" t="n"/>
      <c r="C4916" s="48" t="n"/>
    </row>
    <row r="4917" ht="18" customHeight="1" s="17">
      <c r="A4917" s="48">
        <f>IF(Generation!$B103,"        &lt;render_choice shuffle=""No""&gt;","")</f>
        <v/>
      </c>
      <c r="B4917" s="48" t="n"/>
      <c r="C4917" s="48" t="n"/>
    </row>
    <row r="4918" ht="18" customHeight="1" s="17">
      <c r="A4918" s="48">
        <f>IF(Generation!AB103="","",Generation!AB103)</f>
        <v/>
      </c>
      <c r="B4918" s="48" t="n"/>
      <c r="C4918" s="48" t="n"/>
    </row>
    <row r="4919" ht="18" customHeight="1" s="17">
      <c r="A4919" s="48">
        <f>IF(Generation!AC103="","",Generation!AC103)</f>
        <v/>
      </c>
      <c r="B4919" s="48" t="n"/>
      <c r="C4919" s="48" t="n"/>
    </row>
    <row r="4920" ht="18" customHeight="1" s="17">
      <c r="A4920" s="48">
        <f>IF(Generation!AD103="","",Generation!AD103)</f>
        <v/>
      </c>
      <c r="B4920" s="48" t="n"/>
      <c r="C4920" s="48" t="n"/>
    </row>
    <row r="4921" ht="18" customHeight="1" s="17">
      <c r="A4921" s="48">
        <f>IF(Generation!AE103="","",Generation!AE103)</f>
        <v/>
      </c>
      <c r="B4921" s="48" t="n"/>
      <c r="C4921" s="48" t="n"/>
    </row>
    <row r="4922" ht="18" customHeight="1" s="17">
      <c r="A4922" s="48">
        <f>IF(Generation!AF103="","",Generation!AF103)</f>
        <v/>
      </c>
      <c r="B4922" s="48" t="n"/>
      <c r="C4922" s="48" t="n"/>
    </row>
    <row r="4923" ht="18" customHeight="1" s="17">
      <c r="A4923" s="48">
        <f>IF(Generation!AG103="","",Generation!AG103)</f>
        <v/>
      </c>
      <c r="B4923" s="48" t="n"/>
      <c r="C4923" s="48" t="n"/>
    </row>
    <row r="4924" ht="18" customHeight="1" s="17">
      <c r="A4924" s="48">
        <f>IF(Generation!AH103="","",Generation!AH103)</f>
        <v/>
      </c>
      <c r="B4924" s="48" t="n"/>
      <c r="C4924" s="48" t="n"/>
    </row>
    <row r="4925" ht="18" customHeight="1" s="17">
      <c r="A4925" s="48">
        <f>IF(Generation!AI103="","",Generation!AI103)</f>
        <v/>
      </c>
      <c r="B4925" s="48" t="n"/>
      <c r="C4925" s="48" t="n"/>
    </row>
    <row r="4926" ht="18" customHeight="1" s="17">
      <c r="A4926" s="48">
        <f>IF(Generation!$B103,"        &lt;/render_choice&gt;","")</f>
        <v/>
      </c>
      <c r="B4926" s="48" t="n"/>
      <c r="C4926" s="48" t="n"/>
    </row>
    <row r="4927" ht="18" customHeight="1" s="17">
      <c r="A4927" s="48">
        <f>IF(Generation!$B103,"      &lt;/response_lid&gt;","")</f>
        <v/>
      </c>
      <c r="B4927" s="48" t="n"/>
      <c r="C4927" s="48" t="n"/>
    </row>
    <row r="4928" ht="18" customHeight="1" s="17">
      <c r="A4928" s="48">
        <f>IF(Generation!$B103,"    &lt;/presentation&gt;","")</f>
        <v/>
      </c>
      <c r="B4928" s="48" t="n"/>
      <c r="C4928" s="48" t="n"/>
    </row>
    <row r="4929" ht="18" customHeight="1" s="17">
      <c r="A4929" s="48">
        <f>IF(Generation!$B103,"    &lt;resprocessing&gt;","")</f>
        <v/>
      </c>
      <c r="B4929" s="48" t="n"/>
      <c r="C4929" s="48" t="n"/>
    </row>
    <row r="4930" ht="18" customHeight="1" s="17">
      <c r="A4930" s="48">
        <f>IF(Generation!$B103,"      &lt;outcomes&gt;&lt;decvar varname=""SCORE"" vartype=""Decimal"" minvalue=""0"" maxvalue="""&amp;Generation!$H103&amp;"""/&gt;&lt;/outcomes&gt;","")</f>
        <v/>
      </c>
      <c r="B4930" s="48" t="n"/>
      <c r="C4930" s="48" t="n"/>
    </row>
    <row r="4931" ht="18" customHeight="1" s="17">
      <c r="A4931" s="48">
        <f>IF(Generation!AJ103="","",Generation!AJ103)</f>
        <v/>
      </c>
      <c r="B4931" s="48" t="n"/>
      <c r="C4931" s="48" t="n"/>
    </row>
    <row r="4932" ht="18" customHeight="1" s="17">
      <c r="A4932" s="48">
        <f>IF(Generation!AK103="","",Generation!AK103)</f>
        <v/>
      </c>
      <c r="B4932" s="48" t="n"/>
      <c r="C4932" s="48" t="n"/>
    </row>
    <row r="4933" ht="18" customHeight="1" s="17">
      <c r="A4933" s="48">
        <f>IF(Generation!AL103="","",Generation!AL103)</f>
        <v/>
      </c>
      <c r="B4933" s="48" t="n"/>
      <c r="C4933" s="48" t="n"/>
    </row>
    <row r="4934" ht="18" customHeight="1" s="17">
      <c r="A4934" s="48">
        <f>IF(Generation!AM103="","",Generation!AM103)</f>
        <v/>
      </c>
      <c r="B4934" s="48" t="n"/>
      <c r="C4934" s="48" t="n"/>
    </row>
    <row r="4935" ht="18" customHeight="1" s="17">
      <c r="A4935" s="48">
        <f>IF(Generation!AN103="","",Generation!AN103)</f>
        <v/>
      </c>
      <c r="B4935" s="48" t="n"/>
      <c r="C4935" s="48" t="n"/>
    </row>
    <row r="4936" ht="18" customHeight="1" s="17">
      <c r="A4936" s="48">
        <f>IF(Generation!AO103="","",Generation!AO103)</f>
        <v/>
      </c>
      <c r="B4936" s="48" t="n"/>
      <c r="C4936" s="48" t="n"/>
    </row>
    <row r="4937" ht="18" customHeight="1" s="17">
      <c r="A4937" s="48">
        <f>IF(Generation!AP103="","",Generation!AP103)</f>
        <v/>
      </c>
      <c r="B4937" s="48" t="n"/>
      <c r="C4937" s="48" t="n"/>
    </row>
    <row r="4938" ht="18" customHeight="1" s="17">
      <c r="A4938" s="48">
        <f>IF(Generation!AQ103="","",Generation!AQ103)</f>
        <v/>
      </c>
      <c r="B4938" s="48" t="n"/>
      <c r="C4938" s="48" t="n"/>
    </row>
    <row r="4939" ht="18" customHeight="1" s="17">
      <c r="A4939" s="48">
        <f>IF(Generation!$B103,"    &lt;/resprocessing&gt;","")</f>
        <v/>
      </c>
      <c r="B4939" s="48" t="n"/>
      <c r="C4939" s="48" t="n"/>
    </row>
    <row r="4940" ht="18" customHeight="1" s="17">
      <c r="A4940" s="48">
        <f>IF(Generation!BB103="","",Generation!BB103)</f>
        <v/>
      </c>
      <c r="B4940" s="48" t="n"/>
      <c r="C4940" s="48" t="n"/>
    </row>
    <row r="4941" ht="18" customHeight="1" s="17">
      <c r="A4941" s="48">
        <f>IF(Generation!BC103="","",Generation!BC103)</f>
        <v/>
      </c>
      <c r="B4941" s="48" t="n"/>
      <c r="C4941" s="48" t="n"/>
    </row>
    <row r="4942" ht="18" customHeight="1" s="17">
      <c r="A4942" s="48">
        <f>IF(Generation!BD103="","",Generation!BD103)</f>
        <v/>
      </c>
      <c r="B4942" s="48" t="n"/>
      <c r="C4942" s="48" t="n"/>
    </row>
    <row r="4943" ht="18" customHeight="1" s="17">
      <c r="A4943" s="48">
        <f>IF(Generation!BE103="","",Generation!BE103)</f>
        <v/>
      </c>
      <c r="B4943" s="48" t="n"/>
      <c r="C4943" s="48" t="n"/>
    </row>
    <row r="4944" ht="18" customHeight="1" s="17">
      <c r="A4944" s="48">
        <f>IF(Generation!BF103="","",Generation!BF103)</f>
        <v/>
      </c>
      <c r="B4944" s="48" t="n"/>
      <c r="C4944" s="48" t="n"/>
    </row>
    <row r="4945" ht="18" customHeight="1" s="17">
      <c r="A4945" s="48">
        <f>IF(Generation!BG103="","",Generation!BG103)</f>
        <v/>
      </c>
      <c r="B4945" s="48" t="n"/>
      <c r="C4945" s="48" t="n"/>
    </row>
    <row r="4946" ht="18" customHeight="1" s="17">
      <c r="A4946" s="48">
        <f>IF(Generation!BH103="","",Generation!BH103)</f>
        <v/>
      </c>
      <c r="B4946" s="48" t="n"/>
      <c r="C4946" s="48" t="n"/>
    </row>
    <row r="4947" ht="18" customHeight="1" s="17">
      <c r="A4947" s="48">
        <f>IF(Generation!BI103="","",Generation!BI103)</f>
        <v/>
      </c>
      <c r="B4947" s="48" t="n"/>
      <c r="C4947" s="48" t="n"/>
    </row>
    <row r="4948" ht="18" customHeight="1" s="17">
      <c r="A4948" s="48">
        <f>IF(Generation!BJ103="","",Generation!BJ103)</f>
        <v/>
      </c>
      <c r="B4948" s="48" t="n"/>
      <c r="C4948" s="48" t="n"/>
    </row>
    <row r="4949" ht="18" customHeight="1" s="17">
      <c r="A4949" s="48">
        <f>IF(Generation!$B103,"  &lt;/item&gt;","")</f>
        <v/>
      </c>
      <c r="B4949" s="48" t="n"/>
      <c r="C4949" s="48" t="n"/>
    </row>
    <row r="4950" ht="18" customHeight="1" s="17">
      <c r="A4950" s="48">
        <f>""</f>
        <v/>
      </c>
      <c r="B4950" s="48" t="n"/>
      <c r="C4950" s="48" t="n"/>
    </row>
    <row r="4951" ht="18" customHeight="1" s="17">
      <c r="A4951" s="48">
        <f>""</f>
        <v/>
      </c>
      <c r="B4951" s="48" t="n"/>
      <c r="C4951" s="48" t="n"/>
    </row>
    <row r="4952" ht="18" customHeight="1" s="17">
      <c r="A4952" s="48">
        <f>""</f>
        <v/>
      </c>
      <c r="B4952" s="48" t="n"/>
      <c r="C4952" s="48" t="n"/>
    </row>
    <row r="4953" ht="18" customHeight="1" s="17">
      <c r="A4953" s="48">
        <f>""</f>
        <v/>
      </c>
      <c r="B4953" s="48" t="n"/>
      <c r="C4953" s="48" t="n"/>
    </row>
    <row r="4954" ht="18" customHeight="1" s="17">
      <c r="A4954" s="48">
        <f>IF(Generation!$B104,"  &lt;item ident=""il_0_qst_"&amp;TEXT(Generation!$A104,"000")&amp;""" title="""&amp;Generation!$F104&amp;"""&gt;","")</f>
        <v/>
      </c>
      <c r="B4954" s="48" t="n"/>
      <c r="C4954" s="48" t="n"/>
    </row>
    <row r="4955" ht="18" customHeight="1" s="17">
      <c r="A4955" s="48">
        <f>IF(Generation!$B104,"    &lt;duration&gt;P0Y0M0DT0H1M0S&lt;/duration&gt;","")</f>
        <v/>
      </c>
      <c r="B4955" s="48" t="n"/>
      <c r="C4955" s="48" t="n"/>
    </row>
    <row r="4956" ht="18" customHeight="1" s="17">
      <c r="A4956" s="48">
        <f>IF(Generation!$B104,"    &lt;itemmetadata&gt;","")</f>
        <v/>
      </c>
      <c r="B4956" s="48" t="n"/>
      <c r="C4956" s="48" t="n"/>
    </row>
    <row r="4957" ht="18" customHeight="1" s="17">
      <c r="A4957" s="48">
        <f>IF(Generation!$B104,"      &lt;qtimetadata&gt;","")</f>
        <v/>
      </c>
      <c r="B4957" s="48" t="n"/>
      <c r="C4957" s="48" t="n"/>
    </row>
    <row r="4958" ht="18" customHeight="1" s="17">
      <c r="A4958" s="48">
        <f>IF(Generation!$B104,"        &lt;qtimetadatafield&gt;&lt;fieldlabel&gt;ILIAS_VERSION&lt;/fieldlabel&gt;&lt;fieldentry&gt;8&lt;/fieldentry&gt;&lt;/qtimetadatafield&gt;","")</f>
        <v/>
      </c>
      <c r="B4958" s="48" t="n"/>
      <c r="C4958" s="48" t="n"/>
    </row>
    <row r="4959" ht="18" customHeight="1" s="17">
      <c r="A4959" s="48">
        <f>IF(Generation!$B104,"        &lt;qtimetadatafield&gt;&lt;fieldlabel&gt;QUESTIONTYPE&lt;/fieldlabel&gt;&lt;fieldentry&gt;"&amp;Generation!$D104&amp;"&lt;/fieldentry&gt;&lt;/qtimetadatafield&gt;","")</f>
        <v/>
      </c>
      <c r="B4959" s="48" t="n"/>
      <c r="C4959" s="48" t="n"/>
    </row>
    <row r="4960" ht="18" customHeight="1" s="17">
      <c r="A4960" s="48">
        <f>IF(Generation!$B104,"        &lt;qtimetadatafield&gt;&lt;fieldlabel&gt;AUTHOR&lt;/fieldlabel&gt;&lt;fieldentry&gt;"&amp;Generation!$AR104&amp;"&lt;/fieldentry&gt;&lt;/qtimetadatafield&gt;","")</f>
        <v/>
      </c>
      <c r="B4960" s="48" t="n"/>
      <c r="C4960" s="48" t="n"/>
    </row>
    <row r="4961" ht="18" customHeight="1" s="17">
      <c r="A4961" s="48">
        <f>IF(Generation!$B104,"        &lt;qtimetadatafield&gt;&lt;fieldlabel&gt;identicalScoring&lt;/fieldlabel&gt;&lt;fieldentry&gt;1&lt;/fieldentry&gt;&lt;/qtimetadatafield&gt;","")</f>
        <v/>
      </c>
      <c r="B4961" s="48" t="n"/>
      <c r="C4961" s="48" t="n"/>
    </row>
    <row r="4962" ht="18" customHeight="1" s="17">
      <c r="A4962" s="48">
        <f>IF(Generation!$B104,"      &lt;/qtimetadata&gt;","")</f>
        <v/>
      </c>
      <c r="B4962" s="48" t="n"/>
      <c r="C4962" s="48" t="n"/>
    </row>
    <row r="4963" ht="18" customHeight="1" s="17">
      <c r="A4963" s="48">
        <f>IF(Generation!$B104,"    &lt;/itemmetadata&gt;","")</f>
        <v/>
      </c>
      <c r="B4963" s="48" t="n"/>
      <c r="C4963" s="48" t="n"/>
    </row>
    <row r="4964" ht="18" customHeight="1" s="17">
      <c r="A4964" s="48">
        <f>IF(Generation!$B104,"    &lt;presentation label="""&amp;Generation!$F104&amp;"""&gt;","")</f>
        <v/>
      </c>
      <c r="B4964" s="48" t="n"/>
      <c r="C4964" s="48" t="n"/>
    </row>
    <row r="4965" ht="18" customHeight="1" s="17">
      <c r="A4965" s="48">
        <f>IF(Generation!$B104,"      &lt;material&gt;&lt;mattext texttype=""text/html""&gt;"&amp;Generation!$G104&amp;"&lt;/mattext&gt;&lt;/material&gt;","")</f>
        <v/>
      </c>
      <c r="B4965" s="48" t="n"/>
      <c r="C4965" s="48" t="n"/>
    </row>
    <row r="4966" ht="18" customHeight="1" s="17">
      <c r="A4966" s="48">
        <f>IF(Generation!$B104,"      &lt;response_lid ident=""RESPONSE"" rcardinality="""&amp;Generation!$E104&amp;"""&gt;","")</f>
        <v/>
      </c>
      <c r="B4966" s="48" t="n"/>
      <c r="C4966" s="48" t="n"/>
    </row>
    <row r="4967" ht="18" customHeight="1" s="17">
      <c r="A4967" s="48">
        <f>IF(Generation!$B104,"        &lt;render_choice shuffle=""No""&gt;","")</f>
        <v/>
      </c>
      <c r="B4967" s="48" t="n"/>
      <c r="C4967" s="48" t="n"/>
    </row>
    <row r="4968" ht="18" customHeight="1" s="17">
      <c r="A4968" s="48">
        <f>IF(Generation!AB104="","",Generation!AB104)</f>
        <v/>
      </c>
      <c r="B4968" s="48" t="n"/>
      <c r="C4968" s="48" t="n"/>
    </row>
    <row r="4969" ht="18" customHeight="1" s="17">
      <c r="A4969" s="48">
        <f>IF(Generation!AC104="","",Generation!AC104)</f>
        <v/>
      </c>
      <c r="B4969" s="48" t="n"/>
      <c r="C4969" s="48" t="n"/>
    </row>
    <row r="4970" ht="18" customHeight="1" s="17">
      <c r="A4970" s="48">
        <f>IF(Generation!AD104="","",Generation!AD104)</f>
        <v/>
      </c>
      <c r="B4970" s="48" t="n"/>
      <c r="C4970" s="48" t="n"/>
    </row>
    <row r="4971" ht="18" customHeight="1" s="17">
      <c r="A4971" s="48">
        <f>IF(Generation!AE104="","",Generation!AE104)</f>
        <v/>
      </c>
      <c r="B4971" s="48" t="n"/>
      <c r="C4971" s="48" t="n"/>
    </row>
    <row r="4972" ht="18" customHeight="1" s="17">
      <c r="A4972" s="48">
        <f>IF(Generation!AF104="","",Generation!AF104)</f>
        <v/>
      </c>
      <c r="B4972" s="48" t="n"/>
      <c r="C4972" s="48" t="n"/>
    </row>
    <row r="4973" ht="18" customHeight="1" s="17">
      <c r="A4973" s="48">
        <f>IF(Generation!AG104="","",Generation!AG104)</f>
        <v/>
      </c>
      <c r="B4973" s="48" t="n"/>
      <c r="C4973" s="48" t="n"/>
    </row>
    <row r="4974" ht="18" customHeight="1" s="17">
      <c r="A4974" s="48">
        <f>IF(Generation!AH104="","",Generation!AH104)</f>
        <v/>
      </c>
      <c r="B4974" s="48" t="n"/>
      <c r="C4974" s="48" t="n"/>
    </row>
    <row r="4975" ht="18" customHeight="1" s="17">
      <c r="A4975" s="48">
        <f>IF(Generation!AI104="","",Generation!AI104)</f>
        <v/>
      </c>
      <c r="B4975" s="48" t="n"/>
      <c r="C4975" s="48" t="n"/>
    </row>
    <row r="4976" ht="18" customHeight="1" s="17">
      <c r="A4976" s="48">
        <f>IF(Generation!$B104,"        &lt;/render_choice&gt;","")</f>
        <v/>
      </c>
      <c r="B4976" s="48" t="n"/>
      <c r="C4976" s="48" t="n"/>
    </row>
    <row r="4977" ht="18" customHeight="1" s="17">
      <c r="A4977" s="48">
        <f>IF(Generation!$B104,"      &lt;/response_lid&gt;","")</f>
        <v/>
      </c>
      <c r="B4977" s="48" t="n"/>
      <c r="C4977" s="48" t="n"/>
    </row>
    <row r="4978" ht="18" customHeight="1" s="17">
      <c r="A4978" s="48">
        <f>IF(Generation!$B104,"    &lt;/presentation&gt;","")</f>
        <v/>
      </c>
      <c r="B4978" s="48" t="n"/>
      <c r="C4978" s="48" t="n"/>
    </row>
    <row r="4979" ht="18" customHeight="1" s="17">
      <c r="A4979" s="48">
        <f>IF(Generation!$B104,"    &lt;resprocessing&gt;","")</f>
        <v/>
      </c>
      <c r="B4979" s="48" t="n"/>
      <c r="C4979" s="48" t="n"/>
    </row>
    <row r="4980" ht="18" customHeight="1" s="17">
      <c r="A4980" s="48">
        <f>IF(Generation!$B104,"      &lt;outcomes&gt;&lt;decvar varname=""SCORE"" vartype=""Decimal"" minvalue=""0"" maxvalue="""&amp;Generation!$H104&amp;"""/&gt;&lt;/outcomes&gt;","")</f>
        <v/>
      </c>
      <c r="B4980" s="48" t="n"/>
      <c r="C4980" s="48" t="n"/>
    </row>
    <row r="4981" ht="18" customHeight="1" s="17">
      <c r="A4981" s="48">
        <f>IF(Generation!AJ104="","",Generation!AJ104)</f>
        <v/>
      </c>
      <c r="B4981" s="48" t="n"/>
      <c r="C4981" s="48" t="n"/>
    </row>
    <row r="4982" ht="18" customHeight="1" s="17">
      <c r="A4982" s="48">
        <f>IF(Generation!AK104="","",Generation!AK104)</f>
        <v/>
      </c>
      <c r="B4982" s="48" t="n"/>
      <c r="C4982" s="48" t="n"/>
    </row>
    <row r="4983" ht="18" customHeight="1" s="17">
      <c r="A4983" s="48">
        <f>IF(Generation!AL104="","",Generation!AL104)</f>
        <v/>
      </c>
      <c r="B4983" s="48" t="n"/>
      <c r="C4983" s="48" t="n"/>
    </row>
    <row r="4984" ht="18" customHeight="1" s="17">
      <c r="A4984" s="48">
        <f>IF(Generation!AM104="","",Generation!AM104)</f>
        <v/>
      </c>
      <c r="B4984" s="48" t="n"/>
      <c r="C4984" s="48" t="n"/>
    </row>
    <row r="4985" ht="18" customHeight="1" s="17">
      <c r="A4985" s="48">
        <f>IF(Generation!AN104="","",Generation!AN104)</f>
        <v/>
      </c>
      <c r="B4985" s="48" t="n"/>
      <c r="C4985" s="48" t="n"/>
    </row>
    <row r="4986" ht="18" customHeight="1" s="17">
      <c r="A4986" s="48">
        <f>IF(Generation!AO104="","",Generation!AO104)</f>
        <v/>
      </c>
      <c r="B4986" s="48" t="n"/>
      <c r="C4986" s="48" t="n"/>
    </row>
    <row r="4987" ht="18" customHeight="1" s="17">
      <c r="A4987" s="48">
        <f>IF(Generation!AP104="","",Generation!AP104)</f>
        <v/>
      </c>
      <c r="B4987" s="48" t="n"/>
      <c r="C4987" s="48" t="n"/>
    </row>
    <row r="4988" ht="18" customHeight="1" s="17">
      <c r="A4988" s="48">
        <f>IF(Generation!AQ104="","",Generation!AQ104)</f>
        <v/>
      </c>
      <c r="B4988" s="48" t="n"/>
      <c r="C4988" s="48" t="n"/>
    </row>
    <row r="4989" ht="18" customHeight="1" s="17">
      <c r="A4989" s="48">
        <f>IF(Generation!$B104,"    &lt;/resprocessing&gt;","")</f>
        <v/>
      </c>
      <c r="B4989" s="48" t="n"/>
      <c r="C4989" s="48" t="n"/>
    </row>
    <row r="4990" ht="18" customHeight="1" s="17">
      <c r="A4990" s="48">
        <f>IF(Generation!BB104="","",Generation!BB104)</f>
        <v/>
      </c>
      <c r="B4990" s="48" t="n"/>
      <c r="C4990" s="48" t="n"/>
    </row>
    <row r="4991" ht="18" customHeight="1" s="17">
      <c r="A4991" s="48">
        <f>IF(Generation!BC104="","",Generation!BC104)</f>
        <v/>
      </c>
      <c r="B4991" s="48" t="n"/>
      <c r="C4991" s="48" t="n"/>
    </row>
    <row r="4992" ht="18" customHeight="1" s="17">
      <c r="A4992" s="48">
        <f>IF(Generation!BD104="","",Generation!BD104)</f>
        <v/>
      </c>
      <c r="B4992" s="48" t="n"/>
      <c r="C4992" s="48" t="n"/>
    </row>
    <row r="4993" ht="18" customHeight="1" s="17">
      <c r="A4993" s="48">
        <f>IF(Generation!BE104="","",Generation!BE104)</f>
        <v/>
      </c>
      <c r="B4993" s="48" t="n"/>
      <c r="C4993" s="48" t="n"/>
    </row>
    <row r="4994" ht="18" customHeight="1" s="17">
      <c r="A4994" s="48">
        <f>IF(Generation!BF104="","",Generation!BF104)</f>
        <v/>
      </c>
      <c r="B4994" s="48" t="n"/>
      <c r="C4994" s="48" t="n"/>
    </row>
    <row r="4995" ht="18" customHeight="1" s="17">
      <c r="A4995" s="48">
        <f>IF(Generation!BG104="","",Generation!BG104)</f>
        <v/>
      </c>
      <c r="B4995" s="48" t="n"/>
      <c r="C4995" s="48" t="n"/>
    </row>
    <row r="4996" ht="18" customHeight="1" s="17">
      <c r="A4996" s="48">
        <f>IF(Generation!BH104="","",Generation!BH104)</f>
        <v/>
      </c>
      <c r="B4996" s="48" t="n"/>
      <c r="C4996" s="48" t="n"/>
    </row>
    <row r="4997" ht="18" customHeight="1" s="17">
      <c r="A4997" s="48">
        <f>IF(Generation!BI104="","",Generation!BI104)</f>
        <v/>
      </c>
      <c r="B4997" s="48" t="n"/>
      <c r="C4997" s="48" t="n"/>
    </row>
    <row r="4998" ht="18" customHeight="1" s="17">
      <c r="A4998" s="48">
        <f>IF(Generation!BJ104="","",Generation!BJ104)</f>
        <v/>
      </c>
      <c r="B4998" s="48" t="n"/>
      <c r="C4998" s="48" t="n"/>
    </row>
    <row r="4999" ht="18" customHeight="1" s="17">
      <c r="A4999" s="48">
        <f>IF(Generation!$B104,"  &lt;/item&gt;","")</f>
        <v/>
      </c>
      <c r="B4999" s="48" t="n"/>
      <c r="C4999" s="48" t="n"/>
    </row>
    <row r="5000" ht="18" customHeight="1" s="17">
      <c r="A5000" s="48">
        <f>""</f>
        <v/>
      </c>
      <c r="B5000" s="48" t="n"/>
      <c r="C5000" s="48" t="n"/>
    </row>
    <row r="5001">
      <c r="A5001" s="48">
        <f>""</f>
        <v/>
      </c>
      <c r="B5001" s="48" t="n"/>
      <c r="C5001" s="48" t="n"/>
    </row>
    <row r="5002">
      <c r="A5002" s="48">
        <f>""</f>
        <v/>
      </c>
      <c r="B5002" s="48" t="n"/>
      <c r="C5002" s="48" t="n"/>
    </row>
    <row r="5003">
      <c r="A5003" s="48">
        <f>""</f>
        <v/>
      </c>
      <c r="B5003" s="48" t="n"/>
      <c r="C5003" s="48" t="n"/>
    </row>
    <row r="5004">
      <c r="A5004" s="48" t="inlineStr">
        <is>
          <t>&lt;/questestinterop&gt;</t>
        </is>
      </c>
      <c r="B5004" s="48" t="n"/>
      <c r="C5004" s="48" t="n"/>
    </row>
    <row r="5005">
      <c r="A5005" s="48" t="n"/>
      <c r="B5005" s="48" t="n"/>
      <c r="C5005" s="48" t="n"/>
    </row>
    <row r="5006">
      <c r="A5006" s="48" t="n"/>
      <c r="B5006" s="48" t="n"/>
      <c r="C5006" s="48" t="n"/>
    </row>
    <row r="5007">
      <c r="A5007" s="48" t="n"/>
      <c r="B5007" s="48" t="n"/>
      <c r="C5007" s="48" t="n"/>
    </row>
    <row r="5008">
      <c r="A5008" s="48" t="n"/>
      <c r="B5008" s="48" t="n"/>
      <c r="C5008" s="48" t="n"/>
    </row>
    <row r="5009">
      <c r="A5009" s="48" t="n"/>
      <c r="B5009" s="48" t="n"/>
      <c r="C5009" s="48" t="n"/>
    </row>
    <row r="5010">
      <c r="A5010" s="48" t="n"/>
      <c r="B5010" s="48" t="n"/>
      <c r="C5010" s="48" t="n"/>
    </row>
    <row r="5011">
      <c r="A5011" s="48" t="n"/>
      <c r="B5011" s="48" t="n"/>
      <c r="C5011" s="48" t="n"/>
    </row>
    <row r="5012">
      <c r="A5012" s="48" t="n"/>
      <c r="B5012" s="48" t="n"/>
      <c r="C5012" s="48" t="n"/>
    </row>
    <row r="5013">
      <c r="A5013" s="48" t="n"/>
      <c r="B5013" s="48" t="n"/>
      <c r="C5013" s="48" t="n"/>
    </row>
    <row r="5014">
      <c r="A5014" s="48" t="n"/>
      <c r="B5014" s="48" t="n"/>
      <c r="C5014" s="48" t="n"/>
    </row>
    <row r="5015">
      <c r="A5015" s="48" t="n"/>
      <c r="B5015" s="48" t="n"/>
      <c r="C5015" s="48" t="n"/>
    </row>
    <row r="5016">
      <c r="A5016" s="48" t="n"/>
      <c r="B5016" s="48" t="n"/>
      <c r="C5016" s="48" t="n"/>
    </row>
    <row r="5017">
      <c r="A5017" s="48" t="n"/>
      <c r="B5017" s="48" t="n"/>
      <c r="C5017" s="48" t="n"/>
    </row>
    <row r="5018">
      <c r="A5018" s="48" t="n"/>
      <c r="B5018" s="48" t="n"/>
      <c r="C5018" s="48" t="n"/>
    </row>
    <row r="5019">
      <c r="A5019" s="48" t="n"/>
      <c r="B5019" s="48" t="n"/>
      <c r="C5019" s="48" t="n"/>
    </row>
    <row r="5020">
      <c r="A5020" s="48" t="n"/>
      <c r="B5020" s="48" t="n"/>
      <c r="C5020" s="48" t="n"/>
    </row>
    <row r="5021">
      <c r="A5021" s="48" t="n"/>
      <c r="B5021" s="48" t="n"/>
      <c r="C5021" s="48" t="n"/>
    </row>
    <row r="5022">
      <c r="A5022" s="48" t="n"/>
      <c r="B5022" s="48" t="n"/>
      <c r="C5022" s="48" t="n"/>
    </row>
    <row r="5023">
      <c r="A5023" s="48" t="n"/>
      <c r="B5023" s="48" t="n"/>
      <c r="C5023" s="48" t="n"/>
    </row>
    <row r="5024">
      <c r="A5024" s="48" t="n"/>
      <c r="B5024" s="48" t="n"/>
      <c r="C5024" s="48" t="n"/>
    </row>
    <row r="5025">
      <c r="A5025" s="48" t="n"/>
      <c r="B5025" s="48" t="n"/>
      <c r="C5025" s="48" t="n"/>
    </row>
    <row r="5026">
      <c r="A5026" s="48" t="n"/>
      <c r="B5026" s="48" t="n"/>
      <c r="C5026" s="48" t="n"/>
    </row>
    <row r="5027">
      <c r="A5027" s="48" t="n"/>
      <c r="B5027" s="48" t="n"/>
      <c r="C5027" s="48" t="n"/>
    </row>
    <row r="5028">
      <c r="A5028" s="48" t="n"/>
      <c r="B5028" s="48" t="n"/>
      <c r="C5028" s="48" t="n"/>
    </row>
    <row r="5029">
      <c r="A5029" s="48" t="n"/>
      <c r="B5029" s="48" t="n"/>
      <c r="C5029" s="48" t="n"/>
    </row>
    <row r="5030">
      <c r="A5030" s="48" t="n"/>
      <c r="B5030" s="48" t="n"/>
      <c r="C5030" s="48" t="n"/>
    </row>
    <row r="5031">
      <c r="A5031" s="48" t="n"/>
      <c r="B5031" s="48" t="n"/>
      <c r="C5031" s="48" t="n"/>
    </row>
    <row r="5032">
      <c r="A5032" s="48" t="n"/>
      <c r="B5032" s="48" t="n"/>
      <c r="C5032" s="48" t="n"/>
    </row>
    <row r="5033">
      <c r="A5033" s="48" t="n"/>
      <c r="B5033" s="48" t="n"/>
      <c r="C5033" s="48" t="n"/>
    </row>
    <row r="5034">
      <c r="A5034" s="48" t="n"/>
      <c r="B5034" s="48" t="n"/>
      <c r="C5034" s="48" t="n"/>
    </row>
    <row r="5035">
      <c r="A5035" s="48" t="n"/>
      <c r="B5035" s="48" t="n"/>
      <c r="C5035" s="48" t="n"/>
    </row>
    <row r="5036">
      <c r="A5036" s="48" t="n"/>
      <c r="B5036" s="48" t="n"/>
      <c r="C5036" s="48" t="n"/>
    </row>
    <row r="5037">
      <c r="A5037" s="48" t="n"/>
      <c r="B5037" s="48" t="n"/>
      <c r="C5037" s="48" t="n"/>
    </row>
    <row r="5038">
      <c r="A5038" s="48" t="n"/>
      <c r="B5038" s="48" t="n"/>
      <c r="C5038" s="48" t="n"/>
    </row>
    <row r="5039">
      <c r="A5039" s="48" t="n"/>
      <c r="B5039" s="48" t="n"/>
      <c r="C5039" s="48" t="n"/>
    </row>
    <row r="5040">
      <c r="A5040" s="48" t="n"/>
      <c r="B5040" s="48" t="n"/>
      <c r="C5040" s="48" t="n"/>
    </row>
    <row r="5041">
      <c r="A5041" s="48" t="n"/>
      <c r="B5041" s="48" t="n"/>
      <c r="C5041" s="48" t="n"/>
    </row>
    <row r="5042">
      <c r="A5042" s="48" t="n"/>
      <c r="B5042" s="48" t="n"/>
      <c r="C5042" s="48" t="n"/>
    </row>
    <row r="5043">
      <c r="A5043" s="48" t="n"/>
      <c r="B5043" s="48" t="n"/>
      <c r="C5043" s="48" t="n"/>
    </row>
    <row r="5044">
      <c r="A5044" s="48" t="n"/>
      <c r="B5044" s="48" t="n"/>
      <c r="C5044" s="48" t="n"/>
    </row>
    <row r="5045">
      <c r="A5045" s="48" t="n"/>
      <c r="B5045" s="48" t="n"/>
      <c r="C5045" s="48" t="n"/>
    </row>
    <row r="5046">
      <c r="A5046" s="48" t="n"/>
      <c r="B5046" s="48" t="n"/>
      <c r="C5046" s="48" t="n"/>
    </row>
    <row r="5047">
      <c r="A5047" s="48" t="n"/>
      <c r="B5047" s="48" t="n"/>
      <c r="C5047" s="48" t="n"/>
    </row>
    <row r="5048">
      <c r="A5048" s="48" t="n"/>
      <c r="B5048" s="48" t="n"/>
      <c r="C5048" s="48" t="n"/>
    </row>
    <row r="5049">
      <c r="A5049" s="48" t="n"/>
      <c r="B5049" s="48" t="n"/>
      <c r="C5049" s="48" t="n"/>
    </row>
    <row r="5050">
      <c r="A5050" s="48" t="n"/>
      <c r="B5050" s="48" t="n"/>
      <c r="C5050" s="48" t="n"/>
    </row>
    <row r="5051">
      <c r="A5051" s="48" t="n"/>
      <c r="B5051" s="48" t="n"/>
      <c r="C5051" s="48" t="n"/>
    </row>
    <row r="5052">
      <c r="A5052" s="48" t="n"/>
      <c r="B5052" s="48" t="n"/>
      <c r="C5052" s="48" t="n"/>
    </row>
    <row r="5053">
      <c r="A5053" s="48" t="n"/>
      <c r="B5053" s="48" t="n"/>
      <c r="C5053" s="48" t="n"/>
    </row>
    <row r="5054">
      <c r="A5054" s="48" t="n"/>
      <c r="B5054" s="48" t="n"/>
      <c r="C5054" s="48" t="n"/>
    </row>
    <row r="5055">
      <c r="A5055" s="48" t="n"/>
      <c r="B5055" s="48" t="n"/>
      <c r="C5055" s="48" t="n"/>
    </row>
    <row r="5056">
      <c r="A5056" s="48" t="n"/>
      <c r="B5056" s="48" t="n"/>
      <c r="C5056" s="48" t="n"/>
    </row>
    <row r="5057">
      <c r="A5057" s="48" t="n"/>
      <c r="B5057" s="48" t="n"/>
      <c r="C5057" s="48" t="n"/>
    </row>
    <row r="5058">
      <c r="A5058" s="48" t="n"/>
      <c r="B5058" s="48" t="n"/>
      <c r="C5058" s="48" t="n"/>
    </row>
    <row r="5059">
      <c r="A5059" s="48" t="n"/>
      <c r="B5059" s="48" t="n"/>
      <c r="C5059" s="48" t="n"/>
    </row>
    <row r="5060">
      <c r="A5060" s="48" t="n"/>
      <c r="B5060" s="48" t="n"/>
      <c r="C5060" s="48" t="n"/>
    </row>
    <row r="5061">
      <c r="A5061" s="48" t="n"/>
      <c r="B5061" s="48" t="n"/>
      <c r="C5061" s="48" t="n"/>
    </row>
    <row r="5062">
      <c r="A5062" s="48" t="n"/>
      <c r="B5062" s="48" t="n"/>
      <c r="C5062" s="48" t="n"/>
    </row>
    <row r="5063">
      <c r="A5063" s="48" t="n"/>
      <c r="B5063" s="48" t="n"/>
      <c r="C5063" s="48" t="n"/>
    </row>
    <row r="5064">
      <c r="A5064" s="48" t="n"/>
      <c r="B5064" s="48" t="n"/>
      <c r="C5064" s="48" t="n"/>
    </row>
    <row r="5065">
      <c r="A5065" s="48" t="n"/>
      <c r="B5065" s="48" t="n"/>
      <c r="C5065" s="48" t="n"/>
    </row>
    <row r="5066">
      <c r="A5066" s="48" t="n"/>
      <c r="B5066" s="48" t="n"/>
      <c r="C5066" s="48" t="n"/>
    </row>
    <row r="5067">
      <c r="A5067" s="48" t="n"/>
      <c r="B5067" s="48" t="n"/>
      <c r="C5067" s="48" t="n"/>
    </row>
    <row r="5068">
      <c r="A5068" s="48" t="n"/>
      <c r="B5068" s="48" t="n"/>
      <c r="C5068" s="48" t="n"/>
    </row>
    <row r="5069">
      <c r="A5069" s="48" t="n"/>
      <c r="B5069" s="48" t="n"/>
      <c r="C5069" s="48" t="n"/>
    </row>
    <row r="5070">
      <c r="A5070" s="48" t="n"/>
      <c r="B5070" s="48" t="n"/>
      <c r="C5070" s="48" t="n"/>
    </row>
    <row r="5071">
      <c r="A5071" s="48" t="n"/>
      <c r="B5071" s="48" t="n"/>
      <c r="C5071" s="48" t="n"/>
    </row>
    <row r="5072">
      <c r="A5072" s="48" t="n"/>
      <c r="B5072" s="48" t="n"/>
      <c r="C5072" s="48" t="n"/>
    </row>
    <row r="5073">
      <c r="A5073" s="48" t="n"/>
      <c r="B5073" s="48" t="n"/>
      <c r="C5073" s="48" t="n"/>
    </row>
    <row r="5074">
      <c r="A5074" s="48" t="n"/>
      <c r="B5074" s="48" t="n"/>
      <c r="C5074" s="48" t="n"/>
    </row>
    <row r="5075">
      <c r="A5075" s="48" t="n"/>
      <c r="B5075" s="48" t="n"/>
      <c r="C5075" s="48" t="n"/>
    </row>
    <row r="5076">
      <c r="A5076" s="48" t="n"/>
      <c r="B5076" s="48" t="n"/>
      <c r="C5076" s="48" t="n"/>
    </row>
    <row r="5077">
      <c r="A5077" s="48" t="n"/>
      <c r="B5077" s="48" t="n"/>
      <c r="C5077" s="48" t="n"/>
    </row>
    <row r="5078">
      <c r="A5078" s="48" t="n"/>
      <c r="B5078" s="48" t="n"/>
      <c r="C5078" s="48" t="n"/>
    </row>
    <row r="5079">
      <c r="A5079" s="48" t="n"/>
      <c r="B5079" s="48" t="n"/>
      <c r="C5079" s="48" t="n"/>
    </row>
    <row r="5080">
      <c r="A5080" s="48" t="n"/>
      <c r="B5080" s="48" t="n"/>
      <c r="C5080" s="48" t="n"/>
    </row>
    <row r="5081">
      <c r="A5081" s="48" t="n"/>
      <c r="B5081" s="48" t="n"/>
      <c r="C5081" s="48" t="n"/>
    </row>
    <row r="5082">
      <c r="A5082" s="48" t="n"/>
      <c r="B5082" s="48" t="n"/>
      <c r="C5082" s="48" t="n"/>
    </row>
    <row r="5083">
      <c r="A5083" s="48" t="n"/>
      <c r="B5083" s="48" t="n"/>
      <c r="C5083" s="48" t="n"/>
    </row>
    <row r="5084">
      <c r="A5084" s="48" t="n"/>
      <c r="B5084" s="48" t="n"/>
      <c r="C5084" s="48" t="n"/>
    </row>
    <row r="5085">
      <c r="A5085" s="48" t="n"/>
      <c r="B5085" s="48" t="n"/>
      <c r="C5085" s="48" t="n"/>
    </row>
    <row r="5086">
      <c r="A5086" s="48" t="n"/>
      <c r="B5086" s="48" t="n"/>
      <c r="C5086" s="48" t="n"/>
    </row>
    <row r="5087">
      <c r="A5087" s="48" t="n"/>
      <c r="B5087" s="48" t="n"/>
      <c r="C5087" s="48" t="n"/>
    </row>
    <row r="5088">
      <c r="A5088" s="48" t="n"/>
      <c r="B5088" s="48" t="n"/>
      <c r="C5088" s="48" t="n"/>
    </row>
    <row r="5089">
      <c r="A5089" s="48" t="n"/>
      <c r="B5089" s="48" t="n"/>
      <c r="C5089" s="48" t="n"/>
    </row>
    <row r="5090">
      <c r="A5090" s="48" t="n"/>
      <c r="B5090" s="48" t="n"/>
      <c r="C5090" s="48" t="n"/>
    </row>
    <row r="5091">
      <c r="A5091" s="48" t="n"/>
      <c r="B5091" s="48" t="n"/>
      <c r="C5091" s="48" t="n"/>
    </row>
    <row r="5092">
      <c r="A5092" s="48" t="n"/>
      <c r="B5092" s="48" t="n"/>
      <c r="C5092" s="48" t="n"/>
    </row>
    <row r="5093">
      <c r="A5093" s="48" t="n"/>
      <c r="B5093" s="48" t="n"/>
      <c r="C5093" s="48" t="n"/>
    </row>
    <row r="5094">
      <c r="A5094" s="48" t="n"/>
      <c r="B5094" s="48" t="n"/>
      <c r="C5094" s="48" t="n"/>
    </row>
    <row r="5095">
      <c r="A5095" s="48" t="n"/>
      <c r="B5095" s="48" t="n"/>
      <c r="C5095" s="48" t="n"/>
    </row>
    <row r="5096">
      <c r="A5096" s="48" t="n"/>
      <c r="B5096" s="48" t="n"/>
      <c r="C5096" s="48" t="n"/>
    </row>
    <row r="5097">
      <c r="A5097" s="48" t="n"/>
      <c r="B5097" s="48" t="n"/>
      <c r="C5097" s="48" t="n"/>
    </row>
    <row r="5098">
      <c r="A5098" s="48" t="n"/>
      <c r="B5098" s="48" t="n"/>
      <c r="C5098" s="48" t="n"/>
    </row>
    <row r="5099">
      <c r="A5099" s="48" t="n"/>
      <c r="B5099" s="48" t="n"/>
      <c r="C5099" s="48" t="n"/>
    </row>
    <row r="5100">
      <c r="A5100" s="48" t="n"/>
      <c r="B5100" s="48" t="n"/>
      <c r="C5100" s="48" t="n"/>
    </row>
    <row r="5101">
      <c r="A5101" s="48" t="n"/>
      <c r="B5101" s="48" t="n"/>
      <c r="C5101" s="48" t="n"/>
    </row>
    <row r="5102">
      <c r="A5102" s="48" t="n"/>
      <c r="B5102" s="48" t="n"/>
      <c r="C5102" s="48" t="n"/>
    </row>
    <row r="5103">
      <c r="A5103" s="48" t="n"/>
      <c r="B5103" s="48" t="n"/>
      <c r="C5103" s="48" t="n"/>
    </row>
    <row r="5104">
      <c r="A5104" s="48" t="n"/>
      <c r="B5104" s="48" t="n"/>
      <c r="C5104" s="48" t="n"/>
    </row>
    <row r="5105">
      <c r="A5105" s="48" t="n"/>
      <c r="B5105" s="48" t="n"/>
      <c r="C5105" s="48" t="n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J10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10" defaultColWidth="9" defaultRowHeight="14.25"/>
  <cols>
    <col width="18" customWidth="1" style="17" min="1" max="5"/>
    <col width="18" customWidth="1" style="17" min="2" max="2"/>
    <col width="18" customWidth="1" style="17" min="3" max="3"/>
    <col width="18" customWidth="1" style="17" min="4" max="4"/>
    <col width="18" customWidth="1" style="17" min="5" max="5"/>
    <col width="18" customWidth="1" style="17" min="6" max="7"/>
    <col width="18" customWidth="1" style="17" min="7" max="7"/>
    <col width="18" customWidth="1" style="17" min="8" max="27"/>
    <col width="18" customWidth="1" style="17" min="9" max="9"/>
    <col width="18" customWidth="1" style="17" min="10" max="10"/>
    <col width="18" customWidth="1" style="17" min="11" max="11"/>
    <col width="28" customWidth="1" style="17" min="12" max="12"/>
    <col width="28" customWidth="1" style="17" min="13" max="13"/>
    <col width="28" customWidth="1" style="17" min="14" max="14"/>
    <col width="28" customWidth="1" style="17" min="15" max="15"/>
    <col width="28" customWidth="1" style="17" min="16" max="16"/>
    <col width="28" customWidth="1" style="17" min="17" max="17"/>
    <col width="28" customWidth="1" style="17" min="18" max="18"/>
    <col width="28" customWidth="1" style="17" min="19" max="19"/>
    <col width="28" customWidth="1" style="17" min="20" max="20"/>
    <col width="28" customWidth="1" style="17" min="21" max="21"/>
    <col width="28" customWidth="1" style="17" min="22" max="22"/>
    <col width="28" customWidth="1" style="17" min="23" max="23"/>
    <col width="28" customWidth="1" style="17" min="24" max="24"/>
    <col width="28" customWidth="1" style="17" min="25" max="25"/>
    <col width="28" customWidth="1" style="17" min="26" max="26"/>
    <col width="28" customWidth="1" style="17" min="27" max="27"/>
    <col width="28" customWidth="1" style="17" min="28" max="43"/>
    <col width="28" customWidth="1" style="17" min="29" max="29"/>
    <col width="28" customWidth="1" style="17" min="30" max="30"/>
    <col width="28" customWidth="1" style="17" min="31" max="31"/>
    <col width="28" customWidth="1" style="17" min="32" max="32"/>
    <col width="28" customWidth="1" style="17" min="33" max="33"/>
    <col width="28" customWidth="1" style="17" min="34" max="34"/>
    <col width="28" customWidth="1" style="17" min="35" max="35"/>
    <col width="28" customWidth="1" style="17" min="36" max="36"/>
    <col width="28" customWidth="1" style="17" min="37" max="37"/>
    <col width="28" customWidth="1" style="17" min="38" max="38"/>
    <col width="28" customWidth="1" style="17" min="39" max="39"/>
    <col width="28" customWidth="1" style="17" min="40" max="40"/>
    <col width="28" customWidth="1" style="17" min="41" max="41"/>
    <col width="28" customWidth="1" style="17" min="42" max="42"/>
    <col width="28" customWidth="1" style="17" min="43" max="43"/>
    <col width="28" customWidth="1" style="17" min="44" max="44"/>
    <col width="28" customWidth="1" style="17" min="45" max="45"/>
    <col width="28" customWidth="1" style="17" min="46" max="46"/>
    <col width="28" customWidth="1" style="17" min="47" max="47"/>
    <col width="28" customWidth="1" style="17" min="48" max="48"/>
    <col width="28" customWidth="1" style="17" min="49" max="49"/>
    <col width="28" customWidth="1" style="17" min="50" max="50"/>
    <col width="28" customWidth="1" style="17" min="51" max="51"/>
    <col width="28" customWidth="1" style="17" min="52" max="52"/>
    <col width="28" customWidth="1" style="17" min="53" max="53"/>
    <col width="28" customWidth="1" style="17" min="54" max="54"/>
    <col width="28" customWidth="1" style="17" min="55" max="55"/>
    <col width="28" customWidth="1" style="17" min="56" max="56"/>
    <col width="28" customWidth="1" style="17" min="57" max="57"/>
    <col width="28" customWidth="1" style="17" min="58" max="58"/>
    <col width="28" customWidth="1" style="17" min="59" max="59"/>
    <col width="28" customWidth="1" style="17" min="60" max="60"/>
    <col width="28" customWidth="1" style="17" min="61" max="61"/>
    <col width="28" customWidth="1" style="17" min="62" max="62"/>
  </cols>
  <sheetData>
    <row r="1" ht="18" customHeight="1" s="17">
      <c r="A1" s="49" t="inlineStr">
        <is>
          <t>N°</t>
        </is>
      </c>
      <c r="B1" s="49" t="inlineStr">
        <is>
          <t>Valide</t>
        </is>
      </c>
      <c r="C1" s="49" t="inlineStr">
        <is>
          <t>Type</t>
        </is>
      </c>
      <c r="D1" s="49" t="inlineStr">
        <is>
          <t>TypeXML</t>
        </is>
      </c>
      <c r="E1" s="49" t="inlineStr">
        <is>
          <t>Cardinalité</t>
        </is>
      </c>
      <c r="F1" s="49" t="inlineStr">
        <is>
          <t>TitreEsc</t>
        </is>
      </c>
      <c r="G1" s="49" t="inlineStr">
        <is>
          <t>QuestionEsc</t>
        </is>
      </c>
      <c r="H1" s="49" t="inlineStr">
        <is>
          <t>PoidsXML</t>
        </is>
      </c>
      <c r="I1" s="49" t="inlineStr">
        <is>
          <t>NbRéponses</t>
        </is>
      </c>
      <c r="J1" s="49" t="inlineStr">
        <is>
          <t>BonnesNorm</t>
        </is>
      </c>
      <c r="K1" s="49" t="inlineStr">
        <is>
          <t>Contrôle</t>
        </is>
      </c>
      <c r="L1" s="49" t="inlineStr">
        <is>
          <t>Rep1Esc</t>
        </is>
      </c>
      <c r="M1" s="49" t="inlineStr">
        <is>
          <t>Rep2Esc</t>
        </is>
      </c>
      <c r="N1" s="49" t="inlineStr">
        <is>
          <t>Rep3Esc</t>
        </is>
      </c>
      <c r="O1" s="49" t="inlineStr">
        <is>
          <t>Rep4Esc</t>
        </is>
      </c>
      <c r="P1" s="49" t="inlineStr">
        <is>
          <t>Rep5Esc</t>
        </is>
      </c>
      <c r="Q1" s="49" t="inlineStr">
        <is>
          <t>Rep6Esc</t>
        </is>
      </c>
      <c r="R1" s="49" t="inlineStr">
        <is>
          <t>Rep7Esc</t>
        </is>
      </c>
      <c r="S1" s="49" t="inlineStr">
        <is>
          <t>Rep8Esc</t>
        </is>
      </c>
      <c r="T1" s="49" t="inlineStr">
        <is>
          <t>Correct1</t>
        </is>
      </c>
      <c r="U1" s="49" t="inlineStr">
        <is>
          <t>Correct2</t>
        </is>
      </c>
      <c r="V1" s="49" t="inlineStr">
        <is>
          <t>Correct3</t>
        </is>
      </c>
      <c r="W1" s="49" t="inlineStr">
        <is>
          <t>Correct4</t>
        </is>
      </c>
      <c r="X1" s="49" t="inlineStr">
        <is>
          <t>Correct5</t>
        </is>
      </c>
      <c r="Y1" s="49" t="inlineStr">
        <is>
          <t>Correct6</t>
        </is>
      </c>
      <c r="Z1" s="49" t="inlineStr">
        <is>
          <t>Correct7</t>
        </is>
      </c>
      <c r="AA1" s="49" t="inlineStr">
        <is>
          <t>Correct8</t>
        </is>
      </c>
      <c r="AB1" s="49" t="inlineStr">
        <is>
          <t>Label1</t>
        </is>
      </c>
      <c r="AC1" s="49" t="inlineStr">
        <is>
          <t>Label2</t>
        </is>
      </c>
      <c r="AD1" s="49" t="inlineStr">
        <is>
          <t>Label3</t>
        </is>
      </c>
      <c r="AE1" s="49" t="inlineStr">
        <is>
          <t>Label4</t>
        </is>
      </c>
      <c r="AF1" s="49" t="inlineStr">
        <is>
          <t>Label5</t>
        </is>
      </c>
      <c r="AG1" s="49" t="inlineStr">
        <is>
          <t>Label6</t>
        </is>
      </c>
      <c r="AH1" s="49" t="inlineStr">
        <is>
          <t>Label7</t>
        </is>
      </c>
      <c r="AI1" s="49" t="inlineStr">
        <is>
          <t>Label8</t>
        </is>
      </c>
      <c r="AJ1" s="49" t="inlineStr">
        <is>
          <t>Condition1</t>
        </is>
      </c>
      <c r="AK1" s="49" t="inlineStr">
        <is>
          <t>Condition2</t>
        </is>
      </c>
      <c r="AL1" s="49" t="inlineStr">
        <is>
          <t>Condition3</t>
        </is>
      </c>
      <c r="AM1" s="49" t="inlineStr">
        <is>
          <t>Condition4</t>
        </is>
      </c>
      <c r="AN1" s="49" t="inlineStr">
        <is>
          <t>Condition5</t>
        </is>
      </c>
      <c r="AO1" s="49" t="inlineStr">
        <is>
          <t>Condition6</t>
        </is>
      </c>
      <c r="AP1" s="49" t="inlineStr">
        <is>
          <t>Condition7</t>
        </is>
      </c>
      <c r="AQ1" s="49" t="inlineStr">
        <is>
          <t>Condition8</t>
        </is>
      </c>
      <c r="AR1" s="49" t="inlineStr">
        <is>
          <t>AuteurEsc</t>
        </is>
      </c>
      <c r="AS1" s="49" t="inlineStr">
        <is>
          <t>ExplicationEsc</t>
        </is>
      </c>
      <c r="AT1" s="49" t="inlineStr">
        <is>
          <t>Fb1Esc</t>
        </is>
      </c>
      <c r="AU1" s="49" t="inlineStr">
        <is>
          <t>Fb2Esc</t>
        </is>
      </c>
      <c r="AV1" s="49" t="inlineStr">
        <is>
          <t>Fb3Esc</t>
        </is>
      </c>
      <c r="AW1" s="49" t="inlineStr">
        <is>
          <t>Fb4Esc</t>
        </is>
      </c>
      <c r="AX1" s="49" t="inlineStr">
        <is>
          <t>Fb5Esc</t>
        </is>
      </c>
      <c r="AY1" s="49" t="inlineStr">
        <is>
          <t>Fb6Esc</t>
        </is>
      </c>
      <c r="AZ1" s="49" t="inlineStr">
        <is>
          <t>Fb7Esc</t>
        </is>
      </c>
      <c r="BA1" s="49" t="inlineStr">
        <is>
          <t>Fb8Esc</t>
        </is>
      </c>
      <c r="BB1" s="49" t="inlineStr">
        <is>
          <t>FeedbackSolution</t>
        </is>
      </c>
      <c r="BC1" s="49" t="inlineStr">
        <is>
          <t>FeedbackRep1</t>
        </is>
      </c>
      <c r="BD1" s="49" t="inlineStr">
        <is>
          <t>FeedbackRep2</t>
        </is>
      </c>
      <c r="BE1" s="49" t="inlineStr">
        <is>
          <t>FeedbackRep3</t>
        </is>
      </c>
      <c r="BF1" s="49" t="inlineStr">
        <is>
          <t>FeedbackRep4</t>
        </is>
      </c>
      <c r="BG1" s="49" t="inlineStr">
        <is>
          <t>FeedbackRep5</t>
        </is>
      </c>
      <c r="BH1" s="49" t="inlineStr">
        <is>
          <t>FeedbackRep6</t>
        </is>
      </c>
      <c r="BI1" s="49" t="inlineStr">
        <is>
          <t>FeedbackRep7</t>
        </is>
      </c>
      <c r="BJ1" s="49" t="inlineStr">
        <is>
          <t>FeedbackRep8</t>
        </is>
      </c>
    </row>
    <row r="2" ht="18" customHeight="1" s="17">
      <c r="A2" s="50" t="inlineStr">
        <is>
          <t>Feuille technique V2 : ne pas modifier. Les formules alimentent XML_QTI.</t>
        </is>
      </c>
      <c r="B2" s="46" t="n"/>
      <c r="C2" s="46" t="n"/>
      <c r="D2" s="46" t="n"/>
      <c r="E2" s="46" t="n"/>
      <c r="F2" s="46" t="n"/>
      <c r="G2" s="46" t="n"/>
      <c r="H2" s="46" t="n"/>
      <c r="I2" s="46" t="n"/>
      <c r="J2" s="46" t="n"/>
      <c r="K2" s="46" t="n"/>
      <c r="L2" s="46" t="n"/>
      <c r="M2" s="46" t="n"/>
      <c r="N2" s="46" t="n"/>
      <c r="O2" s="46" t="n"/>
      <c r="P2" s="46" t="n"/>
      <c r="Q2" s="46" t="n"/>
      <c r="R2" s="46" t="n"/>
      <c r="S2" s="46" t="n"/>
      <c r="T2" s="46" t="n"/>
      <c r="U2" s="46" t="n"/>
      <c r="V2" s="46" t="n"/>
      <c r="W2" s="46" t="n"/>
      <c r="X2" s="46" t="n"/>
      <c r="Y2" s="46" t="n"/>
      <c r="Z2" s="46" t="n"/>
      <c r="AA2" s="46" t="n"/>
      <c r="AB2" s="46" t="n"/>
      <c r="AC2" s="46" t="n"/>
      <c r="AD2" s="46" t="n"/>
      <c r="AE2" s="46" t="n"/>
      <c r="AF2" s="46" t="n"/>
      <c r="AG2" s="46" t="n"/>
      <c r="AH2" s="46" t="n"/>
      <c r="AI2" s="46" t="n"/>
      <c r="AJ2" s="46" t="n"/>
      <c r="AK2" s="46" t="n"/>
      <c r="AL2" s="46" t="n"/>
      <c r="AM2" s="46" t="n"/>
      <c r="AN2" s="46" t="n"/>
      <c r="AO2" s="46" t="n"/>
      <c r="AP2" s="46" t="n"/>
      <c r="AQ2" s="46" t="n"/>
      <c r="AR2" s="46" t="n"/>
      <c r="AS2" s="46" t="n"/>
      <c r="AT2" s="46" t="n"/>
      <c r="AU2" s="46" t="n"/>
      <c r="AV2" s="46" t="n"/>
      <c r="AW2" s="46" t="n"/>
      <c r="AX2" s="46" t="n"/>
      <c r="AY2" s="46" t="n"/>
      <c r="AZ2" s="46" t="n"/>
      <c r="BA2" s="46" t="n"/>
      <c r="BB2" s="46" t="n"/>
      <c r="BC2" s="46" t="n"/>
      <c r="BD2" s="46" t="n"/>
      <c r="BE2" s="46" t="n"/>
      <c r="BF2" s="46" t="n"/>
      <c r="BG2" s="46" t="n"/>
      <c r="BH2" s="46" t="n"/>
      <c r="BI2" s="46" t="n"/>
      <c r="BJ2" s="46" t="n"/>
    </row>
    <row r="3" ht="18" customHeight="1" s="17">
      <c r="A3" s="46" t="n"/>
      <c r="B3" s="46" t="n"/>
      <c r="C3" s="46" t="n"/>
      <c r="D3" s="46" t="n"/>
      <c r="E3" s="46" t="n"/>
      <c r="F3" s="46" t="n"/>
      <c r="G3" s="46" t="n"/>
      <c r="H3" s="46" t="n"/>
      <c r="I3" s="46" t="n"/>
      <c r="J3" s="46" t="n"/>
      <c r="K3" s="46" t="n"/>
      <c r="L3" s="46" t="n"/>
      <c r="M3" s="46" t="n"/>
      <c r="N3" s="46" t="n"/>
      <c r="O3" s="46" t="n"/>
      <c r="P3" s="46" t="n"/>
      <c r="Q3" s="46" t="n"/>
      <c r="R3" s="46" t="n"/>
      <c r="S3" s="46" t="n"/>
      <c r="T3" s="46" t="n"/>
      <c r="U3" s="46" t="n"/>
      <c r="V3" s="46" t="n"/>
      <c r="W3" s="46" t="n"/>
      <c r="X3" s="46" t="n"/>
      <c r="Y3" s="46" t="n"/>
      <c r="Z3" s="46" t="n"/>
      <c r="AA3" s="46" t="n"/>
      <c r="AB3" s="46" t="n"/>
      <c r="AC3" s="46" t="n"/>
      <c r="AD3" s="46" t="n"/>
      <c r="AE3" s="46" t="n"/>
      <c r="AF3" s="46" t="n"/>
      <c r="AG3" s="46" t="n"/>
      <c r="AH3" s="46" t="n"/>
      <c r="AI3" s="46" t="n"/>
      <c r="AJ3" s="46" t="n"/>
      <c r="AK3" s="46" t="n"/>
      <c r="AL3" s="46" t="n"/>
      <c r="AM3" s="46" t="n"/>
      <c r="AN3" s="46" t="n"/>
      <c r="AO3" s="46" t="n"/>
      <c r="AP3" s="46" t="n"/>
      <c r="AQ3" s="46" t="n"/>
      <c r="AR3" s="46" t="n"/>
      <c r="AS3" s="46" t="n"/>
      <c r="AT3" s="46" t="n"/>
      <c r="AU3" s="46" t="n"/>
      <c r="AV3" s="46" t="n"/>
      <c r="AW3" s="46" t="n"/>
      <c r="AX3" s="46" t="n"/>
      <c r="AY3" s="46" t="n"/>
      <c r="AZ3" s="46" t="n"/>
      <c r="BA3" s="46" t="n"/>
      <c r="BB3" s="46" t="n"/>
      <c r="BC3" s="46" t="n"/>
      <c r="BD3" s="46" t="n"/>
      <c r="BE3" s="46" t="n"/>
      <c r="BF3" s="46" t="n"/>
      <c r="BG3" s="46" t="n"/>
      <c r="BH3" s="46" t="n"/>
      <c r="BI3" s="46" t="n"/>
      <c r="BJ3" s="46" t="n"/>
    </row>
    <row r="4" ht="18" customHeight="1" s="17">
      <c r="A4" s="46" t="n"/>
      <c r="B4" s="46" t="n"/>
      <c r="C4" s="46" t="n"/>
      <c r="D4" s="46" t="n"/>
      <c r="E4" s="46" t="n"/>
      <c r="F4" s="46" t="n"/>
      <c r="G4" s="46" t="n"/>
      <c r="H4" s="46" t="n"/>
      <c r="I4" s="46" t="n"/>
      <c r="J4" s="46" t="n"/>
      <c r="K4" s="46" t="n"/>
      <c r="L4" s="46" t="n"/>
      <c r="M4" s="46" t="n"/>
      <c r="N4" s="46" t="n"/>
      <c r="O4" s="46" t="n"/>
      <c r="P4" s="46" t="n"/>
      <c r="Q4" s="46" t="n"/>
      <c r="R4" s="46" t="n"/>
      <c r="S4" s="46" t="n"/>
      <c r="T4" s="46" t="n"/>
      <c r="U4" s="46" t="n"/>
      <c r="V4" s="46" t="n"/>
      <c r="W4" s="46" t="n"/>
      <c r="X4" s="46" t="n"/>
      <c r="Y4" s="46" t="n"/>
      <c r="Z4" s="46" t="n"/>
      <c r="AA4" s="46" t="n"/>
      <c r="AB4" s="46" t="n"/>
      <c r="AC4" s="46" t="n"/>
      <c r="AD4" s="46" t="n"/>
      <c r="AE4" s="46" t="n"/>
      <c r="AF4" s="46" t="n"/>
      <c r="AG4" s="46" t="n"/>
      <c r="AH4" s="46" t="n"/>
      <c r="AI4" s="46" t="n"/>
      <c r="AJ4" s="46" t="n"/>
      <c r="AK4" s="46" t="n"/>
      <c r="AL4" s="46" t="n"/>
      <c r="AM4" s="46" t="n"/>
      <c r="AN4" s="46" t="n"/>
      <c r="AO4" s="46" t="n"/>
      <c r="AP4" s="46" t="n"/>
      <c r="AQ4" s="46" t="n"/>
      <c r="AR4" s="46" t="n"/>
      <c r="AS4" s="46" t="n"/>
      <c r="AT4" s="46" t="n"/>
      <c r="AU4" s="46" t="n"/>
      <c r="AV4" s="46" t="n"/>
      <c r="AW4" s="46" t="n"/>
      <c r="AX4" s="46" t="n"/>
      <c r="AY4" s="46" t="n"/>
      <c r="AZ4" s="46" t="n"/>
      <c r="BA4" s="46" t="n"/>
      <c r="BB4" s="46" t="n"/>
      <c r="BC4" s="46" t="n"/>
      <c r="BD4" s="46" t="n"/>
      <c r="BE4" s="46" t="n"/>
      <c r="BF4" s="46" t="n"/>
      <c r="BG4" s="46" t="n"/>
      <c r="BH4" s="46" t="n"/>
      <c r="BI4" s="46" t="n"/>
      <c r="BJ4" s="46" t="n"/>
    </row>
    <row r="5" ht="18" customHeight="1" s="17">
      <c r="A5" s="46">
        <f>Saisie_Questions!A5</f>
        <v/>
      </c>
      <c r="B5" s="46">
        <f>Saisie_Questions!O5="OK"</f>
        <v/>
      </c>
      <c r="C5" s="46">
        <f>LOWER(TRIM(Saisie_Questions!B5))</f>
        <v/>
      </c>
      <c r="D5" s="46">
        <f>IF(C5="qcu","SINGLE CHOICE QUESTION","MULTIPLE CHOICE QUESTION")</f>
        <v/>
      </c>
      <c r="E5" s="46">
        <f>IF(C5="qcu","Single","Multiple")</f>
        <v/>
      </c>
      <c r="F5" s="46">
        <f>IF(A5="","",SUBSTITUTE(SUBSTITUTE(SUBSTITUTE(SUBSTITUTE(SUBSTITUTE(IF(Saisie_Questions!C5="", "Question "&amp;A5, Saisie_Questions!C5),"&amp;","&amp;amp;"),"&lt;","&amp;lt;"),"&gt;","&amp;gt;"),CHAR(34),"&amp;quot;"),"'","&amp;apos;"))</f>
        <v/>
      </c>
      <c r="G5" s="46">
        <f>IF(A5="","",SUBSTITUTE(SUBSTITUTE(SUBSTITUTE(SUBSTITUTE(SUBSTITUTE(Saisie_Questions!D5,"&amp;","&amp;amp;"),"&lt;","&amp;lt;"),"&gt;","&amp;gt;"),CHAR(34),"&amp;quot;"),"'","&amp;apos;"))</f>
        <v/>
      </c>
      <c r="H5" s="46">
        <f>Saisie_Questions!N5</f>
        <v/>
      </c>
      <c r="I5" s="46">
        <f>IF(Saisie_Questions!E5="",0,1)+IF(Saisie_Questions!F5="",0,1)+IF(Saisie_Questions!G5="",0,1)+IF(Saisie_Questions!H5="",0,1)+IF(Saisie_Questions!I5="",0,1)+IF(Saisie_Questions!J5="",0,1)+IF(Saisie_Questions!K5="",0,1)+IF(Saisie_Questions!L5="",0,1)</f>
        <v/>
      </c>
      <c r="J5" s="46">
        <f>Saisie_Questions!M5</f>
        <v/>
      </c>
      <c r="K5" s="46">
        <f>Saisie_Questions!O5</f>
        <v/>
      </c>
      <c r="L5" s="46">
        <f>IF(Saisie_Questions!E5="","",SUBSTITUTE(SUBSTITUTE(SUBSTITUTE(SUBSTITUTE(SUBSTITUTE(Saisie_Questions!E5,"&amp;","&amp;amp;"),"&lt;","&amp;lt;"),"&gt;","&amp;gt;"),CHAR(34),"&amp;quot;"),"'","&amp;apos;"))</f>
        <v/>
      </c>
      <c r="M5" s="46">
        <f>IF(Saisie_Questions!F5="","",SUBSTITUTE(SUBSTITUTE(SUBSTITUTE(SUBSTITUTE(SUBSTITUTE(Saisie_Questions!F5,"&amp;","&amp;amp;"),"&lt;","&amp;lt;"),"&gt;","&amp;gt;"),CHAR(34),"&amp;quot;"),"'","&amp;apos;"))</f>
        <v/>
      </c>
      <c r="N5" s="46">
        <f>IF(Saisie_Questions!G5="","",SUBSTITUTE(SUBSTITUTE(SUBSTITUTE(SUBSTITUTE(SUBSTITUTE(Saisie_Questions!G5,"&amp;","&amp;amp;"),"&lt;","&amp;lt;"),"&gt;","&amp;gt;"),CHAR(34),"&amp;quot;"),"'","&amp;apos;"))</f>
        <v/>
      </c>
      <c r="O5" s="46">
        <f>IF(Saisie_Questions!H5="","",SUBSTITUTE(SUBSTITUTE(SUBSTITUTE(SUBSTITUTE(SUBSTITUTE(Saisie_Questions!H5,"&amp;","&amp;amp;"),"&lt;","&amp;lt;"),"&gt;","&amp;gt;"),CHAR(34),"&amp;quot;"),"'","&amp;apos;"))</f>
        <v/>
      </c>
      <c r="P5" s="46">
        <f>IF(Saisie_Questions!I5="","",SUBSTITUTE(SUBSTITUTE(SUBSTITUTE(SUBSTITUTE(SUBSTITUTE(Saisie_Questions!I5,"&amp;","&amp;amp;"),"&lt;","&amp;lt;"),"&gt;","&amp;gt;"),CHAR(34),"&amp;quot;"),"'","&amp;apos;"))</f>
        <v/>
      </c>
      <c r="Q5" s="46">
        <f>IF(Saisie_Questions!J5="","",SUBSTITUTE(SUBSTITUTE(SUBSTITUTE(SUBSTITUTE(SUBSTITUTE(Saisie_Questions!J5,"&amp;","&amp;amp;"),"&lt;","&amp;lt;"),"&gt;","&amp;gt;"),CHAR(34),"&amp;quot;"),"'","&amp;apos;"))</f>
        <v/>
      </c>
      <c r="R5" s="46">
        <f>IF(Saisie_Questions!K5="","",SUBSTITUTE(SUBSTITUTE(SUBSTITUTE(SUBSTITUTE(SUBSTITUTE(Saisie_Questions!K5,"&amp;","&amp;amp;"),"&lt;","&amp;lt;"),"&gt;","&amp;gt;"),CHAR(34),"&amp;quot;"),"'","&amp;apos;"))</f>
        <v/>
      </c>
      <c r="S5" s="46">
        <f>IF(Saisie_Questions!L5="","",SUBSTITUTE(SUBSTITUTE(SUBSTITUTE(SUBSTITUTE(SUBSTITUTE(Saisie_Questions!L5,"&amp;","&amp;amp;"),"&lt;","&amp;lt;"),"&gt;","&amp;gt;"),CHAR(34),"&amp;quot;"),"'","&amp;apos;"))</f>
        <v/>
      </c>
      <c r="T5" s="46">
        <f>ISNUMBER(SEARCH(";"&amp;1&amp;";",";"&amp;$J5&amp;";"))</f>
        <v/>
      </c>
      <c r="U5" s="46">
        <f>ISNUMBER(SEARCH(";"&amp;2&amp;";",";"&amp;$J5&amp;";"))</f>
        <v/>
      </c>
      <c r="V5" s="46">
        <f>ISNUMBER(SEARCH(";"&amp;3&amp;";",";"&amp;$J5&amp;";"))</f>
        <v/>
      </c>
      <c r="W5" s="46">
        <f>ISNUMBER(SEARCH(";"&amp;4&amp;";",";"&amp;$J5&amp;";"))</f>
        <v/>
      </c>
      <c r="X5" s="46">
        <f>ISNUMBER(SEARCH(";"&amp;5&amp;";",";"&amp;$J5&amp;";"))</f>
        <v/>
      </c>
      <c r="Y5" s="46">
        <f>ISNUMBER(SEARCH(";"&amp;6&amp;";",";"&amp;$J5&amp;";"))</f>
        <v/>
      </c>
      <c r="Z5" s="46">
        <f>ISNUMBER(SEARCH(";"&amp;7&amp;";",";"&amp;$J5&amp;";"))</f>
        <v/>
      </c>
      <c r="AA5" s="46">
        <f>ISNUMBER(SEARCH(";"&amp;8&amp;";",";"&amp;$J5&amp;";"))</f>
        <v/>
      </c>
      <c r="AB5" s="46">
        <f>IF($B5,IF(L5="","","        &lt;response_label ident=""0""&gt;&lt;material&gt;&lt;mattext texttype=""text/html""&gt;"&amp;L5&amp;"&lt;/mattext&gt;&lt;/material&gt;&lt;/response_label&gt;"),"")</f>
        <v/>
      </c>
      <c r="AC5" s="46">
        <f>IF($B5,IF(M5="","","        &lt;response_label ident=""1""&gt;&lt;material&gt;&lt;mattext texttype=""text/html""&gt;"&amp;M5&amp;"&lt;/mattext&gt;&lt;/material&gt;&lt;/response_label&gt;"),"")</f>
        <v/>
      </c>
      <c r="AD5" s="46">
        <f>IF($B5,IF(N5="","","        &lt;response_label ident=""2""&gt;&lt;material&gt;&lt;mattext texttype=""text/html""&gt;"&amp;N5&amp;"&lt;/mattext&gt;&lt;/material&gt;&lt;/response_label&gt;"),"")</f>
        <v/>
      </c>
      <c r="AE5" s="46">
        <f>IF($B5,IF(O5="","","        &lt;response_label ident=""3""&gt;&lt;material&gt;&lt;mattext texttype=""text/html""&gt;"&amp;O5&amp;"&lt;/mattext&gt;&lt;/material&gt;&lt;/response_label&gt;"),"")</f>
        <v/>
      </c>
      <c r="AF5" s="46">
        <f>IF($B5,IF(P5="","","        &lt;response_label ident=""4""&gt;&lt;material&gt;&lt;mattext texttype=""text/html""&gt;"&amp;P5&amp;"&lt;/mattext&gt;&lt;/material&gt;&lt;/response_label&gt;"),"")</f>
        <v/>
      </c>
      <c r="AG5" s="46">
        <f>IF($B5,IF(Q5="","","        &lt;response_label ident=""5""&gt;&lt;material&gt;&lt;mattext texttype=""text/html""&gt;"&amp;Q5&amp;"&lt;/mattext&gt;&lt;/material&gt;&lt;/response_label&gt;"),"")</f>
        <v/>
      </c>
      <c r="AH5" s="46">
        <f>IF($B5,IF(R5="","","        &lt;response_label ident=""6""&gt;&lt;material&gt;&lt;mattext texttype=""text/html""&gt;"&amp;R5&amp;"&lt;/mattext&gt;&lt;/material&gt;&lt;/response_label&gt;"),"")</f>
        <v/>
      </c>
      <c r="AI5" s="46">
        <f>IF($B5,IF(S5="","","        &lt;response_label ident=""7""&gt;&lt;material&gt;&lt;mattext texttype=""text/html""&gt;"&amp;S5&amp;"&lt;/mattext&gt;&lt;/material&gt;&lt;/response_label&gt;"),"")</f>
        <v/>
      </c>
      <c r="AJ5" s="46">
        <f>IF($B5,IF(L5="","",IF($C5="qcu",IF(OR(T5,AT5&lt;&gt;"",$AS5&lt;&gt;""),"      &lt;respcondition continue=""Yes""&gt;&lt;conditionvar&gt;&lt;varequal respident=""RESPONSE""&gt;0&lt;/varequal&gt;&lt;/conditionvar&gt;"&amp;"&lt;setvar action=""Add""&gt;"&amp;IF(T5,$H5,0)&amp;"&lt;/setvar&gt;"&amp;IF(AT5&lt;&gt;"","&lt;displayfeedback feedbacktype=""Response"" linkrefid=""response_0""/&gt;",IF($AS5&lt;&gt;"","&lt;displayfeedback feedbacktype=""Response"" linkrefid=""qti_feedback_trigger""/&gt;",""))&amp;"&lt;/respcondition&gt;",""),IF(OR(T5,AT5&lt;&gt;"",$AS5&lt;&gt;""),"      &lt;respcondition continue=""Yes""&gt;&lt;conditionvar&gt;"&amp;IF(T5,"&lt;varequal respident=""RESPONSE""&gt;0&lt;/varequal&gt;","&lt;not&gt;&lt;varequal respident=""RESPONSE""&gt;0&lt;/varequal&gt;&lt;/not&gt;")&amp;"&lt;/conditionvar&gt;&lt;setvar action=""Add""&gt;"&amp;(Saisie_Questions!$N5/$I5)&amp;"&lt;/setvar&gt;"&amp;IF(AT5&lt;&gt;"","&lt;displayfeedback feedbacktype=""Response"" linkrefid=""response_0""/&gt;",IF($AS5&lt;&gt;"","&lt;displayfeedback feedbacktype=""Response"" linkrefid=""qti_feedback_trigger""/&gt;",""))&amp;"&lt;/respcondition&gt;",""))),"")</f>
      </c>
      <c r="AK5" s="46">
        <f>IF($B5,IF(M5="","",IF($C5="qcu",IF(OR(U5,AU5&lt;&gt;"",$AS5&lt;&gt;""),"      &lt;respcondition continue=""Yes""&gt;&lt;conditionvar&gt;&lt;varequal respident=""RESPONSE""&gt;1&lt;/varequal&gt;&lt;/conditionvar&gt;"&amp;"&lt;setvar action=""Add""&gt;"&amp;IF(U5,$H5,0)&amp;"&lt;/setvar&gt;"&amp;IF(AU5&lt;&gt;"","&lt;displayfeedback feedbacktype=""Response"" linkrefid=""response_1""/&gt;",IF($AS5&lt;&gt;"","&lt;displayfeedback feedbacktype=""Response"" linkrefid=""qti_feedback_trigger""/&gt;",""))&amp;"&lt;/respcondition&gt;",""),IF(OR(U5,AU5&lt;&gt;"",$AS5&lt;&gt;""),"      &lt;respcondition continue=""Yes""&gt;&lt;conditionvar&gt;"&amp;IF(U5,"&lt;varequal respident=""RESPONSE""&gt;1&lt;/varequal&gt;","&lt;not&gt;&lt;varequal respident=""RESPONSE""&gt;1&lt;/varequal&gt;&lt;/not&gt;")&amp;"&lt;/conditionvar&gt;&lt;setvar action=""Add""&gt;"&amp;(Saisie_Questions!$N5/$I5)&amp;"&lt;/setvar&gt;"&amp;IF(AU5&lt;&gt;"","&lt;displayfeedback feedbacktype=""Response"" linkrefid=""response_1""/&gt;",IF($AS5&lt;&gt;"","&lt;displayfeedback feedbacktype=""Response"" linkrefid=""qti_feedback_trigger""/&gt;",""))&amp;"&lt;/respcondition&gt;",""))),"")</f>
      </c>
      <c r="AL5" s="46">
        <f>IF($B5,IF(N5="","",IF($C5="qcu",IF(OR(V5,AV5&lt;&gt;"",$AS5&lt;&gt;""),"      &lt;respcondition continue=""Yes""&gt;&lt;conditionvar&gt;&lt;varequal respident=""RESPONSE""&gt;2&lt;/varequal&gt;&lt;/conditionvar&gt;"&amp;"&lt;setvar action=""Add""&gt;"&amp;IF(V5,$H5,0)&amp;"&lt;/setvar&gt;"&amp;IF(AV5&lt;&gt;"","&lt;displayfeedback feedbacktype=""Response"" linkrefid=""response_2""/&gt;",IF($AS5&lt;&gt;"","&lt;displayfeedback feedbacktype=""Response"" linkrefid=""qti_feedback_trigger""/&gt;",""))&amp;"&lt;/respcondition&gt;",""),IF(OR(V5,AV5&lt;&gt;"",$AS5&lt;&gt;""),"      &lt;respcondition continue=""Yes""&gt;&lt;conditionvar&gt;"&amp;IF(V5,"&lt;varequal respident=""RESPONSE""&gt;2&lt;/varequal&gt;","&lt;not&gt;&lt;varequal respident=""RESPONSE""&gt;2&lt;/varequal&gt;&lt;/not&gt;")&amp;"&lt;/conditionvar&gt;&lt;setvar action=""Add""&gt;"&amp;(Saisie_Questions!$N5/$I5)&amp;"&lt;/setvar&gt;"&amp;IF(AV5&lt;&gt;"","&lt;displayfeedback feedbacktype=""Response"" linkrefid=""response_2""/&gt;",IF($AS5&lt;&gt;"","&lt;displayfeedback feedbacktype=""Response"" linkrefid=""qti_feedback_trigger""/&gt;",""))&amp;"&lt;/respcondition&gt;",""))),"")</f>
      </c>
      <c r="AM5" s="46">
        <f>IF($B5,IF(O5="","",IF($C5="qcu",IF(OR(W5,AW5&lt;&gt;"",$AS5&lt;&gt;""),"      &lt;respcondition continue=""Yes""&gt;&lt;conditionvar&gt;&lt;varequal respident=""RESPONSE""&gt;3&lt;/varequal&gt;&lt;/conditionvar&gt;"&amp;"&lt;setvar action=""Add""&gt;"&amp;IF(W5,$H5,0)&amp;"&lt;/setvar&gt;"&amp;IF(AW5&lt;&gt;"","&lt;displayfeedback feedbacktype=""Response"" linkrefid=""response_3""/&gt;",IF($AS5&lt;&gt;"","&lt;displayfeedback feedbacktype=""Response"" linkrefid=""qti_feedback_trigger""/&gt;",""))&amp;"&lt;/respcondition&gt;",""),IF(OR(W5,AW5&lt;&gt;"",$AS5&lt;&gt;""),"      &lt;respcondition continue=""Yes""&gt;&lt;conditionvar&gt;"&amp;IF(W5,"&lt;varequal respident=""RESPONSE""&gt;3&lt;/varequal&gt;","&lt;not&gt;&lt;varequal respident=""RESPONSE""&gt;3&lt;/varequal&gt;&lt;/not&gt;")&amp;"&lt;/conditionvar&gt;&lt;setvar action=""Add""&gt;"&amp;(Saisie_Questions!$N5/$I5)&amp;"&lt;/setvar&gt;"&amp;IF(AW5&lt;&gt;"","&lt;displayfeedback feedbacktype=""Response"" linkrefid=""response_3""/&gt;",IF($AS5&lt;&gt;"","&lt;displayfeedback feedbacktype=""Response"" linkrefid=""qti_feedback_trigger""/&gt;",""))&amp;"&lt;/respcondition&gt;",""))),"")</f>
      </c>
      <c r="AN5" s="46">
        <f>IF($B5,IF(P5="","",IF($C5="qcu",IF(OR(X5,AX5&lt;&gt;"",$AS5&lt;&gt;""),"      &lt;respcondition continue=""Yes""&gt;&lt;conditionvar&gt;&lt;varequal respident=""RESPONSE""&gt;4&lt;/varequal&gt;&lt;/conditionvar&gt;"&amp;"&lt;setvar action=""Add""&gt;"&amp;IF(X5,$H5,0)&amp;"&lt;/setvar&gt;"&amp;IF(AX5&lt;&gt;"","&lt;displayfeedback feedbacktype=""Response"" linkrefid=""response_4""/&gt;",IF($AS5&lt;&gt;"","&lt;displayfeedback feedbacktype=""Response"" linkrefid=""qti_feedback_trigger""/&gt;",""))&amp;"&lt;/respcondition&gt;",""),IF(OR(X5,AX5&lt;&gt;"",$AS5&lt;&gt;""),"      &lt;respcondition continue=""Yes""&gt;&lt;conditionvar&gt;"&amp;IF(X5,"&lt;varequal respident=""RESPONSE""&gt;4&lt;/varequal&gt;","&lt;not&gt;&lt;varequal respident=""RESPONSE""&gt;4&lt;/varequal&gt;&lt;/not&gt;")&amp;"&lt;/conditionvar&gt;&lt;setvar action=""Add""&gt;"&amp;(Saisie_Questions!$N5/$I5)&amp;"&lt;/setvar&gt;"&amp;IF(AX5&lt;&gt;"","&lt;displayfeedback feedbacktype=""Response"" linkrefid=""response_4""/&gt;",IF($AS5&lt;&gt;"","&lt;displayfeedback feedbacktype=""Response"" linkrefid=""qti_feedback_trigger""/&gt;",""))&amp;"&lt;/respcondition&gt;",""))),"")</f>
      </c>
      <c r="AO5" s="46">
        <f>IF($B5,IF(Q5="","",IF($C5="qcu",IF(OR(Y5,AY5&lt;&gt;"",$AS5&lt;&gt;""),"      &lt;respcondition continue=""Yes""&gt;&lt;conditionvar&gt;&lt;varequal respident=""RESPONSE""&gt;5&lt;/varequal&gt;&lt;/conditionvar&gt;"&amp;"&lt;setvar action=""Add""&gt;"&amp;IF(Y5,$H5,0)&amp;"&lt;/setvar&gt;"&amp;IF(AY5&lt;&gt;"","&lt;displayfeedback feedbacktype=""Response"" linkrefid=""response_5""/&gt;",IF($AS5&lt;&gt;"","&lt;displayfeedback feedbacktype=""Response"" linkrefid=""qti_feedback_trigger""/&gt;",""))&amp;"&lt;/respcondition&gt;",""),IF(OR(Y5,AY5&lt;&gt;"",$AS5&lt;&gt;""),"      &lt;respcondition continue=""Yes""&gt;&lt;conditionvar&gt;"&amp;IF(Y5,"&lt;varequal respident=""RESPONSE""&gt;5&lt;/varequal&gt;","&lt;not&gt;&lt;varequal respident=""RESPONSE""&gt;5&lt;/varequal&gt;&lt;/not&gt;")&amp;"&lt;/conditionvar&gt;&lt;setvar action=""Add""&gt;"&amp;(Saisie_Questions!$N5/$I5)&amp;"&lt;/setvar&gt;"&amp;IF(AY5&lt;&gt;"","&lt;displayfeedback feedbacktype=""Response"" linkrefid=""response_5""/&gt;",IF($AS5&lt;&gt;"","&lt;displayfeedback feedbacktype=""Response"" linkrefid=""qti_feedback_trigger""/&gt;",""))&amp;"&lt;/respcondition&gt;",""))),"")</f>
      </c>
      <c r="AP5" s="46">
        <f>IF($B5,IF(R5="","",IF($C5="qcu",IF(OR(Z5,AZ5&lt;&gt;"",$AS5&lt;&gt;""),"      &lt;respcondition continue=""Yes""&gt;&lt;conditionvar&gt;&lt;varequal respident=""RESPONSE""&gt;6&lt;/varequal&gt;&lt;/conditionvar&gt;"&amp;"&lt;setvar action=""Add""&gt;"&amp;IF(Z5,$H5,0)&amp;"&lt;/setvar&gt;"&amp;IF(AZ5&lt;&gt;"","&lt;displayfeedback feedbacktype=""Response"" linkrefid=""response_6""/&gt;",IF($AS5&lt;&gt;"","&lt;displayfeedback feedbacktype=""Response"" linkrefid=""qti_feedback_trigger""/&gt;",""))&amp;"&lt;/respcondition&gt;",""),IF(OR(Z5,AZ5&lt;&gt;"",$AS5&lt;&gt;""),"      &lt;respcondition continue=""Yes""&gt;&lt;conditionvar&gt;"&amp;IF(Z5,"&lt;varequal respident=""RESPONSE""&gt;6&lt;/varequal&gt;","&lt;not&gt;&lt;varequal respident=""RESPONSE""&gt;6&lt;/varequal&gt;&lt;/not&gt;")&amp;"&lt;/conditionvar&gt;&lt;setvar action=""Add""&gt;"&amp;(Saisie_Questions!$N5/$I5)&amp;"&lt;/setvar&gt;"&amp;IF(AZ5&lt;&gt;"","&lt;displayfeedback feedbacktype=""Response"" linkrefid=""response_6""/&gt;",IF($AS5&lt;&gt;"","&lt;displayfeedback feedbacktype=""Response"" linkrefid=""qti_feedback_trigger""/&gt;",""))&amp;"&lt;/respcondition&gt;",""))),"")</f>
      </c>
      <c r="AQ5" s="46">
        <f>IF($B5,IF(S5="","",IF($C5="qcu",IF(OR(AA5,BA5&lt;&gt;"",$AS5&lt;&gt;""),"      &lt;respcondition continue=""Yes""&gt;&lt;conditionvar&gt;&lt;varequal respident=""RESPONSE""&gt;7&lt;/varequal&gt;&lt;/conditionvar&gt;"&amp;"&lt;setvar action=""Add""&gt;"&amp;IF(AA5,$H5,0)&amp;"&lt;/setvar&gt;"&amp;IF(BA5&lt;&gt;"","&lt;displayfeedback feedbacktype=""Response"" linkrefid=""response_7""/&gt;",IF($AS5&lt;&gt;"","&lt;displayfeedback feedbacktype=""Response"" linkrefid=""qti_feedback_trigger""/&gt;",""))&amp;"&lt;/respcondition&gt;",""),IF(OR(AA5,BA5&lt;&gt;"",$AS5&lt;&gt;""),"      &lt;respcondition continue=""Yes""&gt;&lt;conditionvar&gt;"&amp;IF(AA5,"&lt;varequal respident=""RESPONSE""&gt;7&lt;/varequal&gt;","&lt;not&gt;&lt;varequal respident=""RESPONSE""&gt;7&lt;/varequal&gt;&lt;/not&gt;")&amp;"&lt;/conditionvar&gt;&lt;setvar action=""Add""&gt;"&amp;(Saisie_Questions!$N5/$I5)&amp;"&lt;/setvar&gt;"&amp;IF(BA5&lt;&gt;"","&lt;displayfeedback feedbacktype=""Response"" linkrefid=""response_7""/&gt;",IF($AS5&lt;&gt;"","&lt;displayfeedback feedbacktype=""Response"" linkrefid=""qti_feedback_trigger""/&gt;",""))&amp;"&lt;/respcondition&gt;",""))),"")</f>
      </c>
      <c r="AR5" s="46">
        <f>IF(A5="","",SUBSTITUTE(SUBSTITUTE(SUBSTITUTE(SUBSTITUTE(SUBSTITUTE(IF(Saisie_Questions!P5&lt;&gt;"",Saisie_Questions!P5,Interface_Generation!$B$5),"&amp;","&amp;amp;"),"&lt;","&amp;lt;"),"&gt;","&amp;gt;"),CHAR(34),"&amp;quot;"),"'","&amp;apos;"))</f>
        <v/>
      </c>
      <c r="AS5" s="46">
        <f>IF(Saisie_Questions!Q5="","",SUBSTITUTE(SUBSTITUTE(SUBSTITUTE(SUBSTITUTE(SUBSTITUTE(Saisie_Questions!Q5,"&amp;","&amp;amp;"),"&lt;","&amp;lt;"),"&gt;","&amp;gt;"),CHAR(34),"&amp;quot;"),"'","&amp;apos;"))</f>
        <v/>
      </c>
      <c r="AT5" s="46">
        <f>IF(Saisie_Questions!R5="","",SUBSTITUTE(SUBSTITUTE(SUBSTITUTE(SUBSTITUTE(SUBSTITUTE(Saisie_Questions!R5,"&amp;","&amp;amp;"),"&lt;","&amp;lt;"),"&gt;","&amp;gt;"),CHAR(34),"&amp;quot;"),"'","&amp;apos;"))</f>
        <v/>
      </c>
      <c r="AU5" s="46">
        <f>IF(Saisie_Questions!S5="","",SUBSTITUTE(SUBSTITUTE(SUBSTITUTE(SUBSTITUTE(SUBSTITUTE(Saisie_Questions!S5,"&amp;","&amp;amp;"),"&lt;","&amp;lt;"),"&gt;","&amp;gt;"),CHAR(34),"&amp;quot;"),"'","&amp;apos;"))</f>
        <v/>
      </c>
      <c r="AV5" s="46">
        <f>IF(Saisie_Questions!T5="","",SUBSTITUTE(SUBSTITUTE(SUBSTITUTE(SUBSTITUTE(SUBSTITUTE(Saisie_Questions!T5,"&amp;","&amp;amp;"),"&lt;","&amp;lt;"),"&gt;","&amp;gt;"),CHAR(34),"&amp;quot;"),"'","&amp;apos;"))</f>
        <v/>
      </c>
      <c r="AW5" s="46">
        <f>IF(Saisie_Questions!U5="","",SUBSTITUTE(SUBSTITUTE(SUBSTITUTE(SUBSTITUTE(SUBSTITUTE(Saisie_Questions!U5,"&amp;","&amp;amp;"),"&lt;","&amp;lt;"),"&gt;","&amp;gt;"),CHAR(34),"&amp;quot;"),"'","&amp;apos;"))</f>
        <v/>
      </c>
      <c r="AX5" s="46">
        <f>IF(Saisie_Questions!V5="","",SUBSTITUTE(SUBSTITUTE(SUBSTITUTE(SUBSTITUTE(SUBSTITUTE(Saisie_Questions!V5,"&amp;","&amp;amp;"),"&lt;","&amp;lt;"),"&gt;","&amp;gt;"),CHAR(34),"&amp;quot;"),"'","&amp;apos;"))</f>
        <v/>
      </c>
      <c r="AY5" s="46">
        <f>IF(Saisie_Questions!W5="","",SUBSTITUTE(SUBSTITUTE(SUBSTITUTE(SUBSTITUTE(SUBSTITUTE(Saisie_Questions!W5,"&amp;","&amp;amp;"),"&lt;","&amp;lt;"),"&gt;","&amp;gt;"),CHAR(34),"&amp;quot;"),"'","&amp;apos;"))</f>
        <v/>
      </c>
      <c r="AZ5" s="46">
        <f>IF(Saisie_Questions!X5="","",SUBSTITUTE(SUBSTITUTE(SUBSTITUTE(SUBSTITUTE(SUBSTITUTE(Saisie_Questions!X5,"&amp;","&amp;amp;"),"&lt;","&amp;lt;"),"&gt;","&amp;gt;"),CHAR(34),"&amp;quot;"),"'","&amp;apos;"))</f>
        <v/>
      </c>
      <c r="BA5" s="46">
        <f>IF(Saisie_Questions!Y5="","",SUBSTITUTE(SUBSTITUTE(SUBSTITUTE(SUBSTITUTE(SUBSTITUTE(Saisie_Questions!Y5,"&amp;","&amp;amp;"),"&lt;","&amp;lt;"),"&gt;","&amp;gt;"),CHAR(34),"&amp;quot;"),"'","&amp;apos;"))</f>
        <v/>
      </c>
      <c r="BB5" s="46">
        <f>IF($B5,IF($AS5="","","    &lt;itemfeedback ident=""response_allcorrect"" view=""All""&gt;&lt;flow_mat&gt;&lt;material&gt;&lt;mattext texttype=""text/html""&gt;"&amp;$AS5&amp;"&lt;/mattext&gt;&lt;/material&gt;&lt;/flow_mat&gt;&lt;/itemfeedback&gt;"&amp;"    &lt;itemfeedback ident=""response_onenotcorrect"" view=""All""&gt;&lt;flow_mat&gt;&lt;material&gt;&lt;mattext texttype=""text/html""&gt;"&amp;$AS5&amp;"&lt;/mattext&gt;&lt;/material&gt;&lt;/flow_mat&gt;&lt;/itemfeedback&gt;"),"")</f>
      </c>
      <c r="BC5" s="46">
        <f>IF($B5,IF(AT5="","","    &lt;itemfeedback ident=""response_0"" view=""All""&gt;&lt;flow_mat&gt;&lt;material&gt;&lt;mattext texttype=""text/html""&gt;"&amp;AT5&amp;"&lt;/mattext&gt;&lt;/material&gt;&lt;/flow_mat&gt;&lt;/itemfeedback&gt;"),"")</f>
      </c>
      <c r="BD5" s="46">
        <f>IF($B5,IF(AU5="","","    &lt;itemfeedback ident=""response_1"" view=""All""&gt;&lt;flow_mat&gt;&lt;material&gt;&lt;mattext texttype=""text/html""&gt;"&amp;AU5&amp;"&lt;/mattext&gt;&lt;/material&gt;&lt;/flow_mat&gt;&lt;/itemfeedback&gt;"),"")</f>
      </c>
      <c r="BE5" s="46">
        <f>IF($B5,IF(AV5="","","    &lt;itemfeedback ident=""response_2"" view=""All""&gt;&lt;flow_mat&gt;&lt;material&gt;&lt;mattext texttype=""text/html""&gt;"&amp;AV5&amp;"&lt;/mattext&gt;&lt;/material&gt;&lt;/flow_mat&gt;&lt;/itemfeedback&gt;"),"")</f>
      </c>
      <c r="BF5" s="46">
        <f>IF($B5,IF(AW5="","","    &lt;itemfeedback ident=""response_3"" view=""All""&gt;&lt;flow_mat&gt;&lt;material&gt;&lt;mattext texttype=""text/html""&gt;"&amp;AW5&amp;"&lt;/mattext&gt;&lt;/material&gt;&lt;/flow_mat&gt;&lt;/itemfeedback&gt;"),"")</f>
      </c>
      <c r="BG5" s="46">
        <f>IF($B5,IF(AX5="","","    &lt;itemfeedback ident=""response_4"" view=""All""&gt;&lt;flow_mat&gt;&lt;material&gt;&lt;mattext texttype=""text/html""&gt;"&amp;AX5&amp;"&lt;/mattext&gt;&lt;/material&gt;&lt;/flow_mat&gt;&lt;/itemfeedback&gt;"),"")</f>
      </c>
      <c r="BH5" s="46">
        <f>IF($B5,IF(AY5="","","    &lt;itemfeedback ident=""response_5"" view=""All""&gt;&lt;flow_mat&gt;&lt;material&gt;&lt;mattext texttype=""text/html""&gt;"&amp;AY5&amp;"&lt;/mattext&gt;&lt;/material&gt;&lt;/flow_mat&gt;&lt;/itemfeedback&gt;"),"")</f>
      </c>
      <c r="BI5" s="46">
        <f>IF($B5,IF(AZ5="","","    &lt;itemfeedback ident=""response_6"" view=""All""&gt;&lt;flow_mat&gt;&lt;material&gt;&lt;mattext texttype=""text/html""&gt;"&amp;AZ5&amp;"&lt;/mattext&gt;&lt;/material&gt;&lt;/flow_mat&gt;&lt;/itemfeedback&gt;"),"")</f>
      </c>
      <c r="BJ5" s="46">
        <f>IF($B5,IF(BA5="","","    &lt;itemfeedback ident=""response_7"" view=""All""&gt;&lt;flow_mat&gt;&lt;material&gt;&lt;mattext texttype=""text/html""&gt;"&amp;BA5&amp;"&lt;/mattext&gt;&lt;/material&gt;&lt;/flow_mat&gt;&lt;/itemfeedback&gt;"),"")</f>
      </c>
    </row>
    <row r="6" ht="18" customHeight="1" s="17">
      <c r="A6" s="46">
        <f>Saisie_Questions!A6</f>
        <v/>
      </c>
      <c r="B6" s="46">
        <f>Saisie_Questions!O6="OK"</f>
        <v/>
      </c>
      <c r="C6" s="46">
        <f>LOWER(TRIM(Saisie_Questions!B6))</f>
        <v/>
      </c>
      <c r="D6" s="46">
        <f>IF(C6="qcu","SINGLE CHOICE QUESTION","MULTIPLE CHOICE QUESTION")</f>
        <v/>
      </c>
      <c r="E6" s="46">
        <f>IF(C6="qcu","Single","Multiple")</f>
        <v/>
      </c>
      <c r="F6" s="46">
        <f>IF(A6="","",SUBSTITUTE(SUBSTITUTE(SUBSTITUTE(SUBSTITUTE(SUBSTITUTE(IF(Saisie_Questions!C6="", "Question "&amp;A6, Saisie_Questions!C6),"&amp;","&amp;amp;"),"&lt;","&amp;lt;"),"&gt;","&amp;gt;"),CHAR(34),"&amp;quot;"),"'","&amp;apos;"))</f>
        <v/>
      </c>
      <c r="G6" s="46">
        <f>IF(A6="","",SUBSTITUTE(SUBSTITUTE(SUBSTITUTE(SUBSTITUTE(SUBSTITUTE(Saisie_Questions!D6,"&amp;","&amp;amp;"),"&lt;","&amp;lt;"),"&gt;","&amp;gt;"),CHAR(34),"&amp;quot;"),"'","&amp;apos;"))</f>
        <v/>
      </c>
      <c r="H6" s="46">
        <f>Saisie_Questions!N6</f>
        <v/>
      </c>
      <c r="I6" s="46">
        <f>IF(Saisie_Questions!E6="",0,1)+IF(Saisie_Questions!F6="",0,1)+IF(Saisie_Questions!G6="",0,1)+IF(Saisie_Questions!H6="",0,1)+IF(Saisie_Questions!I6="",0,1)+IF(Saisie_Questions!J6="",0,1)+IF(Saisie_Questions!K6="",0,1)+IF(Saisie_Questions!L6="",0,1)</f>
        <v/>
      </c>
      <c r="J6" s="46">
        <f>Saisie_Questions!M6</f>
        <v/>
      </c>
      <c r="K6" s="46">
        <f>Saisie_Questions!O6</f>
        <v/>
      </c>
      <c r="L6" s="46">
        <f>IF(Saisie_Questions!E6="","",SUBSTITUTE(SUBSTITUTE(SUBSTITUTE(SUBSTITUTE(SUBSTITUTE(Saisie_Questions!E6,"&amp;","&amp;amp;"),"&lt;","&amp;lt;"),"&gt;","&amp;gt;"),CHAR(34),"&amp;quot;"),"'","&amp;apos;"))</f>
        <v/>
      </c>
      <c r="M6" s="46">
        <f>IF(Saisie_Questions!F6="","",SUBSTITUTE(SUBSTITUTE(SUBSTITUTE(SUBSTITUTE(SUBSTITUTE(Saisie_Questions!F6,"&amp;","&amp;amp;"),"&lt;","&amp;lt;"),"&gt;","&amp;gt;"),CHAR(34),"&amp;quot;"),"'","&amp;apos;"))</f>
        <v/>
      </c>
      <c r="N6" s="46">
        <f>IF(Saisie_Questions!G6="","",SUBSTITUTE(SUBSTITUTE(SUBSTITUTE(SUBSTITUTE(SUBSTITUTE(Saisie_Questions!G6,"&amp;","&amp;amp;"),"&lt;","&amp;lt;"),"&gt;","&amp;gt;"),CHAR(34),"&amp;quot;"),"'","&amp;apos;"))</f>
        <v/>
      </c>
      <c r="O6" s="46">
        <f>IF(Saisie_Questions!H6="","",SUBSTITUTE(SUBSTITUTE(SUBSTITUTE(SUBSTITUTE(SUBSTITUTE(Saisie_Questions!H6,"&amp;","&amp;amp;"),"&lt;","&amp;lt;"),"&gt;","&amp;gt;"),CHAR(34),"&amp;quot;"),"'","&amp;apos;"))</f>
        <v/>
      </c>
      <c r="P6" s="46">
        <f>IF(Saisie_Questions!I6="","",SUBSTITUTE(SUBSTITUTE(SUBSTITUTE(SUBSTITUTE(SUBSTITUTE(Saisie_Questions!I6,"&amp;","&amp;amp;"),"&lt;","&amp;lt;"),"&gt;","&amp;gt;"),CHAR(34),"&amp;quot;"),"'","&amp;apos;"))</f>
        <v/>
      </c>
      <c r="Q6" s="46">
        <f>IF(Saisie_Questions!J6="","",SUBSTITUTE(SUBSTITUTE(SUBSTITUTE(SUBSTITUTE(SUBSTITUTE(Saisie_Questions!J6,"&amp;","&amp;amp;"),"&lt;","&amp;lt;"),"&gt;","&amp;gt;"),CHAR(34),"&amp;quot;"),"'","&amp;apos;"))</f>
        <v/>
      </c>
      <c r="R6" s="46">
        <f>IF(Saisie_Questions!K6="","",SUBSTITUTE(SUBSTITUTE(SUBSTITUTE(SUBSTITUTE(SUBSTITUTE(Saisie_Questions!K6,"&amp;","&amp;amp;"),"&lt;","&amp;lt;"),"&gt;","&amp;gt;"),CHAR(34),"&amp;quot;"),"'","&amp;apos;"))</f>
        <v/>
      </c>
      <c r="S6" s="46">
        <f>IF(Saisie_Questions!L6="","",SUBSTITUTE(SUBSTITUTE(SUBSTITUTE(SUBSTITUTE(SUBSTITUTE(Saisie_Questions!L6,"&amp;","&amp;amp;"),"&lt;","&amp;lt;"),"&gt;","&amp;gt;"),CHAR(34),"&amp;quot;"),"'","&amp;apos;"))</f>
        <v/>
      </c>
      <c r="T6" s="46">
        <f>ISNUMBER(SEARCH(";"&amp;1&amp;";",";"&amp;$J6&amp;";"))</f>
        <v/>
      </c>
      <c r="U6" s="46">
        <f>ISNUMBER(SEARCH(";"&amp;2&amp;";",";"&amp;$J6&amp;";"))</f>
        <v/>
      </c>
      <c r="V6" s="46">
        <f>ISNUMBER(SEARCH(";"&amp;3&amp;";",";"&amp;$J6&amp;";"))</f>
        <v/>
      </c>
      <c r="W6" s="46">
        <f>ISNUMBER(SEARCH(";"&amp;4&amp;";",";"&amp;$J6&amp;";"))</f>
        <v/>
      </c>
      <c r="X6" s="46">
        <f>ISNUMBER(SEARCH(";"&amp;5&amp;";",";"&amp;$J6&amp;";"))</f>
        <v/>
      </c>
      <c r="Y6" s="46">
        <f>ISNUMBER(SEARCH(";"&amp;6&amp;";",";"&amp;$J6&amp;";"))</f>
        <v/>
      </c>
      <c r="Z6" s="46">
        <f>ISNUMBER(SEARCH(";"&amp;7&amp;";",";"&amp;$J6&amp;";"))</f>
        <v/>
      </c>
      <c r="AA6" s="46">
        <f>ISNUMBER(SEARCH(";"&amp;8&amp;";",";"&amp;$J6&amp;";"))</f>
        <v/>
      </c>
      <c r="AB6" s="46">
        <f>IF($B6,IF(L6="","","        &lt;response_label ident=""0""&gt;&lt;material&gt;&lt;mattext texttype=""text/html""&gt;"&amp;L6&amp;"&lt;/mattext&gt;&lt;/material&gt;&lt;/response_label&gt;"),"")</f>
        <v/>
      </c>
      <c r="AC6" s="46">
        <f>IF($B6,IF(M6="","","        &lt;response_label ident=""1""&gt;&lt;material&gt;&lt;mattext texttype=""text/html""&gt;"&amp;M6&amp;"&lt;/mattext&gt;&lt;/material&gt;&lt;/response_label&gt;"),"")</f>
        <v/>
      </c>
      <c r="AD6" s="46">
        <f>IF($B6,IF(N6="","","        &lt;response_label ident=""2""&gt;&lt;material&gt;&lt;mattext texttype=""text/html""&gt;"&amp;N6&amp;"&lt;/mattext&gt;&lt;/material&gt;&lt;/response_label&gt;"),"")</f>
        <v/>
      </c>
      <c r="AE6" s="46">
        <f>IF($B6,IF(O6="","","        &lt;response_label ident=""3""&gt;&lt;material&gt;&lt;mattext texttype=""text/html""&gt;"&amp;O6&amp;"&lt;/mattext&gt;&lt;/material&gt;&lt;/response_label&gt;"),"")</f>
        <v/>
      </c>
      <c r="AF6" s="46">
        <f>IF($B6,IF(P6="","","        &lt;response_label ident=""4""&gt;&lt;material&gt;&lt;mattext texttype=""text/html""&gt;"&amp;P6&amp;"&lt;/mattext&gt;&lt;/material&gt;&lt;/response_label&gt;"),"")</f>
        <v/>
      </c>
      <c r="AG6" s="46">
        <f>IF($B6,IF(Q6="","","        &lt;response_label ident=""5""&gt;&lt;material&gt;&lt;mattext texttype=""text/html""&gt;"&amp;Q6&amp;"&lt;/mattext&gt;&lt;/material&gt;&lt;/response_label&gt;"),"")</f>
        <v/>
      </c>
      <c r="AH6" s="46">
        <f>IF($B6,IF(R6="","","        &lt;response_label ident=""6""&gt;&lt;material&gt;&lt;mattext texttype=""text/html""&gt;"&amp;R6&amp;"&lt;/mattext&gt;&lt;/material&gt;&lt;/response_label&gt;"),"")</f>
        <v/>
      </c>
      <c r="AI6" s="46">
        <f>IF($B6,IF(S6="","","        &lt;response_label ident=""7""&gt;&lt;material&gt;&lt;mattext texttype=""text/html""&gt;"&amp;S6&amp;"&lt;/mattext&gt;&lt;/material&gt;&lt;/response_label&gt;"),"")</f>
        <v/>
      </c>
      <c r="AJ6" s="46">
        <f>IF($B6,IF(L6="","",IF($C6="qcu",IF(OR(T6,AT6&lt;&gt;"",$AS6&lt;&gt;""),"      &lt;respcondition continue=""Yes""&gt;&lt;conditionvar&gt;&lt;varequal respident=""RESPONSE""&gt;0&lt;/varequal&gt;&lt;/conditionvar&gt;"&amp;"&lt;setvar action=""Add""&gt;"&amp;IF(T6,$H6,0)&amp;"&lt;/setvar&gt;"&amp;IF(AT6&lt;&gt;"","&lt;displayfeedback feedbacktype=""Response"" linkrefid=""response_0""/&gt;",IF($AS6&lt;&gt;"","&lt;displayfeedback feedbacktype=""Response"" linkrefid=""qti_feedback_trigger""/&gt;",""))&amp;"&lt;/respcondition&gt;",""),IF(OR(T6,AT6&lt;&gt;"",$AS6&lt;&gt;""),"      &lt;respcondition continue=""Yes""&gt;&lt;conditionvar&gt;"&amp;IF(T6,"&lt;varequal respident=""RESPONSE""&gt;0&lt;/varequal&gt;","&lt;not&gt;&lt;varequal respident=""RESPONSE""&gt;0&lt;/varequal&gt;&lt;/not&gt;")&amp;"&lt;/conditionvar&gt;&lt;setvar action=""Add""&gt;"&amp;(Saisie_Questions!$N6/$I6)&amp;"&lt;/setvar&gt;"&amp;IF(AT6&lt;&gt;"","&lt;displayfeedback feedbacktype=""Response"" linkrefid=""response_0""/&gt;",IF($AS6&lt;&gt;"","&lt;displayfeedback feedbacktype=""Response"" linkrefid=""qti_feedback_trigger""/&gt;",""))&amp;"&lt;/respcondition&gt;",""))),"")</f>
      </c>
      <c r="AK6" s="46">
        <f>IF($B6,IF(M6="","",IF($C6="qcu",IF(OR(U6,AU6&lt;&gt;"",$AS6&lt;&gt;""),"      &lt;respcondition continue=""Yes""&gt;&lt;conditionvar&gt;&lt;varequal respident=""RESPONSE""&gt;1&lt;/varequal&gt;&lt;/conditionvar&gt;"&amp;"&lt;setvar action=""Add""&gt;"&amp;IF(U6,$H6,0)&amp;"&lt;/setvar&gt;"&amp;IF(AU6&lt;&gt;"","&lt;displayfeedback feedbacktype=""Response"" linkrefid=""response_1""/&gt;",IF($AS6&lt;&gt;"","&lt;displayfeedback feedbacktype=""Response"" linkrefid=""qti_feedback_trigger""/&gt;",""))&amp;"&lt;/respcondition&gt;",""),IF(OR(U6,AU6&lt;&gt;"",$AS6&lt;&gt;""),"      &lt;respcondition continue=""Yes""&gt;&lt;conditionvar&gt;"&amp;IF(U6,"&lt;varequal respident=""RESPONSE""&gt;1&lt;/varequal&gt;","&lt;not&gt;&lt;varequal respident=""RESPONSE""&gt;1&lt;/varequal&gt;&lt;/not&gt;")&amp;"&lt;/conditionvar&gt;&lt;setvar action=""Add""&gt;"&amp;(Saisie_Questions!$N6/$I6)&amp;"&lt;/setvar&gt;"&amp;IF(AU6&lt;&gt;"","&lt;displayfeedback feedbacktype=""Response"" linkrefid=""response_1""/&gt;",IF($AS6&lt;&gt;"","&lt;displayfeedback feedbacktype=""Response"" linkrefid=""qti_feedback_trigger""/&gt;",""))&amp;"&lt;/respcondition&gt;",""))),"")</f>
      </c>
      <c r="AL6" s="46">
        <f>IF($B6,IF(N6="","",IF($C6="qcu",IF(OR(V6,AV6&lt;&gt;"",$AS6&lt;&gt;""),"      &lt;respcondition continue=""Yes""&gt;&lt;conditionvar&gt;&lt;varequal respident=""RESPONSE""&gt;2&lt;/varequal&gt;&lt;/conditionvar&gt;"&amp;"&lt;setvar action=""Add""&gt;"&amp;IF(V6,$H6,0)&amp;"&lt;/setvar&gt;"&amp;IF(AV6&lt;&gt;"","&lt;displayfeedback feedbacktype=""Response"" linkrefid=""response_2""/&gt;",IF($AS6&lt;&gt;"","&lt;displayfeedback feedbacktype=""Response"" linkrefid=""qti_feedback_trigger""/&gt;",""))&amp;"&lt;/respcondition&gt;",""),IF(OR(V6,AV6&lt;&gt;"",$AS6&lt;&gt;""),"      &lt;respcondition continue=""Yes""&gt;&lt;conditionvar&gt;"&amp;IF(V6,"&lt;varequal respident=""RESPONSE""&gt;2&lt;/varequal&gt;","&lt;not&gt;&lt;varequal respident=""RESPONSE""&gt;2&lt;/varequal&gt;&lt;/not&gt;")&amp;"&lt;/conditionvar&gt;&lt;setvar action=""Add""&gt;"&amp;(Saisie_Questions!$N6/$I6)&amp;"&lt;/setvar&gt;"&amp;IF(AV6&lt;&gt;"","&lt;displayfeedback feedbacktype=""Response"" linkrefid=""response_2""/&gt;",IF($AS6&lt;&gt;"","&lt;displayfeedback feedbacktype=""Response"" linkrefid=""qti_feedback_trigger""/&gt;",""))&amp;"&lt;/respcondition&gt;",""))),"")</f>
      </c>
      <c r="AM6" s="46">
        <f>IF($B6,IF(O6="","",IF($C6="qcu",IF(OR(W6,AW6&lt;&gt;"",$AS6&lt;&gt;""),"      &lt;respcondition continue=""Yes""&gt;&lt;conditionvar&gt;&lt;varequal respident=""RESPONSE""&gt;3&lt;/varequal&gt;&lt;/conditionvar&gt;"&amp;"&lt;setvar action=""Add""&gt;"&amp;IF(W6,$H6,0)&amp;"&lt;/setvar&gt;"&amp;IF(AW6&lt;&gt;"","&lt;displayfeedback feedbacktype=""Response"" linkrefid=""response_3""/&gt;",IF($AS6&lt;&gt;"","&lt;displayfeedback feedbacktype=""Response"" linkrefid=""qti_feedback_trigger""/&gt;",""))&amp;"&lt;/respcondition&gt;",""),IF(OR(W6,AW6&lt;&gt;"",$AS6&lt;&gt;""),"      &lt;respcondition continue=""Yes""&gt;&lt;conditionvar&gt;"&amp;IF(W6,"&lt;varequal respident=""RESPONSE""&gt;3&lt;/varequal&gt;","&lt;not&gt;&lt;varequal respident=""RESPONSE""&gt;3&lt;/varequal&gt;&lt;/not&gt;")&amp;"&lt;/conditionvar&gt;&lt;setvar action=""Add""&gt;"&amp;(Saisie_Questions!$N6/$I6)&amp;"&lt;/setvar&gt;"&amp;IF(AW6&lt;&gt;"","&lt;displayfeedback feedbacktype=""Response"" linkrefid=""response_3""/&gt;",IF($AS6&lt;&gt;"","&lt;displayfeedback feedbacktype=""Response"" linkrefid=""qti_feedback_trigger""/&gt;",""))&amp;"&lt;/respcondition&gt;",""))),"")</f>
      </c>
      <c r="AN6" s="46">
        <f>IF($B6,IF(P6="","",IF($C6="qcu",IF(OR(X6,AX6&lt;&gt;"",$AS6&lt;&gt;""),"      &lt;respcondition continue=""Yes""&gt;&lt;conditionvar&gt;&lt;varequal respident=""RESPONSE""&gt;4&lt;/varequal&gt;&lt;/conditionvar&gt;"&amp;"&lt;setvar action=""Add""&gt;"&amp;IF(X6,$H6,0)&amp;"&lt;/setvar&gt;"&amp;IF(AX6&lt;&gt;"","&lt;displayfeedback feedbacktype=""Response"" linkrefid=""response_4""/&gt;",IF($AS6&lt;&gt;"","&lt;displayfeedback feedbacktype=""Response"" linkrefid=""qti_feedback_trigger""/&gt;",""))&amp;"&lt;/respcondition&gt;",""),IF(OR(X6,AX6&lt;&gt;"",$AS6&lt;&gt;""),"      &lt;respcondition continue=""Yes""&gt;&lt;conditionvar&gt;"&amp;IF(X6,"&lt;varequal respident=""RESPONSE""&gt;4&lt;/varequal&gt;","&lt;not&gt;&lt;varequal respident=""RESPONSE""&gt;4&lt;/varequal&gt;&lt;/not&gt;")&amp;"&lt;/conditionvar&gt;&lt;setvar action=""Add""&gt;"&amp;(Saisie_Questions!$N6/$I6)&amp;"&lt;/setvar&gt;"&amp;IF(AX6&lt;&gt;"","&lt;displayfeedback feedbacktype=""Response"" linkrefid=""response_4""/&gt;",IF($AS6&lt;&gt;"","&lt;displayfeedback feedbacktype=""Response"" linkrefid=""qti_feedback_trigger""/&gt;",""))&amp;"&lt;/respcondition&gt;",""))),"")</f>
      </c>
      <c r="AO6" s="46">
        <f>IF($B6,IF(Q6="","",IF($C6="qcu",IF(OR(Y6,AY6&lt;&gt;"",$AS6&lt;&gt;""),"      &lt;respcondition continue=""Yes""&gt;&lt;conditionvar&gt;&lt;varequal respident=""RESPONSE""&gt;5&lt;/varequal&gt;&lt;/conditionvar&gt;"&amp;"&lt;setvar action=""Add""&gt;"&amp;IF(Y6,$H6,0)&amp;"&lt;/setvar&gt;"&amp;IF(AY6&lt;&gt;"","&lt;displayfeedback feedbacktype=""Response"" linkrefid=""response_5""/&gt;",IF($AS6&lt;&gt;"","&lt;displayfeedback feedbacktype=""Response"" linkrefid=""qti_feedback_trigger""/&gt;",""))&amp;"&lt;/respcondition&gt;",""),IF(OR(Y6,AY6&lt;&gt;"",$AS6&lt;&gt;""),"      &lt;respcondition continue=""Yes""&gt;&lt;conditionvar&gt;"&amp;IF(Y6,"&lt;varequal respident=""RESPONSE""&gt;5&lt;/varequal&gt;","&lt;not&gt;&lt;varequal respident=""RESPONSE""&gt;5&lt;/varequal&gt;&lt;/not&gt;")&amp;"&lt;/conditionvar&gt;&lt;setvar action=""Add""&gt;"&amp;(Saisie_Questions!$N6/$I6)&amp;"&lt;/setvar&gt;"&amp;IF(AY6&lt;&gt;"","&lt;displayfeedback feedbacktype=""Response"" linkrefid=""response_5""/&gt;",IF($AS6&lt;&gt;"","&lt;displayfeedback feedbacktype=""Response"" linkrefid=""qti_feedback_trigger""/&gt;",""))&amp;"&lt;/respcondition&gt;",""))),"")</f>
      </c>
      <c r="AP6" s="46">
        <f>IF($B6,IF(R6="","",IF($C6="qcu",IF(OR(Z6,AZ6&lt;&gt;"",$AS6&lt;&gt;""),"      &lt;respcondition continue=""Yes""&gt;&lt;conditionvar&gt;&lt;varequal respident=""RESPONSE""&gt;6&lt;/varequal&gt;&lt;/conditionvar&gt;"&amp;"&lt;setvar action=""Add""&gt;"&amp;IF(Z6,$H6,0)&amp;"&lt;/setvar&gt;"&amp;IF(AZ6&lt;&gt;"","&lt;displayfeedback feedbacktype=""Response"" linkrefid=""response_6""/&gt;",IF($AS6&lt;&gt;"","&lt;displayfeedback feedbacktype=""Response"" linkrefid=""qti_feedback_trigger""/&gt;",""))&amp;"&lt;/respcondition&gt;",""),IF(OR(Z6,AZ6&lt;&gt;"",$AS6&lt;&gt;""),"      &lt;respcondition continue=""Yes""&gt;&lt;conditionvar&gt;"&amp;IF(Z6,"&lt;varequal respident=""RESPONSE""&gt;6&lt;/varequal&gt;","&lt;not&gt;&lt;varequal respident=""RESPONSE""&gt;6&lt;/varequal&gt;&lt;/not&gt;")&amp;"&lt;/conditionvar&gt;&lt;setvar action=""Add""&gt;"&amp;(Saisie_Questions!$N6/$I6)&amp;"&lt;/setvar&gt;"&amp;IF(AZ6&lt;&gt;"","&lt;displayfeedback feedbacktype=""Response"" linkrefid=""response_6""/&gt;",IF($AS6&lt;&gt;"","&lt;displayfeedback feedbacktype=""Response"" linkrefid=""qti_feedback_trigger""/&gt;",""))&amp;"&lt;/respcondition&gt;",""))),"")</f>
      </c>
      <c r="AQ6" s="46">
        <f>IF($B6,IF(S6="","",IF($C6="qcu",IF(OR(AA6,BA6&lt;&gt;"",$AS6&lt;&gt;""),"      &lt;respcondition continue=""Yes""&gt;&lt;conditionvar&gt;&lt;varequal respident=""RESPONSE""&gt;7&lt;/varequal&gt;&lt;/conditionvar&gt;"&amp;"&lt;setvar action=""Add""&gt;"&amp;IF(AA6,$H6,0)&amp;"&lt;/setvar&gt;"&amp;IF(BA6&lt;&gt;"","&lt;displayfeedback feedbacktype=""Response"" linkrefid=""response_7""/&gt;",IF($AS6&lt;&gt;"","&lt;displayfeedback feedbacktype=""Response"" linkrefid=""qti_feedback_trigger""/&gt;",""))&amp;"&lt;/respcondition&gt;",""),IF(OR(AA6,BA6&lt;&gt;"",$AS6&lt;&gt;""),"      &lt;respcondition continue=""Yes""&gt;&lt;conditionvar&gt;"&amp;IF(AA6,"&lt;varequal respident=""RESPONSE""&gt;7&lt;/varequal&gt;","&lt;not&gt;&lt;varequal respident=""RESPONSE""&gt;7&lt;/varequal&gt;&lt;/not&gt;")&amp;"&lt;/conditionvar&gt;&lt;setvar action=""Add""&gt;"&amp;(Saisie_Questions!$N6/$I6)&amp;"&lt;/setvar&gt;"&amp;IF(BA6&lt;&gt;"","&lt;displayfeedback feedbacktype=""Response"" linkrefid=""response_7""/&gt;",IF($AS6&lt;&gt;"","&lt;displayfeedback feedbacktype=""Response"" linkrefid=""qti_feedback_trigger""/&gt;",""))&amp;"&lt;/respcondition&gt;",""))),"")</f>
      </c>
      <c r="AR6" s="46">
        <f>IF(A6="","",SUBSTITUTE(SUBSTITUTE(SUBSTITUTE(SUBSTITUTE(SUBSTITUTE(IF(Saisie_Questions!P6&lt;&gt;"",Saisie_Questions!P6,Interface_Generation!$B$5),"&amp;","&amp;amp;"),"&lt;","&amp;lt;"),"&gt;","&amp;gt;"),CHAR(34),"&amp;quot;"),"'","&amp;apos;"))</f>
        <v/>
      </c>
      <c r="AS6" s="46">
        <f>IF(Saisie_Questions!Q6="","",SUBSTITUTE(SUBSTITUTE(SUBSTITUTE(SUBSTITUTE(SUBSTITUTE(Saisie_Questions!Q6,"&amp;","&amp;amp;"),"&lt;","&amp;lt;"),"&gt;","&amp;gt;"),CHAR(34),"&amp;quot;"),"'","&amp;apos;"))</f>
        <v/>
      </c>
      <c r="AT6" s="46">
        <f>IF(Saisie_Questions!R6="","",SUBSTITUTE(SUBSTITUTE(SUBSTITUTE(SUBSTITUTE(SUBSTITUTE(Saisie_Questions!R6,"&amp;","&amp;amp;"),"&lt;","&amp;lt;"),"&gt;","&amp;gt;"),CHAR(34),"&amp;quot;"),"'","&amp;apos;"))</f>
        <v/>
      </c>
      <c r="AU6" s="46">
        <f>IF(Saisie_Questions!S6="","",SUBSTITUTE(SUBSTITUTE(SUBSTITUTE(SUBSTITUTE(SUBSTITUTE(Saisie_Questions!S6,"&amp;","&amp;amp;"),"&lt;","&amp;lt;"),"&gt;","&amp;gt;"),CHAR(34),"&amp;quot;"),"'","&amp;apos;"))</f>
        <v/>
      </c>
      <c r="AV6" s="46">
        <f>IF(Saisie_Questions!T6="","",SUBSTITUTE(SUBSTITUTE(SUBSTITUTE(SUBSTITUTE(SUBSTITUTE(Saisie_Questions!T6,"&amp;","&amp;amp;"),"&lt;","&amp;lt;"),"&gt;","&amp;gt;"),CHAR(34),"&amp;quot;"),"'","&amp;apos;"))</f>
        <v/>
      </c>
      <c r="AW6" s="46">
        <f>IF(Saisie_Questions!U6="","",SUBSTITUTE(SUBSTITUTE(SUBSTITUTE(SUBSTITUTE(SUBSTITUTE(Saisie_Questions!U6,"&amp;","&amp;amp;"),"&lt;","&amp;lt;"),"&gt;","&amp;gt;"),CHAR(34),"&amp;quot;"),"'","&amp;apos;"))</f>
        <v/>
      </c>
      <c r="AX6" s="46">
        <f>IF(Saisie_Questions!V6="","",SUBSTITUTE(SUBSTITUTE(SUBSTITUTE(SUBSTITUTE(SUBSTITUTE(Saisie_Questions!V6,"&amp;","&amp;amp;"),"&lt;","&amp;lt;"),"&gt;","&amp;gt;"),CHAR(34),"&amp;quot;"),"'","&amp;apos;"))</f>
        <v/>
      </c>
      <c r="AY6" s="46">
        <f>IF(Saisie_Questions!W6="","",SUBSTITUTE(SUBSTITUTE(SUBSTITUTE(SUBSTITUTE(SUBSTITUTE(Saisie_Questions!W6,"&amp;","&amp;amp;"),"&lt;","&amp;lt;"),"&gt;","&amp;gt;"),CHAR(34),"&amp;quot;"),"'","&amp;apos;"))</f>
        <v/>
      </c>
      <c r="AZ6" s="46">
        <f>IF(Saisie_Questions!X6="","",SUBSTITUTE(SUBSTITUTE(SUBSTITUTE(SUBSTITUTE(SUBSTITUTE(Saisie_Questions!X6,"&amp;","&amp;amp;"),"&lt;","&amp;lt;"),"&gt;","&amp;gt;"),CHAR(34),"&amp;quot;"),"'","&amp;apos;"))</f>
        <v/>
      </c>
      <c r="BA6" s="46">
        <f>IF(Saisie_Questions!Y6="","",SUBSTITUTE(SUBSTITUTE(SUBSTITUTE(SUBSTITUTE(SUBSTITUTE(Saisie_Questions!Y6,"&amp;","&amp;amp;"),"&lt;","&amp;lt;"),"&gt;","&amp;gt;"),CHAR(34),"&amp;quot;"),"'","&amp;apos;"))</f>
        <v/>
      </c>
      <c r="BB6" s="46">
        <f>IF($B6,IF($AS6="","","    &lt;itemfeedback ident=""response_allcorrect"" view=""All""&gt;&lt;flow_mat&gt;&lt;material&gt;&lt;mattext texttype=""text/html""&gt;"&amp;$AS6&amp;"&lt;/mattext&gt;&lt;/material&gt;&lt;/flow_mat&gt;&lt;/itemfeedback&gt;"&amp;"    &lt;itemfeedback ident=""response_onenotcorrect"" view=""All""&gt;&lt;flow_mat&gt;&lt;material&gt;&lt;mattext texttype=""text/html""&gt;"&amp;$AS6&amp;"&lt;/mattext&gt;&lt;/material&gt;&lt;/flow_mat&gt;&lt;/itemfeedback&gt;"),"")</f>
      </c>
      <c r="BC6" s="46">
        <f>IF($B6,IF(AT6="","","    &lt;itemfeedback ident=""response_0"" view=""All""&gt;&lt;flow_mat&gt;&lt;material&gt;&lt;mattext texttype=""text/html""&gt;"&amp;AT6&amp;"&lt;/mattext&gt;&lt;/material&gt;&lt;/flow_mat&gt;&lt;/itemfeedback&gt;"),"")</f>
      </c>
      <c r="BD6" s="46">
        <f>IF($B6,IF(AU6="","","    &lt;itemfeedback ident=""response_1"" view=""All""&gt;&lt;flow_mat&gt;&lt;material&gt;&lt;mattext texttype=""text/html""&gt;"&amp;AU6&amp;"&lt;/mattext&gt;&lt;/material&gt;&lt;/flow_mat&gt;&lt;/itemfeedback&gt;"),"")</f>
      </c>
      <c r="BE6" s="46">
        <f>IF($B6,IF(AV6="","","    &lt;itemfeedback ident=""response_2"" view=""All""&gt;&lt;flow_mat&gt;&lt;material&gt;&lt;mattext texttype=""text/html""&gt;"&amp;AV6&amp;"&lt;/mattext&gt;&lt;/material&gt;&lt;/flow_mat&gt;&lt;/itemfeedback&gt;"),"")</f>
      </c>
      <c r="BF6" s="46">
        <f>IF($B6,IF(AW6="","","    &lt;itemfeedback ident=""response_3"" view=""All""&gt;&lt;flow_mat&gt;&lt;material&gt;&lt;mattext texttype=""text/html""&gt;"&amp;AW6&amp;"&lt;/mattext&gt;&lt;/material&gt;&lt;/flow_mat&gt;&lt;/itemfeedback&gt;"),"")</f>
      </c>
      <c r="BG6" s="46">
        <f>IF($B6,IF(AX6="","","    &lt;itemfeedback ident=""response_4"" view=""All""&gt;&lt;flow_mat&gt;&lt;material&gt;&lt;mattext texttype=""text/html""&gt;"&amp;AX6&amp;"&lt;/mattext&gt;&lt;/material&gt;&lt;/flow_mat&gt;&lt;/itemfeedback&gt;"),"")</f>
      </c>
      <c r="BH6" s="46">
        <f>IF($B6,IF(AY6="","","    &lt;itemfeedback ident=""response_5"" view=""All""&gt;&lt;flow_mat&gt;&lt;material&gt;&lt;mattext texttype=""text/html""&gt;"&amp;AY6&amp;"&lt;/mattext&gt;&lt;/material&gt;&lt;/flow_mat&gt;&lt;/itemfeedback&gt;"),"")</f>
      </c>
      <c r="BI6" s="46">
        <f>IF($B6,IF(AZ6="","","    &lt;itemfeedback ident=""response_6"" view=""All""&gt;&lt;flow_mat&gt;&lt;material&gt;&lt;mattext texttype=""text/html""&gt;"&amp;AZ6&amp;"&lt;/mattext&gt;&lt;/material&gt;&lt;/flow_mat&gt;&lt;/itemfeedback&gt;"),"")</f>
      </c>
      <c r="BJ6" s="46">
        <f>IF($B6,IF(BA6="","","    &lt;itemfeedback ident=""response_7"" view=""All""&gt;&lt;flow_mat&gt;&lt;material&gt;&lt;mattext texttype=""text/html""&gt;"&amp;BA6&amp;"&lt;/mattext&gt;&lt;/material&gt;&lt;/flow_mat&gt;&lt;/itemfeedback&gt;"),"")</f>
      </c>
    </row>
    <row r="7" ht="18" customHeight="1" s="17">
      <c r="A7" s="46">
        <f>Saisie_Questions!A7</f>
        <v/>
      </c>
      <c r="B7" s="46">
        <f>Saisie_Questions!O7="OK"</f>
        <v/>
      </c>
      <c r="C7" s="46">
        <f>LOWER(TRIM(Saisie_Questions!B7))</f>
        <v/>
      </c>
      <c r="D7" s="46">
        <f>IF(C7="qcu","SINGLE CHOICE QUESTION","MULTIPLE CHOICE QUESTION")</f>
        <v/>
      </c>
      <c r="E7" s="46">
        <f>IF(C7="qcu","Single","Multiple")</f>
        <v/>
      </c>
      <c r="F7" s="46">
        <f>IF(A7="","",SUBSTITUTE(SUBSTITUTE(SUBSTITUTE(SUBSTITUTE(SUBSTITUTE(IF(Saisie_Questions!C7="", "Question "&amp;A7, Saisie_Questions!C7),"&amp;","&amp;amp;"),"&lt;","&amp;lt;"),"&gt;","&amp;gt;"),CHAR(34),"&amp;quot;"),"'","&amp;apos;"))</f>
        <v/>
      </c>
      <c r="G7" s="46">
        <f>IF(A7="","",SUBSTITUTE(SUBSTITUTE(SUBSTITUTE(SUBSTITUTE(SUBSTITUTE(Saisie_Questions!D7,"&amp;","&amp;amp;"),"&lt;","&amp;lt;"),"&gt;","&amp;gt;"),CHAR(34),"&amp;quot;"),"'","&amp;apos;"))</f>
        <v/>
      </c>
      <c r="H7" s="46">
        <f>Saisie_Questions!N7</f>
        <v/>
      </c>
      <c r="I7" s="46">
        <f>IF(Saisie_Questions!E7="",0,1)+IF(Saisie_Questions!F7="",0,1)+IF(Saisie_Questions!G7="",0,1)+IF(Saisie_Questions!H7="",0,1)+IF(Saisie_Questions!I7="",0,1)+IF(Saisie_Questions!J7="",0,1)+IF(Saisie_Questions!K7="",0,1)+IF(Saisie_Questions!L7="",0,1)</f>
        <v/>
      </c>
      <c r="J7" s="46">
        <f>Saisie_Questions!M7</f>
        <v/>
      </c>
      <c r="K7" s="46">
        <f>Saisie_Questions!O7</f>
        <v/>
      </c>
      <c r="L7" s="46">
        <f>IF(Saisie_Questions!E7="","",SUBSTITUTE(SUBSTITUTE(SUBSTITUTE(SUBSTITUTE(SUBSTITUTE(Saisie_Questions!E7,"&amp;","&amp;amp;"),"&lt;","&amp;lt;"),"&gt;","&amp;gt;"),CHAR(34),"&amp;quot;"),"'","&amp;apos;"))</f>
        <v/>
      </c>
      <c r="M7" s="46">
        <f>IF(Saisie_Questions!F7="","",SUBSTITUTE(SUBSTITUTE(SUBSTITUTE(SUBSTITUTE(SUBSTITUTE(Saisie_Questions!F7,"&amp;","&amp;amp;"),"&lt;","&amp;lt;"),"&gt;","&amp;gt;"),CHAR(34),"&amp;quot;"),"'","&amp;apos;"))</f>
        <v/>
      </c>
      <c r="N7" s="46">
        <f>IF(Saisie_Questions!G7="","",SUBSTITUTE(SUBSTITUTE(SUBSTITUTE(SUBSTITUTE(SUBSTITUTE(Saisie_Questions!G7,"&amp;","&amp;amp;"),"&lt;","&amp;lt;"),"&gt;","&amp;gt;"),CHAR(34),"&amp;quot;"),"'","&amp;apos;"))</f>
        <v/>
      </c>
      <c r="O7" s="46">
        <f>IF(Saisie_Questions!H7="","",SUBSTITUTE(SUBSTITUTE(SUBSTITUTE(SUBSTITUTE(SUBSTITUTE(Saisie_Questions!H7,"&amp;","&amp;amp;"),"&lt;","&amp;lt;"),"&gt;","&amp;gt;"),CHAR(34),"&amp;quot;"),"'","&amp;apos;"))</f>
        <v/>
      </c>
      <c r="P7" s="46">
        <f>IF(Saisie_Questions!I7="","",SUBSTITUTE(SUBSTITUTE(SUBSTITUTE(SUBSTITUTE(SUBSTITUTE(Saisie_Questions!I7,"&amp;","&amp;amp;"),"&lt;","&amp;lt;"),"&gt;","&amp;gt;"),CHAR(34),"&amp;quot;"),"'","&amp;apos;"))</f>
        <v/>
      </c>
      <c r="Q7" s="46">
        <f>IF(Saisie_Questions!J7="","",SUBSTITUTE(SUBSTITUTE(SUBSTITUTE(SUBSTITUTE(SUBSTITUTE(Saisie_Questions!J7,"&amp;","&amp;amp;"),"&lt;","&amp;lt;"),"&gt;","&amp;gt;"),CHAR(34),"&amp;quot;"),"'","&amp;apos;"))</f>
        <v/>
      </c>
      <c r="R7" s="46">
        <f>IF(Saisie_Questions!K7="","",SUBSTITUTE(SUBSTITUTE(SUBSTITUTE(SUBSTITUTE(SUBSTITUTE(Saisie_Questions!K7,"&amp;","&amp;amp;"),"&lt;","&amp;lt;"),"&gt;","&amp;gt;"),CHAR(34),"&amp;quot;"),"'","&amp;apos;"))</f>
        <v/>
      </c>
      <c r="S7" s="46">
        <f>IF(Saisie_Questions!L7="","",SUBSTITUTE(SUBSTITUTE(SUBSTITUTE(SUBSTITUTE(SUBSTITUTE(Saisie_Questions!L7,"&amp;","&amp;amp;"),"&lt;","&amp;lt;"),"&gt;","&amp;gt;"),CHAR(34),"&amp;quot;"),"'","&amp;apos;"))</f>
        <v/>
      </c>
      <c r="T7" s="46">
        <f>ISNUMBER(SEARCH(";"&amp;1&amp;";",";"&amp;$J7&amp;";"))</f>
        <v/>
      </c>
      <c r="U7" s="46">
        <f>ISNUMBER(SEARCH(";"&amp;2&amp;";",";"&amp;$J7&amp;";"))</f>
        <v/>
      </c>
      <c r="V7" s="46">
        <f>ISNUMBER(SEARCH(";"&amp;3&amp;";",";"&amp;$J7&amp;";"))</f>
        <v/>
      </c>
      <c r="W7" s="46">
        <f>ISNUMBER(SEARCH(";"&amp;4&amp;";",";"&amp;$J7&amp;";"))</f>
        <v/>
      </c>
      <c r="X7" s="46">
        <f>ISNUMBER(SEARCH(";"&amp;5&amp;";",";"&amp;$J7&amp;";"))</f>
        <v/>
      </c>
      <c r="Y7" s="46">
        <f>ISNUMBER(SEARCH(";"&amp;6&amp;";",";"&amp;$J7&amp;";"))</f>
        <v/>
      </c>
      <c r="Z7" s="46">
        <f>ISNUMBER(SEARCH(";"&amp;7&amp;";",";"&amp;$J7&amp;";"))</f>
        <v/>
      </c>
      <c r="AA7" s="46">
        <f>ISNUMBER(SEARCH(";"&amp;8&amp;";",";"&amp;$J7&amp;";"))</f>
        <v/>
      </c>
      <c r="AB7" s="46">
        <f>IF($B7,IF(L7="","","        &lt;response_label ident=""0""&gt;&lt;material&gt;&lt;mattext texttype=""text/html""&gt;"&amp;L7&amp;"&lt;/mattext&gt;&lt;/material&gt;&lt;/response_label&gt;"),"")</f>
        <v/>
      </c>
      <c r="AC7" s="46">
        <f>IF($B7,IF(M7="","","        &lt;response_label ident=""1""&gt;&lt;material&gt;&lt;mattext texttype=""text/html""&gt;"&amp;M7&amp;"&lt;/mattext&gt;&lt;/material&gt;&lt;/response_label&gt;"),"")</f>
        <v/>
      </c>
      <c r="AD7" s="46">
        <f>IF($B7,IF(N7="","","        &lt;response_label ident=""2""&gt;&lt;material&gt;&lt;mattext texttype=""text/html""&gt;"&amp;N7&amp;"&lt;/mattext&gt;&lt;/material&gt;&lt;/response_label&gt;"),"")</f>
        <v/>
      </c>
      <c r="AE7" s="46">
        <f>IF($B7,IF(O7="","","        &lt;response_label ident=""3""&gt;&lt;material&gt;&lt;mattext texttype=""text/html""&gt;"&amp;O7&amp;"&lt;/mattext&gt;&lt;/material&gt;&lt;/response_label&gt;"),"")</f>
        <v/>
      </c>
      <c r="AF7" s="46">
        <f>IF($B7,IF(P7="","","        &lt;response_label ident=""4""&gt;&lt;material&gt;&lt;mattext texttype=""text/html""&gt;"&amp;P7&amp;"&lt;/mattext&gt;&lt;/material&gt;&lt;/response_label&gt;"),"")</f>
        <v/>
      </c>
      <c r="AG7" s="46">
        <f>IF($B7,IF(Q7="","","        &lt;response_label ident=""5""&gt;&lt;material&gt;&lt;mattext texttype=""text/html""&gt;"&amp;Q7&amp;"&lt;/mattext&gt;&lt;/material&gt;&lt;/response_label&gt;"),"")</f>
        <v/>
      </c>
      <c r="AH7" s="46">
        <f>IF($B7,IF(R7="","","        &lt;response_label ident=""6""&gt;&lt;material&gt;&lt;mattext texttype=""text/html""&gt;"&amp;R7&amp;"&lt;/mattext&gt;&lt;/material&gt;&lt;/response_label&gt;"),"")</f>
        <v/>
      </c>
      <c r="AI7" s="46">
        <f>IF($B7,IF(S7="","","        &lt;response_label ident=""7""&gt;&lt;material&gt;&lt;mattext texttype=""text/html""&gt;"&amp;S7&amp;"&lt;/mattext&gt;&lt;/material&gt;&lt;/response_label&gt;"),"")</f>
        <v/>
      </c>
      <c r="AJ7" s="46">
        <f>IF($B7,IF(L7="","",IF($C7="qcu",IF(OR(T7,AT7&lt;&gt;"",$AS7&lt;&gt;""),"      &lt;respcondition continue=""Yes""&gt;&lt;conditionvar&gt;&lt;varequal respident=""RESPONSE""&gt;0&lt;/varequal&gt;&lt;/conditionvar&gt;"&amp;"&lt;setvar action=""Add""&gt;"&amp;IF(T7,$H7,0)&amp;"&lt;/setvar&gt;"&amp;IF(AT7&lt;&gt;"","&lt;displayfeedback feedbacktype=""Response"" linkrefid=""response_0""/&gt;",IF($AS7&lt;&gt;"","&lt;displayfeedback feedbacktype=""Response"" linkrefid=""qti_feedback_trigger""/&gt;",""))&amp;"&lt;/respcondition&gt;",""),IF(OR(T7,AT7&lt;&gt;"",$AS7&lt;&gt;""),"      &lt;respcondition continue=""Yes""&gt;&lt;conditionvar&gt;"&amp;IF(T7,"&lt;varequal respident=""RESPONSE""&gt;0&lt;/varequal&gt;","&lt;not&gt;&lt;varequal respident=""RESPONSE""&gt;0&lt;/varequal&gt;&lt;/not&gt;")&amp;"&lt;/conditionvar&gt;&lt;setvar action=""Add""&gt;"&amp;(Saisie_Questions!$N7/$I7)&amp;"&lt;/setvar&gt;"&amp;IF(AT7&lt;&gt;"","&lt;displayfeedback feedbacktype=""Response"" linkrefid=""response_0""/&gt;",IF($AS7&lt;&gt;"","&lt;displayfeedback feedbacktype=""Response"" linkrefid=""qti_feedback_trigger""/&gt;",""))&amp;"&lt;/respcondition&gt;",""))),"")</f>
      </c>
      <c r="AK7" s="46">
        <f>IF($B7,IF(M7="","",IF($C7="qcu",IF(OR(U7,AU7&lt;&gt;"",$AS7&lt;&gt;""),"      &lt;respcondition continue=""Yes""&gt;&lt;conditionvar&gt;&lt;varequal respident=""RESPONSE""&gt;1&lt;/varequal&gt;&lt;/conditionvar&gt;"&amp;"&lt;setvar action=""Add""&gt;"&amp;IF(U7,$H7,0)&amp;"&lt;/setvar&gt;"&amp;IF(AU7&lt;&gt;"","&lt;displayfeedback feedbacktype=""Response"" linkrefid=""response_1""/&gt;",IF($AS7&lt;&gt;"","&lt;displayfeedback feedbacktype=""Response"" linkrefid=""qti_feedback_trigger""/&gt;",""))&amp;"&lt;/respcondition&gt;",""),IF(OR(U7,AU7&lt;&gt;"",$AS7&lt;&gt;""),"      &lt;respcondition continue=""Yes""&gt;&lt;conditionvar&gt;"&amp;IF(U7,"&lt;varequal respident=""RESPONSE""&gt;1&lt;/varequal&gt;","&lt;not&gt;&lt;varequal respident=""RESPONSE""&gt;1&lt;/varequal&gt;&lt;/not&gt;")&amp;"&lt;/conditionvar&gt;&lt;setvar action=""Add""&gt;"&amp;(Saisie_Questions!$N7/$I7)&amp;"&lt;/setvar&gt;"&amp;IF(AU7&lt;&gt;"","&lt;displayfeedback feedbacktype=""Response"" linkrefid=""response_1""/&gt;",IF($AS7&lt;&gt;"","&lt;displayfeedback feedbacktype=""Response"" linkrefid=""qti_feedback_trigger""/&gt;",""))&amp;"&lt;/respcondition&gt;",""))),"")</f>
      </c>
      <c r="AL7" s="46">
        <f>IF($B7,IF(N7="","",IF($C7="qcu",IF(OR(V7,AV7&lt;&gt;"",$AS7&lt;&gt;""),"      &lt;respcondition continue=""Yes""&gt;&lt;conditionvar&gt;&lt;varequal respident=""RESPONSE""&gt;2&lt;/varequal&gt;&lt;/conditionvar&gt;"&amp;"&lt;setvar action=""Add""&gt;"&amp;IF(V7,$H7,0)&amp;"&lt;/setvar&gt;"&amp;IF(AV7&lt;&gt;"","&lt;displayfeedback feedbacktype=""Response"" linkrefid=""response_2""/&gt;",IF($AS7&lt;&gt;"","&lt;displayfeedback feedbacktype=""Response"" linkrefid=""qti_feedback_trigger""/&gt;",""))&amp;"&lt;/respcondition&gt;",""),IF(OR(V7,AV7&lt;&gt;"",$AS7&lt;&gt;""),"      &lt;respcondition continue=""Yes""&gt;&lt;conditionvar&gt;"&amp;IF(V7,"&lt;varequal respident=""RESPONSE""&gt;2&lt;/varequal&gt;","&lt;not&gt;&lt;varequal respident=""RESPONSE""&gt;2&lt;/varequal&gt;&lt;/not&gt;")&amp;"&lt;/conditionvar&gt;&lt;setvar action=""Add""&gt;"&amp;(Saisie_Questions!$N7/$I7)&amp;"&lt;/setvar&gt;"&amp;IF(AV7&lt;&gt;"","&lt;displayfeedback feedbacktype=""Response"" linkrefid=""response_2""/&gt;",IF($AS7&lt;&gt;"","&lt;displayfeedback feedbacktype=""Response"" linkrefid=""qti_feedback_trigger""/&gt;",""))&amp;"&lt;/respcondition&gt;",""))),"")</f>
      </c>
      <c r="AM7" s="46">
        <f>IF($B7,IF(O7="","",IF($C7="qcu",IF(OR(W7,AW7&lt;&gt;"",$AS7&lt;&gt;""),"      &lt;respcondition continue=""Yes""&gt;&lt;conditionvar&gt;&lt;varequal respident=""RESPONSE""&gt;3&lt;/varequal&gt;&lt;/conditionvar&gt;"&amp;"&lt;setvar action=""Add""&gt;"&amp;IF(W7,$H7,0)&amp;"&lt;/setvar&gt;"&amp;IF(AW7&lt;&gt;"","&lt;displayfeedback feedbacktype=""Response"" linkrefid=""response_3""/&gt;",IF($AS7&lt;&gt;"","&lt;displayfeedback feedbacktype=""Response"" linkrefid=""qti_feedback_trigger""/&gt;",""))&amp;"&lt;/respcondition&gt;",""),IF(OR(W7,AW7&lt;&gt;"",$AS7&lt;&gt;""),"      &lt;respcondition continue=""Yes""&gt;&lt;conditionvar&gt;"&amp;IF(W7,"&lt;varequal respident=""RESPONSE""&gt;3&lt;/varequal&gt;","&lt;not&gt;&lt;varequal respident=""RESPONSE""&gt;3&lt;/varequal&gt;&lt;/not&gt;")&amp;"&lt;/conditionvar&gt;&lt;setvar action=""Add""&gt;"&amp;(Saisie_Questions!$N7/$I7)&amp;"&lt;/setvar&gt;"&amp;IF(AW7&lt;&gt;"","&lt;displayfeedback feedbacktype=""Response"" linkrefid=""response_3""/&gt;",IF($AS7&lt;&gt;"","&lt;displayfeedback feedbacktype=""Response"" linkrefid=""qti_feedback_trigger""/&gt;",""))&amp;"&lt;/respcondition&gt;",""))),"")</f>
      </c>
      <c r="AN7" s="46">
        <f>IF($B7,IF(P7="","",IF($C7="qcu",IF(OR(X7,AX7&lt;&gt;"",$AS7&lt;&gt;""),"      &lt;respcondition continue=""Yes""&gt;&lt;conditionvar&gt;&lt;varequal respident=""RESPONSE""&gt;4&lt;/varequal&gt;&lt;/conditionvar&gt;"&amp;"&lt;setvar action=""Add""&gt;"&amp;IF(X7,$H7,0)&amp;"&lt;/setvar&gt;"&amp;IF(AX7&lt;&gt;"","&lt;displayfeedback feedbacktype=""Response"" linkrefid=""response_4""/&gt;",IF($AS7&lt;&gt;"","&lt;displayfeedback feedbacktype=""Response"" linkrefid=""qti_feedback_trigger""/&gt;",""))&amp;"&lt;/respcondition&gt;",""),IF(OR(X7,AX7&lt;&gt;"",$AS7&lt;&gt;""),"      &lt;respcondition continue=""Yes""&gt;&lt;conditionvar&gt;"&amp;IF(X7,"&lt;varequal respident=""RESPONSE""&gt;4&lt;/varequal&gt;","&lt;not&gt;&lt;varequal respident=""RESPONSE""&gt;4&lt;/varequal&gt;&lt;/not&gt;")&amp;"&lt;/conditionvar&gt;&lt;setvar action=""Add""&gt;"&amp;(Saisie_Questions!$N7/$I7)&amp;"&lt;/setvar&gt;"&amp;IF(AX7&lt;&gt;"","&lt;displayfeedback feedbacktype=""Response"" linkrefid=""response_4""/&gt;",IF($AS7&lt;&gt;"","&lt;displayfeedback feedbacktype=""Response"" linkrefid=""qti_feedback_trigger""/&gt;",""))&amp;"&lt;/respcondition&gt;",""))),"")</f>
      </c>
      <c r="AO7" s="46">
        <f>IF($B7,IF(Q7="","",IF($C7="qcu",IF(OR(Y7,AY7&lt;&gt;"",$AS7&lt;&gt;""),"      &lt;respcondition continue=""Yes""&gt;&lt;conditionvar&gt;&lt;varequal respident=""RESPONSE""&gt;5&lt;/varequal&gt;&lt;/conditionvar&gt;"&amp;"&lt;setvar action=""Add""&gt;"&amp;IF(Y7,$H7,0)&amp;"&lt;/setvar&gt;"&amp;IF(AY7&lt;&gt;"","&lt;displayfeedback feedbacktype=""Response"" linkrefid=""response_5""/&gt;",IF($AS7&lt;&gt;"","&lt;displayfeedback feedbacktype=""Response"" linkrefid=""qti_feedback_trigger""/&gt;",""))&amp;"&lt;/respcondition&gt;",""),IF(OR(Y7,AY7&lt;&gt;"",$AS7&lt;&gt;""),"      &lt;respcondition continue=""Yes""&gt;&lt;conditionvar&gt;"&amp;IF(Y7,"&lt;varequal respident=""RESPONSE""&gt;5&lt;/varequal&gt;","&lt;not&gt;&lt;varequal respident=""RESPONSE""&gt;5&lt;/varequal&gt;&lt;/not&gt;")&amp;"&lt;/conditionvar&gt;&lt;setvar action=""Add""&gt;"&amp;(Saisie_Questions!$N7/$I7)&amp;"&lt;/setvar&gt;"&amp;IF(AY7&lt;&gt;"","&lt;displayfeedback feedbacktype=""Response"" linkrefid=""response_5""/&gt;",IF($AS7&lt;&gt;"","&lt;displayfeedback feedbacktype=""Response"" linkrefid=""qti_feedback_trigger""/&gt;",""))&amp;"&lt;/respcondition&gt;",""))),"")</f>
      </c>
      <c r="AP7" s="46">
        <f>IF($B7,IF(R7="","",IF($C7="qcu",IF(OR(Z7,AZ7&lt;&gt;"",$AS7&lt;&gt;""),"      &lt;respcondition continue=""Yes""&gt;&lt;conditionvar&gt;&lt;varequal respident=""RESPONSE""&gt;6&lt;/varequal&gt;&lt;/conditionvar&gt;"&amp;"&lt;setvar action=""Add""&gt;"&amp;IF(Z7,$H7,0)&amp;"&lt;/setvar&gt;"&amp;IF(AZ7&lt;&gt;"","&lt;displayfeedback feedbacktype=""Response"" linkrefid=""response_6""/&gt;",IF($AS7&lt;&gt;"","&lt;displayfeedback feedbacktype=""Response"" linkrefid=""qti_feedback_trigger""/&gt;",""))&amp;"&lt;/respcondition&gt;",""),IF(OR(Z7,AZ7&lt;&gt;"",$AS7&lt;&gt;""),"      &lt;respcondition continue=""Yes""&gt;&lt;conditionvar&gt;"&amp;IF(Z7,"&lt;varequal respident=""RESPONSE""&gt;6&lt;/varequal&gt;","&lt;not&gt;&lt;varequal respident=""RESPONSE""&gt;6&lt;/varequal&gt;&lt;/not&gt;")&amp;"&lt;/conditionvar&gt;&lt;setvar action=""Add""&gt;"&amp;(Saisie_Questions!$N7/$I7)&amp;"&lt;/setvar&gt;"&amp;IF(AZ7&lt;&gt;"","&lt;displayfeedback feedbacktype=""Response"" linkrefid=""response_6""/&gt;",IF($AS7&lt;&gt;"","&lt;displayfeedback feedbacktype=""Response"" linkrefid=""qti_feedback_trigger""/&gt;",""))&amp;"&lt;/respcondition&gt;",""))),"")</f>
      </c>
      <c r="AQ7" s="46">
        <f>IF($B7,IF(S7="","",IF($C7="qcu",IF(OR(AA7,BA7&lt;&gt;"",$AS7&lt;&gt;""),"      &lt;respcondition continue=""Yes""&gt;&lt;conditionvar&gt;&lt;varequal respident=""RESPONSE""&gt;7&lt;/varequal&gt;&lt;/conditionvar&gt;"&amp;"&lt;setvar action=""Add""&gt;"&amp;IF(AA7,$H7,0)&amp;"&lt;/setvar&gt;"&amp;IF(BA7&lt;&gt;"","&lt;displayfeedback feedbacktype=""Response"" linkrefid=""response_7""/&gt;",IF($AS7&lt;&gt;"","&lt;displayfeedback feedbacktype=""Response"" linkrefid=""qti_feedback_trigger""/&gt;",""))&amp;"&lt;/respcondition&gt;",""),IF(OR(AA7,BA7&lt;&gt;"",$AS7&lt;&gt;""),"      &lt;respcondition continue=""Yes""&gt;&lt;conditionvar&gt;"&amp;IF(AA7,"&lt;varequal respident=""RESPONSE""&gt;7&lt;/varequal&gt;","&lt;not&gt;&lt;varequal respident=""RESPONSE""&gt;7&lt;/varequal&gt;&lt;/not&gt;")&amp;"&lt;/conditionvar&gt;&lt;setvar action=""Add""&gt;"&amp;(Saisie_Questions!$N7/$I7)&amp;"&lt;/setvar&gt;"&amp;IF(BA7&lt;&gt;"","&lt;displayfeedback feedbacktype=""Response"" linkrefid=""response_7""/&gt;",IF($AS7&lt;&gt;"","&lt;displayfeedback feedbacktype=""Response"" linkrefid=""qti_feedback_trigger""/&gt;",""))&amp;"&lt;/respcondition&gt;",""))),"")</f>
      </c>
      <c r="AR7" s="46">
        <f>IF(A7="","",SUBSTITUTE(SUBSTITUTE(SUBSTITUTE(SUBSTITUTE(SUBSTITUTE(IF(Saisie_Questions!P7&lt;&gt;"",Saisie_Questions!P7,Interface_Generation!$B$5),"&amp;","&amp;amp;"),"&lt;","&amp;lt;"),"&gt;","&amp;gt;"),CHAR(34),"&amp;quot;"),"'","&amp;apos;"))</f>
        <v/>
      </c>
      <c r="AS7" s="46">
        <f>IF(Saisie_Questions!Q7="","",SUBSTITUTE(SUBSTITUTE(SUBSTITUTE(SUBSTITUTE(SUBSTITUTE(Saisie_Questions!Q7,"&amp;","&amp;amp;"),"&lt;","&amp;lt;"),"&gt;","&amp;gt;"),CHAR(34),"&amp;quot;"),"'","&amp;apos;"))</f>
        <v/>
      </c>
      <c r="AT7" s="46">
        <f>IF(Saisie_Questions!R7="","",SUBSTITUTE(SUBSTITUTE(SUBSTITUTE(SUBSTITUTE(SUBSTITUTE(Saisie_Questions!R7,"&amp;","&amp;amp;"),"&lt;","&amp;lt;"),"&gt;","&amp;gt;"),CHAR(34),"&amp;quot;"),"'","&amp;apos;"))</f>
        <v/>
      </c>
      <c r="AU7" s="46">
        <f>IF(Saisie_Questions!S7="","",SUBSTITUTE(SUBSTITUTE(SUBSTITUTE(SUBSTITUTE(SUBSTITUTE(Saisie_Questions!S7,"&amp;","&amp;amp;"),"&lt;","&amp;lt;"),"&gt;","&amp;gt;"),CHAR(34),"&amp;quot;"),"'","&amp;apos;"))</f>
        <v/>
      </c>
      <c r="AV7" s="46">
        <f>IF(Saisie_Questions!T7="","",SUBSTITUTE(SUBSTITUTE(SUBSTITUTE(SUBSTITUTE(SUBSTITUTE(Saisie_Questions!T7,"&amp;","&amp;amp;"),"&lt;","&amp;lt;"),"&gt;","&amp;gt;"),CHAR(34),"&amp;quot;"),"'","&amp;apos;"))</f>
        <v/>
      </c>
      <c r="AW7" s="46">
        <f>IF(Saisie_Questions!U7="","",SUBSTITUTE(SUBSTITUTE(SUBSTITUTE(SUBSTITUTE(SUBSTITUTE(Saisie_Questions!U7,"&amp;","&amp;amp;"),"&lt;","&amp;lt;"),"&gt;","&amp;gt;"),CHAR(34),"&amp;quot;"),"'","&amp;apos;"))</f>
        <v/>
      </c>
      <c r="AX7" s="46">
        <f>IF(Saisie_Questions!V7="","",SUBSTITUTE(SUBSTITUTE(SUBSTITUTE(SUBSTITUTE(SUBSTITUTE(Saisie_Questions!V7,"&amp;","&amp;amp;"),"&lt;","&amp;lt;"),"&gt;","&amp;gt;"),CHAR(34),"&amp;quot;"),"'","&amp;apos;"))</f>
        <v/>
      </c>
      <c r="AY7" s="46">
        <f>IF(Saisie_Questions!W7="","",SUBSTITUTE(SUBSTITUTE(SUBSTITUTE(SUBSTITUTE(SUBSTITUTE(Saisie_Questions!W7,"&amp;","&amp;amp;"),"&lt;","&amp;lt;"),"&gt;","&amp;gt;"),CHAR(34),"&amp;quot;"),"'","&amp;apos;"))</f>
        <v/>
      </c>
      <c r="AZ7" s="46">
        <f>IF(Saisie_Questions!X7="","",SUBSTITUTE(SUBSTITUTE(SUBSTITUTE(SUBSTITUTE(SUBSTITUTE(Saisie_Questions!X7,"&amp;","&amp;amp;"),"&lt;","&amp;lt;"),"&gt;","&amp;gt;"),CHAR(34),"&amp;quot;"),"'","&amp;apos;"))</f>
        <v/>
      </c>
      <c r="BA7" s="46">
        <f>IF(Saisie_Questions!Y7="","",SUBSTITUTE(SUBSTITUTE(SUBSTITUTE(SUBSTITUTE(SUBSTITUTE(Saisie_Questions!Y7,"&amp;","&amp;amp;"),"&lt;","&amp;lt;"),"&gt;","&amp;gt;"),CHAR(34),"&amp;quot;"),"'","&amp;apos;"))</f>
        <v/>
      </c>
      <c r="BB7" s="46">
        <f>IF($B7,IF($AS7="","","    &lt;itemfeedback ident=""response_allcorrect"" view=""All""&gt;&lt;flow_mat&gt;&lt;material&gt;&lt;mattext texttype=""text/html""&gt;"&amp;$AS7&amp;"&lt;/mattext&gt;&lt;/material&gt;&lt;/flow_mat&gt;&lt;/itemfeedback&gt;"&amp;"    &lt;itemfeedback ident=""response_onenotcorrect"" view=""All""&gt;&lt;flow_mat&gt;&lt;material&gt;&lt;mattext texttype=""text/html""&gt;"&amp;$AS7&amp;"&lt;/mattext&gt;&lt;/material&gt;&lt;/flow_mat&gt;&lt;/itemfeedback&gt;"),"")</f>
      </c>
      <c r="BC7" s="46">
        <f>IF($B7,IF(AT7="","","    &lt;itemfeedback ident=""response_0"" view=""All""&gt;&lt;flow_mat&gt;&lt;material&gt;&lt;mattext texttype=""text/html""&gt;"&amp;AT7&amp;"&lt;/mattext&gt;&lt;/material&gt;&lt;/flow_mat&gt;&lt;/itemfeedback&gt;"),"")</f>
      </c>
      <c r="BD7" s="46">
        <f>IF($B7,IF(AU7="","","    &lt;itemfeedback ident=""response_1"" view=""All""&gt;&lt;flow_mat&gt;&lt;material&gt;&lt;mattext texttype=""text/html""&gt;"&amp;AU7&amp;"&lt;/mattext&gt;&lt;/material&gt;&lt;/flow_mat&gt;&lt;/itemfeedback&gt;"),"")</f>
      </c>
      <c r="BE7" s="46">
        <f>IF($B7,IF(AV7="","","    &lt;itemfeedback ident=""response_2"" view=""All""&gt;&lt;flow_mat&gt;&lt;material&gt;&lt;mattext texttype=""text/html""&gt;"&amp;AV7&amp;"&lt;/mattext&gt;&lt;/material&gt;&lt;/flow_mat&gt;&lt;/itemfeedback&gt;"),"")</f>
      </c>
      <c r="BF7" s="46">
        <f>IF($B7,IF(AW7="","","    &lt;itemfeedback ident=""response_3"" view=""All""&gt;&lt;flow_mat&gt;&lt;material&gt;&lt;mattext texttype=""text/html""&gt;"&amp;AW7&amp;"&lt;/mattext&gt;&lt;/material&gt;&lt;/flow_mat&gt;&lt;/itemfeedback&gt;"),"")</f>
      </c>
      <c r="BG7" s="46">
        <f>IF($B7,IF(AX7="","","    &lt;itemfeedback ident=""response_4"" view=""All""&gt;&lt;flow_mat&gt;&lt;material&gt;&lt;mattext texttype=""text/html""&gt;"&amp;AX7&amp;"&lt;/mattext&gt;&lt;/material&gt;&lt;/flow_mat&gt;&lt;/itemfeedback&gt;"),"")</f>
      </c>
      <c r="BH7" s="46">
        <f>IF($B7,IF(AY7="","","    &lt;itemfeedback ident=""response_5"" view=""All""&gt;&lt;flow_mat&gt;&lt;material&gt;&lt;mattext texttype=""text/html""&gt;"&amp;AY7&amp;"&lt;/mattext&gt;&lt;/material&gt;&lt;/flow_mat&gt;&lt;/itemfeedback&gt;"),"")</f>
      </c>
      <c r="BI7" s="46">
        <f>IF($B7,IF(AZ7="","","    &lt;itemfeedback ident=""response_6"" view=""All""&gt;&lt;flow_mat&gt;&lt;material&gt;&lt;mattext texttype=""text/html""&gt;"&amp;AZ7&amp;"&lt;/mattext&gt;&lt;/material&gt;&lt;/flow_mat&gt;&lt;/itemfeedback&gt;"),"")</f>
      </c>
      <c r="BJ7" s="46">
        <f>IF($B7,IF(BA7="","","    &lt;itemfeedback ident=""response_7"" view=""All""&gt;&lt;flow_mat&gt;&lt;material&gt;&lt;mattext texttype=""text/html""&gt;"&amp;BA7&amp;"&lt;/mattext&gt;&lt;/material&gt;&lt;/flow_mat&gt;&lt;/itemfeedback&gt;"),"")</f>
      </c>
    </row>
    <row r="8" ht="18" customHeight="1" s="17">
      <c r="A8" s="46">
        <f>Saisie_Questions!A8</f>
        <v/>
      </c>
      <c r="B8" s="46">
        <f>Saisie_Questions!O8="OK"</f>
        <v/>
      </c>
      <c r="C8" s="46">
        <f>LOWER(TRIM(Saisie_Questions!B8))</f>
        <v/>
      </c>
      <c r="D8" s="46">
        <f>IF(C8="qcu","SINGLE CHOICE QUESTION","MULTIPLE CHOICE QUESTION")</f>
        <v/>
      </c>
      <c r="E8" s="46">
        <f>IF(C8="qcu","Single","Multiple")</f>
        <v/>
      </c>
      <c r="F8" s="46">
        <f>IF(A8="","",SUBSTITUTE(SUBSTITUTE(SUBSTITUTE(SUBSTITUTE(SUBSTITUTE(IF(Saisie_Questions!C8="", "Question "&amp;A8, Saisie_Questions!C8),"&amp;","&amp;amp;"),"&lt;","&amp;lt;"),"&gt;","&amp;gt;"),CHAR(34),"&amp;quot;"),"'","&amp;apos;"))</f>
        <v/>
      </c>
      <c r="G8" s="46">
        <f>IF(A8="","",SUBSTITUTE(SUBSTITUTE(SUBSTITUTE(SUBSTITUTE(SUBSTITUTE(Saisie_Questions!D8,"&amp;","&amp;amp;"),"&lt;","&amp;lt;"),"&gt;","&amp;gt;"),CHAR(34),"&amp;quot;"),"'","&amp;apos;"))</f>
        <v/>
      </c>
      <c r="H8" s="46">
        <f>Saisie_Questions!N8</f>
        <v/>
      </c>
      <c r="I8" s="46">
        <f>IF(Saisie_Questions!E8="",0,1)+IF(Saisie_Questions!F8="",0,1)+IF(Saisie_Questions!G8="",0,1)+IF(Saisie_Questions!H8="",0,1)+IF(Saisie_Questions!I8="",0,1)+IF(Saisie_Questions!J8="",0,1)+IF(Saisie_Questions!K8="",0,1)+IF(Saisie_Questions!L8="",0,1)</f>
        <v/>
      </c>
      <c r="J8" s="46">
        <f>Saisie_Questions!M8</f>
        <v/>
      </c>
      <c r="K8" s="46">
        <f>Saisie_Questions!O8</f>
        <v/>
      </c>
      <c r="L8" s="46">
        <f>IF(Saisie_Questions!E8="","",SUBSTITUTE(SUBSTITUTE(SUBSTITUTE(SUBSTITUTE(SUBSTITUTE(Saisie_Questions!E8,"&amp;","&amp;amp;"),"&lt;","&amp;lt;"),"&gt;","&amp;gt;"),CHAR(34),"&amp;quot;"),"'","&amp;apos;"))</f>
        <v/>
      </c>
      <c r="M8" s="46">
        <f>IF(Saisie_Questions!F8="","",SUBSTITUTE(SUBSTITUTE(SUBSTITUTE(SUBSTITUTE(SUBSTITUTE(Saisie_Questions!F8,"&amp;","&amp;amp;"),"&lt;","&amp;lt;"),"&gt;","&amp;gt;"),CHAR(34),"&amp;quot;"),"'","&amp;apos;"))</f>
        <v/>
      </c>
      <c r="N8" s="46">
        <f>IF(Saisie_Questions!G8="","",SUBSTITUTE(SUBSTITUTE(SUBSTITUTE(SUBSTITUTE(SUBSTITUTE(Saisie_Questions!G8,"&amp;","&amp;amp;"),"&lt;","&amp;lt;"),"&gt;","&amp;gt;"),CHAR(34),"&amp;quot;"),"'","&amp;apos;"))</f>
        <v/>
      </c>
      <c r="O8" s="46">
        <f>IF(Saisie_Questions!H8="","",SUBSTITUTE(SUBSTITUTE(SUBSTITUTE(SUBSTITUTE(SUBSTITUTE(Saisie_Questions!H8,"&amp;","&amp;amp;"),"&lt;","&amp;lt;"),"&gt;","&amp;gt;"),CHAR(34),"&amp;quot;"),"'","&amp;apos;"))</f>
        <v/>
      </c>
      <c r="P8" s="46">
        <f>IF(Saisie_Questions!I8="","",SUBSTITUTE(SUBSTITUTE(SUBSTITUTE(SUBSTITUTE(SUBSTITUTE(Saisie_Questions!I8,"&amp;","&amp;amp;"),"&lt;","&amp;lt;"),"&gt;","&amp;gt;"),CHAR(34),"&amp;quot;"),"'","&amp;apos;"))</f>
        <v/>
      </c>
      <c r="Q8" s="46">
        <f>IF(Saisie_Questions!J8="","",SUBSTITUTE(SUBSTITUTE(SUBSTITUTE(SUBSTITUTE(SUBSTITUTE(Saisie_Questions!J8,"&amp;","&amp;amp;"),"&lt;","&amp;lt;"),"&gt;","&amp;gt;"),CHAR(34),"&amp;quot;"),"'","&amp;apos;"))</f>
        <v/>
      </c>
      <c r="R8" s="46">
        <f>IF(Saisie_Questions!K8="","",SUBSTITUTE(SUBSTITUTE(SUBSTITUTE(SUBSTITUTE(SUBSTITUTE(Saisie_Questions!K8,"&amp;","&amp;amp;"),"&lt;","&amp;lt;"),"&gt;","&amp;gt;"),CHAR(34),"&amp;quot;"),"'","&amp;apos;"))</f>
        <v/>
      </c>
      <c r="S8" s="46">
        <f>IF(Saisie_Questions!L8="","",SUBSTITUTE(SUBSTITUTE(SUBSTITUTE(SUBSTITUTE(SUBSTITUTE(Saisie_Questions!L8,"&amp;","&amp;amp;"),"&lt;","&amp;lt;"),"&gt;","&amp;gt;"),CHAR(34),"&amp;quot;"),"'","&amp;apos;"))</f>
        <v/>
      </c>
      <c r="T8" s="46">
        <f>ISNUMBER(SEARCH(";"&amp;1&amp;";",";"&amp;$J8&amp;";"))</f>
        <v/>
      </c>
      <c r="U8" s="46">
        <f>ISNUMBER(SEARCH(";"&amp;2&amp;";",";"&amp;$J8&amp;";"))</f>
        <v/>
      </c>
      <c r="V8" s="46">
        <f>ISNUMBER(SEARCH(";"&amp;3&amp;";",";"&amp;$J8&amp;";"))</f>
        <v/>
      </c>
      <c r="W8" s="46">
        <f>ISNUMBER(SEARCH(";"&amp;4&amp;";",";"&amp;$J8&amp;";"))</f>
        <v/>
      </c>
      <c r="X8" s="46">
        <f>ISNUMBER(SEARCH(";"&amp;5&amp;";",";"&amp;$J8&amp;";"))</f>
        <v/>
      </c>
      <c r="Y8" s="46">
        <f>ISNUMBER(SEARCH(";"&amp;6&amp;";",";"&amp;$J8&amp;";"))</f>
        <v/>
      </c>
      <c r="Z8" s="46">
        <f>ISNUMBER(SEARCH(";"&amp;7&amp;";",";"&amp;$J8&amp;";"))</f>
        <v/>
      </c>
      <c r="AA8" s="46">
        <f>ISNUMBER(SEARCH(";"&amp;8&amp;";",";"&amp;$J8&amp;";"))</f>
        <v/>
      </c>
      <c r="AB8" s="46">
        <f>IF($B8,IF(L8="","","        &lt;response_label ident=""0""&gt;&lt;material&gt;&lt;mattext texttype=""text/html""&gt;"&amp;L8&amp;"&lt;/mattext&gt;&lt;/material&gt;&lt;/response_label&gt;"),"")</f>
        <v/>
      </c>
      <c r="AC8" s="46">
        <f>IF($B8,IF(M8="","","        &lt;response_label ident=""1""&gt;&lt;material&gt;&lt;mattext texttype=""text/html""&gt;"&amp;M8&amp;"&lt;/mattext&gt;&lt;/material&gt;&lt;/response_label&gt;"),"")</f>
        <v/>
      </c>
      <c r="AD8" s="46">
        <f>IF($B8,IF(N8="","","        &lt;response_label ident=""2""&gt;&lt;material&gt;&lt;mattext texttype=""text/html""&gt;"&amp;N8&amp;"&lt;/mattext&gt;&lt;/material&gt;&lt;/response_label&gt;"),"")</f>
        <v/>
      </c>
      <c r="AE8" s="46">
        <f>IF($B8,IF(O8="","","        &lt;response_label ident=""3""&gt;&lt;material&gt;&lt;mattext texttype=""text/html""&gt;"&amp;O8&amp;"&lt;/mattext&gt;&lt;/material&gt;&lt;/response_label&gt;"),"")</f>
        <v/>
      </c>
      <c r="AF8" s="46">
        <f>IF($B8,IF(P8="","","        &lt;response_label ident=""4""&gt;&lt;material&gt;&lt;mattext texttype=""text/html""&gt;"&amp;P8&amp;"&lt;/mattext&gt;&lt;/material&gt;&lt;/response_label&gt;"),"")</f>
        <v/>
      </c>
      <c r="AG8" s="46">
        <f>IF($B8,IF(Q8="","","        &lt;response_label ident=""5""&gt;&lt;material&gt;&lt;mattext texttype=""text/html""&gt;"&amp;Q8&amp;"&lt;/mattext&gt;&lt;/material&gt;&lt;/response_label&gt;"),"")</f>
        <v/>
      </c>
      <c r="AH8" s="46">
        <f>IF($B8,IF(R8="","","        &lt;response_label ident=""6""&gt;&lt;material&gt;&lt;mattext texttype=""text/html""&gt;"&amp;R8&amp;"&lt;/mattext&gt;&lt;/material&gt;&lt;/response_label&gt;"),"")</f>
        <v/>
      </c>
      <c r="AI8" s="46">
        <f>IF($B8,IF(S8="","","        &lt;response_label ident=""7""&gt;&lt;material&gt;&lt;mattext texttype=""text/html""&gt;"&amp;S8&amp;"&lt;/mattext&gt;&lt;/material&gt;&lt;/response_label&gt;"),"")</f>
        <v/>
      </c>
      <c r="AJ8" s="46">
        <f>IF($B8,IF(L8="","",IF($C8="qcu",IF(OR(T8,AT8&lt;&gt;"",$AS8&lt;&gt;""),"      &lt;respcondition continue=""Yes""&gt;&lt;conditionvar&gt;&lt;varequal respident=""RESPONSE""&gt;0&lt;/varequal&gt;&lt;/conditionvar&gt;"&amp;"&lt;setvar action=""Add""&gt;"&amp;IF(T8,$H8,0)&amp;"&lt;/setvar&gt;"&amp;IF(AT8&lt;&gt;"","&lt;displayfeedback feedbacktype=""Response"" linkrefid=""response_0""/&gt;",IF($AS8&lt;&gt;"","&lt;displayfeedback feedbacktype=""Response"" linkrefid=""qti_feedback_trigger""/&gt;",""))&amp;"&lt;/respcondition&gt;",""),IF(OR(T8,AT8&lt;&gt;"",$AS8&lt;&gt;""),"      &lt;respcondition continue=""Yes""&gt;&lt;conditionvar&gt;"&amp;IF(T8,"&lt;varequal respident=""RESPONSE""&gt;0&lt;/varequal&gt;","&lt;not&gt;&lt;varequal respident=""RESPONSE""&gt;0&lt;/varequal&gt;&lt;/not&gt;")&amp;"&lt;/conditionvar&gt;&lt;setvar action=""Add""&gt;"&amp;(Saisie_Questions!$N8/$I8)&amp;"&lt;/setvar&gt;"&amp;IF(AT8&lt;&gt;"","&lt;displayfeedback feedbacktype=""Response"" linkrefid=""response_0""/&gt;",IF($AS8&lt;&gt;"","&lt;displayfeedback feedbacktype=""Response"" linkrefid=""qti_feedback_trigger""/&gt;",""))&amp;"&lt;/respcondition&gt;",""))),"")</f>
      </c>
      <c r="AK8" s="46">
        <f>IF($B8,IF(M8="","",IF($C8="qcu",IF(OR(U8,AU8&lt;&gt;"",$AS8&lt;&gt;""),"      &lt;respcondition continue=""Yes""&gt;&lt;conditionvar&gt;&lt;varequal respident=""RESPONSE""&gt;1&lt;/varequal&gt;&lt;/conditionvar&gt;"&amp;"&lt;setvar action=""Add""&gt;"&amp;IF(U8,$H8,0)&amp;"&lt;/setvar&gt;"&amp;IF(AU8&lt;&gt;"","&lt;displayfeedback feedbacktype=""Response"" linkrefid=""response_1""/&gt;",IF($AS8&lt;&gt;"","&lt;displayfeedback feedbacktype=""Response"" linkrefid=""qti_feedback_trigger""/&gt;",""))&amp;"&lt;/respcondition&gt;",""),IF(OR(U8,AU8&lt;&gt;"",$AS8&lt;&gt;""),"      &lt;respcondition continue=""Yes""&gt;&lt;conditionvar&gt;"&amp;IF(U8,"&lt;varequal respident=""RESPONSE""&gt;1&lt;/varequal&gt;","&lt;not&gt;&lt;varequal respident=""RESPONSE""&gt;1&lt;/varequal&gt;&lt;/not&gt;")&amp;"&lt;/conditionvar&gt;&lt;setvar action=""Add""&gt;"&amp;(Saisie_Questions!$N8/$I8)&amp;"&lt;/setvar&gt;"&amp;IF(AU8&lt;&gt;"","&lt;displayfeedback feedbacktype=""Response"" linkrefid=""response_1""/&gt;",IF($AS8&lt;&gt;"","&lt;displayfeedback feedbacktype=""Response"" linkrefid=""qti_feedback_trigger""/&gt;",""))&amp;"&lt;/respcondition&gt;",""))),"")</f>
      </c>
      <c r="AL8" s="46">
        <f>IF($B8,IF(N8="","",IF($C8="qcu",IF(OR(V8,AV8&lt;&gt;"",$AS8&lt;&gt;""),"      &lt;respcondition continue=""Yes""&gt;&lt;conditionvar&gt;&lt;varequal respident=""RESPONSE""&gt;2&lt;/varequal&gt;&lt;/conditionvar&gt;"&amp;"&lt;setvar action=""Add""&gt;"&amp;IF(V8,$H8,0)&amp;"&lt;/setvar&gt;"&amp;IF(AV8&lt;&gt;"","&lt;displayfeedback feedbacktype=""Response"" linkrefid=""response_2""/&gt;",IF($AS8&lt;&gt;"","&lt;displayfeedback feedbacktype=""Response"" linkrefid=""qti_feedback_trigger""/&gt;",""))&amp;"&lt;/respcondition&gt;",""),IF(OR(V8,AV8&lt;&gt;"",$AS8&lt;&gt;""),"      &lt;respcondition continue=""Yes""&gt;&lt;conditionvar&gt;"&amp;IF(V8,"&lt;varequal respident=""RESPONSE""&gt;2&lt;/varequal&gt;","&lt;not&gt;&lt;varequal respident=""RESPONSE""&gt;2&lt;/varequal&gt;&lt;/not&gt;")&amp;"&lt;/conditionvar&gt;&lt;setvar action=""Add""&gt;"&amp;(Saisie_Questions!$N8/$I8)&amp;"&lt;/setvar&gt;"&amp;IF(AV8&lt;&gt;"","&lt;displayfeedback feedbacktype=""Response"" linkrefid=""response_2""/&gt;",IF($AS8&lt;&gt;"","&lt;displayfeedback feedbacktype=""Response"" linkrefid=""qti_feedback_trigger""/&gt;",""))&amp;"&lt;/respcondition&gt;",""))),"")</f>
      </c>
      <c r="AM8" s="46">
        <f>IF($B8,IF(O8="","",IF($C8="qcu",IF(OR(W8,AW8&lt;&gt;"",$AS8&lt;&gt;""),"      &lt;respcondition continue=""Yes""&gt;&lt;conditionvar&gt;&lt;varequal respident=""RESPONSE""&gt;3&lt;/varequal&gt;&lt;/conditionvar&gt;"&amp;"&lt;setvar action=""Add""&gt;"&amp;IF(W8,$H8,0)&amp;"&lt;/setvar&gt;"&amp;IF(AW8&lt;&gt;"","&lt;displayfeedback feedbacktype=""Response"" linkrefid=""response_3""/&gt;",IF($AS8&lt;&gt;"","&lt;displayfeedback feedbacktype=""Response"" linkrefid=""qti_feedback_trigger""/&gt;",""))&amp;"&lt;/respcondition&gt;",""),IF(OR(W8,AW8&lt;&gt;"",$AS8&lt;&gt;""),"      &lt;respcondition continue=""Yes""&gt;&lt;conditionvar&gt;"&amp;IF(W8,"&lt;varequal respident=""RESPONSE""&gt;3&lt;/varequal&gt;","&lt;not&gt;&lt;varequal respident=""RESPONSE""&gt;3&lt;/varequal&gt;&lt;/not&gt;")&amp;"&lt;/conditionvar&gt;&lt;setvar action=""Add""&gt;"&amp;(Saisie_Questions!$N8/$I8)&amp;"&lt;/setvar&gt;"&amp;IF(AW8&lt;&gt;"","&lt;displayfeedback feedbacktype=""Response"" linkrefid=""response_3""/&gt;",IF($AS8&lt;&gt;"","&lt;displayfeedback feedbacktype=""Response"" linkrefid=""qti_feedback_trigger""/&gt;",""))&amp;"&lt;/respcondition&gt;",""))),"")</f>
      </c>
      <c r="AN8" s="46">
        <f>IF($B8,IF(P8="","",IF($C8="qcu",IF(OR(X8,AX8&lt;&gt;"",$AS8&lt;&gt;""),"      &lt;respcondition continue=""Yes""&gt;&lt;conditionvar&gt;&lt;varequal respident=""RESPONSE""&gt;4&lt;/varequal&gt;&lt;/conditionvar&gt;"&amp;"&lt;setvar action=""Add""&gt;"&amp;IF(X8,$H8,0)&amp;"&lt;/setvar&gt;"&amp;IF(AX8&lt;&gt;"","&lt;displayfeedback feedbacktype=""Response"" linkrefid=""response_4""/&gt;",IF($AS8&lt;&gt;"","&lt;displayfeedback feedbacktype=""Response"" linkrefid=""qti_feedback_trigger""/&gt;",""))&amp;"&lt;/respcondition&gt;",""),IF(OR(X8,AX8&lt;&gt;"",$AS8&lt;&gt;""),"      &lt;respcondition continue=""Yes""&gt;&lt;conditionvar&gt;"&amp;IF(X8,"&lt;varequal respident=""RESPONSE""&gt;4&lt;/varequal&gt;","&lt;not&gt;&lt;varequal respident=""RESPONSE""&gt;4&lt;/varequal&gt;&lt;/not&gt;")&amp;"&lt;/conditionvar&gt;&lt;setvar action=""Add""&gt;"&amp;(Saisie_Questions!$N8/$I8)&amp;"&lt;/setvar&gt;"&amp;IF(AX8&lt;&gt;"","&lt;displayfeedback feedbacktype=""Response"" linkrefid=""response_4""/&gt;",IF($AS8&lt;&gt;"","&lt;displayfeedback feedbacktype=""Response"" linkrefid=""qti_feedback_trigger""/&gt;",""))&amp;"&lt;/respcondition&gt;",""))),"")</f>
      </c>
      <c r="AO8" s="46">
        <f>IF($B8,IF(Q8="","",IF($C8="qcu",IF(OR(Y8,AY8&lt;&gt;"",$AS8&lt;&gt;""),"      &lt;respcondition continue=""Yes""&gt;&lt;conditionvar&gt;&lt;varequal respident=""RESPONSE""&gt;5&lt;/varequal&gt;&lt;/conditionvar&gt;"&amp;"&lt;setvar action=""Add""&gt;"&amp;IF(Y8,$H8,0)&amp;"&lt;/setvar&gt;"&amp;IF(AY8&lt;&gt;"","&lt;displayfeedback feedbacktype=""Response"" linkrefid=""response_5""/&gt;",IF($AS8&lt;&gt;"","&lt;displayfeedback feedbacktype=""Response"" linkrefid=""qti_feedback_trigger""/&gt;",""))&amp;"&lt;/respcondition&gt;",""),IF(OR(Y8,AY8&lt;&gt;"",$AS8&lt;&gt;""),"      &lt;respcondition continue=""Yes""&gt;&lt;conditionvar&gt;"&amp;IF(Y8,"&lt;varequal respident=""RESPONSE""&gt;5&lt;/varequal&gt;","&lt;not&gt;&lt;varequal respident=""RESPONSE""&gt;5&lt;/varequal&gt;&lt;/not&gt;")&amp;"&lt;/conditionvar&gt;&lt;setvar action=""Add""&gt;"&amp;(Saisie_Questions!$N8/$I8)&amp;"&lt;/setvar&gt;"&amp;IF(AY8&lt;&gt;"","&lt;displayfeedback feedbacktype=""Response"" linkrefid=""response_5""/&gt;",IF($AS8&lt;&gt;"","&lt;displayfeedback feedbacktype=""Response"" linkrefid=""qti_feedback_trigger""/&gt;",""))&amp;"&lt;/respcondition&gt;",""))),"")</f>
      </c>
      <c r="AP8" s="46">
        <f>IF($B8,IF(R8="","",IF($C8="qcu",IF(OR(Z8,AZ8&lt;&gt;"",$AS8&lt;&gt;""),"      &lt;respcondition continue=""Yes""&gt;&lt;conditionvar&gt;&lt;varequal respident=""RESPONSE""&gt;6&lt;/varequal&gt;&lt;/conditionvar&gt;"&amp;"&lt;setvar action=""Add""&gt;"&amp;IF(Z8,$H8,0)&amp;"&lt;/setvar&gt;"&amp;IF(AZ8&lt;&gt;"","&lt;displayfeedback feedbacktype=""Response"" linkrefid=""response_6""/&gt;",IF($AS8&lt;&gt;"","&lt;displayfeedback feedbacktype=""Response"" linkrefid=""qti_feedback_trigger""/&gt;",""))&amp;"&lt;/respcondition&gt;",""),IF(OR(Z8,AZ8&lt;&gt;"",$AS8&lt;&gt;""),"      &lt;respcondition continue=""Yes""&gt;&lt;conditionvar&gt;"&amp;IF(Z8,"&lt;varequal respident=""RESPONSE""&gt;6&lt;/varequal&gt;","&lt;not&gt;&lt;varequal respident=""RESPONSE""&gt;6&lt;/varequal&gt;&lt;/not&gt;")&amp;"&lt;/conditionvar&gt;&lt;setvar action=""Add""&gt;"&amp;(Saisie_Questions!$N8/$I8)&amp;"&lt;/setvar&gt;"&amp;IF(AZ8&lt;&gt;"","&lt;displayfeedback feedbacktype=""Response"" linkrefid=""response_6""/&gt;",IF($AS8&lt;&gt;"","&lt;displayfeedback feedbacktype=""Response"" linkrefid=""qti_feedback_trigger""/&gt;",""))&amp;"&lt;/respcondition&gt;",""))),"")</f>
      </c>
      <c r="AQ8" s="46">
        <f>IF($B8,IF(S8="","",IF($C8="qcu",IF(OR(AA8,BA8&lt;&gt;"",$AS8&lt;&gt;""),"      &lt;respcondition continue=""Yes""&gt;&lt;conditionvar&gt;&lt;varequal respident=""RESPONSE""&gt;7&lt;/varequal&gt;&lt;/conditionvar&gt;"&amp;"&lt;setvar action=""Add""&gt;"&amp;IF(AA8,$H8,0)&amp;"&lt;/setvar&gt;"&amp;IF(BA8&lt;&gt;"","&lt;displayfeedback feedbacktype=""Response"" linkrefid=""response_7""/&gt;",IF($AS8&lt;&gt;"","&lt;displayfeedback feedbacktype=""Response"" linkrefid=""qti_feedback_trigger""/&gt;",""))&amp;"&lt;/respcondition&gt;",""),IF(OR(AA8,BA8&lt;&gt;"",$AS8&lt;&gt;""),"      &lt;respcondition continue=""Yes""&gt;&lt;conditionvar&gt;"&amp;IF(AA8,"&lt;varequal respident=""RESPONSE""&gt;7&lt;/varequal&gt;","&lt;not&gt;&lt;varequal respident=""RESPONSE""&gt;7&lt;/varequal&gt;&lt;/not&gt;")&amp;"&lt;/conditionvar&gt;&lt;setvar action=""Add""&gt;"&amp;(Saisie_Questions!$N8/$I8)&amp;"&lt;/setvar&gt;"&amp;IF(BA8&lt;&gt;"","&lt;displayfeedback feedbacktype=""Response"" linkrefid=""response_7""/&gt;",IF($AS8&lt;&gt;"","&lt;displayfeedback feedbacktype=""Response"" linkrefid=""qti_feedback_trigger""/&gt;",""))&amp;"&lt;/respcondition&gt;",""))),"")</f>
      </c>
      <c r="AR8" s="46">
        <f>IF(A8="","",SUBSTITUTE(SUBSTITUTE(SUBSTITUTE(SUBSTITUTE(SUBSTITUTE(IF(Saisie_Questions!P8&lt;&gt;"",Saisie_Questions!P8,Interface_Generation!$B$5),"&amp;","&amp;amp;"),"&lt;","&amp;lt;"),"&gt;","&amp;gt;"),CHAR(34),"&amp;quot;"),"'","&amp;apos;"))</f>
        <v/>
      </c>
      <c r="AS8" s="46">
        <f>IF(Saisie_Questions!Q8="","",SUBSTITUTE(SUBSTITUTE(SUBSTITUTE(SUBSTITUTE(SUBSTITUTE(Saisie_Questions!Q8,"&amp;","&amp;amp;"),"&lt;","&amp;lt;"),"&gt;","&amp;gt;"),CHAR(34),"&amp;quot;"),"'","&amp;apos;"))</f>
        <v/>
      </c>
      <c r="AT8" s="46">
        <f>IF(Saisie_Questions!R8="","",SUBSTITUTE(SUBSTITUTE(SUBSTITUTE(SUBSTITUTE(SUBSTITUTE(Saisie_Questions!R8,"&amp;","&amp;amp;"),"&lt;","&amp;lt;"),"&gt;","&amp;gt;"),CHAR(34),"&amp;quot;"),"'","&amp;apos;"))</f>
        <v/>
      </c>
      <c r="AU8" s="46">
        <f>IF(Saisie_Questions!S8="","",SUBSTITUTE(SUBSTITUTE(SUBSTITUTE(SUBSTITUTE(SUBSTITUTE(Saisie_Questions!S8,"&amp;","&amp;amp;"),"&lt;","&amp;lt;"),"&gt;","&amp;gt;"),CHAR(34),"&amp;quot;"),"'","&amp;apos;"))</f>
        <v/>
      </c>
      <c r="AV8" s="46">
        <f>IF(Saisie_Questions!T8="","",SUBSTITUTE(SUBSTITUTE(SUBSTITUTE(SUBSTITUTE(SUBSTITUTE(Saisie_Questions!T8,"&amp;","&amp;amp;"),"&lt;","&amp;lt;"),"&gt;","&amp;gt;"),CHAR(34),"&amp;quot;"),"'","&amp;apos;"))</f>
        <v/>
      </c>
      <c r="AW8" s="46">
        <f>IF(Saisie_Questions!U8="","",SUBSTITUTE(SUBSTITUTE(SUBSTITUTE(SUBSTITUTE(SUBSTITUTE(Saisie_Questions!U8,"&amp;","&amp;amp;"),"&lt;","&amp;lt;"),"&gt;","&amp;gt;"),CHAR(34),"&amp;quot;"),"'","&amp;apos;"))</f>
        <v/>
      </c>
      <c r="AX8" s="46">
        <f>IF(Saisie_Questions!V8="","",SUBSTITUTE(SUBSTITUTE(SUBSTITUTE(SUBSTITUTE(SUBSTITUTE(Saisie_Questions!V8,"&amp;","&amp;amp;"),"&lt;","&amp;lt;"),"&gt;","&amp;gt;"),CHAR(34),"&amp;quot;"),"'","&amp;apos;"))</f>
        <v/>
      </c>
      <c r="AY8" s="46">
        <f>IF(Saisie_Questions!W8="","",SUBSTITUTE(SUBSTITUTE(SUBSTITUTE(SUBSTITUTE(SUBSTITUTE(Saisie_Questions!W8,"&amp;","&amp;amp;"),"&lt;","&amp;lt;"),"&gt;","&amp;gt;"),CHAR(34),"&amp;quot;"),"'","&amp;apos;"))</f>
        <v/>
      </c>
      <c r="AZ8" s="46">
        <f>IF(Saisie_Questions!X8="","",SUBSTITUTE(SUBSTITUTE(SUBSTITUTE(SUBSTITUTE(SUBSTITUTE(Saisie_Questions!X8,"&amp;","&amp;amp;"),"&lt;","&amp;lt;"),"&gt;","&amp;gt;"),CHAR(34),"&amp;quot;"),"'","&amp;apos;"))</f>
        <v/>
      </c>
      <c r="BA8" s="46">
        <f>IF(Saisie_Questions!Y8="","",SUBSTITUTE(SUBSTITUTE(SUBSTITUTE(SUBSTITUTE(SUBSTITUTE(Saisie_Questions!Y8,"&amp;","&amp;amp;"),"&lt;","&amp;lt;"),"&gt;","&amp;gt;"),CHAR(34),"&amp;quot;"),"'","&amp;apos;"))</f>
        <v/>
      </c>
      <c r="BB8" s="46">
        <f>IF($B8,IF($AS8="","","    &lt;itemfeedback ident=""response_allcorrect"" view=""All""&gt;&lt;flow_mat&gt;&lt;material&gt;&lt;mattext texttype=""text/html""&gt;"&amp;$AS8&amp;"&lt;/mattext&gt;&lt;/material&gt;&lt;/flow_mat&gt;&lt;/itemfeedback&gt;"&amp;"    &lt;itemfeedback ident=""response_onenotcorrect"" view=""All""&gt;&lt;flow_mat&gt;&lt;material&gt;&lt;mattext texttype=""text/html""&gt;"&amp;$AS8&amp;"&lt;/mattext&gt;&lt;/material&gt;&lt;/flow_mat&gt;&lt;/itemfeedback&gt;"),"")</f>
      </c>
      <c r="BC8" s="46">
        <f>IF($B8,IF(AT8="","","    &lt;itemfeedback ident=""response_0"" view=""All""&gt;&lt;flow_mat&gt;&lt;material&gt;&lt;mattext texttype=""text/html""&gt;"&amp;AT8&amp;"&lt;/mattext&gt;&lt;/material&gt;&lt;/flow_mat&gt;&lt;/itemfeedback&gt;"),"")</f>
      </c>
      <c r="BD8" s="46">
        <f>IF($B8,IF(AU8="","","    &lt;itemfeedback ident=""response_1"" view=""All""&gt;&lt;flow_mat&gt;&lt;material&gt;&lt;mattext texttype=""text/html""&gt;"&amp;AU8&amp;"&lt;/mattext&gt;&lt;/material&gt;&lt;/flow_mat&gt;&lt;/itemfeedback&gt;"),"")</f>
      </c>
      <c r="BE8" s="46">
        <f>IF($B8,IF(AV8="","","    &lt;itemfeedback ident=""response_2"" view=""All""&gt;&lt;flow_mat&gt;&lt;material&gt;&lt;mattext texttype=""text/html""&gt;"&amp;AV8&amp;"&lt;/mattext&gt;&lt;/material&gt;&lt;/flow_mat&gt;&lt;/itemfeedback&gt;"),"")</f>
      </c>
      <c r="BF8" s="46">
        <f>IF($B8,IF(AW8="","","    &lt;itemfeedback ident=""response_3"" view=""All""&gt;&lt;flow_mat&gt;&lt;material&gt;&lt;mattext texttype=""text/html""&gt;"&amp;AW8&amp;"&lt;/mattext&gt;&lt;/material&gt;&lt;/flow_mat&gt;&lt;/itemfeedback&gt;"),"")</f>
      </c>
      <c r="BG8" s="46">
        <f>IF($B8,IF(AX8="","","    &lt;itemfeedback ident=""response_4"" view=""All""&gt;&lt;flow_mat&gt;&lt;material&gt;&lt;mattext texttype=""text/html""&gt;"&amp;AX8&amp;"&lt;/mattext&gt;&lt;/material&gt;&lt;/flow_mat&gt;&lt;/itemfeedback&gt;"),"")</f>
      </c>
      <c r="BH8" s="46">
        <f>IF($B8,IF(AY8="","","    &lt;itemfeedback ident=""response_5"" view=""All""&gt;&lt;flow_mat&gt;&lt;material&gt;&lt;mattext texttype=""text/html""&gt;"&amp;AY8&amp;"&lt;/mattext&gt;&lt;/material&gt;&lt;/flow_mat&gt;&lt;/itemfeedback&gt;"),"")</f>
      </c>
      <c r="BI8" s="46">
        <f>IF($B8,IF(AZ8="","","    &lt;itemfeedback ident=""response_6"" view=""All""&gt;&lt;flow_mat&gt;&lt;material&gt;&lt;mattext texttype=""text/html""&gt;"&amp;AZ8&amp;"&lt;/mattext&gt;&lt;/material&gt;&lt;/flow_mat&gt;&lt;/itemfeedback&gt;"),"")</f>
      </c>
      <c r="BJ8" s="46">
        <f>IF($B8,IF(BA8="","","    &lt;itemfeedback ident=""response_7"" view=""All""&gt;&lt;flow_mat&gt;&lt;material&gt;&lt;mattext texttype=""text/html""&gt;"&amp;BA8&amp;"&lt;/mattext&gt;&lt;/material&gt;&lt;/flow_mat&gt;&lt;/itemfeedback&gt;"),"")</f>
      </c>
    </row>
    <row r="9" ht="18" customHeight="1" s="17">
      <c r="A9" s="46">
        <f>Saisie_Questions!A9</f>
        <v/>
      </c>
      <c r="B9" s="46">
        <f>Saisie_Questions!O9="OK"</f>
        <v/>
      </c>
      <c r="C9" s="46">
        <f>LOWER(TRIM(Saisie_Questions!B9))</f>
        <v/>
      </c>
      <c r="D9" s="46">
        <f>IF(C9="qcu","SINGLE CHOICE QUESTION","MULTIPLE CHOICE QUESTION")</f>
        <v/>
      </c>
      <c r="E9" s="46">
        <f>IF(C9="qcu","Single","Multiple")</f>
        <v/>
      </c>
      <c r="F9" s="46">
        <f>IF(A9="","",SUBSTITUTE(SUBSTITUTE(SUBSTITUTE(SUBSTITUTE(SUBSTITUTE(IF(Saisie_Questions!C9="", "Question "&amp;A9, Saisie_Questions!C9),"&amp;","&amp;amp;"),"&lt;","&amp;lt;"),"&gt;","&amp;gt;"),CHAR(34),"&amp;quot;"),"'","&amp;apos;"))</f>
        <v/>
      </c>
      <c r="G9" s="46">
        <f>IF(A9="","",SUBSTITUTE(SUBSTITUTE(SUBSTITUTE(SUBSTITUTE(SUBSTITUTE(Saisie_Questions!D9,"&amp;","&amp;amp;"),"&lt;","&amp;lt;"),"&gt;","&amp;gt;"),CHAR(34),"&amp;quot;"),"'","&amp;apos;"))</f>
        <v/>
      </c>
      <c r="H9" s="46">
        <f>Saisie_Questions!N9</f>
        <v/>
      </c>
      <c r="I9" s="46">
        <f>IF(Saisie_Questions!E9="",0,1)+IF(Saisie_Questions!F9="",0,1)+IF(Saisie_Questions!G9="",0,1)+IF(Saisie_Questions!H9="",0,1)+IF(Saisie_Questions!I9="",0,1)+IF(Saisie_Questions!J9="",0,1)+IF(Saisie_Questions!K9="",0,1)+IF(Saisie_Questions!L9="",0,1)</f>
        <v/>
      </c>
      <c r="J9" s="46">
        <f>Saisie_Questions!M9</f>
        <v/>
      </c>
      <c r="K9" s="46">
        <f>Saisie_Questions!O9</f>
        <v/>
      </c>
      <c r="L9" s="46">
        <f>IF(Saisie_Questions!E9="","",SUBSTITUTE(SUBSTITUTE(SUBSTITUTE(SUBSTITUTE(SUBSTITUTE(Saisie_Questions!E9,"&amp;","&amp;amp;"),"&lt;","&amp;lt;"),"&gt;","&amp;gt;"),CHAR(34),"&amp;quot;"),"'","&amp;apos;"))</f>
        <v/>
      </c>
      <c r="M9" s="46">
        <f>IF(Saisie_Questions!F9="","",SUBSTITUTE(SUBSTITUTE(SUBSTITUTE(SUBSTITUTE(SUBSTITUTE(Saisie_Questions!F9,"&amp;","&amp;amp;"),"&lt;","&amp;lt;"),"&gt;","&amp;gt;"),CHAR(34),"&amp;quot;"),"'","&amp;apos;"))</f>
        <v/>
      </c>
      <c r="N9" s="46">
        <f>IF(Saisie_Questions!G9="","",SUBSTITUTE(SUBSTITUTE(SUBSTITUTE(SUBSTITUTE(SUBSTITUTE(Saisie_Questions!G9,"&amp;","&amp;amp;"),"&lt;","&amp;lt;"),"&gt;","&amp;gt;"),CHAR(34),"&amp;quot;"),"'","&amp;apos;"))</f>
        <v/>
      </c>
      <c r="O9" s="46">
        <f>IF(Saisie_Questions!H9="","",SUBSTITUTE(SUBSTITUTE(SUBSTITUTE(SUBSTITUTE(SUBSTITUTE(Saisie_Questions!H9,"&amp;","&amp;amp;"),"&lt;","&amp;lt;"),"&gt;","&amp;gt;"),CHAR(34),"&amp;quot;"),"'","&amp;apos;"))</f>
        <v/>
      </c>
      <c r="P9" s="46">
        <f>IF(Saisie_Questions!I9="","",SUBSTITUTE(SUBSTITUTE(SUBSTITUTE(SUBSTITUTE(SUBSTITUTE(Saisie_Questions!I9,"&amp;","&amp;amp;"),"&lt;","&amp;lt;"),"&gt;","&amp;gt;"),CHAR(34),"&amp;quot;"),"'","&amp;apos;"))</f>
        <v/>
      </c>
      <c r="Q9" s="46">
        <f>IF(Saisie_Questions!J9="","",SUBSTITUTE(SUBSTITUTE(SUBSTITUTE(SUBSTITUTE(SUBSTITUTE(Saisie_Questions!J9,"&amp;","&amp;amp;"),"&lt;","&amp;lt;"),"&gt;","&amp;gt;"),CHAR(34),"&amp;quot;"),"'","&amp;apos;"))</f>
        <v/>
      </c>
      <c r="R9" s="46">
        <f>IF(Saisie_Questions!K9="","",SUBSTITUTE(SUBSTITUTE(SUBSTITUTE(SUBSTITUTE(SUBSTITUTE(Saisie_Questions!K9,"&amp;","&amp;amp;"),"&lt;","&amp;lt;"),"&gt;","&amp;gt;"),CHAR(34),"&amp;quot;"),"'","&amp;apos;"))</f>
        <v/>
      </c>
      <c r="S9" s="46">
        <f>IF(Saisie_Questions!L9="","",SUBSTITUTE(SUBSTITUTE(SUBSTITUTE(SUBSTITUTE(SUBSTITUTE(Saisie_Questions!L9,"&amp;","&amp;amp;"),"&lt;","&amp;lt;"),"&gt;","&amp;gt;"),CHAR(34),"&amp;quot;"),"'","&amp;apos;"))</f>
        <v/>
      </c>
      <c r="T9" s="46">
        <f>ISNUMBER(SEARCH(";"&amp;1&amp;";",";"&amp;$J9&amp;";"))</f>
        <v/>
      </c>
      <c r="U9" s="46">
        <f>ISNUMBER(SEARCH(";"&amp;2&amp;";",";"&amp;$J9&amp;";"))</f>
        <v/>
      </c>
      <c r="V9" s="46">
        <f>ISNUMBER(SEARCH(";"&amp;3&amp;";",";"&amp;$J9&amp;";"))</f>
        <v/>
      </c>
      <c r="W9" s="46">
        <f>ISNUMBER(SEARCH(";"&amp;4&amp;";",";"&amp;$J9&amp;";"))</f>
        <v/>
      </c>
      <c r="X9" s="46">
        <f>ISNUMBER(SEARCH(";"&amp;5&amp;";",";"&amp;$J9&amp;";"))</f>
        <v/>
      </c>
      <c r="Y9" s="46">
        <f>ISNUMBER(SEARCH(";"&amp;6&amp;";",";"&amp;$J9&amp;";"))</f>
        <v/>
      </c>
      <c r="Z9" s="46">
        <f>ISNUMBER(SEARCH(";"&amp;7&amp;";",";"&amp;$J9&amp;";"))</f>
        <v/>
      </c>
      <c r="AA9" s="46">
        <f>ISNUMBER(SEARCH(";"&amp;8&amp;";",";"&amp;$J9&amp;";"))</f>
        <v/>
      </c>
      <c r="AB9" s="46">
        <f>IF($B9,IF(L9="","","        &lt;response_label ident=""0""&gt;&lt;material&gt;&lt;mattext texttype=""text/html""&gt;"&amp;L9&amp;"&lt;/mattext&gt;&lt;/material&gt;&lt;/response_label&gt;"),"")</f>
        <v/>
      </c>
      <c r="AC9" s="46">
        <f>IF($B9,IF(M9="","","        &lt;response_label ident=""1""&gt;&lt;material&gt;&lt;mattext texttype=""text/html""&gt;"&amp;M9&amp;"&lt;/mattext&gt;&lt;/material&gt;&lt;/response_label&gt;"),"")</f>
        <v/>
      </c>
      <c r="AD9" s="46">
        <f>IF($B9,IF(N9="","","        &lt;response_label ident=""2""&gt;&lt;material&gt;&lt;mattext texttype=""text/html""&gt;"&amp;N9&amp;"&lt;/mattext&gt;&lt;/material&gt;&lt;/response_label&gt;"),"")</f>
        <v/>
      </c>
      <c r="AE9" s="46">
        <f>IF($B9,IF(O9="","","        &lt;response_label ident=""3""&gt;&lt;material&gt;&lt;mattext texttype=""text/html""&gt;"&amp;O9&amp;"&lt;/mattext&gt;&lt;/material&gt;&lt;/response_label&gt;"),"")</f>
        <v/>
      </c>
      <c r="AF9" s="46">
        <f>IF($B9,IF(P9="","","        &lt;response_label ident=""4""&gt;&lt;material&gt;&lt;mattext texttype=""text/html""&gt;"&amp;P9&amp;"&lt;/mattext&gt;&lt;/material&gt;&lt;/response_label&gt;"),"")</f>
        <v/>
      </c>
      <c r="AG9" s="46">
        <f>IF($B9,IF(Q9="","","        &lt;response_label ident=""5""&gt;&lt;material&gt;&lt;mattext texttype=""text/html""&gt;"&amp;Q9&amp;"&lt;/mattext&gt;&lt;/material&gt;&lt;/response_label&gt;"),"")</f>
        <v/>
      </c>
      <c r="AH9" s="46">
        <f>IF($B9,IF(R9="","","        &lt;response_label ident=""6""&gt;&lt;material&gt;&lt;mattext texttype=""text/html""&gt;"&amp;R9&amp;"&lt;/mattext&gt;&lt;/material&gt;&lt;/response_label&gt;"),"")</f>
        <v/>
      </c>
      <c r="AI9" s="46">
        <f>IF($B9,IF(S9="","","        &lt;response_label ident=""7""&gt;&lt;material&gt;&lt;mattext texttype=""text/html""&gt;"&amp;S9&amp;"&lt;/mattext&gt;&lt;/material&gt;&lt;/response_label&gt;"),"")</f>
        <v/>
      </c>
      <c r="AJ9" s="46">
        <f>IF($B9,IF(L9="","",IF($C9="qcu",IF(OR(T9,AT9&lt;&gt;"",$AS9&lt;&gt;""),"      &lt;respcondition continue=""Yes""&gt;&lt;conditionvar&gt;&lt;varequal respident=""RESPONSE""&gt;0&lt;/varequal&gt;&lt;/conditionvar&gt;"&amp;"&lt;setvar action=""Add""&gt;"&amp;IF(T9,$H9,0)&amp;"&lt;/setvar&gt;"&amp;IF(AT9&lt;&gt;"","&lt;displayfeedback feedbacktype=""Response"" linkrefid=""response_0""/&gt;",IF($AS9&lt;&gt;"","&lt;displayfeedback feedbacktype=""Response"" linkrefid=""qti_feedback_trigger""/&gt;",""))&amp;"&lt;/respcondition&gt;",""),IF(OR(T9,AT9&lt;&gt;"",$AS9&lt;&gt;""),"      &lt;respcondition continue=""Yes""&gt;&lt;conditionvar&gt;"&amp;IF(T9,"&lt;varequal respident=""RESPONSE""&gt;0&lt;/varequal&gt;","&lt;not&gt;&lt;varequal respident=""RESPONSE""&gt;0&lt;/varequal&gt;&lt;/not&gt;")&amp;"&lt;/conditionvar&gt;&lt;setvar action=""Add""&gt;"&amp;(Saisie_Questions!$N9/$I9)&amp;"&lt;/setvar&gt;"&amp;IF(AT9&lt;&gt;"","&lt;displayfeedback feedbacktype=""Response"" linkrefid=""response_0""/&gt;",IF($AS9&lt;&gt;"","&lt;displayfeedback feedbacktype=""Response"" linkrefid=""qti_feedback_trigger""/&gt;",""))&amp;"&lt;/respcondition&gt;",""))),"")</f>
      </c>
      <c r="AK9" s="46">
        <f>IF($B9,IF(M9="","",IF($C9="qcu",IF(OR(U9,AU9&lt;&gt;"",$AS9&lt;&gt;""),"      &lt;respcondition continue=""Yes""&gt;&lt;conditionvar&gt;&lt;varequal respident=""RESPONSE""&gt;1&lt;/varequal&gt;&lt;/conditionvar&gt;"&amp;"&lt;setvar action=""Add""&gt;"&amp;IF(U9,$H9,0)&amp;"&lt;/setvar&gt;"&amp;IF(AU9&lt;&gt;"","&lt;displayfeedback feedbacktype=""Response"" linkrefid=""response_1""/&gt;",IF($AS9&lt;&gt;"","&lt;displayfeedback feedbacktype=""Response"" linkrefid=""qti_feedback_trigger""/&gt;",""))&amp;"&lt;/respcondition&gt;",""),IF(OR(U9,AU9&lt;&gt;"",$AS9&lt;&gt;""),"      &lt;respcondition continue=""Yes""&gt;&lt;conditionvar&gt;"&amp;IF(U9,"&lt;varequal respident=""RESPONSE""&gt;1&lt;/varequal&gt;","&lt;not&gt;&lt;varequal respident=""RESPONSE""&gt;1&lt;/varequal&gt;&lt;/not&gt;")&amp;"&lt;/conditionvar&gt;&lt;setvar action=""Add""&gt;"&amp;(Saisie_Questions!$N9/$I9)&amp;"&lt;/setvar&gt;"&amp;IF(AU9&lt;&gt;"","&lt;displayfeedback feedbacktype=""Response"" linkrefid=""response_1""/&gt;",IF($AS9&lt;&gt;"","&lt;displayfeedback feedbacktype=""Response"" linkrefid=""qti_feedback_trigger""/&gt;",""))&amp;"&lt;/respcondition&gt;",""))),"")</f>
      </c>
      <c r="AL9" s="46">
        <f>IF($B9,IF(N9="","",IF($C9="qcu",IF(OR(V9,AV9&lt;&gt;"",$AS9&lt;&gt;""),"      &lt;respcondition continue=""Yes""&gt;&lt;conditionvar&gt;&lt;varequal respident=""RESPONSE""&gt;2&lt;/varequal&gt;&lt;/conditionvar&gt;"&amp;"&lt;setvar action=""Add""&gt;"&amp;IF(V9,$H9,0)&amp;"&lt;/setvar&gt;"&amp;IF(AV9&lt;&gt;"","&lt;displayfeedback feedbacktype=""Response"" linkrefid=""response_2""/&gt;",IF($AS9&lt;&gt;"","&lt;displayfeedback feedbacktype=""Response"" linkrefid=""qti_feedback_trigger""/&gt;",""))&amp;"&lt;/respcondition&gt;",""),IF(OR(V9,AV9&lt;&gt;"",$AS9&lt;&gt;""),"      &lt;respcondition continue=""Yes""&gt;&lt;conditionvar&gt;"&amp;IF(V9,"&lt;varequal respident=""RESPONSE""&gt;2&lt;/varequal&gt;","&lt;not&gt;&lt;varequal respident=""RESPONSE""&gt;2&lt;/varequal&gt;&lt;/not&gt;")&amp;"&lt;/conditionvar&gt;&lt;setvar action=""Add""&gt;"&amp;(Saisie_Questions!$N9/$I9)&amp;"&lt;/setvar&gt;"&amp;IF(AV9&lt;&gt;"","&lt;displayfeedback feedbacktype=""Response"" linkrefid=""response_2""/&gt;",IF($AS9&lt;&gt;"","&lt;displayfeedback feedbacktype=""Response"" linkrefid=""qti_feedback_trigger""/&gt;",""))&amp;"&lt;/respcondition&gt;",""))),"")</f>
      </c>
      <c r="AM9" s="46">
        <f>IF($B9,IF(O9="","",IF($C9="qcu",IF(OR(W9,AW9&lt;&gt;"",$AS9&lt;&gt;""),"      &lt;respcondition continue=""Yes""&gt;&lt;conditionvar&gt;&lt;varequal respident=""RESPONSE""&gt;3&lt;/varequal&gt;&lt;/conditionvar&gt;"&amp;"&lt;setvar action=""Add""&gt;"&amp;IF(W9,$H9,0)&amp;"&lt;/setvar&gt;"&amp;IF(AW9&lt;&gt;"","&lt;displayfeedback feedbacktype=""Response"" linkrefid=""response_3""/&gt;",IF($AS9&lt;&gt;"","&lt;displayfeedback feedbacktype=""Response"" linkrefid=""qti_feedback_trigger""/&gt;",""))&amp;"&lt;/respcondition&gt;",""),IF(OR(W9,AW9&lt;&gt;"",$AS9&lt;&gt;""),"      &lt;respcondition continue=""Yes""&gt;&lt;conditionvar&gt;"&amp;IF(W9,"&lt;varequal respident=""RESPONSE""&gt;3&lt;/varequal&gt;","&lt;not&gt;&lt;varequal respident=""RESPONSE""&gt;3&lt;/varequal&gt;&lt;/not&gt;")&amp;"&lt;/conditionvar&gt;&lt;setvar action=""Add""&gt;"&amp;(Saisie_Questions!$N9/$I9)&amp;"&lt;/setvar&gt;"&amp;IF(AW9&lt;&gt;"","&lt;displayfeedback feedbacktype=""Response"" linkrefid=""response_3""/&gt;",IF($AS9&lt;&gt;"","&lt;displayfeedback feedbacktype=""Response"" linkrefid=""qti_feedback_trigger""/&gt;",""))&amp;"&lt;/respcondition&gt;",""))),"")</f>
      </c>
      <c r="AN9" s="46">
        <f>IF($B9,IF(P9="","",IF($C9="qcu",IF(OR(X9,AX9&lt;&gt;"",$AS9&lt;&gt;""),"      &lt;respcondition continue=""Yes""&gt;&lt;conditionvar&gt;&lt;varequal respident=""RESPONSE""&gt;4&lt;/varequal&gt;&lt;/conditionvar&gt;"&amp;"&lt;setvar action=""Add""&gt;"&amp;IF(X9,$H9,0)&amp;"&lt;/setvar&gt;"&amp;IF(AX9&lt;&gt;"","&lt;displayfeedback feedbacktype=""Response"" linkrefid=""response_4""/&gt;",IF($AS9&lt;&gt;"","&lt;displayfeedback feedbacktype=""Response"" linkrefid=""qti_feedback_trigger""/&gt;",""))&amp;"&lt;/respcondition&gt;",""),IF(OR(X9,AX9&lt;&gt;"",$AS9&lt;&gt;""),"      &lt;respcondition continue=""Yes""&gt;&lt;conditionvar&gt;"&amp;IF(X9,"&lt;varequal respident=""RESPONSE""&gt;4&lt;/varequal&gt;","&lt;not&gt;&lt;varequal respident=""RESPONSE""&gt;4&lt;/varequal&gt;&lt;/not&gt;")&amp;"&lt;/conditionvar&gt;&lt;setvar action=""Add""&gt;"&amp;(Saisie_Questions!$N9/$I9)&amp;"&lt;/setvar&gt;"&amp;IF(AX9&lt;&gt;"","&lt;displayfeedback feedbacktype=""Response"" linkrefid=""response_4""/&gt;",IF($AS9&lt;&gt;"","&lt;displayfeedback feedbacktype=""Response"" linkrefid=""qti_feedback_trigger""/&gt;",""))&amp;"&lt;/respcondition&gt;",""))),"")</f>
      </c>
      <c r="AO9" s="46">
        <f>IF($B9,IF(Q9="","",IF($C9="qcu",IF(OR(Y9,AY9&lt;&gt;"",$AS9&lt;&gt;""),"      &lt;respcondition continue=""Yes""&gt;&lt;conditionvar&gt;&lt;varequal respident=""RESPONSE""&gt;5&lt;/varequal&gt;&lt;/conditionvar&gt;"&amp;"&lt;setvar action=""Add""&gt;"&amp;IF(Y9,$H9,0)&amp;"&lt;/setvar&gt;"&amp;IF(AY9&lt;&gt;"","&lt;displayfeedback feedbacktype=""Response"" linkrefid=""response_5""/&gt;",IF($AS9&lt;&gt;"","&lt;displayfeedback feedbacktype=""Response"" linkrefid=""qti_feedback_trigger""/&gt;",""))&amp;"&lt;/respcondition&gt;",""),IF(OR(Y9,AY9&lt;&gt;"",$AS9&lt;&gt;""),"      &lt;respcondition continue=""Yes""&gt;&lt;conditionvar&gt;"&amp;IF(Y9,"&lt;varequal respident=""RESPONSE""&gt;5&lt;/varequal&gt;","&lt;not&gt;&lt;varequal respident=""RESPONSE""&gt;5&lt;/varequal&gt;&lt;/not&gt;")&amp;"&lt;/conditionvar&gt;&lt;setvar action=""Add""&gt;"&amp;(Saisie_Questions!$N9/$I9)&amp;"&lt;/setvar&gt;"&amp;IF(AY9&lt;&gt;"","&lt;displayfeedback feedbacktype=""Response"" linkrefid=""response_5""/&gt;",IF($AS9&lt;&gt;"","&lt;displayfeedback feedbacktype=""Response"" linkrefid=""qti_feedback_trigger""/&gt;",""))&amp;"&lt;/respcondition&gt;",""))),"")</f>
      </c>
      <c r="AP9" s="46">
        <f>IF($B9,IF(R9="","",IF($C9="qcu",IF(OR(Z9,AZ9&lt;&gt;"",$AS9&lt;&gt;""),"      &lt;respcondition continue=""Yes""&gt;&lt;conditionvar&gt;&lt;varequal respident=""RESPONSE""&gt;6&lt;/varequal&gt;&lt;/conditionvar&gt;"&amp;"&lt;setvar action=""Add""&gt;"&amp;IF(Z9,$H9,0)&amp;"&lt;/setvar&gt;"&amp;IF(AZ9&lt;&gt;"","&lt;displayfeedback feedbacktype=""Response"" linkrefid=""response_6""/&gt;",IF($AS9&lt;&gt;"","&lt;displayfeedback feedbacktype=""Response"" linkrefid=""qti_feedback_trigger""/&gt;",""))&amp;"&lt;/respcondition&gt;",""),IF(OR(Z9,AZ9&lt;&gt;"",$AS9&lt;&gt;""),"      &lt;respcondition continue=""Yes""&gt;&lt;conditionvar&gt;"&amp;IF(Z9,"&lt;varequal respident=""RESPONSE""&gt;6&lt;/varequal&gt;","&lt;not&gt;&lt;varequal respident=""RESPONSE""&gt;6&lt;/varequal&gt;&lt;/not&gt;")&amp;"&lt;/conditionvar&gt;&lt;setvar action=""Add""&gt;"&amp;(Saisie_Questions!$N9/$I9)&amp;"&lt;/setvar&gt;"&amp;IF(AZ9&lt;&gt;"","&lt;displayfeedback feedbacktype=""Response"" linkrefid=""response_6""/&gt;",IF($AS9&lt;&gt;"","&lt;displayfeedback feedbacktype=""Response"" linkrefid=""qti_feedback_trigger""/&gt;",""))&amp;"&lt;/respcondition&gt;",""))),"")</f>
      </c>
      <c r="AQ9" s="46">
        <f>IF($B9,IF(S9="","",IF($C9="qcu",IF(OR(AA9,BA9&lt;&gt;"",$AS9&lt;&gt;""),"      &lt;respcondition continue=""Yes""&gt;&lt;conditionvar&gt;&lt;varequal respident=""RESPONSE""&gt;7&lt;/varequal&gt;&lt;/conditionvar&gt;"&amp;"&lt;setvar action=""Add""&gt;"&amp;IF(AA9,$H9,0)&amp;"&lt;/setvar&gt;"&amp;IF(BA9&lt;&gt;"","&lt;displayfeedback feedbacktype=""Response"" linkrefid=""response_7""/&gt;",IF($AS9&lt;&gt;"","&lt;displayfeedback feedbacktype=""Response"" linkrefid=""qti_feedback_trigger""/&gt;",""))&amp;"&lt;/respcondition&gt;",""),IF(OR(AA9,BA9&lt;&gt;"",$AS9&lt;&gt;""),"      &lt;respcondition continue=""Yes""&gt;&lt;conditionvar&gt;"&amp;IF(AA9,"&lt;varequal respident=""RESPONSE""&gt;7&lt;/varequal&gt;","&lt;not&gt;&lt;varequal respident=""RESPONSE""&gt;7&lt;/varequal&gt;&lt;/not&gt;")&amp;"&lt;/conditionvar&gt;&lt;setvar action=""Add""&gt;"&amp;(Saisie_Questions!$N9/$I9)&amp;"&lt;/setvar&gt;"&amp;IF(BA9&lt;&gt;"","&lt;displayfeedback feedbacktype=""Response"" linkrefid=""response_7""/&gt;",IF($AS9&lt;&gt;"","&lt;displayfeedback feedbacktype=""Response"" linkrefid=""qti_feedback_trigger""/&gt;",""))&amp;"&lt;/respcondition&gt;",""))),"")</f>
      </c>
      <c r="AR9" s="46">
        <f>IF(A9="","",SUBSTITUTE(SUBSTITUTE(SUBSTITUTE(SUBSTITUTE(SUBSTITUTE(IF(Saisie_Questions!P9&lt;&gt;"",Saisie_Questions!P9,Interface_Generation!$B$5),"&amp;","&amp;amp;"),"&lt;","&amp;lt;"),"&gt;","&amp;gt;"),CHAR(34),"&amp;quot;"),"'","&amp;apos;"))</f>
        <v/>
      </c>
      <c r="AS9" s="46">
        <f>IF(Saisie_Questions!Q9="","",SUBSTITUTE(SUBSTITUTE(SUBSTITUTE(SUBSTITUTE(SUBSTITUTE(Saisie_Questions!Q9,"&amp;","&amp;amp;"),"&lt;","&amp;lt;"),"&gt;","&amp;gt;"),CHAR(34),"&amp;quot;"),"'","&amp;apos;"))</f>
        <v/>
      </c>
      <c r="AT9" s="46">
        <f>IF(Saisie_Questions!R9="","",SUBSTITUTE(SUBSTITUTE(SUBSTITUTE(SUBSTITUTE(SUBSTITUTE(Saisie_Questions!R9,"&amp;","&amp;amp;"),"&lt;","&amp;lt;"),"&gt;","&amp;gt;"),CHAR(34),"&amp;quot;"),"'","&amp;apos;"))</f>
        <v/>
      </c>
      <c r="AU9" s="46">
        <f>IF(Saisie_Questions!S9="","",SUBSTITUTE(SUBSTITUTE(SUBSTITUTE(SUBSTITUTE(SUBSTITUTE(Saisie_Questions!S9,"&amp;","&amp;amp;"),"&lt;","&amp;lt;"),"&gt;","&amp;gt;"),CHAR(34),"&amp;quot;"),"'","&amp;apos;"))</f>
        <v/>
      </c>
      <c r="AV9" s="46">
        <f>IF(Saisie_Questions!T9="","",SUBSTITUTE(SUBSTITUTE(SUBSTITUTE(SUBSTITUTE(SUBSTITUTE(Saisie_Questions!T9,"&amp;","&amp;amp;"),"&lt;","&amp;lt;"),"&gt;","&amp;gt;"),CHAR(34),"&amp;quot;"),"'","&amp;apos;"))</f>
        <v/>
      </c>
      <c r="AW9" s="46">
        <f>IF(Saisie_Questions!U9="","",SUBSTITUTE(SUBSTITUTE(SUBSTITUTE(SUBSTITUTE(SUBSTITUTE(Saisie_Questions!U9,"&amp;","&amp;amp;"),"&lt;","&amp;lt;"),"&gt;","&amp;gt;"),CHAR(34),"&amp;quot;"),"'","&amp;apos;"))</f>
        <v/>
      </c>
      <c r="AX9" s="46">
        <f>IF(Saisie_Questions!V9="","",SUBSTITUTE(SUBSTITUTE(SUBSTITUTE(SUBSTITUTE(SUBSTITUTE(Saisie_Questions!V9,"&amp;","&amp;amp;"),"&lt;","&amp;lt;"),"&gt;","&amp;gt;"),CHAR(34),"&amp;quot;"),"'","&amp;apos;"))</f>
        <v/>
      </c>
      <c r="AY9" s="46">
        <f>IF(Saisie_Questions!W9="","",SUBSTITUTE(SUBSTITUTE(SUBSTITUTE(SUBSTITUTE(SUBSTITUTE(Saisie_Questions!W9,"&amp;","&amp;amp;"),"&lt;","&amp;lt;"),"&gt;","&amp;gt;"),CHAR(34),"&amp;quot;"),"'","&amp;apos;"))</f>
        <v/>
      </c>
      <c r="AZ9" s="46">
        <f>IF(Saisie_Questions!X9="","",SUBSTITUTE(SUBSTITUTE(SUBSTITUTE(SUBSTITUTE(SUBSTITUTE(Saisie_Questions!X9,"&amp;","&amp;amp;"),"&lt;","&amp;lt;"),"&gt;","&amp;gt;"),CHAR(34),"&amp;quot;"),"'","&amp;apos;"))</f>
        <v/>
      </c>
      <c r="BA9" s="46">
        <f>IF(Saisie_Questions!Y9="","",SUBSTITUTE(SUBSTITUTE(SUBSTITUTE(SUBSTITUTE(SUBSTITUTE(Saisie_Questions!Y9,"&amp;","&amp;amp;"),"&lt;","&amp;lt;"),"&gt;","&amp;gt;"),CHAR(34),"&amp;quot;"),"'","&amp;apos;"))</f>
        <v/>
      </c>
      <c r="BB9" s="46">
        <f>IF($B9,IF($AS9="","","    &lt;itemfeedback ident=""response_allcorrect"" view=""All""&gt;&lt;flow_mat&gt;&lt;material&gt;&lt;mattext texttype=""text/html""&gt;"&amp;$AS9&amp;"&lt;/mattext&gt;&lt;/material&gt;&lt;/flow_mat&gt;&lt;/itemfeedback&gt;"&amp;"    &lt;itemfeedback ident=""response_onenotcorrect"" view=""All""&gt;&lt;flow_mat&gt;&lt;material&gt;&lt;mattext texttype=""text/html""&gt;"&amp;$AS9&amp;"&lt;/mattext&gt;&lt;/material&gt;&lt;/flow_mat&gt;&lt;/itemfeedback&gt;"),"")</f>
      </c>
      <c r="BC9" s="46">
        <f>IF($B9,IF(AT9="","","    &lt;itemfeedback ident=""response_0"" view=""All""&gt;&lt;flow_mat&gt;&lt;material&gt;&lt;mattext texttype=""text/html""&gt;"&amp;AT9&amp;"&lt;/mattext&gt;&lt;/material&gt;&lt;/flow_mat&gt;&lt;/itemfeedback&gt;"),"")</f>
      </c>
      <c r="BD9" s="46">
        <f>IF($B9,IF(AU9="","","    &lt;itemfeedback ident=""response_1"" view=""All""&gt;&lt;flow_mat&gt;&lt;material&gt;&lt;mattext texttype=""text/html""&gt;"&amp;AU9&amp;"&lt;/mattext&gt;&lt;/material&gt;&lt;/flow_mat&gt;&lt;/itemfeedback&gt;"),"")</f>
      </c>
      <c r="BE9" s="46">
        <f>IF($B9,IF(AV9="","","    &lt;itemfeedback ident=""response_2"" view=""All""&gt;&lt;flow_mat&gt;&lt;material&gt;&lt;mattext texttype=""text/html""&gt;"&amp;AV9&amp;"&lt;/mattext&gt;&lt;/material&gt;&lt;/flow_mat&gt;&lt;/itemfeedback&gt;"),"")</f>
      </c>
      <c r="BF9" s="46">
        <f>IF($B9,IF(AW9="","","    &lt;itemfeedback ident=""response_3"" view=""All""&gt;&lt;flow_mat&gt;&lt;material&gt;&lt;mattext texttype=""text/html""&gt;"&amp;AW9&amp;"&lt;/mattext&gt;&lt;/material&gt;&lt;/flow_mat&gt;&lt;/itemfeedback&gt;"),"")</f>
      </c>
      <c r="BG9" s="46">
        <f>IF($B9,IF(AX9="","","    &lt;itemfeedback ident=""response_4"" view=""All""&gt;&lt;flow_mat&gt;&lt;material&gt;&lt;mattext texttype=""text/html""&gt;"&amp;AX9&amp;"&lt;/mattext&gt;&lt;/material&gt;&lt;/flow_mat&gt;&lt;/itemfeedback&gt;"),"")</f>
      </c>
      <c r="BH9" s="46">
        <f>IF($B9,IF(AY9="","","    &lt;itemfeedback ident=""response_5"" view=""All""&gt;&lt;flow_mat&gt;&lt;material&gt;&lt;mattext texttype=""text/html""&gt;"&amp;AY9&amp;"&lt;/mattext&gt;&lt;/material&gt;&lt;/flow_mat&gt;&lt;/itemfeedback&gt;"),"")</f>
      </c>
      <c r="BI9" s="46">
        <f>IF($B9,IF(AZ9="","","    &lt;itemfeedback ident=""response_6"" view=""All""&gt;&lt;flow_mat&gt;&lt;material&gt;&lt;mattext texttype=""text/html""&gt;"&amp;AZ9&amp;"&lt;/mattext&gt;&lt;/material&gt;&lt;/flow_mat&gt;&lt;/itemfeedback&gt;"),"")</f>
      </c>
      <c r="BJ9" s="46">
        <f>IF($B9,IF(BA9="","","    &lt;itemfeedback ident=""response_7"" view=""All""&gt;&lt;flow_mat&gt;&lt;material&gt;&lt;mattext texttype=""text/html""&gt;"&amp;BA9&amp;"&lt;/mattext&gt;&lt;/material&gt;&lt;/flow_mat&gt;&lt;/itemfeedback&gt;"),"")</f>
      </c>
    </row>
    <row r="10" ht="18" customHeight="1" s="17">
      <c r="A10" s="46">
        <f>Saisie_Questions!A10</f>
        <v/>
      </c>
      <c r="B10" s="46">
        <f>Saisie_Questions!O10="OK"</f>
        <v/>
      </c>
      <c r="C10" s="46">
        <f>LOWER(TRIM(Saisie_Questions!B10))</f>
        <v/>
      </c>
      <c r="D10" s="46">
        <f>IF(C10="qcu","SINGLE CHOICE QUESTION","MULTIPLE CHOICE QUESTION")</f>
        <v/>
      </c>
      <c r="E10" s="46">
        <f>IF(C10="qcu","Single","Multiple")</f>
        <v/>
      </c>
      <c r="F10" s="46">
        <f>IF(A10="","",SUBSTITUTE(SUBSTITUTE(SUBSTITUTE(SUBSTITUTE(SUBSTITUTE(IF(Saisie_Questions!C10="", "Question "&amp;A10, Saisie_Questions!C10),"&amp;","&amp;amp;"),"&lt;","&amp;lt;"),"&gt;","&amp;gt;"),CHAR(34),"&amp;quot;"),"'","&amp;apos;"))</f>
        <v/>
      </c>
      <c r="G10" s="46">
        <f>IF(A10="","",SUBSTITUTE(SUBSTITUTE(SUBSTITUTE(SUBSTITUTE(SUBSTITUTE(Saisie_Questions!D10,"&amp;","&amp;amp;"),"&lt;","&amp;lt;"),"&gt;","&amp;gt;"),CHAR(34),"&amp;quot;"),"'","&amp;apos;"))</f>
        <v/>
      </c>
      <c r="H10" s="46">
        <f>Saisie_Questions!N10</f>
        <v/>
      </c>
      <c r="I10" s="46">
        <f>IF(Saisie_Questions!E10="",0,1)+IF(Saisie_Questions!F10="",0,1)+IF(Saisie_Questions!G10="",0,1)+IF(Saisie_Questions!H10="",0,1)+IF(Saisie_Questions!I10="",0,1)+IF(Saisie_Questions!J10="",0,1)+IF(Saisie_Questions!K10="",0,1)+IF(Saisie_Questions!L10="",0,1)</f>
        <v/>
      </c>
      <c r="J10" s="46">
        <f>Saisie_Questions!M10</f>
        <v/>
      </c>
      <c r="K10" s="46">
        <f>Saisie_Questions!O10</f>
        <v/>
      </c>
      <c r="L10" s="46">
        <f>IF(Saisie_Questions!E10="","",SUBSTITUTE(SUBSTITUTE(SUBSTITUTE(SUBSTITUTE(SUBSTITUTE(Saisie_Questions!E10,"&amp;","&amp;amp;"),"&lt;","&amp;lt;"),"&gt;","&amp;gt;"),CHAR(34),"&amp;quot;"),"'","&amp;apos;"))</f>
        <v/>
      </c>
      <c r="M10" s="46">
        <f>IF(Saisie_Questions!F10="","",SUBSTITUTE(SUBSTITUTE(SUBSTITUTE(SUBSTITUTE(SUBSTITUTE(Saisie_Questions!F10,"&amp;","&amp;amp;"),"&lt;","&amp;lt;"),"&gt;","&amp;gt;"),CHAR(34),"&amp;quot;"),"'","&amp;apos;"))</f>
        <v/>
      </c>
      <c r="N10" s="46">
        <f>IF(Saisie_Questions!G10="","",SUBSTITUTE(SUBSTITUTE(SUBSTITUTE(SUBSTITUTE(SUBSTITUTE(Saisie_Questions!G10,"&amp;","&amp;amp;"),"&lt;","&amp;lt;"),"&gt;","&amp;gt;"),CHAR(34),"&amp;quot;"),"'","&amp;apos;"))</f>
        <v/>
      </c>
      <c r="O10" s="46">
        <f>IF(Saisie_Questions!H10="","",SUBSTITUTE(SUBSTITUTE(SUBSTITUTE(SUBSTITUTE(SUBSTITUTE(Saisie_Questions!H10,"&amp;","&amp;amp;"),"&lt;","&amp;lt;"),"&gt;","&amp;gt;"),CHAR(34),"&amp;quot;"),"'","&amp;apos;"))</f>
        <v/>
      </c>
      <c r="P10" s="46">
        <f>IF(Saisie_Questions!I10="","",SUBSTITUTE(SUBSTITUTE(SUBSTITUTE(SUBSTITUTE(SUBSTITUTE(Saisie_Questions!I10,"&amp;","&amp;amp;"),"&lt;","&amp;lt;"),"&gt;","&amp;gt;"),CHAR(34),"&amp;quot;"),"'","&amp;apos;"))</f>
        <v/>
      </c>
      <c r="Q10" s="46">
        <f>IF(Saisie_Questions!J10="","",SUBSTITUTE(SUBSTITUTE(SUBSTITUTE(SUBSTITUTE(SUBSTITUTE(Saisie_Questions!J10,"&amp;","&amp;amp;"),"&lt;","&amp;lt;"),"&gt;","&amp;gt;"),CHAR(34),"&amp;quot;"),"'","&amp;apos;"))</f>
        <v/>
      </c>
      <c r="R10" s="46">
        <f>IF(Saisie_Questions!K10="","",SUBSTITUTE(SUBSTITUTE(SUBSTITUTE(SUBSTITUTE(SUBSTITUTE(Saisie_Questions!K10,"&amp;","&amp;amp;"),"&lt;","&amp;lt;"),"&gt;","&amp;gt;"),CHAR(34),"&amp;quot;"),"'","&amp;apos;"))</f>
        <v/>
      </c>
      <c r="S10" s="46">
        <f>IF(Saisie_Questions!L10="","",SUBSTITUTE(SUBSTITUTE(SUBSTITUTE(SUBSTITUTE(SUBSTITUTE(Saisie_Questions!L10,"&amp;","&amp;amp;"),"&lt;","&amp;lt;"),"&gt;","&amp;gt;"),CHAR(34),"&amp;quot;"),"'","&amp;apos;"))</f>
        <v/>
      </c>
      <c r="T10" s="46">
        <f>ISNUMBER(SEARCH(";"&amp;1&amp;";",";"&amp;$J10&amp;";"))</f>
        <v/>
      </c>
      <c r="U10" s="46">
        <f>ISNUMBER(SEARCH(";"&amp;2&amp;";",";"&amp;$J10&amp;";"))</f>
        <v/>
      </c>
      <c r="V10" s="46">
        <f>ISNUMBER(SEARCH(";"&amp;3&amp;";",";"&amp;$J10&amp;";"))</f>
        <v/>
      </c>
      <c r="W10" s="46">
        <f>ISNUMBER(SEARCH(";"&amp;4&amp;";",";"&amp;$J10&amp;";"))</f>
        <v/>
      </c>
      <c r="X10" s="46">
        <f>ISNUMBER(SEARCH(";"&amp;5&amp;";",";"&amp;$J10&amp;";"))</f>
        <v/>
      </c>
      <c r="Y10" s="46">
        <f>ISNUMBER(SEARCH(";"&amp;6&amp;";",";"&amp;$J10&amp;";"))</f>
        <v/>
      </c>
      <c r="Z10" s="46">
        <f>ISNUMBER(SEARCH(";"&amp;7&amp;";",";"&amp;$J10&amp;";"))</f>
        <v/>
      </c>
      <c r="AA10" s="46">
        <f>ISNUMBER(SEARCH(";"&amp;8&amp;";",";"&amp;$J10&amp;";"))</f>
        <v/>
      </c>
      <c r="AB10" s="46">
        <f>IF($B10,IF(L10="","","        &lt;response_label ident=""0""&gt;&lt;material&gt;&lt;mattext texttype=""text/html""&gt;"&amp;L10&amp;"&lt;/mattext&gt;&lt;/material&gt;&lt;/response_label&gt;"),"")</f>
        <v/>
      </c>
      <c r="AC10" s="46">
        <f>IF($B10,IF(M10="","","        &lt;response_label ident=""1""&gt;&lt;material&gt;&lt;mattext texttype=""text/html""&gt;"&amp;M10&amp;"&lt;/mattext&gt;&lt;/material&gt;&lt;/response_label&gt;"),"")</f>
        <v/>
      </c>
      <c r="AD10" s="46">
        <f>IF($B10,IF(N10="","","        &lt;response_label ident=""2""&gt;&lt;material&gt;&lt;mattext texttype=""text/html""&gt;"&amp;N10&amp;"&lt;/mattext&gt;&lt;/material&gt;&lt;/response_label&gt;"),"")</f>
        <v/>
      </c>
      <c r="AE10" s="46">
        <f>IF($B10,IF(O10="","","        &lt;response_label ident=""3""&gt;&lt;material&gt;&lt;mattext texttype=""text/html""&gt;"&amp;O10&amp;"&lt;/mattext&gt;&lt;/material&gt;&lt;/response_label&gt;"),"")</f>
        <v/>
      </c>
      <c r="AF10" s="46">
        <f>IF($B10,IF(P10="","","        &lt;response_label ident=""4""&gt;&lt;material&gt;&lt;mattext texttype=""text/html""&gt;"&amp;P10&amp;"&lt;/mattext&gt;&lt;/material&gt;&lt;/response_label&gt;"),"")</f>
        <v/>
      </c>
      <c r="AG10" s="46">
        <f>IF($B10,IF(Q10="","","        &lt;response_label ident=""5""&gt;&lt;material&gt;&lt;mattext texttype=""text/html""&gt;"&amp;Q10&amp;"&lt;/mattext&gt;&lt;/material&gt;&lt;/response_label&gt;"),"")</f>
        <v/>
      </c>
      <c r="AH10" s="46">
        <f>IF($B10,IF(R10="","","        &lt;response_label ident=""6""&gt;&lt;material&gt;&lt;mattext texttype=""text/html""&gt;"&amp;R10&amp;"&lt;/mattext&gt;&lt;/material&gt;&lt;/response_label&gt;"),"")</f>
        <v/>
      </c>
      <c r="AI10" s="46">
        <f>IF($B10,IF(S10="","","        &lt;response_label ident=""7""&gt;&lt;material&gt;&lt;mattext texttype=""text/html""&gt;"&amp;S10&amp;"&lt;/mattext&gt;&lt;/material&gt;&lt;/response_label&gt;"),"")</f>
        <v/>
      </c>
      <c r="AJ10" s="46">
        <f>IF($B10,IF(L10="","",IF($C10="qcu",IF(OR(T10,AT10&lt;&gt;"",$AS10&lt;&gt;""),"      &lt;respcondition continue=""Yes""&gt;&lt;conditionvar&gt;&lt;varequal respident=""RESPONSE""&gt;0&lt;/varequal&gt;&lt;/conditionvar&gt;"&amp;"&lt;setvar action=""Add""&gt;"&amp;IF(T10,$H10,0)&amp;"&lt;/setvar&gt;"&amp;IF(AT10&lt;&gt;"","&lt;displayfeedback feedbacktype=""Response"" linkrefid=""response_0""/&gt;",IF($AS10&lt;&gt;"","&lt;displayfeedback feedbacktype=""Response"" linkrefid=""qti_feedback_trigger""/&gt;",""))&amp;"&lt;/respcondition&gt;",""),IF(OR(T10,AT10&lt;&gt;"",$AS10&lt;&gt;""),"      &lt;respcondition continue=""Yes""&gt;&lt;conditionvar&gt;"&amp;IF(T10,"&lt;varequal respident=""RESPONSE""&gt;0&lt;/varequal&gt;","&lt;not&gt;&lt;varequal respident=""RESPONSE""&gt;0&lt;/varequal&gt;&lt;/not&gt;")&amp;"&lt;/conditionvar&gt;&lt;setvar action=""Add""&gt;"&amp;(Saisie_Questions!$N10/$I10)&amp;"&lt;/setvar&gt;"&amp;IF(AT10&lt;&gt;"","&lt;displayfeedback feedbacktype=""Response"" linkrefid=""response_0""/&gt;",IF($AS10&lt;&gt;"","&lt;displayfeedback feedbacktype=""Response"" linkrefid=""qti_feedback_trigger""/&gt;",""))&amp;"&lt;/respcondition&gt;",""))),"")</f>
      </c>
      <c r="AK10" s="46">
        <f>IF($B10,IF(M10="","",IF($C10="qcu",IF(OR(U10,AU10&lt;&gt;"",$AS10&lt;&gt;""),"      &lt;respcondition continue=""Yes""&gt;&lt;conditionvar&gt;&lt;varequal respident=""RESPONSE""&gt;1&lt;/varequal&gt;&lt;/conditionvar&gt;"&amp;"&lt;setvar action=""Add""&gt;"&amp;IF(U10,$H10,0)&amp;"&lt;/setvar&gt;"&amp;IF(AU10&lt;&gt;"","&lt;displayfeedback feedbacktype=""Response"" linkrefid=""response_1""/&gt;",IF($AS10&lt;&gt;"","&lt;displayfeedback feedbacktype=""Response"" linkrefid=""qti_feedback_trigger""/&gt;",""))&amp;"&lt;/respcondition&gt;",""),IF(OR(U10,AU10&lt;&gt;"",$AS10&lt;&gt;""),"      &lt;respcondition continue=""Yes""&gt;&lt;conditionvar&gt;"&amp;IF(U10,"&lt;varequal respident=""RESPONSE""&gt;1&lt;/varequal&gt;","&lt;not&gt;&lt;varequal respident=""RESPONSE""&gt;1&lt;/varequal&gt;&lt;/not&gt;")&amp;"&lt;/conditionvar&gt;&lt;setvar action=""Add""&gt;"&amp;(Saisie_Questions!$N10/$I10)&amp;"&lt;/setvar&gt;"&amp;IF(AU10&lt;&gt;"","&lt;displayfeedback feedbacktype=""Response"" linkrefid=""response_1""/&gt;",IF($AS10&lt;&gt;"","&lt;displayfeedback feedbacktype=""Response"" linkrefid=""qti_feedback_trigger""/&gt;",""))&amp;"&lt;/respcondition&gt;",""))),"")</f>
      </c>
      <c r="AL10" s="46">
        <f>IF($B10,IF(N10="","",IF($C10="qcu",IF(OR(V10,AV10&lt;&gt;"",$AS10&lt;&gt;""),"      &lt;respcondition continue=""Yes""&gt;&lt;conditionvar&gt;&lt;varequal respident=""RESPONSE""&gt;2&lt;/varequal&gt;&lt;/conditionvar&gt;"&amp;"&lt;setvar action=""Add""&gt;"&amp;IF(V10,$H10,0)&amp;"&lt;/setvar&gt;"&amp;IF(AV10&lt;&gt;"","&lt;displayfeedback feedbacktype=""Response"" linkrefid=""response_2""/&gt;",IF($AS10&lt;&gt;"","&lt;displayfeedback feedbacktype=""Response"" linkrefid=""qti_feedback_trigger""/&gt;",""))&amp;"&lt;/respcondition&gt;",""),IF(OR(V10,AV10&lt;&gt;"",$AS10&lt;&gt;""),"      &lt;respcondition continue=""Yes""&gt;&lt;conditionvar&gt;"&amp;IF(V10,"&lt;varequal respident=""RESPONSE""&gt;2&lt;/varequal&gt;","&lt;not&gt;&lt;varequal respident=""RESPONSE""&gt;2&lt;/varequal&gt;&lt;/not&gt;")&amp;"&lt;/conditionvar&gt;&lt;setvar action=""Add""&gt;"&amp;(Saisie_Questions!$N10/$I10)&amp;"&lt;/setvar&gt;"&amp;IF(AV10&lt;&gt;"","&lt;displayfeedback feedbacktype=""Response"" linkrefid=""response_2""/&gt;",IF($AS10&lt;&gt;"","&lt;displayfeedback feedbacktype=""Response"" linkrefid=""qti_feedback_trigger""/&gt;",""))&amp;"&lt;/respcondition&gt;",""))),"")</f>
      </c>
      <c r="AM10" s="46">
        <f>IF($B10,IF(O10="","",IF($C10="qcu",IF(OR(W10,AW10&lt;&gt;"",$AS10&lt;&gt;""),"      &lt;respcondition continue=""Yes""&gt;&lt;conditionvar&gt;&lt;varequal respident=""RESPONSE""&gt;3&lt;/varequal&gt;&lt;/conditionvar&gt;"&amp;"&lt;setvar action=""Add""&gt;"&amp;IF(W10,$H10,0)&amp;"&lt;/setvar&gt;"&amp;IF(AW10&lt;&gt;"","&lt;displayfeedback feedbacktype=""Response"" linkrefid=""response_3""/&gt;",IF($AS10&lt;&gt;"","&lt;displayfeedback feedbacktype=""Response"" linkrefid=""qti_feedback_trigger""/&gt;",""))&amp;"&lt;/respcondition&gt;",""),IF(OR(W10,AW10&lt;&gt;"",$AS10&lt;&gt;""),"      &lt;respcondition continue=""Yes""&gt;&lt;conditionvar&gt;"&amp;IF(W10,"&lt;varequal respident=""RESPONSE""&gt;3&lt;/varequal&gt;","&lt;not&gt;&lt;varequal respident=""RESPONSE""&gt;3&lt;/varequal&gt;&lt;/not&gt;")&amp;"&lt;/conditionvar&gt;&lt;setvar action=""Add""&gt;"&amp;(Saisie_Questions!$N10/$I10)&amp;"&lt;/setvar&gt;"&amp;IF(AW10&lt;&gt;"","&lt;displayfeedback feedbacktype=""Response"" linkrefid=""response_3""/&gt;",IF($AS10&lt;&gt;"","&lt;displayfeedback feedbacktype=""Response"" linkrefid=""qti_feedback_trigger""/&gt;",""))&amp;"&lt;/respcondition&gt;",""))),"")</f>
      </c>
      <c r="AN10" s="46">
        <f>IF($B10,IF(P10="","",IF($C10="qcu",IF(OR(X10,AX10&lt;&gt;"",$AS10&lt;&gt;""),"      &lt;respcondition continue=""Yes""&gt;&lt;conditionvar&gt;&lt;varequal respident=""RESPONSE""&gt;4&lt;/varequal&gt;&lt;/conditionvar&gt;"&amp;"&lt;setvar action=""Add""&gt;"&amp;IF(X10,$H10,0)&amp;"&lt;/setvar&gt;"&amp;IF(AX10&lt;&gt;"","&lt;displayfeedback feedbacktype=""Response"" linkrefid=""response_4""/&gt;",IF($AS10&lt;&gt;"","&lt;displayfeedback feedbacktype=""Response"" linkrefid=""qti_feedback_trigger""/&gt;",""))&amp;"&lt;/respcondition&gt;",""),IF(OR(X10,AX10&lt;&gt;"",$AS10&lt;&gt;""),"      &lt;respcondition continue=""Yes""&gt;&lt;conditionvar&gt;"&amp;IF(X10,"&lt;varequal respident=""RESPONSE""&gt;4&lt;/varequal&gt;","&lt;not&gt;&lt;varequal respident=""RESPONSE""&gt;4&lt;/varequal&gt;&lt;/not&gt;")&amp;"&lt;/conditionvar&gt;&lt;setvar action=""Add""&gt;"&amp;(Saisie_Questions!$N10/$I10)&amp;"&lt;/setvar&gt;"&amp;IF(AX10&lt;&gt;"","&lt;displayfeedback feedbacktype=""Response"" linkrefid=""response_4""/&gt;",IF($AS10&lt;&gt;"","&lt;displayfeedback feedbacktype=""Response"" linkrefid=""qti_feedback_trigger""/&gt;",""))&amp;"&lt;/respcondition&gt;",""))),"")</f>
      </c>
      <c r="AO10" s="46">
        <f>IF($B10,IF(Q10="","",IF($C10="qcu",IF(OR(Y10,AY10&lt;&gt;"",$AS10&lt;&gt;""),"      &lt;respcondition continue=""Yes""&gt;&lt;conditionvar&gt;&lt;varequal respident=""RESPONSE""&gt;5&lt;/varequal&gt;&lt;/conditionvar&gt;"&amp;"&lt;setvar action=""Add""&gt;"&amp;IF(Y10,$H10,0)&amp;"&lt;/setvar&gt;"&amp;IF(AY10&lt;&gt;"","&lt;displayfeedback feedbacktype=""Response"" linkrefid=""response_5""/&gt;",IF($AS10&lt;&gt;"","&lt;displayfeedback feedbacktype=""Response"" linkrefid=""qti_feedback_trigger""/&gt;",""))&amp;"&lt;/respcondition&gt;",""),IF(OR(Y10,AY10&lt;&gt;"",$AS10&lt;&gt;""),"      &lt;respcondition continue=""Yes""&gt;&lt;conditionvar&gt;"&amp;IF(Y10,"&lt;varequal respident=""RESPONSE""&gt;5&lt;/varequal&gt;","&lt;not&gt;&lt;varequal respident=""RESPONSE""&gt;5&lt;/varequal&gt;&lt;/not&gt;")&amp;"&lt;/conditionvar&gt;&lt;setvar action=""Add""&gt;"&amp;(Saisie_Questions!$N10/$I10)&amp;"&lt;/setvar&gt;"&amp;IF(AY10&lt;&gt;"","&lt;displayfeedback feedbacktype=""Response"" linkrefid=""response_5""/&gt;",IF($AS10&lt;&gt;"","&lt;displayfeedback feedbacktype=""Response"" linkrefid=""qti_feedback_trigger""/&gt;",""))&amp;"&lt;/respcondition&gt;",""))),"")</f>
      </c>
      <c r="AP10" s="46">
        <f>IF($B10,IF(R10="","",IF($C10="qcu",IF(OR(Z10,AZ10&lt;&gt;"",$AS10&lt;&gt;""),"      &lt;respcondition continue=""Yes""&gt;&lt;conditionvar&gt;&lt;varequal respident=""RESPONSE""&gt;6&lt;/varequal&gt;&lt;/conditionvar&gt;"&amp;"&lt;setvar action=""Add""&gt;"&amp;IF(Z10,$H10,0)&amp;"&lt;/setvar&gt;"&amp;IF(AZ10&lt;&gt;"","&lt;displayfeedback feedbacktype=""Response"" linkrefid=""response_6""/&gt;",IF($AS10&lt;&gt;"","&lt;displayfeedback feedbacktype=""Response"" linkrefid=""qti_feedback_trigger""/&gt;",""))&amp;"&lt;/respcondition&gt;",""),IF(OR(Z10,AZ10&lt;&gt;"",$AS10&lt;&gt;""),"      &lt;respcondition continue=""Yes""&gt;&lt;conditionvar&gt;"&amp;IF(Z10,"&lt;varequal respident=""RESPONSE""&gt;6&lt;/varequal&gt;","&lt;not&gt;&lt;varequal respident=""RESPONSE""&gt;6&lt;/varequal&gt;&lt;/not&gt;")&amp;"&lt;/conditionvar&gt;&lt;setvar action=""Add""&gt;"&amp;(Saisie_Questions!$N10/$I10)&amp;"&lt;/setvar&gt;"&amp;IF(AZ10&lt;&gt;"","&lt;displayfeedback feedbacktype=""Response"" linkrefid=""response_6""/&gt;",IF($AS10&lt;&gt;"","&lt;displayfeedback feedbacktype=""Response"" linkrefid=""qti_feedback_trigger""/&gt;",""))&amp;"&lt;/respcondition&gt;",""))),"")</f>
      </c>
      <c r="AQ10" s="46">
        <f>IF($B10,IF(S10="","",IF($C10="qcu",IF(OR(AA10,BA10&lt;&gt;"",$AS10&lt;&gt;""),"      &lt;respcondition continue=""Yes""&gt;&lt;conditionvar&gt;&lt;varequal respident=""RESPONSE""&gt;7&lt;/varequal&gt;&lt;/conditionvar&gt;"&amp;"&lt;setvar action=""Add""&gt;"&amp;IF(AA10,$H10,0)&amp;"&lt;/setvar&gt;"&amp;IF(BA10&lt;&gt;"","&lt;displayfeedback feedbacktype=""Response"" linkrefid=""response_7""/&gt;",IF($AS10&lt;&gt;"","&lt;displayfeedback feedbacktype=""Response"" linkrefid=""qti_feedback_trigger""/&gt;",""))&amp;"&lt;/respcondition&gt;",""),IF(OR(AA10,BA10&lt;&gt;"",$AS10&lt;&gt;""),"      &lt;respcondition continue=""Yes""&gt;&lt;conditionvar&gt;"&amp;IF(AA10,"&lt;varequal respident=""RESPONSE""&gt;7&lt;/varequal&gt;","&lt;not&gt;&lt;varequal respident=""RESPONSE""&gt;7&lt;/varequal&gt;&lt;/not&gt;")&amp;"&lt;/conditionvar&gt;&lt;setvar action=""Add""&gt;"&amp;(Saisie_Questions!$N10/$I10)&amp;"&lt;/setvar&gt;"&amp;IF(BA10&lt;&gt;"","&lt;displayfeedback feedbacktype=""Response"" linkrefid=""response_7""/&gt;",IF($AS10&lt;&gt;"","&lt;displayfeedback feedbacktype=""Response"" linkrefid=""qti_feedback_trigger""/&gt;",""))&amp;"&lt;/respcondition&gt;",""))),"")</f>
      </c>
      <c r="AR10" s="46">
        <f>IF(A10="","",SUBSTITUTE(SUBSTITUTE(SUBSTITUTE(SUBSTITUTE(SUBSTITUTE(IF(Saisie_Questions!P10&lt;&gt;"",Saisie_Questions!P10,Interface_Generation!$B$5),"&amp;","&amp;amp;"),"&lt;","&amp;lt;"),"&gt;","&amp;gt;"),CHAR(34),"&amp;quot;"),"'","&amp;apos;"))</f>
        <v/>
      </c>
      <c r="AS10" s="46">
        <f>IF(Saisie_Questions!Q10="","",SUBSTITUTE(SUBSTITUTE(SUBSTITUTE(SUBSTITUTE(SUBSTITUTE(Saisie_Questions!Q10,"&amp;","&amp;amp;"),"&lt;","&amp;lt;"),"&gt;","&amp;gt;"),CHAR(34),"&amp;quot;"),"'","&amp;apos;"))</f>
        <v/>
      </c>
      <c r="AT10" s="46">
        <f>IF(Saisie_Questions!R10="","",SUBSTITUTE(SUBSTITUTE(SUBSTITUTE(SUBSTITUTE(SUBSTITUTE(Saisie_Questions!R10,"&amp;","&amp;amp;"),"&lt;","&amp;lt;"),"&gt;","&amp;gt;"),CHAR(34),"&amp;quot;"),"'","&amp;apos;"))</f>
        <v/>
      </c>
      <c r="AU10" s="46">
        <f>IF(Saisie_Questions!S10="","",SUBSTITUTE(SUBSTITUTE(SUBSTITUTE(SUBSTITUTE(SUBSTITUTE(Saisie_Questions!S10,"&amp;","&amp;amp;"),"&lt;","&amp;lt;"),"&gt;","&amp;gt;"),CHAR(34),"&amp;quot;"),"'","&amp;apos;"))</f>
        <v/>
      </c>
      <c r="AV10" s="46">
        <f>IF(Saisie_Questions!T10="","",SUBSTITUTE(SUBSTITUTE(SUBSTITUTE(SUBSTITUTE(SUBSTITUTE(Saisie_Questions!T10,"&amp;","&amp;amp;"),"&lt;","&amp;lt;"),"&gt;","&amp;gt;"),CHAR(34),"&amp;quot;"),"'","&amp;apos;"))</f>
        <v/>
      </c>
      <c r="AW10" s="46">
        <f>IF(Saisie_Questions!U10="","",SUBSTITUTE(SUBSTITUTE(SUBSTITUTE(SUBSTITUTE(SUBSTITUTE(Saisie_Questions!U10,"&amp;","&amp;amp;"),"&lt;","&amp;lt;"),"&gt;","&amp;gt;"),CHAR(34),"&amp;quot;"),"'","&amp;apos;"))</f>
        <v/>
      </c>
      <c r="AX10" s="46">
        <f>IF(Saisie_Questions!V10="","",SUBSTITUTE(SUBSTITUTE(SUBSTITUTE(SUBSTITUTE(SUBSTITUTE(Saisie_Questions!V10,"&amp;","&amp;amp;"),"&lt;","&amp;lt;"),"&gt;","&amp;gt;"),CHAR(34),"&amp;quot;"),"'","&amp;apos;"))</f>
        <v/>
      </c>
      <c r="AY10" s="46">
        <f>IF(Saisie_Questions!W10="","",SUBSTITUTE(SUBSTITUTE(SUBSTITUTE(SUBSTITUTE(SUBSTITUTE(Saisie_Questions!W10,"&amp;","&amp;amp;"),"&lt;","&amp;lt;"),"&gt;","&amp;gt;"),CHAR(34),"&amp;quot;"),"'","&amp;apos;"))</f>
        <v/>
      </c>
      <c r="AZ10" s="46">
        <f>IF(Saisie_Questions!X10="","",SUBSTITUTE(SUBSTITUTE(SUBSTITUTE(SUBSTITUTE(SUBSTITUTE(Saisie_Questions!X10,"&amp;","&amp;amp;"),"&lt;","&amp;lt;"),"&gt;","&amp;gt;"),CHAR(34),"&amp;quot;"),"'","&amp;apos;"))</f>
        <v/>
      </c>
      <c r="BA10" s="46">
        <f>IF(Saisie_Questions!Y10="","",SUBSTITUTE(SUBSTITUTE(SUBSTITUTE(SUBSTITUTE(SUBSTITUTE(Saisie_Questions!Y10,"&amp;","&amp;amp;"),"&lt;","&amp;lt;"),"&gt;","&amp;gt;"),CHAR(34),"&amp;quot;"),"'","&amp;apos;"))</f>
        <v/>
      </c>
      <c r="BB10" s="46">
        <f>IF($B10,IF($AS10="","","    &lt;itemfeedback ident=""response_allcorrect"" view=""All""&gt;&lt;flow_mat&gt;&lt;material&gt;&lt;mattext texttype=""text/html""&gt;"&amp;$AS10&amp;"&lt;/mattext&gt;&lt;/material&gt;&lt;/flow_mat&gt;&lt;/itemfeedback&gt;"&amp;"    &lt;itemfeedback ident=""response_onenotcorrect"" view=""All""&gt;&lt;flow_mat&gt;&lt;material&gt;&lt;mattext texttype=""text/html""&gt;"&amp;$AS10&amp;"&lt;/mattext&gt;&lt;/material&gt;&lt;/flow_mat&gt;&lt;/itemfeedback&gt;"),"")</f>
      </c>
      <c r="BC10" s="46">
        <f>IF($B10,IF(AT10="","","    &lt;itemfeedback ident=""response_0"" view=""All""&gt;&lt;flow_mat&gt;&lt;material&gt;&lt;mattext texttype=""text/html""&gt;"&amp;AT10&amp;"&lt;/mattext&gt;&lt;/material&gt;&lt;/flow_mat&gt;&lt;/itemfeedback&gt;"),"")</f>
      </c>
      <c r="BD10" s="46">
        <f>IF($B10,IF(AU10="","","    &lt;itemfeedback ident=""response_1"" view=""All""&gt;&lt;flow_mat&gt;&lt;material&gt;&lt;mattext texttype=""text/html""&gt;"&amp;AU10&amp;"&lt;/mattext&gt;&lt;/material&gt;&lt;/flow_mat&gt;&lt;/itemfeedback&gt;"),"")</f>
      </c>
      <c r="BE10" s="46">
        <f>IF($B10,IF(AV10="","","    &lt;itemfeedback ident=""response_2"" view=""All""&gt;&lt;flow_mat&gt;&lt;material&gt;&lt;mattext texttype=""text/html""&gt;"&amp;AV10&amp;"&lt;/mattext&gt;&lt;/material&gt;&lt;/flow_mat&gt;&lt;/itemfeedback&gt;"),"")</f>
      </c>
      <c r="BF10" s="46">
        <f>IF($B10,IF(AW10="","","    &lt;itemfeedback ident=""response_3"" view=""All""&gt;&lt;flow_mat&gt;&lt;material&gt;&lt;mattext texttype=""text/html""&gt;"&amp;AW10&amp;"&lt;/mattext&gt;&lt;/material&gt;&lt;/flow_mat&gt;&lt;/itemfeedback&gt;"),"")</f>
      </c>
      <c r="BG10" s="46">
        <f>IF($B10,IF(AX10="","","    &lt;itemfeedback ident=""response_4"" view=""All""&gt;&lt;flow_mat&gt;&lt;material&gt;&lt;mattext texttype=""text/html""&gt;"&amp;AX10&amp;"&lt;/mattext&gt;&lt;/material&gt;&lt;/flow_mat&gt;&lt;/itemfeedback&gt;"),"")</f>
      </c>
      <c r="BH10" s="46">
        <f>IF($B10,IF(AY10="","","    &lt;itemfeedback ident=""response_5"" view=""All""&gt;&lt;flow_mat&gt;&lt;material&gt;&lt;mattext texttype=""text/html""&gt;"&amp;AY10&amp;"&lt;/mattext&gt;&lt;/material&gt;&lt;/flow_mat&gt;&lt;/itemfeedback&gt;"),"")</f>
      </c>
      <c r="BI10" s="46">
        <f>IF($B10,IF(AZ10="","","    &lt;itemfeedback ident=""response_6"" view=""All""&gt;&lt;flow_mat&gt;&lt;material&gt;&lt;mattext texttype=""text/html""&gt;"&amp;AZ10&amp;"&lt;/mattext&gt;&lt;/material&gt;&lt;/flow_mat&gt;&lt;/itemfeedback&gt;"),"")</f>
      </c>
      <c r="BJ10" s="46">
        <f>IF($B10,IF(BA10="","","    &lt;itemfeedback ident=""response_7"" view=""All""&gt;&lt;flow_mat&gt;&lt;material&gt;&lt;mattext texttype=""text/html""&gt;"&amp;BA10&amp;"&lt;/mattext&gt;&lt;/material&gt;&lt;/flow_mat&gt;&lt;/itemfeedback&gt;"),"")</f>
      </c>
    </row>
    <row r="11" ht="18" customHeight="1" s="17">
      <c r="A11" s="46">
        <f>Saisie_Questions!A11</f>
        <v/>
      </c>
      <c r="B11" s="46">
        <f>Saisie_Questions!O11="OK"</f>
        <v/>
      </c>
      <c r="C11" s="46">
        <f>LOWER(TRIM(Saisie_Questions!B11))</f>
        <v/>
      </c>
      <c r="D11" s="46">
        <f>IF(C11="qcu","SINGLE CHOICE QUESTION","MULTIPLE CHOICE QUESTION")</f>
        <v/>
      </c>
      <c r="E11" s="46">
        <f>IF(C11="qcu","Single","Multiple")</f>
        <v/>
      </c>
      <c r="F11" s="46">
        <f>IF(A11="","",SUBSTITUTE(SUBSTITUTE(SUBSTITUTE(SUBSTITUTE(SUBSTITUTE(IF(Saisie_Questions!C11="", "Question "&amp;A11, Saisie_Questions!C11),"&amp;","&amp;amp;"),"&lt;","&amp;lt;"),"&gt;","&amp;gt;"),CHAR(34),"&amp;quot;"),"'","&amp;apos;"))</f>
        <v/>
      </c>
      <c r="G11" s="46">
        <f>IF(A11="","",SUBSTITUTE(SUBSTITUTE(SUBSTITUTE(SUBSTITUTE(SUBSTITUTE(Saisie_Questions!D11,"&amp;","&amp;amp;"),"&lt;","&amp;lt;"),"&gt;","&amp;gt;"),CHAR(34),"&amp;quot;"),"'","&amp;apos;"))</f>
        <v/>
      </c>
      <c r="H11" s="46">
        <f>Saisie_Questions!N11</f>
        <v/>
      </c>
      <c r="I11" s="46">
        <f>IF(Saisie_Questions!E11="",0,1)+IF(Saisie_Questions!F11="",0,1)+IF(Saisie_Questions!G11="",0,1)+IF(Saisie_Questions!H11="",0,1)+IF(Saisie_Questions!I11="",0,1)+IF(Saisie_Questions!J11="",0,1)+IF(Saisie_Questions!K11="",0,1)+IF(Saisie_Questions!L11="",0,1)</f>
        <v/>
      </c>
      <c r="J11" s="46">
        <f>Saisie_Questions!M11</f>
        <v/>
      </c>
      <c r="K11" s="46">
        <f>Saisie_Questions!O11</f>
        <v/>
      </c>
      <c r="L11" s="46">
        <f>IF(Saisie_Questions!E11="","",SUBSTITUTE(SUBSTITUTE(SUBSTITUTE(SUBSTITUTE(SUBSTITUTE(Saisie_Questions!E11,"&amp;","&amp;amp;"),"&lt;","&amp;lt;"),"&gt;","&amp;gt;"),CHAR(34),"&amp;quot;"),"'","&amp;apos;"))</f>
        <v/>
      </c>
      <c r="M11" s="46">
        <f>IF(Saisie_Questions!F11="","",SUBSTITUTE(SUBSTITUTE(SUBSTITUTE(SUBSTITUTE(SUBSTITUTE(Saisie_Questions!F11,"&amp;","&amp;amp;"),"&lt;","&amp;lt;"),"&gt;","&amp;gt;"),CHAR(34),"&amp;quot;"),"'","&amp;apos;"))</f>
        <v/>
      </c>
      <c r="N11" s="46">
        <f>IF(Saisie_Questions!G11="","",SUBSTITUTE(SUBSTITUTE(SUBSTITUTE(SUBSTITUTE(SUBSTITUTE(Saisie_Questions!G11,"&amp;","&amp;amp;"),"&lt;","&amp;lt;"),"&gt;","&amp;gt;"),CHAR(34),"&amp;quot;"),"'","&amp;apos;"))</f>
        <v/>
      </c>
      <c r="O11" s="46">
        <f>IF(Saisie_Questions!H11="","",SUBSTITUTE(SUBSTITUTE(SUBSTITUTE(SUBSTITUTE(SUBSTITUTE(Saisie_Questions!H11,"&amp;","&amp;amp;"),"&lt;","&amp;lt;"),"&gt;","&amp;gt;"),CHAR(34),"&amp;quot;"),"'","&amp;apos;"))</f>
        <v/>
      </c>
      <c r="P11" s="46">
        <f>IF(Saisie_Questions!I11="","",SUBSTITUTE(SUBSTITUTE(SUBSTITUTE(SUBSTITUTE(SUBSTITUTE(Saisie_Questions!I11,"&amp;","&amp;amp;"),"&lt;","&amp;lt;"),"&gt;","&amp;gt;"),CHAR(34),"&amp;quot;"),"'","&amp;apos;"))</f>
        <v/>
      </c>
      <c r="Q11" s="46">
        <f>IF(Saisie_Questions!J11="","",SUBSTITUTE(SUBSTITUTE(SUBSTITUTE(SUBSTITUTE(SUBSTITUTE(Saisie_Questions!J11,"&amp;","&amp;amp;"),"&lt;","&amp;lt;"),"&gt;","&amp;gt;"),CHAR(34),"&amp;quot;"),"'","&amp;apos;"))</f>
        <v/>
      </c>
      <c r="R11" s="46">
        <f>IF(Saisie_Questions!K11="","",SUBSTITUTE(SUBSTITUTE(SUBSTITUTE(SUBSTITUTE(SUBSTITUTE(Saisie_Questions!K11,"&amp;","&amp;amp;"),"&lt;","&amp;lt;"),"&gt;","&amp;gt;"),CHAR(34),"&amp;quot;"),"'","&amp;apos;"))</f>
        <v/>
      </c>
      <c r="S11" s="46">
        <f>IF(Saisie_Questions!L11="","",SUBSTITUTE(SUBSTITUTE(SUBSTITUTE(SUBSTITUTE(SUBSTITUTE(Saisie_Questions!L11,"&amp;","&amp;amp;"),"&lt;","&amp;lt;"),"&gt;","&amp;gt;"),CHAR(34),"&amp;quot;"),"'","&amp;apos;"))</f>
        <v/>
      </c>
      <c r="T11" s="46">
        <f>ISNUMBER(SEARCH(";"&amp;1&amp;";",";"&amp;$J11&amp;";"))</f>
        <v/>
      </c>
      <c r="U11" s="46">
        <f>ISNUMBER(SEARCH(";"&amp;2&amp;";",";"&amp;$J11&amp;";"))</f>
        <v/>
      </c>
      <c r="V11" s="46">
        <f>ISNUMBER(SEARCH(";"&amp;3&amp;";",";"&amp;$J11&amp;";"))</f>
        <v/>
      </c>
      <c r="W11" s="46">
        <f>ISNUMBER(SEARCH(";"&amp;4&amp;";",";"&amp;$J11&amp;";"))</f>
        <v/>
      </c>
      <c r="X11" s="46">
        <f>ISNUMBER(SEARCH(";"&amp;5&amp;";",";"&amp;$J11&amp;";"))</f>
        <v/>
      </c>
      <c r="Y11" s="46">
        <f>ISNUMBER(SEARCH(";"&amp;6&amp;";",";"&amp;$J11&amp;";"))</f>
        <v/>
      </c>
      <c r="Z11" s="46">
        <f>ISNUMBER(SEARCH(";"&amp;7&amp;";",";"&amp;$J11&amp;";"))</f>
        <v/>
      </c>
      <c r="AA11" s="46">
        <f>ISNUMBER(SEARCH(";"&amp;8&amp;";",";"&amp;$J11&amp;";"))</f>
        <v/>
      </c>
      <c r="AB11" s="46">
        <f>IF($B11,IF(L11="","","        &lt;response_label ident=""0""&gt;&lt;material&gt;&lt;mattext texttype=""text/html""&gt;"&amp;L11&amp;"&lt;/mattext&gt;&lt;/material&gt;&lt;/response_label&gt;"),"")</f>
        <v/>
      </c>
      <c r="AC11" s="46">
        <f>IF($B11,IF(M11="","","        &lt;response_label ident=""1""&gt;&lt;material&gt;&lt;mattext texttype=""text/html""&gt;"&amp;M11&amp;"&lt;/mattext&gt;&lt;/material&gt;&lt;/response_label&gt;"),"")</f>
        <v/>
      </c>
      <c r="AD11" s="46">
        <f>IF($B11,IF(N11="","","        &lt;response_label ident=""2""&gt;&lt;material&gt;&lt;mattext texttype=""text/html""&gt;"&amp;N11&amp;"&lt;/mattext&gt;&lt;/material&gt;&lt;/response_label&gt;"),"")</f>
        <v/>
      </c>
      <c r="AE11" s="46">
        <f>IF($B11,IF(O11="","","        &lt;response_label ident=""3""&gt;&lt;material&gt;&lt;mattext texttype=""text/html""&gt;"&amp;O11&amp;"&lt;/mattext&gt;&lt;/material&gt;&lt;/response_label&gt;"),"")</f>
        <v/>
      </c>
      <c r="AF11" s="46">
        <f>IF($B11,IF(P11="","","        &lt;response_label ident=""4""&gt;&lt;material&gt;&lt;mattext texttype=""text/html""&gt;"&amp;P11&amp;"&lt;/mattext&gt;&lt;/material&gt;&lt;/response_label&gt;"),"")</f>
        <v/>
      </c>
      <c r="AG11" s="46">
        <f>IF($B11,IF(Q11="","","        &lt;response_label ident=""5""&gt;&lt;material&gt;&lt;mattext texttype=""text/html""&gt;"&amp;Q11&amp;"&lt;/mattext&gt;&lt;/material&gt;&lt;/response_label&gt;"),"")</f>
        <v/>
      </c>
      <c r="AH11" s="46">
        <f>IF($B11,IF(R11="","","        &lt;response_label ident=""6""&gt;&lt;material&gt;&lt;mattext texttype=""text/html""&gt;"&amp;R11&amp;"&lt;/mattext&gt;&lt;/material&gt;&lt;/response_label&gt;"),"")</f>
        <v/>
      </c>
      <c r="AI11" s="46">
        <f>IF($B11,IF(S11="","","        &lt;response_label ident=""7""&gt;&lt;material&gt;&lt;mattext texttype=""text/html""&gt;"&amp;S11&amp;"&lt;/mattext&gt;&lt;/material&gt;&lt;/response_label&gt;"),"")</f>
        <v/>
      </c>
      <c r="AJ11" s="46">
        <f>IF($B11,IF(L11="","",IF($C11="qcu",IF(OR(T11,AT11&lt;&gt;"",$AS11&lt;&gt;""),"      &lt;respcondition continue=""Yes""&gt;&lt;conditionvar&gt;&lt;varequal respident=""RESPONSE""&gt;0&lt;/varequal&gt;&lt;/conditionvar&gt;"&amp;"&lt;setvar action=""Add""&gt;"&amp;IF(T11,$H11,0)&amp;"&lt;/setvar&gt;"&amp;IF(AT11&lt;&gt;"","&lt;displayfeedback feedbacktype=""Response"" linkrefid=""response_0""/&gt;",IF($AS11&lt;&gt;"","&lt;displayfeedback feedbacktype=""Response"" linkrefid=""qti_feedback_trigger""/&gt;",""))&amp;"&lt;/respcondition&gt;",""),IF(OR(T11,AT11&lt;&gt;"",$AS11&lt;&gt;""),"      &lt;respcondition continue=""Yes""&gt;&lt;conditionvar&gt;"&amp;IF(T11,"&lt;varequal respident=""RESPONSE""&gt;0&lt;/varequal&gt;","&lt;not&gt;&lt;varequal respident=""RESPONSE""&gt;0&lt;/varequal&gt;&lt;/not&gt;")&amp;"&lt;/conditionvar&gt;&lt;setvar action=""Add""&gt;"&amp;(Saisie_Questions!$N11/$I11)&amp;"&lt;/setvar&gt;"&amp;IF(AT11&lt;&gt;"","&lt;displayfeedback feedbacktype=""Response"" linkrefid=""response_0""/&gt;",IF($AS11&lt;&gt;"","&lt;displayfeedback feedbacktype=""Response"" linkrefid=""qti_feedback_trigger""/&gt;",""))&amp;"&lt;/respcondition&gt;",""))),"")</f>
      </c>
      <c r="AK11" s="46">
        <f>IF($B11,IF(M11="","",IF($C11="qcu",IF(OR(U11,AU11&lt;&gt;"",$AS11&lt;&gt;""),"      &lt;respcondition continue=""Yes""&gt;&lt;conditionvar&gt;&lt;varequal respident=""RESPONSE""&gt;1&lt;/varequal&gt;&lt;/conditionvar&gt;"&amp;"&lt;setvar action=""Add""&gt;"&amp;IF(U11,$H11,0)&amp;"&lt;/setvar&gt;"&amp;IF(AU11&lt;&gt;"","&lt;displayfeedback feedbacktype=""Response"" linkrefid=""response_1""/&gt;",IF($AS11&lt;&gt;"","&lt;displayfeedback feedbacktype=""Response"" linkrefid=""qti_feedback_trigger""/&gt;",""))&amp;"&lt;/respcondition&gt;",""),IF(OR(U11,AU11&lt;&gt;"",$AS11&lt;&gt;""),"      &lt;respcondition continue=""Yes""&gt;&lt;conditionvar&gt;"&amp;IF(U11,"&lt;varequal respident=""RESPONSE""&gt;1&lt;/varequal&gt;","&lt;not&gt;&lt;varequal respident=""RESPONSE""&gt;1&lt;/varequal&gt;&lt;/not&gt;")&amp;"&lt;/conditionvar&gt;&lt;setvar action=""Add""&gt;"&amp;(Saisie_Questions!$N11/$I11)&amp;"&lt;/setvar&gt;"&amp;IF(AU11&lt;&gt;"","&lt;displayfeedback feedbacktype=""Response"" linkrefid=""response_1""/&gt;",IF($AS11&lt;&gt;"","&lt;displayfeedback feedbacktype=""Response"" linkrefid=""qti_feedback_trigger""/&gt;",""))&amp;"&lt;/respcondition&gt;",""))),"")</f>
      </c>
      <c r="AL11" s="46">
        <f>IF($B11,IF(N11="","",IF($C11="qcu",IF(OR(V11,AV11&lt;&gt;"",$AS11&lt;&gt;""),"      &lt;respcondition continue=""Yes""&gt;&lt;conditionvar&gt;&lt;varequal respident=""RESPONSE""&gt;2&lt;/varequal&gt;&lt;/conditionvar&gt;"&amp;"&lt;setvar action=""Add""&gt;"&amp;IF(V11,$H11,0)&amp;"&lt;/setvar&gt;"&amp;IF(AV11&lt;&gt;"","&lt;displayfeedback feedbacktype=""Response"" linkrefid=""response_2""/&gt;",IF($AS11&lt;&gt;"","&lt;displayfeedback feedbacktype=""Response"" linkrefid=""qti_feedback_trigger""/&gt;",""))&amp;"&lt;/respcondition&gt;",""),IF(OR(V11,AV11&lt;&gt;"",$AS11&lt;&gt;""),"      &lt;respcondition continue=""Yes""&gt;&lt;conditionvar&gt;"&amp;IF(V11,"&lt;varequal respident=""RESPONSE""&gt;2&lt;/varequal&gt;","&lt;not&gt;&lt;varequal respident=""RESPONSE""&gt;2&lt;/varequal&gt;&lt;/not&gt;")&amp;"&lt;/conditionvar&gt;&lt;setvar action=""Add""&gt;"&amp;(Saisie_Questions!$N11/$I11)&amp;"&lt;/setvar&gt;"&amp;IF(AV11&lt;&gt;"","&lt;displayfeedback feedbacktype=""Response"" linkrefid=""response_2""/&gt;",IF($AS11&lt;&gt;"","&lt;displayfeedback feedbacktype=""Response"" linkrefid=""qti_feedback_trigger""/&gt;",""))&amp;"&lt;/respcondition&gt;",""))),"")</f>
      </c>
      <c r="AM11" s="46">
        <f>IF($B11,IF(O11="","",IF($C11="qcu",IF(OR(W11,AW11&lt;&gt;"",$AS11&lt;&gt;""),"      &lt;respcondition continue=""Yes""&gt;&lt;conditionvar&gt;&lt;varequal respident=""RESPONSE""&gt;3&lt;/varequal&gt;&lt;/conditionvar&gt;"&amp;"&lt;setvar action=""Add""&gt;"&amp;IF(W11,$H11,0)&amp;"&lt;/setvar&gt;"&amp;IF(AW11&lt;&gt;"","&lt;displayfeedback feedbacktype=""Response"" linkrefid=""response_3""/&gt;",IF($AS11&lt;&gt;"","&lt;displayfeedback feedbacktype=""Response"" linkrefid=""qti_feedback_trigger""/&gt;",""))&amp;"&lt;/respcondition&gt;",""),IF(OR(W11,AW11&lt;&gt;"",$AS11&lt;&gt;""),"      &lt;respcondition continue=""Yes""&gt;&lt;conditionvar&gt;"&amp;IF(W11,"&lt;varequal respident=""RESPONSE""&gt;3&lt;/varequal&gt;","&lt;not&gt;&lt;varequal respident=""RESPONSE""&gt;3&lt;/varequal&gt;&lt;/not&gt;")&amp;"&lt;/conditionvar&gt;&lt;setvar action=""Add""&gt;"&amp;(Saisie_Questions!$N11/$I11)&amp;"&lt;/setvar&gt;"&amp;IF(AW11&lt;&gt;"","&lt;displayfeedback feedbacktype=""Response"" linkrefid=""response_3""/&gt;",IF($AS11&lt;&gt;"","&lt;displayfeedback feedbacktype=""Response"" linkrefid=""qti_feedback_trigger""/&gt;",""))&amp;"&lt;/respcondition&gt;",""))),"")</f>
      </c>
      <c r="AN11" s="46">
        <f>IF($B11,IF(P11="","",IF($C11="qcu",IF(OR(X11,AX11&lt;&gt;"",$AS11&lt;&gt;""),"      &lt;respcondition continue=""Yes""&gt;&lt;conditionvar&gt;&lt;varequal respident=""RESPONSE""&gt;4&lt;/varequal&gt;&lt;/conditionvar&gt;"&amp;"&lt;setvar action=""Add""&gt;"&amp;IF(X11,$H11,0)&amp;"&lt;/setvar&gt;"&amp;IF(AX11&lt;&gt;"","&lt;displayfeedback feedbacktype=""Response"" linkrefid=""response_4""/&gt;",IF($AS11&lt;&gt;"","&lt;displayfeedback feedbacktype=""Response"" linkrefid=""qti_feedback_trigger""/&gt;",""))&amp;"&lt;/respcondition&gt;",""),IF(OR(X11,AX11&lt;&gt;"",$AS11&lt;&gt;""),"      &lt;respcondition continue=""Yes""&gt;&lt;conditionvar&gt;"&amp;IF(X11,"&lt;varequal respident=""RESPONSE""&gt;4&lt;/varequal&gt;","&lt;not&gt;&lt;varequal respident=""RESPONSE""&gt;4&lt;/varequal&gt;&lt;/not&gt;")&amp;"&lt;/conditionvar&gt;&lt;setvar action=""Add""&gt;"&amp;(Saisie_Questions!$N11/$I11)&amp;"&lt;/setvar&gt;"&amp;IF(AX11&lt;&gt;"","&lt;displayfeedback feedbacktype=""Response"" linkrefid=""response_4""/&gt;",IF($AS11&lt;&gt;"","&lt;displayfeedback feedbacktype=""Response"" linkrefid=""qti_feedback_trigger""/&gt;",""))&amp;"&lt;/respcondition&gt;",""))),"")</f>
      </c>
      <c r="AO11" s="46">
        <f>IF($B11,IF(Q11="","",IF($C11="qcu",IF(OR(Y11,AY11&lt;&gt;"",$AS11&lt;&gt;""),"      &lt;respcondition continue=""Yes""&gt;&lt;conditionvar&gt;&lt;varequal respident=""RESPONSE""&gt;5&lt;/varequal&gt;&lt;/conditionvar&gt;"&amp;"&lt;setvar action=""Add""&gt;"&amp;IF(Y11,$H11,0)&amp;"&lt;/setvar&gt;"&amp;IF(AY11&lt;&gt;"","&lt;displayfeedback feedbacktype=""Response"" linkrefid=""response_5""/&gt;",IF($AS11&lt;&gt;"","&lt;displayfeedback feedbacktype=""Response"" linkrefid=""qti_feedback_trigger""/&gt;",""))&amp;"&lt;/respcondition&gt;",""),IF(OR(Y11,AY11&lt;&gt;"",$AS11&lt;&gt;""),"      &lt;respcondition continue=""Yes""&gt;&lt;conditionvar&gt;"&amp;IF(Y11,"&lt;varequal respident=""RESPONSE""&gt;5&lt;/varequal&gt;","&lt;not&gt;&lt;varequal respident=""RESPONSE""&gt;5&lt;/varequal&gt;&lt;/not&gt;")&amp;"&lt;/conditionvar&gt;&lt;setvar action=""Add""&gt;"&amp;(Saisie_Questions!$N11/$I11)&amp;"&lt;/setvar&gt;"&amp;IF(AY11&lt;&gt;"","&lt;displayfeedback feedbacktype=""Response"" linkrefid=""response_5""/&gt;",IF($AS11&lt;&gt;"","&lt;displayfeedback feedbacktype=""Response"" linkrefid=""qti_feedback_trigger""/&gt;",""))&amp;"&lt;/respcondition&gt;",""))),"")</f>
      </c>
      <c r="AP11" s="46">
        <f>IF($B11,IF(R11="","",IF($C11="qcu",IF(OR(Z11,AZ11&lt;&gt;"",$AS11&lt;&gt;""),"      &lt;respcondition continue=""Yes""&gt;&lt;conditionvar&gt;&lt;varequal respident=""RESPONSE""&gt;6&lt;/varequal&gt;&lt;/conditionvar&gt;"&amp;"&lt;setvar action=""Add""&gt;"&amp;IF(Z11,$H11,0)&amp;"&lt;/setvar&gt;"&amp;IF(AZ11&lt;&gt;"","&lt;displayfeedback feedbacktype=""Response"" linkrefid=""response_6""/&gt;",IF($AS11&lt;&gt;"","&lt;displayfeedback feedbacktype=""Response"" linkrefid=""qti_feedback_trigger""/&gt;",""))&amp;"&lt;/respcondition&gt;",""),IF(OR(Z11,AZ11&lt;&gt;"",$AS11&lt;&gt;""),"      &lt;respcondition continue=""Yes""&gt;&lt;conditionvar&gt;"&amp;IF(Z11,"&lt;varequal respident=""RESPONSE""&gt;6&lt;/varequal&gt;","&lt;not&gt;&lt;varequal respident=""RESPONSE""&gt;6&lt;/varequal&gt;&lt;/not&gt;")&amp;"&lt;/conditionvar&gt;&lt;setvar action=""Add""&gt;"&amp;(Saisie_Questions!$N11/$I11)&amp;"&lt;/setvar&gt;"&amp;IF(AZ11&lt;&gt;"","&lt;displayfeedback feedbacktype=""Response"" linkrefid=""response_6""/&gt;",IF($AS11&lt;&gt;"","&lt;displayfeedback feedbacktype=""Response"" linkrefid=""qti_feedback_trigger""/&gt;",""))&amp;"&lt;/respcondition&gt;",""))),"")</f>
      </c>
      <c r="AQ11" s="46">
        <f>IF($B11,IF(S11="","",IF($C11="qcu",IF(OR(AA11,BA11&lt;&gt;"",$AS11&lt;&gt;""),"      &lt;respcondition continue=""Yes""&gt;&lt;conditionvar&gt;&lt;varequal respident=""RESPONSE""&gt;7&lt;/varequal&gt;&lt;/conditionvar&gt;"&amp;"&lt;setvar action=""Add""&gt;"&amp;IF(AA11,$H11,0)&amp;"&lt;/setvar&gt;"&amp;IF(BA11&lt;&gt;"","&lt;displayfeedback feedbacktype=""Response"" linkrefid=""response_7""/&gt;",IF($AS11&lt;&gt;"","&lt;displayfeedback feedbacktype=""Response"" linkrefid=""qti_feedback_trigger""/&gt;",""))&amp;"&lt;/respcondition&gt;",""),IF(OR(AA11,BA11&lt;&gt;"",$AS11&lt;&gt;""),"      &lt;respcondition continue=""Yes""&gt;&lt;conditionvar&gt;"&amp;IF(AA11,"&lt;varequal respident=""RESPONSE""&gt;7&lt;/varequal&gt;","&lt;not&gt;&lt;varequal respident=""RESPONSE""&gt;7&lt;/varequal&gt;&lt;/not&gt;")&amp;"&lt;/conditionvar&gt;&lt;setvar action=""Add""&gt;"&amp;(Saisie_Questions!$N11/$I11)&amp;"&lt;/setvar&gt;"&amp;IF(BA11&lt;&gt;"","&lt;displayfeedback feedbacktype=""Response"" linkrefid=""response_7""/&gt;",IF($AS11&lt;&gt;"","&lt;displayfeedback feedbacktype=""Response"" linkrefid=""qti_feedback_trigger""/&gt;",""))&amp;"&lt;/respcondition&gt;",""))),"")</f>
      </c>
      <c r="AR11" s="46">
        <f>IF(A11="","",SUBSTITUTE(SUBSTITUTE(SUBSTITUTE(SUBSTITUTE(SUBSTITUTE(IF(Saisie_Questions!P11&lt;&gt;"",Saisie_Questions!P11,Interface_Generation!$B$5),"&amp;","&amp;amp;"),"&lt;","&amp;lt;"),"&gt;","&amp;gt;"),CHAR(34),"&amp;quot;"),"'","&amp;apos;"))</f>
        <v/>
      </c>
      <c r="AS11" s="46">
        <f>IF(Saisie_Questions!Q11="","",SUBSTITUTE(SUBSTITUTE(SUBSTITUTE(SUBSTITUTE(SUBSTITUTE(Saisie_Questions!Q11,"&amp;","&amp;amp;"),"&lt;","&amp;lt;"),"&gt;","&amp;gt;"),CHAR(34),"&amp;quot;"),"'","&amp;apos;"))</f>
        <v/>
      </c>
      <c r="AT11" s="46">
        <f>IF(Saisie_Questions!R11="","",SUBSTITUTE(SUBSTITUTE(SUBSTITUTE(SUBSTITUTE(SUBSTITUTE(Saisie_Questions!R11,"&amp;","&amp;amp;"),"&lt;","&amp;lt;"),"&gt;","&amp;gt;"),CHAR(34),"&amp;quot;"),"'","&amp;apos;"))</f>
        <v/>
      </c>
      <c r="AU11" s="46">
        <f>IF(Saisie_Questions!S11="","",SUBSTITUTE(SUBSTITUTE(SUBSTITUTE(SUBSTITUTE(SUBSTITUTE(Saisie_Questions!S11,"&amp;","&amp;amp;"),"&lt;","&amp;lt;"),"&gt;","&amp;gt;"),CHAR(34),"&amp;quot;"),"'","&amp;apos;"))</f>
        <v/>
      </c>
      <c r="AV11" s="46">
        <f>IF(Saisie_Questions!T11="","",SUBSTITUTE(SUBSTITUTE(SUBSTITUTE(SUBSTITUTE(SUBSTITUTE(Saisie_Questions!T11,"&amp;","&amp;amp;"),"&lt;","&amp;lt;"),"&gt;","&amp;gt;"),CHAR(34),"&amp;quot;"),"'","&amp;apos;"))</f>
        <v/>
      </c>
      <c r="AW11" s="46">
        <f>IF(Saisie_Questions!U11="","",SUBSTITUTE(SUBSTITUTE(SUBSTITUTE(SUBSTITUTE(SUBSTITUTE(Saisie_Questions!U11,"&amp;","&amp;amp;"),"&lt;","&amp;lt;"),"&gt;","&amp;gt;"),CHAR(34),"&amp;quot;"),"'","&amp;apos;"))</f>
        <v/>
      </c>
      <c r="AX11" s="46">
        <f>IF(Saisie_Questions!V11="","",SUBSTITUTE(SUBSTITUTE(SUBSTITUTE(SUBSTITUTE(SUBSTITUTE(Saisie_Questions!V11,"&amp;","&amp;amp;"),"&lt;","&amp;lt;"),"&gt;","&amp;gt;"),CHAR(34),"&amp;quot;"),"'","&amp;apos;"))</f>
        <v/>
      </c>
      <c r="AY11" s="46">
        <f>IF(Saisie_Questions!W11="","",SUBSTITUTE(SUBSTITUTE(SUBSTITUTE(SUBSTITUTE(SUBSTITUTE(Saisie_Questions!W11,"&amp;","&amp;amp;"),"&lt;","&amp;lt;"),"&gt;","&amp;gt;"),CHAR(34),"&amp;quot;"),"'","&amp;apos;"))</f>
        <v/>
      </c>
      <c r="AZ11" s="46">
        <f>IF(Saisie_Questions!X11="","",SUBSTITUTE(SUBSTITUTE(SUBSTITUTE(SUBSTITUTE(SUBSTITUTE(Saisie_Questions!X11,"&amp;","&amp;amp;"),"&lt;","&amp;lt;"),"&gt;","&amp;gt;"),CHAR(34),"&amp;quot;"),"'","&amp;apos;"))</f>
        <v/>
      </c>
      <c r="BA11" s="46">
        <f>IF(Saisie_Questions!Y11="","",SUBSTITUTE(SUBSTITUTE(SUBSTITUTE(SUBSTITUTE(SUBSTITUTE(Saisie_Questions!Y11,"&amp;","&amp;amp;"),"&lt;","&amp;lt;"),"&gt;","&amp;gt;"),CHAR(34),"&amp;quot;"),"'","&amp;apos;"))</f>
        <v/>
      </c>
      <c r="BB11" s="46">
        <f>IF($B11,IF($AS11="","","    &lt;itemfeedback ident=""response_allcorrect"" view=""All""&gt;&lt;flow_mat&gt;&lt;material&gt;&lt;mattext texttype=""text/html""&gt;"&amp;$AS11&amp;"&lt;/mattext&gt;&lt;/material&gt;&lt;/flow_mat&gt;&lt;/itemfeedback&gt;"&amp;"    &lt;itemfeedback ident=""response_onenotcorrect"" view=""All""&gt;&lt;flow_mat&gt;&lt;material&gt;&lt;mattext texttype=""text/html""&gt;"&amp;$AS11&amp;"&lt;/mattext&gt;&lt;/material&gt;&lt;/flow_mat&gt;&lt;/itemfeedback&gt;"),"")</f>
      </c>
      <c r="BC11" s="46">
        <f>IF($B11,IF(AT11="","","    &lt;itemfeedback ident=""response_0"" view=""All""&gt;&lt;flow_mat&gt;&lt;material&gt;&lt;mattext texttype=""text/html""&gt;"&amp;AT11&amp;"&lt;/mattext&gt;&lt;/material&gt;&lt;/flow_mat&gt;&lt;/itemfeedback&gt;"),"")</f>
      </c>
      <c r="BD11" s="46">
        <f>IF($B11,IF(AU11="","","    &lt;itemfeedback ident=""response_1"" view=""All""&gt;&lt;flow_mat&gt;&lt;material&gt;&lt;mattext texttype=""text/html""&gt;"&amp;AU11&amp;"&lt;/mattext&gt;&lt;/material&gt;&lt;/flow_mat&gt;&lt;/itemfeedback&gt;"),"")</f>
      </c>
      <c r="BE11" s="46">
        <f>IF($B11,IF(AV11="","","    &lt;itemfeedback ident=""response_2"" view=""All""&gt;&lt;flow_mat&gt;&lt;material&gt;&lt;mattext texttype=""text/html""&gt;"&amp;AV11&amp;"&lt;/mattext&gt;&lt;/material&gt;&lt;/flow_mat&gt;&lt;/itemfeedback&gt;"),"")</f>
      </c>
      <c r="BF11" s="46">
        <f>IF($B11,IF(AW11="","","    &lt;itemfeedback ident=""response_3"" view=""All""&gt;&lt;flow_mat&gt;&lt;material&gt;&lt;mattext texttype=""text/html""&gt;"&amp;AW11&amp;"&lt;/mattext&gt;&lt;/material&gt;&lt;/flow_mat&gt;&lt;/itemfeedback&gt;"),"")</f>
      </c>
      <c r="BG11" s="46">
        <f>IF($B11,IF(AX11="","","    &lt;itemfeedback ident=""response_4"" view=""All""&gt;&lt;flow_mat&gt;&lt;material&gt;&lt;mattext texttype=""text/html""&gt;"&amp;AX11&amp;"&lt;/mattext&gt;&lt;/material&gt;&lt;/flow_mat&gt;&lt;/itemfeedback&gt;"),"")</f>
      </c>
      <c r="BH11" s="46">
        <f>IF($B11,IF(AY11="","","    &lt;itemfeedback ident=""response_5"" view=""All""&gt;&lt;flow_mat&gt;&lt;material&gt;&lt;mattext texttype=""text/html""&gt;"&amp;AY11&amp;"&lt;/mattext&gt;&lt;/material&gt;&lt;/flow_mat&gt;&lt;/itemfeedback&gt;"),"")</f>
      </c>
      <c r="BI11" s="46">
        <f>IF($B11,IF(AZ11="","","    &lt;itemfeedback ident=""response_6"" view=""All""&gt;&lt;flow_mat&gt;&lt;material&gt;&lt;mattext texttype=""text/html""&gt;"&amp;AZ11&amp;"&lt;/mattext&gt;&lt;/material&gt;&lt;/flow_mat&gt;&lt;/itemfeedback&gt;"),"")</f>
      </c>
      <c r="BJ11" s="46">
        <f>IF($B11,IF(BA11="","","    &lt;itemfeedback ident=""response_7"" view=""All""&gt;&lt;flow_mat&gt;&lt;material&gt;&lt;mattext texttype=""text/html""&gt;"&amp;BA11&amp;"&lt;/mattext&gt;&lt;/material&gt;&lt;/flow_mat&gt;&lt;/itemfeedback&gt;"),"")</f>
      </c>
    </row>
    <row r="12" ht="18" customHeight="1" s="17">
      <c r="A12" s="46">
        <f>Saisie_Questions!A12</f>
        <v/>
      </c>
      <c r="B12" s="46">
        <f>Saisie_Questions!O12="OK"</f>
        <v/>
      </c>
      <c r="C12" s="46">
        <f>LOWER(TRIM(Saisie_Questions!B12))</f>
        <v/>
      </c>
      <c r="D12" s="46">
        <f>IF(C12="qcu","SINGLE CHOICE QUESTION","MULTIPLE CHOICE QUESTION")</f>
        <v/>
      </c>
      <c r="E12" s="46">
        <f>IF(C12="qcu","Single","Multiple")</f>
        <v/>
      </c>
      <c r="F12" s="46">
        <f>IF(A12="","",SUBSTITUTE(SUBSTITUTE(SUBSTITUTE(SUBSTITUTE(SUBSTITUTE(IF(Saisie_Questions!C12="", "Question "&amp;A12, Saisie_Questions!C12),"&amp;","&amp;amp;"),"&lt;","&amp;lt;"),"&gt;","&amp;gt;"),CHAR(34),"&amp;quot;"),"'","&amp;apos;"))</f>
        <v/>
      </c>
      <c r="G12" s="46">
        <f>IF(A12="","",SUBSTITUTE(SUBSTITUTE(SUBSTITUTE(SUBSTITUTE(SUBSTITUTE(Saisie_Questions!D12,"&amp;","&amp;amp;"),"&lt;","&amp;lt;"),"&gt;","&amp;gt;"),CHAR(34),"&amp;quot;"),"'","&amp;apos;"))</f>
        <v/>
      </c>
      <c r="H12" s="46">
        <f>Saisie_Questions!N12</f>
        <v/>
      </c>
      <c r="I12" s="46">
        <f>IF(Saisie_Questions!E12="",0,1)+IF(Saisie_Questions!F12="",0,1)+IF(Saisie_Questions!G12="",0,1)+IF(Saisie_Questions!H12="",0,1)+IF(Saisie_Questions!I12="",0,1)+IF(Saisie_Questions!J12="",0,1)+IF(Saisie_Questions!K12="",0,1)+IF(Saisie_Questions!L12="",0,1)</f>
        <v/>
      </c>
      <c r="J12" s="46">
        <f>Saisie_Questions!M12</f>
        <v/>
      </c>
      <c r="K12" s="46">
        <f>Saisie_Questions!O12</f>
        <v/>
      </c>
      <c r="L12" s="46">
        <f>IF(Saisie_Questions!E12="","",SUBSTITUTE(SUBSTITUTE(SUBSTITUTE(SUBSTITUTE(SUBSTITUTE(Saisie_Questions!E12,"&amp;","&amp;amp;"),"&lt;","&amp;lt;"),"&gt;","&amp;gt;"),CHAR(34),"&amp;quot;"),"'","&amp;apos;"))</f>
        <v/>
      </c>
      <c r="M12" s="46">
        <f>IF(Saisie_Questions!F12="","",SUBSTITUTE(SUBSTITUTE(SUBSTITUTE(SUBSTITUTE(SUBSTITUTE(Saisie_Questions!F12,"&amp;","&amp;amp;"),"&lt;","&amp;lt;"),"&gt;","&amp;gt;"),CHAR(34),"&amp;quot;"),"'","&amp;apos;"))</f>
        <v/>
      </c>
      <c r="N12" s="46">
        <f>IF(Saisie_Questions!G12="","",SUBSTITUTE(SUBSTITUTE(SUBSTITUTE(SUBSTITUTE(SUBSTITUTE(Saisie_Questions!G12,"&amp;","&amp;amp;"),"&lt;","&amp;lt;"),"&gt;","&amp;gt;"),CHAR(34),"&amp;quot;"),"'","&amp;apos;"))</f>
        <v/>
      </c>
      <c r="O12" s="46">
        <f>IF(Saisie_Questions!H12="","",SUBSTITUTE(SUBSTITUTE(SUBSTITUTE(SUBSTITUTE(SUBSTITUTE(Saisie_Questions!H12,"&amp;","&amp;amp;"),"&lt;","&amp;lt;"),"&gt;","&amp;gt;"),CHAR(34),"&amp;quot;"),"'","&amp;apos;"))</f>
        <v/>
      </c>
      <c r="P12" s="46">
        <f>IF(Saisie_Questions!I12="","",SUBSTITUTE(SUBSTITUTE(SUBSTITUTE(SUBSTITUTE(SUBSTITUTE(Saisie_Questions!I12,"&amp;","&amp;amp;"),"&lt;","&amp;lt;"),"&gt;","&amp;gt;"),CHAR(34),"&amp;quot;"),"'","&amp;apos;"))</f>
        <v/>
      </c>
      <c r="Q12" s="46">
        <f>IF(Saisie_Questions!J12="","",SUBSTITUTE(SUBSTITUTE(SUBSTITUTE(SUBSTITUTE(SUBSTITUTE(Saisie_Questions!J12,"&amp;","&amp;amp;"),"&lt;","&amp;lt;"),"&gt;","&amp;gt;"),CHAR(34),"&amp;quot;"),"'","&amp;apos;"))</f>
        <v/>
      </c>
      <c r="R12" s="46">
        <f>IF(Saisie_Questions!K12="","",SUBSTITUTE(SUBSTITUTE(SUBSTITUTE(SUBSTITUTE(SUBSTITUTE(Saisie_Questions!K12,"&amp;","&amp;amp;"),"&lt;","&amp;lt;"),"&gt;","&amp;gt;"),CHAR(34),"&amp;quot;"),"'","&amp;apos;"))</f>
        <v/>
      </c>
      <c r="S12" s="46">
        <f>IF(Saisie_Questions!L12="","",SUBSTITUTE(SUBSTITUTE(SUBSTITUTE(SUBSTITUTE(SUBSTITUTE(Saisie_Questions!L12,"&amp;","&amp;amp;"),"&lt;","&amp;lt;"),"&gt;","&amp;gt;"),CHAR(34),"&amp;quot;"),"'","&amp;apos;"))</f>
        <v/>
      </c>
      <c r="T12" s="46">
        <f>ISNUMBER(SEARCH(";"&amp;1&amp;";",";"&amp;$J12&amp;";"))</f>
        <v/>
      </c>
      <c r="U12" s="46">
        <f>ISNUMBER(SEARCH(";"&amp;2&amp;";",";"&amp;$J12&amp;";"))</f>
        <v/>
      </c>
      <c r="V12" s="46">
        <f>ISNUMBER(SEARCH(";"&amp;3&amp;";",";"&amp;$J12&amp;";"))</f>
        <v/>
      </c>
      <c r="W12" s="46">
        <f>ISNUMBER(SEARCH(";"&amp;4&amp;";",";"&amp;$J12&amp;";"))</f>
        <v/>
      </c>
      <c r="X12" s="46">
        <f>ISNUMBER(SEARCH(";"&amp;5&amp;";",";"&amp;$J12&amp;";"))</f>
        <v/>
      </c>
      <c r="Y12" s="46">
        <f>ISNUMBER(SEARCH(";"&amp;6&amp;";",";"&amp;$J12&amp;";"))</f>
        <v/>
      </c>
      <c r="Z12" s="46">
        <f>ISNUMBER(SEARCH(";"&amp;7&amp;";",";"&amp;$J12&amp;";"))</f>
        <v/>
      </c>
      <c r="AA12" s="46">
        <f>ISNUMBER(SEARCH(";"&amp;8&amp;";",";"&amp;$J12&amp;";"))</f>
        <v/>
      </c>
      <c r="AB12" s="46">
        <f>IF($B12,IF(L12="","","        &lt;response_label ident=""0""&gt;&lt;material&gt;&lt;mattext texttype=""text/html""&gt;"&amp;L12&amp;"&lt;/mattext&gt;&lt;/material&gt;&lt;/response_label&gt;"),"")</f>
        <v/>
      </c>
      <c r="AC12" s="46">
        <f>IF($B12,IF(M12="","","        &lt;response_label ident=""1""&gt;&lt;material&gt;&lt;mattext texttype=""text/html""&gt;"&amp;M12&amp;"&lt;/mattext&gt;&lt;/material&gt;&lt;/response_label&gt;"),"")</f>
        <v/>
      </c>
      <c r="AD12" s="46">
        <f>IF($B12,IF(N12="","","        &lt;response_label ident=""2""&gt;&lt;material&gt;&lt;mattext texttype=""text/html""&gt;"&amp;N12&amp;"&lt;/mattext&gt;&lt;/material&gt;&lt;/response_label&gt;"),"")</f>
        <v/>
      </c>
      <c r="AE12" s="46">
        <f>IF($B12,IF(O12="","","        &lt;response_label ident=""3""&gt;&lt;material&gt;&lt;mattext texttype=""text/html""&gt;"&amp;O12&amp;"&lt;/mattext&gt;&lt;/material&gt;&lt;/response_label&gt;"),"")</f>
        <v/>
      </c>
      <c r="AF12" s="46">
        <f>IF($B12,IF(P12="","","        &lt;response_label ident=""4""&gt;&lt;material&gt;&lt;mattext texttype=""text/html""&gt;"&amp;P12&amp;"&lt;/mattext&gt;&lt;/material&gt;&lt;/response_label&gt;"),"")</f>
        <v/>
      </c>
      <c r="AG12" s="46">
        <f>IF($B12,IF(Q12="","","        &lt;response_label ident=""5""&gt;&lt;material&gt;&lt;mattext texttype=""text/html""&gt;"&amp;Q12&amp;"&lt;/mattext&gt;&lt;/material&gt;&lt;/response_label&gt;"),"")</f>
        <v/>
      </c>
      <c r="AH12" s="46">
        <f>IF($B12,IF(R12="","","        &lt;response_label ident=""6""&gt;&lt;material&gt;&lt;mattext texttype=""text/html""&gt;"&amp;R12&amp;"&lt;/mattext&gt;&lt;/material&gt;&lt;/response_label&gt;"),"")</f>
        <v/>
      </c>
      <c r="AI12" s="46">
        <f>IF($B12,IF(S12="","","        &lt;response_label ident=""7""&gt;&lt;material&gt;&lt;mattext texttype=""text/html""&gt;"&amp;S12&amp;"&lt;/mattext&gt;&lt;/material&gt;&lt;/response_label&gt;"),"")</f>
        <v/>
      </c>
      <c r="AJ12" s="46">
        <f>IF($B12,IF(L12="","",IF($C12="qcu",IF(OR(T12,AT12&lt;&gt;"",$AS12&lt;&gt;""),"      &lt;respcondition continue=""Yes""&gt;&lt;conditionvar&gt;&lt;varequal respident=""RESPONSE""&gt;0&lt;/varequal&gt;&lt;/conditionvar&gt;"&amp;"&lt;setvar action=""Add""&gt;"&amp;IF(T12,$H12,0)&amp;"&lt;/setvar&gt;"&amp;IF(AT12&lt;&gt;"","&lt;displayfeedback feedbacktype=""Response"" linkrefid=""response_0""/&gt;",IF($AS12&lt;&gt;"","&lt;displayfeedback feedbacktype=""Response"" linkrefid=""qti_feedback_trigger""/&gt;",""))&amp;"&lt;/respcondition&gt;",""),IF(OR(T12,AT12&lt;&gt;"",$AS12&lt;&gt;""),"      &lt;respcondition continue=""Yes""&gt;&lt;conditionvar&gt;"&amp;IF(T12,"&lt;varequal respident=""RESPONSE""&gt;0&lt;/varequal&gt;","&lt;not&gt;&lt;varequal respident=""RESPONSE""&gt;0&lt;/varequal&gt;&lt;/not&gt;")&amp;"&lt;/conditionvar&gt;&lt;setvar action=""Add""&gt;"&amp;(Saisie_Questions!$N12/$I12)&amp;"&lt;/setvar&gt;"&amp;IF(AT12&lt;&gt;"","&lt;displayfeedback feedbacktype=""Response"" linkrefid=""response_0""/&gt;",IF($AS12&lt;&gt;"","&lt;displayfeedback feedbacktype=""Response"" linkrefid=""qti_feedback_trigger""/&gt;",""))&amp;"&lt;/respcondition&gt;",""))),"")</f>
      </c>
      <c r="AK12" s="46">
        <f>IF($B12,IF(M12="","",IF($C12="qcu",IF(OR(U12,AU12&lt;&gt;"",$AS12&lt;&gt;""),"      &lt;respcondition continue=""Yes""&gt;&lt;conditionvar&gt;&lt;varequal respident=""RESPONSE""&gt;1&lt;/varequal&gt;&lt;/conditionvar&gt;"&amp;"&lt;setvar action=""Add""&gt;"&amp;IF(U12,$H12,0)&amp;"&lt;/setvar&gt;"&amp;IF(AU12&lt;&gt;"","&lt;displayfeedback feedbacktype=""Response"" linkrefid=""response_1""/&gt;",IF($AS12&lt;&gt;"","&lt;displayfeedback feedbacktype=""Response"" linkrefid=""qti_feedback_trigger""/&gt;",""))&amp;"&lt;/respcondition&gt;",""),IF(OR(U12,AU12&lt;&gt;"",$AS12&lt;&gt;""),"      &lt;respcondition continue=""Yes""&gt;&lt;conditionvar&gt;"&amp;IF(U12,"&lt;varequal respident=""RESPONSE""&gt;1&lt;/varequal&gt;","&lt;not&gt;&lt;varequal respident=""RESPONSE""&gt;1&lt;/varequal&gt;&lt;/not&gt;")&amp;"&lt;/conditionvar&gt;&lt;setvar action=""Add""&gt;"&amp;(Saisie_Questions!$N12/$I12)&amp;"&lt;/setvar&gt;"&amp;IF(AU12&lt;&gt;"","&lt;displayfeedback feedbacktype=""Response"" linkrefid=""response_1""/&gt;",IF($AS12&lt;&gt;"","&lt;displayfeedback feedbacktype=""Response"" linkrefid=""qti_feedback_trigger""/&gt;",""))&amp;"&lt;/respcondition&gt;",""))),"")</f>
      </c>
      <c r="AL12" s="46">
        <f>IF($B12,IF(N12="","",IF($C12="qcu",IF(OR(V12,AV12&lt;&gt;"",$AS12&lt;&gt;""),"      &lt;respcondition continue=""Yes""&gt;&lt;conditionvar&gt;&lt;varequal respident=""RESPONSE""&gt;2&lt;/varequal&gt;&lt;/conditionvar&gt;"&amp;"&lt;setvar action=""Add""&gt;"&amp;IF(V12,$H12,0)&amp;"&lt;/setvar&gt;"&amp;IF(AV12&lt;&gt;"","&lt;displayfeedback feedbacktype=""Response"" linkrefid=""response_2""/&gt;",IF($AS12&lt;&gt;"","&lt;displayfeedback feedbacktype=""Response"" linkrefid=""qti_feedback_trigger""/&gt;",""))&amp;"&lt;/respcondition&gt;",""),IF(OR(V12,AV12&lt;&gt;"",$AS12&lt;&gt;""),"      &lt;respcondition continue=""Yes""&gt;&lt;conditionvar&gt;"&amp;IF(V12,"&lt;varequal respident=""RESPONSE""&gt;2&lt;/varequal&gt;","&lt;not&gt;&lt;varequal respident=""RESPONSE""&gt;2&lt;/varequal&gt;&lt;/not&gt;")&amp;"&lt;/conditionvar&gt;&lt;setvar action=""Add""&gt;"&amp;(Saisie_Questions!$N12/$I12)&amp;"&lt;/setvar&gt;"&amp;IF(AV12&lt;&gt;"","&lt;displayfeedback feedbacktype=""Response"" linkrefid=""response_2""/&gt;",IF($AS12&lt;&gt;"","&lt;displayfeedback feedbacktype=""Response"" linkrefid=""qti_feedback_trigger""/&gt;",""))&amp;"&lt;/respcondition&gt;",""))),"")</f>
      </c>
      <c r="AM12" s="46">
        <f>IF($B12,IF(O12="","",IF($C12="qcu",IF(OR(W12,AW12&lt;&gt;"",$AS12&lt;&gt;""),"      &lt;respcondition continue=""Yes""&gt;&lt;conditionvar&gt;&lt;varequal respident=""RESPONSE""&gt;3&lt;/varequal&gt;&lt;/conditionvar&gt;"&amp;"&lt;setvar action=""Add""&gt;"&amp;IF(W12,$H12,0)&amp;"&lt;/setvar&gt;"&amp;IF(AW12&lt;&gt;"","&lt;displayfeedback feedbacktype=""Response"" linkrefid=""response_3""/&gt;",IF($AS12&lt;&gt;"","&lt;displayfeedback feedbacktype=""Response"" linkrefid=""qti_feedback_trigger""/&gt;",""))&amp;"&lt;/respcondition&gt;",""),IF(OR(W12,AW12&lt;&gt;"",$AS12&lt;&gt;""),"      &lt;respcondition continue=""Yes""&gt;&lt;conditionvar&gt;"&amp;IF(W12,"&lt;varequal respident=""RESPONSE""&gt;3&lt;/varequal&gt;","&lt;not&gt;&lt;varequal respident=""RESPONSE""&gt;3&lt;/varequal&gt;&lt;/not&gt;")&amp;"&lt;/conditionvar&gt;&lt;setvar action=""Add""&gt;"&amp;(Saisie_Questions!$N12/$I12)&amp;"&lt;/setvar&gt;"&amp;IF(AW12&lt;&gt;"","&lt;displayfeedback feedbacktype=""Response"" linkrefid=""response_3""/&gt;",IF($AS12&lt;&gt;"","&lt;displayfeedback feedbacktype=""Response"" linkrefid=""qti_feedback_trigger""/&gt;",""))&amp;"&lt;/respcondition&gt;",""))),"")</f>
      </c>
      <c r="AN12" s="46">
        <f>IF($B12,IF(P12="","",IF($C12="qcu",IF(OR(X12,AX12&lt;&gt;"",$AS12&lt;&gt;""),"      &lt;respcondition continue=""Yes""&gt;&lt;conditionvar&gt;&lt;varequal respident=""RESPONSE""&gt;4&lt;/varequal&gt;&lt;/conditionvar&gt;"&amp;"&lt;setvar action=""Add""&gt;"&amp;IF(X12,$H12,0)&amp;"&lt;/setvar&gt;"&amp;IF(AX12&lt;&gt;"","&lt;displayfeedback feedbacktype=""Response"" linkrefid=""response_4""/&gt;",IF($AS12&lt;&gt;"","&lt;displayfeedback feedbacktype=""Response"" linkrefid=""qti_feedback_trigger""/&gt;",""))&amp;"&lt;/respcondition&gt;",""),IF(OR(X12,AX12&lt;&gt;"",$AS12&lt;&gt;""),"      &lt;respcondition continue=""Yes""&gt;&lt;conditionvar&gt;"&amp;IF(X12,"&lt;varequal respident=""RESPONSE""&gt;4&lt;/varequal&gt;","&lt;not&gt;&lt;varequal respident=""RESPONSE""&gt;4&lt;/varequal&gt;&lt;/not&gt;")&amp;"&lt;/conditionvar&gt;&lt;setvar action=""Add""&gt;"&amp;(Saisie_Questions!$N12/$I12)&amp;"&lt;/setvar&gt;"&amp;IF(AX12&lt;&gt;"","&lt;displayfeedback feedbacktype=""Response"" linkrefid=""response_4""/&gt;",IF($AS12&lt;&gt;"","&lt;displayfeedback feedbacktype=""Response"" linkrefid=""qti_feedback_trigger""/&gt;",""))&amp;"&lt;/respcondition&gt;",""))),"")</f>
      </c>
      <c r="AO12" s="46">
        <f>IF($B12,IF(Q12="","",IF($C12="qcu",IF(OR(Y12,AY12&lt;&gt;"",$AS12&lt;&gt;""),"      &lt;respcondition continue=""Yes""&gt;&lt;conditionvar&gt;&lt;varequal respident=""RESPONSE""&gt;5&lt;/varequal&gt;&lt;/conditionvar&gt;"&amp;"&lt;setvar action=""Add""&gt;"&amp;IF(Y12,$H12,0)&amp;"&lt;/setvar&gt;"&amp;IF(AY12&lt;&gt;"","&lt;displayfeedback feedbacktype=""Response"" linkrefid=""response_5""/&gt;",IF($AS12&lt;&gt;"","&lt;displayfeedback feedbacktype=""Response"" linkrefid=""qti_feedback_trigger""/&gt;",""))&amp;"&lt;/respcondition&gt;",""),IF(OR(Y12,AY12&lt;&gt;"",$AS12&lt;&gt;""),"      &lt;respcondition continue=""Yes""&gt;&lt;conditionvar&gt;"&amp;IF(Y12,"&lt;varequal respident=""RESPONSE""&gt;5&lt;/varequal&gt;","&lt;not&gt;&lt;varequal respident=""RESPONSE""&gt;5&lt;/varequal&gt;&lt;/not&gt;")&amp;"&lt;/conditionvar&gt;&lt;setvar action=""Add""&gt;"&amp;(Saisie_Questions!$N12/$I12)&amp;"&lt;/setvar&gt;"&amp;IF(AY12&lt;&gt;"","&lt;displayfeedback feedbacktype=""Response"" linkrefid=""response_5""/&gt;",IF($AS12&lt;&gt;"","&lt;displayfeedback feedbacktype=""Response"" linkrefid=""qti_feedback_trigger""/&gt;",""))&amp;"&lt;/respcondition&gt;",""))),"")</f>
      </c>
      <c r="AP12" s="46">
        <f>IF($B12,IF(R12="","",IF($C12="qcu",IF(OR(Z12,AZ12&lt;&gt;"",$AS12&lt;&gt;""),"      &lt;respcondition continue=""Yes""&gt;&lt;conditionvar&gt;&lt;varequal respident=""RESPONSE""&gt;6&lt;/varequal&gt;&lt;/conditionvar&gt;"&amp;"&lt;setvar action=""Add""&gt;"&amp;IF(Z12,$H12,0)&amp;"&lt;/setvar&gt;"&amp;IF(AZ12&lt;&gt;"","&lt;displayfeedback feedbacktype=""Response"" linkrefid=""response_6""/&gt;",IF($AS12&lt;&gt;"","&lt;displayfeedback feedbacktype=""Response"" linkrefid=""qti_feedback_trigger""/&gt;",""))&amp;"&lt;/respcondition&gt;",""),IF(OR(Z12,AZ12&lt;&gt;"",$AS12&lt;&gt;""),"      &lt;respcondition continue=""Yes""&gt;&lt;conditionvar&gt;"&amp;IF(Z12,"&lt;varequal respident=""RESPONSE""&gt;6&lt;/varequal&gt;","&lt;not&gt;&lt;varequal respident=""RESPONSE""&gt;6&lt;/varequal&gt;&lt;/not&gt;")&amp;"&lt;/conditionvar&gt;&lt;setvar action=""Add""&gt;"&amp;(Saisie_Questions!$N12/$I12)&amp;"&lt;/setvar&gt;"&amp;IF(AZ12&lt;&gt;"","&lt;displayfeedback feedbacktype=""Response"" linkrefid=""response_6""/&gt;",IF($AS12&lt;&gt;"","&lt;displayfeedback feedbacktype=""Response"" linkrefid=""qti_feedback_trigger""/&gt;",""))&amp;"&lt;/respcondition&gt;",""))),"")</f>
      </c>
      <c r="AQ12" s="46">
        <f>IF($B12,IF(S12="","",IF($C12="qcu",IF(OR(AA12,BA12&lt;&gt;"",$AS12&lt;&gt;""),"      &lt;respcondition continue=""Yes""&gt;&lt;conditionvar&gt;&lt;varequal respident=""RESPONSE""&gt;7&lt;/varequal&gt;&lt;/conditionvar&gt;"&amp;"&lt;setvar action=""Add""&gt;"&amp;IF(AA12,$H12,0)&amp;"&lt;/setvar&gt;"&amp;IF(BA12&lt;&gt;"","&lt;displayfeedback feedbacktype=""Response"" linkrefid=""response_7""/&gt;",IF($AS12&lt;&gt;"","&lt;displayfeedback feedbacktype=""Response"" linkrefid=""qti_feedback_trigger""/&gt;",""))&amp;"&lt;/respcondition&gt;",""),IF(OR(AA12,BA12&lt;&gt;"",$AS12&lt;&gt;""),"      &lt;respcondition continue=""Yes""&gt;&lt;conditionvar&gt;"&amp;IF(AA12,"&lt;varequal respident=""RESPONSE""&gt;7&lt;/varequal&gt;","&lt;not&gt;&lt;varequal respident=""RESPONSE""&gt;7&lt;/varequal&gt;&lt;/not&gt;")&amp;"&lt;/conditionvar&gt;&lt;setvar action=""Add""&gt;"&amp;(Saisie_Questions!$N12/$I12)&amp;"&lt;/setvar&gt;"&amp;IF(BA12&lt;&gt;"","&lt;displayfeedback feedbacktype=""Response"" linkrefid=""response_7""/&gt;",IF($AS12&lt;&gt;"","&lt;displayfeedback feedbacktype=""Response"" linkrefid=""qti_feedback_trigger""/&gt;",""))&amp;"&lt;/respcondition&gt;",""))),"")</f>
      </c>
      <c r="AR12" s="46">
        <f>IF(A12="","",SUBSTITUTE(SUBSTITUTE(SUBSTITUTE(SUBSTITUTE(SUBSTITUTE(IF(Saisie_Questions!P12&lt;&gt;"",Saisie_Questions!P12,Interface_Generation!$B$5),"&amp;","&amp;amp;"),"&lt;","&amp;lt;"),"&gt;","&amp;gt;"),CHAR(34),"&amp;quot;"),"'","&amp;apos;"))</f>
        <v/>
      </c>
      <c r="AS12" s="46">
        <f>IF(Saisie_Questions!Q12="","",SUBSTITUTE(SUBSTITUTE(SUBSTITUTE(SUBSTITUTE(SUBSTITUTE(Saisie_Questions!Q12,"&amp;","&amp;amp;"),"&lt;","&amp;lt;"),"&gt;","&amp;gt;"),CHAR(34),"&amp;quot;"),"'","&amp;apos;"))</f>
        <v/>
      </c>
      <c r="AT12" s="46">
        <f>IF(Saisie_Questions!R12="","",SUBSTITUTE(SUBSTITUTE(SUBSTITUTE(SUBSTITUTE(SUBSTITUTE(Saisie_Questions!R12,"&amp;","&amp;amp;"),"&lt;","&amp;lt;"),"&gt;","&amp;gt;"),CHAR(34),"&amp;quot;"),"'","&amp;apos;"))</f>
        <v/>
      </c>
      <c r="AU12" s="46">
        <f>IF(Saisie_Questions!S12="","",SUBSTITUTE(SUBSTITUTE(SUBSTITUTE(SUBSTITUTE(SUBSTITUTE(Saisie_Questions!S12,"&amp;","&amp;amp;"),"&lt;","&amp;lt;"),"&gt;","&amp;gt;"),CHAR(34),"&amp;quot;"),"'","&amp;apos;"))</f>
        <v/>
      </c>
      <c r="AV12" s="46">
        <f>IF(Saisie_Questions!T12="","",SUBSTITUTE(SUBSTITUTE(SUBSTITUTE(SUBSTITUTE(SUBSTITUTE(Saisie_Questions!T12,"&amp;","&amp;amp;"),"&lt;","&amp;lt;"),"&gt;","&amp;gt;"),CHAR(34),"&amp;quot;"),"'","&amp;apos;"))</f>
        <v/>
      </c>
      <c r="AW12" s="46">
        <f>IF(Saisie_Questions!U12="","",SUBSTITUTE(SUBSTITUTE(SUBSTITUTE(SUBSTITUTE(SUBSTITUTE(Saisie_Questions!U12,"&amp;","&amp;amp;"),"&lt;","&amp;lt;"),"&gt;","&amp;gt;"),CHAR(34),"&amp;quot;"),"'","&amp;apos;"))</f>
        <v/>
      </c>
      <c r="AX12" s="46">
        <f>IF(Saisie_Questions!V12="","",SUBSTITUTE(SUBSTITUTE(SUBSTITUTE(SUBSTITUTE(SUBSTITUTE(Saisie_Questions!V12,"&amp;","&amp;amp;"),"&lt;","&amp;lt;"),"&gt;","&amp;gt;"),CHAR(34),"&amp;quot;"),"'","&amp;apos;"))</f>
        <v/>
      </c>
      <c r="AY12" s="46">
        <f>IF(Saisie_Questions!W12="","",SUBSTITUTE(SUBSTITUTE(SUBSTITUTE(SUBSTITUTE(SUBSTITUTE(Saisie_Questions!W12,"&amp;","&amp;amp;"),"&lt;","&amp;lt;"),"&gt;","&amp;gt;"),CHAR(34),"&amp;quot;"),"'","&amp;apos;"))</f>
        <v/>
      </c>
      <c r="AZ12" s="46">
        <f>IF(Saisie_Questions!X12="","",SUBSTITUTE(SUBSTITUTE(SUBSTITUTE(SUBSTITUTE(SUBSTITUTE(Saisie_Questions!X12,"&amp;","&amp;amp;"),"&lt;","&amp;lt;"),"&gt;","&amp;gt;"),CHAR(34),"&amp;quot;"),"'","&amp;apos;"))</f>
        <v/>
      </c>
      <c r="BA12" s="46">
        <f>IF(Saisie_Questions!Y12="","",SUBSTITUTE(SUBSTITUTE(SUBSTITUTE(SUBSTITUTE(SUBSTITUTE(Saisie_Questions!Y12,"&amp;","&amp;amp;"),"&lt;","&amp;lt;"),"&gt;","&amp;gt;"),CHAR(34),"&amp;quot;"),"'","&amp;apos;"))</f>
        <v/>
      </c>
      <c r="BB12" s="46">
        <f>IF($B12,IF($AS12="","","    &lt;itemfeedback ident=""response_allcorrect"" view=""All""&gt;&lt;flow_mat&gt;&lt;material&gt;&lt;mattext texttype=""text/html""&gt;"&amp;$AS12&amp;"&lt;/mattext&gt;&lt;/material&gt;&lt;/flow_mat&gt;&lt;/itemfeedback&gt;"&amp;"    &lt;itemfeedback ident=""response_onenotcorrect"" view=""All""&gt;&lt;flow_mat&gt;&lt;material&gt;&lt;mattext texttype=""text/html""&gt;"&amp;$AS12&amp;"&lt;/mattext&gt;&lt;/material&gt;&lt;/flow_mat&gt;&lt;/itemfeedback&gt;"),"")</f>
      </c>
      <c r="BC12" s="46">
        <f>IF($B12,IF(AT12="","","    &lt;itemfeedback ident=""response_0"" view=""All""&gt;&lt;flow_mat&gt;&lt;material&gt;&lt;mattext texttype=""text/html""&gt;"&amp;AT12&amp;"&lt;/mattext&gt;&lt;/material&gt;&lt;/flow_mat&gt;&lt;/itemfeedback&gt;"),"")</f>
      </c>
      <c r="BD12" s="46">
        <f>IF($B12,IF(AU12="","","    &lt;itemfeedback ident=""response_1"" view=""All""&gt;&lt;flow_mat&gt;&lt;material&gt;&lt;mattext texttype=""text/html""&gt;"&amp;AU12&amp;"&lt;/mattext&gt;&lt;/material&gt;&lt;/flow_mat&gt;&lt;/itemfeedback&gt;"),"")</f>
      </c>
      <c r="BE12" s="46">
        <f>IF($B12,IF(AV12="","","    &lt;itemfeedback ident=""response_2"" view=""All""&gt;&lt;flow_mat&gt;&lt;material&gt;&lt;mattext texttype=""text/html""&gt;"&amp;AV12&amp;"&lt;/mattext&gt;&lt;/material&gt;&lt;/flow_mat&gt;&lt;/itemfeedback&gt;"),"")</f>
      </c>
      <c r="BF12" s="46">
        <f>IF($B12,IF(AW12="","","    &lt;itemfeedback ident=""response_3"" view=""All""&gt;&lt;flow_mat&gt;&lt;material&gt;&lt;mattext texttype=""text/html""&gt;"&amp;AW12&amp;"&lt;/mattext&gt;&lt;/material&gt;&lt;/flow_mat&gt;&lt;/itemfeedback&gt;"),"")</f>
      </c>
      <c r="BG12" s="46">
        <f>IF($B12,IF(AX12="","","    &lt;itemfeedback ident=""response_4"" view=""All""&gt;&lt;flow_mat&gt;&lt;material&gt;&lt;mattext texttype=""text/html""&gt;"&amp;AX12&amp;"&lt;/mattext&gt;&lt;/material&gt;&lt;/flow_mat&gt;&lt;/itemfeedback&gt;"),"")</f>
      </c>
      <c r="BH12" s="46">
        <f>IF($B12,IF(AY12="","","    &lt;itemfeedback ident=""response_5"" view=""All""&gt;&lt;flow_mat&gt;&lt;material&gt;&lt;mattext texttype=""text/html""&gt;"&amp;AY12&amp;"&lt;/mattext&gt;&lt;/material&gt;&lt;/flow_mat&gt;&lt;/itemfeedback&gt;"),"")</f>
      </c>
      <c r="BI12" s="46">
        <f>IF($B12,IF(AZ12="","","    &lt;itemfeedback ident=""response_6"" view=""All""&gt;&lt;flow_mat&gt;&lt;material&gt;&lt;mattext texttype=""text/html""&gt;"&amp;AZ12&amp;"&lt;/mattext&gt;&lt;/material&gt;&lt;/flow_mat&gt;&lt;/itemfeedback&gt;"),"")</f>
      </c>
      <c r="BJ12" s="46">
        <f>IF($B12,IF(BA12="","","    &lt;itemfeedback ident=""response_7"" view=""All""&gt;&lt;flow_mat&gt;&lt;material&gt;&lt;mattext texttype=""text/html""&gt;"&amp;BA12&amp;"&lt;/mattext&gt;&lt;/material&gt;&lt;/flow_mat&gt;&lt;/itemfeedback&gt;"),"")</f>
      </c>
    </row>
    <row r="13" ht="18" customHeight="1" s="17">
      <c r="A13" s="46">
        <f>Saisie_Questions!A13</f>
        <v/>
      </c>
      <c r="B13" s="46">
        <f>Saisie_Questions!O13="OK"</f>
        <v/>
      </c>
      <c r="C13" s="46">
        <f>LOWER(TRIM(Saisie_Questions!B13))</f>
        <v/>
      </c>
      <c r="D13" s="46">
        <f>IF(C13="qcu","SINGLE CHOICE QUESTION","MULTIPLE CHOICE QUESTION")</f>
        <v/>
      </c>
      <c r="E13" s="46">
        <f>IF(C13="qcu","Single","Multiple")</f>
        <v/>
      </c>
      <c r="F13" s="46">
        <f>IF(A13="","",SUBSTITUTE(SUBSTITUTE(SUBSTITUTE(SUBSTITUTE(SUBSTITUTE(IF(Saisie_Questions!C13="", "Question "&amp;A13, Saisie_Questions!C13),"&amp;","&amp;amp;"),"&lt;","&amp;lt;"),"&gt;","&amp;gt;"),CHAR(34),"&amp;quot;"),"'","&amp;apos;"))</f>
        <v/>
      </c>
      <c r="G13" s="46">
        <f>IF(A13="","",SUBSTITUTE(SUBSTITUTE(SUBSTITUTE(SUBSTITUTE(SUBSTITUTE(Saisie_Questions!D13,"&amp;","&amp;amp;"),"&lt;","&amp;lt;"),"&gt;","&amp;gt;"),CHAR(34),"&amp;quot;"),"'","&amp;apos;"))</f>
        <v/>
      </c>
      <c r="H13" s="46">
        <f>Saisie_Questions!N13</f>
        <v/>
      </c>
      <c r="I13" s="46">
        <f>IF(Saisie_Questions!E13="",0,1)+IF(Saisie_Questions!F13="",0,1)+IF(Saisie_Questions!G13="",0,1)+IF(Saisie_Questions!H13="",0,1)+IF(Saisie_Questions!I13="",0,1)+IF(Saisie_Questions!J13="",0,1)+IF(Saisie_Questions!K13="",0,1)+IF(Saisie_Questions!L13="",0,1)</f>
        <v/>
      </c>
      <c r="J13" s="46">
        <f>Saisie_Questions!M13</f>
        <v/>
      </c>
      <c r="K13" s="46">
        <f>Saisie_Questions!O13</f>
        <v/>
      </c>
      <c r="L13" s="46">
        <f>IF(Saisie_Questions!E13="","",SUBSTITUTE(SUBSTITUTE(SUBSTITUTE(SUBSTITUTE(SUBSTITUTE(Saisie_Questions!E13,"&amp;","&amp;amp;"),"&lt;","&amp;lt;"),"&gt;","&amp;gt;"),CHAR(34),"&amp;quot;"),"'","&amp;apos;"))</f>
        <v/>
      </c>
      <c r="M13" s="46">
        <f>IF(Saisie_Questions!F13="","",SUBSTITUTE(SUBSTITUTE(SUBSTITUTE(SUBSTITUTE(SUBSTITUTE(Saisie_Questions!F13,"&amp;","&amp;amp;"),"&lt;","&amp;lt;"),"&gt;","&amp;gt;"),CHAR(34),"&amp;quot;"),"'","&amp;apos;"))</f>
        <v/>
      </c>
      <c r="N13" s="46">
        <f>IF(Saisie_Questions!G13="","",SUBSTITUTE(SUBSTITUTE(SUBSTITUTE(SUBSTITUTE(SUBSTITUTE(Saisie_Questions!G13,"&amp;","&amp;amp;"),"&lt;","&amp;lt;"),"&gt;","&amp;gt;"),CHAR(34),"&amp;quot;"),"'","&amp;apos;"))</f>
        <v/>
      </c>
      <c r="O13" s="46">
        <f>IF(Saisie_Questions!H13="","",SUBSTITUTE(SUBSTITUTE(SUBSTITUTE(SUBSTITUTE(SUBSTITUTE(Saisie_Questions!H13,"&amp;","&amp;amp;"),"&lt;","&amp;lt;"),"&gt;","&amp;gt;"),CHAR(34),"&amp;quot;"),"'","&amp;apos;"))</f>
        <v/>
      </c>
      <c r="P13" s="46">
        <f>IF(Saisie_Questions!I13="","",SUBSTITUTE(SUBSTITUTE(SUBSTITUTE(SUBSTITUTE(SUBSTITUTE(Saisie_Questions!I13,"&amp;","&amp;amp;"),"&lt;","&amp;lt;"),"&gt;","&amp;gt;"),CHAR(34),"&amp;quot;"),"'","&amp;apos;"))</f>
        <v/>
      </c>
      <c r="Q13" s="46">
        <f>IF(Saisie_Questions!J13="","",SUBSTITUTE(SUBSTITUTE(SUBSTITUTE(SUBSTITUTE(SUBSTITUTE(Saisie_Questions!J13,"&amp;","&amp;amp;"),"&lt;","&amp;lt;"),"&gt;","&amp;gt;"),CHAR(34),"&amp;quot;"),"'","&amp;apos;"))</f>
        <v/>
      </c>
      <c r="R13" s="46">
        <f>IF(Saisie_Questions!K13="","",SUBSTITUTE(SUBSTITUTE(SUBSTITUTE(SUBSTITUTE(SUBSTITUTE(Saisie_Questions!K13,"&amp;","&amp;amp;"),"&lt;","&amp;lt;"),"&gt;","&amp;gt;"),CHAR(34),"&amp;quot;"),"'","&amp;apos;"))</f>
        <v/>
      </c>
      <c r="S13" s="46">
        <f>IF(Saisie_Questions!L13="","",SUBSTITUTE(SUBSTITUTE(SUBSTITUTE(SUBSTITUTE(SUBSTITUTE(Saisie_Questions!L13,"&amp;","&amp;amp;"),"&lt;","&amp;lt;"),"&gt;","&amp;gt;"),CHAR(34),"&amp;quot;"),"'","&amp;apos;"))</f>
        <v/>
      </c>
      <c r="T13" s="46">
        <f>ISNUMBER(SEARCH(";"&amp;1&amp;";",";"&amp;$J13&amp;";"))</f>
        <v/>
      </c>
      <c r="U13" s="46">
        <f>ISNUMBER(SEARCH(";"&amp;2&amp;";",";"&amp;$J13&amp;";"))</f>
        <v/>
      </c>
      <c r="V13" s="46">
        <f>ISNUMBER(SEARCH(";"&amp;3&amp;";",";"&amp;$J13&amp;";"))</f>
        <v/>
      </c>
      <c r="W13" s="46">
        <f>ISNUMBER(SEARCH(";"&amp;4&amp;";",";"&amp;$J13&amp;";"))</f>
        <v/>
      </c>
      <c r="X13" s="46">
        <f>ISNUMBER(SEARCH(";"&amp;5&amp;";",";"&amp;$J13&amp;";"))</f>
        <v/>
      </c>
      <c r="Y13" s="46">
        <f>ISNUMBER(SEARCH(";"&amp;6&amp;";",";"&amp;$J13&amp;";"))</f>
        <v/>
      </c>
      <c r="Z13" s="46">
        <f>ISNUMBER(SEARCH(";"&amp;7&amp;";",";"&amp;$J13&amp;";"))</f>
        <v/>
      </c>
      <c r="AA13" s="46">
        <f>ISNUMBER(SEARCH(";"&amp;8&amp;";",";"&amp;$J13&amp;";"))</f>
        <v/>
      </c>
      <c r="AB13" s="46">
        <f>IF($B13,IF(L13="","","        &lt;response_label ident=""0""&gt;&lt;material&gt;&lt;mattext texttype=""text/html""&gt;"&amp;L13&amp;"&lt;/mattext&gt;&lt;/material&gt;&lt;/response_label&gt;"),"")</f>
        <v/>
      </c>
      <c r="AC13" s="46">
        <f>IF($B13,IF(M13="","","        &lt;response_label ident=""1""&gt;&lt;material&gt;&lt;mattext texttype=""text/html""&gt;"&amp;M13&amp;"&lt;/mattext&gt;&lt;/material&gt;&lt;/response_label&gt;"),"")</f>
        <v/>
      </c>
      <c r="AD13" s="46">
        <f>IF($B13,IF(N13="","","        &lt;response_label ident=""2""&gt;&lt;material&gt;&lt;mattext texttype=""text/html""&gt;"&amp;N13&amp;"&lt;/mattext&gt;&lt;/material&gt;&lt;/response_label&gt;"),"")</f>
        <v/>
      </c>
      <c r="AE13" s="46">
        <f>IF($B13,IF(O13="","","        &lt;response_label ident=""3""&gt;&lt;material&gt;&lt;mattext texttype=""text/html""&gt;"&amp;O13&amp;"&lt;/mattext&gt;&lt;/material&gt;&lt;/response_label&gt;"),"")</f>
        <v/>
      </c>
      <c r="AF13" s="46">
        <f>IF($B13,IF(P13="","","        &lt;response_label ident=""4""&gt;&lt;material&gt;&lt;mattext texttype=""text/html""&gt;"&amp;P13&amp;"&lt;/mattext&gt;&lt;/material&gt;&lt;/response_label&gt;"),"")</f>
        <v/>
      </c>
      <c r="AG13" s="46">
        <f>IF($B13,IF(Q13="","","        &lt;response_label ident=""5""&gt;&lt;material&gt;&lt;mattext texttype=""text/html""&gt;"&amp;Q13&amp;"&lt;/mattext&gt;&lt;/material&gt;&lt;/response_label&gt;"),"")</f>
        <v/>
      </c>
      <c r="AH13" s="46">
        <f>IF($B13,IF(R13="","","        &lt;response_label ident=""6""&gt;&lt;material&gt;&lt;mattext texttype=""text/html""&gt;"&amp;R13&amp;"&lt;/mattext&gt;&lt;/material&gt;&lt;/response_label&gt;"),"")</f>
        <v/>
      </c>
      <c r="AI13" s="46">
        <f>IF($B13,IF(S13="","","        &lt;response_label ident=""7""&gt;&lt;material&gt;&lt;mattext texttype=""text/html""&gt;"&amp;S13&amp;"&lt;/mattext&gt;&lt;/material&gt;&lt;/response_label&gt;"),"")</f>
        <v/>
      </c>
      <c r="AJ13" s="46">
        <f>IF($B13,IF(L13="","",IF($C13="qcu",IF(OR(T13,AT13&lt;&gt;"",$AS13&lt;&gt;""),"      &lt;respcondition continue=""Yes""&gt;&lt;conditionvar&gt;&lt;varequal respident=""RESPONSE""&gt;0&lt;/varequal&gt;&lt;/conditionvar&gt;"&amp;"&lt;setvar action=""Add""&gt;"&amp;IF(T13,$H13,0)&amp;"&lt;/setvar&gt;"&amp;IF(AT13&lt;&gt;"","&lt;displayfeedback feedbacktype=""Response"" linkrefid=""response_0""/&gt;",IF($AS13&lt;&gt;"","&lt;displayfeedback feedbacktype=""Response"" linkrefid=""qti_feedback_trigger""/&gt;",""))&amp;"&lt;/respcondition&gt;",""),IF(OR(T13,AT13&lt;&gt;"",$AS13&lt;&gt;""),"      &lt;respcondition continue=""Yes""&gt;&lt;conditionvar&gt;"&amp;IF(T13,"&lt;varequal respident=""RESPONSE""&gt;0&lt;/varequal&gt;","&lt;not&gt;&lt;varequal respident=""RESPONSE""&gt;0&lt;/varequal&gt;&lt;/not&gt;")&amp;"&lt;/conditionvar&gt;&lt;setvar action=""Add""&gt;"&amp;(Saisie_Questions!$N13/$I13)&amp;"&lt;/setvar&gt;"&amp;IF(AT13&lt;&gt;"","&lt;displayfeedback feedbacktype=""Response"" linkrefid=""response_0""/&gt;",IF($AS13&lt;&gt;"","&lt;displayfeedback feedbacktype=""Response"" linkrefid=""qti_feedback_trigger""/&gt;",""))&amp;"&lt;/respcondition&gt;",""))),"")</f>
      </c>
      <c r="AK13" s="46">
        <f>IF($B13,IF(M13="","",IF($C13="qcu",IF(OR(U13,AU13&lt;&gt;"",$AS13&lt;&gt;""),"      &lt;respcondition continue=""Yes""&gt;&lt;conditionvar&gt;&lt;varequal respident=""RESPONSE""&gt;1&lt;/varequal&gt;&lt;/conditionvar&gt;"&amp;"&lt;setvar action=""Add""&gt;"&amp;IF(U13,$H13,0)&amp;"&lt;/setvar&gt;"&amp;IF(AU13&lt;&gt;"","&lt;displayfeedback feedbacktype=""Response"" linkrefid=""response_1""/&gt;",IF($AS13&lt;&gt;"","&lt;displayfeedback feedbacktype=""Response"" linkrefid=""qti_feedback_trigger""/&gt;",""))&amp;"&lt;/respcondition&gt;",""),IF(OR(U13,AU13&lt;&gt;"",$AS13&lt;&gt;""),"      &lt;respcondition continue=""Yes""&gt;&lt;conditionvar&gt;"&amp;IF(U13,"&lt;varequal respident=""RESPONSE""&gt;1&lt;/varequal&gt;","&lt;not&gt;&lt;varequal respident=""RESPONSE""&gt;1&lt;/varequal&gt;&lt;/not&gt;")&amp;"&lt;/conditionvar&gt;&lt;setvar action=""Add""&gt;"&amp;(Saisie_Questions!$N13/$I13)&amp;"&lt;/setvar&gt;"&amp;IF(AU13&lt;&gt;"","&lt;displayfeedback feedbacktype=""Response"" linkrefid=""response_1""/&gt;",IF($AS13&lt;&gt;"","&lt;displayfeedback feedbacktype=""Response"" linkrefid=""qti_feedback_trigger""/&gt;",""))&amp;"&lt;/respcondition&gt;",""))),"")</f>
      </c>
      <c r="AL13" s="46">
        <f>IF($B13,IF(N13="","",IF($C13="qcu",IF(OR(V13,AV13&lt;&gt;"",$AS13&lt;&gt;""),"      &lt;respcondition continue=""Yes""&gt;&lt;conditionvar&gt;&lt;varequal respident=""RESPONSE""&gt;2&lt;/varequal&gt;&lt;/conditionvar&gt;"&amp;"&lt;setvar action=""Add""&gt;"&amp;IF(V13,$H13,0)&amp;"&lt;/setvar&gt;"&amp;IF(AV13&lt;&gt;"","&lt;displayfeedback feedbacktype=""Response"" linkrefid=""response_2""/&gt;",IF($AS13&lt;&gt;"","&lt;displayfeedback feedbacktype=""Response"" linkrefid=""qti_feedback_trigger""/&gt;",""))&amp;"&lt;/respcondition&gt;",""),IF(OR(V13,AV13&lt;&gt;"",$AS13&lt;&gt;""),"      &lt;respcondition continue=""Yes""&gt;&lt;conditionvar&gt;"&amp;IF(V13,"&lt;varequal respident=""RESPONSE""&gt;2&lt;/varequal&gt;","&lt;not&gt;&lt;varequal respident=""RESPONSE""&gt;2&lt;/varequal&gt;&lt;/not&gt;")&amp;"&lt;/conditionvar&gt;&lt;setvar action=""Add""&gt;"&amp;(Saisie_Questions!$N13/$I13)&amp;"&lt;/setvar&gt;"&amp;IF(AV13&lt;&gt;"","&lt;displayfeedback feedbacktype=""Response"" linkrefid=""response_2""/&gt;",IF($AS13&lt;&gt;"","&lt;displayfeedback feedbacktype=""Response"" linkrefid=""qti_feedback_trigger""/&gt;",""))&amp;"&lt;/respcondition&gt;",""))),"")</f>
      </c>
      <c r="AM13" s="46">
        <f>IF($B13,IF(O13="","",IF($C13="qcu",IF(OR(W13,AW13&lt;&gt;"",$AS13&lt;&gt;""),"      &lt;respcondition continue=""Yes""&gt;&lt;conditionvar&gt;&lt;varequal respident=""RESPONSE""&gt;3&lt;/varequal&gt;&lt;/conditionvar&gt;"&amp;"&lt;setvar action=""Add""&gt;"&amp;IF(W13,$H13,0)&amp;"&lt;/setvar&gt;"&amp;IF(AW13&lt;&gt;"","&lt;displayfeedback feedbacktype=""Response"" linkrefid=""response_3""/&gt;",IF($AS13&lt;&gt;"","&lt;displayfeedback feedbacktype=""Response"" linkrefid=""qti_feedback_trigger""/&gt;",""))&amp;"&lt;/respcondition&gt;",""),IF(OR(W13,AW13&lt;&gt;"",$AS13&lt;&gt;""),"      &lt;respcondition continue=""Yes""&gt;&lt;conditionvar&gt;"&amp;IF(W13,"&lt;varequal respident=""RESPONSE""&gt;3&lt;/varequal&gt;","&lt;not&gt;&lt;varequal respident=""RESPONSE""&gt;3&lt;/varequal&gt;&lt;/not&gt;")&amp;"&lt;/conditionvar&gt;&lt;setvar action=""Add""&gt;"&amp;(Saisie_Questions!$N13/$I13)&amp;"&lt;/setvar&gt;"&amp;IF(AW13&lt;&gt;"","&lt;displayfeedback feedbacktype=""Response"" linkrefid=""response_3""/&gt;",IF($AS13&lt;&gt;"","&lt;displayfeedback feedbacktype=""Response"" linkrefid=""qti_feedback_trigger""/&gt;",""))&amp;"&lt;/respcondition&gt;",""))),"")</f>
      </c>
      <c r="AN13" s="46">
        <f>IF($B13,IF(P13="","",IF($C13="qcu",IF(OR(X13,AX13&lt;&gt;"",$AS13&lt;&gt;""),"      &lt;respcondition continue=""Yes""&gt;&lt;conditionvar&gt;&lt;varequal respident=""RESPONSE""&gt;4&lt;/varequal&gt;&lt;/conditionvar&gt;"&amp;"&lt;setvar action=""Add""&gt;"&amp;IF(X13,$H13,0)&amp;"&lt;/setvar&gt;"&amp;IF(AX13&lt;&gt;"","&lt;displayfeedback feedbacktype=""Response"" linkrefid=""response_4""/&gt;",IF($AS13&lt;&gt;"","&lt;displayfeedback feedbacktype=""Response"" linkrefid=""qti_feedback_trigger""/&gt;",""))&amp;"&lt;/respcondition&gt;",""),IF(OR(X13,AX13&lt;&gt;"",$AS13&lt;&gt;""),"      &lt;respcondition continue=""Yes""&gt;&lt;conditionvar&gt;"&amp;IF(X13,"&lt;varequal respident=""RESPONSE""&gt;4&lt;/varequal&gt;","&lt;not&gt;&lt;varequal respident=""RESPONSE""&gt;4&lt;/varequal&gt;&lt;/not&gt;")&amp;"&lt;/conditionvar&gt;&lt;setvar action=""Add""&gt;"&amp;(Saisie_Questions!$N13/$I13)&amp;"&lt;/setvar&gt;"&amp;IF(AX13&lt;&gt;"","&lt;displayfeedback feedbacktype=""Response"" linkrefid=""response_4""/&gt;",IF($AS13&lt;&gt;"","&lt;displayfeedback feedbacktype=""Response"" linkrefid=""qti_feedback_trigger""/&gt;",""))&amp;"&lt;/respcondition&gt;",""))),"")</f>
      </c>
      <c r="AO13" s="46">
        <f>IF($B13,IF(Q13="","",IF($C13="qcu",IF(OR(Y13,AY13&lt;&gt;"",$AS13&lt;&gt;""),"      &lt;respcondition continue=""Yes""&gt;&lt;conditionvar&gt;&lt;varequal respident=""RESPONSE""&gt;5&lt;/varequal&gt;&lt;/conditionvar&gt;"&amp;"&lt;setvar action=""Add""&gt;"&amp;IF(Y13,$H13,0)&amp;"&lt;/setvar&gt;"&amp;IF(AY13&lt;&gt;"","&lt;displayfeedback feedbacktype=""Response"" linkrefid=""response_5""/&gt;",IF($AS13&lt;&gt;"","&lt;displayfeedback feedbacktype=""Response"" linkrefid=""qti_feedback_trigger""/&gt;",""))&amp;"&lt;/respcondition&gt;",""),IF(OR(Y13,AY13&lt;&gt;"",$AS13&lt;&gt;""),"      &lt;respcondition continue=""Yes""&gt;&lt;conditionvar&gt;"&amp;IF(Y13,"&lt;varequal respident=""RESPONSE""&gt;5&lt;/varequal&gt;","&lt;not&gt;&lt;varequal respident=""RESPONSE""&gt;5&lt;/varequal&gt;&lt;/not&gt;")&amp;"&lt;/conditionvar&gt;&lt;setvar action=""Add""&gt;"&amp;(Saisie_Questions!$N13/$I13)&amp;"&lt;/setvar&gt;"&amp;IF(AY13&lt;&gt;"","&lt;displayfeedback feedbacktype=""Response"" linkrefid=""response_5""/&gt;",IF($AS13&lt;&gt;"","&lt;displayfeedback feedbacktype=""Response"" linkrefid=""qti_feedback_trigger""/&gt;",""))&amp;"&lt;/respcondition&gt;",""))),"")</f>
      </c>
      <c r="AP13" s="46">
        <f>IF($B13,IF(R13="","",IF($C13="qcu",IF(OR(Z13,AZ13&lt;&gt;"",$AS13&lt;&gt;""),"      &lt;respcondition continue=""Yes""&gt;&lt;conditionvar&gt;&lt;varequal respident=""RESPONSE""&gt;6&lt;/varequal&gt;&lt;/conditionvar&gt;"&amp;"&lt;setvar action=""Add""&gt;"&amp;IF(Z13,$H13,0)&amp;"&lt;/setvar&gt;"&amp;IF(AZ13&lt;&gt;"","&lt;displayfeedback feedbacktype=""Response"" linkrefid=""response_6""/&gt;",IF($AS13&lt;&gt;"","&lt;displayfeedback feedbacktype=""Response"" linkrefid=""qti_feedback_trigger""/&gt;",""))&amp;"&lt;/respcondition&gt;",""),IF(OR(Z13,AZ13&lt;&gt;"",$AS13&lt;&gt;""),"      &lt;respcondition continue=""Yes""&gt;&lt;conditionvar&gt;"&amp;IF(Z13,"&lt;varequal respident=""RESPONSE""&gt;6&lt;/varequal&gt;","&lt;not&gt;&lt;varequal respident=""RESPONSE""&gt;6&lt;/varequal&gt;&lt;/not&gt;")&amp;"&lt;/conditionvar&gt;&lt;setvar action=""Add""&gt;"&amp;(Saisie_Questions!$N13/$I13)&amp;"&lt;/setvar&gt;"&amp;IF(AZ13&lt;&gt;"","&lt;displayfeedback feedbacktype=""Response"" linkrefid=""response_6""/&gt;",IF($AS13&lt;&gt;"","&lt;displayfeedback feedbacktype=""Response"" linkrefid=""qti_feedback_trigger""/&gt;",""))&amp;"&lt;/respcondition&gt;",""))),"")</f>
      </c>
      <c r="AQ13" s="46">
        <f>IF($B13,IF(S13="","",IF($C13="qcu",IF(OR(AA13,BA13&lt;&gt;"",$AS13&lt;&gt;""),"      &lt;respcondition continue=""Yes""&gt;&lt;conditionvar&gt;&lt;varequal respident=""RESPONSE""&gt;7&lt;/varequal&gt;&lt;/conditionvar&gt;"&amp;"&lt;setvar action=""Add""&gt;"&amp;IF(AA13,$H13,0)&amp;"&lt;/setvar&gt;"&amp;IF(BA13&lt;&gt;"","&lt;displayfeedback feedbacktype=""Response"" linkrefid=""response_7""/&gt;",IF($AS13&lt;&gt;"","&lt;displayfeedback feedbacktype=""Response"" linkrefid=""qti_feedback_trigger""/&gt;",""))&amp;"&lt;/respcondition&gt;",""),IF(OR(AA13,BA13&lt;&gt;"",$AS13&lt;&gt;""),"      &lt;respcondition continue=""Yes""&gt;&lt;conditionvar&gt;"&amp;IF(AA13,"&lt;varequal respident=""RESPONSE""&gt;7&lt;/varequal&gt;","&lt;not&gt;&lt;varequal respident=""RESPONSE""&gt;7&lt;/varequal&gt;&lt;/not&gt;")&amp;"&lt;/conditionvar&gt;&lt;setvar action=""Add""&gt;"&amp;(Saisie_Questions!$N13/$I13)&amp;"&lt;/setvar&gt;"&amp;IF(BA13&lt;&gt;"","&lt;displayfeedback feedbacktype=""Response"" linkrefid=""response_7""/&gt;",IF($AS13&lt;&gt;"","&lt;displayfeedback feedbacktype=""Response"" linkrefid=""qti_feedback_trigger""/&gt;",""))&amp;"&lt;/respcondition&gt;",""))),"")</f>
      </c>
      <c r="AR13" s="46">
        <f>IF(A13="","",SUBSTITUTE(SUBSTITUTE(SUBSTITUTE(SUBSTITUTE(SUBSTITUTE(IF(Saisie_Questions!P13&lt;&gt;"",Saisie_Questions!P13,Interface_Generation!$B$5),"&amp;","&amp;amp;"),"&lt;","&amp;lt;"),"&gt;","&amp;gt;"),CHAR(34),"&amp;quot;"),"'","&amp;apos;"))</f>
        <v/>
      </c>
      <c r="AS13" s="46">
        <f>IF(Saisie_Questions!Q13="","",SUBSTITUTE(SUBSTITUTE(SUBSTITUTE(SUBSTITUTE(SUBSTITUTE(Saisie_Questions!Q13,"&amp;","&amp;amp;"),"&lt;","&amp;lt;"),"&gt;","&amp;gt;"),CHAR(34),"&amp;quot;"),"'","&amp;apos;"))</f>
        <v/>
      </c>
      <c r="AT13" s="46">
        <f>IF(Saisie_Questions!R13="","",SUBSTITUTE(SUBSTITUTE(SUBSTITUTE(SUBSTITUTE(SUBSTITUTE(Saisie_Questions!R13,"&amp;","&amp;amp;"),"&lt;","&amp;lt;"),"&gt;","&amp;gt;"),CHAR(34),"&amp;quot;"),"'","&amp;apos;"))</f>
        <v/>
      </c>
      <c r="AU13" s="46">
        <f>IF(Saisie_Questions!S13="","",SUBSTITUTE(SUBSTITUTE(SUBSTITUTE(SUBSTITUTE(SUBSTITUTE(Saisie_Questions!S13,"&amp;","&amp;amp;"),"&lt;","&amp;lt;"),"&gt;","&amp;gt;"),CHAR(34),"&amp;quot;"),"'","&amp;apos;"))</f>
        <v/>
      </c>
      <c r="AV13" s="46">
        <f>IF(Saisie_Questions!T13="","",SUBSTITUTE(SUBSTITUTE(SUBSTITUTE(SUBSTITUTE(SUBSTITUTE(Saisie_Questions!T13,"&amp;","&amp;amp;"),"&lt;","&amp;lt;"),"&gt;","&amp;gt;"),CHAR(34),"&amp;quot;"),"'","&amp;apos;"))</f>
        <v/>
      </c>
      <c r="AW13" s="46">
        <f>IF(Saisie_Questions!U13="","",SUBSTITUTE(SUBSTITUTE(SUBSTITUTE(SUBSTITUTE(SUBSTITUTE(Saisie_Questions!U13,"&amp;","&amp;amp;"),"&lt;","&amp;lt;"),"&gt;","&amp;gt;"),CHAR(34),"&amp;quot;"),"'","&amp;apos;"))</f>
        <v/>
      </c>
      <c r="AX13" s="46">
        <f>IF(Saisie_Questions!V13="","",SUBSTITUTE(SUBSTITUTE(SUBSTITUTE(SUBSTITUTE(SUBSTITUTE(Saisie_Questions!V13,"&amp;","&amp;amp;"),"&lt;","&amp;lt;"),"&gt;","&amp;gt;"),CHAR(34),"&amp;quot;"),"'","&amp;apos;"))</f>
        <v/>
      </c>
      <c r="AY13" s="46">
        <f>IF(Saisie_Questions!W13="","",SUBSTITUTE(SUBSTITUTE(SUBSTITUTE(SUBSTITUTE(SUBSTITUTE(Saisie_Questions!W13,"&amp;","&amp;amp;"),"&lt;","&amp;lt;"),"&gt;","&amp;gt;"),CHAR(34),"&amp;quot;"),"'","&amp;apos;"))</f>
        <v/>
      </c>
      <c r="AZ13" s="46">
        <f>IF(Saisie_Questions!X13="","",SUBSTITUTE(SUBSTITUTE(SUBSTITUTE(SUBSTITUTE(SUBSTITUTE(Saisie_Questions!X13,"&amp;","&amp;amp;"),"&lt;","&amp;lt;"),"&gt;","&amp;gt;"),CHAR(34),"&amp;quot;"),"'","&amp;apos;"))</f>
        <v/>
      </c>
      <c r="BA13" s="46">
        <f>IF(Saisie_Questions!Y13="","",SUBSTITUTE(SUBSTITUTE(SUBSTITUTE(SUBSTITUTE(SUBSTITUTE(Saisie_Questions!Y13,"&amp;","&amp;amp;"),"&lt;","&amp;lt;"),"&gt;","&amp;gt;"),CHAR(34),"&amp;quot;"),"'","&amp;apos;"))</f>
        <v/>
      </c>
      <c r="BB13" s="46">
        <f>IF($B13,IF($AS13="","","    &lt;itemfeedback ident=""response_allcorrect"" view=""All""&gt;&lt;flow_mat&gt;&lt;material&gt;&lt;mattext texttype=""text/html""&gt;"&amp;$AS13&amp;"&lt;/mattext&gt;&lt;/material&gt;&lt;/flow_mat&gt;&lt;/itemfeedback&gt;"&amp;"    &lt;itemfeedback ident=""response_onenotcorrect"" view=""All""&gt;&lt;flow_mat&gt;&lt;material&gt;&lt;mattext texttype=""text/html""&gt;"&amp;$AS13&amp;"&lt;/mattext&gt;&lt;/material&gt;&lt;/flow_mat&gt;&lt;/itemfeedback&gt;"),"")</f>
      </c>
      <c r="BC13" s="46">
        <f>IF($B13,IF(AT13="","","    &lt;itemfeedback ident=""response_0"" view=""All""&gt;&lt;flow_mat&gt;&lt;material&gt;&lt;mattext texttype=""text/html""&gt;"&amp;AT13&amp;"&lt;/mattext&gt;&lt;/material&gt;&lt;/flow_mat&gt;&lt;/itemfeedback&gt;"),"")</f>
      </c>
      <c r="BD13" s="46">
        <f>IF($B13,IF(AU13="","","    &lt;itemfeedback ident=""response_1"" view=""All""&gt;&lt;flow_mat&gt;&lt;material&gt;&lt;mattext texttype=""text/html""&gt;"&amp;AU13&amp;"&lt;/mattext&gt;&lt;/material&gt;&lt;/flow_mat&gt;&lt;/itemfeedback&gt;"),"")</f>
      </c>
      <c r="BE13" s="46">
        <f>IF($B13,IF(AV13="","","    &lt;itemfeedback ident=""response_2"" view=""All""&gt;&lt;flow_mat&gt;&lt;material&gt;&lt;mattext texttype=""text/html""&gt;"&amp;AV13&amp;"&lt;/mattext&gt;&lt;/material&gt;&lt;/flow_mat&gt;&lt;/itemfeedback&gt;"),"")</f>
      </c>
      <c r="BF13" s="46">
        <f>IF($B13,IF(AW13="","","    &lt;itemfeedback ident=""response_3"" view=""All""&gt;&lt;flow_mat&gt;&lt;material&gt;&lt;mattext texttype=""text/html""&gt;"&amp;AW13&amp;"&lt;/mattext&gt;&lt;/material&gt;&lt;/flow_mat&gt;&lt;/itemfeedback&gt;"),"")</f>
      </c>
      <c r="BG13" s="46">
        <f>IF($B13,IF(AX13="","","    &lt;itemfeedback ident=""response_4"" view=""All""&gt;&lt;flow_mat&gt;&lt;material&gt;&lt;mattext texttype=""text/html""&gt;"&amp;AX13&amp;"&lt;/mattext&gt;&lt;/material&gt;&lt;/flow_mat&gt;&lt;/itemfeedback&gt;"),"")</f>
      </c>
      <c r="BH13" s="46">
        <f>IF($B13,IF(AY13="","","    &lt;itemfeedback ident=""response_5"" view=""All""&gt;&lt;flow_mat&gt;&lt;material&gt;&lt;mattext texttype=""text/html""&gt;"&amp;AY13&amp;"&lt;/mattext&gt;&lt;/material&gt;&lt;/flow_mat&gt;&lt;/itemfeedback&gt;"),"")</f>
      </c>
      <c r="BI13" s="46">
        <f>IF($B13,IF(AZ13="","","    &lt;itemfeedback ident=""response_6"" view=""All""&gt;&lt;flow_mat&gt;&lt;material&gt;&lt;mattext texttype=""text/html""&gt;"&amp;AZ13&amp;"&lt;/mattext&gt;&lt;/material&gt;&lt;/flow_mat&gt;&lt;/itemfeedback&gt;"),"")</f>
      </c>
      <c r="BJ13" s="46">
        <f>IF($B13,IF(BA13="","","    &lt;itemfeedback ident=""response_7"" view=""All""&gt;&lt;flow_mat&gt;&lt;material&gt;&lt;mattext texttype=""text/html""&gt;"&amp;BA13&amp;"&lt;/mattext&gt;&lt;/material&gt;&lt;/flow_mat&gt;&lt;/itemfeedback&gt;"),"")</f>
      </c>
    </row>
    <row r="14" ht="18" customHeight="1" s="17">
      <c r="A14" s="46">
        <f>Saisie_Questions!A14</f>
        <v/>
      </c>
      <c r="B14" s="46">
        <f>Saisie_Questions!O14="OK"</f>
        <v/>
      </c>
      <c r="C14" s="46">
        <f>LOWER(TRIM(Saisie_Questions!B14))</f>
        <v/>
      </c>
      <c r="D14" s="46">
        <f>IF(C14="qcu","SINGLE CHOICE QUESTION","MULTIPLE CHOICE QUESTION")</f>
        <v/>
      </c>
      <c r="E14" s="46">
        <f>IF(C14="qcu","Single","Multiple")</f>
        <v/>
      </c>
      <c r="F14" s="46">
        <f>IF(A14="","",SUBSTITUTE(SUBSTITUTE(SUBSTITUTE(SUBSTITUTE(SUBSTITUTE(IF(Saisie_Questions!C14="", "Question "&amp;A14, Saisie_Questions!C14),"&amp;","&amp;amp;"),"&lt;","&amp;lt;"),"&gt;","&amp;gt;"),CHAR(34),"&amp;quot;"),"'","&amp;apos;"))</f>
        <v/>
      </c>
      <c r="G14" s="46">
        <f>IF(A14="","",SUBSTITUTE(SUBSTITUTE(SUBSTITUTE(SUBSTITUTE(SUBSTITUTE(Saisie_Questions!D14,"&amp;","&amp;amp;"),"&lt;","&amp;lt;"),"&gt;","&amp;gt;"),CHAR(34),"&amp;quot;"),"'","&amp;apos;"))</f>
        <v/>
      </c>
      <c r="H14" s="46">
        <f>Saisie_Questions!N14</f>
        <v/>
      </c>
      <c r="I14" s="46">
        <f>IF(Saisie_Questions!E14="",0,1)+IF(Saisie_Questions!F14="",0,1)+IF(Saisie_Questions!G14="",0,1)+IF(Saisie_Questions!H14="",0,1)+IF(Saisie_Questions!I14="",0,1)+IF(Saisie_Questions!J14="",0,1)+IF(Saisie_Questions!K14="",0,1)+IF(Saisie_Questions!L14="",0,1)</f>
        <v/>
      </c>
      <c r="J14" s="46">
        <f>Saisie_Questions!M14</f>
        <v/>
      </c>
      <c r="K14" s="46">
        <f>Saisie_Questions!O14</f>
        <v/>
      </c>
      <c r="L14" s="46">
        <f>IF(Saisie_Questions!E14="","",SUBSTITUTE(SUBSTITUTE(SUBSTITUTE(SUBSTITUTE(SUBSTITUTE(Saisie_Questions!E14,"&amp;","&amp;amp;"),"&lt;","&amp;lt;"),"&gt;","&amp;gt;"),CHAR(34),"&amp;quot;"),"'","&amp;apos;"))</f>
        <v/>
      </c>
      <c r="M14" s="46">
        <f>IF(Saisie_Questions!F14="","",SUBSTITUTE(SUBSTITUTE(SUBSTITUTE(SUBSTITUTE(SUBSTITUTE(Saisie_Questions!F14,"&amp;","&amp;amp;"),"&lt;","&amp;lt;"),"&gt;","&amp;gt;"),CHAR(34),"&amp;quot;"),"'","&amp;apos;"))</f>
        <v/>
      </c>
      <c r="N14" s="46">
        <f>IF(Saisie_Questions!G14="","",SUBSTITUTE(SUBSTITUTE(SUBSTITUTE(SUBSTITUTE(SUBSTITUTE(Saisie_Questions!G14,"&amp;","&amp;amp;"),"&lt;","&amp;lt;"),"&gt;","&amp;gt;"),CHAR(34),"&amp;quot;"),"'","&amp;apos;"))</f>
        <v/>
      </c>
      <c r="O14" s="46">
        <f>IF(Saisie_Questions!H14="","",SUBSTITUTE(SUBSTITUTE(SUBSTITUTE(SUBSTITUTE(SUBSTITUTE(Saisie_Questions!H14,"&amp;","&amp;amp;"),"&lt;","&amp;lt;"),"&gt;","&amp;gt;"),CHAR(34),"&amp;quot;"),"'","&amp;apos;"))</f>
        <v/>
      </c>
      <c r="P14" s="46">
        <f>IF(Saisie_Questions!I14="","",SUBSTITUTE(SUBSTITUTE(SUBSTITUTE(SUBSTITUTE(SUBSTITUTE(Saisie_Questions!I14,"&amp;","&amp;amp;"),"&lt;","&amp;lt;"),"&gt;","&amp;gt;"),CHAR(34),"&amp;quot;"),"'","&amp;apos;"))</f>
        <v/>
      </c>
      <c r="Q14" s="46">
        <f>IF(Saisie_Questions!J14="","",SUBSTITUTE(SUBSTITUTE(SUBSTITUTE(SUBSTITUTE(SUBSTITUTE(Saisie_Questions!J14,"&amp;","&amp;amp;"),"&lt;","&amp;lt;"),"&gt;","&amp;gt;"),CHAR(34),"&amp;quot;"),"'","&amp;apos;"))</f>
        <v/>
      </c>
      <c r="R14" s="46">
        <f>IF(Saisie_Questions!K14="","",SUBSTITUTE(SUBSTITUTE(SUBSTITUTE(SUBSTITUTE(SUBSTITUTE(Saisie_Questions!K14,"&amp;","&amp;amp;"),"&lt;","&amp;lt;"),"&gt;","&amp;gt;"),CHAR(34),"&amp;quot;"),"'","&amp;apos;"))</f>
        <v/>
      </c>
      <c r="S14" s="46">
        <f>IF(Saisie_Questions!L14="","",SUBSTITUTE(SUBSTITUTE(SUBSTITUTE(SUBSTITUTE(SUBSTITUTE(Saisie_Questions!L14,"&amp;","&amp;amp;"),"&lt;","&amp;lt;"),"&gt;","&amp;gt;"),CHAR(34),"&amp;quot;"),"'","&amp;apos;"))</f>
        <v/>
      </c>
      <c r="T14" s="46">
        <f>ISNUMBER(SEARCH(";"&amp;1&amp;";",";"&amp;$J14&amp;";"))</f>
        <v/>
      </c>
      <c r="U14" s="46">
        <f>ISNUMBER(SEARCH(";"&amp;2&amp;";",";"&amp;$J14&amp;";"))</f>
        <v/>
      </c>
      <c r="V14" s="46">
        <f>ISNUMBER(SEARCH(";"&amp;3&amp;";",";"&amp;$J14&amp;";"))</f>
        <v/>
      </c>
      <c r="W14" s="46">
        <f>ISNUMBER(SEARCH(";"&amp;4&amp;";",";"&amp;$J14&amp;";"))</f>
        <v/>
      </c>
      <c r="X14" s="46">
        <f>ISNUMBER(SEARCH(";"&amp;5&amp;";",";"&amp;$J14&amp;";"))</f>
        <v/>
      </c>
      <c r="Y14" s="46">
        <f>ISNUMBER(SEARCH(";"&amp;6&amp;";",";"&amp;$J14&amp;";"))</f>
        <v/>
      </c>
      <c r="Z14" s="46">
        <f>ISNUMBER(SEARCH(";"&amp;7&amp;";",";"&amp;$J14&amp;";"))</f>
        <v/>
      </c>
      <c r="AA14" s="46">
        <f>ISNUMBER(SEARCH(";"&amp;8&amp;";",";"&amp;$J14&amp;";"))</f>
        <v/>
      </c>
      <c r="AB14" s="46">
        <f>IF($B14,IF(L14="","","        &lt;response_label ident=""0""&gt;&lt;material&gt;&lt;mattext texttype=""text/html""&gt;"&amp;L14&amp;"&lt;/mattext&gt;&lt;/material&gt;&lt;/response_label&gt;"),"")</f>
        <v/>
      </c>
      <c r="AC14" s="46">
        <f>IF($B14,IF(M14="","","        &lt;response_label ident=""1""&gt;&lt;material&gt;&lt;mattext texttype=""text/html""&gt;"&amp;M14&amp;"&lt;/mattext&gt;&lt;/material&gt;&lt;/response_label&gt;"),"")</f>
        <v/>
      </c>
      <c r="AD14" s="46">
        <f>IF($B14,IF(N14="","","        &lt;response_label ident=""2""&gt;&lt;material&gt;&lt;mattext texttype=""text/html""&gt;"&amp;N14&amp;"&lt;/mattext&gt;&lt;/material&gt;&lt;/response_label&gt;"),"")</f>
        <v/>
      </c>
      <c r="AE14" s="46">
        <f>IF($B14,IF(O14="","","        &lt;response_label ident=""3""&gt;&lt;material&gt;&lt;mattext texttype=""text/html""&gt;"&amp;O14&amp;"&lt;/mattext&gt;&lt;/material&gt;&lt;/response_label&gt;"),"")</f>
        <v/>
      </c>
      <c r="AF14" s="46">
        <f>IF($B14,IF(P14="","","        &lt;response_label ident=""4""&gt;&lt;material&gt;&lt;mattext texttype=""text/html""&gt;"&amp;P14&amp;"&lt;/mattext&gt;&lt;/material&gt;&lt;/response_label&gt;"),"")</f>
        <v/>
      </c>
      <c r="AG14" s="46">
        <f>IF($B14,IF(Q14="","","        &lt;response_label ident=""5""&gt;&lt;material&gt;&lt;mattext texttype=""text/html""&gt;"&amp;Q14&amp;"&lt;/mattext&gt;&lt;/material&gt;&lt;/response_label&gt;"),"")</f>
        <v/>
      </c>
      <c r="AH14" s="46">
        <f>IF($B14,IF(R14="","","        &lt;response_label ident=""6""&gt;&lt;material&gt;&lt;mattext texttype=""text/html""&gt;"&amp;R14&amp;"&lt;/mattext&gt;&lt;/material&gt;&lt;/response_label&gt;"),"")</f>
        <v/>
      </c>
      <c r="AI14" s="46">
        <f>IF($B14,IF(S14="","","        &lt;response_label ident=""7""&gt;&lt;material&gt;&lt;mattext texttype=""text/html""&gt;"&amp;S14&amp;"&lt;/mattext&gt;&lt;/material&gt;&lt;/response_label&gt;"),"")</f>
        <v/>
      </c>
      <c r="AJ14" s="46">
        <f>IF($B14,IF(L14="","",IF($C14="qcu",IF(OR(T14,AT14&lt;&gt;"",$AS14&lt;&gt;""),"      &lt;respcondition continue=""Yes""&gt;&lt;conditionvar&gt;&lt;varequal respident=""RESPONSE""&gt;0&lt;/varequal&gt;&lt;/conditionvar&gt;"&amp;"&lt;setvar action=""Add""&gt;"&amp;IF(T14,$H14,0)&amp;"&lt;/setvar&gt;"&amp;IF(AT14&lt;&gt;"","&lt;displayfeedback feedbacktype=""Response"" linkrefid=""response_0""/&gt;",IF($AS14&lt;&gt;"","&lt;displayfeedback feedbacktype=""Response"" linkrefid=""qti_feedback_trigger""/&gt;",""))&amp;"&lt;/respcondition&gt;",""),IF(OR(T14,AT14&lt;&gt;"",$AS14&lt;&gt;""),"      &lt;respcondition continue=""Yes""&gt;&lt;conditionvar&gt;"&amp;IF(T14,"&lt;varequal respident=""RESPONSE""&gt;0&lt;/varequal&gt;","&lt;not&gt;&lt;varequal respident=""RESPONSE""&gt;0&lt;/varequal&gt;&lt;/not&gt;")&amp;"&lt;/conditionvar&gt;&lt;setvar action=""Add""&gt;"&amp;(Saisie_Questions!$N14/$I14)&amp;"&lt;/setvar&gt;"&amp;IF(AT14&lt;&gt;"","&lt;displayfeedback feedbacktype=""Response"" linkrefid=""response_0""/&gt;",IF($AS14&lt;&gt;"","&lt;displayfeedback feedbacktype=""Response"" linkrefid=""qti_feedback_trigger""/&gt;",""))&amp;"&lt;/respcondition&gt;",""))),"")</f>
      </c>
      <c r="AK14" s="46">
        <f>IF($B14,IF(M14="","",IF($C14="qcu",IF(OR(U14,AU14&lt;&gt;"",$AS14&lt;&gt;""),"      &lt;respcondition continue=""Yes""&gt;&lt;conditionvar&gt;&lt;varequal respident=""RESPONSE""&gt;1&lt;/varequal&gt;&lt;/conditionvar&gt;"&amp;"&lt;setvar action=""Add""&gt;"&amp;IF(U14,$H14,0)&amp;"&lt;/setvar&gt;"&amp;IF(AU14&lt;&gt;"","&lt;displayfeedback feedbacktype=""Response"" linkrefid=""response_1""/&gt;",IF($AS14&lt;&gt;"","&lt;displayfeedback feedbacktype=""Response"" linkrefid=""qti_feedback_trigger""/&gt;",""))&amp;"&lt;/respcondition&gt;",""),IF(OR(U14,AU14&lt;&gt;"",$AS14&lt;&gt;""),"      &lt;respcondition continue=""Yes""&gt;&lt;conditionvar&gt;"&amp;IF(U14,"&lt;varequal respident=""RESPONSE""&gt;1&lt;/varequal&gt;","&lt;not&gt;&lt;varequal respident=""RESPONSE""&gt;1&lt;/varequal&gt;&lt;/not&gt;")&amp;"&lt;/conditionvar&gt;&lt;setvar action=""Add""&gt;"&amp;(Saisie_Questions!$N14/$I14)&amp;"&lt;/setvar&gt;"&amp;IF(AU14&lt;&gt;"","&lt;displayfeedback feedbacktype=""Response"" linkrefid=""response_1""/&gt;",IF($AS14&lt;&gt;"","&lt;displayfeedback feedbacktype=""Response"" linkrefid=""qti_feedback_trigger""/&gt;",""))&amp;"&lt;/respcondition&gt;",""))),"")</f>
      </c>
      <c r="AL14" s="46">
        <f>IF($B14,IF(N14="","",IF($C14="qcu",IF(OR(V14,AV14&lt;&gt;"",$AS14&lt;&gt;""),"      &lt;respcondition continue=""Yes""&gt;&lt;conditionvar&gt;&lt;varequal respident=""RESPONSE""&gt;2&lt;/varequal&gt;&lt;/conditionvar&gt;"&amp;"&lt;setvar action=""Add""&gt;"&amp;IF(V14,$H14,0)&amp;"&lt;/setvar&gt;"&amp;IF(AV14&lt;&gt;"","&lt;displayfeedback feedbacktype=""Response"" linkrefid=""response_2""/&gt;",IF($AS14&lt;&gt;"","&lt;displayfeedback feedbacktype=""Response"" linkrefid=""qti_feedback_trigger""/&gt;",""))&amp;"&lt;/respcondition&gt;",""),IF(OR(V14,AV14&lt;&gt;"",$AS14&lt;&gt;""),"      &lt;respcondition continue=""Yes""&gt;&lt;conditionvar&gt;"&amp;IF(V14,"&lt;varequal respident=""RESPONSE""&gt;2&lt;/varequal&gt;","&lt;not&gt;&lt;varequal respident=""RESPONSE""&gt;2&lt;/varequal&gt;&lt;/not&gt;")&amp;"&lt;/conditionvar&gt;&lt;setvar action=""Add""&gt;"&amp;(Saisie_Questions!$N14/$I14)&amp;"&lt;/setvar&gt;"&amp;IF(AV14&lt;&gt;"","&lt;displayfeedback feedbacktype=""Response"" linkrefid=""response_2""/&gt;",IF($AS14&lt;&gt;"","&lt;displayfeedback feedbacktype=""Response"" linkrefid=""qti_feedback_trigger""/&gt;",""))&amp;"&lt;/respcondition&gt;",""))),"")</f>
      </c>
      <c r="AM14" s="46">
        <f>IF($B14,IF(O14="","",IF($C14="qcu",IF(OR(W14,AW14&lt;&gt;"",$AS14&lt;&gt;""),"      &lt;respcondition continue=""Yes""&gt;&lt;conditionvar&gt;&lt;varequal respident=""RESPONSE""&gt;3&lt;/varequal&gt;&lt;/conditionvar&gt;"&amp;"&lt;setvar action=""Add""&gt;"&amp;IF(W14,$H14,0)&amp;"&lt;/setvar&gt;"&amp;IF(AW14&lt;&gt;"","&lt;displayfeedback feedbacktype=""Response"" linkrefid=""response_3""/&gt;",IF($AS14&lt;&gt;"","&lt;displayfeedback feedbacktype=""Response"" linkrefid=""qti_feedback_trigger""/&gt;",""))&amp;"&lt;/respcondition&gt;",""),IF(OR(W14,AW14&lt;&gt;"",$AS14&lt;&gt;""),"      &lt;respcondition continue=""Yes""&gt;&lt;conditionvar&gt;"&amp;IF(W14,"&lt;varequal respident=""RESPONSE""&gt;3&lt;/varequal&gt;","&lt;not&gt;&lt;varequal respident=""RESPONSE""&gt;3&lt;/varequal&gt;&lt;/not&gt;")&amp;"&lt;/conditionvar&gt;&lt;setvar action=""Add""&gt;"&amp;(Saisie_Questions!$N14/$I14)&amp;"&lt;/setvar&gt;"&amp;IF(AW14&lt;&gt;"","&lt;displayfeedback feedbacktype=""Response"" linkrefid=""response_3""/&gt;",IF($AS14&lt;&gt;"","&lt;displayfeedback feedbacktype=""Response"" linkrefid=""qti_feedback_trigger""/&gt;",""))&amp;"&lt;/respcondition&gt;",""))),"")</f>
      </c>
      <c r="AN14" s="46">
        <f>IF($B14,IF(P14="","",IF($C14="qcu",IF(OR(X14,AX14&lt;&gt;"",$AS14&lt;&gt;""),"      &lt;respcondition continue=""Yes""&gt;&lt;conditionvar&gt;&lt;varequal respident=""RESPONSE""&gt;4&lt;/varequal&gt;&lt;/conditionvar&gt;"&amp;"&lt;setvar action=""Add""&gt;"&amp;IF(X14,$H14,0)&amp;"&lt;/setvar&gt;"&amp;IF(AX14&lt;&gt;"","&lt;displayfeedback feedbacktype=""Response"" linkrefid=""response_4""/&gt;",IF($AS14&lt;&gt;"","&lt;displayfeedback feedbacktype=""Response"" linkrefid=""qti_feedback_trigger""/&gt;",""))&amp;"&lt;/respcondition&gt;",""),IF(OR(X14,AX14&lt;&gt;"",$AS14&lt;&gt;""),"      &lt;respcondition continue=""Yes""&gt;&lt;conditionvar&gt;"&amp;IF(X14,"&lt;varequal respident=""RESPONSE""&gt;4&lt;/varequal&gt;","&lt;not&gt;&lt;varequal respident=""RESPONSE""&gt;4&lt;/varequal&gt;&lt;/not&gt;")&amp;"&lt;/conditionvar&gt;&lt;setvar action=""Add""&gt;"&amp;(Saisie_Questions!$N14/$I14)&amp;"&lt;/setvar&gt;"&amp;IF(AX14&lt;&gt;"","&lt;displayfeedback feedbacktype=""Response"" linkrefid=""response_4""/&gt;",IF($AS14&lt;&gt;"","&lt;displayfeedback feedbacktype=""Response"" linkrefid=""qti_feedback_trigger""/&gt;",""))&amp;"&lt;/respcondition&gt;",""))),"")</f>
      </c>
      <c r="AO14" s="46">
        <f>IF($B14,IF(Q14="","",IF($C14="qcu",IF(OR(Y14,AY14&lt;&gt;"",$AS14&lt;&gt;""),"      &lt;respcondition continue=""Yes""&gt;&lt;conditionvar&gt;&lt;varequal respident=""RESPONSE""&gt;5&lt;/varequal&gt;&lt;/conditionvar&gt;"&amp;"&lt;setvar action=""Add""&gt;"&amp;IF(Y14,$H14,0)&amp;"&lt;/setvar&gt;"&amp;IF(AY14&lt;&gt;"","&lt;displayfeedback feedbacktype=""Response"" linkrefid=""response_5""/&gt;",IF($AS14&lt;&gt;"","&lt;displayfeedback feedbacktype=""Response"" linkrefid=""qti_feedback_trigger""/&gt;",""))&amp;"&lt;/respcondition&gt;",""),IF(OR(Y14,AY14&lt;&gt;"",$AS14&lt;&gt;""),"      &lt;respcondition continue=""Yes""&gt;&lt;conditionvar&gt;"&amp;IF(Y14,"&lt;varequal respident=""RESPONSE""&gt;5&lt;/varequal&gt;","&lt;not&gt;&lt;varequal respident=""RESPONSE""&gt;5&lt;/varequal&gt;&lt;/not&gt;")&amp;"&lt;/conditionvar&gt;&lt;setvar action=""Add""&gt;"&amp;(Saisie_Questions!$N14/$I14)&amp;"&lt;/setvar&gt;"&amp;IF(AY14&lt;&gt;"","&lt;displayfeedback feedbacktype=""Response"" linkrefid=""response_5""/&gt;",IF($AS14&lt;&gt;"","&lt;displayfeedback feedbacktype=""Response"" linkrefid=""qti_feedback_trigger""/&gt;",""))&amp;"&lt;/respcondition&gt;",""))),"")</f>
      </c>
      <c r="AP14" s="46">
        <f>IF($B14,IF(R14="","",IF($C14="qcu",IF(OR(Z14,AZ14&lt;&gt;"",$AS14&lt;&gt;""),"      &lt;respcondition continue=""Yes""&gt;&lt;conditionvar&gt;&lt;varequal respident=""RESPONSE""&gt;6&lt;/varequal&gt;&lt;/conditionvar&gt;"&amp;"&lt;setvar action=""Add""&gt;"&amp;IF(Z14,$H14,0)&amp;"&lt;/setvar&gt;"&amp;IF(AZ14&lt;&gt;"","&lt;displayfeedback feedbacktype=""Response"" linkrefid=""response_6""/&gt;",IF($AS14&lt;&gt;"","&lt;displayfeedback feedbacktype=""Response"" linkrefid=""qti_feedback_trigger""/&gt;",""))&amp;"&lt;/respcondition&gt;",""),IF(OR(Z14,AZ14&lt;&gt;"",$AS14&lt;&gt;""),"      &lt;respcondition continue=""Yes""&gt;&lt;conditionvar&gt;"&amp;IF(Z14,"&lt;varequal respident=""RESPONSE""&gt;6&lt;/varequal&gt;","&lt;not&gt;&lt;varequal respident=""RESPONSE""&gt;6&lt;/varequal&gt;&lt;/not&gt;")&amp;"&lt;/conditionvar&gt;&lt;setvar action=""Add""&gt;"&amp;(Saisie_Questions!$N14/$I14)&amp;"&lt;/setvar&gt;"&amp;IF(AZ14&lt;&gt;"","&lt;displayfeedback feedbacktype=""Response"" linkrefid=""response_6""/&gt;",IF($AS14&lt;&gt;"","&lt;displayfeedback feedbacktype=""Response"" linkrefid=""qti_feedback_trigger""/&gt;",""))&amp;"&lt;/respcondition&gt;",""))),"")</f>
      </c>
      <c r="AQ14" s="46">
        <f>IF($B14,IF(S14="","",IF($C14="qcu",IF(OR(AA14,BA14&lt;&gt;"",$AS14&lt;&gt;""),"      &lt;respcondition continue=""Yes""&gt;&lt;conditionvar&gt;&lt;varequal respident=""RESPONSE""&gt;7&lt;/varequal&gt;&lt;/conditionvar&gt;"&amp;"&lt;setvar action=""Add""&gt;"&amp;IF(AA14,$H14,0)&amp;"&lt;/setvar&gt;"&amp;IF(BA14&lt;&gt;"","&lt;displayfeedback feedbacktype=""Response"" linkrefid=""response_7""/&gt;",IF($AS14&lt;&gt;"","&lt;displayfeedback feedbacktype=""Response"" linkrefid=""qti_feedback_trigger""/&gt;",""))&amp;"&lt;/respcondition&gt;",""),IF(OR(AA14,BA14&lt;&gt;"",$AS14&lt;&gt;""),"      &lt;respcondition continue=""Yes""&gt;&lt;conditionvar&gt;"&amp;IF(AA14,"&lt;varequal respident=""RESPONSE""&gt;7&lt;/varequal&gt;","&lt;not&gt;&lt;varequal respident=""RESPONSE""&gt;7&lt;/varequal&gt;&lt;/not&gt;")&amp;"&lt;/conditionvar&gt;&lt;setvar action=""Add""&gt;"&amp;(Saisie_Questions!$N14/$I14)&amp;"&lt;/setvar&gt;"&amp;IF(BA14&lt;&gt;"","&lt;displayfeedback feedbacktype=""Response"" linkrefid=""response_7""/&gt;",IF($AS14&lt;&gt;"","&lt;displayfeedback feedbacktype=""Response"" linkrefid=""qti_feedback_trigger""/&gt;",""))&amp;"&lt;/respcondition&gt;",""))),"")</f>
      </c>
      <c r="AR14" s="46">
        <f>IF(A14="","",SUBSTITUTE(SUBSTITUTE(SUBSTITUTE(SUBSTITUTE(SUBSTITUTE(IF(Saisie_Questions!P14&lt;&gt;"",Saisie_Questions!P14,Interface_Generation!$B$5),"&amp;","&amp;amp;"),"&lt;","&amp;lt;"),"&gt;","&amp;gt;"),CHAR(34),"&amp;quot;"),"'","&amp;apos;"))</f>
        <v/>
      </c>
      <c r="AS14" s="46">
        <f>IF(Saisie_Questions!Q14="","",SUBSTITUTE(SUBSTITUTE(SUBSTITUTE(SUBSTITUTE(SUBSTITUTE(Saisie_Questions!Q14,"&amp;","&amp;amp;"),"&lt;","&amp;lt;"),"&gt;","&amp;gt;"),CHAR(34),"&amp;quot;"),"'","&amp;apos;"))</f>
        <v/>
      </c>
      <c r="AT14" s="46">
        <f>IF(Saisie_Questions!R14="","",SUBSTITUTE(SUBSTITUTE(SUBSTITUTE(SUBSTITUTE(SUBSTITUTE(Saisie_Questions!R14,"&amp;","&amp;amp;"),"&lt;","&amp;lt;"),"&gt;","&amp;gt;"),CHAR(34),"&amp;quot;"),"'","&amp;apos;"))</f>
        <v/>
      </c>
      <c r="AU14" s="46">
        <f>IF(Saisie_Questions!S14="","",SUBSTITUTE(SUBSTITUTE(SUBSTITUTE(SUBSTITUTE(SUBSTITUTE(Saisie_Questions!S14,"&amp;","&amp;amp;"),"&lt;","&amp;lt;"),"&gt;","&amp;gt;"),CHAR(34),"&amp;quot;"),"'","&amp;apos;"))</f>
        <v/>
      </c>
      <c r="AV14" s="46">
        <f>IF(Saisie_Questions!T14="","",SUBSTITUTE(SUBSTITUTE(SUBSTITUTE(SUBSTITUTE(SUBSTITUTE(Saisie_Questions!T14,"&amp;","&amp;amp;"),"&lt;","&amp;lt;"),"&gt;","&amp;gt;"),CHAR(34),"&amp;quot;"),"'","&amp;apos;"))</f>
        <v/>
      </c>
      <c r="AW14" s="46">
        <f>IF(Saisie_Questions!U14="","",SUBSTITUTE(SUBSTITUTE(SUBSTITUTE(SUBSTITUTE(SUBSTITUTE(Saisie_Questions!U14,"&amp;","&amp;amp;"),"&lt;","&amp;lt;"),"&gt;","&amp;gt;"),CHAR(34),"&amp;quot;"),"'","&amp;apos;"))</f>
        <v/>
      </c>
      <c r="AX14" s="46">
        <f>IF(Saisie_Questions!V14="","",SUBSTITUTE(SUBSTITUTE(SUBSTITUTE(SUBSTITUTE(SUBSTITUTE(Saisie_Questions!V14,"&amp;","&amp;amp;"),"&lt;","&amp;lt;"),"&gt;","&amp;gt;"),CHAR(34),"&amp;quot;"),"'","&amp;apos;"))</f>
        <v/>
      </c>
      <c r="AY14" s="46">
        <f>IF(Saisie_Questions!W14="","",SUBSTITUTE(SUBSTITUTE(SUBSTITUTE(SUBSTITUTE(SUBSTITUTE(Saisie_Questions!W14,"&amp;","&amp;amp;"),"&lt;","&amp;lt;"),"&gt;","&amp;gt;"),CHAR(34),"&amp;quot;"),"'","&amp;apos;"))</f>
        <v/>
      </c>
      <c r="AZ14" s="46">
        <f>IF(Saisie_Questions!X14="","",SUBSTITUTE(SUBSTITUTE(SUBSTITUTE(SUBSTITUTE(SUBSTITUTE(Saisie_Questions!X14,"&amp;","&amp;amp;"),"&lt;","&amp;lt;"),"&gt;","&amp;gt;"),CHAR(34),"&amp;quot;"),"'","&amp;apos;"))</f>
        <v/>
      </c>
      <c r="BA14" s="46">
        <f>IF(Saisie_Questions!Y14="","",SUBSTITUTE(SUBSTITUTE(SUBSTITUTE(SUBSTITUTE(SUBSTITUTE(Saisie_Questions!Y14,"&amp;","&amp;amp;"),"&lt;","&amp;lt;"),"&gt;","&amp;gt;"),CHAR(34),"&amp;quot;"),"'","&amp;apos;"))</f>
        <v/>
      </c>
      <c r="BB14" s="46">
        <f>IF($B14,IF($AS14="","","    &lt;itemfeedback ident=""response_allcorrect"" view=""All""&gt;&lt;flow_mat&gt;&lt;material&gt;&lt;mattext texttype=""text/html""&gt;"&amp;$AS14&amp;"&lt;/mattext&gt;&lt;/material&gt;&lt;/flow_mat&gt;&lt;/itemfeedback&gt;"&amp;"    &lt;itemfeedback ident=""response_onenotcorrect"" view=""All""&gt;&lt;flow_mat&gt;&lt;material&gt;&lt;mattext texttype=""text/html""&gt;"&amp;$AS14&amp;"&lt;/mattext&gt;&lt;/material&gt;&lt;/flow_mat&gt;&lt;/itemfeedback&gt;"),"")</f>
      </c>
      <c r="BC14" s="46">
        <f>IF($B14,IF(AT14="","","    &lt;itemfeedback ident=""response_0"" view=""All""&gt;&lt;flow_mat&gt;&lt;material&gt;&lt;mattext texttype=""text/html""&gt;"&amp;AT14&amp;"&lt;/mattext&gt;&lt;/material&gt;&lt;/flow_mat&gt;&lt;/itemfeedback&gt;"),"")</f>
      </c>
      <c r="BD14" s="46">
        <f>IF($B14,IF(AU14="","","    &lt;itemfeedback ident=""response_1"" view=""All""&gt;&lt;flow_mat&gt;&lt;material&gt;&lt;mattext texttype=""text/html""&gt;"&amp;AU14&amp;"&lt;/mattext&gt;&lt;/material&gt;&lt;/flow_mat&gt;&lt;/itemfeedback&gt;"),"")</f>
      </c>
      <c r="BE14" s="46">
        <f>IF($B14,IF(AV14="","","    &lt;itemfeedback ident=""response_2"" view=""All""&gt;&lt;flow_mat&gt;&lt;material&gt;&lt;mattext texttype=""text/html""&gt;"&amp;AV14&amp;"&lt;/mattext&gt;&lt;/material&gt;&lt;/flow_mat&gt;&lt;/itemfeedback&gt;"),"")</f>
      </c>
      <c r="BF14" s="46">
        <f>IF($B14,IF(AW14="","","    &lt;itemfeedback ident=""response_3"" view=""All""&gt;&lt;flow_mat&gt;&lt;material&gt;&lt;mattext texttype=""text/html""&gt;"&amp;AW14&amp;"&lt;/mattext&gt;&lt;/material&gt;&lt;/flow_mat&gt;&lt;/itemfeedback&gt;"),"")</f>
      </c>
      <c r="BG14" s="46">
        <f>IF($B14,IF(AX14="","","    &lt;itemfeedback ident=""response_4"" view=""All""&gt;&lt;flow_mat&gt;&lt;material&gt;&lt;mattext texttype=""text/html""&gt;"&amp;AX14&amp;"&lt;/mattext&gt;&lt;/material&gt;&lt;/flow_mat&gt;&lt;/itemfeedback&gt;"),"")</f>
      </c>
      <c r="BH14" s="46">
        <f>IF($B14,IF(AY14="","","    &lt;itemfeedback ident=""response_5"" view=""All""&gt;&lt;flow_mat&gt;&lt;material&gt;&lt;mattext texttype=""text/html""&gt;"&amp;AY14&amp;"&lt;/mattext&gt;&lt;/material&gt;&lt;/flow_mat&gt;&lt;/itemfeedback&gt;"),"")</f>
      </c>
      <c r="BI14" s="46">
        <f>IF($B14,IF(AZ14="","","    &lt;itemfeedback ident=""response_6"" view=""All""&gt;&lt;flow_mat&gt;&lt;material&gt;&lt;mattext texttype=""text/html""&gt;"&amp;AZ14&amp;"&lt;/mattext&gt;&lt;/material&gt;&lt;/flow_mat&gt;&lt;/itemfeedback&gt;"),"")</f>
      </c>
      <c r="BJ14" s="46">
        <f>IF($B14,IF(BA14="","","    &lt;itemfeedback ident=""response_7"" view=""All""&gt;&lt;flow_mat&gt;&lt;material&gt;&lt;mattext texttype=""text/html""&gt;"&amp;BA14&amp;"&lt;/mattext&gt;&lt;/material&gt;&lt;/flow_mat&gt;&lt;/itemfeedback&gt;"),"")</f>
      </c>
    </row>
    <row r="15" ht="18" customHeight="1" s="17">
      <c r="A15" s="46">
        <f>Saisie_Questions!A15</f>
        <v/>
      </c>
      <c r="B15" s="46">
        <f>Saisie_Questions!O15="OK"</f>
        <v/>
      </c>
      <c r="C15" s="46">
        <f>LOWER(TRIM(Saisie_Questions!B15))</f>
        <v/>
      </c>
      <c r="D15" s="46">
        <f>IF(C15="qcu","SINGLE CHOICE QUESTION","MULTIPLE CHOICE QUESTION")</f>
        <v/>
      </c>
      <c r="E15" s="46">
        <f>IF(C15="qcu","Single","Multiple")</f>
        <v/>
      </c>
      <c r="F15" s="46">
        <f>IF(A15="","",SUBSTITUTE(SUBSTITUTE(SUBSTITUTE(SUBSTITUTE(SUBSTITUTE(IF(Saisie_Questions!C15="", "Question "&amp;A15, Saisie_Questions!C15),"&amp;","&amp;amp;"),"&lt;","&amp;lt;"),"&gt;","&amp;gt;"),CHAR(34),"&amp;quot;"),"'","&amp;apos;"))</f>
        <v/>
      </c>
      <c r="G15" s="46">
        <f>IF(A15="","",SUBSTITUTE(SUBSTITUTE(SUBSTITUTE(SUBSTITUTE(SUBSTITUTE(Saisie_Questions!D15,"&amp;","&amp;amp;"),"&lt;","&amp;lt;"),"&gt;","&amp;gt;"),CHAR(34),"&amp;quot;"),"'","&amp;apos;"))</f>
        <v/>
      </c>
      <c r="H15" s="46">
        <f>Saisie_Questions!N15</f>
        <v/>
      </c>
      <c r="I15" s="46">
        <f>IF(Saisie_Questions!E15="",0,1)+IF(Saisie_Questions!F15="",0,1)+IF(Saisie_Questions!G15="",0,1)+IF(Saisie_Questions!H15="",0,1)+IF(Saisie_Questions!I15="",0,1)+IF(Saisie_Questions!J15="",0,1)+IF(Saisie_Questions!K15="",0,1)+IF(Saisie_Questions!L15="",0,1)</f>
        <v/>
      </c>
      <c r="J15" s="46">
        <f>Saisie_Questions!M15</f>
        <v/>
      </c>
      <c r="K15" s="46">
        <f>Saisie_Questions!O15</f>
        <v/>
      </c>
      <c r="L15" s="46">
        <f>IF(Saisie_Questions!E15="","",SUBSTITUTE(SUBSTITUTE(SUBSTITUTE(SUBSTITUTE(SUBSTITUTE(Saisie_Questions!E15,"&amp;","&amp;amp;"),"&lt;","&amp;lt;"),"&gt;","&amp;gt;"),CHAR(34),"&amp;quot;"),"'","&amp;apos;"))</f>
        <v/>
      </c>
      <c r="M15" s="46">
        <f>IF(Saisie_Questions!F15="","",SUBSTITUTE(SUBSTITUTE(SUBSTITUTE(SUBSTITUTE(SUBSTITUTE(Saisie_Questions!F15,"&amp;","&amp;amp;"),"&lt;","&amp;lt;"),"&gt;","&amp;gt;"),CHAR(34),"&amp;quot;"),"'","&amp;apos;"))</f>
        <v/>
      </c>
      <c r="N15" s="46">
        <f>IF(Saisie_Questions!G15="","",SUBSTITUTE(SUBSTITUTE(SUBSTITUTE(SUBSTITUTE(SUBSTITUTE(Saisie_Questions!G15,"&amp;","&amp;amp;"),"&lt;","&amp;lt;"),"&gt;","&amp;gt;"),CHAR(34),"&amp;quot;"),"'","&amp;apos;"))</f>
        <v/>
      </c>
      <c r="O15" s="46">
        <f>IF(Saisie_Questions!H15="","",SUBSTITUTE(SUBSTITUTE(SUBSTITUTE(SUBSTITUTE(SUBSTITUTE(Saisie_Questions!H15,"&amp;","&amp;amp;"),"&lt;","&amp;lt;"),"&gt;","&amp;gt;"),CHAR(34),"&amp;quot;"),"'","&amp;apos;"))</f>
        <v/>
      </c>
      <c r="P15" s="46">
        <f>IF(Saisie_Questions!I15="","",SUBSTITUTE(SUBSTITUTE(SUBSTITUTE(SUBSTITUTE(SUBSTITUTE(Saisie_Questions!I15,"&amp;","&amp;amp;"),"&lt;","&amp;lt;"),"&gt;","&amp;gt;"),CHAR(34),"&amp;quot;"),"'","&amp;apos;"))</f>
        <v/>
      </c>
      <c r="Q15" s="46">
        <f>IF(Saisie_Questions!J15="","",SUBSTITUTE(SUBSTITUTE(SUBSTITUTE(SUBSTITUTE(SUBSTITUTE(Saisie_Questions!J15,"&amp;","&amp;amp;"),"&lt;","&amp;lt;"),"&gt;","&amp;gt;"),CHAR(34),"&amp;quot;"),"'","&amp;apos;"))</f>
        <v/>
      </c>
      <c r="R15" s="46">
        <f>IF(Saisie_Questions!K15="","",SUBSTITUTE(SUBSTITUTE(SUBSTITUTE(SUBSTITUTE(SUBSTITUTE(Saisie_Questions!K15,"&amp;","&amp;amp;"),"&lt;","&amp;lt;"),"&gt;","&amp;gt;"),CHAR(34),"&amp;quot;"),"'","&amp;apos;"))</f>
        <v/>
      </c>
      <c r="S15" s="46">
        <f>IF(Saisie_Questions!L15="","",SUBSTITUTE(SUBSTITUTE(SUBSTITUTE(SUBSTITUTE(SUBSTITUTE(Saisie_Questions!L15,"&amp;","&amp;amp;"),"&lt;","&amp;lt;"),"&gt;","&amp;gt;"),CHAR(34),"&amp;quot;"),"'","&amp;apos;"))</f>
        <v/>
      </c>
      <c r="T15" s="46">
        <f>ISNUMBER(SEARCH(";"&amp;1&amp;";",";"&amp;$J15&amp;";"))</f>
        <v/>
      </c>
      <c r="U15" s="46">
        <f>ISNUMBER(SEARCH(";"&amp;2&amp;";",";"&amp;$J15&amp;";"))</f>
        <v/>
      </c>
      <c r="V15" s="46">
        <f>ISNUMBER(SEARCH(";"&amp;3&amp;";",";"&amp;$J15&amp;";"))</f>
        <v/>
      </c>
      <c r="W15" s="46">
        <f>ISNUMBER(SEARCH(";"&amp;4&amp;";",";"&amp;$J15&amp;";"))</f>
        <v/>
      </c>
      <c r="X15" s="46">
        <f>ISNUMBER(SEARCH(";"&amp;5&amp;";",";"&amp;$J15&amp;";"))</f>
        <v/>
      </c>
      <c r="Y15" s="46">
        <f>ISNUMBER(SEARCH(";"&amp;6&amp;";",";"&amp;$J15&amp;";"))</f>
        <v/>
      </c>
      <c r="Z15" s="46">
        <f>ISNUMBER(SEARCH(";"&amp;7&amp;";",";"&amp;$J15&amp;";"))</f>
        <v/>
      </c>
      <c r="AA15" s="46">
        <f>ISNUMBER(SEARCH(";"&amp;8&amp;";",";"&amp;$J15&amp;";"))</f>
        <v/>
      </c>
      <c r="AB15" s="46">
        <f>IF($B15,IF(L15="","","        &lt;response_label ident=""0""&gt;&lt;material&gt;&lt;mattext texttype=""text/html""&gt;"&amp;L15&amp;"&lt;/mattext&gt;&lt;/material&gt;&lt;/response_label&gt;"),"")</f>
        <v/>
      </c>
      <c r="AC15" s="46">
        <f>IF($B15,IF(M15="","","        &lt;response_label ident=""1""&gt;&lt;material&gt;&lt;mattext texttype=""text/html""&gt;"&amp;M15&amp;"&lt;/mattext&gt;&lt;/material&gt;&lt;/response_label&gt;"),"")</f>
        <v/>
      </c>
      <c r="AD15" s="46">
        <f>IF($B15,IF(N15="","","        &lt;response_label ident=""2""&gt;&lt;material&gt;&lt;mattext texttype=""text/html""&gt;"&amp;N15&amp;"&lt;/mattext&gt;&lt;/material&gt;&lt;/response_label&gt;"),"")</f>
        <v/>
      </c>
      <c r="AE15" s="46">
        <f>IF($B15,IF(O15="","","        &lt;response_label ident=""3""&gt;&lt;material&gt;&lt;mattext texttype=""text/html""&gt;"&amp;O15&amp;"&lt;/mattext&gt;&lt;/material&gt;&lt;/response_label&gt;"),"")</f>
        <v/>
      </c>
      <c r="AF15" s="46">
        <f>IF($B15,IF(P15="","","        &lt;response_label ident=""4""&gt;&lt;material&gt;&lt;mattext texttype=""text/html""&gt;"&amp;P15&amp;"&lt;/mattext&gt;&lt;/material&gt;&lt;/response_label&gt;"),"")</f>
        <v/>
      </c>
      <c r="AG15" s="46">
        <f>IF($B15,IF(Q15="","","        &lt;response_label ident=""5""&gt;&lt;material&gt;&lt;mattext texttype=""text/html""&gt;"&amp;Q15&amp;"&lt;/mattext&gt;&lt;/material&gt;&lt;/response_label&gt;"),"")</f>
        <v/>
      </c>
      <c r="AH15" s="46">
        <f>IF($B15,IF(R15="","","        &lt;response_label ident=""6""&gt;&lt;material&gt;&lt;mattext texttype=""text/html""&gt;"&amp;R15&amp;"&lt;/mattext&gt;&lt;/material&gt;&lt;/response_label&gt;"),"")</f>
        <v/>
      </c>
      <c r="AI15" s="46">
        <f>IF($B15,IF(S15="","","        &lt;response_label ident=""7""&gt;&lt;material&gt;&lt;mattext texttype=""text/html""&gt;"&amp;S15&amp;"&lt;/mattext&gt;&lt;/material&gt;&lt;/response_label&gt;"),"")</f>
        <v/>
      </c>
      <c r="AJ15" s="46">
        <f>IF($B15,IF(L15="","",IF($C15="qcu",IF(OR(T15,AT15&lt;&gt;"",$AS15&lt;&gt;""),"      &lt;respcondition continue=""Yes""&gt;&lt;conditionvar&gt;&lt;varequal respident=""RESPONSE""&gt;0&lt;/varequal&gt;&lt;/conditionvar&gt;"&amp;"&lt;setvar action=""Add""&gt;"&amp;IF(T15,$H15,0)&amp;"&lt;/setvar&gt;"&amp;IF(AT15&lt;&gt;"","&lt;displayfeedback feedbacktype=""Response"" linkrefid=""response_0""/&gt;",IF($AS15&lt;&gt;"","&lt;displayfeedback feedbacktype=""Response"" linkrefid=""qti_feedback_trigger""/&gt;",""))&amp;"&lt;/respcondition&gt;",""),IF(OR(T15,AT15&lt;&gt;"",$AS15&lt;&gt;""),"      &lt;respcondition continue=""Yes""&gt;&lt;conditionvar&gt;"&amp;IF(T15,"&lt;varequal respident=""RESPONSE""&gt;0&lt;/varequal&gt;","&lt;not&gt;&lt;varequal respident=""RESPONSE""&gt;0&lt;/varequal&gt;&lt;/not&gt;")&amp;"&lt;/conditionvar&gt;&lt;setvar action=""Add""&gt;"&amp;(Saisie_Questions!$N15/$I15)&amp;"&lt;/setvar&gt;"&amp;IF(AT15&lt;&gt;"","&lt;displayfeedback feedbacktype=""Response"" linkrefid=""response_0""/&gt;",IF($AS15&lt;&gt;"","&lt;displayfeedback feedbacktype=""Response"" linkrefid=""qti_feedback_trigger""/&gt;",""))&amp;"&lt;/respcondition&gt;",""))),"")</f>
      </c>
      <c r="AK15" s="46">
        <f>IF($B15,IF(M15="","",IF($C15="qcu",IF(OR(U15,AU15&lt;&gt;"",$AS15&lt;&gt;""),"      &lt;respcondition continue=""Yes""&gt;&lt;conditionvar&gt;&lt;varequal respident=""RESPONSE""&gt;1&lt;/varequal&gt;&lt;/conditionvar&gt;"&amp;"&lt;setvar action=""Add""&gt;"&amp;IF(U15,$H15,0)&amp;"&lt;/setvar&gt;"&amp;IF(AU15&lt;&gt;"","&lt;displayfeedback feedbacktype=""Response"" linkrefid=""response_1""/&gt;",IF($AS15&lt;&gt;"","&lt;displayfeedback feedbacktype=""Response"" linkrefid=""qti_feedback_trigger""/&gt;",""))&amp;"&lt;/respcondition&gt;",""),IF(OR(U15,AU15&lt;&gt;"",$AS15&lt;&gt;""),"      &lt;respcondition continue=""Yes""&gt;&lt;conditionvar&gt;"&amp;IF(U15,"&lt;varequal respident=""RESPONSE""&gt;1&lt;/varequal&gt;","&lt;not&gt;&lt;varequal respident=""RESPONSE""&gt;1&lt;/varequal&gt;&lt;/not&gt;")&amp;"&lt;/conditionvar&gt;&lt;setvar action=""Add""&gt;"&amp;(Saisie_Questions!$N15/$I15)&amp;"&lt;/setvar&gt;"&amp;IF(AU15&lt;&gt;"","&lt;displayfeedback feedbacktype=""Response"" linkrefid=""response_1""/&gt;",IF($AS15&lt;&gt;"","&lt;displayfeedback feedbacktype=""Response"" linkrefid=""qti_feedback_trigger""/&gt;",""))&amp;"&lt;/respcondition&gt;",""))),"")</f>
      </c>
      <c r="AL15" s="46">
        <f>IF($B15,IF(N15="","",IF($C15="qcu",IF(OR(V15,AV15&lt;&gt;"",$AS15&lt;&gt;""),"      &lt;respcondition continue=""Yes""&gt;&lt;conditionvar&gt;&lt;varequal respident=""RESPONSE""&gt;2&lt;/varequal&gt;&lt;/conditionvar&gt;"&amp;"&lt;setvar action=""Add""&gt;"&amp;IF(V15,$H15,0)&amp;"&lt;/setvar&gt;"&amp;IF(AV15&lt;&gt;"","&lt;displayfeedback feedbacktype=""Response"" linkrefid=""response_2""/&gt;",IF($AS15&lt;&gt;"","&lt;displayfeedback feedbacktype=""Response"" linkrefid=""qti_feedback_trigger""/&gt;",""))&amp;"&lt;/respcondition&gt;",""),IF(OR(V15,AV15&lt;&gt;"",$AS15&lt;&gt;""),"      &lt;respcondition continue=""Yes""&gt;&lt;conditionvar&gt;"&amp;IF(V15,"&lt;varequal respident=""RESPONSE""&gt;2&lt;/varequal&gt;","&lt;not&gt;&lt;varequal respident=""RESPONSE""&gt;2&lt;/varequal&gt;&lt;/not&gt;")&amp;"&lt;/conditionvar&gt;&lt;setvar action=""Add""&gt;"&amp;(Saisie_Questions!$N15/$I15)&amp;"&lt;/setvar&gt;"&amp;IF(AV15&lt;&gt;"","&lt;displayfeedback feedbacktype=""Response"" linkrefid=""response_2""/&gt;",IF($AS15&lt;&gt;"","&lt;displayfeedback feedbacktype=""Response"" linkrefid=""qti_feedback_trigger""/&gt;",""))&amp;"&lt;/respcondition&gt;",""))),"")</f>
      </c>
      <c r="AM15" s="46">
        <f>IF($B15,IF(O15="","",IF($C15="qcu",IF(OR(W15,AW15&lt;&gt;"",$AS15&lt;&gt;""),"      &lt;respcondition continue=""Yes""&gt;&lt;conditionvar&gt;&lt;varequal respident=""RESPONSE""&gt;3&lt;/varequal&gt;&lt;/conditionvar&gt;"&amp;"&lt;setvar action=""Add""&gt;"&amp;IF(W15,$H15,0)&amp;"&lt;/setvar&gt;"&amp;IF(AW15&lt;&gt;"","&lt;displayfeedback feedbacktype=""Response"" linkrefid=""response_3""/&gt;",IF($AS15&lt;&gt;"","&lt;displayfeedback feedbacktype=""Response"" linkrefid=""qti_feedback_trigger""/&gt;",""))&amp;"&lt;/respcondition&gt;",""),IF(OR(W15,AW15&lt;&gt;"",$AS15&lt;&gt;""),"      &lt;respcondition continue=""Yes""&gt;&lt;conditionvar&gt;"&amp;IF(W15,"&lt;varequal respident=""RESPONSE""&gt;3&lt;/varequal&gt;","&lt;not&gt;&lt;varequal respident=""RESPONSE""&gt;3&lt;/varequal&gt;&lt;/not&gt;")&amp;"&lt;/conditionvar&gt;&lt;setvar action=""Add""&gt;"&amp;(Saisie_Questions!$N15/$I15)&amp;"&lt;/setvar&gt;"&amp;IF(AW15&lt;&gt;"","&lt;displayfeedback feedbacktype=""Response"" linkrefid=""response_3""/&gt;",IF($AS15&lt;&gt;"","&lt;displayfeedback feedbacktype=""Response"" linkrefid=""qti_feedback_trigger""/&gt;",""))&amp;"&lt;/respcondition&gt;",""))),"")</f>
      </c>
      <c r="AN15" s="46">
        <f>IF($B15,IF(P15="","",IF($C15="qcu",IF(OR(X15,AX15&lt;&gt;"",$AS15&lt;&gt;""),"      &lt;respcondition continue=""Yes""&gt;&lt;conditionvar&gt;&lt;varequal respident=""RESPONSE""&gt;4&lt;/varequal&gt;&lt;/conditionvar&gt;"&amp;"&lt;setvar action=""Add""&gt;"&amp;IF(X15,$H15,0)&amp;"&lt;/setvar&gt;"&amp;IF(AX15&lt;&gt;"","&lt;displayfeedback feedbacktype=""Response"" linkrefid=""response_4""/&gt;",IF($AS15&lt;&gt;"","&lt;displayfeedback feedbacktype=""Response"" linkrefid=""qti_feedback_trigger""/&gt;",""))&amp;"&lt;/respcondition&gt;",""),IF(OR(X15,AX15&lt;&gt;"",$AS15&lt;&gt;""),"      &lt;respcondition continue=""Yes""&gt;&lt;conditionvar&gt;"&amp;IF(X15,"&lt;varequal respident=""RESPONSE""&gt;4&lt;/varequal&gt;","&lt;not&gt;&lt;varequal respident=""RESPONSE""&gt;4&lt;/varequal&gt;&lt;/not&gt;")&amp;"&lt;/conditionvar&gt;&lt;setvar action=""Add""&gt;"&amp;(Saisie_Questions!$N15/$I15)&amp;"&lt;/setvar&gt;"&amp;IF(AX15&lt;&gt;"","&lt;displayfeedback feedbacktype=""Response"" linkrefid=""response_4""/&gt;",IF($AS15&lt;&gt;"","&lt;displayfeedback feedbacktype=""Response"" linkrefid=""qti_feedback_trigger""/&gt;",""))&amp;"&lt;/respcondition&gt;",""))),"")</f>
      </c>
      <c r="AO15" s="46">
        <f>IF($B15,IF(Q15="","",IF($C15="qcu",IF(OR(Y15,AY15&lt;&gt;"",$AS15&lt;&gt;""),"      &lt;respcondition continue=""Yes""&gt;&lt;conditionvar&gt;&lt;varequal respident=""RESPONSE""&gt;5&lt;/varequal&gt;&lt;/conditionvar&gt;"&amp;"&lt;setvar action=""Add""&gt;"&amp;IF(Y15,$H15,0)&amp;"&lt;/setvar&gt;"&amp;IF(AY15&lt;&gt;"","&lt;displayfeedback feedbacktype=""Response"" linkrefid=""response_5""/&gt;",IF($AS15&lt;&gt;"","&lt;displayfeedback feedbacktype=""Response"" linkrefid=""qti_feedback_trigger""/&gt;",""))&amp;"&lt;/respcondition&gt;",""),IF(OR(Y15,AY15&lt;&gt;"",$AS15&lt;&gt;""),"      &lt;respcondition continue=""Yes""&gt;&lt;conditionvar&gt;"&amp;IF(Y15,"&lt;varequal respident=""RESPONSE""&gt;5&lt;/varequal&gt;","&lt;not&gt;&lt;varequal respident=""RESPONSE""&gt;5&lt;/varequal&gt;&lt;/not&gt;")&amp;"&lt;/conditionvar&gt;&lt;setvar action=""Add""&gt;"&amp;(Saisie_Questions!$N15/$I15)&amp;"&lt;/setvar&gt;"&amp;IF(AY15&lt;&gt;"","&lt;displayfeedback feedbacktype=""Response"" linkrefid=""response_5""/&gt;",IF($AS15&lt;&gt;"","&lt;displayfeedback feedbacktype=""Response"" linkrefid=""qti_feedback_trigger""/&gt;",""))&amp;"&lt;/respcondition&gt;",""))),"")</f>
      </c>
      <c r="AP15" s="46">
        <f>IF($B15,IF(R15="","",IF($C15="qcu",IF(OR(Z15,AZ15&lt;&gt;"",$AS15&lt;&gt;""),"      &lt;respcondition continue=""Yes""&gt;&lt;conditionvar&gt;&lt;varequal respident=""RESPONSE""&gt;6&lt;/varequal&gt;&lt;/conditionvar&gt;"&amp;"&lt;setvar action=""Add""&gt;"&amp;IF(Z15,$H15,0)&amp;"&lt;/setvar&gt;"&amp;IF(AZ15&lt;&gt;"","&lt;displayfeedback feedbacktype=""Response"" linkrefid=""response_6""/&gt;",IF($AS15&lt;&gt;"","&lt;displayfeedback feedbacktype=""Response"" linkrefid=""qti_feedback_trigger""/&gt;",""))&amp;"&lt;/respcondition&gt;",""),IF(OR(Z15,AZ15&lt;&gt;"",$AS15&lt;&gt;""),"      &lt;respcondition continue=""Yes""&gt;&lt;conditionvar&gt;"&amp;IF(Z15,"&lt;varequal respident=""RESPONSE""&gt;6&lt;/varequal&gt;","&lt;not&gt;&lt;varequal respident=""RESPONSE""&gt;6&lt;/varequal&gt;&lt;/not&gt;")&amp;"&lt;/conditionvar&gt;&lt;setvar action=""Add""&gt;"&amp;(Saisie_Questions!$N15/$I15)&amp;"&lt;/setvar&gt;"&amp;IF(AZ15&lt;&gt;"","&lt;displayfeedback feedbacktype=""Response"" linkrefid=""response_6""/&gt;",IF($AS15&lt;&gt;"","&lt;displayfeedback feedbacktype=""Response"" linkrefid=""qti_feedback_trigger""/&gt;",""))&amp;"&lt;/respcondition&gt;",""))),"")</f>
      </c>
      <c r="AQ15" s="46">
        <f>IF($B15,IF(S15="","",IF($C15="qcu",IF(OR(AA15,BA15&lt;&gt;"",$AS15&lt;&gt;""),"      &lt;respcondition continue=""Yes""&gt;&lt;conditionvar&gt;&lt;varequal respident=""RESPONSE""&gt;7&lt;/varequal&gt;&lt;/conditionvar&gt;"&amp;"&lt;setvar action=""Add""&gt;"&amp;IF(AA15,$H15,0)&amp;"&lt;/setvar&gt;"&amp;IF(BA15&lt;&gt;"","&lt;displayfeedback feedbacktype=""Response"" linkrefid=""response_7""/&gt;",IF($AS15&lt;&gt;"","&lt;displayfeedback feedbacktype=""Response"" linkrefid=""qti_feedback_trigger""/&gt;",""))&amp;"&lt;/respcondition&gt;",""),IF(OR(AA15,BA15&lt;&gt;"",$AS15&lt;&gt;""),"      &lt;respcondition continue=""Yes""&gt;&lt;conditionvar&gt;"&amp;IF(AA15,"&lt;varequal respident=""RESPONSE""&gt;7&lt;/varequal&gt;","&lt;not&gt;&lt;varequal respident=""RESPONSE""&gt;7&lt;/varequal&gt;&lt;/not&gt;")&amp;"&lt;/conditionvar&gt;&lt;setvar action=""Add""&gt;"&amp;(Saisie_Questions!$N15/$I15)&amp;"&lt;/setvar&gt;"&amp;IF(BA15&lt;&gt;"","&lt;displayfeedback feedbacktype=""Response"" linkrefid=""response_7""/&gt;",IF($AS15&lt;&gt;"","&lt;displayfeedback feedbacktype=""Response"" linkrefid=""qti_feedback_trigger""/&gt;",""))&amp;"&lt;/respcondition&gt;",""))),"")</f>
      </c>
      <c r="AR15" s="46">
        <f>IF(A15="","",SUBSTITUTE(SUBSTITUTE(SUBSTITUTE(SUBSTITUTE(SUBSTITUTE(IF(Saisie_Questions!P15&lt;&gt;"",Saisie_Questions!P15,Interface_Generation!$B$5),"&amp;","&amp;amp;"),"&lt;","&amp;lt;"),"&gt;","&amp;gt;"),CHAR(34),"&amp;quot;"),"'","&amp;apos;"))</f>
        <v/>
      </c>
      <c r="AS15" s="46">
        <f>IF(Saisie_Questions!Q15="","",SUBSTITUTE(SUBSTITUTE(SUBSTITUTE(SUBSTITUTE(SUBSTITUTE(Saisie_Questions!Q15,"&amp;","&amp;amp;"),"&lt;","&amp;lt;"),"&gt;","&amp;gt;"),CHAR(34),"&amp;quot;"),"'","&amp;apos;"))</f>
        <v/>
      </c>
      <c r="AT15" s="46">
        <f>IF(Saisie_Questions!R15="","",SUBSTITUTE(SUBSTITUTE(SUBSTITUTE(SUBSTITUTE(SUBSTITUTE(Saisie_Questions!R15,"&amp;","&amp;amp;"),"&lt;","&amp;lt;"),"&gt;","&amp;gt;"),CHAR(34),"&amp;quot;"),"'","&amp;apos;"))</f>
        <v/>
      </c>
      <c r="AU15" s="46">
        <f>IF(Saisie_Questions!S15="","",SUBSTITUTE(SUBSTITUTE(SUBSTITUTE(SUBSTITUTE(SUBSTITUTE(Saisie_Questions!S15,"&amp;","&amp;amp;"),"&lt;","&amp;lt;"),"&gt;","&amp;gt;"),CHAR(34),"&amp;quot;"),"'","&amp;apos;"))</f>
        <v/>
      </c>
      <c r="AV15" s="46">
        <f>IF(Saisie_Questions!T15="","",SUBSTITUTE(SUBSTITUTE(SUBSTITUTE(SUBSTITUTE(SUBSTITUTE(Saisie_Questions!T15,"&amp;","&amp;amp;"),"&lt;","&amp;lt;"),"&gt;","&amp;gt;"),CHAR(34),"&amp;quot;"),"'","&amp;apos;"))</f>
        <v/>
      </c>
      <c r="AW15" s="46">
        <f>IF(Saisie_Questions!U15="","",SUBSTITUTE(SUBSTITUTE(SUBSTITUTE(SUBSTITUTE(SUBSTITUTE(Saisie_Questions!U15,"&amp;","&amp;amp;"),"&lt;","&amp;lt;"),"&gt;","&amp;gt;"),CHAR(34),"&amp;quot;"),"'","&amp;apos;"))</f>
        <v/>
      </c>
      <c r="AX15" s="46">
        <f>IF(Saisie_Questions!V15="","",SUBSTITUTE(SUBSTITUTE(SUBSTITUTE(SUBSTITUTE(SUBSTITUTE(Saisie_Questions!V15,"&amp;","&amp;amp;"),"&lt;","&amp;lt;"),"&gt;","&amp;gt;"),CHAR(34),"&amp;quot;"),"'","&amp;apos;"))</f>
        <v/>
      </c>
      <c r="AY15" s="46">
        <f>IF(Saisie_Questions!W15="","",SUBSTITUTE(SUBSTITUTE(SUBSTITUTE(SUBSTITUTE(SUBSTITUTE(Saisie_Questions!W15,"&amp;","&amp;amp;"),"&lt;","&amp;lt;"),"&gt;","&amp;gt;"),CHAR(34),"&amp;quot;"),"'","&amp;apos;"))</f>
        <v/>
      </c>
      <c r="AZ15" s="46">
        <f>IF(Saisie_Questions!X15="","",SUBSTITUTE(SUBSTITUTE(SUBSTITUTE(SUBSTITUTE(SUBSTITUTE(Saisie_Questions!X15,"&amp;","&amp;amp;"),"&lt;","&amp;lt;"),"&gt;","&amp;gt;"),CHAR(34),"&amp;quot;"),"'","&amp;apos;"))</f>
        <v/>
      </c>
      <c r="BA15" s="46">
        <f>IF(Saisie_Questions!Y15="","",SUBSTITUTE(SUBSTITUTE(SUBSTITUTE(SUBSTITUTE(SUBSTITUTE(Saisie_Questions!Y15,"&amp;","&amp;amp;"),"&lt;","&amp;lt;"),"&gt;","&amp;gt;"),CHAR(34),"&amp;quot;"),"'","&amp;apos;"))</f>
        <v/>
      </c>
      <c r="BB15" s="46">
        <f>IF($B15,IF($AS15="","","    &lt;itemfeedback ident=""response_allcorrect"" view=""All""&gt;&lt;flow_mat&gt;&lt;material&gt;&lt;mattext texttype=""text/html""&gt;"&amp;$AS15&amp;"&lt;/mattext&gt;&lt;/material&gt;&lt;/flow_mat&gt;&lt;/itemfeedback&gt;"&amp;"    &lt;itemfeedback ident=""response_onenotcorrect"" view=""All""&gt;&lt;flow_mat&gt;&lt;material&gt;&lt;mattext texttype=""text/html""&gt;"&amp;$AS15&amp;"&lt;/mattext&gt;&lt;/material&gt;&lt;/flow_mat&gt;&lt;/itemfeedback&gt;"),"")</f>
      </c>
      <c r="BC15" s="46">
        <f>IF($B15,IF(AT15="","","    &lt;itemfeedback ident=""response_0"" view=""All""&gt;&lt;flow_mat&gt;&lt;material&gt;&lt;mattext texttype=""text/html""&gt;"&amp;AT15&amp;"&lt;/mattext&gt;&lt;/material&gt;&lt;/flow_mat&gt;&lt;/itemfeedback&gt;"),"")</f>
      </c>
      <c r="BD15" s="46">
        <f>IF($B15,IF(AU15="","","    &lt;itemfeedback ident=""response_1"" view=""All""&gt;&lt;flow_mat&gt;&lt;material&gt;&lt;mattext texttype=""text/html""&gt;"&amp;AU15&amp;"&lt;/mattext&gt;&lt;/material&gt;&lt;/flow_mat&gt;&lt;/itemfeedback&gt;"),"")</f>
      </c>
      <c r="BE15" s="46">
        <f>IF($B15,IF(AV15="","","    &lt;itemfeedback ident=""response_2"" view=""All""&gt;&lt;flow_mat&gt;&lt;material&gt;&lt;mattext texttype=""text/html""&gt;"&amp;AV15&amp;"&lt;/mattext&gt;&lt;/material&gt;&lt;/flow_mat&gt;&lt;/itemfeedback&gt;"),"")</f>
      </c>
      <c r="BF15" s="46">
        <f>IF($B15,IF(AW15="","","    &lt;itemfeedback ident=""response_3"" view=""All""&gt;&lt;flow_mat&gt;&lt;material&gt;&lt;mattext texttype=""text/html""&gt;"&amp;AW15&amp;"&lt;/mattext&gt;&lt;/material&gt;&lt;/flow_mat&gt;&lt;/itemfeedback&gt;"),"")</f>
      </c>
      <c r="BG15" s="46">
        <f>IF($B15,IF(AX15="","","    &lt;itemfeedback ident=""response_4"" view=""All""&gt;&lt;flow_mat&gt;&lt;material&gt;&lt;mattext texttype=""text/html""&gt;"&amp;AX15&amp;"&lt;/mattext&gt;&lt;/material&gt;&lt;/flow_mat&gt;&lt;/itemfeedback&gt;"),"")</f>
      </c>
      <c r="BH15" s="46">
        <f>IF($B15,IF(AY15="","","    &lt;itemfeedback ident=""response_5"" view=""All""&gt;&lt;flow_mat&gt;&lt;material&gt;&lt;mattext texttype=""text/html""&gt;"&amp;AY15&amp;"&lt;/mattext&gt;&lt;/material&gt;&lt;/flow_mat&gt;&lt;/itemfeedback&gt;"),"")</f>
      </c>
      <c r="BI15" s="46">
        <f>IF($B15,IF(AZ15="","","    &lt;itemfeedback ident=""response_6"" view=""All""&gt;&lt;flow_mat&gt;&lt;material&gt;&lt;mattext texttype=""text/html""&gt;"&amp;AZ15&amp;"&lt;/mattext&gt;&lt;/material&gt;&lt;/flow_mat&gt;&lt;/itemfeedback&gt;"),"")</f>
      </c>
      <c r="BJ15" s="46">
        <f>IF($B15,IF(BA15="","","    &lt;itemfeedback ident=""response_7"" view=""All""&gt;&lt;flow_mat&gt;&lt;material&gt;&lt;mattext texttype=""text/html""&gt;"&amp;BA15&amp;"&lt;/mattext&gt;&lt;/material&gt;&lt;/flow_mat&gt;&lt;/itemfeedback&gt;"),"")</f>
      </c>
    </row>
    <row r="16" ht="18" customHeight="1" s="17">
      <c r="A16" s="46">
        <f>Saisie_Questions!A16</f>
        <v/>
      </c>
      <c r="B16" s="46">
        <f>Saisie_Questions!O16="OK"</f>
        <v/>
      </c>
      <c r="C16" s="46">
        <f>LOWER(TRIM(Saisie_Questions!B16))</f>
        <v/>
      </c>
      <c r="D16" s="46">
        <f>IF(C16="qcu","SINGLE CHOICE QUESTION","MULTIPLE CHOICE QUESTION")</f>
        <v/>
      </c>
      <c r="E16" s="46">
        <f>IF(C16="qcu","Single","Multiple")</f>
        <v/>
      </c>
      <c r="F16" s="46">
        <f>IF(A16="","",SUBSTITUTE(SUBSTITUTE(SUBSTITUTE(SUBSTITUTE(SUBSTITUTE(IF(Saisie_Questions!C16="", "Question "&amp;A16, Saisie_Questions!C16),"&amp;","&amp;amp;"),"&lt;","&amp;lt;"),"&gt;","&amp;gt;"),CHAR(34),"&amp;quot;"),"'","&amp;apos;"))</f>
        <v/>
      </c>
      <c r="G16" s="46">
        <f>IF(A16="","",SUBSTITUTE(SUBSTITUTE(SUBSTITUTE(SUBSTITUTE(SUBSTITUTE(Saisie_Questions!D16,"&amp;","&amp;amp;"),"&lt;","&amp;lt;"),"&gt;","&amp;gt;"),CHAR(34),"&amp;quot;"),"'","&amp;apos;"))</f>
        <v/>
      </c>
      <c r="H16" s="46">
        <f>Saisie_Questions!N16</f>
        <v/>
      </c>
      <c r="I16" s="46">
        <f>IF(Saisie_Questions!E16="",0,1)+IF(Saisie_Questions!F16="",0,1)+IF(Saisie_Questions!G16="",0,1)+IF(Saisie_Questions!H16="",0,1)+IF(Saisie_Questions!I16="",0,1)+IF(Saisie_Questions!J16="",0,1)+IF(Saisie_Questions!K16="",0,1)+IF(Saisie_Questions!L16="",0,1)</f>
        <v/>
      </c>
      <c r="J16" s="46">
        <f>Saisie_Questions!M16</f>
        <v/>
      </c>
      <c r="K16" s="46">
        <f>Saisie_Questions!O16</f>
        <v/>
      </c>
      <c r="L16" s="46">
        <f>IF(Saisie_Questions!E16="","",SUBSTITUTE(SUBSTITUTE(SUBSTITUTE(SUBSTITUTE(SUBSTITUTE(Saisie_Questions!E16,"&amp;","&amp;amp;"),"&lt;","&amp;lt;"),"&gt;","&amp;gt;"),CHAR(34),"&amp;quot;"),"'","&amp;apos;"))</f>
        <v/>
      </c>
      <c r="M16" s="46">
        <f>IF(Saisie_Questions!F16="","",SUBSTITUTE(SUBSTITUTE(SUBSTITUTE(SUBSTITUTE(SUBSTITUTE(Saisie_Questions!F16,"&amp;","&amp;amp;"),"&lt;","&amp;lt;"),"&gt;","&amp;gt;"),CHAR(34),"&amp;quot;"),"'","&amp;apos;"))</f>
        <v/>
      </c>
      <c r="N16" s="46">
        <f>IF(Saisie_Questions!G16="","",SUBSTITUTE(SUBSTITUTE(SUBSTITUTE(SUBSTITUTE(SUBSTITUTE(Saisie_Questions!G16,"&amp;","&amp;amp;"),"&lt;","&amp;lt;"),"&gt;","&amp;gt;"),CHAR(34),"&amp;quot;"),"'","&amp;apos;"))</f>
        <v/>
      </c>
      <c r="O16" s="46">
        <f>IF(Saisie_Questions!H16="","",SUBSTITUTE(SUBSTITUTE(SUBSTITUTE(SUBSTITUTE(SUBSTITUTE(Saisie_Questions!H16,"&amp;","&amp;amp;"),"&lt;","&amp;lt;"),"&gt;","&amp;gt;"),CHAR(34),"&amp;quot;"),"'","&amp;apos;"))</f>
        <v/>
      </c>
      <c r="P16" s="46">
        <f>IF(Saisie_Questions!I16="","",SUBSTITUTE(SUBSTITUTE(SUBSTITUTE(SUBSTITUTE(SUBSTITUTE(Saisie_Questions!I16,"&amp;","&amp;amp;"),"&lt;","&amp;lt;"),"&gt;","&amp;gt;"),CHAR(34),"&amp;quot;"),"'","&amp;apos;"))</f>
        <v/>
      </c>
      <c r="Q16" s="46">
        <f>IF(Saisie_Questions!J16="","",SUBSTITUTE(SUBSTITUTE(SUBSTITUTE(SUBSTITUTE(SUBSTITUTE(Saisie_Questions!J16,"&amp;","&amp;amp;"),"&lt;","&amp;lt;"),"&gt;","&amp;gt;"),CHAR(34),"&amp;quot;"),"'","&amp;apos;"))</f>
        <v/>
      </c>
      <c r="R16" s="46">
        <f>IF(Saisie_Questions!K16="","",SUBSTITUTE(SUBSTITUTE(SUBSTITUTE(SUBSTITUTE(SUBSTITUTE(Saisie_Questions!K16,"&amp;","&amp;amp;"),"&lt;","&amp;lt;"),"&gt;","&amp;gt;"),CHAR(34),"&amp;quot;"),"'","&amp;apos;"))</f>
        <v/>
      </c>
      <c r="S16" s="46">
        <f>IF(Saisie_Questions!L16="","",SUBSTITUTE(SUBSTITUTE(SUBSTITUTE(SUBSTITUTE(SUBSTITUTE(Saisie_Questions!L16,"&amp;","&amp;amp;"),"&lt;","&amp;lt;"),"&gt;","&amp;gt;"),CHAR(34),"&amp;quot;"),"'","&amp;apos;"))</f>
        <v/>
      </c>
      <c r="T16" s="46">
        <f>ISNUMBER(SEARCH(";"&amp;1&amp;";",";"&amp;$J16&amp;";"))</f>
        <v/>
      </c>
      <c r="U16" s="46">
        <f>ISNUMBER(SEARCH(";"&amp;2&amp;";",";"&amp;$J16&amp;";"))</f>
        <v/>
      </c>
      <c r="V16" s="46">
        <f>ISNUMBER(SEARCH(";"&amp;3&amp;";",";"&amp;$J16&amp;";"))</f>
        <v/>
      </c>
      <c r="W16" s="46">
        <f>ISNUMBER(SEARCH(";"&amp;4&amp;";",";"&amp;$J16&amp;";"))</f>
        <v/>
      </c>
      <c r="X16" s="46">
        <f>ISNUMBER(SEARCH(";"&amp;5&amp;";",";"&amp;$J16&amp;";"))</f>
        <v/>
      </c>
      <c r="Y16" s="46">
        <f>ISNUMBER(SEARCH(";"&amp;6&amp;";",";"&amp;$J16&amp;";"))</f>
        <v/>
      </c>
      <c r="Z16" s="46">
        <f>ISNUMBER(SEARCH(";"&amp;7&amp;";",";"&amp;$J16&amp;";"))</f>
        <v/>
      </c>
      <c r="AA16" s="46">
        <f>ISNUMBER(SEARCH(";"&amp;8&amp;";",";"&amp;$J16&amp;";"))</f>
        <v/>
      </c>
      <c r="AB16" s="46">
        <f>IF($B16,IF(L16="","","        &lt;response_label ident=""0""&gt;&lt;material&gt;&lt;mattext texttype=""text/html""&gt;"&amp;L16&amp;"&lt;/mattext&gt;&lt;/material&gt;&lt;/response_label&gt;"),"")</f>
        <v/>
      </c>
      <c r="AC16" s="46">
        <f>IF($B16,IF(M16="","","        &lt;response_label ident=""1""&gt;&lt;material&gt;&lt;mattext texttype=""text/html""&gt;"&amp;M16&amp;"&lt;/mattext&gt;&lt;/material&gt;&lt;/response_label&gt;"),"")</f>
        <v/>
      </c>
      <c r="AD16" s="46">
        <f>IF($B16,IF(N16="","","        &lt;response_label ident=""2""&gt;&lt;material&gt;&lt;mattext texttype=""text/html""&gt;"&amp;N16&amp;"&lt;/mattext&gt;&lt;/material&gt;&lt;/response_label&gt;"),"")</f>
        <v/>
      </c>
      <c r="AE16" s="46">
        <f>IF($B16,IF(O16="","","        &lt;response_label ident=""3""&gt;&lt;material&gt;&lt;mattext texttype=""text/html""&gt;"&amp;O16&amp;"&lt;/mattext&gt;&lt;/material&gt;&lt;/response_label&gt;"),"")</f>
        <v/>
      </c>
      <c r="AF16" s="46">
        <f>IF($B16,IF(P16="","","        &lt;response_label ident=""4""&gt;&lt;material&gt;&lt;mattext texttype=""text/html""&gt;"&amp;P16&amp;"&lt;/mattext&gt;&lt;/material&gt;&lt;/response_label&gt;"),"")</f>
        <v/>
      </c>
      <c r="AG16" s="46">
        <f>IF($B16,IF(Q16="","","        &lt;response_label ident=""5""&gt;&lt;material&gt;&lt;mattext texttype=""text/html""&gt;"&amp;Q16&amp;"&lt;/mattext&gt;&lt;/material&gt;&lt;/response_label&gt;"),"")</f>
        <v/>
      </c>
      <c r="AH16" s="46">
        <f>IF($B16,IF(R16="","","        &lt;response_label ident=""6""&gt;&lt;material&gt;&lt;mattext texttype=""text/html""&gt;"&amp;R16&amp;"&lt;/mattext&gt;&lt;/material&gt;&lt;/response_label&gt;"),"")</f>
        <v/>
      </c>
      <c r="AI16" s="46">
        <f>IF($B16,IF(S16="","","        &lt;response_label ident=""7""&gt;&lt;material&gt;&lt;mattext texttype=""text/html""&gt;"&amp;S16&amp;"&lt;/mattext&gt;&lt;/material&gt;&lt;/response_label&gt;"),"")</f>
        <v/>
      </c>
      <c r="AJ16" s="46">
        <f>IF($B16,IF(L16="","",IF($C16="qcu",IF(OR(T16,AT16&lt;&gt;"",$AS16&lt;&gt;""),"      &lt;respcondition continue=""Yes""&gt;&lt;conditionvar&gt;&lt;varequal respident=""RESPONSE""&gt;0&lt;/varequal&gt;&lt;/conditionvar&gt;"&amp;"&lt;setvar action=""Add""&gt;"&amp;IF(T16,$H16,0)&amp;"&lt;/setvar&gt;"&amp;IF(AT16&lt;&gt;"","&lt;displayfeedback feedbacktype=""Response"" linkrefid=""response_0""/&gt;",IF($AS16&lt;&gt;"","&lt;displayfeedback feedbacktype=""Response"" linkrefid=""qti_feedback_trigger""/&gt;",""))&amp;"&lt;/respcondition&gt;",""),IF(OR(T16,AT16&lt;&gt;"",$AS16&lt;&gt;""),"      &lt;respcondition continue=""Yes""&gt;&lt;conditionvar&gt;"&amp;IF(T16,"&lt;varequal respident=""RESPONSE""&gt;0&lt;/varequal&gt;","&lt;not&gt;&lt;varequal respident=""RESPONSE""&gt;0&lt;/varequal&gt;&lt;/not&gt;")&amp;"&lt;/conditionvar&gt;&lt;setvar action=""Add""&gt;"&amp;(Saisie_Questions!$N16/$I16)&amp;"&lt;/setvar&gt;"&amp;IF(AT16&lt;&gt;"","&lt;displayfeedback feedbacktype=""Response"" linkrefid=""response_0""/&gt;",IF($AS16&lt;&gt;"","&lt;displayfeedback feedbacktype=""Response"" linkrefid=""qti_feedback_trigger""/&gt;",""))&amp;"&lt;/respcondition&gt;",""))),"")</f>
      </c>
      <c r="AK16" s="46">
        <f>IF($B16,IF(M16="","",IF($C16="qcu",IF(OR(U16,AU16&lt;&gt;"",$AS16&lt;&gt;""),"      &lt;respcondition continue=""Yes""&gt;&lt;conditionvar&gt;&lt;varequal respident=""RESPONSE""&gt;1&lt;/varequal&gt;&lt;/conditionvar&gt;"&amp;"&lt;setvar action=""Add""&gt;"&amp;IF(U16,$H16,0)&amp;"&lt;/setvar&gt;"&amp;IF(AU16&lt;&gt;"","&lt;displayfeedback feedbacktype=""Response"" linkrefid=""response_1""/&gt;",IF($AS16&lt;&gt;"","&lt;displayfeedback feedbacktype=""Response"" linkrefid=""qti_feedback_trigger""/&gt;",""))&amp;"&lt;/respcondition&gt;",""),IF(OR(U16,AU16&lt;&gt;"",$AS16&lt;&gt;""),"      &lt;respcondition continue=""Yes""&gt;&lt;conditionvar&gt;"&amp;IF(U16,"&lt;varequal respident=""RESPONSE""&gt;1&lt;/varequal&gt;","&lt;not&gt;&lt;varequal respident=""RESPONSE""&gt;1&lt;/varequal&gt;&lt;/not&gt;")&amp;"&lt;/conditionvar&gt;&lt;setvar action=""Add""&gt;"&amp;(Saisie_Questions!$N16/$I16)&amp;"&lt;/setvar&gt;"&amp;IF(AU16&lt;&gt;"","&lt;displayfeedback feedbacktype=""Response"" linkrefid=""response_1""/&gt;",IF($AS16&lt;&gt;"","&lt;displayfeedback feedbacktype=""Response"" linkrefid=""qti_feedback_trigger""/&gt;",""))&amp;"&lt;/respcondition&gt;",""))),"")</f>
      </c>
      <c r="AL16" s="46">
        <f>IF($B16,IF(N16="","",IF($C16="qcu",IF(OR(V16,AV16&lt;&gt;"",$AS16&lt;&gt;""),"      &lt;respcondition continue=""Yes""&gt;&lt;conditionvar&gt;&lt;varequal respident=""RESPONSE""&gt;2&lt;/varequal&gt;&lt;/conditionvar&gt;"&amp;"&lt;setvar action=""Add""&gt;"&amp;IF(V16,$H16,0)&amp;"&lt;/setvar&gt;"&amp;IF(AV16&lt;&gt;"","&lt;displayfeedback feedbacktype=""Response"" linkrefid=""response_2""/&gt;",IF($AS16&lt;&gt;"","&lt;displayfeedback feedbacktype=""Response"" linkrefid=""qti_feedback_trigger""/&gt;",""))&amp;"&lt;/respcondition&gt;",""),IF(OR(V16,AV16&lt;&gt;"",$AS16&lt;&gt;""),"      &lt;respcondition continue=""Yes""&gt;&lt;conditionvar&gt;"&amp;IF(V16,"&lt;varequal respident=""RESPONSE""&gt;2&lt;/varequal&gt;","&lt;not&gt;&lt;varequal respident=""RESPONSE""&gt;2&lt;/varequal&gt;&lt;/not&gt;")&amp;"&lt;/conditionvar&gt;&lt;setvar action=""Add""&gt;"&amp;(Saisie_Questions!$N16/$I16)&amp;"&lt;/setvar&gt;"&amp;IF(AV16&lt;&gt;"","&lt;displayfeedback feedbacktype=""Response"" linkrefid=""response_2""/&gt;",IF($AS16&lt;&gt;"","&lt;displayfeedback feedbacktype=""Response"" linkrefid=""qti_feedback_trigger""/&gt;",""))&amp;"&lt;/respcondition&gt;",""))),"")</f>
      </c>
      <c r="AM16" s="46">
        <f>IF($B16,IF(O16="","",IF($C16="qcu",IF(OR(W16,AW16&lt;&gt;"",$AS16&lt;&gt;""),"      &lt;respcondition continue=""Yes""&gt;&lt;conditionvar&gt;&lt;varequal respident=""RESPONSE""&gt;3&lt;/varequal&gt;&lt;/conditionvar&gt;"&amp;"&lt;setvar action=""Add""&gt;"&amp;IF(W16,$H16,0)&amp;"&lt;/setvar&gt;"&amp;IF(AW16&lt;&gt;"","&lt;displayfeedback feedbacktype=""Response"" linkrefid=""response_3""/&gt;",IF($AS16&lt;&gt;"","&lt;displayfeedback feedbacktype=""Response"" linkrefid=""qti_feedback_trigger""/&gt;",""))&amp;"&lt;/respcondition&gt;",""),IF(OR(W16,AW16&lt;&gt;"",$AS16&lt;&gt;""),"      &lt;respcondition continue=""Yes""&gt;&lt;conditionvar&gt;"&amp;IF(W16,"&lt;varequal respident=""RESPONSE""&gt;3&lt;/varequal&gt;","&lt;not&gt;&lt;varequal respident=""RESPONSE""&gt;3&lt;/varequal&gt;&lt;/not&gt;")&amp;"&lt;/conditionvar&gt;&lt;setvar action=""Add""&gt;"&amp;(Saisie_Questions!$N16/$I16)&amp;"&lt;/setvar&gt;"&amp;IF(AW16&lt;&gt;"","&lt;displayfeedback feedbacktype=""Response"" linkrefid=""response_3""/&gt;",IF($AS16&lt;&gt;"","&lt;displayfeedback feedbacktype=""Response"" linkrefid=""qti_feedback_trigger""/&gt;",""))&amp;"&lt;/respcondition&gt;",""))),"")</f>
      </c>
      <c r="AN16" s="46">
        <f>IF($B16,IF(P16="","",IF($C16="qcu",IF(OR(X16,AX16&lt;&gt;"",$AS16&lt;&gt;""),"      &lt;respcondition continue=""Yes""&gt;&lt;conditionvar&gt;&lt;varequal respident=""RESPONSE""&gt;4&lt;/varequal&gt;&lt;/conditionvar&gt;"&amp;"&lt;setvar action=""Add""&gt;"&amp;IF(X16,$H16,0)&amp;"&lt;/setvar&gt;"&amp;IF(AX16&lt;&gt;"","&lt;displayfeedback feedbacktype=""Response"" linkrefid=""response_4""/&gt;",IF($AS16&lt;&gt;"","&lt;displayfeedback feedbacktype=""Response"" linkrefid=""qti_feedback_trigger""/&gt;",""))&amp;"&lt;/respcondition&gt;",""),IF(OR(X16,AX16&lt;&gt;"",$AS16&lt;&gt;""),"      &lt;respcondition continue=""Yes""&gt;&lt;conditionvar&gt;"&amp;IF(X16,"&lt;varequal respident=""RESPONSE""&gt;4&lt;/varequal&gt;","&lt;not&gt;&lt;varequal respident=""RESPONSE""&gt;4&lt;/varequal&gt;&lt;/not&gt;")&amp;"&lt;/conditionvar&gt;&lt;setvar action=""Add""&gt;"&amp;(Saisie_Questions!$N16/$I16)&amp;"&lt;/setvar&gt;"&amp;IF(AX16&lt;&gt;"","&lt;displayfeedback feedbacktype=""Response"" linkrefid=""response_4""/&gt;",IF($AS16&lt;&gt;"","&lt;displayfeedback feedbacktype=""Response"" linkrefid=""qti_feedback_trigger""/&gt;",""))&amp;"&lt;/respcondition&gt;",""))),"")</f>
      </c>
      <c r="AO16" s="46">
        <f>IF($B16,IF(Q16="","",IF($C16="qcu",IF(OR(Y16,AY16&lt;&gt;"",$AS16&lt;&gt;""),"      &lt;respcondition continue=""Yes""&gt;&lt;conditionvar&gt;&lt;varequal respident=""RESPONSE""&gt;5&lt;/varequal&gt;&lt;/conditionvar&gt;"&amp;"&lt;setvar action=""Add""&gt;"&amp;IF(Y16,$H16,0)&amp;"&lt;/setvar&gt;"&amp;IF(AY16&lt;&gt;"","&lt;displayfeedback feedbacktype=""Response"" linkrefid=""response_5""/&gt;",IF($AS16&lt;&gt;"","&lt;displayfeedback feedbacktype=""Response"" linkrefid=""qti_feedback_trigger""/&gt;",""))&amp;"&lt;/respcondition&gt;",""),IF(OR(Y16,AY16&lt;&gt;"",$AS16&lt;&gt;""),"      &lt;respcondition continue=""Yes""&gt;&lt;conditionvar&gt;"&amp;IF(Y16,"&lt;varequal respident=""RESPONSE""&gt;5&lt;/varequal&gt;","&lt;not&gt;&lt;varequal respident=""RESPONSE""&gt;5&lt;/varequal&gt;&lt;/not&gt;")&amp;"&lt;/conditionvar&gt;&lt;setvar action=""Add""&gt;"&amp;(Saisie_Questions!$N16/$I16)&amp;"&lt;/setvar&gt;"&amp;IF(AY16&lt;&gt;"","&lt;displayfeedback feedbacktype=""Response"" linkrefid=""response_5""/&gt;",IF($AS16&lt;&gt;"","&lt;displayfeedback feedbacktype=""Response"" linkrefid=""qti_feedback_trigger""/&gt;",""))&amp;"&lt;/respcondition&gt;",""))),"")</f>
      </c>
      <c r="AP16" s="46">
        <f>IF($B16,IF(R16="","",IF($C16="qcu",IF(OR(Z16,AZ16&lt;&gt;"",$AS16&lt;&gt;""),"      &lt;respcondition continue=""Yes""&gt;&lt;conditionvar&gt;&lt;varequal respident=""RESPONSE""&gt;6&lt;/varequal&gt;&lt;/conditionvar&gt;"&amp;"&lt;setvar action=""Add""&gt;"&amp;IF(Z16,$H16,0)&amp;"&lt;/setvar&gt;"&amp;IF(AZ16&lt;&gt;"","&lt;displayfeedback feedbacktype=""Response"" linkrefid=""response_6""/&gt;",IF($AS16&lt;&gt;"","&lt;displayfeedback feedbacktype=""Response"" linkrefid=""qti_feedback_trigger""/&gt;",""))&amp;"&lt;/respcondition&gt;",""),IF(OR(Z16,AZ16&lt;&gt;"",$AS16&lt;&gt;""),"      &lt;respcondition continue=""Yes""&gt;&lt;conditionvar&gt;"&amp;IF(Z16,"&lt;varequal respident=""RESPONSE""&gt;6&lt;/varequal&gt;","&lt;not&gt;&lt;varequal respident=""RESPONSE""&gt;6&lt;/varequal&gt;&lt;/not&gt;")&amp;"&lt;/conditionvar&gt;&lt;setvar action=""Add""&gt;"&amp;(Saisie_Questions!$N16/$I16)&amp;"&lt;/setvar&gt;"&amp;IF(AZ16&lt;&gt;"","&lt;displayfeedback feedbacktype=""Response"" linkrefid=""response_6""/&gt;",IF($AS16&lt;&gt;"","&lt;displayfeedback feedbacktype=""Response"" linkrefid=""qti_feedback_trigger""/&gt;",""))&amp;"&lt;/respcondition&gt;",""))),"")</f>
      </c>
      <c r="AQ16" s="46">
        <f>IF($B16,IF(S16="","",IF($C16="qcu",IF(OR(AA16,BA16&lt;&gt;"",$AS16&lt;&gt;""),"      &lt;respcondition continue=""Yes""&gt;&lt;conditionvar&gt;&lt;varequal respident=""RESPONSE""&gt;7&lt;/varequal&gt;&lt;/conditionvar&gt;"&amp;"&lt;setvar action=""Add""&gt;"&amp;IF(AA16,$H16,0)&amp;"&lt;/setvar&gt;"&amp;IF(BA16&lt;&gt;"","&lt;displayfeedback feedbacktype=""Response"" linkrefid=""response_7""/&gt;",IF($AS16&lt;&gt;"","&lt;displayfeedback feedbacktype=""Response"" linkrefid=""qti_feedback_trigger""/&gt;",""))&amp;"&lt;/respcondition&gt;",""),IF(OR(AA16,BA16&lt;&gt;"",$AS16&lt;&gt;""),"      &lt;respcondition continue=""Yes""&gt;&lt;conditionvar&gt;"&amp;IF(AA16,"&lt;varequal respident=""RESPONSE""&gt;7&lt;/varequal&gt;","&lt;not&gt;&lt;varequal respident=""RESPONSE""&gt;7&lt;/varequal&gt;&lt;/not&gt;")&amp;"&lt;/conditionvar&gt;&lt;setvar action=""Add""&gt;"&amp;(Saisie_Questions!$N16/$I16)&amp;"&lt;/setvar&gt;"&amp;IF(BA16&lt;&gt;"","&lt;displayfeedback feedbacktype=""Response"" linkrefid=""response_7""/&gt;",IF($AS16&lt;&gt;"","&lt;displayfeedback feedbacktype=""Response"" linkrefid=""qti_feedback_trigger""/&gt;",""))&amp;"&lt;/respcondition&gt;",""))),"")</f>
      </c>
      <c r="AR16" s="46">
        <f>IF(A16="","",SUBSTITUTE(SUBSTITUTE(SUBSTITUTE(SUBSTITUTE(SUBSTITUTE(IF(Saisie_Questions!P16&lt;&gt;"",Saisie_Questions!P16,Interface_Generation!$B$5),"&amp;","&amp;amp;"),"&lt;","&amp;lt;"),"&gt;","&amp;gt;"),CHAR(34),"&amp;quot;"),"'","&amp;apos;"))</f>
        <v/>
      </c>
      <c r="AS16" s="46">
        <f>IF(Saisie_Questions!Q16="","",SUBSTITUTE(SUBSTITUTE(SUBSTITUTE(SUBSTITUTE(SUBSTITUTE(Saisie_Questions!Q16,"&amp;","&amp;amp;"),"&lt;","&amp;lt;"),"&gt;","&amp;gt;"),CHAR(34),"&amp;quot;"),"'","&amp;apos;"))</f>
        <v/>
      </c>
      <c r="AT16" s="46">
        <f>IF(Saisie_Questions!R16="","",SUBSTITUTE(SUBSTITUTE(SUBSTITUTE(SUBSTITUTE(SUBSTITUTE(Saisie_Questions!R16,"&amp;","&amp;amp;"),"&lt;","&amp;lt;"),"&gt;","&amp;gt;"),CHAR(34),"&amp;quot;"),"'","&amp;apos;"))</f>
        <v/>
      </c>
      <c r="AU16" s="46">
        <f>IF(Saisie_Questions!S16="","",SUBSTITUTE(SUBSTITUTE(SUBSTITUTE(SUBSTITUTE(SUBSTITUTE(Saisie_Questions!S16,"&amp;","&amp;amp;"),"&lt;","&amp;lt;"),"&gt;","&amp;gt;"),CHAR(34),"&amp;quot;"),"'","&amp;apos;"))</f>
        <v/>
      </c>
      <c r="AV16" s="46">
        <f>IF(Saisie_Questions!T16="","",SUBSTITUTE(SUBSTITUTE(SUBSTITUTE(SUBSTITUTE(SUBSTITUTE(Saisie_Questions!T16,"&amp;","&amp;amp;"),"&lt;","&amp;lt;"),"&gt;","&amp;gt;"),CHAR(34),"&amp;quot;"),"'","&amp;apos;"))</f>
        <v/>
      </c>
      <c r="AW16" s="46">
        <f>IF(Saisie_Questions!U16="","",SUBSTITUTE(SUBSTITUTE(SUBSTITUTE(SUBSTITUTE(SUBSTITUTE(Saisie_Questions!U16,"&amp;","&amp;amp;"),"&lt;","&amp;lt;"),"&gt;","&amp;gt;"),CHAR(34),"&amp;quot;"),"'","&amp;apos;"))</f>
        <v/>
      </c>
      <c r="AX16" s="46">
        <f>IF(Saisie_Questions!V16="","",SUBSTITUTE(SUBSTITUTE(SUBSTITUTE(SUBSTITUTE(SUBSTITUTE(Saisie_Questions!V16,"&amp;","&amp;amp;"),"&lt;","&amp;lt;"),"&gt;","&amp;gt;"),CHAR(34),"&amp;quot;"),"'","&amp;apos;"))</f>
        <v/>
      </c>
      <c r="AY16" s="46">
        <f>IF(Saisie_Questions!W16="","",SUBSTITUTE(SUBSTITUTE(SUBSTITUTE(SUBSTITUTE(SUBSTITUTE(Saisie_Questions!W16,"&amp;","&amp;amp;"),"&lt;","&amp;lt;"),"&gt;","&amp;gt;"),CHAR(34),"&amp;quot;"),"'","&amp;apos;"))</f>
        <v/>
      </c>
      <c r="AZ16" s="46">
        <f>IF(Saisie_Questions!X16="","",SUBSTITUTE(SUBSTITUTE(SUBSTITUTE(SUBSTITUTE(SUBSTITUTE(Saisie_Questions!X16,"&amp;","&amp;amp;"),"&lt;","&amp;lt;"),"&gt;","&amp;gt;"),CHAR(34),"&amp;quot;"),"'","&amp;apos;"))</f>
        <v/>
      </c>
      <c r="BA16" s="46">
        <f>IF(Saisie_Questions!Y16="","",SUBSTITUTE(SUBSTITUTE(SUBSTITUTE(SUBSTITUTE(SUBSTITUTE(Saisie_Questions!Y16,"&amp;","&amp;amp;"),"&lt;","&amp;lt;"),"&gt;","&amp;gt;"),CHAR(34),"&amp;quot;"),"'","&amp;apos;"))</f>
        <v/>
      </c>
      <c r="BB16" s="46">
        <f>IF($B16,IF($AS16="","","    &lt;itemfeedback ident=""response_allcorrect"" view=""All""&gt;&lt;flow_mat&gt;&lt;material&gt;&lt;mattext texttype=""text/html""&gt;"&amp;$AS16&amp;"&lt;/mattext&gt;&lt;/material&gt;&lt;/flow_mat&gt;&lt;/itemfeedback&gt;"&amp;"    &lt;itemfeedback ident=""response_onenotcorrect"" view=""All""&gt;&lt;flow_mat&gt;&lt;material&gt;&lt;mattext texttype=""text/html""&gt;"&amp;$AS16&amp;"&lt;/mattext&gt;&lt;/material&gt;&lt;/flow_mat&gt;&lt;/itemfeedback&gt;"),"")</f>
      </c>
      <c r="BC16" s="46">
        <f>IF($B16,IF(AT16="","","    &lt;itemfeedback ident=""response_0"" view=""All""&gt;&lt;flow_mat&gt;&lt;material&gt;&lt;mattext texttype=""text/html""&gt;"&amp;AT16&amp;"&lt;/mattext&gt;&lt;/material&gt;&lt;/flow_mat&gt;&lt;/itemfeedback&gt;"),"")</f>
      </c>
      <c r="BD16" s="46">
        <f>IF($B16,IF(AU16="","","    &lt;itemfeedback ident=""response_1"" view=""All""&gt;&lt;flow_mat&gt;&lt;material&gt;&lt;mattext texttype=""text/html""&gt;"&amp;AU16&amp;"&lt;/mattext&gt;&lt;/material&gt;&lt;/flow_mat&gt;&lt;/itemfeedback&gt;"),"")</f>
      </c>
      <c r="BE16" s="46">
        <f>IF($B16,IF(AV16="","","    &lt;itemfeedback ident=""response_2"" view=""All""&gt;&lt;flow_mat&gt;&lt;material&gt;&lt;mattext texttype=""text/html""&gt;"&amp;AV16&amp;"&lt;/mattext&gt;&lt;/material&gt;&lt;/flow_mat&gt;&lt;/itemfeedback&gt;"),"")</f>
      </c>
      <c r="BF16" s="46">
        <f>IF($B16,IF(AW16="","","    &lt;itemfeedback ident=""response_3"" view=""All""&gt;&lt;flow_mat&gt;&lt;material&gt;&lt;mattext texttype=""text/html""&gt;"&amp;AW16&amp;"&lt;/mattext&gt;&lt;/material&gt;&lt;/flow_mat&gt;&lt;/itemfeedback&gt;"),"")</f>
      </c>
      <c r="BG16" s="46">
        <f>IF($B16,IF(AX16="","","    &lt;itemfeedback ident=""response_4"" view=""All""&gt;&lt;flow_mat&gt;&lt;material&gt;&lt;mattext texttype=""text/html""&gt;"&amp;AX16&amp;"&lt;/mattext&gt;&lt;/material&gt;&lt;/flow_mat&gt;&lt;/itemfeedback&gt;"),"")</f>
      </c>
      <c r="BH16" s="46">
        <f>IF($B16,IF(AY16="","","    &lt;itemfeedback ident=""response_5"" view=""All""&gt;&lt;flow_mat&gt;&lt;material&gt;&lt;mattext texttype=""text/html""&gt;"&amp;AY16&amp;"&lt;/mattext&gt;&lt;/material&gt;&lt;/flow_mat&gt;&lt;/itemfeedback&gt;"),"")</f>
      </c>
      <c r="BI16" s="46">
        <f>IF($B16,IF(AZ16="","","    &lt;itemfeedback ident=""response_6"" view=""All""&gt;&lt;flow_mat&gt;&lt;material&gt;&lt;mattext texttype=""text/html""&gt;"&amp;AZ16&amp;"&lt;/mattext&gt;&lt;/material&gt;&lt;/flow_mat&gt;&lt;/itemfeedback&gt;"),"")</f>
      </c>
      <c r="BJ16" s="46">
        <f>IF($B16,IF(BA16="","","    &lt;itemfeedback ident=""response_7"" view=""All""&gt;&lt;flow_mat&gt;&lt;material&gt;&lt;mattext texttype=""text/html""&gt;"&amp;BA16&amp;"&lt;/mattext&gt;&lt;/material&gt;&lt;/flow_mat&gt;&lt;/itemfeedback&gt;"),"")</f>
      </c>
    </row>
    <row r="17" ht="18" customHeight="1" s="17">
      <c r="A17" s="46">
        <f>Saisie_Questions!A17</f>
        <v/>
      </c>
      <c r="B17" s="46">
        <f>Saisie_Questions!O17="OK"</f>
        <v/>
      </c>
      <c r="C17" s="46">
        <f>LOWER(TRIM(Saisie_Questions!B17))</f>
        <v/>
      </c>
      <c r="D17" s="46">
        <f>IF(C17="qcu","SINGLE CHOICE QUESTION","MULTIPLE CHOICE QUESTION")</f>
        <v/>
      </c>
      <c r="E17" s="46">
        <f>IF(C17="qcu","Single","Multiple")</f>
        <v/>
      </c>
      <c r="F17" s="46">
        <f>IF(A17="","",SUBSTITUTE(SUBSTITUTE(SUBSTITUTE(SUBSTITUTE(SUBSTITUTE(IF(Saisie_Questions!C17="", "Question "&amp;A17, Saisie_Questions!C17),"&amp;","&amp;amp;"),"&lt;","&amp;lt;"),"&gt;","&amp;gt;"),CHAR(34),"&amp;quot;"),"'","&amp;apos;"))</f>
        <v/>
      </c>
      <c r="G17" s="46">
        <f>IF(A17="","",SUBSTITUTE(SUBSTITUTE(SUBSTITUTE(SUBSTITUTE(SUBSTITUTE(Saisie_Questions!D17,"&amp;","&amp;amp;"),"&lt;","&amp;lt;"),"&gt;","&amp;gt;"),CHAR(34),"&amp;quot;"),"'","&amp;apos;"))</f>
        <v/>
      </c>
      <c r="H17" s="46">
        <f>Saisie_Questions!N17</f>
        <v/>
      </c>
      <c r="I17" s="46">
        <f>IF(Saisie_Questions!E17="",0,1)+IF(Saisie_Questions!F17="",0,1)+IF(Saisie_Questions!G17="",0,1)+IF(Saisie_Questions!H17="",0,1)+IF(Saisie_Questions!I17="",0,1)+IF(Saisie_Questions!J17="",0,1)+IF(Saisie_Questions!K17="",0,1)+IF(Saisie_Questions!L17="",0,1)</f>
        <v/>
      </c>
      <c r="J17" s="46">
        <f>Saisie_Questions!M17</f>
        <v/>
      </c>
      <c r="K17" s="46">
        <f>Saisie_Questions!O17</f>
        <v/>
      </c>
      <c r="L17" s="46">
        <f>IF(Saisie_Questions!E17="","",SUBSTITUTE(SUBSTITUTE(SUBSTITUTE(SUBSTITUTE(SUBSTITUTE(Saisie_Questions!E17,"&amp;","&amp;amp;"),"&lt;","&amp;lt;"),"&gt;","&amp;gt;"),CHAR(34),"&amp;quot;"),"'","&amp;apos;"))</f>
        <v/>
      </c>
      <c r="M17" s="46">
        <f>IF(Saisie_Questions!F17="","",SUBSTITUTE(SUBSTITUTE(SUBSTITUTE(SUBSTITUTE(SUBSTITUTE(Saisie_Questions!F17,"&amp;","&amp;amp;"),"&lt;","&amp;lt;"),"&gt;","&amp;gt;"),CHAR(34),"&amp;quot;"),"'","&amp;apos;"))</f>
        <v/>
      </c>
      <c r="N17" s="46">
        <f>IF(Saisie_Questions!G17="","",SUBSTITUTE(SUBSTITUTE(SUBSTITUTE(SUBSTITUTE(SUBSTITUTE(Saisie_Questions!G17,"&amp;","&amp;amp;"),"&lt;","&amp;lt;"),"&gt;","&amp;gt;"),CHAR(34),"&amp;quot;"),"'","&amp;apos;"))</f>
        <v/>
      </c>
      <c r="O17" s="46">
        <f>IF(Saisie_Questions!H17="","",SUBSTITUTE(SUBSTITUTE(SUBSTITUTE(SUBSTITUTE(SUBSTITUTE(Saisie_Questions!H17,"&amp;","&amp;amp;"),"&lt;","&amp;lt;"),"&gt;","&amp;gt;"),CHAR(34),"&amp;quot;"),"'","&amp;apos;"))</f>
        <v/>
      </c>
      <c r="P17" s="46">
        <f>IF(Saisie_Questions!I17="","",SUBSTITUTE(SUBSTITUTE(SUBSTITUTE(SUBSTITUTE(SUBSTITUTE(Saisie_Questions!I17,"&amp;","&amp;amp;"),"&lt;","&amp;lt;"),"&gt;","&amp;gt;"),CHAR(34),"&amp;quot;"),"'","&amp;apos;"))</f>
        <v/>
      </c>
      <c r="Q17" s="46">
        <f>IF(Saisie_Questions!J17="","",SUBSTITUTE(SUBSTITUTE(SUBSTITUTE(SUBSTITUTE(SUBSTITUTE(Saisie_Questions!J17,"&amp;","&amp;amp;"),"&lt;","&amp;lt;"),"&gt;","&amp;gt;"),CHAR(34),"&amp;quot;"),"'","&amp;apos;"))</f>
        <v/>
      </c>
      <c r="R17" s="46">
        <f>IF(Saisie_Questions!K17="","",SUBSTITUTE(SUBSTITUTE(SUBSTITUTE(SUBSTITUTE(SUBSTITUTE(Saisie_Questions!K17,"&amp;","&amp;amp;"),"&lt;","&amp;lt;"),"&gt;","&amp;gt;"),CHAR(34),"&amp;quot;"),"'","&amp;apos;"))</f>
        <v/>
      </c>
      <c r="S17" s="46">
        <f>IF(Saisie_Questions!L17="","",SUBSTITUTE(SUBSTITUTE(SUBSTITUTE(SUBSTITUTE(SUBSTITUTE(Saisie_Questions!L17,"&amp;","&amp;amp;"),"&lt;","&amp;lt;"),"&gt;","&amp;gt;"),CHAR(34),"&amp;quot;"),"'","&amp;apos;"))</f>
        <v/>
      </c>
      <c r="T17" s="46">
        <f>ISNUMBER(SEARCH(";"&amp;1&amp;";",";"&amp;$J17&amp;";"))</f>
        <v/>
      </c>
      <c r="U17" s="46">
        <f>ISNUMBER(SEARCH(";"&amp;2&amp;";",";"&amp;$J17&amp;";"))</f>
        <v/>
      </c>
      <c r="V17" s="46">
        <f>ISNUMBER(SEARCH(";"&amp;3&amp;";",";"&amp;$J17&amp;";"))</f>
        <v/>
      </c>
      <c r="W17" s="46">
        <f>ISNUMBER(SEARCH(";"&amp;4&amp;";",";"&amp;$J17&amp;";"))</f>
        <v/>
      </c>
      <c r="X17" s="46">
        <f>ISNUMBER(SEARCH(";"&amp;5&amp;";",";"&amp;$J17&amp;";"))</f>
        <v/>
      </c>
      <c r="Y17" s="46">
        <f>ISNUMBER(SEARCH(";"&amp;6&amp;";",";"&amp;$J17&amp;";"))</f>
        <v/>
      </c>
      <c r="Z17" s="46">
        <f>ISNUMBER(SEARCH(";"&amp;7&amp;";",";"&amp;$J17&amp;";"))</f>
        <v/>
      </c>
      <c r="AA17" s="46">
        <f>ISNUMBER(SEARCH(";"&amp;8&amp;";",";"&amp;$J17&amp;";"))</f>
        <v/>
      </c>
      <c r="AB17" s="46">
        <f>IF($B17,IF(L17="","","        &lt;response_label ident=""0""&gt;&lt;material&gt;&lt;mattext texttype=""text/html""&gt;"&amp;L17&amp;"&lt;/mattext&gt;&lt;/material&gt;&lt;/response_label&gt;"),"")</f>
        <v/>
      </c>
      <c r="AC17" s="46">
        <f>IF($B17,IF(M17="","","        &lt;response_label ident=""1""&gt;&lt;material&gt;&lt;mattext texttype=""text/html""&gt;"&amp;M17&amp;"&lt;/mattext&gt;&lt;/material&gt;&lt;/response_label&gt;"),"")</f>
        <v/>
      </c>
      <c r="AD17" s="46">
        <f>IF($B17,IF(N17="","","        &lt;response_label ident=""2""&gt;&lt;material&gt;&lt;mattext texttype=""text/html""&gt;"&amp;N17&amp;"&lt;/mattext&gt;&lt;/material&gt;&lt;/response_label&gt;"),"")</f>
        <v/>
      </c>
      <c r="AE17" s="46">
        <f>IF($B17,IF(O17="","","        &lt;response_label ident=""3""&gt;&lt;material&gt;&lt;mattext texttype=""text/html""&gt;"&amp;O17&amp;"&lt;/mattext&gt;&lt;/material&gt;&lt;/response_label&gt;"),"")</f>
        <v/>
      </c>
      <c r="AF17" s="46">
        <f>IF($B17,IF(P17="","","        &lt;response_label ident=""4""&gt;&lt;material&gt;&lt;mattext texttype=""text/html""&gt;"&amp;P17&amp;"&lt;/mattext&gt;&lt;/material&gt;&lt;/response_label&gt;"),"")</f>
        <v/>
      </c>
      <c r="AG17" s="46">
        <f>IF($B17,IF(Q17="","","        &lt;response_label ident=""5""&gt;&lt;material&gt;&lt;mattext texttype=""text/html""&gt;"&amp;Q17&amp;"&lt;/mattext&gt;&lt;/material&gt;&lt;/response_label&gt;"),"")</f>
        <v/>
      </c>
      <c r="AH17" s="46">
        <f>IF($B17,IF(R17="","","        &lt;response_label ident=""6""&gt;&lt;material&gt;&lt;mattext texttype=""text/html""&gt;"&amp;R17&amp;"&lt;/mattext&gt;&lt;/material&gt;&lt;/response_label&gt;"),"")</f>
        <v/>
      </c>
      <c r="AI17" s="46">
        <f>IF($B17,IF(S17="","","        &lt;response_label ident=""7""&gt;&lt;material&gt;&lt;mattext texttype=""text/html""&gt;"&amp;S17&amp;"&lt;/mattext&gt;&lt;/material&gt;&lt;/response_label&gt;"),"")</f>
        <v/>
      </c>
      <c r="AJ17" s="46">
        <f>IF($B17,IF(L17="","",IF($C17="qcu",IF(OR(T17,AT17&lt;&gt;"",$AS17&lt;&gt;""),"      &lt;respcondition continue=""Yes""&gt;&lt;conditionvar&gt;&lt;varequal respident=""RESPONSE""&gt;0&lt;/varequal&gt;&lt;/conditionvar&gt;"&amp;"&lt;setvar action=""Add""&gt;"&amp;IF(T17,$H17,0)&amp;"&lt;/setvar&gt;"&amp;IF(AT17&lt;&gt;"","&lt;displayfeedback feedbacktype=""Response"" linkrefid=""response_0""/&gt;",IF($AS17&lt;&gt;"","&lt;displayfeedback feedbacktype=""Response"" linkrefid=""qti_feedback_trigger""/&gt;",""))&amp;"&lt;/respcondition&gt;",""),IF(OR(T17,AT17&lt;&gt;"",$AS17&lt;&gt;""),"      &lt;respcondition continue=""Yes""&gt;&lt;conditionvar&gt;"&amp;IF(T17,"&lt;varequal respident=""RESPONSE""&gt;0&lt;/varequal&gt;","&lt;not&gt;&lt;varequal respident=""RESPONSE""&gt;0&lt;/varequal&gt;&lt;/not&gt;")&amp;"&lt;/conditionvar&gt;&lt;setvar action=""Add""&gt;"&amp;(Saisie_Questions!$N17/$I17)&amp;"&lt;/setvar&gt;"&amp;IF(AT17&lt;&gt;"","&lt;displayfeedback feedbacktype=""Response"" linkrefid=""response_0""/&gt;",IF($AS17&lt;&gt;"","&lt;displayfeedback feedbacktype=""Response"" linkrefid=""qti_feedback_trigger""/&gt;",""))&amp;"&lt;/respcondition&gt;",""))),"")</f>
      </c>
      <c r="AK17" s="46">
        <f>IF($B17,IF(M17="","",IF($C17="qcu",IF(OR(U17,AU17&lt;&gt;"",$AS17&lt;&gt;""),"      &lt;respcondition continue=""Yes""&gt;&lt;conditionvar&gt;&lt;varequal respident=""RESPONSE""&gt;1&lt;/varequal&gt;&lt;/conditionvar&gt;"&amp;"&lt;setvar action=""Add""&gt;"&amp;IF(U17,$H17,0)&amp;"&lt;/setvar&gt;"&amp;IF(AU17&lt;&gt;"","&lt;displayfeedback feedbacktype=""Response"" linkrefid=""response_1""/&gt;",IF($AS17&lt;&gt;"","&lt;displayfeedback feedbacktype=""Response"" linkrefid=""qti_feedback_trigger""/&gt;",""))&amp;"&lt;/respcondition&gt;",""),IF(OR(U17,AU17&lt;&gt;"",$AS17&lt;&gt;""),"      &lt;respcondition continue=""Yes""&gt;&lt;conditionvar&gt;"&amp;IF(U17,"&lt;varequal respident=""RESPONSE""&gt;1&lt;/varequal&gt;","&lt;not&gt;&lt;varequal respident=""RESPONSE""&gt;1&lt;/varequal&gt;&lt;/not&gt;")&amp;"&lt;/conditionvar&gt;&lt;setvar action=""Add""&gt;"&amp;(Saisie_Questions!$N17/$I17)&amp;"&lt;/setvar&gt;"&amp;IF(AU17&lt;&gt;"","&lt;displayfeedback feedbacktype=""Response"" linkrefid=""response_1""/&gt;",IF($AS17&lt;&gt;"","&lt;displayfeedback feedbacktype=""Response"" linkrefid=""qti_feedback_trigger""/&gt;",""))&amp;"&lt;/respcondition&gt;",""))),"")</f>
      </c>
      <c r="AL17" s="46">
        <f>IF($B17,IF(N17="","",IF($C17="qcu",IF(OR(V17,AV17&lt;&gt;"",$AS17&lt;&gt;""),"      &lt;respcondition continue=""Yes""&gt;&lt;conditionvar&gt;&lt;varequal respident=""RESPONSE""&gt;2&lt;/varequal&gt;&lt;/conditionvar&gt;"&amp;"&lt;setvar action=""Add""&gt;"&amp;IF(V17,$H17,0)&amp;"&lt;/setvar&gt;"&amp;IF(AV17&lt;&gt;"","&lt;displayfeedback feedbacktype=""Response"" linkrefid=""response_2""/&gt;",IF($AS17&lt;&gt;"","&lt;displayfeedback feedbacktype=""Response"" linkrefid=""qti_feedback_trigger""/&gt;",""))&amp;"&lt;/respcondition&gt;",""),IF(OR(V17,AV17&lt;&gt;"",$AS17&lt;&gt;""),"      &lt;respcondition continue=""Yes""&gt;&lt;conditionvar&gt;"&amp;IF(V17,"&lt;varequal respident=""RESPONSE""&gt;2&lt;/varequal&gt;","&lt;not&gt;&lt;varequal respident=""RESPONSE""&gt;2&lt;/varequal&gt;&lt;/not&gt;")&amp;"&lt;/conditionvar&gt;&lt;setvar action=""Add""&gt;"&amp;(Saisie_Questions!$N17/$I17)&amp;"&lt;/setvar&gt;"&amp;IF(AV17&lt;&gt;"","&lt;displayfeedback feedbacktype=""Response"" linkrefid=""response_2""/&gt;",IF($AS17&lt;&gt;"","&lt;displayfeedback feedbacktype=""Response"" linkrefid=""qti_feedback_trigger""/&gt;",""))&amp;"&lt;/respcondition&gt;",""))),"")</f>
      </c>
      <c r="AM17" s="46">
        <f>IF($B17,IF(O17="","",IF($C17="qcu",IF(OR(W17,AW17&lt;&gt;"",$AS17&lt;&gt;""),"      &lt;respcondition continue=""Yes""&gt;&lt;conditionvar&gt;&lt;varequal respident=""RESPONSE""&gt;3&lt;/varequal&gt;&lt;/conditionvar&gt;"&amp;"&lt;setvar action=""Add""&gt;"&amp;IF(W17,$H17,0)&amp;"&lt;/setvar&gt;"&amp;IF(AW17&lt;&gt;"","&lt;displayfeedback feedbacktype=""Response"" linkrefid=""response_3""/&gt;",IF($AS17&lt;&gt;"","&lt;displayfeedback feedbacktype=""Response"" linkrefid=""qti_feedback_trigger""/&gt;",""))&amp;"&lt;/respcondition&gt;",""),IF(OR(W17,AW17&lt;&gt;"",$AS17&lt;&gt;""),"      &lt;respcondition continue=""Yes""&gt;&lt;conditionvar&gt;"&amp;IF(W17,"&lt;varequal respident=""RESPONSE""&gt;3&lt;/varequal&gt;","&lt;not&gt;&lt;varequal respident=""RESPONSE""&gt;3&lt;/varequal&gt;&lt;/not&gt;")&amp;"&lt;/conditionvar&gt;&lt;setvar action=""Add""&gt;"&amp;(Saisie_Questions!$N17/$I17)&amp;"&lt;/setvar&gt;"&amp;IF(AW17&lt;&gt;"","&lt;displayfeedback feedbacktype=""Response"" linkrefid=""response_3""/&gt;",IF($AS17&lt;&gt;"","&lt;displayfeedback feedbacktype=""Response"" linkrefid=""qti_feedback_trigger""/&gt;",""))&amp;"&lt;/respcondition&gt;",""))),"")</f>
      </c>
      <c r="AN17" s="46">
        <f>IF($B17,IF(P17="","",IF($C17="qcu",IF(OR(X17,AX17&lt;&gt;"",$AS17&lt;&gt;""),"      &lt;respcondition continue=""Yes""&gt;&lt;conditionvar&gt;&lt;varequal respident=""RESPONSE""&gt;4&lt;/varequal&gt;&lt;/conditionvar&gt;"&amp;"&lt;setvar action=""Add""&gt;"&amp;IF(X17,$H17,0)&amp;"&lt;/setvar&gt;"&amp;IF(AX17&lt;&gt;"","&lt;displayfeedback feedbacktype=""Response"" linkrefid=""response_4""/&gt;",IF($AS17&lt;&gt;"","&lt;displayfeedback feedbacktype=""Response"" linkrefid=""qti_feedback_trigger""/&gt;",""))&amp;"&lt;/respcondition&gt;",""),IF(OR(X17,AX17&lt;&gt;"",$AS17&lt;&gt;""),"      &lt;respcondition continue=""Yes""&gt;&lt;conditionvar&gt;"&amp;IF(X17,"&lt;varequal respident=""RESPONSE""&gt;4&lt;/varequal&gt;","&lt;not&gt;&lt;varequal respident=""RESPONSE""&gt;4&lt;/varequal&gt;&lt;/not&gt;")&amp;"&lt;/conditionvar&gt;&lt;setvar action=""Add""&gt;"&amp;(Saisie_Questions!$N17/$I17)&amp;"&lt;/setvar&gt;"&amp;IF(AX17&lt;&gt;"","&lt;displayfeedback feedbacktype=""Response"" linkrefid=""response_4""/&gt;",IF($AS17&lt;&gt;"","&lt;displayfeedback feedbacktype=""Response"" linkrefid=""qti_feedback_trigger""/&gt;",""))&amp;"&lt;/respcondition&gt;",""))),"")</f>
      </c>
      <c r="AO17" s="46">
        <f>IF($B17,IF(Q17="","",IF($C17="qcu",IF(OR(Y17,AY17&lt;&gt;"",$AS17&lt;&gt;""),"      &lt;respcondition continue=""Yes""&gt;&lt;conditionvar&gt;&lt;varequal respident=""RESPONSE""&gt;5&lt;/varequal&gt;&lt;/conditionvar&gt;"&amp;"&lt;setvar action=""Add""&gt;"&amp;IF(Y17,$H17,0)&amp;"&lt;/setvar&gt;"&amp;IF(AY17&lt;&gt;"","&lt;displayfeedback feedbacktype=""Response"" linkrefid=""response_5""/&gt;",IF($AS17&lt;&gt;"","&lt;displayfeedback feedbacktype=""Response"" linkrefid=""qti_feedback_trigger""/&gt;",""))&amp;"&lt;/respcondition&gt;",""),IF(OR(Y17,AY17&lt;&gt;"",$AS17&lt;&gt;""),"      &lt;respcondition continue=""Yes""&gt;&lt;conditionvar&gt;"&amp;IF(Y17,"&lt;varequal respident=""RESPONSE""&gt;5&lt;/varequal&gt;","&lt;not&gt;&lt;varequal respident=""RESPONSE""&gt;5&lt;/varequal&gt;&lt;/not&gt;")&amp;"&lt;/conditionvar&gt;&lt;setvar action=""Add""&gt;"&amp;(Saisie_Questions!$N17/$I17)&amp;"&lt;/setvar&gt;"&amp;IF(AY17&lt;&gt;"","&lt;displayfeedback feedbacktype=""Response"" linkrefid=""response_5""/&gt;",IF($AS17&lt;&gt;"","&lt;displayfeedback feedbacktype=""Response"" linkrefid=""qti_feedback_trigger""/&gt;",""))&amp;"&lt;/respcondition&gt;",""))),"")</f>
      </c>
      <c r="AP17" s="46">
        <f>IF($B17,IF(R17="","",IF($C17="qcu",IF(OR(Z17,AZ17&lt;&gt;"",$AS17&lt;&gt;""),"      &lt;respcondition continue=""Yes""&gt;&lt;conditionvar&gt;&lt;varequal respident=""RESPONSE""&gt;6&lt;/varequal&gt;&lt;/conditionvar&gt;"&amp;"&lt;setvar action=""Add""&gt;"&amp;IF(Z17,$H17,0)&amp;"&lt;/setvar&gt;"&amp;IF(AZ17&lt;&gt;"","&lt;displayfeedback feedbacktype=""Response"" linkrefid=""response_6""/&gt;",IF($AS17&lt;&gt;"","&lt;displayfeedback feedbacktype=""Response"" linkrefid=""qti_feedback_trigger""/&gt;",""))&amp;"&lt;/respcondition&gt;",""),IF(OR(Z17,AZ17&lt;&gt;"",$AS17&lt;&gt;""),"      &lt;respcondition continue=""Yes""&gt;&lt;conditionvar&gt;"&amp;IF(Z17,"&lt;varequal respident=""RESPONSE""&gt;6&lt;/varequal&gt;","&lt;not&gt;&lt;varequal respident=""RESPONSE""&gt;6&lt;/varequal&gt;&lt;/not&gt;")&amp;"&lt;/conditionvar&gt;&lt;setvar action=""Add""&gt;"&amp;(Saisie_Questions!$N17/$I17)&amp;"&lt;/setvar&gt;"&amp;IF(AZ17&lt;&gt;"","&lt;displayfeedback feedbacktype=""Response"" linkrefid=""response_6""/&gt;",IF($AS17&lt;&gt;"","&lt;displayfeedback feedbacktype=""Response"" linkrefid=""qti_feedback_trigger""/&gt;",""))&amp;"&lt;/respcondition&gt;",""))),"")</f>
      </c>
      <c r="AQ17" s="46">
        <f>IF($B17,IF(S17="","",IF($C17="qcu",IF(OR(AA17,BA17&lt;&gt;"",$AS17&lt;&gt;""),"      &lt;respcondition continue=""Yes""&gt;&lt;conditionvar&gt;&lt;varequal respident=""RESPONSE""&gt;7&lt;/varequal&gt;&lt;/conditionvar&gt;"&amp;"&lt;setvar action=""Add""&gt;"&amp;IF(AA17,$H17,0)&amp;"&lt;/setvar&gt;"&amp;IF(BA17&lt;&gt;"","&lt;displayfeedback feedbacktype=""Response"" linkrefid=""response_7""/&gt;",IF($AS17&lt;&gt;"","&lt;displayfeedback feedbacktype=""Response"" linkrefid=""qti_feedback_trigger""/&gt;",""))&amp;"&lt;/respcondition&gt;",""),IF(OR(AA17,BA17&lt;&gt;"",$AS17&lt;&gt;""),"      &lt;respcondition continue=""Yes""&gt;&lt;conditionvar&gt;"&amp;IF(AA17,"&lt;varequal respident=""RESPONSE""&gt;7&lt;/varequal&gt;","&lt;not&gt;&lt;varequal respident=""RESPONSE""&gt;7&lt;/varequal&gt;&lt;/not&gt;")&amp;"&lt;/conditionvar&gt;&lt;setvar action=""Add""&gt;"&amp;(Saisie_Questions!$N17/$I17)&amp;"&lt;/setvar&gt;"&amp;IF(BA17&lt;&gt;"","&lt;displayfeedback feedbacktype=""Response"" linkrefid=""response_7""/&gt;",IF($AS17&lt;&gt;"","&lt;displayfeedback feedbacktype=""Response"" linkrefid=""qti_feedback_trigger""/&gt;",""))&amp;"&lt;/respcondition&gt;",""))),"")</f>
      </c>
      <c r="AR17" s="46">
        <f>IF(A17="","",SUBSTITUTE(SUBSTITUTE(SUBSTITUTE(SUBSTITUTE(SUBSTITUTE(IF(Saisie_Questions!P17&lt;&gt;"",Saisie_Questions!P17,Interface_Generation!$B$5),"&amp;","&amp;amp;"),"&lt;","&amp;lt;"),"&gt;","&amp;gt;"),CHAR(34),"&amp;quot;"),"'","&amp;apos;"))</f>
        <v/>
      </c>
      <c r="AS17" s="46">
        <f>IF(Saisie_Questions!Q17="","",SUBSTITUTE(SUBSTITUTE(SUBSTITUTE(SUBSTITUTE(SUBSTITUTE(Saisie_Questions!Q17,"&amp;","&amp;amp;"),"&lt;","&amp;lt;"),"&gt;","&amp;gt;"),CHAR(34),"&amp;quot;"),"'","&amp;apos;"))</f>
        <v/>
      </c>
      <c r="AT17" s="46">
        <f>IF(Saisie_Questions!R17="","",SUBSTITUTE(SUBSTITUTE(SUBSTITUTE(SUBSTITUTE(SUBSTITUTE(Saisie_Questions!R17,"&amp;","&amp;amp;"),"&lt;","&amp;lt;"),"&gt;","&amp;gt;"),CHAR(34),"&amp;quot;"),"'","&amp;apos;"))</f>
        <v/>
      </c>
      <c r="AU17" s="46">
        <f>IF(Saisie_Questions!S17="","",SUBSTITUTE(SUBSTITUTE(SUBSTITUTE(SUBSTITUTE(SUBSTITUTE(Saisie_Questions!S17,"&amp;","&amp;amp;"),"&lt;","&amp;lt;"),"&gt;","&amp;gt;"),CHAR(34),"&amp;quot;"),"'","&amp;apos;"))</f>
        <v/>
      </c>
      <c r="AV17" s="46">
        <f>IF(Saisie_Questions!T17="","",SUBSTITUTE(SUBSTITUTE(SUBSTITUTE(SUBSTITUTE(SUBSTITUTE(Saisie_Questions!T17,"&amp;","&amp;amp;"),"&lt;","&amp;lt;"),"&gt;","&amp;gt;"),CHAR(34),"&amp;quot;"),"'","&amp;apos;"))</f>
        <v/>
      </c>
      <c r="AW17" s="46">
        <f>IF(Saisie_Questions!U17="","",SUBSTITUTE(SUBSTITUTE(SUBSTITUTE(SUBSTITUTE(SUBSTITUTE(Saisie_Questions!U17,"&amp;","&amp;amp;"),"&lt;","&amp;lt;"),"&gt;","&amp;gt;"),CHAR(34),"&amp;quot;"),"'","&amp;apos;"))</f>
        <v/>
      </c>
      <c r="AX17" s="46">
        <f>IF(Saisie_Questions!V17="","",SUBSTITUTE(SUBSTITUTE(SUBSTITUTE(SUBSTITUTE(SUBSTITUTE(Saisie_Questions!V17,"&amp;","&amp;amp;"),"&lt;","&amp;lt;"),"&gt;","&amp;gt;"),CHAR(34),"&amp;quot;"),"'","&amp;apos;"))</f>
        <v/>
      </c>
      <c r="AY17" s="46">
        <f>IF(Saisie_Questions!W17="","",SUBSTITUTE(SUBSTITUTE(SUBSTITUTE(SUBSTITUTE(SUBSTITUTE(Saisie_Questions!W17,"&amp;","&amp;amp;"),"&lt;","&amp;lt;"),"&gt;","&amp;gt;"),CHAR(34),"&amp;quot;"),"'","&amp;apos;"))</f>
        <v/>
      </c>
      <c r="AZ17" s="46">
        <f>IF(Saisie_Questions!X17="","",SUBSTITUTE(SUBSTITUTE(SUBSTITUTE(SUBSTITUTE(SUBSTITUTE(Saisie_Questions!X17,"&amp;","&amp;amp;"),"&lt;","&amp;lt;"),"&gt;","&amp;gt;"),CHAR(34),"&amp;quot;"),"'","&amp;apos;"))</f>
        <v/>
      </c>
      <c r="BA17" s="46">
        <f>IF(Saisie_Questions!Y17="","",SUBSTITUTE(SUBSTITUTE(SUBSTITUTE(SUBSTITUTE(SUBSTITUTE(Saisie_Questions!Y17,"&amp;","&amp;amp;"),"&lt;","&amp;lt;"),"&gt;","&amp;gt;"),CHAR(34),"&amp;quot;"),"'","&amp;apos;"))</f>
        <v/>
      </c>
      <c r="BB17" s="46">
        <f>IF($B17,IF($AS17="","","    &lt;itemfeedback ident=""response_allcorrect"" view=""All""&gt;&lt;flow_mat&gt;&lt;material&gt;&lt;mattext texttype=""text/html""&gt;"&amp;$AS17&amp;"&lt;/mattext&gt;&lt;/material&gt;&lt;/flow_mat&gt;&lt;/itemfeedback&gt;"&amp;"    &lt;itemfeedback ident=""response_onenotcorrect"" view=""All""&gt;&lt;flow_mat&gt;&lt;material&gt;&lt;mattext texttype=""text/html""&gt;"&amp;$AS17&amp;"&lt;/mattext&gt;&lt;/material&gt;&lt;/flow_mat&gt;&lt;/itemfeedback&gt;"),"")</f>
      </c>
      <c r="BC17" s="46">
        <f>IF($B17,IF(AT17="","","    &lt;itemfeedback ident=""response_0"" view=""All""&gt;&lt;flow_mat&gt;&lt;material&gt;&lt;mattext texttype=""text/html""&gt;"&amp;AT17&amp;"&lt;/mattext&gt;&lt;/material&gt;&lt;/flow_mat&gt;&lt;/itemfeedback&gt;"),"")</f>
      </c>
      <c r="BD17" s="46">
        <f>IF($B17,IF(AU17="","","    &lt;itemfeedback ident=""response_1"" view=""All""&gt;&lt;flow_mat&gt;&lt;material&gt;&lt;mattext texttype=""text/html""&gt;"&amp;AU17&amp;"&lt;/mattext&gt;&lt;/material&gt;&lt;/flow_mat&gt;&lt;/itemfeedback&gt;"),"")</f>
      </c>
      <c r="BE17" s="46">
        <f>IF($B17,IF(AV17="","","    &lt;itemfeedback ident=""response_2"" view=""All""&gt;&lt;flow_mat&gt;&lt;material&gt;&lt;mattext texttype=""text/html""&gt;"&amp;AV17&amp;"&lt;/mattext&gt;&lt;/material&gt;&lt;/flow_mat&gt;&lt;/itemfeedback&gt;"),"")</f>
      </c>
      <c r="BF17" s="46">
        <f>IF($B17,IF(AW17="","","    &lt;itemfeedback ident=""response_3"" view=""All""&gt;&lt;flow_mat&gt;&lt;material&gt;&lt;mattext texttype=""text/html""&gt;"&amp;AW17&amp;"&lt;/mattext&gt;&lt;/material&gt;&lt;/flow_mat&gt;&lt;/itemfeedback&gt;"),"")</f>
      </c>
      <c r="BG17" s="46">
        <f>IF($B17,IF(AX17="","","    &lt;itemfeedback ident=""response_4"" view=""All""&gt;&lt;flow_mat&gt;&lt;material&gt;&lt;mattext texttype=""text/html""&gt;"&amp;AX17&amp;"&lt;/mattext&gt;&lt;/material&gt;&lt;/flow_mat&gt;&lt;/itemfeedback&gt;"),"")</f>
      </c>
      <c r="BH17" s="46">
        <f>IF($B17,IF(AY17="","","    &lt;itemfeedback ident=""response_5"" view=""All""&gt;&lt;flow_mat&gt;&lt;material&gt;&lt;mattext texttype=""text/html""&gt;"&amp;AY17&amp;"&lt;/mattext&gt;&lt;/material&gt;&lt;/flow_mat&gt;&lt;/itemfeedback&gt;"),"")</f>
      </c>
      <c r="BI17" s="46">
        <f>IF($B17,IF(AZ17="","","    &lt;itemfeedback ident=""response_6"" view=""All""&gt;&lt;flow_mat&gt;&lt;material&gt;&lt;mattext texttype=""text/html""&gt;"&amp;AZ17&amp;"&lt;/mattext&gt;&lt;/material&gt;&lt;/flow_mat&gt;&lt;/itemfeedback&gt;"),"")</f>
      </c>
      <c r="BJ17" s="46">
        <f>IF($B17,IF(BA17="","","    &lt;itemfeedback ident=""response_7"" view=""All""&gt;&lt;flow_mat&gt;&lt;material&gt;&lt;mattext texttype=""text/html""&gt;"&amp;BA17&amp;"&lt;/mattext&gt;&lt;/material&gt;&lt;/flow_mat&gt;&lt;/itemfeedback&gt;"),"")</f>
      </c>
    </row>
    <row r="18" ht="18" customHeight="1" s="17">
      <c r="A18" s="46">
        <f>Saisie_Questions!A18</f>
        <v/>
      </c>
      <c r="B18" s="46">
        <f>Saisie_Questions!O18="OK"</f>
        <v/>
      </c>
      <c r="C18" s="46">
        <f>LOWER(TRIM(Saisie_Questions!B18))</f>
        <v/>
      </c>
      <c r="D18" s="46">
        <f>IF(C18="qcu","SINGLE CHOICE QUESTION","MULTIPLE CHOICE QUESTION")</f>
        <v/>
      </c>
      <c r="E18" s="46">
        <f>IF(C18="qcu","Single","Multiple")</f>
        <v/>
      </c>
      <c r="F18" s="46">
        <f>IF(A18="","",SUBSTITUTE(SUBSTITUTE(SUBSTITUTE(SUBSTITUTE(SUBSTITUTE(IF(Saisie_Questions!C18="", "Question "&amp;A18, Saisie_Questions!C18),"&amp;","&amp;amp;"),"&lt;","&amp;lt;"),"&gt;","&amp;gt;"),CHAR(34),"&amp;quot;"),"'","&amp;apos;"))</f>
        <v/>
      </c>
      <c r="G18" s="46">
        <f>IF(A18="","",SUBSTITUTE(SUBSTITUTE(SUBSTITUTE(SUBSTITUTE(SUBSTITUTE(Saisie_Questions!D18,"&amp;","&amp;amp;"),"&lt;","&amp;lt;"),"&gt;","&amp;gt;"),CHAR(34),"&amp;quot;"),"'","&amp;apos;"))</f>
        <v/>
      </c>
      <c r="H18" s="46">
        <f>Saisie_Questions!N18</f>
        <v/>
      </c>
      <c r="I18" s="46">
        <f>IF(Saisie_Questions!E18="",0,1)+IF(Saisie_Questions!F18="",0,1)+IF(Saisie_Questions!G18="",0,1)+IF(Saisie_Questions!H18="",0,1)+IF(Saisie_Questions!I18="",0,1)+IF(Saisie_Questions!J18="",0,1)+IF(Saisie_Questions!K18="",0,1)+IF(Saisie_Questions!L18="",0,1)</f>
        <v/>
      </c>
      <c r="J18" s="46">
        <f>Saisie_Questions!M18</f>
        <v/>
      </c>
      <c r="K18" s="46">
        <f>Saisie_Questions!O18</f>
        <v/>
      </c>
      <c r="L18" s="46">
        <f>IF(Saisie_Questions!E18="","",SUBSTITUTE(SUBSTITUTE(SUBSTITUTE(SUBSTITUTE(SUBSTITUTE(Saisie_Questions!E18,"&amp;","&amp;amp;"),"&lt;","&amp;lt;"),"&gt;","&amp;gt;"),CHAR(34),"&amp;quot;"),"'","&amp;apos;"))</f>
        <v/>
      </c>
      <c r="M18" s="46">
        <f>IF(Saisie_Questions!F18="","",SUBSTITUTE(SUBSTITUTE(SUBSTITUTE(SUBSTITUTE(SUBSTITUTE(Saisie_Questions!F18,"&amp;","&amp;amp;"),"&lt;","&amp;lt;"),"&gt;","&amp;gt;"),CHAR(34),"&amp;quot;"),"'","&amp;apos;"))</f>
        <v/>
      </c>
      <c r="N18" s="46">
        <f>IF(Saisie_Questions!G18="","",SUBSTITUTE(SUBSTITUTE(SUBSTITUTE(SUBSTITUTE(SUBSTITUTE(Saisie_Questions!G18,"&amp;","&amp;amp;"),"&lt;","&amp;lt;"),"&gt;","&amp;gt;"),CHAR(34),"&amp;quot;"),"'","&amp;apos;"))</f>
        <v/>
      </c>
      <c r="O18" s="46">
        <f>IF(Saisie_Questions!H18="","",SUBSTITUTE(SUBSTITUTE(SUBSTITUTE(SUBSTITUTE(SUBSTITUTE(Saisie_Questions!H18,"&amp;","&amp;amp;"),"&lt;","&amp;lt;"),"&gt;","&amp;gt;"),CHAR(34),"&amp;quot;"),"'","&amp;apos;"))</f>
        <v/>
      </c>
      <c r="P18" s="46">
        <f>IF(Saisie_Questions!I18="","",SUBSTITUTE(SUBSTITUTE(SUBSTITUTE(SUBSTITUTE(SUBSTITUTE(Saisie_Questions!I18,"&amp;","&amp;amp;"),"&lt;","&amp;lt;"),"&gt;","&amp;gt;"),CHAR(34),"&amp;quot;"),"'","&amp;apos;"))</f>
        <v/>
      </c>
      <c r="Q18" s="46">
        <f>IF(Saisie_Questions!J18="","",SUBSTITUTE(SUBSTITUTE(SUBSTITUTE(SUBSTITUTE(SUBSTITUTE(Saisie_Questions!J18,"&amp;","&amp;amp;"),"&lt;","&amp;lt;"),"&gt;","&amp;gt;"),CHAR(34),"&amp;quot;"),"'","&amp;apos;"))</f>
        <v/>
      </c>
      <c r="R18" s="46">
        <f>IF(Saisie_Questions!K18="","",SUBSTITUTE(SUBSTITUTE(SUBSTITUTE(SUBSTITUTE(SUBSTITUTE(Saisie_Questions!K18,"&amp;","&amp;amp;"),"&lt;","&amp;lt;"),"&gt;","&amp;gt;"),CHAR(34),"&amp;quot;"),"'","&amp;apos;"))</f>
        <v/>
      </c>
      <c r="S18" s="46">
        <f>IF(Saisie_Questions!L18="","",SUBSTITUTE(SUBSTITUTE(SUBSTITUTE(SUBSTITUTE(SUBSTITUTE(Saisie_Questions!L18,"&amp;","&amp;amp;"),"&lt;","&amp;lt;"),"&gt;","&amp;gt;"),CHAR(34),"&amp;quot;"),"'","&amp;apos;"))</f>
        <v/>
      </c>
      <c r="T18" s="46">
        <f>ISNUMBER(SEARCH(";"&amp;1&amp;";",";"&amp;$J18&amp;";"))</f>
        <v/>
      </c>
      <c r="U18" s="46">
        <f>ISNUMBER(SEARCH(";"&amp;2&amp;";",";"&amp;$J18&amp;";"))</f>
        <v/>
      </c>
      <c r="V18" s="46">
        <f>ISNUMBER(SEARCH(";"&amp;3&amp;";",";"&amp;$J18&amp;";"))</f>
        <v/>
      </c>
      <c r="W18" s="46">
        <f>ISNUMBER(SEARCH(";"&amp;4&amp;";",";"&amp;$J18&amp;";"))</f>
        <v/>
      </c>
      <c r="X18" s="46">
        <f>ISNUMBER(SEARCH(";"&amp;5&amp;";",";"&amp;$J18&amp;";"))</f>
        <v/>
      </c>
      <c r="Y18" s="46">
        <f>ISNUMBER(SEARCH(";"&amp;6&amp;";",";"&amp;$J18&amp;";"))</f>
        <v/>
      </c>
      <c r="Z18" s="46">
        <f>ISNUMBER(SEARCH(";"&amp;7&amp;";",";"&amp;$J18&amp;";"))</f>
        <v/>
      </c>
      <c r="AA18" s="46">
        <f>ISNUMBER(SEARCH(";"&amp;8&amp;";",";"&amp;$J18&amp;";"))</f>
        <v/>
      </c>
      <c r="AB18" s="46">
        <f>IF($B18,IF(L18="","","        &lt;response_label ident=""0""&gt;&lt;material&gt;&lt;mattext texttype=""text/html""&gt;"&amp;L18&amp;"&lt;/mattext&gt;&lt;/material&gt;&lt;/response_label&gt;"),"")</f>
        <v/>
      </c>
      <c r="AC18" s="46">
        <f>IF($B18,IF(M18="","","        &lt;response_label ident=""1""&gt;&lt;material&gt;&lt;mattext texttype=""text/html""&gt;"&amp;M18&amp;"&lt;/mattext&gt;&lt;/material&gt;&lt;/response_label&gt;"),"")</f>
        <v/>
      </c>
      <c r="AD18" s="46">
        <f>IF($B18,IF(N18="","","        &lt;response_label ident=""2""&gt;&lt;material&gt;&lt;mattext texttype=""text/html""&gt;"&amp;N18&amp;"&lt;/mattext&gt;&lt;/material&gt;&lt;/response_label&gt;"),"")</f>
        <v/>
      </c>
      <c r="AE18" s="46">
        <f>IF($B18,IF(O18="","","        &lt;response_label ident=""3""&gt;&lt;material&gt;&lt;mattext texttype=""text/html""&gt;"&amp;O18&amp;"&lt;/mattext&gt;&lt;/material&gt;&lt;/response_label&gt;"),"")</f>
        <v/>
      </c>
      <c r="AF18" s="46">
        <f>IF($B18,IF(P18="","","        &lt;response_label ident=""4""&gt;&lt;material&gt;&lt;mattext texttype=""text/html""&gt;"&amp;P18&amp;"&lt;/mattext&gt;&lt;/material&gt;&lt;/response_label&gt;"),"")</f>
        <v/>
      </c>
      <c r="AG18" s="46">
        <f>IF($B18,IF(Q18="","","        &lt;response_label ident=""5""&gt;&lt;material&gt;&lt;mattext texttype=""text/html""&gt;"&amp;Q18&amp;"&lt;/mattext&gt;&lt;/material&gt;&lt;/response_label&gt;"),"")</f>
        <v/>
      </c>
      <c r="AH18" s="46">
        <f>IF($B18,IF(R18="","","        &lt;response_label ident=""6""&gt;&lt;material&gt;&lt;mattext texttype=""text/html""&gt;"&amp;R18&amp;"&lt;/mattext&gt;&lt;/material&gt;&lt;/response_label&gt;"),"")</f>
        <v/>
      </c>
      <c r="AI18" s="46">
        <f>IF($B18,IF(S18="","","        &lt;response_label ident=""7""&gt;&lt;material&gt;&lt;mattext texttype=""text/html""&gt;"&amp;S18&amp;"&lt;/mattext&gt;&lt;/material&gt;&lt;/response_label&gt;"),"")</f>
        <v/>
      </c>
      <c r="AJ18" s="46">
        <f>IF($B18,IF(L18="","",IF($C18="qcu",IF(OR(T18,AT18&lt;&gt;"",$AS18&lt;&gt;""),"      &lt;respcondition continue=""Yes""&gt;&lt;conditionvar&gt;&lt;varequal respident=""RESPONSE""&gt;0&lt;/varequal&gt;&lt;/conditionvar&gt;"&amp;"&lt;setvar action=""Add""&gt;"&amp;IF(T18,$H18,0)&amp;"&lt;/setvar&gt;"&amp;IF(AT18&lt;&gt;"","&lt;displayfeedback feedbacktype=""Response"" linkrefid=""response_0""/&gt;",IF($AS18&lt;&gt;"","&lt;displayfeedback feedbacktype=""Response"" linkrefid=""qti_feedback_trigger""/&gt;",""))&amp;"&lt;/respcondition&gt;",""),IF(OR(T18,AT18&lt;&gt;"",$AS18&lt;&gt;""),"      &lt;respcondition continue=""Yes""&gt;&lt;conditionvar&gt;"&amp;IF(T18,"&lt;varequal respident=""RESPONSE""&gt;0&lt;/varequal&gt;","&lt;not&gt;&lt;varequal respident=""RESPONSE""&gt;0&lt;/varequal&gt;&lt;/not&gt;")&amp;"&lt;/conditionvar&gt;&lt;setvar action=""Add""&gt;"&amp;(Saisie_Questions!$N18/$I18)&amp;"&lt;/setvar&gt;"&amp;IF(AT18&lt;&gt;"","&lt;displayfeedback feedbacktype=""Response"" linkrefid=""response_0""/&gt;",IF($AS18&lt;&gt;"","&lt;displayfeedback feedbacktype=""Response"" linkrefid=""qti_feedback_trigger""/&gt;",""))&amp;"&lt;/respcondition&gt;",""))),"")</f>
      </c>
      <c r="AK18" s="46">
        <f>IF($B18,IF(M18="","",IF($C18="qcu",IF(OR(U18,AU18&lt;&gt;"",$AS18&lt;&gt;""),"      &lt;respcondition continue=""Yes""&gt;&lt;conditionvar&gt;&lt;varequal respident=""RESPONSE""&gt;1&lt;/varequal&gt;&lt;/conditionvar&gt;"&amp;"&lt;setvar action=""Add""&gt;"&amp;IF(U18,$H18,0)&amp;"&lt;/setvar&gt;"&amp;IF(AU18&lt;&gt;"","&lt;displayfeedback feedbacktype=""Response"" linkrefid=""response_1""/&gt;",IF($AS18&lt;&gt;"","&lt;displayfeedback feedbacktype=""Response"" linkrefid=""qti_feedback_trigger""/&gt;",""))&amp;"&lt;/respcondition&gt;",""),IF(OR(U18,AU18&lt;&gt;"",$AS18&lt;&gt;""),"      &lt;respcondition continue=""Yes""&gt;&lt;conditionvar&gt;"&amp;IF(U18,"&lt;varequal respident=""RESPONSE""&gt;1&lt;/varequal&gt;","&lt;not&gt;&lt;varequal respident=""RESPONSE""&gt;1&lt;/varequal&gt;&lt;/not&gt;")&amp;"&lt;/conditionvar&gt;&lt;setvar action=""Add""&gt;"&amp;(Saisie_Questions!$N18/$I18)&amp;"&lt;/setvar&gt;"&amp;IF(AU18&lt;&gt;"","&lt;displayfeedback feedbacktype=""Response"" linkrefid=""response_1""/&gt;",IF($AS18&lt;&gt;"","&lt;displayfeedback feedbacktype=""Response"" linkrefid=""qti_feedback_trigger""/&gt;",""))&amp;"&lt;/respcondition&gt;",""))),"")</f>
      </c>
      <c r="AL18" s="46">
        <f>IF($B18,IF(N18="","",IF($C18="qcu",IF(OR(V18,AV18&lt;&gt;"",$AS18&lt;&gt;""),"      &lt;respcondition continue=""Yes""&gt;&lt;conditionvar&gt;&lt;varequal respident=""RESPONSE""&gt;2&lt;/varequal&gt;&lt;/conditionvar&gt;"&amp;"&lt;setvar action=""Add""&gt;"&amp;IF(V18,$H18,0)&amp;"&lt;/setvar&gt;"&amp;IF(AV18&lt;&gt;"","&lt;displayfeedback feedbacktype=""Response"" linkrefid=""response_2""/&gt;",IF($AS18&lt;&gt;"","&lt;displayfeedback feedbacktype=""Response"" linkrefid=""qti_feedback_trigger""/&gt;",""))&amp;"&lt;/respcondition&gt;",""),IF(OR(V18,AV18&lt;&gt;"",$AS18&lt;&gt;""),"      &lt;respcondition continue=""Yes""&gt;&lt;conditionvar&gt;"&amp;IF(V18,"&lt;varequal respident=""RESPONSE""&gt;2&lt;/varequal&gt;","&lt;not&gt;&lt;varequal respident=""RESPONSE""&gt;2&lt;/varequal&gt;&lt;/not&gt;")&amp;"&lt;/conditionvar&gt;&lt;setvar action=""Add""&gt;"&amp;(Saisie_Questions!$N18/$I18)&amp;"&lt;/setvar&gt;"&amp;IF(AV18&lt;&gt;"","&lt;displayfeedback feedbacktype=""Response"" linkrefid=""response_2""/&gt;",IF($AS18&lt;&gt;"","&lt;displayfeedback feedbacktype=""Response"" linkrefid=""qti_feedback_trigger""/&gt;",""))&amp;"&lt;/respcondition&gt;",""))),"")</f>
      </c>
      <c r="AM18" s="46">
        <f>IF($B18,IF(O18="","",IF($C18="qcu",IF(OR(W18,AW18&lt;&gt;"",$AS18&lt;&gt;""),"      &lt;respcondition continue=""Yes""&gt;&lt;conditionvar&gt;&lt;varequal respident=""RESPONSE""&gt;3&lt;/varequal&gt;&lt;/conditionvar&gt;"&amp;"&lt;setvar action=""Add""&gt;"&amp;IF(W18,$H18,0)&amp;"&lt;/setvar&gt;"&amp;IF(AW18&lt;&gt;"","&lt;displayfeedback feedbacktype=""Response"" linkrefid=""response_3""/&gt;",IF($AS18&lt;&gt;"","&lt;displayfeedback feedbacktype=""Response"" linkrefid=""qti_feedback_trigger""/&gt;",""))&amp;"&lt;/respcondition&gt;",""),IF(OR(W18,AW18&lt;&gt;"",$AS18&lt;&gt;""),"      &lt;respcondition continue=""Yes""&gt;&lt;conditionvar&gt;"&amp;IF(W18,"&lt;varequal respident=""RESPONSE""&gt;3&lt;/varequal&gt;","&lt;not&gt;&lt;varequal respident=""RESPONSE""&gt;3&lt;/varequal&gt;&lt;/not&gt;")&amp;"&lt;/conditionvar&gt;&lt;setvar action=""Add""&gt;"&amp;(Saisie_Questions!$N18/$I18)&amp;"&lt;/setvar&gt;"&amp;IF(AW18&lt;&gt;"","&lt;displayfeedback feedbacktype=""Response"" linkrefid=""response_3""/&gt;",IF($AS18&lt;&gt;"","&lt;displayfeedback feedbacktype=""Response"" linkrefid=""qti_feedback_trigger""/&gt;",""))&amp;"&lt;/respcondition&gt;",""))),"")</f>
      </c>
      <c r="AN18" s="46">
        <f>IF($B18,IF(P18="","",IF($C18="qcu",IF(OR(X18,AX18&lt;&gt;"",$AS18&lt;&gt;""),"      &lt;respcondition continue=""Yes""&gt;&lt;conditionvar&gt;&lt;varequal respident=""RESPONSE""&gt;4&lt;/varequal&gt;&lt;/conditionvar&gt;"&amp;"&lt;setvar action=""Add""&gt;"&amp;IF(X18,$H18,0)&amp;"&lt;/setvar&gt;"&amp;IF(AX18&lt;&gt;"","&lt;displayfeedback feedbacktype=""Response"" linkrefid=""response_4""/&gt;",IF($AS18&lt;&gt;"","&lt;displayfeedback feedbacktype=""Response"" linkrefid=""qti_feedback_trigger""/&gt;",""))&amp;"&lt;/respcondition&gt;",""),IF(OR(X18,AX18&lt;&gt;"",$AS18&lt;&gt;""),"      &lt;respcondition continue=""Yes""&gt;&lt;conditionvar&gt;"&amp;IF(X18,"&lt;varequal respident=""RESPONSE""&gt;4&lt;/varequal&gt;","&lt;not&gt;&lt;varequal respident=""RESPONSE""&gt;4&lt;/varequal&gt;&lt;/not&gt;")&amp;"&lt;/conditionvar&gt;&lt;setvar action=""Add""&gt;"&amp;(Saisie_Questions!$N18/$I18)&amp;"&lt;/setvar&gt;"&amp;IF(AX18&lt;&gt;"","&lt;displayfeedback feedbacktype=""Response"" linkrefid=""response_4""/&gt;",IF($AS18&lt;&gt;"","&lt;displayfeedback feedbacktype=""Response"" linkrefid=""qti_feedback_trigger""/&gt;",""))&amp;"&lt;/respcondition&gt;",""))),"")</f>
      </c>
      <c r="AO18" s="46">
        <f>IF($B18,IF(Q18="","",IF($C18="qcu",IF(OR(Y18,AY18&lt;&gt;"",$AS18&lt;&gt;""),"      &lt;respcondition continue=""Yes""&gt;&lt;conditionvar&gt;&lt;varequal respident=""RESPONSE""&gt;5&lt;/varequal&gt;&lt;/conditionvar&gt;"&amp;"&lt;setvar action=""Add""&gt;"&amp;IF(Y18,$H18,0)&amp;"&lt;/setvar&gt;"&amp;IF(AY18&lt;&gt;"","&lt;displayfeedback feedbacktype=""Response"" linkrefid=""response_5""/&gt;",IF($AS18&lt;&gt;"","&lt;displayfeedback feedbacktype=""Response"" linkrefid=""qti_feedback_trigger""/&gt;",""))&amp;"&lt;/respcondition&gt;",""),IF(OR(Y18,AY18&lt;&gt;"",$AS18&lt;&gt;""),"      &lt;respcondition continue=""Yes""&gt;&lt;conditionvar&gt;"&amp;IF(Y18,"&lt;varequal respident=""RESPONSE""&gt;5&lt;/varequal&gt;","&lt;not&gt;&lt;varequal respident=""RESPONSE""&gt;5&lt;/varequal&gt;&lt;/not&gt;")&amp;"&lt;/conditionvar&gt;&lt;setvar action=""Add""&gt;"&amp;(Saisie_Questions!$N18/$I18)&amp;"&lt;/setvar&gt;"&amp;IF(AY18&lt;&gt;"","&lt;displayfeedback feedbacktype=""Response"" linkrefid=""response_5""/&gt;",IF($AS18&lt;&gt;"","&lt;displayfeedback feedbacktype=""Response"" linkrefid=""qti_feedback_trigger""/&gt;",""))&amp;"&lt;/respcondition&gt;",""))),"")</f>
      </c>
      <c r="AP18" s="46">
        <f>IF($B18,IF(R18="","",IF($C18="qcu",IF(OR(Z18,AZ18&lt;&gt;"",$AS18&lt;&gt;""),"      &lt;respcondition continue=""Yes""&gt;&lt;conditionvar&gt;&lt;varequal respident=""RESPONSE""&gt;6&lt;/varequal&gt;&lt;/conditionvar&gt;"&amp;"&lt;setvar action=""Add""&gt;"&amp;IF(Z18,$H18,0)&amp;"&lt;/setvar&gt;"&amp;IF(AZ18&lt;&gt;"","&lt;displayfeedback feedbacktype=""Response"" linkrefid=""response_6""/&gt;",IF($AS18&lt;&gt;"","&lt;displayfeedback feedbacktype=""Response"" linkrefid=""qti_feedback_trigger""/&gt;",""))&amp;"&lt;/respcondition&gt;",""),IF(OR(Z18,AZ18&lt;&gt;"",$AS18&lt;&gt;""),"      &lt;respcondition continue=""Yes""&gt;&lt;conditionvar&gt;"&amp;IF(Z18,"&lt;varequal respident=""RESPONSE""&gt;6&lt;/varequal&gt;","&lt;not&gt;&lt;varequal respident=""RESPONSE""&gt;6&lt;/varequal&gt;&lt;/not&gt;")&amp;"&lt;/conditionvar&gt;&lt;setvar action=""Add""&gt;"&amp;(Saisie_Questions!$N18/$I18)&amp;"&lt;/setvar&gt;"&amp;IF(AZ18&lt;&gt;"","&lt;displayfeedback feedbacktype=""Response"" linkrefid=""response_6""/&gt;",IF($AS18&lt;&gt;"","&lt;displayfeedback feedbacktype=""Response"" linkrefid=""qti_feedback_trigger""/&gt;",""))&amp;"&lt;/respcondition&gt;",""))),"")</f>
      </c>
      <c r="AQ18" s="46">
        <f>IF($B18,IF(S18="","",IF($C18="qcu",IF(OR(AA18,BA18&lt;&gt;"",$AS18&lt;&gt;""),"      &lt;respcondition continue=""Yes""&gt;&lt;conditionvar&gt;&lt;varequal respident=""RESPONSE""&gt;7&lt;/varequal&gt;&lt;/conditionvar&gt;"&amp;"&lt;setvar action=""Add""&gt;"&amp;IF(AA18,$H18,0)&amp;"&lt;/setvar&gt;"&amp;IF(BA18&lt;&gt;"","&lt;displayfeedback feedbacktype=""Response"" linkrefid=""response_7""/&gt;",IF($AS18&lt;&gt;"","&lt;displayfeedback feedbacktype=""Response"" linkrefid=""qti_feedback_trigger""/&gt;",""))&amp;"&lt;/respcondition&gt;",""),IF(OR(AA18,BA18&lt;&gt;"",$AS18&lt;&gt;""),"      &lt;respcondition continue=""Yes""&gt;&lt;conditionvar&gt;"&amp;IF(AA18,"&lt;varequal respident=""RESPONSE""&gt;7&lt;/varequal&gt;","&lt;not&gt;&lt;varequal respident=""RESPONSE""&gt;7&lt;/varequal&gt;&lt;/not&gt;")&amp;"&lt;/conditionvar&gt;&lt;setvar action=""Add""&gt;"&amp;(Saisie_Questions!$N18/$I18)&amp;"&lt;/setvar&gt;"&amp;IF(BA18&lt;&gt;"","&lt;displayfeedback feedbacktype=""Response"" linkrefid=""response_7""/&gt;",IF($AS18&lt;&gt;"","&lt;displayfeedback feedbacktype=""Response"" linkrefid=""qti_feedback_trigger""/&gt;",""))&amp;"&lt;/respcondition&gt;",""))),"")</f>
      </c>
      <c r="AR18" s="46">
        <f>IF(A18="","",SUBSTITUTE(SUBSTITUTE(SUBSTITUTE(SUBSTITUTE(SUBSTITUTE(IF(Saisie_Questions!P18&lt;&gt;"",Saisie_Questions!P18,Interface_Generation!$B$5),"&amp;","&amp;amp;"),"&lt;","&amp;lt;"),"&gt;","&amp;gt;"),CHAR(34),"&amp;quot;"),"'","&amp;apos;"))</f>
        <v/>
      </c>
      <c r="AS18" s="46">
        <f>IF(Saisie_Questions!Q18="","",SUBSTITUTE(SUBSTITUTE(SUBSTITUTE(SUBSTITUTE(SUBSTITUTE(Saisie_Questions!Q18,"&amp;","&amp;amp;"),"&lt;","&amp;lt;"),"&gt;","&amp;gt;"),CHAR(34),"&amp;quot;"),"'","&amp;apos;"))</f>
        <v/>
      </c>
      <c r="AT18" s="46">
        <f>IF(Saisie_Questions!R18="","",SUBSTITUTE(SUBSTITUTE(SUBSTITUTE(SUBSTITUTE(SUBSTITUTE(Saisie_Questions!R18,"&amp;","&amp;amp;"),"&lt;","&amp;lt;"),"&gt;","&amp;gt;"),CHAR(34),"&amp;quot;"),"'","&amp;apos;"))</f>
        <v/>
      </c>
      <c r="AU18" s="46">
        <f>IF(Saisie_Questions!S18="","",SUBSTITUTE(SUBSTITUTE(SUBSTITUTE(SUBSTITUTE(SUBSTITUTE(Saisie_Questions!S18,"&amp;","&amp;amp;"),"&lt;","&amp;lt;"),"&gt;","&amp;gt;"),CHAR(34),"&amp;quot;"),"'","&amp;apos;"))</f>
        <v/>
      </c>
      <c r="AV18" s="46">
        <f>IF(Saisie_Questions!T18="","",SUBSTITUTE(SUBSTITUTE(SUBSTITUTE(SUBSTITUTE(SUBSTITUTE(Saisie_Questions!T18,"&amp;","&amp;amp;"),"&lt;","&amp;lt;"),"&gt;","&amp;gt;"),CHAR(34),"&amp;quot;"),"'","&amp;apos;"))</f>
        <v/>
      </c>
      <c r="AW18" s="46">
        <f>IF(Saisie_Questions!U18="","",SUBSTITUTE(SUBSTITUTE(SUBSTITUTE(SUBSTITUTE(SUBSTITUTE(Saisie_Questions!U18,"&amp;","&amp;amp;"),"&lt;","&amp;lt;"),"&gt;","&amp;gt;"),CHAR(34),"&amp;quot;"),"'","&amp;apos;"))</f>
        <v/>
      </c>
      <c r="AX18" s="46">
        <f>IF(Saisie_Questions!V18="","",SUBSTITUTE(SUBSTITUTE(SUBSTITUTE(SUBSTITUTE(SUBSTITUTE(Saisie_Questions!V18,"&amp;","&amp;amp;"),"&lt;","&amp;lt;"),"&gt;","&amp;gt;"),CHAR(34),"&amp;quot;"),"'","&amp;apos;"))</f>
        <v/>
      </c>
      <c r="AY18" s="46">
        <f>IF(Saisie_Questions!W18="","",SUBSTITUTE(SUBSTITUTE(SUBSTITUTE(SUBSTITUTE(SUBSTITUTE(Saisie_Questions!W18,"&amp;","&amp;amp;"),"&lt;","&amp;lt;"),"&gt;","&amp;gt;"),CHAR(34),"&amp;quot;"),"'","&amp;apos;"))</f>
        <v/>
      </c>
      <c r="AZ18" s="46">
        <f>IF(Saisie_Questions!X18="","",SUBSTITUTE(SUBSTITUTE(SUBSTITUTE(SUBSTITUTE(SUBSTITUTE(Saisie_Questions!X18,"&amp;","&amp;amp;"),"&lt;","&amp;lt;"),"&gt;","&amp;gt;"),CHAR(34),"&amp;quot;"),"'","&amp;apos;"))</f>
        <v/>
      </c>
      <c r="BA18" s="46">
        <f>IF(Saisie_Questions!Y18="","",SUBSTITUTE(SUBSTITUTE(SUBSTITUTE(SUBSTITUTE(SUBSTITUTE(Saisie_Questions!Y18,"&amp;","&amp;amp;"),"&lt;","&amp;lt;"),"&gt;","&amp;gt;"),CHAR(34),"&amp;quot;"),"'","&amp;apos;"))</f>
        <v/>
      </c>
      <c r="BB18" s="46">
        <f>IF($B18,IF($AS18="","","    &lt;itemfeedback ident=""response_allcorrect"" view=""All""&gt;&lt;flow_mat&gt;&lt;material&gt;&lt;mattext texttype=""text/html""&gt;"&amp;$AS18&amp;"&lt;/mattext&gt;&lt;/material&gt;&lt;/flow_mat&gt;&lt;/itemfeedback&gt;"&amp;"    &lt;itemfeedback ident=""response_onenotcorrect"" view=""All""&gt;&lt;flow_mat&gt;&lt;material&gt;&lt;mattext texttype=""text/html""&gt;"&amp;$AS18&amp;"&lt;/mattext&gt;&lt;/material&gt;&lt;/flow_mat&gt;&lt;/itemfeedback&gt;"),"")</f>
      </c>
      <c r="BC18" s="46">
        <f>IF($B18,IF(AT18="","","    &lt;itemfeedback ident=""response_0"" view=""All""&gt;&lt;flow_mat&gt;&lt;material&gt;&lt;mattext texttype=""text/html""&gt;"&amp;AT18&amp;"&lt;/mattext&gt;&lt;/material&gt;&lt;/flow_mat&gt;&lt;/itemfeedback&gt;"),"")</f>
      </c>
      <c r="BD18" s="46">
        <f>IF($B18,IF(AU18="","","    &lt;itemfeedback ident=""response_1"" view=""All""&gt;&lt;flow_mat&gt;&lt;material&gt;&lt;mattext texttype=""text/html""&gt;"&amp;AU18&amp;"&lt;/mattext&gt;&lt;/material&gt;&lt;/flow_mat&gt;&lt;/itemfeedback&gt;"),"")</f>
      </c>
      <c r="BE18" s="46">
        <f>IF($B18,IF(AV18="","","    &lt;itemfeedback ident=""response_2"" view=""All""&gt;&lt;flow_mat&gt;&lt;material&gt;&lt;mattext texttype=""text/html""&gt;"&amp;AV18&amp;"&lt;/mattext&gt;&lt;/material&gt;&lt;/flow_mat&gt;&lt;/itemfeedback&gt;"),"")</f>
      </c>
      <c r="BF18" s="46">
        <f>IF($B18,IF(AW18="","","    &lt;itemfeedback ident=""response_3"" view=""All""&gt;&lt;flow_mat&gt;&lt;material&gt;&lt;mattext texttype=""text/html""&gt;"&amp;AW18&amp;"&lt;/mattext&gt;&lt;/material&gt;&lt;/flow_mat&gt;&lt;/itemfeedback&gt;"),"")</f>
      </c>
      <c r="BG18" s="46">
        <f>IF($B18,IF(AX18="","","    &lt;itemfeedback ident=""response_4"" view=""All""&gt;&lt;flow_mat&gt;&lt;material&gt;&lt;mattext texttype=""text/html""&gt;"&amp;AX18&amp;"&lt;/mattext&gt;&lt;/material&gt;&lt;/flow_mat&gt;&lt;/itemfeedback&gt;"),"")</f>
      </c>
      <c r="BH18" s="46">
        <f>IF($B18,IF(AY18="","","    &lt;itemfeedback ident=""response_5"" view=""All""&gt;&lt;flow_mat&gt;&lt;material&gt;&lt;mattext texttype=""text/html""&gt;"&amp;AY18&amp;"&lt;/mattext&gt;&lt;/material&gt;&lt;/flow_mat&gt;&lt;/itemfeedback&gt;"),"")</f>
      </c>
      <c r="BI18" s="46">
        <f>IF($B18,IF(AZ18="","","    &lt;itemfeedback ident=""response_6"" view=""All""&gt;&lt;flow_mat&gt;&lt;material&gt;&lt;mattext texttype=""text/html""&gt;"&amp;AZ18&amp;"&lt;/mattext&gt;&lt;/material&gt;&lt;/flow_mat&gt;&lt;/itemfeedback&gt;"),"")</f>
      </c>
      <c r="BJ18" s="46">
        <f>IF($B18,IF(BA18="","","    &lt;itemfeedback ident=""response_7"" view=""All""&gt;&lt;flow_mat&gt;&lt;material&gt;&lt;mattext texttype=""text/html""&gt;"&amp;BA18&amp;"&lt;/mattext&gt;&lt;/material&gt;&lt;/flow_mat&gt;&lt;/itemfeedback&gt;"),"")</f>
      </c>
    </row>
    <row r="19" ht="18" customHeight="1" s="17">
      <c r="A19" s="46">
        <f>Saisie_Questions!A19</f>
        <v/>
      </c>
      <c r="B19" s="46">
        <f>Saisie_Questions!O19="OK"</f>
        <v/>
      </c>
      <c r="C19" s="46">
        <f>LOWER(TRIM(Saisie_Questions!B19))</f>
        <v/>
      </c>
      <c r="D19" s="46">
        <f>IF(C19="qcu","SINGLE CHOICE QUESTION","MULTIPLE CHOICE QUESTION")</f>
        <v/>
      </c>
      <c r="E19" s="46">
        <f>IF(C19="qcu","Single","Multiple")</f>
        <v/>
      </c>
      <c r="F19" s="46">
        <f>IF(A19="","",SUBSTITUTE(SUBSTITUTE(SUBSTITUTE(SUBSTITUTE(SUBSTITUTE(IF(Saisie_Questions!C19="", "Question "&amp;A19, Saisie_Questions!C19),"&amp;","&amp;amp;"),"&lt;","&amp;lt;"),"&gt;","&amp;gt;"),CHAR(34),"&amp;quot;"),"'","&amp;apos;"))</f>
        <v/>
      </c>
      <c r="G19" s="46">
        <f>IF(A19="","",SUBSTITUTE(SUBSTITUTE(SUBSTITUTE(SUBSTITUTE(SUBSTITUTE(Saisie_Questions!D19,"&amp;","&amp;amp;"),"&lt;","&amp;lt;"),"&gt;","&amp;gt;"),CHAR(34),"&amp;quot;"),"'","&amp;apos;"))</f>
        <v/>
      </c>
      <c r="H19" s="46">
        <f>Saisie_Questions!N19</f>
        <v/>
      </c>
      <c r="I19" s="46">
        <f>IF(Saisie_Questions!E19="",0,1)+IF(Saisie_Questions!F19="",0,1)+IF(Saisie_Questions!G19="",0,1)+IF(Saisie_Questions!H19="",0,1)+IF(Saisie_Questions!I19="",0,1)+IF(Saisie_Questions!J19="",0,1)+IF(Saisie_Questions!K19="",0,1)+IF(Saisie_Questions!L19="",0,1)</f>
        <v/>
      </c>
      <c r="J19" s="46">
        <f>Saisie_Questions!M19</f>
        <v/>
      </c>
      <c r="K19" s="46">
        <f>Saisie_Questions!O19</f>
        <v/>
      </c>
      <c r="L19" s="46">
        <f>IF(Saisie_Questions!E19="","",SUBSTITUTE(SUBSTITUTE(SUBSTITUTE(SUBSTITUTE(SUBSTITUTE(Saisie_Questions!E19,"&amp;","&amp;amp;"),"&lt;","&amp;lt;"),"&gt;","&amp;gt;"),CHAR(34),"&amp;quot;"),"'","&amp;apos;"))</f>
        <v/>
      </c>
      <c r="M19" s="46">
        <f>IF(Saisie_Questions!F19="","",SUBSTITUTE(SUBSTITUTE(SUBSTITUTE(SUBSTITUTE(SUBSTITUTE(Saisie_Questions!F19,"&amp;","&amp;amp;"),"&lt;","&amp;lt;"),"&gt;","&amp;gt;"),CHAR(34),"&amp;quot;"),"'","&amp;apos;"))</f>
        <v/>
      </c>
      <c r="N19" s="46">
        <f>IF(Saisie_Questions!G19="","",SUBSTITUTE(SUBSTITUTE(SUBSTITUTE(SUBSTITUTE(SUBSTITUTE(Saisie_Questions!G19,"&amp;","&amp;amp;"),"&lt;","&amp;lt;"),"&gt;","&amp;gt;"),CHAR(34),"&amp;quot;"),"'","&amp;apos;"))</f>
        <v/>
      </c>
      <c r="O19" s="46">
        <f>IF(Saisie_Questions!H19="","",SUBSTITUTE(SUBSTITUTE(SUBSTITUTE(SUBSTITUTE(SUBSTITUTE(Saisie_Questions!H19,"&amp;","&amp;amp;"),"&lt;","&amp;lt;"),"&gt;","&amp;gt;"),CHAR(34),"&amp;quot;"),"'","&amp;apos;"))</f>
        <v/>
      </c>
      <c r="P19" s="46">
        <f>IF(Saisie_Questions!I19="","",SUBSTITUTE(SUBSTITUTE(SUBSTITUTE(SUBSTITUTE(SUBSTITUTE(Saisie_Questions!I19,"&amp;","&amp;amp;"),"&lt;","&amp;lt;"),"&gt;","&amp;gt;"),CHAR(34),"&amp;quot;"),"'","&amp;apos;"))</f>
        <v/>
      </c>
      <c r="Q19" s="46">
        <f>IF(Saisie_Questions!J19="","",SUBSTITUTE(SUBSTITUTE(SUBSTITUTE(SUBSTITUTE(SUBSTITUTE(Saisie_Questions!J19,"&amp;","&amp;amp;"),"&lt;","&amp;lt;"),"&gt;","&amp;gt;"),CHAR(34),"&amp;quot;"),"'","&amp;apos;"))</f>
        <v/>
      </c>
      <c r="R19" s="46">
        <f>IF(Saisie_Questions!K19="","",SUBSTITUTE(SUBSTITUTE(SUBSTITUTE(SUBSTITUTE(SUBSTITUTE(Saisie_Questions!K19,"&amp;","&amp;amp;"),"&lt;","&amp;lt;"),"&gt;","&amp;gt;"),CHAR(34),"&amp;quot;"),"'","&amp;apos;"))</f>
        <v/>
      </c>
      <c r="S19" s="46">
        <f>IF(Saisie_Questions!L19="","",SUBSTITUTE(SUBSTITUTE(SUBSTITUTE(SUBSTITUTE(SUBSTITUTE(Saisie_Questions!L19,"&amp;","&amp;amp;"),"&lt;","&amp;lt;"),"&gt;","&amp;gt;"),CHAR(34),"&amp;quot;"),"'","&amp;apos;"))</f>
        <v/>
      </c>
      <c r="T19" s="46">
        <f>ISNUMBER(SEARCH(";"&amp;1&amp;";",";"&amp;$J19&amp;";"))</f>
        <v/>
      </c>
      <c r="U19" s="46">
        <f>ISNUMBER(SEARCH(";"&amp;2&amp;";",";"&amp;$J19&amp;";"))</f>
        <v/>
      </c>
      <c r="V19" s="46">
        <f>ISNUMBER(SEARCH(";"&amp;3&amp;";",";"&amp;$J19&amp;";"))</f>
        <v/>
      </c>
      <c r="W19" s="46">
        <f>ISNUMBER(SEARCH(";"&amp;4&amp;";",";"&amp;$J19&amp;";"))</f>
        <v/>
      </c>
      <c r="X19" s="46">
        <f>ISNUMBER(SEARCH(";"&amp;5&amp;";",";"&amp;$J19&amp;";"))</f>
        <v/>
      </c>
      <c r="Y19" s="46">
        <f>ISNUMBER(SEARCH(";"&amp;6&amp;";",";"&amp;$J19&amp;";"))</f>
        <v/>
      </c>
      <c r="Z19" s="46">
        <f>ISNUMBER(SEARCH(";"&amp;7&amp;";",";"&amp;$J19&amp;";"))</f>
        <v/>
      </c>
      <c r="AA19" s="46">
        <f>ISNUMBER(SEARCH(";"&amp;8&amp;";",";"&amp;$J19&amp;";"))</f>
        <v/>
      </c>
      <c r="AB19" s="46">
        <f>IF($B19,IF(L19="","","        &lt;response_label ident=""0""&gt;&lt;material&gt;&lt;mattext texttype=""text/html""&gt;"&amp;L19&amp;"&lt;/mattext&gt;&lt;/material&gt;&lt;/response_label&gt;"),"")</f>
        <v/>
      </c>
      <c r="AC19" s="46">
        <f>IF($B19,IF(M19="","","        &lt;response_label ident=""1""&gt;&lt;material&gt;&lt;mattext texttype=""text/html""&gt;"&amp;M19&amp;"&lt;/mattext&gt;&lt;/material&gt;&lt;/response_label&gt;"),"")</f>
        <v/>
      </c>
      <c r="AD19" s="46">
        <f>IF($B19,IF(N19="","","        &lt;response_label ident=""2""&gt;&lt;material&gt;&lt;mattext texttype=""text/html""&gt;"&amp;N19&amp;"&lt;/mattext&gt;&lt;/material&gt;&lt;/response_label&gt;"),"")</f>
        <v/>
      </c>
      <c r="AE19" s="46">
        <f>IF($B19,IF(O19="","","        &lt;response_label ident=""3""&gt;&lt;material&gt;&lt;mattext texttype=""text/html""&gt;"&amp;O19&amp;"&lt;/mattext&gt;&lt;/material&gt;&lt;/response_label&gt;"),"")</f>
        <v/>
      </c>
      <c r="AF19" s="46">
        <f>IF($B19,IF(P19="","","        &lt;response_label ident=""4""&gt;&lt;material&gt;&lt;mattext texttype=""text/html""&gt;"&amp;P19&amp;"&lt;/mattext&gt;&lt;/material&gt;&lt;/response_label&gt;"),"")</f>
        <v/>
      </c>
      <c r="AG19" s="46">
        <f>IF($B19,IF(Q19="","","        &lt;response_label ident=""5""&gt;&lt;material&gt;&lt;mattext texttype=""text/html""&gt;"&amp;Q19&amp;"&lt;/mattext&gt;&lt;/material&gt;&lt;/response_label&gt;"),"")</f>
        <v/>
      </c>
      <c r="AH19" s="46">
        <f>IF($B19,IF(R19="","","        &lt;response_label ident=""6""&gt;&lt;material&gt;&lt;mattext texttype=""text/html""&gt;"&amp;R19&amp;"&lt;/mattext&gt;&lt;/material&gt;&lt;/response_label&gt;"),"")</f>
        <v/>
      </c>
      <c r="AI19" s="46">
        <f>IF($B19,IF(S19="","","        &lt;response_label ident=""7""&gt;&lt;material&gt;&lt;mattext texttype=""text/html""&gt;"&amp;S19&amp;"&lt;/mattext&gt;&lt;/material&gt;&lt;/response_label&gt;"),"")</f>
        <v/>
      </c>
      <c r="AJ19" s="46">
        <f>IF($B19,IF(L19="","",IF($C19="qcu",IF(OR(T19,AT19&lt;&gt;"",$AS19&lt;&gt;""),"      &lt;respcondition continue=""Yes""&gt;&lt;conditionvar&gt;&lt;varequal respident=""RESPONSE""&gt;0&lt;/varequal&gt;&lt;/conditionvar&gt;"&amp;"&lt;setvar action=""Add""&gt;"&amp;IF(T19,$H19,0)&amp;"&lt;/setvar&gt;"&amp;IF(AT19&lt;&gt;"","&lt;displayfeedback feedbacktype=""Response"" linkrefid=""response_0""/&gt;",IF($AS19&lt;&gt;"","&lt;displayfeedback feedbacktype=""Response"" linkrefid=""qti_feedback_trigger""/&gt;",""))&amp;"&lt;/respcondition&gt;",""),IF(OR(T19,AT19&lt;&gt;"",$AS19&lt;&gt;""),"      &lt;respcondition continue=""Yes""&gt;&lt;conditionvar&gt;"&amp;IF(T19,"&lt;varequal respident=""RESPONSE""&gt;0&lt;/varequal&gt;","&lt;not&gt;&lt;varequal respident=""RESPONSE""&gt;0&lt;/varequal&gt;&lt;/not&gt;")&amp;"&lt;/conditionvar&gt;&lt;setvar action=""Add""&gt;"&amp;(Saisie_Questions!$N19/$I19)&amp;"&lt;/setvar&gt;"&amp;IF(AT19&lt;&gt;"","&lt;displayfeedback feedbacktype=""Response"" linkrefid=""response_0""/&gt;",IF($AS19&lt;&gt;"","&lt;displayfeedback feedbacktype=""Response"" linkrefid=""qti_feedback_trigger""/&gt;",""))&amp;"&lt;/respcondition&gt;",""))),"")</f>
      </c>
      <c r="AK19" s="46">
        <f>IF($B19,IF(M19="","",IF($C19="qcu",IF(OR(U19,AU19&lt;&gt;"",$AS19&lt;&gt;""),"      &lt;respcondition continue=""Yes""&gt;&lt;conditionvar&gt;&lt;varequal respident=""RESPONSE""&gt;1&lt;/varequal&gt;&lt;/conditionvar&gt;"&amp;"&lt;setvar action=""Add""&gt;"&amp;IF(U19,$H19,0)&amp;"&lt;/setvar&gt;"&amp;IF(AU19&lt;&gt;"","&lt;displayfeedback feedbacktype=""Response"" linkrefid=""response_1""/&gt;",IF($AS19&lt;&gt;"","&lt;displayfeedback feedbacktype=""Response"" linkrefid=""qti_feedback_trigger""/&gt;",""))&amp;"&lt;/respcondition&gt;",""),IF(OR(U19,AU19&lt;&gt;"",$AS19&lt;&gt;""),"      &lt;respcondition continue=""Yes""&gt;&lt;conditionvar&gt;"&amp;IF(U19,"&lt;varequal respident=""RESPONSE""&gt;1&lt;/varequal&gt;","&lt;not&gt;&lt;varequal respident=""RESPONSE""&gt;1&lt;/varequal&gt;&lt;/not&gt;")&amp;"&lt;/conditionvar&gt;&lt;setvar action=""Add""&gt;"&amp;(Saisie_Questions!$N19/$I19)&amp;"&lt;/setvar&gt;"&amp;IF(AU19&lt;&gt;"","&lt;displayfeedback feedbacktype=""Response"" linkrefid=""response_1""/&gt;",IF($AS19&lt;&gt;"","&lt;displayfeedback feedbacktype=""Response"" linkrefid=""qti_feedback_trigger""/&gt;",""))&amp;"&lt;/respcondition&gt;",""))),"")</f>
      </c>
      <c r="AL19" s="46">
        <f>IF($B19,IF(N19="","",IF($C19="qcu",IF(OR(V19,AV19&lt;&gt;"",$AS19&lt;&gt;""),"      &lt;respcondition continue=""Yes""&gt;&lt;conditionvar&gt;&lt;varequal respident=""RESPONSE""&gt;2&lt;/varequal&gt;&lt;/conditionvar&gt;"&amp;"&lt;setvar action=""Add""&gt;"&amp;IF(V19,$H19,0)&amp;"&lt;/setvar&gt;"&amp;IF(AV19&lt;&gt;"","&lt;displayfeedback feedbacktype=""Response"" linkrefid=""response_2""/&gt;",IF($AS19&lt;&gt;"","&lt;displayfeedback feedbacktype=""Response"" linkrefid=""qti_feedback_trigger""/&gt;",""))&amp;"&lt;/respcondition&gt;",""),IF(OR(V19,AV19&lt;&gt;"",$AS19&lt;&gt;""),"      &lt;respcondition continue=""Yes""&gt;&lt;conditionvar&gt;"&amp;IF(V19,"&lt;varequal respident=""RESPONSE""&gt;2&lt;/varequal&gt;","&lt;not&gt;&lt;varequal respident=""RESPONSE""&gt;2&lt;/varequal&gt;&lt;/not&gt;")&amp;"&lt;/conditionvar&gt;&lt;setvar action=""Add""&gt;"&amp;(Saisie_Questions!$N19/$I19)&amp;"&lt;/setvar&gt;"&amp;IF(AV19&lt;&gt;"","&lt;displayfeedback feedbacktype=""Response"" linkrefid=""response_2""/&gt;",IF($AS19&lt;&gt;"","&lt;displayfeedback feedbacktype=""Response"" linkrefid=""qti_feedback_trigger""/&gt;",""))&amp;"&lt;/respcondition&gt;",""))),"")</f>
      </c>
      <c r="AM19" s="46">
        <f>IF($B19,IF(O19="","",IF($C19="qcu",IF(OR(W19,AW19&lt;&gt;"",$AS19&lt;&gt;""),"      &lt;respcondition continue=""Yes""&gt;&lt;conditionvar&gt;&lt;varequal respident=""RESPONSE""&gt;3&lt;/varequal&gt;&lt;/conditionvar&gt;"&amp;"&lt;setvar action=""Add""&gt;"&amp;IF(W19,$H19,0)&amp;"&lt;/setvar&gt;"&amp;IF(AW19&lt;&gt;"","&lt;displayfeedback feedbacktype=""Response"" linkrefid=""response_3""/&gt;",IF($AS19&lt;&gt;"","&lt;displayfeedback feedbacktype=""Response"" linkrefid=""qti_feedback_trigger""/&gt;",""))&amp;"&lt;/respcondition&gt;",""),IF(OR(W19,AW19&lt;&gt;"",$AS19&lt;&gt;""),"      &lt;respcondition continue=""Yes""&gt;&lt;conditionvar&gt;"&amp;IF(W19,"&lt;varequal respident=""RESPONSE""&gt;3&lt;/varequal&gt;","&lt;not&gt;&lt;varequal respident=""RESPONSE""&gt;3&lt;/varequal&gt;&lt;/not&gt;")&amp;"&lt;/conditionvar&gt;&lt;setvar action=""Add""&gt;"&amp;(Saisie_Questions!$N19/$I19)&amp;"&lt;/setvar&gt;"&amp;IF(AW19&lt;&gt;"","&lt;displayfeedback feedbacktype=""Response"" linkrefid=""response_3""/&gt;",IF($AS19&lt;&gt;"","&lt;displayfeedback feedbacktype=""Response"" linkrefid=""qti_feedback_trigger""/&gt;",""))&amp;"&lt;/respcondition&gt;",""))),"")</f>
      </c>
      <c r="AN19" s="46">
        <f>IF($B19,IF(P19="","",IF($C19="qcu",IF(OR(X19,AX19&lt;&gt;"",$AS19&lt;&gt;""),"      &lt;respcondition continue=""Yes""&gt;&lt;conditionvar&gt;&lt;varequal respident=""RESPONSE""&gt;4&lt;/varequal&gt;&lt;/conditionvar&gt;"&amp;"&lt;setvar action=""Add""&gt;"&amp;IF(X19,$H19,0)&amp;"&lt;/setvar&gt;"&amp;IF(AX19&lt;&gt;"","&lt;displayfeedback feedbacktype=""Response"" linkrefid=""response_4""/&gt;",IF($AS19&lt;&gt;"","&lt;displayfeedback feedbacktype=""Response"" linkrefid=""qti_feedback_trigger""/&gt;",""))&amp;"&lt;/respcondition&gt;",""),IF(OR(X19,AX19&lt;&gt;"",$AS19&lt;&gt;""),"      &lt;respcondition continue=""Yes""&gt;&lt;conditionvar&gt;"&amp;IF(X19,"&lt;varequal respident=""RESPONSE""&gt;4&lt;/varequal&gt;","&lt;not&gt;&lt;varequal respident=""RESPONSE""&gt;4&lt;/varequal&gt;&lt;/not&gt;")&amp;"&lt;/conditionvar&gt;&lt;setvar action=""Add""&gt;"&amp;(Saisie_Questions!$N19/$I19)&amp;"&lt;/setvar&gt;"&amp;IF(AX19&lt;&gt;"","&lt;displayfeedback feedbacktype=""Response"" linkrefid=""response_4""/&gt;",IF($AS19&lt;&gt;"","&lt;displayfeedback feedbacktype=""Response"" linkrefid=""qti_feedback_trigger""/&gt;",""))&amp;"&lt;/respcondition&gt;",""))),"")</f>
      </c>
      <c r="AO19" s="46">
        <f>IF($B19,IF(Q19="","",IF($C19="qcu",IF(OR(Y19,AY19&lt;&gt;"",$AS19&lt;&gt;""),"      &lt;respcondition continue=""Yes""&gt;&lt;conditionvar&gt;&lt;varequal respident=""RESPONSE""&gt;5&lt;/varequal&gt;&lt;/conditionvar&gt;"&amp;"&lt;setvar action=""Add""&gt;"&amp;IF(Y19,$H19,0)&amp;"&lt;/setvar&gt;"&amp;IF(AY19&lt;&gt;"","&lt;displayfeedback feedbacktype=""Response"" linkrefid=""response_5""/&gt;",IF($AS19&lt;&gt;"","&lt;displayfeedback feedbacktype=""Response"" linkrefid=""qti_feedback_trigger""/&gt;",""))&amp;"&lt;/respcondition&gt;",""),IF(OR(Y19,AY19&lt;&gt;"",$AS19&lt;&gt;""),"      &lt;respcondition continue=""Yes""&gt;&lt;conditionvar&gt;"&amp;IF(Y19,"&lt;varequal respident=""RESPONSE""&gt;5&lt;/varequal&gt;","&lt;not&gt;&lt;varequal respident=""RESPONSE""&gt;5&lt;/varequal&gt;&lt;/not&gt;")&amp;"&lt;/conditionvar&gt;&lt;setvar action=""Add""&gt;"&amp;(Saisie_Questions!$N19/$I19)&amp;"&lt;/setvar&gt;"&amp;IF(AY19&lt;&gt;"","&lt;displayfeedback feedbacktype=""Response"" linkrefid=""response_5""/&gt;",IF($AS19&lt;&gt;"","&lt;displayfeedback feedbacktype=""Response"" linkrefid=""qti_feedback_trigger""/&gt;",""))&amp;"&lt;/respcondition&gt;",""))),"")</f>
      </c>
      <c r="AP19" s="46">
        <f>IF($B19,IF(R19="","",IF($C19="qcu",IF(OR(Z19,AZ19&lt;&gt;"",$AS19&lt;&gt;""),"      &lt;respcondition continue=""Yes""&gt;&lt;conditionvar&gt;&lt;varequal respident=""RESPONSE""&gt;6&lt;/varequal&gt;&lt;/conditionvar&gt;"&amp;"&lt;setvar action=""Add""&gt;"&amp;IF(Z19,$H19,0)&amp;"&lt;/setvar&gt;"&amp;IF(AZ19&lt;&gt;"","&lt;displayfeedback feedbacktype=""Response"" linkrefid=""response_6""/&gt;",IF($AS19&lt;&gt;"","&lt;displayfeedback feedbacktype=""Response"" linkrefid=""qti_feedback_trigger""/&gt;",""))&amp;"&lt;/respcondition&gt;",""),IF(OR(Z19,AZ19&lt;&gt;"",$AS19&lt;&gt;""),"      &lt;respcondition continue=""Yes""&gt;&lt;conditionvar&gt;"&amp;IF(Z19,"&lt;varequal respident=""RESPONSE""&gt;6&lt;/varequal&gt;","&lt;not&gt;&lt;varequal respident=""RESPONSE""&gt;6&lt;/varequal&gt;&lt;/not&gt;")&amp;"&lt;/conditionvar&gt;&lt;setvar action=""Add""&gt;"&amp;(Saisie_Questions!$N19/$I19)&amp;"&lt;/setvar&gt;"&amp;IF(AZ19&lt;&gt;"","&lt;displayfeedback feedbacktype=""Response"" linkrefid=""response_6""/&gt;",IF($AS19&lt;&gt;"","&lt;displayfeedback feedbacktype=""Response"" linkrefid=""qti_feedback_trigger""/&gt;",""))&amp;"&lt;/respcondition&gt;",""))),"")</f>
      </c>
      <c r="AQ19" s="46">
        <f>IF($B19,IF(S19="","",IF($C19="qcu",IF(OR(AA19,BA19&lt;&gt;"",$AS19&lt;&gt;""),"      &lt;respcondition continue=""Yes""&gt;&lt;conditionvar&gt;&lt;varequal respident=""RESPONSE""&gt;7&lt;/varequal&gt;&lt;/conditionvar&gt;"&amp;"&lt;setvar action=""Add""&gt;"&amp;IF(AA19,$H19,0)&amp;"&lt;/setvar&gt;"&amp;IF(BA19&lt;&gt;"","&lt;displayfeedback feedbacktype=""Response"" linkrefid=""response_7""/&gt;",IF($AS19&lt;&gt;"","&lt;displayfeedback feedbacktype=""Response"" linkrefid=""qti_feedback_trigger""/&gt;",""))&amp;"&lt;/respcondition&gt;",""),IF(OR(AA19,BA19&lt;&gt;"",$AS19&lt;&gt;""),"      &lt;respcondition continue=""Yes""&gt;&lt;conditionvar&gt;"&amp;IF(AA19,"&lt;varequal respident=""RESPONSE""&gt;7&lt;/varequal&gt;","&lt;not&gt;&lt;varequal respident=""RESPONSE""&gt;7&lt;/varequal&gt;&lt;/not&gt;")&amp;"&lt;/conditionvar&gt;&lt;setvar action=""Add""&gt;"&amp;(Saisie_Questions!$N19/$I19)&amp;"&lt;/setvar&gt;"&amp;IF(BA19&lt;&gt;"","&lt;displayfeedback feedbacktype=""Response"" linkrefid=""response_7""/&gt;",IF($AS19&lt;&gt;"","&lt;displayfeedback feedbacktype=""Response"" linkrefid=""qti_feedback_trigger""/&gt;",""))&amp;"&lt;/respcondition&gt;",""))),"")</f>
      </c>
      <c r="AR19" s="46">
        <f>IF(A19="","",SUBSTITUTE(SUBSTITUTE(SUBSTITUTE(SUBSTITUTE(SUBSTITUTE(IF(Saisie_Questions!P19&lt;&gt;"",Saisie_Questions!P19,Interface_Generation!$B$5),"&amp;","&amp;amp;"),"&lt;","&amp;lt;"),"&gt;","&amp;gt;"),CHAR(34),"&amp;quot;"),"'","&amp;apos;"))</f>
        <v/>
      </c>
      <c r="AS19" s="46">
        <f>IF(Saisie_Questions!Q19="","",SUBSTITUTE(SUBSTITUTE(SUBSTITUTE(SUBSTITUTE(SUBSTITUTE(Saisie_Questions!Q19,"&amp;","&amp;amp;"),"&lt;","&amp;lt;"),"&gt;","&amp;gt;"),CHAR(34),"&amp;quot;"),"'","&amp;apos;"))</f>
        <v/>
      </c>
      <c r="AT19" s="46">
        <f>IF(Saisie_Questions!R19="","",SUBSTITUTE(SUBSTITUTE(SUBSTITUTE(SUBSTITUTE(SUBSTITUTE(Saisie_Questions!R19,"&amp;","&amp;amp;"),"&lt;","&amp;lt;"),"&gt;","&amp;gt;"),CHAR(34),"&amp;quot;"),"'","&amp;apos;"))</f>
        <v/>
      </c>
      <c r="AU19" s="46">
        <f>IF(Saisie_Questions!S19="","",SUBSTITUTE(SUBSTITUTE(SUBSTITUTE(SUBSTITUTE(SUBSTITUTE(Saisie_Questions!S19,"&amp;","&amp;amp;"),"&lt;","&amp;lt;"),"&gt;","&amp;gt;"),CHAR(34),"&amp;quot;"),"'","&amp;apos;"))</f>
        <v/>
      </c>
      <c r="AV19" s="46">
        <f>IF(Saisie_Questions!T19="","",SUBSTITUTE(SUBSTITUTE(SUBSTITUTE(SUBSTITUTE(SUBSTITUTE(Saisie_Questions!T19,"&amp;","&amp;amp;"),"&lt;","&amp;lt;"),"&gt;","&amp;gt;"),CHAR(34),"&amp;quot;"),"'","&amp;apos;"))</f>
        <v/>
      </c>
      <c r="AW19" s="46">
        <f>IF(Saisie_Questions!U19="","",SUBSTITUTE(SUBSTITUTE(SUBSTITUTE(SUBSTITUTE(SUBSTITUTE(Saisie_Questions!U19,"&amp;","&amp;amp;"),"&lt;","&amp;lt;"),"&gt;","&amp;gt;"),CHAR(34),"&amp;quot;"),"'","&amp;apos;"))</f>
        <v/>
      </c>
      <c r="AX19" s="46">
        <f>IF(Saisie_Questions!V19="","",SUBSTITUTE(SUBSTITUTE(SUBSTITUTE(SUBSTITUTE(SUBSTITUTE(Saisie_Questions!V19,"&amp;","&amp;amp;"),"&lt;","&amp;lt;"),"&gt;","&amp;gt;"),CHAR(34),"&amp;quot;"),"'","&amp;apos;"))</f>
        <v/>
      </c>
      <c r="AY19" s="46">
        <f>IF(Saisie_Questions!W19="","",SUBSTITUTE(SUBSTITUTE(SUBSTITUTE(SUBSTITUTE(SUBSTITUTE(Saisie_Questions!W19,"&amp;","&amp;amp;"),"&lt;","&amp;lt;"),"&gt;","&amp;gt;"),CHAR(34),"&amp;quot;"),"'","&amp;apos;"))</f>
        <v/>
      </c>
      <c r="AZ19" s="46">
        <f>IF(Saisie_Questions!X19="","",SUBSTITUTE(SUBSTITUTE(SUBSTITUTE(SUBSTITUTE(SUBSTITUTE(Saisie_Questions!X19,"&amp;","&amp;amp;"),"&lt;","&amp;lt;"),"&gt;","&amp;gt;"),CHAR(34),"&amp;quot;"),"'","&amp;apos;"))</f>
        <v/>
      </c>
      <c r="BA19" s="46">
        <f>IF(Saisie_Questions!Y19="","",SUBSTITUTE(SUBSTITUTE(SUBSTITUTE(SUBSTITUTE(SUBSTITUTE(Saisie_Questions!Y19,"&amp;","&amp;amp;"),"&lt;","&amp;lt;"),"&gt;","&amp;gt;"),CHAR(34),"&amp;quot;"),"'","&amp;apos;"))</f>
        <v/>
      </c>
      <c r="BB19" s="46">
        <f>IF($B19,IF($AS19="","","    &lt;itemfeedback ident=""response_allcorrect"" view=""All""&gt;&lt;flow_mat&gt;&lt;material&gt;&lt;mattext texttype=""text/html""&gt;"&amp;$AS19&amp;"&lt;/mattext&gt;&lt;/material&gt;&lt;/flow_mat&gt;&lt;/itemfeedback&gt;"&amp;"    &lt;itemfeedback ident=""response_onenotcorrect"" view=""All""&gt;&lt;flow_mat&gt;&lt;material&gt;&lt;mattext texttype=""text/html""&gt;"&amp;$AS19&amp;"&lt;/mattext&gt;&lt;/material&gt;&lt;/flow_mat&gt;&lt;/itemfeedback&gt;"),"")</f>
      </c>
      <c r="BC19" s="46">
        <f>IF($B19,IF(AT19="","","    &lt;itemfeedback ident=""response_0"" view=""All""&gt;&lt;flow_mat&gt;&lt;material&gt;&lt;mattext texttype=""text/html""&gt;"&amp;AT19&amp;"&lt;/mattext&gt;&lt;/material&gt;&lt;/flow_mat&gt;&lt;/itemfeedback&gt;"),"")</f>
      </c>
      <c r="BD19" s="46">
        <f>IF($B19,IF(AU19="","","    &lt;itemfeedback ident=""response_1"" view=""All""&gt;&lt;flow_mat&gt;&lt;material&gt;&lt;mattext texttype=""text/html""&gt;"&amp;AU19&amp;"&lt;/mattext&gt;&lt;/material&gt;&lt;/flow_mat&gt;&lt;/itemfeedback&gt;"),"")</f>
      </c>
      <c r="BE19" s="46">
        <f>IF($B19,IF(AV19="","","    &lt;itemfeedback ident=""response_2"" view=""All""&gt;&lt;flow_mat&gt;&lt;material&gt;&lt;mattext texttype=""text/html""&gt;"&amp;AV19&amp;"&lt;/mattext&gt;&lt;/material&gt;&lt;/flow_mat&gt;&lt;/itemfeedback&gt;"),"")</f>
      </c>
      <c r="BF19" s="46">
        <f>IF($B19,IF(AW19="","","    &lt;itemfeedback ident=""response_3"" view=""All""&gt;&lt;flow_mat&gt;&lt;material&gt;&lt;mattext texttype=""text/html""&gt;"&amp;AW19&amp;"&lt;/mattext&gt;&lt;/material&gt;&lt;/flow_mat&gt;&lt;/itemfeedback&gt;"),"")</f>
      </c>
      <c r="BG19" s="46">
        <f>IF($B19,IF(AX19="","","    &lt;itemfeedback ident=""response_4"" view=""All""&gt;&lt;flow_mat&gt;&lt;material&gt;&lt;mattext texttype=""text/html""&gt;"&amp;AX19&amp;"&lt;/mattext&gt;&lt;/material&gt;&lt;/flow_mat&gt;&lt;/itemfeedback&gt;"),"")</f>
      </c>
      <c r="BH19" s="46">
        <f>IF($B19,IF(AY19="","","    &lt;itemfeedback ident=""response_5"" view=""All""&gt;&lt;flow_mat&gt;&lt;material&gt;&lt;mattext texttype=""text/html""&gt;"&amp;AY19&amp;"&lt;/mattext&gt;&lt;/material&gt;&lt;/flow_mat&gt;&lt;/itemfeedback&gt;"),"")</f>
      </c>
      <c r="BI19" s="46">
        <f>IF($B19,IF(AZ19="","","    &lt;itemfeedback ident=""response_6"" view=""All""&gt;&lt;flow_mat&gt;&lt;material&gt;&lt;mattext texttype=""text/html""&gt;"&amp;AZ19&amp;"&lt;/mattext&gt;&lt;/material&gt;&lt;/flow_mat&gt;&lt;/itemfeedback&gt;"),"")</f>
      </c>
      <c r="BJ19" s="46">
        <f>IF($B19,IF(BA19="","","    &lt;itemfeedback ident=""response_7"" view=""All""&gt;&lt;flow_mat&gt;&lt;material&gt;&lt;mattext texttype=""text/html""&gt;"&amp;BA19&amp;"&lt;/mattext&gt;&lt;/material&gt;&lt;/flow_mat&gt;&lt;/itemfeedback&gt;"),"")</f>
      </c>
    </row>
    <row r="20" ht="18" customHeight="1" s="17">
      <c r="A20" s="46">
        <f>Saisie_Questions!A20</f>
        <v/>
      </c>
      <c r="B20" s="46">
        <f>Saisie_Questions!O20="OK"</f>
        <v/>
      </c>
      <c r="C20" s="46">
        <f>LOWER(TRIM(Saisie_Questions!B20))</f>
        <v/>
      </c>
      <c r="D20" s="46">
        <f>IF(C20="qcu","SINGLE CHOICE QUESTION","MULTIPLE CHOICE QUESTION")</f>
        <v/>
      </c>
      <c r="E20" s="46">
        <f>IF(C20="qcu","Single","Multiple")</f>
        <v/>
      </c>
      <c r="F20" s="46">
        <f>IF(A20="","",SUBSTITUTE(SUBSTITUTE(SUBSTITUTE(SUBSTITUTE(SUBSTITUTE(IF(Saisie_Questions!C20="", "Question "&amp;A20, Saisie_Questions!C20),"&amp;","&amp;amp;"),"&lt;","&amp;lt;"),"&gt;","&amp;gt;"),CHAR(34),"&amp;quot;"),"'","&amp;apos;"))</f>
        <v/>
      </c>
      <c r="G20" s="46">
        <f>IF(A20="","",SUBSTITUTE(SUBSTITUTE(SUBSTITUTE(SUBSTITUTE(SUBSTITUTE(Saisie_Questions!D20,"&amp;","&amp;amp;"),"&lt;","&amp;lt;"),"&gt;","&amp;gt;"),CHAR(34),"&amp;quot;"),"'","&amp;apos;"))</f>
        <v/>
      </c>
      <c r="H20" s="46">
        <f>Saisie_Questions!N20</f>
        <v/>
      </c>
      <c r="I20" s="46">
        <f>IF(Saisie_Questions!E20="",0,1)+IF(Saisie_Questions!F20="",0,1)+IF(Saisie_Questions!G20="",0,1)+IF(Saisie_Questions!H20="",0,1)+IF(Saisie_Questions!I20="",0,1)+IF(Saisie_Questions!J20="",0,1)+IF(Saisie_Questions!K20="",0,1)+IF(Saisie_Questions!L20="",0,1)</f>
        <v/>
      </c>
      <c r="J20" s="46">
        <f>Saisie_Questions!M20</f>
        <v/>
      </c>
      <c r="K20" s="46">
        <f>Saisie_Questions!O20</f>
        <v/>
      </c>
      <c r="L20" s="46">
        <f>IF(Saisie_Questions!E20="","",SUBSTITUTE(SUBSTITUTE(SUBSTITUTE(SUBSTITUTE(SUBSTITUTE(Saisie_Questions!E20,"&amp;","&amp;amp;"),"&lt;","&amp;lt;"),"&gt;","&amp;gt;"),CHAR(34),"&amp;quot;"),"'","&amp;apos;"))</f>
        <v/>
      </c>
      <c r="M20" s="46">
        <f>IF(Saisie_Questions!F20="","",SUBSTITUTE(SUBSTITUTE(SUBSTITUTE(SUBSTITUTE(SUBSTITUTE(Saisie_Questions!F20,"&amp;","&amp;amp;"),"&lt;","&amp;lt;"),"&gt;","&amp;gt;"),CHAR(34),"&amp;quot;"),"'","&amp;apos;"))</f>
        <v/>
      </c>
      <c r="N20" s="46">
        <f>IF(Saisie_Questions!G20="","",SUBSTITUTE(SUBSTITUTE(SUBSTITUTE(SUBSTITUTE(SUBSTITUTE(Saisie_Questions!G20,"&amp;","&amp;amp;"),"&lt;","&amp;lt;"),"&gt;","&amp;gt;"),CHAR(34),"&amp;quot;"),"'","&amp;apos;"))</f>
        <v/>
      </c>
      <c r="O20" s="46">
        <f>IF(Saisie_Questions!H20="","",SUBSTITUTE(SUBSTITUTE(SUBSTITUTE(SUBSTITUTE(SUBSTITUTE(Saisie_Questions!H20,"&amp;","&amp;amp;"),"&lt;","&amp;lt;"),"&gt;","&amp;gt;"),CHAR(34),"&amp;quot;"),"'","&amp;apos;"))</f>
        <v/>
      </c>
      <c r="P20" s="46">
        <f>IF(Saisie_Questions!I20="","",SUBSTITUTE(SUBSTITUTE(SUBSTITUTE(SUBSTITUTE(SUBSTITUTE(Saisie_Questions!I20,"&amp;","&amp;amp;"),"&lt;","&amp;lt;"),"&gt;","&amp;gt;"),CHAR(34),"&amp;quot;"),"'","&amp;apos;"))</f>
        <v/>
      </c>
      <c r="Q20" s="46">
        <f>IF(Saisie_Questions!J20="","",SUBSTITUTE(SUBSTITUTE(SUBSTITUTE(SUBSTITUTE(SUBSTITUTE(Saisie_Questions!J20,"&amp;","&amp;amp;"),"&lt;","&amp;lt;"),"&gt;","&amp;gt;"),CHAR(34),"&amp;quot;"),"'","&amp;apos;"))</f>
        <v/>
      </c>
      <c r="R20" s="46">
        <f>IF(Saisie_Questions!K20="","",SUBSTITUTE(SUBSTITUTE(SUBSTITUTE(SUBSTITUTE(SUBSTITUTE(Saisie_Questions!K20,"&amp;","&amp;amp;"),"&lt;","&amp;lt;"),"&gt;","&amp;gt;"),CHAR(34),"&amp;quot;"),"'","&amp;apos;"))</f>
        <v/>
      </c>
      <c r="S20" s="46">
        <f>IF(Saisie_Questions!L20="","",SUBSTITUTE(SUBSTITUTE(SUBSTITUTE(SUBSTITUTE(SUBSTITUTE(Saisie_Questions!L20,"&amp;","&amp;amp;"),"&lt;","&amp;lt;"),"&gt;","&amp;gt;"),CHAR(34),"&amp;quot;"),"'","&amp;apos;"))</f>
        <v/>
      </c>
      <c r="T20" s="46">
        <f>ISNUMBER(SEARCH(";"&amp;1&amp;";",";"&amp;$J20&amp;";"))</f>
        <v/>
      </c>
      <c r="U20" s="46">
        <f>ISNUMBER(SEARCH(";"&amp;2&amp;";",";"&amp;$J20&amp;";"))</f>
        <v/>
      </c>
      <c r="V20" s="46">
        <f>ISNUMBER(SEARCH(";"&amp;3&amp;";",";"&amp;$J20&amp;";"))</f>
        <v/>
      </c>
      <c r="W20" s="46">
        <f>ISNUMBER(SEARCH(";"&amp;4&amp;";",";"&amp;$J20&amp;";"))</f>
        <v/>
      </c>
      <c r="X20" s="46">
        <f>ISNUMBER(SEARCH(";"&amp;5&amp;";",";"&amp;$J20&amp;";"))</f>
        <v/>
      </c>
      <c r="Y20" s="46">
        <f>ISNUMBER(SEARCH(";"&amp;6&amp;";",";"&amp;$J20&amp;";"))</f>
        <v/>
      </c>
      <c r="Z20" s="46">
        <f>ISNUMBER(SEARCH(";"&amp;7&amp;";",";"&amp;$J20&amp;";"))</f>
        <v/>
      </c>
      <c r="AA20" s="46">
        <f>ISNUMBER(SEARCH(";"&amp;8&amp;";",";"&amp;$J20&amp;";"))</f>
        <v/>
      </c>
      <c r="AB20" s="46">
        <f>IF($B20,IF(L20="","","        &lt;response_label ident=""0""&gt;&lt;material&gt;&lt;mattext texttype=""text/html""&gt;"&amp;L20&amp;"&lt;/mattext&gt;&lt;/material&gt;&lt;/response_label&gt;"),"")</f>
        <v/>
      </c>
      <c r="AC20" s="46">
        <f>IF($B20,IF(M20="","","        &lt;response_label ident=""1""&gt;&lt;material&gt;&lt;mattext texttype=""text/html""&gt;"&amp;M20&amp;"&lt;/mattext&gt;&lt;/material&gt;&lt;/response_label&gt;"),"")</f>
        <v/>
      </c>
      <c r="AD20" s="46">
        <f>IF($B20,IF(N20="","","        &lt;response_label ident=""2""&gt;&lt;material&gt;&lt;mattext texttype=""text/html""&gt;"&amp;N20&amp;"&lt;/mattext&gt;&lt;/material&gt;&lt;/response_label&gt;"),"")</f>
        <v/>
      </c>
      <c r="AE20" s="46">
        <f>IF($B20,IF(O20="","","        &lt;response_label ident=""3""&gt;&lt;material&gt;&lt;mattext texttype=""text/html""&gt;"&amp;O20&amp;"&lt;/mattext&gt;&lt;/material&gt;&lt;/response_label&gt;"),"")</f>
        <v/>
      </c>
      <c r="AF20" s="46">
        <f>IF($B20,IF(P20="","","        &lt;response_label ident=""4""&gt;&lt;material&gt;&lt;mattext texttype=""text/html""&gt;"&amp;P20&amp;"&lt;/mattext&gt;&lt;/material&gt;&lt;/response_label&gt;"),"")</f>
        <v/>
      </c>
      <c r="AG20" s="46">
        <f>IF($B20,IF(Q20="","","        &lt;response_label ident=""5""&gt;&lt;material&gt;&lt;mattext texttype=""text/html""&gt;"&amp;Q20&amp;"&lt;/mattext&gt;&lt;/material&gt;&lt;/response_label&gt;"),"")</f>
        <v/>
      </c>
      <c r="AH20" s="46">
        <f>IF($B20,IF(R20="","","        &lt;response_label ident=""6""&gt;&lt;material&gt;&lt;mattext texttype=""text/html""&gt;"&amp;R20&amp;"&lt;/mattext&gt;&lt;/material&gt;&lt;/response_label&gt;"),"")</f>
        <v/>
      </c>
      <c r="AI20" s="46">
        <f>IF($B20,IF(S20="","","        &lt;response_label ident=""7""&gt;&lt;material&gt;&lt;mattext texttype=""text/html""&gt;"&amp;S20&amp;"&lt;/mattext&gt;&lt;/material&gt;&lt;/response_label&gt;"),"")</f>
        <v/>
      </c>
      <c r="AJ20" s="46">
        <f>IF($B20,IF(L20="","",IF($C20="qcu",IF(OR(T20,AT20&lt;&gt;"",$AS20&lt;&gt;""),"      &lt;respcondition continue=""Yes""&gt;&lt;conditionvar&gt;&lt;varequal respident=""RESPONSE""&gt;0&lt;/varequal&gt;&lt;/conditionvar&gt;"&amp;"&lt;setvar action=""Add""&gt;"&amp;IF(T20,$H20,0)&amp;"&lt;/setvar&gt;"&amp;IF(AT20&lt;&gt;"","&lt;displayfeedback feedbacktype=""Response"" linkrefid=""response_0""/&gt;",IF($AS20&lt;&gt;"","&lt;displayfeedback feedbacktype=""Response"" linkrefid=""qti_feedback_trigger""/&gt;",""))&amp;"&lt;/respcondition&gt;",""),IF(OR(T20,AT20&lt;&gt;"",$AS20&lt;&gt;""),"      &lt;respcondition continue=""Yes""&gt;&lt;conditionvar&gt;"&amp;IF(T20,"&lt;varequal respident=""RESPONSE""&gt;0&lt;/varequal&gt;","&lt;not&gt;&lt;varequal respident=""RESPONSE""&gt;0&lt;/varequal&gt;&lt;/not&gt;")&amp;"&lt;/conditionvar&gt;&lt;setvar action=""Add""&gt;"&amp;(Saisie_Questions!$N20/$I20)&amp;"&lt;/setvar&gt;"&amp;IF(AT20&lt;&gt;"","&lt;displayfeedback feedbacktype=""Response"" linkrefid=""response_0""/&gt;",IF($AS20&lt;&gt;"","&lt;displayfeedback feedbacktype=""Response"" linkrefid=""qti_feedback_trigger""/&gt;",""))&amp;"&lt;/respcondition&gt;",""))),"")</f>
      </c>
      <c r="AK20" s="46">
        <f>IF($B20,IF(M20="","",IF($C20="qcu",IF(OR(U20,AU20&lt;&gt;"",$AS20&lt;&gt;""),"      &lt;respcondition continue=""Yes""&gt;&lt;conditionvar&gt;&lt;varequal respident=""RESPONSE""&gt;1&lt;/varequal&gt;&lt;/conditionvar&gt;"&amp;"&lt;setvar action=""Add""&gt;"&amp;IF(U20,$H20,0)&amp;"&lt;/setvar&gt;"&amp;IF(AU20&lt;&gt;"","&lt;displayfeedback feedbacktype=""Response"" linkrefid=""response_1""/&gt;",IF($AS20&lt;&gt;"","&lt;displayfeedback feedbacktype=""Response"" linkrefid=""qti_feedback_trigger""/&gt;",""))&amp;"&lt;/respcondition&gt;",""),IF(OR(U20,AU20&lt;&gt;"",$AS20&lt;&gt;""),"      &lt;respcondition continue=""Yes""&gt;&lt;conditionvar&gt;"&amp;IF(U20,"&lt;varequal respident=""RESPONSE""&gt;1&lt;/varequal&gt;","&lt;not&gt;&lt;varequal respident=""RESPONSE""&gt;1&lt;/varequal&gt;&lt;/not&gt;")&amp;"&lt;/conditionvar&gt;&lt;setvar action=""Add""&gt;"&amp;(Saisie_Questions!$N20/$I20)&amp;"&lt;/setvar&gt;"&amp;IF(AU20&lt;&gt;"","&lt;displayfeedback feedbacktype=""Response"" linkrefid=""response_1""/&gt;",IF($AS20&lt;&gt;"","&lt;displayfeedback feedbacktype=""Response"" linkrefid=""qti_feedback_trigger""/&gt;",""))&amp;"&lt;/respcondition&gt;",""))),"")</f>
      </c>
      <c r="AL20" s="46">
        <f>IF($B20,IF(N20="","",IF($C20="qcu",IF(OR(V20,AV20&lt;&gt;"",$AS20&lt;&gt;""),"      &lt;respcondition continue=""Yes""&gt;&lt;conditionvar&gt;&lt;varequal respident=""RESPONSE""&gt;2&lt;/varequal&gt;&lt;/conditionvar&gt;"&amp;"&lt;setvar action=""Add""&gt;"&amp;IF(V20,$H20,0)&amp;"&lt;/setvar&gt;"&amp;IF(AV20&lt;&gt;"","&lt;displayfeedback feedbacktype=""Response"" linkrefid=""response_2""/&gt;",IF($AS20&lt;&gt;"","&lt;displayfeedback feedbacktype=""Response"" linkrefid=""qti_feedback_trigger""/&gt;",""))&amp;"&lt;/respcondition&gt;",""),IF(OR(V20,AV20&lt;&gt;"",$AS20&lt;&gt;""),"      &lt;respcondition continue=""Yes""&gt;&lt;conditionvar&gt;"&amp;IF(V20,"&lt;varequal respident=""RESPONSE""&gt;2&lt;/varequal&gt;","&lt;not&gt;&lt;varequal respident=""RESPONSE""&gt;2&lt;/varequal&gt;&lt;/not&gt;")&amp;"&lt;/conditionvar&gt;&lt;setvar action=""Add""&gt;"&amp;(Saisie_Questions!$N20/$I20)&amp;"&lt;/setvar&gt;"&amp;IF(AV20&lt;&gt;"","&lt;displayfeedback feedbacktype=""Response"" linkrefid=""response_2""/&gt;",IF($AS20&lt;&gt;"","&lt;displayfeedback feedbacktype=""Response"" linkrefid=""qti_feedback_trigger""/&gt;",""))&amp;"&lt;/respcondition&gt;",""))),"")</f>
      </c>
      <c r="AM20" s="46">
        <f>IF($B20,IF(O20="","",IF($C20="qcu",IF(OR(W20,AW20&lt;&gt;"",$AS20&lt;&gt;""),"      &lt;respcondition continue=""Yes""&gt;&lt;conditionvar&gt;&lt;varequal respident=""RESPONSE""&gt;3&lt;/varequal&gt;&lt;/conditionvar&gt;"&amp;"&lt;setvar action=""Add""&gt;"&amp;IF(W20,$H20,0)&amp;"&lt;/setvar&gt;"&amp;IF(AW20&lt;&gt;"","&lt;displayfeedback feedbacktype=""Response"" linkrefid=""response_3""/&gt;",IF($AS20&lt;&gt;"","&lt;displayfeedback feedbacktype=""Response"" linkrefid=""qti_feedback_trigger""/&gt;",""))&amp;"&lt;/respcondition&gt;",""),IF(OR(W20,AW20&lt;&gt;"",$AS20&lt;&gt;""),"      &lt;respcondition continue=""Yes""&gt;&lt;conditionvar&gt;"&amp;IF(W20,"&lt;varequal respident=""RESPONSE""&gt;3&lt;/varequal&gt;","&lt;not&gt;&lt;varequal respident=""RESPONSE""&gt;3&lt;/varequal&gt;&lt;/not&gt;")&amp;"&lt;/conditionvar&gt;&lt;setvar action=""Add""&gt;"&amp;(Saisie_Questions!$N20/$I20)&amp;"&lt;/setvar&gt;"&amp;IF(AW20&lt;&gt;"","&lt;displayfeedback feedbacktype=""Response"" linkrefid=""response_3""/&gt;",IF($AS20&lt;&gt;"","&lt;displayfeedback feedbacktype=""Response"" linkrefid=""qti_feedback_trigger""/&gt;",""))&amp;"&lt;/respcondition&gt;",""))),"")</f>
      </c>
      <c r="AN20" s="46">
        <f>IF($B20,IF(P20="","",IF($C20="qcu",IF(OR(X20,AX20&lt;&gt;"",$AS20&lt;&gt;""),"      &lt;respcondition continue=""Yes""&gt;&lt;conditionvar&gt;&lt;varequal respident=""RESPONSE""&gt;4&lt;/varequal&gt;&lt;/conditionvar&gt;"&amp;"&lt;setvar action=""Add""&gt;"&amp;IF(X20,$H20,0)&amp;"&lt;/setvar&gt;"&amp;IF(AX20&lt;&gt;"","&lt;displayfeedback feedbacktype=""Response"" linkrefid=""response_4""/&gt;",IF($AS20&lt;&gt;"","&lt;displayfeedback feedbacktype=""Response"" linkrefid=""qti_feedback_trigger""/&gt;",""))&amp;"&lt;/respcondition&gt;",""),IF(OR(X20,AX20&lt;&gt;"",$AS20&lt;&gt;""),"      &lt;respcondition continue=""Yes""&gt;&lt;conditionvar&gt;"&amp;IF(X20,"&lt;varequal respident=""RESPONSE""&gt;4&lt;/varequal&gt;","&lt;not&gt;&lt;varequal respident=""RESPONSE""&gt;4&lt;/varequal&gt;&lt;/not&gt;")&amp;"&lt;/conditionvar&gt;&lt;setvar action=""Add""&gt;"&amp;(Saisie_Questions!$N20/$I20)&amp;"&lt;/setvar&gt;"&amp;IF(AX20&lt;&gt;"","&lt;displayfeedback feedbacktype=""Response"" linkrefid=""response_4""/&gt;",IF($AS20&lt;&gt;"","&lt;displayfeedback feedbacktype=""Response"" linkrefid=""qti_feedback_trigger""/&gt;",""))&amp;"&lt;/respcondition&gt;",""))),"")</f>
      </c>
      <c r="AO20" s="46">
        <f>IF($B20,IF(Q20="","",IF($C20="qcu",IF(OR(Y20,AY20&lt;&gt;"",$AS20&lt;&gt;""),"      &lt;respcondition continue=""Yes""&gt;&lt;conditionvar&gt;&lt;varequal respident=""RESPONSE""&gt;5&lt;/varequal&gt;&lt;/conditionvar&gt;"&amp;"&lt;setvar action=""Add""&gt;"&amp;IF(Y20,$H20,0)&amp;"&lt;/setvar&gt;"&amp;IF(AY20&lt;&gt;"","&lt;displayfeedback feedbacktype=""Response"" linkrefid=""response_5""/&gt;",IF($AS20&lt;&gt;"","&lt;displayfeedback feedbacktype=""Response"" linkrefid=""qti_feedback_trigger""/&gt;",""))&amp;"&lt;/respcondition&gt;",""),IF(OR(Y20,AY20&lt;&gt;"",$AS20&lt;&gt;""),"      &lt;respcondition continue=""Yes""&gt;&lt;conditionvar&gt;"&amp;IF(Y20,"&lt;varequal respident=""RESPONSE""&gt;5&lt;/varequal&gt;","&lt;not&gt;&lt;varequal respident=""RESPONSE""&gt;5&lt;/varequal&gt;&lt;/not&gt;")&amp;"&lt;/conditionvar&gt;&lt;setvar action=""Add""&gt;"&amp;(Saisie_Questions!$N20/$I20)&amp;"&lt;/setvar&gt;"&amp;IF(AY20&lt;&gt;"","&lt;displayfeedback feedbacktype=""Response"" linkrefid=""response_5""/&gt;",IF($AS20&lt;&gt;"","&lt;displayfeedback feedbacktype=""Response"" linkrefid=""qti_feedback_trigger""/&gt;",""))&amp;"&lt;/respcondition&gt;",""))),"")</f>
      </c>
      <c r="AP20" s="46">
        <f>IF($B20,IF(R20="","",IF($C20="qcu",IF(OR(Z20,AZ20&lt;&gt;"",$AS20&lt;&gt;""),"      &lt;respcondition continue=""Yes""&gt;&lt;conditionvar&gt;&lt;varequal respident=""RESPONSE""&gt;6&lt;/varequal&gt;&lt;/conditionvar&gt;"&amp;"&lt;setvar action=""Add""&gt;"&amp;IF(Z20,$H20,0)&amp;"&lt;/setvar&gt;"&amp;IF(AZ20&lt;&gt;"","&lt;displayfeedback feedbacktype=""Response"" linkrefid=""response_6""/&gt;",IF($AS20&lt;&gt;"","&lt;displayfeedback feedbacktype=""Response"" linkrefid=""qti_feedback_trigger""/&gt;",""))&amp;"&lt;/respcondition&gt;",""),IF(OR(Z20,AZ20&lt;&gt;"",$AS20&lt;&gt;""),"      &lt;respcondition continue=""Yes""&gt;&lt;conditionvar&gt;"&amp;IF(Z20,"&lt;varequal respident=""RESPONSE""&gt;6&lt;/varequal&gt;","&lt;not&gt;&lt;varequal respident=""RESPONSE""&gt;6&lt;/varequal&gt;&lt;/not&gt;")&amp;"&lt;/conditionvar&gt;&lt;setvar action=""Add""&gt;"&amp;(Saisie_Questions!$N20/$I20)&amp;"&lt;/setvar&gt;"&amp;IF(AZ20&lt;&gt;"","&lt;displayfeedback feedbacktype=""Response"" linkrefid=""response_6""/&gt;",IF($AS20&lt;&gt;"","&lt;displayfeedback feedbacktype=""Response"" linkrefid=""qti_feedback_trigger""/&gt;",""))&amp;"&lt;/respcondition&gt;",""))),"")</f>
      </c>
      <c r="AQ20" s="46">
        <f>IF($B20,IF(S20="","",IF($C20="qcu",IF(OR(AA20,BA20&lt;&gt;"",$AS20&lt;&gt;""),"      &lt;respcondition continue=""Yes""&gt;&lt;conditionvar&gt;&lt;varequal respident=""RESPONSE""&gt;7&lt;/varequal&gt;&lt;/conditionvar&gt;"&amp;"&lt;setvar action=""Add""&gt;"&amp;IF(AA20,$H20,0)&amp;"&lt;/setvar&gt;"&amp;IF(BA20&lt;&gt;"","&lt;displayfeedback feedbacktype=""Response"" linkrefid=""response_7""/&gt;",IF($AS20&lt;&gt;"","&lt;displayfeedback feedbacktype=""Response"" linkrefid=""qti_feedback_trigger""/&gt;",""))&amp;"&lt;/respcondition&gt;",""),IF(OR(AA20,BA20&lt;&gt;"",$AS20&lt;&gt;""),"      &lt;respcondition continue=""Yes""&gt;&lt;conditionvar&gt;"&amp;IF(AA20,"&lt;varequal respident=""RESPONSE""&gt;7&lt;/varequal&gt;","&lt;not&gt;&lt;varequal respident=""RESPONSE""&gt;7&lt;/varequal&gt;&lt;/not&gt;")&amp;"&lt;/conditionvar&gt;&lt;setvar action=""Add""&gt;"&amp;(Saisie_Questions!$N20/$I20)&amp;"&lt;/setvar&gt;"&amp;IF(BA20&lt;&gt;"","&lt;displayfeedback feedbacktype=""Response"" linkrefid=""response_7""/&gt;",IF($AS20&lt;&gt;"","&lt;displayfeedback feedbacktype=""Response"" linkrefid=""qti_feedback_trigger""/&gt;",""))&amp;"&lt;/respcondition&gt;",""))),"")</f>
      </c>
      <c r="AR20" s="46">
        <f>IF(A20="","",SUBSTITUTE(SUBSTITUTE(SUBSTITUTE(SUBSTITUTE(SUBSTITUTE(IF(Saisie_Questions!P20&lt;&gt;"",Saisie_Questions!P20,Interface_Generation!$B$5),"&amp;","&amp;amp;"),"&lt;","&amp;lt;"),"&gt;","&amp;gt;"),CHAR(34),"&amp;quot;"),"'","&amp;apos;"))</f>
        <v/>
      </c>
      <c r="AS20" s="46">
        <f>IF(Saisie_Questions!Q20="","",SUBSTITUTE(SUBSTITUTE(SUBSTITUTE(SUBSTITUTE(SUBSTITUTE(Saisie_Questions!Q20,"&amp;","&amp;amp;"),"&lt;","&amp;lt;"),"&gt;","&amp;gt;"),CHAR(34),"&amp;quot;"),"'","&amp;apos;"))</f>
        <v/>
      </c>
      <c r="AT20" s="46">
        <f>IF(Saisie_Questions!R20="","",SUBSTITUTE(SUBSTITUTE(SUBSTITUTE(SUBSTITUTE(SUBSTITUTE(Saisie_Questions!R20,"&amp;","&amp;amp;"),"&lt;","&amp;lt;"),"&gt;","&amp;gt;"),CHAR(34),"&amp;quot;"),"'","&amp;apos;"))</f>
        <v/>
      </c>
      <c r="AU20" s="46">
        <f>IF(Saisie_Questions!S20="","",SUBSTITUTE(SUBSTITUTE(SUBSTITUTE(SUBSTITUTE(SUBSTITUTE(Saisie_Questions!S20,"&amp;","&amp;amp;"),"&lt;","&amp;lt;"),"&gt;","&amp;gt;"),CHAR(34),"&amp;quot;"),"'","&amp;apos;"))</f>
        <v/>
      </c>
      <c r="AV20" s="46">
        <f>IF(Saisie_Questions!T20="","",SUBSTITUTE(SUBSTITUTE(SUBSTITUTE(SUBSTITUTE(SUBSTITUTE(Saisie_Questions!T20,"&amp;","&amp;amp;"),"&lt;","&amp;lt;"),"&gt;","&amp;gt;"),CHAR(34),"&amp;quot;"),"'","&amp;apos;"))</f>
        <v/>
      </c>
      <c r="AW20" s="46">
        <f>IF(Saisie_Questions!U20="","",SUBSTITUTE(SUBSTITUTE(SUBSTITUTE(SUBSTITUTE(SUBSTITUTE(Saisie_Questions!U20,"&amp;","&amp;amp;"),"&lt;","&amp;lt;"),"&gt;","&amp;gt;"),CHAR(34),"&amp;quot;"),"'","&amp;apos;"))</f>
        <v/>
      </c>
      <c r="AX20" s="46">
        <f>IF(Saisie_Questions!V20="","",SUBSTITUTE(SUBSTITUTE(SUBSTITUTE(SUBSTITUTE(SUBSTITUTE(Saisie_Questions!V20,"&amp;","&amp;amp;"),"&lt;","&amp;lt;"),"&gt;","&amp;gt;"),CHAR(34),"&amp;quot;"),"'","&amp;apos;"))</f>
        <v/>
      </c>
      <c r="AY20" s="46">
        <f>IF(Saisie_Questions!W20="","",SUBSTITUTE(SUBSTITUTE(SUBSTITUTE(SUBSTITUTE(SUBSTITUTE(Saisie_Questions!W20,"&amp;","&amp;amp;"),"&lt;","&amp;lt;"),"&gt;","&amp;gt;"),CHAR(34),"&amp;quot;"),"'","&amp;apos;"))</f>
        <v/>
      </c>
      <c r="AZ20" s="46">
        <f>IF(Saisie_Questions!X20="","",SUBSTITUTE(SUBSTITUTE(SUBSTITUTE(SUBSTITUTE(SUBSTITUTE(Saisie_Questions!X20,"&amp;","&amp;amp;"),"&lt;","&amp;lt;"),"&gt;","&amp;gt;"),CHAR(34),"&amp;quot;"),"'","&amp;apos;"))</f>
        <v/>
      </c>
      <c r="BA20" s="46">
        <f>IF(Saisie_Questions!Y20="","",SUBSTITUTE(SUBSTITUTE(SUBSTITUTE(SUBSTITUTE(SUBSTITUTE(Saisie_Questions!Y20,"&amp;","&amp;amp;"),"&lt;","&amp;lt;"),"&gt;","&amp;gt;"),CHAR(34),"&amp;quot;"),"'","&amp;apos;"))</f>
        <v/>
      </c>
      <c r="BB20" s="46">
        <f>IF($B20,IF($AS20="","","    &lt;itemfeedback ident=""response_allcorrect"" view=""All""&gt;&lt;flow_mat&gt;&lt;material&gt;&lt;mattext texttype=""text/html""&gt;"&amp;$AS20&amp;"&lt;/mattext&gt;&lt;/material&gt;&lt;/flow_mat&gt;&lt;/itemfeedback&gt;"&amp;"    &lt;itemfeedback ident=""response_onenotcorrect"" view=""All""&gt;&lt;flow_mat&gt;&lt;material&gt;&lt;mattext texttype=""text/html""&gt;"&amp;$AS20&amp;"&lt;/mattext&gt;&lt;/material&gt;&lt;/flow_mat&gt;&lt;/itemfeedback&gt;"),"")</f>
      </c>
      <c r="BC20" s="46">
        <f>IF($B20,IF(AT20="","","    &lt;itemfeedback ident=""response_0"" view=""All""&gt;&lt;flow_mat&gt;&lt;material&gt;&lt;mattext texttype=""text/html""&gt;"&amp;AT20&amp;"&lt;/mattext&gt;&lt;/material&gt;&lt;/flow_mat&gt;&lt;/itemfeedback&gt;"),"")</f>
      </c>
      <c r="BD20" s="46">
        <f>IF($B20,IF(AU20="","","    &lt;itemfeedback ident=""response_1"" view=""All""&gt;&lt;flow_mat&gt;&lt;material&gt;&lt;mattext texttype=""text/html""&gt;"&amp;AU20&amp;"&lt;/mattext&gt;&lt;/material&gt;&lt;/flow_mat&gt;&lt;/itemfeedback&gt;"),"")</f>
      </c>
      <c r="BE20" s="46">
        <f>IF($B20,IF(AV20="","","    &lt;itemfeedback ident=""response_2"" view=""All""&gt;&lt;flow_mat&gt;&lt;material&gt;&lt;mattext texttype=""text/html""&gt;"&amp;AV20&amp;"&lt;/mattext&gt;&lt;/material&gt;&lt;/flow_mat&gt;&lt;/itemfeedback&gt;"),"")</f>
      </c>
      <c r="BF20" s="46">
        <f>IF($B20,IF(AW20="","","    &lt;itemfeedback ident=""response_3"" view=""All""&gt;&lt;flow_mat&gt;&lt;material&gt;&lt;mattext texttype=""text/html""&gt;"&amp;AW20&amp;"&lt;/mattext&gt;&lt;/material&gt;&lt;/flow_mat&gt;&lt;/itemfeedback&gt;"),"")</f>
      </c>
      <c r="BG20" s="46">
        <f>IF($B20,IF(AX20="","","    &lt;itemfeedback ident=""response_4"" view=""All""&gt;&lt;flow_mat&gt;&lt;material&gt;&lt;mattext texttype=""text/html""&gt;"&amp;AX20&amp;"&lt;/mattext&gt;&lt;/material&gt;&lt;/flow_mat&gt;&lt;/itemfeedback&gt;"),"")</f>
      </c>
      <c r="BH20" s="46">
        <f>IF($B20,IF(AY20="","","    &lt;itemfeedback ident=""response_5"" view=""All""&gt;&lt;flow_mat&gt;&lt;material&gt;&lt;mattext texttype=""text/html""&gt;"&amp;AY20&amp;"&lt;/mattext&gt;&lt;/material&gt;&lt;/flow_mat&gt;&lt;/itemfeedback&gt;"),"")</f>
      </c>
      <c r="BI20" s="46">
        <f>IF($B20,IF(AZ20="","","    &lt;itemfeedback ident=""response_6"" view=""All""&gt;&lt;flow_mat&gt;&lt;material&gt;&lt;mattext texttype=""text/html""&gt;"&amp;AZ20&amp;"&lt;/mattext&gt;&lt;/material&gt;&lt;/flow_mat&gt;&lt;/itemfeedback&gt;"),"")</f>
      </c>
      <c r="BJ20" s="46">
        <f>IF($B20,IF(BA20="","","    &lt;itemfeedback ident=""response_7"" view=""All""&gt;&lt;flow_mat&gt;&lt;material&gt;&lt;mattext texttype=""text/html""&gt;"&amp;BA20&amp;"&lt;/mattext&gt;&lt;/material&gt;&lt;/flow_mat&gt;&lt;/itemfeedback&gt;"),"")</f>
      </c>
    </row>
    <row r="21" ht="18" customHeight="1" s="17">
      <c r="A21" s="46">
        <f>Saisie_Questions!A21</f>
        <v/>
      </c>
      <c r="B21" s="46">
        <f>Saisie_Questions!O21="OK"</f>
        <v/>
      </c>
      <c r="C21" s="46">
        <f>LOWER(TRIM(Saisie_Questions!B21))</f>
        <v/>
      </c>
      <c r="D21" s="46">
        <f>IF(C21="qcu","SINGLE CHOICE QUESTION","MULTIPLE CHOICE QUESTION")</f>
        <v/>
      </c>
      <c r="E21" s="46">
        <f>IF(C21="qcu","Single","Multiple")</f>
        <v/>
      </c>
      <c r="F21" s="46">
        <f>IF(A21="","",SUBSTITUTE(SUBSTITUTE(SUBSTITUTE(SUBSTITUTE(SUBSTITUTE(IF(Saisie_Questions!C21="", "Question "&amp;A21, Saisie_Questions!C21),"&amp;","&amp;amp;"),"&lt;","&amp;lt;"),"&gt;","&amp;gt;"),CHAR(34),"&amp;quot;"),"'","&amp;apos;"))</f>
        <v/>
      </c>
      <c r="G21" s="46">
        <f>IF(A21="","",SUBSTITUTE(SUBSTITUTE(SUBSTITUTE(SUBSTITUTE(SUBSTITUTE(Saisie_Questions!D21,"&amp;","&amp;amp;"),"&lt;","&amp;lt;"),"&gt;","&amp;gt;"),CHAR(34),"&amp;quot;"),"'","&amp;apos;"))</f>
        <v/>
      </c>
      <c r="H21" s="46">
        <f>Saisie_Questions!N21</f>
        <v/>
      </c>
      <c r="I21" s="46">
        <f>IF(Saisie_Questions!E21="",0,1)+IF(Saisie_Questions!F21="",0,1)+IF(Saisie_Questions!G21="",0,1)+IF(Saisie_Questions!H21="",0,1)+IF(Saisie_Questions!I21="",0,1)+IF(Saisie_Questions!J21="",0,1)+IF(Saisie_Questions!K21="",0,1)+IF(Saisie_Questions!L21="",0,1)</f>
        <v/>
      </c>
      <c r="J21" s="46">
        <f>Saisie_Questions!M21</f>
        <v/>
      </c>
      <c r="K21" s="46">
        <f>Saisie_Questions!O21</f>
        <v/>
      </c>
      <c r="L21" s="46">
        <f>IF(Saisie_Questions!E21="","",SUBSTITUTE(SUBSTITUTE(SUBSTITUTE(SUBSTITUTE(SUBSTITUTE(Saisie_Questions!E21,"&amp;","&amp;amp;"),"&lt;","&amp;lt;"),"&gt;","&amp;gt;"),CHAR(34),"&amp;quot;"),"'","&amp;apos;"))</f>
        <v/>
      </c>
      <c r="M21" s="46">
        <f>IF(Saisie_Questions!F21="","",SUBSTITUTE(SUBSTITUTE(SUBSTITUTE(SUBSTITUTE(SUBSTITUTE(Saisie_Questions!F21,"&amp;","&amp;amp;"),"&lt;","&amp;lt;"),"&gt;","&amp;gt;"),CHAR(34),"&amp;quot;"),"'","&amp;apos;"))</f>
        <v/>
      </c>
      <c r="N21" s="46">
        <f>IF(Saisie_Questions!G21="","",SUBSTITUTE(SUBSTITUTE(SUBSTITUTE(SUBSTITUTE(SUBSTITUTE(Saisie_Questions!G21,"&amp;","&amp;amp;"),"&lt;","&amp;lt;"),"&gt;","&amp;gt;"),CHAR(34),"&amp;quot;"),"'","&amp;apos;"))</f>
        <v/>
      </c>
      <c r="O21" s="46">
        <f>IF(Saisie_Questions!H21="","",SUBSTITUTE(SUBSTITUTE(SUBSTITUTE(SUBSTITUTE(SUBSTITUTE(Saisie_Questions!H21,"&amp;","&amp;amp;"),"&lt;","&amp;lt;"),"&gt;","&amp;gt;"),CHAR(34),"&amp;quot;"),"'","&amp;apos;"))</f>
        <v/>
      </c>
      <c r="P21" s="46">
        <f>IF(Saisie_Questions!I21="","",SUBSTITUTE(SUBSTITUTE(SUBSTITUTE(SUBSTITUTE(SUBSTITUTE(Saisie_Questions!I21,"&amp;","&amp;amp;"),"&lt;","&amp;lt;"),"&gt;","&amp;gt;"),CHAR(34),"&amp;quot;"),"'","&amp;apos;"))</f>
        <v/>
      </c>
      <c r="Q21" s="46">
        <f>IF(Saisie_Questions!J21="","",SUBSTITUTE(SUBSTITUTE(SUBSTITUTE(SUBSTITUTE(SUBSTITUTE(Saisie_Questions!J21,"&amp;","&amp;amp;"),"&lt;","&amp;lt;"),"&gt;","&amp;gt;"),CHAR(34),"&amp;quot;"),"'","&amp;apos;"))</f>
        <v/>
      </c>
      <c r="R21" s="46">
        <f>IF(Saisie_Questions!K21="","",SUBSTITUTE(SUBSTITUTE(SUBSTITUTE(SUBSTITUTE(SUBSTITUTE(Saisie_Questions!K21,"&amp;","&amp;amp;"),"&lt;","&amp;lt;"),"&gt;","&amp;gt;"),CHAR(34),"&amp;quot;"),"'","&amp;apos;"))</f>
        <v/>
      </c>
      <c r="S21" s="46">
        <f>IF(Saisie_Questions!L21="","",SUBSTITUTE(SUBSTITUTE(SUBSTITUTE(SUBSTITUTE(SUBSTITUTE(Saisie_Questions!L21,"&amp;","&amp;amp;"),"&lt;","&amp;lt;"),"&gt;","&amp;gt;"),CHAR(34),"&amp;quot;"),"'","&amp;apos;"))</f>
        <v/>
      </c>
      <c r="T21" s="46">
        <f>ISNUMBER(SEARCH(";"&amp;1&amp;";",";"&amp;$J21&amp;";"))</f>
        <v/>
      </c>
      <c r="U21" s="46">
        <f>ISNUMBER(SEARCH(";"&amp;2&amp;";",";"&amp;$J21&amp;";"))</f>
        <v/>
      </c>
      <c r="V21" s="46">
        <f>ISNUMBER(SEARCH(";"&amp;3&amp;";",";"&amp;$J21&amp;";"))</f>
        <v/>
      </c>
      <c r="W21" s="46">
        <f>ISNUMBER(SEARCH(";"&amp;4&amp;";",";"&amp;$J21&amp;";"))</f>
        <v/>
      </c>
      <c r="X21" s="46">
        <f>ISNUMBER(SEARCH(";"&amp;5&amp;";",";"&amp;$J21&amp;";"))</f>
        <v/>
      </c>
      <c r="Y21" s="46">
        <f>ISNUMBER(SEARCH(";"&amp;6&amp;";",";"&amp;$J21&amp;";"))</f>
        <v/>
      </c>
      <c r="Z21" s="46">
        <f>ISNUMBER(SEARCH(";"&amp;7&amp;";",";"&amp;$J21&amp;";"))</f>
        <v/>
      </c>
      <c r="AA21" s="46">
        <f>ISNUMBER(SEARCH(";"&amp;8&amp;";",";"&amp;$J21&amp;";"))</f>
        <v/>
      </c>
      <c r="AB21" s="46">
        <f>IF($B21,IF(L21="","","        &lt;response_label ident=""0""&gt;&lt;material&gt;&lt;mattext texttype=""text/html""&gt;"&amp;L21&amp;"&lt;/mattext&gt;&lt;/material&gt;&lt;/response_label&gt;"),"")</f>
        <v/>
      </c>
      <c r="AC21" s="46">
        <f>IF($B21,IF(M21="","","        &lt;response_label ident=""1""&gt;&lt;material&gt;&lt;mattext texttype=""text/html""&gt;"&amp;M21&amp;"&lt;/mattext&gt;&lt;/material&gt;&lt;/response_label&gt;"),"")</f>
        <v/>
      </c>
      <c r="AD21" s="46">
        <f>IF($B21,IF(N21="","","        &lt;response_label ident=""2""&gt;&lt;material&gt;&lt;mattext texttype=""text/html""&gt;"&amp;N21&amp;"&lt;/mattext&gt;&lt;/material&gt;&lt;/response_label&gt;"),"")</f>
        <v/>
      </c>
      <c r="AE21" s="46">
        <f>IF($B21,IF(O21="","","        &lt;response_label ident=""3""&gt;&lt;material&gt;&lt;mattext texttype=""text/html""&gt;"&amp;O21&amp;"&lt;/mattext&gt;&lt;/material&gt;&lt;/response_label&gt;"),"")</f>
        <v/>
      </c>
      <c r="AF21" s="46">
        <f>IF($B21,IF(P21="","","        &lt;response_label ident=""4""&gt;&lt;material&gt;&lt;mattext texttype=""text/html""&gt;"&amp;P21&amp;"&lt;/mattext&gt;&lt;/material&gt;&lt;/response_label&gt;"),"")</f>
        <v/>
      </c>
      <c r="AG21" s="46">
        <f>IF($B21,IF(Q21="","","        &lt;response_label ident=""5""&gt;&lt;material&gt;&lt;mattext texttype=""text/html""&gt;"&amp;Q21&amp;"&lt;/mattext&gt;&lt;/material&gt;&lt;/response_label&gt;"),"")</f>
        <v/>
      </c>
      <c r="AH21" s="46">
        <f>IF($B21,IF(R21="","","        &lt;response_label ident=""6""&gt;&lt;material&gt;&lt;mattext texttype=""text/html""&gt;"&amp;R21&amp;"&lt;/mattext&gt;&lt;/material&gt;&lt;/response_label&gt;"),"")</f>
        <v/>
      </c>
      <c r="AI21" s="46">
        <f>IF($B21,IF(S21="","","        &lt;response_label ident=""7""&gt;&lt;material&gt;&lt;mattext texttype=""text/html""&gt;"&amp;S21&amp;"&lt;/mattext&gt;&lt;/material&gt;&lt;/response_label&gt;"),"")</f>
        <v/>
      </c>
      <c r="AJ21" s="46">
        <f>IF($B21,IF(L21="","",IF($C21="qcu",IF(OR(T21,AT21&lt;&gt;"",$AS21&lt;&gt;""),"      &lt;respcondition continue=""Yes""&gt;&lt;conditionvar&gt;&lt;varequal respident=""RESPONSE""&gt;0&lt;/varequal&gt;&lt;/conditionvar&gt;"&amp;"&lt;setvar action=""Add""&gt;"&amp;IF(T21,$H21,0)&amp;"&lt;/setvar&gt;"&amp;IF(AT21&lt;&gt;"","&lt;displayfeedback feedbacktype=""Response"" linkrefid=""response_0""/&gt;",IF($AS21&lt;&gt;"","&lt;displayfeedback feedbacktype=""Response"" linkrefid=""qti_feedback_trigger""/&gt;",""))&amp;"&lt;/respcondition&gt;",""),IF(OR(T21,AT21&lt;&gt;"",$AS21&lt;&gt;""),"      &lt;respcondition continue=""Yes""&gt;&lt;conditionvar&gt;"&amp;IF(T21,"&lt;varequal respident=""RESPONSE""&gt;0&lt;/varequal&gt;","&lt;not&gt;&lt;varequal respident=""RESPONSE""&gt;0&lt;/varequal&gt;&lt;/not&gt;")&amp;"&lt;/conditionvar&gt;&lt;setvar action=""Add""&gt;"&amp;(Saisie_Questions!$N21/$I21)&amp;"&lt;/setvar&gt;"&amp;IF(AT21&lt;&gt;"","&lt;displayfeedback feedbacktype=""Response"" linkrefid=""response_0""/&gt;",IF($AS21&lt;&gt;"","&lt;displayfeedback feedbacktype=""Response"" linkrefid=""qti_feedback_trigger""/&gt;",""))&amp;"&lt;/respcondition&gt;",""))),"")</f>
      </c>
      <c r="AK21" s="46">
        <f>IF($B21,IF(M21="","",IF($C21="qcu",IF(OR(U21,AU21&lt;&gt;"",$AS21&lt;&gt;""),"      &lt;respcondition continue=""Yes""&gt;&lt;conditionvar&gt;&lt;varequal respident=""RESPONSE""&gt;1&lt;/varequal&gt;&lt;/conditionvar&gt;"&amp;"&lt;setvar action=""Add""&gt;"&amp;IF(U21,$H21,0)&amp;"&lt;/setvar&gt;"&amp;IF(AU21&lt;&gt;"","&lt;displayfeedback feedbacktype=""Response"" linkrefid=""response_1""/&gt;",IF($AS21&lt;&gt;"","&lt;displayfeedback feedbacktype=""Response"" linkrefid=""qti_feedback_trigger""/&gt;",""))&amp;"&lt;/respcondition&gt;",""),IF(OR(U21,AU21&lt;&gt;"",$AS21&lt;&gt;""),"      &lt;respcondition continue=""Yes""&gt;&lt;conditionvar&gt;"&amp;IF(U21,"&lt;varequal respident=""RESPONSE""&gt;1&lt;/varequal&gt;","&lt;not&gt;&lt;varequal respident=""RESPONSE""&gt;1&lt;/varequal&gt;&lt;/not&gt;")&amp;"&lt;/conditionvar&gt;&lt;setvar action=""Add""&gt;"&amp;(Saisie_Questions!$N21/$I21)&amp;"&lt;/setvar&gt;"&amp;IF(AU21&lt;&gt;"","&lt;displayfeedback feedbacktype=""Response"" linkrefid=""response_1""/&gt;",IF($AS21&lt;&gt;"","&lt;displayfeedback feedbacktype=""Response"" linkrefid=""qti_feedback_trigger""/&gt;",""))&amp;"&lt;/respcondition&gt;",""))),"")</f>
      </c>
      <c r="AL21" s="46">
        <f>IF($B21,IF(N21="","",IF($C21="qcu",IF(OR(V21,AV21&lt;&gt;"",$AS21&lt;&gt;""),"      &lt;respcondition continue=""Yes""&gt;&lt;conditionvar&gt;&lt;varequal respident=""RESPONSE""&gt;2&lt;/varequal&gt;&lt;/conditionvar&gt;"&amp;"&lt;setvar action=""Add""&gt;"&amp;IF(V21,$H21,0)&amp;"&lt;/setvar&gt;"&amp;IF(AV21&lt;&gt;"","&lt;displayfeedback feedbacktype=""Response"" linkrefid=""response_2""/&gt;",IF($AS21&lt;&gt;"","&lt;displayfeedback feedbacktype=""Response"" linkrefid=""qti_feedback_trigger""/&gt;",""))&amp;"&lt;/respcondition&gt;",""),IF(OR(V21,AV21&lt;&gt;"",$AS21&lt;&gt;""),"      &lt;respcondition continue=""Yes""&gt;&lt;conditionvar&gt;"&amp;IF(V21,"&lt;varequal respident=""RESPONSE""&gt;2&lt;/varequal&gt;","&lt;not&gt;&lt;varequal respident=""RESPONSE""&gt;2&lt;/varequal&gt;&lt;/not&gt;")&amp;"&lt;/conditionvar&gt;&lt;setvar action=""Add""&gt;"&amp;(Saisie_Questions!$N21/$I21)&amp;"&lt;/setvar&gt;"&amp;IF(AV21&lt;&gt;"","&lt;displayfeedback feedbacktype=""Response"" linkrefid=""response_2""/&gt;",IF($AS21&lt;&gt;"","&lt;displayfeedback feedbacktype=""Response"" linkrefid=""qti_feedback_trigger""/&gt;",""))&amp;"&lt;/respcondition&gt;",""))),"")</f>
      </c>
      <c r="AM21" s="46">
        <f>IF($B21,IF(O21="","",IF($C21="qcu",IF(OR(W21,AW21&lt;&gt;"",$AS21&lt;&gt;""),"      &lt;respcondition continue=""Yes""&gt;&lt;conditionvar&gt;&lt;varequal respident=""RESPONSE""&gt;3&lt;/varequal&gt;&lt;/conditionvar&gt;"&amp;"&lt;setvar action=""Add""&gt;"&amp;IF(W21,$H21,0)&amp;"&lt;/setvar&gt;"&amp;IF(AW21&lt;&gt;"","&lt;displayfeedback feedbacktype=""Response"" linkrefid=""response_3""/&gt;",IF($AS21&lt;&gt;"","&lt;displayfeedback feedbacktype=""Response"" linkrefid=""qti_feedback_trigger""/&gt;",""))&amp;"&lt;/respcondition&gt;",""),IF(OR(W21,AW21&lt;&gt;"",$AS21&lt;&gt;""),"      &lt;respcondition continue=""Yes""&gt;&lt;conditionvar&gt;"&amp;IF(W21,"&lt;varequal respident=""RESPONSE""&gt;3&lt;/varequal&gt;","&lt;not&gt;&lt;varequal respident=""RESPONSE""&gt;3&lt;/varequal&gt;&lt;/not&gt;")&amp;"&lt;/conditionvar&gt;&lt;setvar action=""Add""&gt;"&amp;(Saisie_Questions!$N21/$I21)&amp;"&lt;/setvar&gt;"&amp;IF(AW21&lt;&gt;"","&lt;displayfeedback feedbacktype=""Response"" linkrefid=""response_3""/&gt;",IF($AS21&lt;&gt;"","&lt;displayfeedback feedbacktype=""Response"" linkrefid=""qti_feedback_trigger""/&gt;",""))&amp;"&lt;/respcondition&gt;",""))),"")</f>
      </c>
      <c r="AN21" s="46">
        <f>IF($B21,IF(P21="","",IF($C21="qcu",IF(OR(X21,AX21&lt;&gt;"",$AS21&lt;&gt;""),"      &lt;respcondition continue=""Yes""&gt;&lt;conditionvar&gt;&lt;varequal respident=""RESPONSE""&gt;4&lt;/varequal&gt;&lt;/conditionvar&gt;"&amp;"&lt;setvar action=""Add""&gt;"&amp;IF(X21,$H21,0)&amp;"&lt;/setvar&gt;"&amp;IF(AX21&lt;&gt;"","&lt;displayfeedback feedbacktype=""Response"" linkrefid=""response_4""/&gt;",IF($AS21&lt;&gt;"","&lt;displayfeedback feedbacktype=""Response"" linkrefid=""qti_feedback_trigger""/&gt;",""))&amp;"&lt;/respcondition&gt;",""),IF(OR(X21,AX21&lt;&gt;"",$AS21&lt;&gt;""),"      &lt;respcondition continue=""Yes""&gt;&lt;conditionvar&gt;"&amp;IF(X21,"&lt;varequal respident=""RESPONSE""&gt;4&lt;/varequal&gt;","&lt;not&gt;&lt;varequal respident=""RESPONSE""&gt;4&lt;/varequal&gt;&lt;/not&gt;")&amp;"&lt;/conditionvar&gt;&lt;setvar action=""Add""&gt;"&amp;(Saisie_Questions!$N21/$I21)&amp;"&lt;/setvar&gt;"&amp;IF(AX21&lt;&gt;"","&lt;displayfeedback feedbacktype=""Response"" linkrefid=""response_4""/&gt;",IF($AS21&lt;&gt;"","&lt;displayfeedback feedbacktype=""Response"" linkrefid=""qti_feedback_trigger""/&gt;",""))&amp;"&lt;/respcondition&gt;",""))),"")</f>
      </c>
      <c r="AO21" s="46">
        <f>IF($B21,IF(Q21="","",IF($C21="qcu",IF(OR(Y21,AY21&lt;&gt;"",$AS21&lt;&gt;""),"      &lt;respcondition continue=""Yes""&gt;&lt;conditionvar&gt;&lt;varequal respident=""RESPONSE""&gt;5&lt;/varequal&gt;&lt;/conditionvar&gt;"&amp;"&lt;setvar action=""Add""&gt;"&amp;IF(Y21,$H21,0)&amp;"&lt;/setvar&gt;"&amp;IF(AY21&lt;&gt;"","&lt;displayfeedback feedbacktype=""Response"" linkrefid=""response_5""/&gt;",IF($AS21&lt;&gt;"","&lt;displayfeedback feedbacktype=""Response"" linkrefid=""qti_feedback_trigger""/&gt;",""))&amp;"&lt;/respcondition&gt;",""),IF(OR(Y21,AY21&lt;&gt;"",$AS21&lt;&gt;""),"      &lt;respcondition continue=""Yes""&gt;&lt;conditionvar&gt;"&amp;IF(Y21,"&lt;varequal respident=""RESPONSE""&gt;5&lt;/varequal&gt;","&lt;not&gt;&lt;varequal respident=""RESPONSE""&gt;5&lt;/varequal&gt;&lt;/not&gt;")&amp;"&lt;/conditionvar&gt;&lt;setvar action=""Add""&gt;"&amp;(Saisie_Questions!$N21/$I21)&amp;"&lt;/setvar&gt;"&amp;IF(AY21&lt;&gt;"","&lt;displayfeedback feedbacktype=""Response"" linkrefid=""response_5""/&gt;",IF($AS21&lt;&gt;"","&lt;displayfeedback feedbacktype=""Response"" linkrefid=""qti_feedback_trigger""/&gt;",""))&amp;"&lt;/respcondition&gt;",""))),"")</f>
      </c>
      <c r="AP21" s="46">
        <f>IF($B21,IF(R21="","",IF($C21="qcu",IF(OR(Z21,AZ21&lt;&gt;"",$AS21&lt;&gt;""),"      &lt;respcondition continue=""Yes""&gt;&lt;conditionvar&gt;&lt;varequal respident=""RESPONSE""&gt;6&lt;/varequal&gt;&lt;/conditionvar&gt;"&amp;"&lt;setvar action=""Add""&gt;"&amp;IF(Z21,$H21,0)&amp;"&lt;/setvar&gt;"&amp;IF(AZ21&lt;&gt;"","&lt;displayfeedback feedbacktype=""Response"" linkrefid=""response_6""/&gt;",IF($AS21&lt;&gt;"","&lt;displayfeedback feedbacktype=""Response"" linkrefid=""qti_feedback_trigger""/&gt;",""))&amp;"&lt;/respcondition&gt;",""),IF(OR(Z21,AZ21&lt;&gt;"",$AS21&lt;&gt;""),"      &lt;respcondition continue=""Yes""&gt;&lt;conditionvar&gt;"&amp;IF(Z21,"&lt;varequal respident=""RESPONSE""&gt;6&lt;/varequal&gt;","&lt;not&gt;&lt;varequal respident=""RESPONSE""&gt;6&lt;/varequal&gt;&lt;/not&gt;")&amp;"&lt;/conditionvar&gt;&lt;setvar action=""Add""&gt;"&amp;(Saisie_Questions!$N21/$I21)&amp;"&lt;/setvar&gt;"&amp;IF(AZ21&lt;&gt;"","&lt;displayfeedback feedbacktype=""Response"" linkrefid=""response_6""/&gt;",IF($AS21&lt;&gt;"","&lt;displayfeedback feedbacktype=""Response"" linkrefid=""qti_feedback_trigger""/&gt;",""))&amp;"&lt;/respcondition&gt;",""))),"")</f>
      </c>
      <c r="AQ21" s="46">
        <f>IF($B21,IF(S21="","",IF($C21="qcu",IF(OR(AA21,BA21&lt;&gt;"",$AS21&lt;&gt;""),"      &lt;respcondition continue=""Yes""&gt;&lt;conditionvar&gt;&lt;varequal respident=""RESPONSE""&gt;7&lt;/varequal&gt;&lt;/conditionvar&gt;"&amp;"&lt;setvar action=""Add""&gt;"&amp;IF(AA21,$H21,0)&amp;"&lt;/setvar&gt;"&amp;IF(BA21&lt;&gt;"","&lt;displayfeedback feedbacktype=""Response"" linkrefid=""response_7""/&gt;",IF($AS21&lt;&gt;"","&lt;displayfeedback feedbacktype=""Response"" linkrefid=""qti_feedback_trigger""/&gt;",""))&amp;"&lt;/respcondition&gt;",""),IF(OR(AA21,BA21&lt;&gt;"",$AS21&lt;&gt;""),"      &lt;respcondition continue=""Yes""&gt;&lt;conditionvar&gt;"&amp;IF(AA21,"&lt;varequal respident=""RESPONSE""&gt;7&lt;/varequal&gt;","&lt;not&gt;&lt;varequal respident=""RESPONSE""&gt;7&lt;/varequal&gt;&lt;/not&gt;")&amp;"&lt;/conditionvar&gt;&lt;setvar action=""Add""&gt;"&amp;(Saisie_Questions!$N21/$I21)&amp;"&lt;/setvar&gt;"&amp;IF(BA21&lt;&gt;"","&lt;displayfeedback feedbacktype=""Response"" linkrefid=""response_7""/&gt;",IF($AS21&lt;&gt;"","&lt;displayfeedback feedbacktype=""Response"" linkrefid=""qti_feedback_trigger""/&gt;",""))&amp;"&lt;/respcondition&gt;",""))),"")</f>
      </c>
      <c r="AR21" s="46">
        <f>IF(A21="","",SUBSTITUTE(SUBSTITUTE(SUBSTITUTE(SUBSTITUTE(SUBSTITUTE(IF(Saisie_Questions!P21&lt;&gt;"",Saisie_Questions!P21,Interface_Generation!$B$5),"&amp;","&amp;amp;"),"&lt;","&amp;lt;"),"&gt;","&amp;gt;"),CHAR(34),"&amp;quot;"),"'","&amp;apos;"))</f>
        <v/>
      </c>
      <c r="AS21" s="46">
        <f>IF(Saisie_Questions!Q21="","",SUBSTITUTE(SUBSTITUTE(SUBSTITUTE(SUBSTITUTE(SUBSTITUTE(Saisie_Questions!Q21,"&amp;","&amp;amp;"),"&lt;","&amp;lt;"),"&gt;","&amp;gt;"),CHAR(34),"&amp;quot;"),"'","&amp;apos;"))</f>
        <v/>
      </c>
      <c r="AT21" s="46">
        <f>IF(Saisie_Questions!R21="","",SUBSTITUTE(SUBSTITUTE(SUBSTITUTE(SUBSTITUTE(SUBSTITUTE(Saisie_Questions!R21,"&amp;","&amp;amp;"),"&lt;","&amp;lt;"),"&gt;","&amp;gt;"),CHAR(34),"&amp;quot;"),"'","&amp;apos;"))</f>
        <v/>
      </c>
      <c r="AU21" s="46">
        <f>IF(Saisie_Questions!S21="","",SUBSTITUTE(SUBSTITUTE(SUBSTITUTE(SUBSTITUTE(SUBSTITUTE(Saisie_Questions!S21,"&amp;","&amp;amp;"),"&lt;","&amp;lt;"),"&gt;","&amp;gt;"),CHAR(34),"&amp;quot;"),"'","&amp;apos;"))</f>
        <v/>
      </c>
      <c r="AV21" s="46">
        <f>IF(Saisie_Questions!T21="","",SUBSTITUTE(SUBSTITUTE(SUBSTITUTE(SUBSTITUTE(SUBSTITUTE(Saisie_Questions!T21,"&amp;","&amp;amp;"),"&lt;","&amp;lt;"),"&gt;","&amp;gt;"),CHAR(34),"&amp;quot;"),"'","&amp;apos;"))</f>
        <v/>
      </c>
      <c r="AW21" s="46">
        <f>IF(Saisie_Questions!U21="","",SUBSTITUTE(SUBSTITUTE(SUBSTITUTE(SUBSTITUTE(SUBSTITUTE(Saisie_Questions!U21,"&amp;","&amp;amp;"),"&lt;","&amp;lt;"),"&gt;","&amp;gt;"),CHAR(34),"&amp;quot;"),"'","&amp;apos;"))</f>
        <v/>
      </c>
      <c r="AX21" s="46">
        <f>IF(Saisie_Questions!V21="","",SUBSTITUTE(SUBSTITUTE(SUBSTITUTE(SUBSTITUTE(SUBSTITUTE(Saisie_Questions!V21,"&amp;","&amp;amp;"),"&lt;","&amp;lt;"),"&gt;","&amp;gt;"),CHAR(34),"&amp;quot;"),"'","&amp;apos;"))</f>
        <v/>
      </c>
      <c r="AY21" s="46">
        <f>IF(Saisie_Questions!W21="","",SUBSTITUTE(SUBSTITUTE(SUBSTITUTE(SUBSTITUTE(SUBSTITUTE(Saisie_Questions!W21,"&amp;","&amp;amp;"),"&lt;","&amp;lt;"),"&gt;","&amp;gt;"),CHAR(34),"&amp;quot;"),"'","&amp;apos;"))</f>
        <v/>
      </c>
      <c r="AZ21" s="46">
        <f>IF(Saisie_Questions!X21="","",SUBSTITUTE(SUBSTITUTE(SUBSTITUTE(SUBSTITUTE(SUBSTITUTE(Saisie_Questions!X21,"&amp;","&amp;amp;"),"&lt;","&amp;lt;"),"&gt;","&amp;gt;"),CHAR(34),"&amp;quot;"),"'","&amp;apos;"))</f>
        <v/>
      </c>
      <c r="BA21" s="46">
        <f>IF(Saisie_Questions!Y21="","",SUBSTITUTE(SUBSTITUTE(SUBSTITUTE(SUBSTITUTE(SUBSTITUTE(Saisie_Questions!Y21,"&amp;","&amp;amp;"),"&lt;","&amp;lt;"),"&gt;","&amp;gt;"),CHAR(34),"&amp;quot;"),"'","&amp;apos;"))</f>
        <v/>
      </c>
      <c r="BB21" s="46">
        <f>IF($B21,IF($AS21="","","    &lt;itemfeedback ident=""response_allcorrect"" view=""All""&gt;&lt;flow_mat&gt;&lt;material&gt;&lt;mattext texttype=""text/html""&gt;"&amp;$AS21&amp;"&lt;/mattext&gt;&lt;/material&gt;&lt;/flow_mat&gt;&lt;/itemfeedback&gt;"&amp;"    &lt;itemfeedback ident=""response_onenotcorrect"" view=""All""&gt;&lt;flow_mat&gt;&lt;material&gt;&lt;mattext texttype=""text/html""&gt;"&amp;$AS21&amp;"&lt;/mattext&gt;&lt;/material&gt;&lt;/flow_mat&gt;&lt;/itemfeedback&gt;"),"")</f>
      </c>
      <c r="BC21" s="46">
        <f>IF($B21,IF(AT21="","","    &lt;itemfeedback ident=""response_0"" view=""All""&gt;&lt;flow_mat&gt;&lt;material&gt;&lt;mattext texttype=""text/html""&gt;"&amp;AT21&amp;"&lt;/mattext&gt;&lt;/material&gt;&lt;/flow_mat&gt;&lt;/itemfeedback&gt;"),"")</f>
      </c>
      <c r="BD21" s="46">
        <f>IF($B21,IF(AU21="","","    &lt;itemfeedback ident=""response_1"" view=""All""&gt;&lt;flow_mat&gt;&lt;material&gt;&lt;mattext texttype=""text/html""&gt;"&amp;AU21&amp;"&lt;/mattext&gt;&lt;/material&gt;&lt;/flow_mat&gt;&lt;/itemfeedback&gt;"),"")</f>
      </c>
      <c r="BE21" s="46">
        <f>IF($B21,IF(AV21="","","    &lt;itemfeedback ident=""response_2"" view=""All""&gt;&lt;flow_mat&gt;&lt;material&gt;&lt;mattext texttype=""text/html""&gt;"&amp;AV21&amp;"&lt;/mattext&gt;&lt;/material&gt;&lt;/flow_mat&gt;&lt;/itemfeedback&gt;"),"")</f>
      </c>
      <c r="BF21" s="46">
        <f>IF($B21,IF(AW21="","","    &lt;itemfeedback ident=""response_3"" view=""All""&gt;&lt;flow_mat&gt;&lt;material&gt;&lt;mattext texttype=""text/html""&gt;"&amp;AW21&amp;"&lt;/mattext&gt;&lt;/material&gt;&lt;/flow_mat&gt;&lt;/itemfeedback&gt;"),"")</f>
      </c>
      <c r="BG21" s="46">
        <f>IF($B21,IF(AX21="","","    &lt;itemfeedback ident=""response_4"" view=""All""&gt;&lt;flow_mat&gt;&lt;material&gt;&lt;mattext texttype=""text/html""&gt;"&amp;AX21&amp;"&lt;/mattext&gt;&lt;/material&gt;&lt;/flow_mat&gt;&lt;/itemfeedback&gt;"),"")</f>
      </c>
      <c r="BH21" s="46">
        <f>IF($B21,IF(AY21="","","    &lt;itemfeedback ident=""response_5"" view=""All""&gt;&lt;flow_mat&gt;&lt;material&gt;&lt;mattext texttype=""text/html""&gt;"&amp;AY21&amp;"&lt;/mattext&gt;&lt;/material&gt;&lt;/flow_mat&gt;&lt;/itemfeedback&gt;"),"")</f>
      </c>
      <c r="BI21" s="46">
        <f>IF($B21,IF(AZ21="","","    &lt;itemfeedback ident=""response_6"" view=""All""&gt;&lt;flow_mat&gt;&lt;material&gt;&lt;mattext texttype=""text/html""&gt;"&amp;AZ21&amp;"&lt;/mattext&gt;&lt;/material&gt;&lt;/flow_mat&gt;&lt;/itemfeedback&gt;"),"")</f>
      </c>
      <c r="BJ21" s="46">
        <f>IF($B21,IF(BA21="","","    &lt;itemfeedback ident=""response_7"" view=""All""&gt;&lt;flow_mat&gt;&lt;material&gt;&lt;mattext texttype=""text/html""&gt;"&amp;BA21&amp;"&lt;/mattext&gt;&lt;/material&gt;&lt;/flow_mat&gt;&lt;/itemfeedback&gt;"),"")</f>
      </c>
    </row>
    <row r="22" ht="18" customHeight="1" s="17">
      <c r="A22" s="46">
        <f>Saisie_Questions!A22</f>
        <v/>
      </c>
      <c r="B22" s="46">
        <f>Saisie_Questions!O22="OK"</f>
        <v/>
      </c>
      <c r="C22" s="46">
        <f>LOWER(TRIM(Saisie_Questions!B22))</f>
        <v/>
      </c>
      <c r="D22" s="46">
        <f>IF(C22="qcu","SINGLE CHOICE QUESTION","MULTIPLE CHOICE QUESTION")</f>
        <v/>
      </c>
      <c r="E22" s="46">
        <f>IF(C22="qcu","Single","Multiple")</f>
        <v/>
      </c>
      <c r="F22" s="46">
        <f>IF(A22="","",SUBSTITUTE(SUBSTITUTE(SUBSTITUTE(SUBSTITUTE(SUBSTITUTE(IF(Saisie_Questions!C22="", "Question "&amp;A22, Saisie_Questions!C22),"&amp;","&amp;amp;"),"&lt;","&amp;lt;"),"&gt;","&amp;gt;"),CHAR(34),"&amp;quot;"),"'","&amp;apos;"))</f>
        <v/>
      </c>
      <c r="G22" s="46">
        <f>IF(A22="","",SUBSTITUTE(SUBSTITUTE(SUBSTITUTE(SUBSTITUTE(SUBSTITUTE(Saisie_Questions!D22,"&amp;","&amp;amp;"),"&lt;","&amp;lt;"),"&gt;","&amp;gt;"),CHAR(34),"&amp;quot;"),"'","&amp;apos;"))</f>
        <v/>
      </c>
      <c r="H22" s="46">
        <f>Saisie_Questions!N22</f>
        <v/>
      </c>
      <c r="I22" s="46">
        <f>IF(Saisie_Questions!E22="",0,1)+IF(Saisie_Questions!F22="",0,1)+IF(Saisie_Questions!G22="",0,1)+IF(Saisie_Questions!H22="",0,1)+IF(Saisie_Questions!I22="",0,1)+IF(Saisie_Questions!J22="",0,1)+IF(Saisie_Questions!K22="",0,1)+IF(Saisie_Questions!L22="",0,1)</f>
        <v/>
      </c>
      <c r="J22" s="46">
        <f>Saisie_Questions!M22</f>
        <v/>
      </c>
      <c r="K22" s="46">
        <f>Saisie_Questions!O22</f>
        <v/>
      </c>
      <c r="L22" s="46">
        <f>IF(Saisie_Questions!E22="","",SUBSTITUTE(SUBSTITUTE(SUBSTITUTE(SUBSTITUTE(SUBSTITUTE(Saisie_Questions!E22,"&amp;","&amp;amp;"),"&lt;","&amp;lt;"),"&gt;","&amp;gt;"),CHAR(34),"&amp;quot;"),"'","&amp;apos;"))</f>
        <v/>
      </c>
      <c r="M22" s="46">
        <f>IF(Saisie_Questions!F22="","",SUBSTITUTE(SUBSTITUTE(SUBSTITUTE(SUBSTITUTE(SUBSTITUTE(Saisie_Questions!F22,"&amp;","&amp;amp;"),"&lt;","&amp;lt;"),"&gt;","&amp;gt;"),CHAR(34),"&amp;quot;"),"'","&amp;apos;"))</f>
        <v/>
      </c>
      <c r="N22" s="46">
        <f>IF(Saisie_Questions!G22="","",SUBSTITUTE(SUBSTITUTE(SUBSTITUTE(SUBSTITUTE(SUBSTITUTE(Saisie_Questions!G22,"&amp;","&amp;amp;"),"&lt;","&amp;lt;"),"&gt;","&amp;gt;"),CHAR(34),"&amp;quot;"),"'","&amp;apos;"))</f>
        <v/>
      </c>
      <c r="O22" s="46">
        <f>IF(Saisie_Questions!H22="","",SUBSTITUTE(SUBSTITUTE(SUBSTITUTE(SUBSTITUTE(SUBSTITUTE(Saisie_Questions!H22,"&amp;","&amp;amp;"),"&lt;","&amp;lt;"),"&gt;","&amp;gt;"),CHAR(34),"&amp;quot;"),"'","&amp;apos;"))</f>
        <v/>
      </c>
      <c r="P22" s="46">
        <f>IF(Saisie_Questions!I22="","",SUBSTITUTE(SUBSTITUTE(SUBSTITUTE(SUBSTITUTE(SUBSTITUTE(Saisie_Questions!I22,"&amp;","&amp;amp;"),"&lt;","&amp;lt;"),"&gt;","&amp;gt;"),CHAR(34),"&amp;quot;"),"'","&amp;apos;"))</f>
        <v/>
      </c>
      <c r="Q22" s="46">
        <f>IF(Saisie_Questions!J22="","",SUBSTITUTE(SUBSTITUTE(SUBSTITUTE(SUBSTITUTE(SUBSTITUTE(Saisie_Questions!J22,"&amp;","&amp;amp;"),"&lt;","&amp;lt;"),"&gt;","&amp;gt;"),CHAR(34),"&amp;quot;"),"'","&amp;apos;"))</f>
        <v/>
      </c>
      <c r="R22" s="46">
        <f>IF(Saisie_Questions!K22="","",SUBSTITUTE(SUBSTITUTE(SUBSTITUTE(SUBSTITUTE(SUBSTITUTE(Saisie_Questions!K22,"&amp;","&amp;amp;"),"&lt;","&amp;lt;"),"&gt;","&amp;gt;"),CHAR(34),"&amp;quot;"),"'","&amp;apos;"))</f>
        <v/>
      </c>
      <c r="S22" s="46">
        <f>IF(Saisie_Questions!L22="","",SUBSTITUTE(SUBSTITUTE(SUBSTITUTE(SUBSTITUTE(SUBSTITUTE(Saisie_Questions!L22,"&amp;","&amp;amp;"),"&lt;","&amp;lt;"),"&gt;","&amp;gt;"),CHAR(34),"&amp;quot;"),"'","&amp;apos;"))</f>
        <v/>
      </c>
      <c r="T22" s="46">
        <f>ISNUMBER(SEARCH(";"&amp;1&amp;";",";"&amp;$J22&amp;";"))</f>
        <v/>
      </c>
      <c r="U22" s="46">
        <f>ISNUMBER(SEARCH(";"&amp;2&amp;";",";"&amp;$J22&amp;";"))</f>
        <v/>
      </c>
      <c r="V22" s="46">
        <f>ISNUMBER(SEARCH(";"&amp;3&amp;";",";"&amp;$J22&amp;";"))</f>
        <v/>
      </c>
      <c r="W22" s="46">
        <f>ISNUMBER(SEARCH(";"&amp;4&amp;";",";"&amp;$J22&amp;";"))</f>
        <v/>
      </c>
      <c r="X22" s="46">
        <f>ISNUMBER(SEARCH(";"&amp;5&amp;";",";"&amp;$J22&amp;";"))</f>
        <v/>
      </c>
      <c r="Y22" s="46">
        <f>ISNUMBER(SEARCH(";"&amp;6&amp;";",";"&amp;$J22&amp;";"))</f>
        <v/>
      </c>
      <c r="Z22" s="46">
        <f>ISNUMBER(SEARCH(";"&amp;7&amp;";",";"&amp;$J22&amp;";"))</f>
        <v/>
      </c>
      <c r="AA22" s="46">
        <f>ISNUMBER(SEARCH(";"&amp;8&amp;";",";"&amp;$J22&amp;";"))</f>
        <v/>
      </c>
      <c r="AB22" s="46">
        <f>IF($B22,IF(L22="","","        &lt;response_label ident=""0""&gt;&lt;material&gt;&lt;mattext texttype=""text/html""&gt;"&amp;L22&amp;"&lt;/mattext&gt;&lt;/material&gt;&lt;/response_label&gt;"),"")</f>
        <v/>
      </c>
      <c r="AC22" s="46">
        <f>IF($B22,IF(M22="","","        &lt;response_label ident=""1""&gt;&lt;material&gt;&lt;mattext texttype=""text/html""&gt;"&amp;M22&amp;"&lt;/mattext&gt;&lt;/material&gt;&lt;/response_label&gt;"),"")</f>
        <v/>
      </c>
      <c r="AD22" s="46">
        <f>IF($B22,IF(N22="","","        &lt;response_label ident=""2""&gt;&lt;material&gt;&lt;mattext texttype=""text/html""&gt;"&amp;N22&amp;"&lt;/mattext&gt;&lt;/material&gt;&lt;/response_label&gt;"),"")</f>
        <v/>
      </c>
      <c r="AE22" s="46">
        <f>IF($B22,IF(O22="","","        &lt;response_label ident=""3""&gt;&lt;material&gt;&lt;mattext texttype=""text/html""&gt;"&amp;O22&amp;"&lt;/mattext&gt;&lt;/material&gt;&lt;/response_label&gt;"),"")</f>
        <v/>
      </c>
      <c r="AF22" s="46">
        <f>IF($B22,IF(P22="","","        &lt;response_label ident=""4""&gt;&lt;material&gt;&lt;mattext texttype=""text/html""&gt;"&amp;P22&amp;"&lt;/mattext&gt;&lt;/material&gt;&lt;/response_label&gt;"),"")</f>
        <v/>
      </c>
      <c r="AG22" s="46">
        <f>IF($B22,IF(Q22="","","        &lt;response_label ident=""5""&gt;&lt;material&gt;&lt;mattext texttype=""text/html""&gt;"&amp;Q22&amp;"&lt;/mattext&gt;&lt;/material&gt;&lt;/response_label&gt;"),"")</f>
        <v/>
      </c>
      <c r="AH22" s="46">
        <f>IF($B22,IF(R22="","","        &lt;response_label ident=""6""&gt;&lt;material&gt;&lt;mattext texttype=""text/html""&gt;"&amp;R22&amp;"&lt;/mattext&gt;&lt;/material&gt;&lt;/response_label&gt;"),"")</f>
        <v/>
      </c>
      <c r="AI22" s="46">
        <f>IF($B22,IF(S22="","","        &lt;response_label ident=""7""&gt;&lt;material&gt;&lt;mattext texttype=""text/html""&gt;"&amp;S22&amp;"&lt;/mattext&gt;&lt;/material&gt;&lt;/response_label&gt;"),"")</f>
        <v/>
      </c>
      <c r="AJ22" s="46">
        <f>IF($B22,IF(L22="","",IF($C22="qcu",IF(OR(T22,AT22&lt;&gt;"",$AS22&lt;&gt;""),"      &lt;respcondition continue=""Yes""&gt;&lt;conditionvar&gt;&lt;varequal respident=""RESPONSE""&gt;0&lt;/varequal&gt;&lt;/conditionvar&gt;"&amp;"&lt;setvar action=""Add""&gt;"&amp;IF(T22,$H22,0)&amp;"&lt;/setvar&gt;"&amp;IF(AT22&lt;&gt;"","&lt;displayfeedback feedbacktype=""Response"" linkrefid=""response_0""/&gt;",IF($AS22&lt;&gt;"","&lt;displayfeedback feedbacktype=""Response"" linkrefid=""qti_feedback_trigger""/&gt;",""))&amp;"&lt;/respcondition&gt;",""),IF(OR(T22,AT22&lt;&gt;"",$AS22&lt;&gt;""),"      &lt;respcondition continue=""Yes""&gt;&lt;conditionvar&gt;"&amp;IF(T22,"&lt;varequal respident=""RESPONSE""&gt;0&lt;/varequal&gt;","&lt;not&gt;&lt;varequal respident=""RESPONSE""&gt;0&lt;/varequal&gt;&lt;/not&gt;")&amp;"&lt;/conditionvar&gt;&lt;setvar action=""Add""&gt;"&amp;(Saisie_Questions!$N22/$I22)&amp;"&lt;/setvar&gt;"&amp;IF(AT22&lt;&gt;"","&lt;displayfeedback feedbacktype=""Response"" linkrefid=""response_0""/&gt;",IF($AS22&lt;&gt;"","&lt;displayfeedback feedbacktype=""Response"" linkrefid=""qti_feedback_trigger""/&gt;",""))&amp;"&lt;/respcondition&gt;",""))),"")</f>
      </c>
      <c r="AK22" s="46">
        <f>IF($B22,IF(M22="","",IF($C22="qcu",IF(OR(U22,AU22&lt;&gt;"",$AS22&lt;&gt;""),"      &lt;respcondition continue=""Yes""&gt;&lt;conditionvar&gt;&lt;varequal respident=""RESPONSE""&gt;1&lt;/varequal&gt;&lt;/conditionvar&gt;"&amp;"&lt;setvar action=""Add""&gt;"&amp;IF(U22,$H22,0)&amp;"&lt;/setvar&gt;"&amp;IF(AU22&lt;&gt;"","&lt;displayfeedback feedbacktype=""Response"" linkrefid=""response_1""/&gt;",IF($AS22&lt;&gt;"","&lt;displayfeedback feedbacktype=""Response"" linkrefid=""qti_feedback_trigger""/&gt;",""))&amp;"&lt;/respcondition&gt;",""),IF(OR(U22,AU22&lt;&gt;"",$AS22&lt;&gt;""),"      &lt;respcondition continue=""Yes""&gt;&lt;conditionvar&gt;"&amp;IF(U22,"&lt;varequal respident=""RESPONSE""&gt;1&lt;/varequal&gt;","&lt;not&gt;&lt;varequal respident=""RESPONSE""&gt;1&lt;/varequal&gt;&lt;/not&gt;")&amp;"&lt;/conditionvar&gt;&lt;setvar action=""Add""&gt;"&amp;(Saisie_Questions!$N22/$I22)&amp;"&lt;/setvar&gt;"&amp;IF(AU22&lt;&gt;"","&lt;displayfeedback feedbacktype=""Response"" linkrefid=""response_1""/&gt;",IF($AS22&lt;&gt;"","&lt;displayfeedback feedbacktype=""Response"" linkrefid=""qti_feedback_trigger""/&gt;",""))&amp;"&lt;/respcondition&gt;",""))),"")</f>
      </c>
      <c r="AL22" s="46">
        <f>IF($B22,IF(N22="","",IF($C22="qcu",IF(OR(V22,AV22&lt;&gt;"",$AS22&lt;&gt;""),"      &lt;respcondition continue=""Yes""&gt;&lt;conditionvar&gt;&lt;varequal respident=""RESPONSE""&gt;2&lt;/varequal&gt;&lt;/conditionvar&gt;"&amp;"&lt;setvar action=""Add""&gt;"&amp;IF(V22,$H22,0)&amp;"&lt;/setvar&gt;"&amp;IF(AV22&lt;&gt;"","&lt;displayfeedback feedbacktype=""Response"" linkrefid=""response_2""/&gt;",IF($AS22&lt;&gt;"","&lt;displayfeedback feedbacktype=""Response"" linkrefid=""qti_feedback_trigger""/&gt;",""))&amp;"&lt;/respcondition&gt;",""),IF(OR(V22,AV22&lt;&gt;"",$AS22&lt;&gt;""),"      &lt;respcondition continue=""Yes""&gt;&lt;conditionvar&gt;"&amp;IF(V22,"&lt;varequal respident=""RESPONSE""&gt;2&lt;/varequal&gt;","&lt;not&gt;&lt;varequal respident=""RESPONSE""&gt;2&lt;/varequal&gt;&lt;/not&gt;")&amp;"&lt;/conditionvar&gt;&lt;setvar action=""Add""&gt;"&amp;(Saisie_Questions!$N22/$I22)&amp;"&lt;/setvar&gt;"&amp;IF(AV22&lt;&gt;"","&lt;displayfeedback feedbacktype=""Response"" linkrefid=""response_2""/&gt;",IF($AS22&lt;&gt;"","&lt;displayfeedback feedbacktype=""Response"" linkrefid=""qti_feedback_trigger""/&gt;",""))&amp;"&lt;/respcondition&gt;",""))),"")</f>
      </c>
      <c r="AM22" s="46">
        <f>IF($B22,IF(O22="","",IF($C22="qcu",IF(OR(W22,AW22&lt;&gt;"",$AS22&lt;&gt;""),"      &lt;respcondition continue=""Yes""&gt;&lt;conditionvar&gt;&lt;varequal respident=""RESPONSE""&gt;3&lt;/varequal&gt;&lt;/conditionvar&gt;"&amp;"&lt;setvar action=""Add""&gt;"&amp;IF(W22,$H22,0)&amp;"&lt;/setvar&gt;"&amp;IF(AW22&lt;&gt;"","&lt;displayfeedback feedbacktype=""Response"" linkrefid=""response_3""/&gt;",IF($AS22&lt;&gt;"","&lt;displayfeedback feedbacktype=""Response"" linkrefid=""qti_feedback_trigger""/&gt;",""))&amp;"&lt;/respcondition&gt;",""),IF(OR(W22,AW22&lt;&gt;"",$AS22&lt;&gt;""),"      &lt;respcondition continue=""Yes""&gt;&lt;conditionvar&gt;"&amp;IF(W22,"&lt;varequal respident=""RESPONSE""&gt;3&lt;/varequal&gt;","&lt;not&gt;&lt;varequal respident=""RESPONSE""&gt;3&lt;/varequal&gt;&lt;/not&gt;")&amp;"&lt;/conditionvar&gt;&lt;setvar action=""Add""&gt;"&amp;(Saisie_Questions!$N22/$I22)&amp;"&lt;/setvar&gt;"&amp;IF(AW22&lt;&gt;"","&lt;displayfeedback feedbacktype=""Response"" linkrefid=""response_3""/&gt;",IF($AS22&lt;&gt;"","&lt;displayfeedback feedbacktype=""Response"" linkrefid=""qti_feedback_trigger""/&gt;",""))&amp;"&lt;/respcondition&gt;",""))),"")</f>
      </c>
      <c r="AN22" s="46">
        <f>IF($B22,IF(P22="","",IF($C22="qcu",IF(OR(X22,AX22&lt;&gt;"",$AS22&lt;&gt;""),"      &lt;respcondition continue=""Yes""&gt;&lt;conditionvar&gt;&lt;varequal respident=""RESPONSE""&gt;4&lt;/varequal&gt;&lt;/conditionvar&gt;"&amp;"&lt;setvar action=""Add""&gt;"&amp;IF(X22,$H22,0)&amp;"&lt;/setvar&gt;"&amp;IF(AX22&lt;&gt;"","&lt;displayfeedback feedbacktype=""Response"" linkrefid=""response_4""/&gt;",IF($AS22&lt;&gt;"","&lt;displayfeedback feedbacktype=""Response"" linkrefid=""qti_feedback_trigger""/&gt;",""))&amp;"&lt;/respcondition&gt;",""),IF(OR(X22,AX22&lt;&gt;"",$AS22&lt;&gt;""),"      &lt;respcondition continue=""Yes""&gt;&lt;conditionvar&gt;"&amp;IF(X22,"&lt;varequal respident=""RESPONSE""&gt;4&lt;/varequal&gt;","&lt;not&gt;&lt;varequal respident=""RESPONSE""&gt;4&lt;/varequal&gt;&lt;/not&gt;")&amp;"&lt;/conditionvar&gt;&lt;setvar action=""Add""&gt;"&amp;(Saisie_Questions!$N22/$I22)&amp;"&lt;/setvar&gt;"&amp;IF(AX22&lt;&gt;"","&lt;displayfeedback feedbacktype=""Response"" linkrefid=""response_4""/&gt;",IF($AS22&lt;&gt;"","&lt;displayfeedback feedbacktype=""Response"" linkrefid=""qti_feedback_trigger""/&gt;",""))&amp;"&lt;/respcondition&gt;",""))),"")</f>
      </c>
      <c r="AO22" s="46">
        <f>IF($B22,IF(Q22="","",IF($C22="qcu",IF(OR(Y22,AY22&lt;&gt;"",$AS22&lt;&gt;""),"      &lt;respcondition continue=""Yes""&gt;&lt;conditionvar&gt;&lt;varequal respident=""RESPONSE""&gt;5&lt;/varequal&gt;&lt;/conditionvar&gt;"&amp;"&lt;setvar action=""Add""&gt;"&amp;IF(Y22,$H22,0)&amp;"&lt;/setvar&gt;"&amp;IF(AY22&lt;&gt;"","&lt;displayfeedback feedbacktype=""Response"" linkrefid=""response_5""/&gt;",IF($AS22&lt;&gt;"","&lt;displayfeedback feedbacktype=""Response"" linkrefid=""qti_feedback_trigger""/&gt;",""))&amp;"&lt;/respcondition&gt;",""),IF(OR(Y22,AY22&lt;&gt;"",$AS22&lt;&gt;""),"      &lt;respcondition continue=""Yes""&gt;&lt;conditionvar&gt;"&amp;IF(Y22,"&lt;varequal respident=""RESPONSE""&gt;5&lt;/varequal&gt;","&lt;not&gt;&lt;varequal respident=""RESPONSE""&gt;5&lt;/varequal&gt;&lt;/not&gt;")&amp;"&lt;/conditionvar&gt;&lt;setvar action=""Add""&gt;"&amp;(Saisie_Questions!$N22/$I22)&amp;"&lt;/setvar&gt;"&amp;IF(AY22&lt;&gt;"","&lt;displayfeedback feedbacktype=""Response"" linkrefid=""response_5""/&gt;",IF($AS22&lt;&gt;"","&lt;displayfeedback feedbacktype=""Response"" linkrefid=""qti_feedback_trigger""/&gt;",""))&amp;"&lt;/respcondition&gt;",""))),"")</f>
      </c>
      <c r="AP22" s="46">
        <f>IF($B22,IF(R22="","",IF($C22="qcu",IF(OR(Z22,AZ22&lt;&gt;"",$AS22&lt;&gt;""),"      &lt;respcondition continue=""Yes""&gt;&lt;conditionvar&gt;&lt;varequal respident=""RESPONSE""&gt;6&lt;/varequal&gt;&lt;/conditionvar&gt;"&amp;"&lt;setvar action=""Add""&gt;"&amp;IF(Z22,$H22,0)&amp;"&lt;/setvar&gt;"&amp;IF(AZ22&lt;&gt;"","&lt;displayfeedback feedbacktype=""Response"" linkrefid=""response_6""/&gt;",IF($AS22&lt;&gt;"","&lt;displayfeedback feedbacktype=""Response"" linkrefid=""qti_feedback_trigger""/&gt;",""))&amp;"&lt;/respcondition&gt;",""),IF(OR(Z22,AZ22&lt;&gt;"",$AS22&lt;&gt;""),"      &lt;respcondition continue=""Yes""&gt;&lt;conditionvar&gt;"&amp;IF(Z22,"&lt;varequal respident=""RESPONSE""&gt;6&lt;/varequal&gt;","&lt;not&gt;&lt;varequal respident=""RESPONSE""&gt;6&lt;/varequal&gt;&lt;/not&gt;")&amp;"&lt;/conditionvar&gt;&lt;setvar action=""Add""&gt;"&amp;(Saisie_Questions!$N22/$I22)&amp;"&lt;/setvar&gt;"&amp;IF(AZ22&lt;&gt;"","&lt;displayfeedback feedbacktype=""Response"" linkrefid=""response_6""/&gt;",IF($AS22&lt;&gt;"","&lt;displayfeedback feedbacktype=""Response"" linkrefid=""qti_feedback_trigger""/&gt;",""))&amp;"&lt;/respcondition&gt;",""))),"")</f>
      </c>
      <c r="AQ22" s="46">
        <f>IF($B22,IF(S22="","",IF($C22="qcu",IF(OR(AA22,BA22&lt;&gt;"",$AS22&lt;&gt;""),"      &lt;respcondition continue=""Yes""&gt;&lt;conditionvar&gt;&lt;varequal respident=""RESPONSE""&gt;7&lt;/varequal&gt;&lt;/conditionvar&gt;"&amp;"&lt;setvar action=""Add""&gt;"&amp;IF(AA22,$H22,0)&amp;"&lt;/setvar&gt;"&amp;IF(BA22&lt;&gt;"","&lt;displayfeedback feedbacktype=""Response"" linkrefid=""response_7""/&gt;",IF($AS22&lt;&gt;"","&lt;displayfeedback feedbacktype=""Response"" linkrefid=""qti_feedback_trigger""/&gt;",""))&amp;"&lt;/respcondition&gt;",""),IF(OR(AA22,BA22&lt;&gt;"",$AS22&lt;&gt;""),"      &lt;respcondition continue=""Yes""&gt;&lt;conditionvar&gt;"&amp;IF(AA22,"&lt;varequal respident=""RESPONSE""&gt;7&lt;/varequal&gt;","&lt;not&gt;&lt;varequal respident=""RESPONSE""&gt;7&lt;/varequal&gt;&lt;/not&gt;")&amp;"&lt;/conditionvar&gt;&lt;setvar action=""Add""&gt;"&amp;(Saisie_Questions!$N22/$I22)&amp;"&lt;/setvar&gt;"&amp;IF(BA22&lt;&gt;"","&lt;displayfeedback feedbacktype=""Response"" linkrefid=""response_7""/&gt;",IF($AS22&lt;&gt;"","&lt;displayfeedback feedbacktype=""Response"" linkrefid=""qti_feedback_trigger""/&gt;",""))&amp;"&lt;/respcondition&gt;",""))),"")</f>
      </c>
      <c r="AR22" s="46">
        <f>IF(A22="","",SUBSTITUTE(SUBSTITUTE(SUBSTITUTE(SUBSTITUTE(SUBSTITUTE(IF(Saisie_Questions!P22&lt;&gt;"",Saisie_Questions!P22,Interface_Generation!$B$5),"&amp;","&amp;amp;"),"&lt;","&amp;lt;"),"&gt;","&amp;gt;"),CHAR(34),"&amp;quot;"),"'","&amp;apos;"))</f>
        <v/>
      </c>
      <c r="AS22" s="46">
        <f>IF(Saisie_Questions!Q22="","",SUBSTITUTE(SUBSTITUTE(SUBSTITUTE(SUBSTITUTE(SUBSTITUTE(Saisie_Questions!Q22,"&amp;","&amp;amp;"),"&lt;","&amp;lt;"),"&gt;","&amp;gt;"),CHAR(34),"&amp;quot;"),"'","&amp;apos;"))</f>
        <v/>
      </c>
      <c r="AT22" s="46">
        <f>IF(Saisie_Questions!R22="","",SUBSTITUTE(SUBSTITUTE(SUBSTITUTE(SUBSTITUTE(SUBSTITUTE(Saisie_Questions!R22,"&amp;","&amp;amp;"),"&lt;","&amp;lt;"),"&gt;","&amp;gt;"),CHAR(34),"&amp;quot;"),"'","&amp;apos;"))</f>
        <v/>
      </c>
      <c r="AU22" s="46">
        <f>IF(Saisie_Questions!S22="","",SUBSTITUTE(SUBSTITUTE(SUBSTITUTE(SUBSTITUTE(SUBSTITUTE(Saisie_Questions!S22,"&amp;","&amp;amp;"),"&lt;","&amp;lt;"),"&gt;","&amp;gt;"),CHAR(34),"&amp;quot;"),"'","&amp;apos;"))</f>
        <v/>
      </c>
      <c r="AV22" s="46">
        <f>IF(Saisie_Questions!T22="","",SUBSTITUTE(SUBSTITUTE(SUBSTITUTE(SUBSTITUTE(SUBSTITUTE(Saisie_Questions!T22,"&amp;","&amp;amp;"),"&lt;","&amp;lt;"),"&gt;","&amp;gt;"),CHAR(34),"&amp;quot;"),"'","&amp;apos;"))</f>
        <v/>
      </c>
      <c r="AW22" s="46">
        <f>IF(Saisie_Questions!U22="","",SUBSTITUTE(SUBSTITUTE(SUBSTITUTE(SUBSTITUTE(SUBSTITUTE(Saisie_Questions!U22,"&amp;","&amp;amp;"),"&lt;","&amp;lt;"),"&gt;","&amp;gt;"),CHAR(34),"&amp;quot;"),"'","&amp;apos;"))</f>
        <v/>
      </c>
      <c r="AX22" s="46">
        <f>IF(Saisie_Questions!V22="","",SUBSTITUTE(SUBSTITUTE(SUBSTITUTE(SUBSTITUTE(SUBSTITUTE(Saisie_Questions!V22,"&amp;","&amp;amp;"),"&lt;","&amp;lt;"),"&gt;","&amp;gt;"),CHAR(34),"&amp;quot;"),"'","&amp;apos;"))</f>
        <v/>
      </c>
      <c r="AY22" s="46">
        <f>IF(Saisie_Questions!W22="","",SUBSTITUTE(SUBSTITUTE(SUBSTITUTE(SUBSTITUTE(SUBSTITUTE(Saisie_Questions!W22,"&amp;","&amp;amp;"),"&lt;","&amp;lt;"),"&gt;","&amp;gt;"),CHAR(34),"&amp;quot;"),"'","&amp;apos;"))</f>
        <v/>
      </c>
      <c r="AZ22" s="46">
        <f>IF(Saisie_Questions!X22="","",SUBSTITUTE(SUBSTITUTE(SUBSTITUTE(SUBSTITUTE(SUBSTITUTE(Saisie_Questions!X22,"&amp;","&amp;amp;"),"&lt;","&amp;lt;"),"&gt;","&amp;gt;"),CHAR(34),"&amp;quot;"),"'","&amp;apos;"))</f>
        <v/>
      </c>
      <c r="BA22" s="46">
        <f>IF(Saisie_Questions!Y22="","",SUBSTITUTE(SUBSTITUTE(SUBSTITUTE(SUBSTITUTE(SUBSTITUTE(Saisie_Questions!Y22,"&amp;","&amp;amp;"),"&lt;","&amp;lt;"),"&gt;","&amp;gt;"),CHAR(34),"&amp;quot;"),"'","&amp;apos;"))</f>
        <v/>
      </c>
      <c r="BB22" s="46">
        <f>IF($B22,IF($AS22="","","    &lt;itemfeedback ident=""response_allcorrect"" view=""All""&gt;&lt;flow_mat&gt;&lt;material&gt;&lt;mattext texttype=""text/html""&gt;"&amp;$AS22&amp;"&lt;/mattext&gt;&lt;/material&gt;&lt;/flow_mat&gt;&lt;/itemfeedback&gt;"&amp;"    &lt;itemfeedback ident=""response_onenotcorrect"" view=""All""&gt;&lt;flow_mat&gt;&lt;material&gt;&lt;mattext texttype=""text/html""&gt;"&amp;$AS22&amp;"&lt;/mattext&gt;&lt;/material&gt;&lt;/flow_mat&gt;&lt;/itemfeedback&gt;"),"")</f>
      </c>
      <c r="BC22" s="46">
        <f>IF($B22,IF(AT22="","","    &lt;itemfeedback ident=""response_0"" view=""All""&gt;&lt;flow_mat&gt;&lt;material&gt;&lt;mattext texttype=""text/html""&gt;"&amp;AT22&amp;"&lt;/mattext&gt;&lt;/material&gt;&lt;/flow_mat&gt;&lt;/itemfeedback&gt;"),"")</f>
      </c>
      <c r="BD22" s="46">
        <f>IF($B22,IF(AU22="","","    &lt;itemfeedback ident=""response_1"" view=""All""&gt;&lt;flow_mat&gt;&lt;material&gt;&lt;mattext texttype=""text/html""&gt;"&amp;AU22&amp;"&lt;/mattext&gt;&lt;/material&gt;&lt;/flow_mat&gt;&lt;/itemfeedback&gt;"),"")</f>
      </c>
      <c r="BE22" s="46">
        <f>IF($B22,IF(AV22="","","    &lt;itemfeedback ident=""response_2"" view=""All""&gt;&lt;flow_mat&gt;&lt;material&gt;&lt;mattext texttype=""text/html""&gt;"&amp;AV22&amp;"&lt;/mattext&gt;&lt;/material&gt;&lt;/flow_mat&gt;&lt;/itemfeedback&gt;"),"")</f>
      </c>
      <c r="BF22" s="46">
        <f>IF($B22,IF(AW22="","","    &lt;itemfeedback ident=""response_3"" view=""All""&gt;&lt;flow_mat&gt;&lt;material&gt;&lt;mattext texttype=""text/html""&gt;"&amp;AW22&amp;"&lt;/mattext&gt;&lt;/material&gt;&lt;/flow_mat&gt;&lt;/itemfeedback&gt;"),"")</f>
      </c>
      <c r="BG22" s="46">
        <f>IF($B22,IF(AX22="","","    &lt;itemfeedback ident=""response_4"" view=""All""&gt;&lt;flow_mat&gt;&lt;material&gt;&lt;mattext texttype=""text/html""&gt;"&amp;AX22&amp;"&lt;/mattext&gt;&lt;/material&gt;&lt;/flow_mat&gt;&lt;/itemfeedback&gt;"),"")</f>
      </c>
      <c r="BH22" s="46">
        <f>IF($B22,IF(AY22="","","    &lt;itemfeedback ident=""response_5"" view=""All""&gt;&lt;flow_mat&gt;&lt;material&gt;&lt;mattext texttype=""text/html""&gt;"&amp;AY22&amp;"&lt;/mattext&gt;&lt;/material&gt;&lt;/flow_mat&gt;&lt;/itemfeedback&gt;"),"")</f>
      </c>
      <c r="BI22" s="46">
        <f>IF($B22,IF(AZ22="","","    &lt;itemfeedback ident=""response_6"" view=""All""&gt;&lt;flow_mat&gt;&lt;material&gt;&lt;mattext texttype=""text/html""&gt;"&amp;AZ22&amp;"&lt;/mattext&gt;&lt;/material&gt;&lt;/flow_mat&gt;&lt;/itemfeedback&gt;"),"")</f>
      </c>
      <c r="BJ22" s="46">
        <f>IF($B22,IF(BA22="","","    &lt;itemfeedback ident=""response_7"" view=""All""&gt;&lt;flow_mat&gt;&lt;material&gt;&lt;mattext texttype=""text/html""&gt;"&amp;BA22&amp;"&lt;/mattext&gt;&lt;/material&gt;&lt;/flow_mat&gt;&lt;/itemfeedback&gt;"),"")</f>
      </c>
    </row>
    <row r="23" ht="18" customHeight="1" s="17">
      <c r="A23" s="46">
        <f>Saisie_Questions!A23</f>
        <v/>
      </c>
      <c r="B23" s="46">
        <f>Saisie_Questions!O23="OK"</f>
        <v/>
      </c>
      <c r="C23" s="46">
        <f>LOWER(TRIM(Saisie_Questions!B23))</f>
        <v/>
      </c>
      <c r="D23" s="46">
        <f>IF(C23="qcu","SINGLE CHOICE QUESTION","MULTIPLE CHOICE QUESTION")</f>
        <v/>
      </c>
      <c r="E23" s="46">
        <f>IF(C23="qcu","Single","Multiple")</f>
        <v/>
      </c>
      <c r="F23" s="46">
        <f>IF(A23="","",SUBSTITUTE(SUBSTITUTE(SUBSTITUTE(SUBSTITUTE(SUBSTITUTE(IF(Saisie_Questions!C23="", "Question "&amp;A23, Saisie_Questions!C23),"&amp;","&amp;amp;"),"&lt;","&amp;lt;"),"&gt;","&amp;gt;"),CHAR(34),"&amp;quot;"),"'","&amp;apos;"))</f>
        <v/>
      </c>
      <c r="G23" s="46">
        <f>IF(A23="","",SUBSTITUTE(SUBSTITUTE(SUBSTITUTE(SUBSTITUTE(SUBSTITUTE(Saisie_Questions!D23,"&amp;","&amp;amp;"),"&lt;","&amp;lt;"),"&gt;","&amp;gt;"),CHAR(34),"&amp;quot;"),"'","&amp;apos;"))</f>
        <v/>
      </c>
      <c r="H23" s="46">
        <f>Saisie_Questions!N23</f>
        <v/>
      </c>
      <c r="I23" s="46">
        <f>IF(Saisie_Questions!E23="",0,1)+IF(Saisie_Questions!F23="",0,1)+IF(Saisie_Questions!G23="",0,1)+IF(Saisie_Questions!H23="",0,1)+IF(Saisie_Questions!I23="",0,1)+IF(Saisie_Questions!J23="",0,1)+IF(Saisie_Questions!K23="",0,1)+IF(Saisie_Questions!L23="",0,1)</f>
        <v/>
      </c>
      <c r="J23" s="46">
        <f>Saisie_Questions!M23</f>
        <v/>
      </c>
      <c r="K23" s="46">
        <f>Saisie_Questions!O23</f>
        <v/>
      </c>
      <c r="L23" s="46">
        <f>IF(Saisie_Questions!E23="","",SUBSTITUTE(SUBSTITUTE(SUBSTITUTE(SUBSTITUTE(SUBSTITUTE(Saisie_Questions!E23,"&amp;","&amp;amp;"),"&lt;","&amp;lt;"),"&gt;","&amp;gt;"),CHAR(34),"&amp;quot;"),"'","&amp;apos;"))</f>
        <v/>
      </c>
      <c r="M23" s="46">
        <f>IF(Saisie_Questions!F23="","",SUBSTITUTE(SUBSTITUTE(SUBSTITUTE(SUBSTITUTE(SUBSTITUTE(Saisie_Questions!F23,"&amp;","&amp;amp;"),"&lt;","&amp;lt;"),"&gt;","&amp;gt;"),CHAR(34),"&amp;quot;"),"'","&amp;apos;"))</f>
        <v/>
      </c>
      <c r="N23" s="46">
        <f>IF(Saisie_Questions!G23="","",SUBSTITUTE(SUBSTITUTE(SUBSTITUTE(SUBSTITUTE(SUBSTITUTE(Saisie_Questions!G23,"&amp;","&amp;amp;"),"&lt;","&amp;lt;"),"&gt;","&amp;gt;"),CHAR(34),"&amp;quot;"),"'","&amp;apos;"))</f>
        <v/>
      </c>
      <c r="O23" s="46">
        <f>IF(Saisie_Questions!H23="","",SUBSTITUTE(SUBSTITUTE(SUBSTITUTE(SUBSTITUTE(SUBSTITUTE(Saisie_Questions!H23,"&amp;","&amp;amp;"),"&lt;","&amp;lt;"),"&gt;","&amp;gt;"),CHAR(34),"&amp;quot;"),"'","&amp;apos;"))</f>
        <v/>
      </c>
      <c r="P23" s="46">
        <f>IF(Saisie_Questions!I23="","",SUBSTITUTE(SUBSTITUTE(SUBSTITUTE(SUBSTITUTE(SUBSTITUTE(Saisie_Questions!I23,"&amp;","&amp;amp;"),"&lt;","&amp;lt;"),"&gt;","&amp;gt;"),CHAR(34),"&amp;quot;"),"'","&amp;apos;"))</f>
        <v/>
      </c>
      <c r="Q23" s="46">
        <f>IF(Saisie_Questions!J23="","",SUBSTITUTE(SUBSTITUTE(SUBSTITUTE(SUBSTITUTE(SUBSTITUTE(Saisie_Questions!J23,"&amp;","&amp;amp;"),"&lt;","&amp;lt;"),"&gt;","&amp;gt;"),CHAR(34),"&amp;quot;"),"'","&amp;apos;"))</f>
        <v/>
      </c>
      <c r="R23" s="46">
        <f>IF(Saisie_Questions!K23="","",SUBSTITUTE(SUBSTITUTE(SUBSTITUTE(SUBSTITUTE(SUBSTITUTE(Saisie_Questions!K23,"&amp;","&amp;amp;"),"&lt;","&amp;lt;"),"&gt;","&amp;gt;"),CHAR(34),"&amp;quot;"),"'","&amp;apos;"))</f>
        <v/>
      </c>
      <c r="S23" s="46">
        <f>IF(Saisie_Questions!L23="","",SUBSTITUTE(SUBSTITUTE(SUBSTITUTE(SUBSTITUTE(SUBSTITUTE(Saisie_Questions!L23,"&amp;","&amp;amp;"),"&lt;","&amp;lt;"),"&gt;","&amp;gt;"),CHAR(34),"&amp;quot;"),"'","&amp;apos;"))</f>
        <v/>
      </c>
      <c r="T23" s="46">
        <f>ISNUMBER(SEARCH(";"&amp;1&amp;";",";"&amp;$J23&amp;";"))</f>
        <v/>
      </c>
      <c r="U23" s="46">
        <f>ISNUMBER(SEARCH(";"&amp;2&amp;";",";"&amp;$J23&amp;";"))</f>
        <v/>
      </c>
      <c r="V23" s="46">
        <f>ISNUMBER(SEARCH(";"&amp;3&amp;";",";"&amp;$J23&amp;";"))</f>
        <v/>
      </c>
      <c r="W23" s="46">
        <f>ISNUMBER(SEARCH(";"&amp;4&amp;";",";"&amp;$J23&amp;";"))</f>
        <v/>
      </c>
      <c r="X23" s="46">
        <f>ISNUMBER(SEARCH(";"&amp;5&amp;";",";"&amp;$J23&amp;";"))</f>
        <v/>
      </c>
      <c r="Y23" s="46">
        <f>ISNUMBER(SEARCH(";"&amp;6&amp;";",";"&amp;$J23&amp;";"))</f>
        <v/>
      </c>
      <c r="Z23" s="46">
        <f>ISNUMBER(SEARCH(";"&amp;7&amp;";",";"&amp;$J23&amp;";"))</f>
        <v/>
      </c>
      <c r="AA23" s="46">
        <f>ISNUMBER(SEARCH(";"&amp;8&amp;";",";"&amp;$J23&amp;";"))</f>
        <v/>
      </c>
      <c r="AB23" s="46">
        <f>IF($B23,IF(L23="","","        &lt;response_label ident=""0""&gt;&lt;material&gt;&lt;mattext texttype=""text/html""&gt;"&amp;L23&amp;"&lt;/mattext&gt;&lt;/material&gt;&lt;/response_label&gt;"),"")</f>
        <v/>
      </c>
      <c r="AC23" s="46">
        <f>IF($B23,IF(M23="","","        &lt;response_label ident=""1""&gt;&lt;material&gt;&lt;mattext texttype=""text/html""&gt;"&amp;M23&amp;"&lt;/mattext&gt;&lt;/material&gt;&lt;/response_label&gt;"),"")</f>
        <v/>
      </c>
      <c r="AD23" s="46">
        <f>IF($B23,IF(N23="","","        &lt;response_label ident=""2""&gt;&lt;material&gt;&lt;mattext texttype=""text/html""&gt;"&amp;N23&amp;"&lt;/mattext&gt;&lt;/material&gt;&lt;/response_label&gt;"),"")</f>
        <v/>
      </c>
      <c r="AE23" s="46">
        <f>IF($B23,IF(O23="","","        &lt;response_label ident=""3""&gt;&lt;material&gt;&lt;mattext texttype=""text/html""&gt;"&amp;O23&amp;"&lt;/mattext&gt;&lt;/material&gt;&lt;/response_label&gt;"),"")</f>
        <v/>
      </c>
      <c r="AF23" s="46">
        <f>IF($B23,IF(P23="","","        &lt;response_label ident=""4""&gt;&lt;material&gt;&lt;mattext texttype=""text/html""&gt;"&amp;P23&amp;"&lt;/mattext&gt;&lt;/material&gt;&lt;/response_label&gt;"),"")</f>
        <v/>
      </c>
      <c r="AG23" s="46">
        <f>IF($B23,IF(Q23="","","        &lt;response_label ident=""5""&gt;&lt;material&gt;&lt;mattext texttype=""text/html""&gt;"&amp;Q23&amp;"&lt;/mattext&gt;&lt;/material&gt;&lt;/response_label&gt;"),"")</f>
        <v/>
      </c>
      <c r="AH23" s="46">
        <f>IF($B23,IF(R23="","","        &lt;response_label ident=""6""&gt;&lt;material&gt;&lt;mattext texttype=""text/html""&gt;"&amp;R23&amp;"&lt;/mattext&gt;&lt;/material&gt;&lt;/response_label&gt;"),"")</f>
        <v/>
      </c>
      <c r="AI23" s="46">
        <f>IF($B23,IF(S23="","","        &lt;response_label ident=""7""&gt;&lt;material&gt;&lt;mattext texttype=""text/html""&gt;"&amp;S23&amp;"&lt;/mattext&gt;&lt;/material&gt;&lt;/response_label&gt;"),"")</f>
        <v/>
      </c>
      <c r="AJ23" s="46">
        <f>IF($B23,IF(L23="","",IF($C23="qcu",IF(OR(T23,AT23&lt;&gt;"",$AS23&lt;&gt;""),"      &lt;respcondition continue=""Yes""&gt;&lt;conditionvar&gt;&lt;varequal respident=""RESPONSE""&gt;0&lt;/varequal&gt;&lt;/conditionvar&gt;"&amp;"&lt;setvar action=""Add""&gt;"&amp;IF(T23,$H23,0)&amp;"&lt;/setvar&gt;"&amp;IF(AT23&lt;&gt;"","&lt;displayfeedback feedbacktype=""Response"" linkrefid=""response_0""/&gt;",IF($AS23&lt;&gt;"","&lt;displayfeedback feedbacktype=""Response"" linkrefid=""qti_feedback_trigger""/&gt;",""))&amp;"&lt;/respcondition&gt;",""),IF(OR(T23,AT23&lt;&gt;"",$AS23&lt;&gt;""),"      &lt;respcondition continue=""Yes""&gt;&lt;conditionvar&gt;"&amp;IF(T23,"&lt;varequal respident=""RESPONSE""&gt;0&lt;/varequal&gt;","&lt;not&gt;&lt;varequal respident=""RESPONSE""&gt;0&lt;/varequal&gt;&lt;/not&gt;")&amp;"&lt;/conditionvar&gt;&lt;setvar action=""Add""&gt;"&amp;(Saisie_Questions!$N23/$I23)&amp;"&lt;/setvar&gt;"&amp;IF(AT23&lt;&gt;"","&lt;displayfeedback feedbacktype=""Response"" linkrefid=""response_0""/&gt;",IF($AS23&lt;&gt;"","&lt;displayfeedback feedbacktype=""Response"" linkrefid=""qti_feedback_trigger""/&gt;",""))&amp;"&lt;/respcondition&gt;",""))),"")</f>
      </c>
      <c r="AK23" s="46">
        <f>IF($B23,IF(M23="","",IF($C23="qcu",IF(OR(U23,AU23&lt;&gt;"",$AS23&lt;&gt;""),"      &lt;respcondition continue=""Yes""&gt;&lt;conditionvar&gt;&lt;varequal respident=""RESPONSE""&gt;1&lt;/varequal&gt;&lt;/conditionvar&gt;"&amp;"&lt;setvar action=""Add""&gt;"&amp;IF(U23,$H23,0)&amp;"&lt;/setvar&gt;"&amp;IF(AU23&lt;&gt;"","&lt;displayfeedback feedbacktype=""Response"" linkrefid=""response_1""/&gt;",IF($AS23&lt;&gt;"","&lt;displayfeedback feedbacktype=""Response"" linkrefid=""qti_feedback_trigger""/&gt;",""))&amp;"&lt;/respcondition&gt;",""),IF(OR(U23,AU23&lt;&gt;"",$AS23&lt;&gt;""),"      &lt;respcondition continue=""Yes""&gt;&lt;conditionvar&gt;"&amp;IF(U23,"&lt;varequal respident=""RESPONSE""&gt;1&lt;/varequal&gt;","&lt;not&gt;&lt;varequal respident=""RESPONSE""&gt;1&lt;/varequal&gt;&lt;/not&gt;")&amp;"&lt;/conditionvar&gt;&lt;setvar action=""Add""&gt;"&amp;(Saisie_Questions!$N23/$I23)&amp;"&lt;/setvar&gt;"&amp;IF(AU23&lt;&gt;"","&lt;displayfeedback feedbacktype=""Response"" linkrefid=""response_1""/&gt;",IF($AS23&lt;&gt;"","&lt;displayfeedback feedbacktype=""Response"" linkrefid=""qti_feedback_trigger""/&gt;",""))&amp;"&lt;/respcondition&gt;",""))),"")</f>
      </c>
      <c r="AL23" s="46">
        <f>IF($B23,IF(N23="","",IF($C23="qcu",IF(OR(V23,AV23&lt;&gt;"",$AS23&lt;&gt;""),"      &lt;respcondition continue=""Yes""&gt;&lt;conditionvar&gt;&lt;varequal respident=""RESPONSE""&gt;2&lt;/varequal&gt;&lt;/conditionvar&gt;"&amp;"&lt;setvar action=""Add""&gt;"&amp;IF(V23,$H23,0)&amp;"&lt;/setvar&gt;"&amp;IF(AV23&lt;&gt;"","&lt;displayfeedback feedbacktype=""Response"" linkrefid=""response_2""/&gt;",IF($AS23&lt;&gt;"","&lt;displayfeedback feedbacktype=""Response"" linkrefid=""qti_feedback_trigger""/&gt;",""))&amp;"&lt;/respcondition&gt;",""),IF(OR(V23,AV23&lt;&gt;"",$AS23&lt;&gt;""),"      &lt;respcondition continue=""Yes""&gt;&lt;conditionvar&gt;"&amp;IF(V23,"&lt;varequal respident=""RESPONSE""&gt;2&lt;/varequal&gt;","&lt;not&gt;&lt;varequal respident=""RESPONSE""&gt;2&lt;/varequal&gt;&lt;/not&gt;")&amp;"&lt;/conditionvar&gt;&lt;setvar action=""Add""&gt;"&amp;(Saisie_Questions!$N23/$I23)&amp;"&lt;/setvar&gt;"&amp;IF(AV23&lt;&gt;"","&lt;displayfeedback feedbacktype=""Response"" linkrefid=""response_2""/&gt;",IF($AS23&lt;&gt;"","&lt;displayfeedback feedbacktype=""Response"" linkrefid=""qti_feedback_trigger""/&gt;",""))&amp;"&lt;/respcondition&gt;",""))),"")</f>
      </c>
      <c r="AM23" s="46">
        <f>IF($B23,IF(O23="","",IF($C23="qcu",IF(OR(W23,AW23&lt;&gt;"",$AS23&lt;&gt;""),"      &lt;respcondition continue=""Yes""&gt;&lt;conditionvar&gt;&lt;varequal respident=""RESPONSE""&gt;3&lt;/varequal&gt;&lt;/conditionvar&gt;"&amp;"&lt;setvar action=""Add""&gt;"&amp;IF(W23,$H23,0)&amp;"&lt;/setvar&gt;"&amp;IF(AW23&lt;&gt;"","&lt;displayfeedback feedbacktype=""Response"" linkrefid=""response_3""/&gt;",IF($AS23&lt;&gt;"","&lt;displayfeedback feedbacktype=""Response"" linkrefid=""qti_feedback_trigger""/&gt;",""))&amp;"&lt;/respcondition&gt;",""),IF(OR(W23,AW23&lt;&gt;"",$AS23&lt;&gt;""),"      &lt;respcondition continue=""Yes""&gt;&lt;conditionvar&gt;"&amp;IF(W23,"&lt;varequal respident=""RESPONSE""&gt;3&lt;/varequal&gt;","&lt;not&gt;&lt;varequal respident=""RESPONSE""&gt;3&lt;/varequal&gt;&lt;/not&gt;")&amp;"&lt;/conditionvar&gt;&lt;setvar action=""Add""&gt;"&amp;(Saisie_Questions!$N23/$I23)&amp;"&lt;/setvar&gt;"&amp;IF(AW23&lt;&gt;"","&lt;displayfeedback feedbacktype=""Response"" linkrefid=""response_3""/&gt;",IF($AS23&lt;&gt;"","&lt;displayfeedback feedbacktype=""Response"" linkrefid=""qti_feedback_trigger""/&gt;",""))&amp;"&lt;/respcondition&gt;",""))),"")</f>
      </c>
      <c r="AN23" s="46">
        <f>IF($B23,IF(P23="","",IF($C23="qcu",IF(OR(X23,AX23&lt;&gt;"",$AS23&lt;&gt;""),"      &lt;respcondition continue=""Yes""&gt;&lt;conditionvar&gt;&lt;varequal respident=""RESPONSE""&gt;4&lt;/varequal&gt;&lt;/conditionvar&gt;"&amp;"&lt;setvar action=""Add""&gt;"&amp;IF(X23,$H23,0)&amp;"&lt;/setvar&gt;"&amp;IF(AX23&lt;&gt;"","&lt;displayfeedback feedbacktype=""Response"" linkrefid=""response_4""/&gt;",IF($AS23&lt;&gt;"","&lt;displayfeedback feedbacktype=""Response"" linkrefid=""qti_feedback_trigger""/&gt;",""))&amp;"&lt;/respcondition&gt;",""),IF(OR(X23,AX23&lt;&gt;"",$AS23&lt;&gt;""),"      &lt;respcondition continue=""Yes""&gt;&lt;conditionvar&gt;"&amp;IF(X23,"&lt;varequal respident=""RESPONSE""&gt;4&lt;/varequal&gt;","&lt;not&gt;&lt;varequal respident=""RESPONSE""&gt;4&lt;/varequal&gt;&lt;/not&gt;")&amp;"&lt;/conditionvar&gt;&lt;setvar action=""Add""&gt;"&amp;(Saisie_Questions!$N23/$I23)&amp;"&lt;/setvar&gt;"&amp;IF(AX23&lt;&gt;"","&lt;displayfeedback feedbacktype=""Response"" linkrefid=""response_4""/&gt;",IF($AS23&lt;&gt;"","&lt;displayfeedback feedbacktype=""Response"" linkrefid=""qti_feedback_trigger""/&gt;",""))&amp;"&lt;/respcondition&gt;",""))),"")</f>
      </c>
      <c r="AO23" s="46">
        <f>IF($B23,IF(Q23="","",IF($C23="qcu",IF(OR(Y23,AY23&lt;&gt;"",$AS23&lt;&gt;""),"      &lt;respcondition continue=""Yes""&gt;&lt;conditionvar&gt;&lt;varequal respident=""RESPONSE""&gt;5&lt;/varequal&gt;&lt;/conditionvar&gt;"&amp;"&lt;setvar action=""Add""&gt;"&amp;IF(Y23,$H23,0)&amp;"&lt;/setvar&gt;"&amp;IF(AY23&lt;&gt;"","&lt;displayfeedback feedbacktype=""Response"" linkrefid=""response_5""/&gt;",IF($AS23&lt;&gt;"","&lt;displayfeedback feedbacktype=""Response"" linkrefid=""qti_feedback_trigger""/&gt;",""))&amp;"&lt;/respcondition&gt;",""),IF(OR(Y23,AY23&lt;&gt;"",$AS23&lt;&gt;""),"      &lt;respcondition continue=""Yes""&gt;&lt;conditionvar&gt;"&amp;IF(Y23,"&lt;varequal respident=""RESPONSE""&gt;5&lt;/varequal&gt;","&lt;not&gt;&lt;varequal respident=""RESPONSE""&gt;5&lt;/varequal&gt;&lt;/not&gt;")&amp;"&lt;/conditionvar&gt;&lt;setvar action=""Add""&gt;"&amp;(Saisie_Questions!$N23/$I23)&amp;"&lt;/setvar&gt;"&amp;IF(AY23&lt;&gt;"","&lt;displayfeedback feedbacktype=""Response"" linkrefid=""response_5""/&gt;",IF($AS23&lt;&gt;"","&lt;displayfeedback feedbacktype=""Response"" linkrefid=""qti_feedback_trigger""/&gt;",""))&amp;"&lt;/respcondition&gt;",""))),"")</f>
      </c>
      <c r="AP23" s="46">
        <f>IF($B23,IF(R23="","",IF($C23="qcu",IF(OR(Z23,AZ23&lt;&gt;"",$AS23&lt;&gt;""),"      &lt;respcondition continue=""Yes""&gt;&lt;conditionvar&gt;&lt;varequal respident=""RESPONSE""&gt;6&lt;/varequal&gt;&lt;/conditionvar&gt;"&amp;"&lt;setvar action=""Add""&gt;"&amp;IF(Z23,$H23,0)&amp;"&lt;/setvar&gt;"&amp;IF(AZ23&lt;&gt;"","&lt;displayfeedback feedbacktype=""Response"" linkrefid=""response_6""/&gt;",IF($AS23&lt;&gt;"","&lt;displayfeedback feedbacktype=""Response"" linkrefid=""qti_feedback_trigger""/&gt;",""))&amp;"&lt;/respcondition&gt;",""),IF(OR(Z23,AZ23&lt;&gt;"",$AS23&lt;&gt;""),"      &lt;respcondition continue=""Yes""&gt;&lt;conditionvar&gt;"&amp;IF(Z23,"&lt;varequal respident=""RESPONSE""&gt;6&lt;/varequal&gt;","&lt;not&gt;&lt;varequal respident=""RESPONSE""&gt;6&lt;/varequal&gt;&lt;/not&gt;")&amp;"&lt;/conditionvar&gt;&lt;setvar action=""Add""&gt;"&amp;(Saisie_Questions!$N23/$I23)&amp;"&lt;/setvar&gt;"&amp;IF(AZ23&lt;&gt;"","&lt;displayfeedback feedbacktype=""Response"" linkrefid=""response_6""/&gt;",IF($AS23&lt;&gt;"","&lt;displayfeedback feedbacktype=""Response"" linkrefid=""qti_feedback_trigger""/&gt;",""))&amp;"&lt;/respcondition&gt;",""))),"")</f>
      </c>
      <c r="AQ23" s="46">
        <f>IF($B23,IF(S23="","",IF($C23="qcu",IF(OR(AA23,BA23&lt;&gt;"",$AS23&lt;&gt;""),"      &lt;respcondition continue=""Yes""&gt;&lt;conditionvar&gt;&lt;varequal respident=""RESPONSE""&gt;7&lt;/varequal&gt;&lt;/conditionvar&gt;"&amp;"&lt;setvar action=""Add""&gt;"&amp;IF(AA23,$H23,0)&amp;"&lt;/setvar&gt;"&amp;IF(BA23&lt;&gt;"","&lt;displayfeedback feedbacktype=""Response"" linkrefid=""response_7""/&gt;",IF($AS23&lt;&gt;"","&lt;displayfeedback feedbacktype=""Response"" linkrefid=""qti_feedback_trigger""/&gt;",""))&amp;"&lt;/respcondition&gt;",""),IF(OR(AA23,BA23&lt;&gt;"",$AS23&lt;&gt;""),"      &lt;respcondition continue=""Yes""&gt;&lt;conditionvar&gt;"&amp;IF(AA23,"&lt;varequal respident=""RESPONSE""&gt;7&lt;/varequal&gt;","&lt;not&gt;&lt;varequal respident=""RESPONSE""&gt;7&lt;/varequal&gt;&lt;/not&gt;")&amp;"&lt;/conditionvar&gt;&lt;setvar action=""Add""&gt;"&amp;(Saisie_Questions!$N23/$I23)&amp;"&lt;/setvar&gt;"&amp;IF(BA23&lt;&gt;"","&lt;displayfeedback feedbacktype=""Response"" linkrefid=""response_7""/&gt;",IF($AS23&lt;&gt;"","&lt;displayfeedback feedbacktype=""Response"" linkrefid=""qti_feedback_trigger""/&gt;",""))&amp;"&lt;/respcondition&gt;",""))),"")</f>
      </c>
      <c r="AR23" s="46">
        <f>IF(A23="","",SUBSTITUTE(SUBSTITUTE(SUBSTITUTE(SUBSTITUTE(SUBSTITUTE(IF(Saisie_Questions!P23&lt;&gt;"",Saisie_Questions!P23,Interface_Generation!$B$5),"&amp;","&amp;amp;"),"&lt;","&amp;lt;"),"&gt;","&amp;gt;"),CHAR(34),"&amp;quot;"),"'","&amp;apos;"))</f>
        <v/>
      </c>
      <c r="AS23" s="46">
        <f>IF(Saisie_Questions!Q23="","",SUBSTITUTE(SUBSTITUTE(SUBSTITUTE(SUBSTITUTE(SUBSTITUTE(Saisie_Questions!Q23,"&amp;","&amp;amp;"),"&lt;","&amp;lt;"),"&gt;","&amp;gt;"),CHAR(34),"&amp;quot;"),"'","&amp;apos;"))</f>
        <v/>
      </c>
      <c r="AT23" s="46">
        <f>IF(Saisie_Questions!R23="","",SUBSTITUTE(SUBSTITUTE(SUBSTITUTE(SUBSTITUTE(SUBSTITUTE(Saisie_Questions!R23,"&amp;","&amp;amp;"),"&lt;","&amp;lt;"),"&gt;","&amp;gt;"),CHAR(34),"&amp;quot;"),"'","&amp;apos;"))</f>
        <v/>
      </c>
      <c r="AU23" s="46">
        <f>IF(Saisie_Questions!S23="","",SUBSTITUTE(SUBSTITUTE(SUBSTITUTE(SUBSTITUTE(SUBSTITUTE(Saisie_Questions!S23,"&amp;","&amp;amp;"),"&lt;","&amp;lt;"),"&gt;","&amp;gt;"),CHAR(34),"&amp;quot;"),"'","&amp;apos;"))</f>
        <v/>
      </c>
      <c r="AV23" s="46">
        <f>IF(Saisie_Questions!T23="","",SUBSTITUTE(SUBSTITUTE(SUBSTITUTE(SUBSTITUTE(SUBSTITUTE(Saisie_Questions!T23,"&amp;","&amp;amp;"),"&lt;","&amp;lt;"),"&gt;","&amp;gt;"),CHAR(34),"&amp;quot;"),"'","&amp;apos;"))</f>
        <v/>
      </c>
      <c r="AW23" s="46">
        <f>IF(Saisie_Questions!U23="","",SUBSTITUTE(SUBSTITUTE(SUBSTITUTE(SUBSTITUTE(SUBSTITUTE(Saisie_Questions!U23,"&amp;","&amp;amp;"),"&lt;","&amp;lt;"),"&gt;","&amp;gt;"),CHAR(34),"&amp;quot;"),"'","&amp;apos;"))</f>
        <v/>
      </c>
      <c r="AX23" s="46">
        <f>IF(Saisie_Questions!V23="","",SUBSTITUTE(SUBSTITUTE(SUBSTITUTE(SUBSTITUTE(SUBSTITUTE(Saisie_Questions!V23,"&amp;","&amp;amp;"),"&lt;","&amp;lt;"),"&gt;","&amp;gt;"),CHAR(34),"&amp;quot;"),"'","&amp;apos;"))</f>
        <v/>
      </c>
      <c r="AY23" s="46">
        <f>IF(Saisie_Questions!W23="","",SUBSTITUTE(SUBSTITUTE(SUBSTITUTE(SUBSTITUTE(SUBSTITUTE(Saisie_Questions!W23,"&amp;","&amp;amp;"),"&lt;","&amp;lt;"),"&gt;","&amp;gt;"),CHAR(34),"&amp;quot;"),"'","&amp;apos;"))</f>
        <v/>
      </c>
      <c r="AZ23" s="46">
        <f>IF(Saisie_Questions!X23="","",SUBSTITUTE(SUBSTITUTE(SUBSTITUTE(SUBSTITUTE(SUBSTITUTE(Saisie_Questions!X23,"&amp;","&amp;amp;"),"&lt;","&amp;lt;"),"&gt;","&amp;gt;"),CHAR(34),"&amp;quot;"),"'","&amp;apos;"))</f>
        <v/>
      </c>
      <c r="BA23" s="46">
        <f>IF(Saisie_Questions!Y23="","",SUBSTITUTE(SUBSTITUTE(SUBSTITUTE(SUBSTITUTE(SUBSTITUTE(Saisie_Questions!Y23,"&amp;","&amp;amp;"),"&lt;","&amp;lt;"),"&gt;","&amp;gt;"),CHAR(34),"&amp;quot;"),"'","&amp;apos;"))</f>
        <v/>
      </c>
      <c r="BB23" s="46">
        <f>IF($B23,IF($AS23="","","    &lt;itemfeedback ident=""response_allcorrect"" view=""All""&gt;&lt;flow_mat&gt;&lt;material&gt;&lt;mattext texttype=""text/html""&gt;"&amp;$AS23&amp;"&lt;/mattext&gt;&lt;/material&gt;&lt;/flow_mat&gt;&lt;/itemfeedback&gt;"&amp;"    &lt;itemfeedback ident=""response_onenotcorrect"" view=""All""&gt;&lt;flow_mat&gt;&lt;material&gt;&lt;mattext texttype=""text/html""&gt;"&amp;$AS23&amp;"&lt;/mattext&gt;&lt;/material&gt;&lt;/flow_mat&gt;&lt;/itemfeedback&gt;"),"")</f>
      </c>
      <c r="BC23" s="46">
        <f>IF($B23,IF(AT23="","","    &lt;itemfeedback ident=""response_0"" view=""All""&gt;&lt;flow_mat&gt;&lt;material&gt;&lt;mattext texttype=""text/html""&gt;"&amp;AT23&amp;"&lt;/mattext&gt;&lt;/material&gt;&lt;/flow_mat&gt;&lt;/itemfeedback&gt;"),"")</f>
      </c>
      <c r="BD23" s="46">
        <f>IF($B23,IF(AU23="","","    &lt;itemfeedback ident=""response_1"" view=""All""&gt;&lt;flow_mat&gt;&lt;material&gt;&lt;mattext texttype=""text/html""&gt;"&amp;AU23&amp;"&lt;/mattext&gt;&lt;/material&gt;&lt;/flow_mat&gt;&lt;/itemfeedback&gt;"),"")</f>
      </c>
      <c r="BE23" s="46">
        <f>IF($B23,IF(AV23="","","    &lt;itemfeedback ident=""response_2"" view=""All""&gt;&lt;flow_mat&gt;&lt;material&gt;&lt;mattext texttype=""text/html""&gt;"&amp;AV23&amp;"&lt;/mattext&gt;&lt;/material&gt;&lt;/flow_mat&gt;&lt;/itemfeedback&gt;"),"")</f>
      </c>
      <c r="BF23" s="46">
        <f>IF($B23,IF(AW23="","","    &lt;itemfeedback ident=""response_3"" view=""All""&gt;&lt;flow_mat&gt;&lt;material&gt;&lt;mattext texttype=""text/html""&gt;"&amp;AW23&amp;"&lt;/mattext&gt;&lt;/material&gt;&lt;/flow_mat&gt;&lt;/itemfeedback&gt;"),"")</f>
      </c>
      <c r="BG23" s="46">
        <f>IF($B23,IF(AX23="","","    &lt;itemfeedback ident=""response_4"" view=""All""&gt;&lt;flow_mat&gt;&lt;material&gt;&lt;mattext texttype=""text/html""&gt;"&amp;AX23&amp;"&lt;/mattext&gt;&lt;/material&gt;&lt;/flow_mat&gt;&lt;/itemfeedback&gt;"),"")</f>
      </c>
      <c r="BH23" s="46">
        <f>IF($B23,IF(AY23="","","    &lt;itemfeedback ident=""response_5"" view=""All""&gt;&lt;flow_mat&gt;&lt;material&gt;&lt;mattext texttype=""text/html""&gt;"&amp;AY23&amp;"&lt;/mattext&gt;&lt;/material&gt;&lt;/flow_mat&gt;&lt;/itemfeedback&gt;"),"")</f>
      </c>
      <c r="BI23" s="46">
        <f>IF($B23,IF(AZ23="","","    &lt;itemfeedback ident=""response_6"" view=""All""&gt;&lt;flow_mat&gt;&lt;material&gt;&lt;mattext texttype=""text/html""&gt;"&amp;AZ23&amp;"&lt;/mattext&gt;&lt;/material&gt;&lt;/flow_mat&gt;&lt;/itemfeedback&gt;"),"")</f>
      </c>
      <c r="BJ23" s="46">
        <f>IF($B23,IF(BA23="","","    &lt;itemfeedback ident=""response_7"" view=""All""&gt;&lt;flow_mat&gt;&lt;material&gt;&lt;mattext texttype=""text/html""&gt;"&amp;BA23&amp;"&lt;/mattext&gt;&lt;/material&gt;&lt;/flow_mat&gt;&lt;/itemfeedback&gt;"),"")</f>
      </c>
    </row>
    <row r="24" ht="18" customHeight="1" s="17">
      <c r="A24" s="46">
        <f>Saisie_Questions!A24</f>
        <v/>
      </c>
      <c r="B24" s="46">
        <f>Saisie_Questions!O24="OK"</f>
        <v/>
      </c>
      <c r="C24" s="46">
        <f>LOWER(TRIM(Saisie_Questions!B24))</f>
        <v/>
      </c>
      <c r="D24" s="46">
        <f>IF(C24="qcu","SINGLE CHOICE QUESTION","MULTIPLE CHOICE QUESTION")</f>
        <v/>
      </c>
      <c r="E24" s="46">
        <f>IF(C24="qcu","Single","Multiple")</f>
        <v/>
      </c>
      <c r="F24" s="46">
        <f>IF(A24="","",SUBSTITUTE(SUBSTITUTE(SUBSTITUTE(SUBSTITUTE(SUBSTITUTE(IF(Saisie_Questions!C24="", "Question "&amp;A24, Saisie_Questions!C24),"&amp;","&amp;amp;"),"&lt;","&amp;lt;"),"&gt;","&amp;gt;"),CHAR(34),"&amp;quot;"),"'","&amp;apos;"))</f>
        <v/>
      </c>
      <c r="G24" s="46">
        <f>IF(A24="","",SUBSTITUTE(SUBSTITUTE(SUBSTITUTE(SUBSTITUTE(SUBSTITUTE(Saisie_Questions!D24,"&amp;","&amp;amp;"),"&lt;","&amp;lt;"),"&gt;","&amp;gt;"),CHAR(34),"&amp;quot;"),"'","&amp;apos;"))</f>
        <v/>
      </c>
      <c r="H24" s="46">
        <f>Saisie_Questions!N24</f>
        <v/>
      </c>
      <c r="I24" s="46">
        <f>IF(Saisie_Questions!E24="",0,1)+IF(Saisie_Questions!F24="",0,1)+IF(Saisie_Questions!G24="",0,1)+IF(Saisie_Questions!H24="",0,1)+IF(Saisie_Questions!I24="",0,1)+IF(Saisie_Questions!J24="",0,1)+IF(Saisie_Questions!K24="",0,1)+IF(Saisie_Questions!L24="",0,1)</f>
        <v/>
      </c>
      <c r="J24" s="46">
        <f>Saisie_Questions!M24</f>
        <v/>
      </c>
      <c r="K24" s="46">
        <f>Saisie_Questions!O24</f>
        <v/>
      </c>
      <c r="L24" s="46">
        <f>IF(Saisie_Questions!E24="","",SUBSTITUTE(SUBSTITUTE(SUBSTITUTE(SUBSTITUTE(SUBSTITUTE(Saisie_Questions!E24,"&amp;","&amp;amp;"),"&lt;","&amp;lt;"),"&gt;","&amp;gt;"),CHAR(34),"&amp;quot;"),"'","&amp;apos;"))</f>
        <v/>
      </c>
      <c r="M24" s="46">
        <f>IF(Saisie_Questions!F24="","",SUBSTITUTE(SUBSTITUTE(SUBSTITUTE(SUBSTITUTE(SUBSTITUTE(Saisie_Questions!F24,"&amp;","&amp;amp;"),"&lt;","&amp;lt;"),"&gt;","&amp;gt;"),CHAR(34),"&amp;quot;"),"'","&amp;apos;"))</f>
        <v/>
      </c>
      <c r="N24" s="46">
        <f>IF(Saisie_Questions!G24="","",SUBSTITUTE(SUBSTITUTE(SUBSTITUTE(SUBSTITUTE(SUBSTITUTE(Saisie_Questions!G24,"&amp;","&amp;amp;"),"&lt;","&amp;lt;"),"&gt;","&amp;gt;"),CHAR(34),"&amp;quot;"),"'","&amp;apos;"))</f>
        <v/>
      </c>
      <c r="O24" s="46">
        <f>IF(Saisie_Questions!H24="","",SUBSTITUTE(SUBSTITUTE(SUBSTITUTE(SUBSTITUTE(SUBSTITUTE(Saisie_Questions!H24,"&amp;","&amp;amp;"),"&lt;","&amp;lt;"),"&gt;","&amp;gt;"),CHAR(34),"&amp;quot;"),"'","&amp;apos;"))</f>
        <v/>
      </c>
      <c r="P24" s="46">
        <f>IF(Saisie_Questions!I24="","",SUBSTITUTE(SUBSTITUTE(SUBSTITUTE(SUBSTITUTE(SUBSTITUTE(Saisie_Questions!I24,"&amp;","&amp;amp;"),"&lt;","&amp;lt;"),"&gt;","&amp;gt;"),CHAR(34),"&amp;quot;"),"'","&amp;apos;"))</f>
        <v/>
      </c>
      <c r="Q24" s="46">
        <f>IF(Saisie_Questions!J24="","",SUBSTITUTE(SUBSTITUTE(SUBSTITUTE(SUBSTITUTE(SUBSTITUTE(Saisie_Questions!J24,"&amp;","&amp;amp;"),"&lt;","&amp;lt;"),"&gt;","&amp;gt;"),CHAR(34),"&amp;quot;"),"'","&amp;apos;"))</f>
        <v/>
      </c>
      <c r="R24" s="46">
        <f>IF(Saisie_Questions!K24="","",SUBSTITUTE(SUBSTITUTE(SUBSTITUTE(SUBSTITUTE(SUBSTITUTE(Saisie_Questions!K24,"&amp;","&amp;amp;"),"&lt;","&amp;lt;"),"&gt;","&amp;gt;"),CHAR(34),"&amp;quot;"),"'","&amp;apos;"))</f>
        <v/>
      </c>
      <c r="S24" s="46">
        <f>IF(Saisie_Questions!L24="","",SUBSTITUTE(SUBSTITUTE(SUBSTITUTE(SUBSTITUTE(SUBSTITUTE(Saisie_Questions!L24,"&amp;","&amp;amp;"),"&lt;","&amp;lt;"),"&gt;","&amp;gt;"),CHAR(34),"&amp;quot;"),"'","&amp;apos;"))</f>
        <v/>
      </c>
      <c r="T24" s="46">
        <f>ISNUMBER(SEARCH(";"&amp;1&amp;";",";"&amp;$J24&amp;";"))</f>
        <v/>
      </c>
      <c r="U24" s="46">
        <f>ISNUMBER(SEARCH(";"&amp;2&amp;";",";"&amp;$J24&amp;";"))</f>
        <v/>
      </c>
      <c r="V24" s="46">
        <f>ISNUMBER(SEARCH(";"&amp;3&amp;";",";"&amp;$J24&amp;";"))</f>
        <v/>
      </c>
      <c r="W24" s="46">
        <f>ISNUMBER(SEARCH(";"&amp;4&amp;";",";"&amp;$J24&amp;";"))</f>
        <v/>
      </c>
      <c r="X24" s="46">
        <f>ISNUMBER(SEARCH(";"&amp;5&amp;";",";"&amp;$J24&amp;";"))</f>
        <v/>
      </c>
      <c r="Y24" s="46">
        <f>ISNUMBER(SEARCH(";"&amp;6&amp;";",";"&amp;$J24&amp;";"))</f>
        <v/>
      </c>
      <c r="Z24" s="46">
        <f>ISNUMBER(SEARCH(";"&amp;7&amp;";",";"&amp;$J24&amp;";"))</f>
        <v/>
      </c>
      <c r="AA24" s="46">
        <f>ISNUMBER(SEARCH(";"&amp;8&amp;";",";"&amp;$J24&amp;";"))</f>
        <v/>
      </c>
      <c r="AB24" s="46">
        <f>IF($B24,IF(L24="","","        &lt;response_label ident=""0""&gt;&lt;material&gt;&lt;mattext texttype=""text/html""&gt;"&amp;L24&amp;"&lt;/mattext&gt;&lt;/material&gt;&lt;/response_label&gt;"),"")</f>
        <v/>
      </c>
      <c r="AC24" s="46">
        <f>IF($B24,IF(M24="","","        &lt;response_label ident=""1""&gt;&lt;material&gt;&lt;mattext texttype=""text/html""&gt;"&amp;M24&amp;"&lt;/mattext&gt;&lt;/material&gt;&lt;/response_label&gt;"),"")</f>
        <v/>
      </c>
      <c r="AD24" s="46">
        <f>IF($B24,IF(N24="","","        &lt;response_label ident=""2""&gt;&lt;material&gt;&lt;mattext texttype=""text/html""&gt;"&amp;N24&amp;"&lt;/mattext&gt;&lt;/material&gt;&lt;/response_label&gt;"),"")</f>
        <v/>
      </c>
      <c r="AE24" s="46">
        <f>IF($B24,IF(O24="","","        &lt;response_label ident=""3""&gt;&lt;material&gt;&lt;mattext texttype=""text/html""&gt;"&amp;O24&amp;"&lt;/mattext&gt;&lt;/material&gt;&lt;/response_label&gt;"),"")</f>
        <v/>
      </c>
      <c r="AF24" s="46">
        <f>IF($B24,IF(P24="","","        &lt;response_label ident=""4""&gt;&lt;material&gt;&lt;mattext texttype=""text/html""&gt;"&amp;P24&amp;"&lt;/mattext&gt;&lt;/material&gt;&lt;/response_label&gt;"),"")</f>
        <v/>
      </c>
      <c r="AG24" s="46">
        <f>IF($B24,IF(Q24="","","        &lt;response_label ident=""5""&gt;&lt;material&gt;&lt;mattext texttype=""text/html""&gt;"&amp;Q24&amp;"&lt;/mattext&gt;&lt;/material&gt;&lt;/response_label&gt;"),"")</f>
        <v/>
      </c>
      <c r="AH24" s="46">
        <f>IF($B24,IF(R24="","","        &lt;response_label ident=""6""&gt;&lt;material&gt;&lt;mattext texttype=""text/html""&gt;"&amp;R24&amp;"&lt;/mattext&gt;&lt;/material&gt;&lt;/response_label&gt;"),"")</f>
        <v/>
      </c>
      <c r="AI24" s="46">
        <f>IF($B24,IF(S24="","","        &lt;response_label ident=""7""&gt;&lt;material&gt;&lt;mattext texttype=""text/html""&gt;"&amp;S24&amp;"&lt;/mattext&gt;&lt;/material&gt;&lt;/response_label&gt;"),"")</f>
        <v/>
      </c>
      <c r="AJ24" s="46">
        <f>IF($B24,IF(L24="","",IF($C24="qcu",IF(OR(T24,AT24&lt;&gt;"",$AS24&lt;&gt;""),"      &lt;respcondition continue=""Yes""&gt;&lt;conditionvar&gt;&lt;varequal respident=""RESPONSE""&gt;0&lt;/varequal&gt;&lt;/conditionvar&gt;"&amp;"&lt;setvar action=""Add""&gt;"&amp;IF(T24,$H24,0)&amp;"&lt;/setvar&gt;"&amp;IF(AT24&lt;&gt;"","&lt;displayfeedback feedbacktype=""Response"" linkrefid=""response_0""/&gt;",IF($AS24&lt;&gt;"","&lt;displayfeedback feedbacktype=""Response"" linkrefid=""qti_feedback_trigger""/&gt;",""))&amp;"&lt;/respcondition&gt;",""),IF(OR(T24,AT24&lt;&gt;"",$AS24&lt;&gt;""),"      &lt;respcondition continue=""Yes""&gt;&lt;conditionvar&gt;"&amp;IF(T24,"&lt;varequal respident=""RESPONSE""&gt;0&lt;/varequal&gt;","&lt;not&gt;&lt;varequal respident=""RESPONSE""&gt;0&lt;/varequal&gt;&lt;/not&gt;")&amp;"&lt;/conditionvar&gt;&lt;setvar action=""Add""&gt;"&amp;(Saisie_Questions!$N24/$I24)&amp;"&lt;/setvar&gt;"&amp;IF(AT24&lt;&gt;"","&lt;displayfeedback feedbacktype=""Response"" linkrefid=""response_0""/&gt;",IF($AS24&lt;&gt;"","&lt;displayfeedback feedbacktype=""Response"" linkrefid=""qti_feedback_trigger""/&gt;",""))&amp;"&lt;/respcondition&gt;",""))),"")</f>
      </c>
      <c r="AK24" s="46">
        <f>IF($B24,IF(M24="","",IF($C24="qcu",IF(OR(U24,AU24&lt;&gt;"",$AS24&lt;&gt;""),"      &lt;respcondition continue=""Yes""&gt;&lt;conditionvar&gt;&lt;varequal respident=""RESPONSE""&gt;1&lt;/varequal&gt;&lt;/conditionvar&gt;"&amp;"&lt;setvar action=""Add""&gt;"&amp;IF(U24,$H24,0)&amp;"&lt;/setvar&gt;"&amp;IF(AU24&lt;&gt;"","&lt;displayfeedback feedbacktype=""Response"" linkrefid=""response_1""/&gt;",IF($AS24&lt;&gt;"","&lt;displayfeedback feedbacktype=""Response"" linkrefid=""qti_feedback_trigger""/&gt;",""))&amp;"&lt;/respcondition&gt;",""),IF(OR(U24,AU24&lt;&gt;"",$AS24&lt;&gt;""),"      &lt;respcondition continue=""Yes""&gt;&lt;conditionvar&gt;"&amp;IF(U24,"&lt;varequal respident=""RESPONSE""&gt;1&lt;/varequal&gt;","&lt;not&gt;&lt;varequal respident=""RESPONSE""&gt;1&lt;/varequal&gt;&lt;/not&gt;")&amp;"&lt;/conditionvar&gt;&lt;setvar action=""Add""&gt;"&amp;(Saisie_Questions!$N24/$I24)&amp;"&lt;/setvar&gt;"&amp;IF(AU24&lt;&gt;"","&lt;displayfeedback feedbacktype=""Response"" linkrefid=""response_1""/&gt;",IF($AS24&lt;&gt;"","&lt;displayfeedback feedbacktype=""Response"" linkrefid=""qti_feedback_trigger""/&gt;",""))&amp;"&lt;/respcondition&gt;",""))),"")</f>
      </c>
      <c r="AL24" s="46">
        <f>IF($B24,IF(N24="","",IF($C24="qcu",IF(OR(V24,AV24&lt;&gt;"",$AS24&lt;&gt;""),"      &lt;respcondition continue=""Yes""&gt;&lt;conditionvar&gt;&lt;varequal respident=""RESPONSE""&gt;2&lt;/varequal&gt;&lt;/conditionvar&gt;"&amp;"&lt;setvar action=""Add""&gt;"&amp;IF(V24,$H24,0)&amp;"&lt;/setvar&gt;"&amp;IF(AV24&lt;&gt;"","&lt;displayfeedback feedbacktype=""Response"" linkrefid=""response_2""/&gt;",IF($AS24&lt;&gt;"","&lt;displayfeedback feedbacktype=""Response"" linkrefid=""qti_feedback_trigger""/&gt;",""))&amp;"&lt;/respcondition&gt;",""),IF(OR(V24,AV24&lt;&gt;"",$AS24&lt;&gt;""),"      &lt;respcondition continue=""Yes""&gt;&lt;conditionvar&gt;"&amp;IF(V24,"&lt;varequal respident=""RESPONSE""&gt;2&lt;/varequal&gt;","&lt;not&gt;&lt;varequal respident=""RESPONSE""&gt;2&lt;/varequal&gt;&lt;/not&gt;")&amp;"&lt;/conditionvar&gt;&lt;setvar action=""Add""&gt;"&amp;(Saisie_Questions!$N24/$I24)&amp;"&lt;/setvar&gt;"&amp;IF(AV24&lt;&gt;"","&lt;displayfeedback feedbacktype=""Response"" linkrefid=""response_2""/&gt;",IF($AS24&lt;&gt;"","&lt;displayfeedback feedbacktype=""Response"" linkrefid=""qti_feedback_trigger""/&gt;",""))&amp;"&lt;/respcondition&gt;",""))),"")</f>
      </c>
      <c r="AM24" s="46">
        <f>IF($B24,IF(O24="","",IF($C24="qcu",IF(OR(W24,AW24&lt;&gt;"",$AS24&lt;&gt;""),"      &lt;respcondition continue=""Yes""&gt;&lt;conditionvar&gt;&lt;varequal respident=""RESPONSE""&gt;3&lt;/varequal&gt;&lt;/conditionvar&gt;"&amp;"&lt;setvar action=""Add""&gt;"&amp;IF(W24,$H24,0)&amp;"&lt;/setvar&gt;"&amp;IF(AW24&lt;&gt;"","&lt;displayfeedback feedbacktype=""Response"" linkrefid=""response_3""/&gt;",IF($AS24&lt;&gt;"","&lt;displayfeedback feedbacktype=""Response"" linkrefid=""qti_feedback_trigger""/&gt;",""))&amp;"&lt;/respcondition&gt;",""),IF(OR(W24,AW24&lt;&gt;"",$AS24&lt;&gt;""),"      &lt;respcondition continue=""Yes""&gt;&lt;conditionvar&gt;"&amp;IF(W24,"&lt;varequal respident=""RESPONSE""&gt;3&lt;/varequal&gt;","&lt;not&gt;&lt;varequal respident=""RESPONSE""&gt;3&lt;/varequal&gt;&lt;/not&gt;")&amp;"&lt;/conditionvar&gt;&lt;setvar action=""Add""&gt;"&amp;(Saisie_Questions!$N24/$I24)&amp;"&lt;/setvar&gt;"&amp;IF(AW24&lt;&gt;"","&lt;displayfeedback feedbacktype=""Response"" linkrefid=""response_3""/&gt;",IF($AS24&lt;&gt;"","&lt;displayfeedback feedbacktype=""Response"" linkrefid=""qti_feedback_trigger""/&gt;",""))&amp;"&lt;/respcondition&gt;",""))),"")</f>
      </c>
      <c r="AN24" s="46">
        <f>IF($B24,IF(P24="","",IF($C24="qcu",IF(OR(X24,AX24&lt;&gt;"",$AS24&lt;&gt;""),"      &lt;respcondition continue=""Yes""&gt;&lt;conditionvar&gt;&lt;varequal respident=""RESPONSE""&gt;4&lt;/varequal&gt;&lt;/conditionvar&gt;"&amp;"&lt;setvar action=""Add""&gt;"&amp;IF(X24,$H24,0)&amp;"&lt;/setvar&gt;"&amp;IF(AX24&lt;&gt;"","&lt;displayfeedback feedbacktype=""Response"" linkrefid=""response_4""/&gt;",IF($AS24&lt;&gt;"","&lt;displayfeedback feedbacktype=""Response"" linkrefid=""qti_feedback_trigger""/&gt;",""))&amp;"&lt;/respcondition&gt;",""),IF(OR(X24,AX24&lt;&gt;"",$AS24&lt;&gt;""),"      &lt;respcondition continue=""Yes""&gt;&lt;conditionvar&gt;"&amp;IF(X24,"&lt;varequal respident=""RESPONSE""&gt;4&lt;/varequal&gt;","&lt;not&gt;&lt;varequal respident=""RESPONSE""&gt;4&lt;/varequal&gt;&lt;/not&gt;")&amp;"&lt;/conditionvar&gt;&lt;setvar action=""Add""&gt;"&amp;(Saisie_Questions!$N24/$I24)&amp;"&lt;/setvar&gt;"&amp;IF(AX24&lt;&gt;"","&lt;displayfeedback feedbacktype=""Response"" linkrefid=""response_4""/&gt;",IF($AS24&lt;&gt;"","&lt;displayfeedback feedbacktype=""Response"" linkrefid=""qti_feedback_trigger""/&gt;",""))&amp;"&lt;/respcondition&gt;",""))),"")</f>
      </c>
      <c r="AO24" s="46">
        <f>IF($B24,IF(Q24="","",IF($C24="qcu",IF(OR(Y24,AY24&lt;&gt;"",$AS24&lt;&gt;""),"      &lt;respcondition continue=""Yes""&gt;&lt;conditionvar&gt;&lt;varequal respident=""RESPONSE""&gt;5&lt;/varequal&gt;&lt;/conditionvar&gt;"&amp;"&lt;setvar action=""Add""&gt;"&amp;IF(Y24,$H24,0)&amp;"&lt;/setvar&gt;"&amp;IF(AY24&lt;&gt;"","&lt;displayfeedback feedbacktype=""Response"" linkrefid=""response_5""/&gt;",IF($AS24&lt;&gt;"","&lt;displayfeedback feedbacktype=""Response"" linkrefid=""qti_feedback_trigger""/&gt;",""))&amp;"&lt;/respcondition&gt;",""),IF(OR(Y24,AY24&lt;&gt;"",$AS24&lt;&gt;""),"      &lt;respcondition continue=""Yes""&gt;&lt;conditionvar&gt;"&amp;IF(Y24,"&lt;varequal respident=""RESPONSE""&gt;5&lt;/varequal&gt;","&lt;not&gt;&lt;varequal respident=""RESPONSE""&gt;5&lt;/varequal&gt;&lt;/not&gt;")&amp;"&lt;/conditionvar&gt;&lt;setvar action=""Add""&gt;"&amp;(Saisie_Questions!$N24/$I24)&amp;"&lt;/setvar&gt;"&amp;IF(AY24&lt;&gt;"","&lt;displayfeedback feedbacktype=""Response"" linkrefid=""response_5""/&gt;",IF($AS24&lt;&gt;"","&lt;displayfeedback feedbacktype=""Response"" linkrefid=""qti_feedback_trigger""/&gt;",""))&amp;"&lt;/respcondition&gt;",""))),"")</f>
      </c>
      <c r="AP24" s="46">
        <f>IF($B24,IF(R24="","",IF($C24="qcu",IF(OR(Z24,AZ24&lt;&gt;"",$AS24&lt;&gt;""),"      &lt;respcondition continue=""Yes""&gt;&lt;conditionvar&gt;&lt;varequal respident=""RESPONSE""&gt;6&lt;/varequal&gt;&lt;/conditionvar&gt;"&amp;"&lt;setvar action=""Add""&gt;"&amp;IF(Z24,$H24,0)&amp;"&lt;/setvar&gt;"&amp;IF(AZ24&lt;&gt;"","&lt;displayfeedback feedbacktype=""Response"" linkrefid=""response_6""/&gt;",IF($AS24&lt;&gt;"","&lt;displayfeedback feedbacktype=""Response"" linkrefid=""qti_feedback_trigger""/&gt;",""))&amp;"&lt;/respcondition&gt;",""),IF(OR(Z24,AZ24&lt;&gt;"",$AS24&lt;&gt;""),"      &lt;respcondition continue=""Yes""&gt;&lt;conditionvar&gt;"&amp;IF(Z24,"&lt;varequal respident=""RESPONSE""&gt;6&lt;/varequal&gt;","&lt;not&gt;&lt;varequal respident=""RESPONSE""&gt;6&lt;/varequal&gt;&lt;/not&gt;")&amp;"&lt;/conditionvar&gt;&lt;setvar action=""Add""&gt;"&amp;(Saisie_Questions!$N24/$I24)&amp;"&lt;/setvar&gt;"&amp;IF(AZ24&lt;&gt;"","&lt;displayfeedback feedbacktype=""Response"" linkrefid=""response_6""/&gt;",IF($AS24&lt;&gt;"","&lt;displayfeedback feedbacktype=""Response"" linkrefid=""qti_feedback_trigger""/&gt;",""))&amp;"&lt;/respcondition&gt;",""))),"")</f>
      </c>
      <c r="AQ24" s="46">
        <f>IF($B24,IF(S24="","",IF($C24="qcu",IF(OR(AA24,BA24&lt;&gt;"",$AS24&lt;&gt;""),"      &lt;respcondition continue=""Yes""&gt;&lt;conditionvar&gt;&lt;varequal respident=""RESPONSE""&gt;7&lt;/varequal&gt;&lt;/conditionvar&gt;"&amp;"&lt;setvar action=""Add""&gt;"&amp;IF(AA24,$H24,0)&amp;"&lt;/setvar&gt;"&amp;IF(BA24&lt;&gt;"","&lt;displayfeedback feedbacktype=""Response"" linkrefid=""response_7""/&gt;",IF($AS24&lt;&gt;"","&lt;displayfeedback feedbacktype=""Response"" linkrefid=""qti_feedback_trigger""/&gt;",""))&amp;"&lt;/respcondition&gt;",""),IF(OR(AA24,BA24&lt;&gt;"",$AS24&lt;&gt;""),"      &lt;respcondition continue=""Yes""&gt;&lt;conditionvar&gt;"&amp;IF(AA24,"&lt;varequal respident=""RESPONSE""&gt;7&lt;/varequal&gt;","&lt;not&gt;&lt;varequal respident=""RESPONSE""&gt;7&lt;/varequal&gt;&lt;/not&gt;")&amp;"&lt;/conditionvar&gt;&lt;setvar action=""Add""&gt;"&amp;(Saisie_Questions!$N24/$I24)&amp;"&lt;/setvar&gt;"&amp;IF(BA24&lt;&gt;"","&lt;displayfeedback feedbacktype=""Response"" linkrefid=""response_7""/&gt;",IF($AS24&lt;&gt;"","&lt;displayfeedback feedbacktype=""Response"" linkrefid=""qti_feedback_trigger""/&gt;",""))&amp;"&lt;/respcondition&gt;",""))),"")</f>
      </c>
      <c r="AR24" s="46">
        <f>IF(A24="","",SUBSTITUTE(SUBSTITUTE(SUBSTITUTE(SUBSTITUTE(SUBSTITUTE(IF(Saisie_Questions!P24&lt;&gt;"",Saisie_Questions!P24,Interface_Generation!$B$5),"&amp;","&amp;amp;"),"&lt;","&amp;lt;"),"&gt;","&amp;gt;"),CHAR(34),"&amp;quot;"),"'","&amp;apos;"))</f>
        <v/>
      </c>
      <c r="AS24" s="46">
        <f>IF(Saisie_Questions!Q24="","",SUBSTITUTE(SUBSTITUTE(SUBSTITUTE(SUBSTITUTE(SUBSTITUTE(Saisie_Questions!Q24,"&amp;","&amp;amp;"),"&lt;","&amp;lt;"),"&gt;","&amp;gt;"),CHAR(34),"&amp;quot;"),"'","&amp;apos;"))</f>
        <v/>
      </c>
      <c r="AT24" s="46">
        <f>IF(Saisie_Questions!R24="","",SUBSTITUTE(SUBSTITUTE(SUBSTITUTE(SUBSTITUTE(SUBSTITUTE(Saisie_Questions!R24,"&amp;","&amp;amp;"),"&lt;","&amp;lt;"),"&gt;","&amp;gt;"),CHAR(34),"&amp;quot;"),"'","&amp;apos;"))</f>
        <v/>
      </c>
      <c r="AU24" s="46">
        <f>IF(Saisie_Questions!S24="","",SUBSTITUTE(SUBSTITUTE(SUBSTITUTE(SUBSTITUTE(SUBSTITUTE(Saisie_Questions!S24,"&amp;","&amp;amp;"),"&lt;","&amp;lt;"),"&gt;","&amp;gt;"),CHAR(34),"&amp;quot;"),"'","&amp;apos;"))</f>
        <v/>
      </c>
      <c r="AV24" s="46">
        <f>IF(Saisie_Questions!T24="","",SUBSTITUTE(SUBSTITUTE(SUBSTITUTE(SUBSTITUTE(SUBSTITUTE(Saisie_Questions!T24,"&amp;","&amp;amp;"),"&lt;","&amp;lt;"),"&gt;","&amp;gt;"),CHAR(34),"&amp;quot;"),"'","&amp;apos;"))</f>
        <v/>
      </c>
      <c r="AW24" s="46">
        <f>IF(Saisie_Questions!U24="","",SUBSTITUTE(SUBSTITUTE(SUBSTITUTE(SUBSTITUTE(SUBSTITUTE(Saisie_Questions!U24,"&amp;","&amp;amp;"),"&lt;","&amp;lt;"),"&gt;","&amp;gt;"),CHAR(34),"&amp;quot;"),"'","&amp;apos;"))</f>
        <v/>
      </c>
      <c r="AX24" s="46">
        <f>IF(Saisie_Questions!V24="","",SUBSTITUTE(SUBSTITUTE(SUBSTITUTE(SUBSTITUTE(SUBSTITUTE(Saisie_Questions!V24,"&amp;","&amp;amp;"),"&lt;","&amp;lt;"),"&gt;","&amp;gt;"),CHAR(34),"&amp;quot;"),"'","&amp;apos;"))</f>
        <v/>
      </c>
      <c r="AY24" s="46">
        <f>IF(Saisie_Questions!W24="","",SUBSTITUTE(SUBSTITUTE(SUBSTITUTE(SUBSTITUTE(SUBSTITUTE(Saisie_Questions!W24,"&amp;","&amp;amp;"),"&lt;","&amp;lt;"),"&gt;","&amp;gt;"),CHAR(34),"&amp;quot;"),"'","&amp;apos;"))</f>
        <v/>
      </c>
      <c r="AZ24" s="46">
        <f>IF(Saisie_Questions!X24="","",SUBSTITUTE(SUBSTITUTE(SUBSTITUTE(SUBSTITUTE(SUBSTITUTE(Saisie_Questions!X24,"&amp;","&amp;amp;"),"&lt;","&amp;lt;"),"&gt;","&amp;gt;"),CHAR(34),"&amp;quot;"),"'","&amp;apos;"))</f>
        <v/>
      </c>
      <c r="BA24" s="46">
        <f>IF(Saisie_Questions!Y24="","",SUBSTITUTE(SUBSTITUTE(SUBSTITUTE(SUBSTITUTE(SUBSTITUTE(Saisie_Questions!Y24,"&amp;","&amp;amp;"),"&lt;","&amp;lt;"),"&gt;","&amp;gt;"),CHAR(34),"&amp;quot;"),"'","&amp;apos;"))</f>
        <v/>
      </c>
      <c r="BB24" s="46">
        <f>IF($B24,IF($AS24="","","    &lt;itemfeedback ident=""response_allcorrect"" view=""All""&gt;&lt;flow_mat&gt;&lt;material&gt;&lt;mattext texttype=""text/html""&gt;"&amp;$AS24&amp;"&lt;/mattext&gt;&lt;/material&gt;&lt;/flow_mat&gt;&lt;/itemfeedback&gt;"&amp;"    &lt;itemfeedback ident=""response_onenotcorrect"" view=""All""&gt;&lt;flow_mat&gt;&lt;material&gt;&lt;mattext texttype=""text/html""&gt;"&amp;$AS24&amp;"&lt;/mattext&gt;&lt;/material&gt;&lt;/flow_mat&gt;&lt;/itemfeedback&gt;"),"")</f>
      </c>
      <c r="BC24" s="46">
        <f>IF($B24,IF(AT24="","","    &lt;itemfeedback ident=""response_0"" view=""All""&gt;&lt;flow_mat&gt;&lt;material&gt;&lt;mattext texttype=""text/html""&gt;"&amp;AT24&amp;"&lt;/mattext&gt;&lt;/material&gt;&lt;/flow_mat&gt;&lt;/itemfeedback&gt;"),"")</f>
      </c>
      <c r="BD24" s="46">
        <f>IF($B24,IF(AU24="","","    &lt;itemfeedback ident=""response_1"" view=""All""&gt;&lt;flow_mat&gt;&lt;material&gt;&lt;mattext texttype=""text/html""&gt;"&amp;AU24&amp;"&lt;/mattext&gt;&lt;/material&gt;&lt;/flow_mat&gt;&lt;/itemfeedback&gt;"),"")</f>
      </c>
      <c r="BE24" s="46">
        <f>IF($B24,IF(AV24="","","    &lt;itemfeedback ident=""response_2"" view=""All""&gt;&lt;flow_mat&gt;&lt;material&gt;&lt;mattext texttype=""text/html""&gt;"&amp;AV24&amp;"&lt;/mattext&gt;&lt;/material&gt;&lt;/flow_mat&gt;&lt;/itemfeedback&gt;"),"")</f>
      </c>
      <c r="BF24" s="46">
        <f>IF($B24,IF(AW24="","","    &lt;itemfeedback ident=""response_3"" view=""All""&gt;&lt;flow_mat&gt;&lt;material&gt;&lt;mattext texttype=""text/html""&gt;"&amp;AW24&amp;"&lt;/mattext&gt;&lt;/material&gt;&lt;/flow_mat&gt;&lt;/itemfeedback&gt;"),"")</f>
      </c>
      <c r="BG24" s="46">
        <f>IF($B24,IF(AX24="","","    &lt;itemfeedback ident=""response_4"" view=""All""&gt;&lt;flow_mat&gt;&lt;material&gt;&lt;mattext texttype=""text/html""&gt;"&amp;AX24&amp;"&lt;/mattext&gt;&lt;/material&gt;&lt;/flow_mat&gt;&lt;/itemfeedback&gt;"),"")</f>
      </c>
      <c r="BH24" s="46">
        <f>IF($B24,IF(AY24="","","    &lt;itemfeedback ident=""response_5"" view=""All""&gt;&lt;flow_mat&gt;&lt;material&gt;&lt;mattext texttype=""text/html""&gt;"&amp;AY24&amp;"&lt;/mattext&gt;&lt;/material&gt;&lt;/flow_mat&gt;&lt;/itemfeedback&gt;"),"")</f>
      </c>
      <c r="BI24" s="46">
        <f>IF($B24,IF(AZ24="","","    &lt;itemfeedback ident=""response_6"" view=""All""&gt;&lt;flow_mat&gt;&lt;material&gt;&lt;mattext texttype=""text/html""&gt;"&amp;AZ24&amp;"&lt;/mattext&gt;&lt;/material&gt;&lt;/flow_mat&gt;&lt;/itemfeedback&gt;"),"")</f>
      </c>
      <c r="BJ24" s="46">
        <f>IF($B24,IF(BA24="","","    &lt;itemfeedback ident=""response_7"" view=""All""&gt;&lt;flow_mat&gt;&lt;material&gt;&lt;mattext texttype=""text/html""&gt;"&amp;BA24&amp;"&lt;/mattext&gt;&lt;/material&gt;&lt;/flow_mat&gt;&lt;/itemfeedback&gt;"),"")</f>
      </c>
    </row>
    <row r="25" ht="18" customHeight="1" s="17">
      <c r="A25" s="46">
        <f>Saisie_Questions!A25</f>
        <v/>
      </c>
      <c r="B25" s="46">
        <f>Saisie_Questions!O25="OK"</f>
        <v/>
      </c>
      <c r="C25" s="46">
        <f>LOWER(TRIM(Saisie_Questions!B25))</f>
        <v/>
      </c>
      <c r="D25" s="46">
        <f>IF(C25="qcu","SINGLE CHOICE QUESTION","MULTIPLE CHOICE QUESTION")</f>
        <v/>
      </c>
      <c r="E25" s="46">
        <f>IF(C25="qcu","Single","Multiple")</f>
        <v/>
      </c>
      <c r="F25" s="46">
        <f>IF(A25="","",SUBSTITUTE(SUBSTITUTE(SUBSTITUTE(SUBSTITUTE(SUBSTITUTE(IF(Saisie_Questions!C25="", "Question "&amp;A25, Saisie_Questions!C25),"&amp;","&amp;amp;"),"&lt;","&amp;lt;"),"&gt;","&amp;gt;"),CHAR(34),"&amp;quot;"),"'","&amp;apos;"))</f>
        <v/>
      </c>
      <c r="G25" s="46">
        <f>IF(A25="","",SUBSTITUTE(SUBSTITUTE(SUBSTITUTE(SUBSTITUTE(SUBSTITUTE(Saisie_Questions!D25,"&amp;","&amp;amp;"),"&lt;","&amp;lt;"),"&gt;","&amp;gt;"),CHAR(34),"&amp;quot;"),"'","&amp;apos;"))</f>
        <v/>
      </c>
      <c r="H25" s="46">
        <f>Saisie_Questions!N25</f>
        <v/>
      </c>
      <c r="I25" s="46">
        <f>IF(Saisie_Questions!E25="",0,1)+IF(Saisie_Questions!F25="",0,1)+IF(Saisie_Questions!G25="",0,1)+IF(Saisie_Questions!H25="",0,1)+IF(Saisie_Questions!I25="",0,1)+IF(Saisie_Questions!J25="",0,1)+IF(Saisie_Questions!K25="",0,1)+IF(Saisie_Questions!L25="",0,1)</f>
        <v/>
      </c>
      <c r="J25" s="46">
        <f>Saisie_Questions!M25</f>
        <v/>
      </c>
      <c r="K25" s="46">
        <f>Saisie_Questions!O25</f>
        <v/>
      </c>
      <c r="L25" s="46">
        <f>IF(Saisie_Questions!E25="","",SUBSTITUTE(SUBSTITUTE(SUBSTITUTE(SUBSTITUTE(SUBSTITUTE(Saisie_Questions!E25,"&amp;","&amp;amp;"),"&lt;","&amp;lt;"),"&gt;","&amp;gt;"),CHAR(34),"&amp;quot;"),"'","&amp;apos;"))</f>
        <v/>
      </c>
      <c r="M25" s="46">
        <f>IF(Saisie_Questions!F25="","",SUBSTITUTE(SUBSTITUTE(SUBSTITUTE(SUBSTITUTE(SUBSTITUTE(Saisie_Questions!F25,"&amp;","&amp;amp;"),"&lt;","&amp;lt;"),"&gt;","&amp;gt;"),CHAR(34),"&amp;quot;"),"'","&amp;apos;"))</f>
        <v/>
      </c>
      <c r="N25" s="46">
        <f>IF(Saisie_Questions!G25="","",SUBSTITUTE(SUBSTITUTE(SUBSTITUTE(SUBSTITUTE(SUBSTITUTE(Saisie_Questions!G25,"&amp;","&amp;amp;"),"&lt;","&amp;lt;"),"&gt;","&amp;gt;"),CHAR(34),"&amp;quot;"),"'","&amp;apos;"))</f>
        <v/>
      </c>
      <c r="O25" s="46">
        <f>IF(Saisie_Questions!H25="","",SUBSTITUTE(SUBSTITUTE(SUBSTITUTE(SUBSTITUTE(SUBSTITUTE(Saisie_Questions!H25,"&amp;","&amp;amp;"),"&lt;","&amp;lt;"),"&gt;","&amp;gt;"),CHAR(34),"&amp;quot;"),"'","&amp;apos;"))</f>
        <v/>
      </c>
      <c r="P25" s="46">
        <f>IF(Saisie_Questions!I25="","",SUBSTITUTE(SUBSTITUTE(SUBSTITUTE(SUBSTITUTE(SUBSTITUTE(Saisie_Questions!I25,"&amp;","&amp;amp;"),"&lt;","&amp;lt;"),"&gt;","&amp;gt;"),CHAR(34),"&amp;quot;"),"'","&amp;apos;"))</f>
        <v/>
      </c>
      <c r="Q25" s="46">
        <f>IF(Saisie_Questions!J25="","",SUBSTITUTE(SUBSTITUTE(SUBSTITUTE(SUBSTITUTE(SUBSTITUTE(Saisie_Questions!J25,"&amp;","&amp;amp;"),"&lt;","&amp;lt;"),"&gt;","&amp;gt;"),CHAR(34),"&amp;quot;"),"'","&amp;apos;"))</f>
        <v/>
      </c>
      <c r="R25" s="46">
        <f>IF(Saisie_Questions!K25="","",SUBSTITUTE(SUBSTITUTE(SUBSTITUTE(SUBSTITUTE(SUBSTITUTE(Saisie_Questions!K25,"&amp;","&amp;amp;"),"&lt;","&amp;lt;"),"&gt;","&amp;gt;"),CHAR(34),"&amp;quot;"),"'","&amp;apos;"))</f>
        <v/>
      </c>
      <c r="S25" s="46">
        <f>IF(Saisie_Questions!L25="","",SUBSTITUTE(SUBSTITUTE(SUBSTITUTE(SUBSTITUTE(SUBSTITUTE(Saisie_Questions!L25,"&amp;","&amp;amp;"),"&lt;","&amp;lt;"),"&gt;","&amp;gt;"),CHAR(34),"&amp;quot;"),"'","&amp;apos;"))</f>
        <v/>
      </c>
      <c r="T25" s="46">
        <f>ISNUMBER(SEARCH(";"&amp;1&amp;";",";"&amp;$J25&amp;";"))</f>
        <v/>
      </c>
      <c r="U25" s="46">
        <f>ISNUMBER(SEARCH(";"&amp;2&amp;";",";"&amp;$J25&amp;";"))</f>
        <v/>
      </c>
      <c r="V25" s="46">
        <f>ISNUMBER(SEARCH(";"&amp;3&amp;";",";"&amp;$J25&amp;";"))</f>
        <v/>
      </c>
      <c r="W25" s="46">
        <f>ISNUMBER(SEARCH(";"&amp;4&amp;";",";"&amp;$J25&amp;";"))</f>
        <v/>
      </c>
      <c r="X25" s="46">
        <f>ISNUMBER(SEARCH(";"&amp;5&amp;";",";"&amp;$J25&amp;";"))</f>
        <v/>
      </c>
      <c r="Y25" s="46">
        <f>ISNUMBER(SEARCH(";"&amp;6&amp;";",";"&amp;$J25&amp;";"))</f>
        <v/>
      </c>
      <c r="Z25" s="46">
        <f>ISNUMBER(SEARCH(";"&amp;7&amp;";",";"&amp;$J25&amp;";"))</f>
        <v/>
      </c>
      <c r="AA25" s="46">
        <f>ISNUMBER(SEARCH(";"&amp;8&amp;";",";"&amp;$J25&amp;";"))</f>
        <v/>
      </c>
      <c r="AB25" s="46">
        <f>IF($B25,IF(L25="","","        &lt;response_label ident=""0""&gt;&lt;material&gt;&lt;mattext texttype=""text/html""&gt;"&amp;L25&amp;"&lt;/mattext&gt;&lt;/material&gt;&lt;/response_label&gt;"),"")</f>
        <v/>
      </c>
      <c r="AC25" s="46">
        <f>IF($B25,IF(M25="","","        &lt;response_label ident=""1""&gt;&lt;material&gt;&lt;mattext texttype=""text/html""&gt;"&amp;M25&amp;"&lt;/mattext&gt;&lt;/material&gt;&lt;/response_label&gt;"),"")</f>
        <v/>
      </c>
      <c r="AD25" s="46">
        <f>IF($B25,IF(N25="","","        &lt;response_label ident=""2""&gt;&lt;material&gt;&lt;mattext texttype=""text/html""&gt;"&amp;N25&amp;"&lt;/mattext&gt;&lt;/material&gt;&lt;/response_label&gt;"),"")</f>
        <v/>
      </c>
      <c r="AE25" s="46">
        <f>IF($B25,IF(O25="","","        &lt;response_label ident=""3""&gt;&lt;material&gt;&lt;mattext texttype=""text/html""&gt;"&amp;O25&amp;"&lt;/mattext&gt;&lt;/material&gt;&lt;/response_label&gt;"),"")</f>
        <v/>
      </c>
      <c r="AF25" s="46">
        <f>IF($B25,IF(P25="","","        &lt;response_label ident=""4""&gt;&lt;material&gt;&lt;mattext texttype=""text/html""&gt;"&amp;P25&amp;"&lt;/mattext&gt;&lt;/material&gt;&lt;/response_label&gt;"),"")</f>
        <v/>
      </c>
      <c r="AG25" s="46">
        <f>IF($B25,IF(Q25="","","        &lt;response_label ident=""5""&gt;&lt;material&gt;&lt;mattext texttype=""text/html""&gt;"&amp;Q25&amp;"&lt;/mattext&gt;&lt;/material&gt;&lt;/response_label&gt;"),"")</f>
        <v/>
      </c>
      <c r="AH25" s="46">
        <f>IF($B25,IF(R25="","","        &lt;response_label ident=""6""&gt;&lt;material&gt;&lt;mattext texttype=""text/html""&gt;"&amp;R25&amp;"&lt;/mattext&gt;&lt;/material&gt;&lt;/response_label&gt;"),"")</f>
        <v/>
      </c>
      <c r="AI25" s="46">
        <f>IF($B25,IF(S25="","","        &lt;response_label ident=""7""&gt;&lt;material&gt;&lt;mattext texttype=""text/html""&gt;"&amp;S25&amp;"&lt;/mattext&gt;&lt;/material&gt;&lt;/response_label&gt;"),"")</f>
        <v/>
      </c>
      <c r="AJ25" s="46">
        <f>IF($B25,IF(L25="","",IF($C25="qcu",IF(OR(T25,AT25&lt;&gt;"",$AS25&lt;&gt;""),"      &lt;respcondition continue=""Yes""&gt;&lt;conditionvar&gt;&lt;varequal respident=""RESPONSE""&gt;0&lt;/varequal&gt;&lt;/conditionvar&gt;"&amp;"&lt;setvar action=""Add""&gt;"&amp;IF(T25,$H25,0)&amp;"&lt;/setvar&gt;"&amp;IF(AT25&lt;&gt;"","&lt;displayfeedback feedbacktype=""Response"" linkrefid=""response_0""/&gt;",IF($AS25&lt;&gt;"","&lt;displayfeedback feedbacktype=""Response"" linkrefid=""qti_feedback_trigger""/&gt;",""))&amp;"&lt;/respcondition&gt;",""),IF(OR(T25,AT25&lt;&gt;"",$AS25&lt;&gt;""),"      &lt;respcondition continue=""Yes""&gt;&lt;conditionvar&gt;"&amp;IF(T25,"&lt;varequal respident=""RESPONSE""&gt;0&lt;/varequal&gt;","&lt;not&gt;&lt;varequal respident=""RESPONSE""&gt;0&lt;/varequal&gt;&lt;/not&gt;")&amp;"&lt;/conditionvar&gt;&lt;setvar action=""Add""&gt;"&amp;(Saisie_Questions!$N25/$I25)&amp;"&lt;/setvar&gt;"&amp;IF(AT25&lt;&gt;"","&lt;displayfeedback feedbacktype=""Response"" linkrefid=""response_0""/&gt;",IF($AS25&lt;&gt;"","&lt;displayfeedback feedbacktype=""Response"" linkrefid=""qti_feedback_trigger""/&gt;",""))&amp;"&lt;/respcondition&gt;",""))),"")</f>
      </c>
      <c r="AK25" s="46">
        <f>IF($B25,IF(M25="","",IF($C25="qcu",IF(OR(U25,AU25&lt;&gt;"",$AS25&lt;&gt;""),"      &lt;respcondition continue=""Yes""&gt;&lt;conditionvar&gt;&lt;varequal respident=""RESPONSE""&gt;1&lt;/varequal&gt;&lt;/conditionvar&gt;"&amp;"&lt;setvar action=""Add""&gt;"&amp;IF(U25,$H25,0)&amp;"&lt;/setvar&gt;"&amp;IF(AU25&lt;&gt;"","&lt;displayfeedback feedbacktype=""Response"" linkrefid=""response_1""/&gt;",IF($AS25&lt;&gt;"","&lt;displayfeedback feedbacktype=""Response"" linkrefid=""qti_feedback_trigger""/&gt;",""))&amp;"&lt;/respcondition&gt;",""),IF(OR(U25,AU25&lt;&gt;"",$AS25&lt;&gt;""),"      &lt;respcondition continue=""Yes""&gt;&lt;conditionvar&gt;"&amp;IF(U25,"&lt;varequal respident=""RESPONSE""&gt;1&lt;/varequal&gt;","&lt;not&gt;&lt;varequal respident=""RESPONSE""&gt;1&lt;/varequal&gt;&lt;/not&gt;")&amp;"&lt;/conditionvar&gt;&lt;setvar action=""Add""&gt;"&amp;(Saisie_Questions!$N25/$I25)&amp;"&lt;/setvar&gt;"&amp;IF(AU25&lt;&gt;"","&lt;displayfeedback feedbacktype=""Response"" linkrefid=""response_1""/&gt;",IF($AS25&lt;&gt;"","&lt;displayfeedback feedbacktype=""Response"" linkrefid=""qti_feedback_trigger""/&gt;",""))&amp;"&lt;/respcondition&gt;",""))),"")</f>
      </c>
      <c r="AL25" s="46">
        <f>IF($B25,IF(N25="","",IF($C25="qcu",IF(OR(V25,AV25&lt;&gt;"",$AS25&lt;&gt;""),"      &lt;respcondition continue=""Yes""&gt;&lt;conditionvar&gt;&lt;varequal respident=""RESPONSE""&gt;2&lt;/varequal&gt;&lt;/conditionvar&gt;"&amp;"&lt;setvar action=""Add""&gt;"&amp;IF(V25,$H25,0)&amp;"&lt;/setvar&gt;"&amp;IF(AV25&lt;&gt;"","&lt;displayfeedback feedbacktype=""Response"" linkrefid=""response_2""/&gt;",IF($AS25&lt;&gt;"","&lt;displayfeedback feedbacktype=""Response"" linkrefid=""qti_feedback_trigger""/&gt;",""))&amp;"&lt;/respcondition&gt;",""),IF(OR(V25,AV25&lt;&gt;"",$AS25&lt;&gt;""),"      &lt;respcondition continue=""Yes""&gt;&lt;conditionvar&gt;"&amp;IF(V25,"&lt;varequal respident=""RESPONSE""&gt;2&lt;/varequal&gt;","&lt;not&gt;&lt;varequal respident=""RESPONSE""&gt;2&lt;/varequal&gt;&lt;/not&gt;")&amp;"&lt;/conditionvar&gt;&lt;setvar action=""Add""&gt;"&amp;(Saisie_Questions!$N25/$I25)&amp;"&lt;/setvar&gt;"&amp;IF(AV25&lt;&gt;"","&lt;displayfeedback feedbacktype=""Response"" linkrefid=""response_2""/&gt;",IF($AS25&lt;&gt;"","&lt;displayfeedback feedbacktype=""Response"" linkrefid=""qti_feedback_trigger""/&gt;",""))&amp;"&lt;/respcondition&gt;",""))),"")</f>
      </c>
      <c r="AM25" s="46">
        <f>IF($B25,IF(O25="","",IF($C25="qcu",IF(OR(W25,AW25&lt;&gt;"",$AS25&lt;&gt;""),"      &lt;respcondition continue=""Yes""&gt;&lt;conditionvar&gt;&lt;varequal respident=""RESPONSE""&gt;3&lt;/varequal&gt;&lt;/conditionvar&gt;"&amp;"&lt;setvar action=""Add""&gt;"&amp;IF(W25,$H25,0)&amp;"&lt;/setvar&gt;"&amp;IF(AW25&lt;&gt;"","&lt;displayfeedback feedbacktype=""Response"" linkrefid=""response_3""/&gt;",IF($AS25&lt;&gt;"","&lt;displayfeedback feedbacktype=""Response"" linkrefid=""qti_feedback_trigger""/&gt;",""))&amp;"&lt;/respcondition&gt;",""),IF(OR(W25,AW25&lt;&gt;"",$AS25&lt;&gt;""),"      &lt;respcondition continue=""Yes""&gt;&lt;conditionvar&gt;"&amp;IF(W25,"&lt;varequal respident=""RESPONSE""&gt;3&lt;/varequal&gt;","&lt;not&gt;&lt;varequal respident=""RESPONSE""&gt;3&lt;/varequal&gt;&lt;/not&gt;")&amp;"&lt;/conditionvar&gt;&lt;setvar action=""Add""&gt;"&amp;(Saisie_Questions!$N25/$I25)&amp;"&lt;/setvar&gt;"&amp;IF(AW25&lt;&gt;"","&lt;displayfeedback feedbacktype=""Response"" linkrefid=""response_3""/&gt;",IF($AS25&lt;&gt;"","&lt;displayfeedback feedbacktype=""Response"" linkrefid=""qti_feedback_trigger""/&gt;",""))&amp;"&lt;/respcondition&gt;",""))),"")</f>
      </c>
      <c r="AN25" s="46">
        <f>IF($B25,IF(P25="","",IF($C25="qcu",IF(OR(X25,AX25&lt;&gt;"",$AS25&lt;&gt;""),"      &lt;respcondition continue=""Yes""&gt;&lt;conditionvar&gt;&lt;varequal respident=""RESPONSE""&gt;4&lt;/varequal&gt;&lt;/conditionvar&gt;"&amp;"&lt;setvar action=""Add""&gt;"&amp;IF(X25,$H25,0)&amp;"&lt;/setvar&gt;"&amp;IF(AX25&lt;&gt;"","&lt;displayfeedback feedbacktype=""Response"" linkrefid=""response_4""/&gt;",IF($AS25&lt;&gt;"","&lt;displayfeedback feedbacktype=""Response"" linkrefid=""qti_feedback_trigger""/&gt;",""))&amp;"&lt;/respcondition&gt;",""),IF(OR(X25,AX25&lt;&gt;"",$AS25&lt;&gt;""),"      &lt;respcondition continue=""Yes""&gt;&lt;conditionvar&gt;"&amp;IF(X25,"&lt;varequal respident=""RESPONSE""&gt;4&lt;/varequal&gt;","&lt;not&gt;&lt;varequal respident=""RESPONSE""&gt;4&lt;/varequal&gt;&lt;/not&gt;")&amp;"&lt;/conditionvar&gt;&lt;setvar action=""Add""&gt;"&amp;(Saisie_Questions!$N25/$I25)&amp;"&lt;/setvar&gt;"&amp;IF(AX25&lt;&gt;"","&lt;displayfeedback feedbacktype=""Response"" linkrefid=""response_4""/&gt;",IF($AS25&lt;&gt;"","&lt;displayfeedback feedbacktype=""Response"" linkrefid=""qti_feedback_trigger""/&gt;",""))&amp;"&lt;/respcondition&gt;",""))),"")</f>
      </c>
      <c r="AO25" s="46">
        <f>IF($B25,IF(Q25="","",IF($C25="qcu",IF(OR(Y25,AY25&lt;&gt;"",$AS25&lt;&gt;""),"      &lt;respcondition continue=""Yes""&gt;&lt;conditionvar&gt;&lt;varequal respident=""RESPONSE""&gt;5&lt;/varequal&gt;&lt;/conditionvar&gt;"&amp;"&lt;setvar action=""Add""&gt;"&amp;IF(Y25,$H25,0)&amp;"&lt;/setvar&gt;"&amp;IF(AY25&lt;&gt;"","&lt;displayfeedback feedbacktype=""Response"" linkrefid=""response_5""/&gt;",IF($AS25&lt;&gt;"","&lt;displayfeedback feedbacktype=""Response"" linkrefid=""qti_feedback_trigger""/&gt;",""))&amp;"&lt;/respcondition&gt;",""),IF(OR(Y25,AY25&lt;&gt;"",$AS25&lt;&gt;""),"      &lt;respcondition continue=""Yes""&gt;&lt;conditionvar&gt;"&amp;IF(Y25,"&lt;varequal respident=""RESPONSE""&gt;5&lt;/varequal&gt;","&lt;not&gt;&lt;varequal respident=""RESPONSE""&gt;5&lt;/varequal&gt;&lt;/not&gt;")&amp;"&lt;/conditionvar&gt;&lt;setvar action=""Add""&gt;"&amp;(Saisie_Questions!$N25/$I25)&amp;"&lt;/setvar&gt;"&amp;IF(AY25&lt;&gt;"","&lt;displayfeedback feedbacktype=""Response"" linkrefid=""response_5""/&gt;",IF($AS25&lt;&gt;"","&lt;displayfeedback feedbacktype=""Response"" linkrefid=""qti_feedback_trigger""/&gt;",""))&amp;"&lt;/respcondition&gt;",""))),"")</f>
      </c>
      <c r="AP25" s="46">
        <f>IF($B25,IF(R25="","",IF($C25="qcu",IF(OR(Z25,AZ25&lt;&gt;"",$AS25&lt;&gt;""),"      &lt;respcondition continue=""Yes""&gt;&lt;conditionvar&gt;&lt;varequal respident=""RESPONSE""&gt;6&lt;/varequal&gt;&lt;/conditionvar&gt;"&amp;"&lt;setvar action=""Add""&gt;"&amp;IF(Z25,$H25,0)&amp;"&lt;/setvar&gt;"&amp;IF(AZ25&lt;&gt;"","&lt;displayfeedback feedbacktype=""Response"" linkrefid=""response_6""/&gt;",IF($AS25&lt;&gt;"","&lt;displayfeedback feedbacktype=""Response"" linkrefid=""qti_feedback_trigger""/&gt;",""))&amp;"&lt;/respcondition&gt;",""),IF(OR(Z25,AZ25&lt;&gt;"",$AS25&lt;&gt;""),"      &lt;respcondition continue=""Yes""&gt;&lt;conditionvar&gt;"&amp;IF(Z25,"&lt;varequal respident=""RESPONSE""&gt;6&lt;/varequal&gt;","&lt;not&gt;&lt;varequal respident=""RESPONSE""&gt;6&lt;/varequal&gt;&lt;/not&gt;")&amp;"&lt;/conditionvar&gt;&lt;setvar action=""Add""&gt;"&amp;(Saisie_Questions!$N25/$I25)&amp;"&lt;/setvar&gt;"&amp;IF(AZ25&lt;&gt;"","&lt;displayfeedback feedbacktype=""Response"" linkrefid=""response_6""/&gt;",IF($AS25&lt;&gt;"","&lt;displayfeedback feedbacktype=""Response"" linkrefid=""qti_feedback_trigger""/&gt;",""))&amp;"&lt;/respcondition&gt;",""))),"")</f>
      </c>
      <c r="AQ25" s="46">
        <f>IF($B25,IF(S25="","",IF($C25="qcu",IF(OR(AA25,BA25&lt;&gt;"",$AS25&lt;&gt;""),"      &lt;respcondition continue=""Yes""&gt;&lt;conditionvar&gt;&lt;varequal respident=""RESPONSE""&gt;7&lt;/varequal&gt;&lt;/conditionvar&gt;"&amp;"&lt;setvar action=""Add""&gt;"&amp;IF(AA25,$H25,0)&amp;"&lt;/setvar&gt;"&amp;IF(BA25&lt;&gt;"","&lt;displayfeedback feedbacktype=""Response"" linkrefid=""response_7""/&gt;",IF($AS25&lt;&gt;"","&lt;displayfeedback feedbacktype=""Response"" linkrefid=""qti_feedback_trigger""/&gt;",""))&amp;"&lt;/respcondition&gt;",""),IF(OR(AA25,BA25&lt;&gt;"",$AS25&lt;&gt;""),"      &lt;respcondition continue=""Yes""&gt;&lt;conditionvar&gt;"&amp;IF(AA25,"&lt;varequal respident=""RESPONSE""&gt;7&lt;/varequal&gt;","&lt;not&gt;&lt;varequal respident=""RESPONSE""&gt;7&lt;/varequal&gt;&lt;/not&gt;")&amp;"&lt;/conditionvar&gt;&lt;setvar action=""Add""&gt;"&amp;(Saisie_Questions!$N25/$I25)&amp;"&lt;/setvar&gt;"&amp;IF(BA25&lt;&gt;"","&lt;displayfeedback feedbacktype=""Response"" linkrefid=""response_7""/&gt;",IF($AS25&lt;&gt;"","&lt;displayfeedback feedbacktype=""Response"" linkrefid=""qti_feedback_trigger""/&gt;",""))&amp;"&lt;/respcondition&gt;",""))),"")</f>
      </c>
      <c r="AR25" s="46">
        <f>IF(A25="","",SUBSTITUTE(SUBSTITUTE(SUBSTITUTE(SUBSTITUTE(SUBSTITUTE(IF(Saisie_Questions!P25&lt;&gt;"",Saisie_Questions!P25,Interface_Generation!$B$5),"&amp;","&amp;amp;"),"&lt;","&amp;lt;"),"&gt;","&amp;gt;"),CHAR(34),"&amp;quot;"),"'","&amp;apos;"))</f>
        <v/>
      </c>
      <c r="AS25" s="46">
        <f>IF(Saisie_Questions!Q25="","",SUBSTITUTE(SUBSTITUTE(SUBSTITUTE(SUBSTITUTE(SUBSTITUTE(Saisie_Questions!Q25,"&amp;","&amp;amp;"),"&lt;","&amp;lt;"),"&gt;","&amp;gt;"),CHAR(34),"&amp;quot;"),"'","&amp;apos;"))</f>
        <v/>
      </c>
      <c r="AT25" s="46">
        <f>IF(Saisie_Questions!R25="","",SUBSTITUTE(SUBSTITUTE(SUBSTITUTE(SUBSTITUTE(SUBSTITUTE(Saisie_Questions!R25,"&amp;","&amp;amp;"),"&lt;","&amp;lt;"),"&gt;","&amp;gt;"),CHAR(34),"&amp;quot;"),"'","&amp;apos;"))</f>
        <v/>
      </c>
      <c r="AU25" s="46">
        <f>IF(Saisie_Questions!S25="","",SUBSTITUTE(SUBSTITUTE(SUBSTITUTE(SUBSTITUTE(SUBSTITUTE(Saisie_Questions!S25,"&amp;","&amp;amp;"),"&lt;","&amp;lt;"),"&gt;","&amp;gt;"),CHAR(34),"&amp;quot;"),"'","&amp;apos;"))</f>
        <v/>
      </c>
      <c r="AV25" s="46">
        <f>IF(Saisie_Questions!T25="","",SUBSTITUTE(SUBSTITUTE(SUBSTITUTE(SUBSTITUTE(SUBSTITUTE(Saisie_Questions!T25,"&amp;","&amp;amp;"),"&lt;","&amp;lt;"),"&gt;","&amp;gt;"),CHAR(34),"&amp;quot;"),"'","&amp;apos;"))</f>
        <v/>
      </c>
      <c r="AW25" s="46">
        <f>IF(Saisie_Questions!U25="","",SUBSTITUTE(SUBSTITUTE(SUBSTITUTE(SUBSTITUTE(SUBSTITUTE(Saisie_Questions!U25,"&amp;","&amp;amp;"),"&lt;","&amp;lt;"),"&gt;","&amp;gt;"),CHAR(34),"&amp;quot;"),"'","&amp;apos;"))</f>
        <v/>
      </c>
      <c r="AX25" s="46">
        <f>IF(Saisie_Questions!V25="","",SUBSTITUTE(SUBSTITUTE(SUBSTITUTE(SUBSTITUTE(SUBSTITUTE(Saisie_Questions!V25,"&amp;","&amp;amp;"),"&lt;","&amp;lt;"),"&gt;","&amp;gt;"),CHAR(34),"&amp;quot;"),"'","&amp;apos;"))</f>
        <v/>
      </c>
      <c r="AY25" s="46">
        <f>IF(Saisie_Questions!W25="","",SUBSTITUTE(SUBSTITUTE(SUBSTITUTE(SUBSTITUTE(SUBSTITUTE(Saisie_Questions!W25,"&amp;","&amp;amp;"),"&lt;","&amp;lt;"),"&gt;","&amp;gt;"),CHAR(34),"&amp;quot;"),"'","&amp;apos;"))</f>
        <v/>
      </c>
      <c r="AZ25" s="46">
        <f>IF(Saisie_Questions!X25="","",SUBSTITUTE(SUBSTITUTE(SUBSTITUTE(SUBSTITUTE(SUBSTITUTE(Saisie_Questions!X25,"&amp;","&amp;amp;"),"&lt;","&amp;lt;"),"&gt;","&amp;gt;"),CHAR(34),"&amp;quot;"),"'","&amp;apos;"))</f>
        <v/>
      </c>
      <c r="BA25" s="46">
        <f>IF(Saisie_Questions!Y25="","",SUBSTITUTE(SUBSTITUTE(SUBSTITUTE(SUBSTITUTE(SUBSTITUTE(Saisie_Questions!Y25,"&amp;","&amp;amp;"),"&lt;","&amp;lt;"),"&gt;","&amp;gt;"),CHAR(34),"&amp;quot;"),"'","&amp;apos;"))</f>
        <v/>
      </c>
      <c r="BB25" s="46">
        <f>IF($B25,IF($AS25="","","    &lt;itemfeedback ident=""response_allcorrect"" view=""All""&gt;&lt;flow_mat&gt;&lt;material&gt;&lt;mattext texttype=""text/html""&gt;"&amp;$AS25&amp;"&lt;/mattext&gt;&lt;/material&gt;&lt;/flow_mat&gt;&lt;/itemfeedback&gt;"&amp;"    &lt;itemfeedback ident=""response_onenotcorrect"" view=""All""&gt;&lt;flow_mat&gt;&lt;material&gt;&lt;mattext texttype=""text/html""&gt;"&amp;$AS25&amp;"&lt;/mattext&gt;&lt;/material&gt;&lt;/flow_mat&gt;&lt;/itemfeedback&gt;"),"")</f>
      </c>
      <c r="BC25" s="46">
        <f>IF($B25,IF(AT25="","","    &lt;itemfeedback ident=""response_0"" view=""All""&gt;&lt;flow_mat&gt;&lt;material&gt;&lt;mattext texttype=""text/html""&gt;"&amp;AT25&amp;"&lt;/mattext&gt;&lt;/material&gt;&lt;/flow_mat&gt;&lt;/itemfeedback&gt;"),"")</f>
      </c>
      <c r="BD25" s="46">
        <f>IF($B25,IF(AU25="","","    &lt;itemfeedback ident=""response_1"" view=""All""&gt;&lt;flow_mat&gt;&lt;material&gt;&lt;mattext texttype=""text/html""&gt;"&amp;AU25&amp;"&lt;/mattext&gt;&lt;/material&gt;&lt;/flow_mat&gt;&lt;/itemfeedback&gt;"),"")</f>
      </c>
      <c r="BE25" s="46">
        <f>IF($B25,IF(AV25="","","    &lt;itemfeedback ident=""response_2"" view=""All""&gt;&lt;flow_mat&gt;&lt;material&gt;&lt;mattext texttype=""text/html""&gt;"&amp;AV25&amp;"&lt;/mattext&gt;&lt;/material&gt;&lt;/flow_mat&gt;&lt;/itemfeedback&gt;"),"")</f>
      </c>
      <c r="BF25" s="46">
        <f>IF($B25,IF(AW25="","","    &lt;itemfeedback ident=""response_3"" view=""All""&gt;&lt;flow_mat&gt;&lt;material&gt;&lt;mattext texttype=""text/html""&gt;"&amp;AW25&amp;"&lt;/mattext&gt;&lt;/material&gt;&lt;/flow_mat&gt;&lt;/itemfeedback&gt;"),"")</f>
      </c>
      <c r="BG25" s="46">
        <f>IF($B25,IF(AX25="","","    &lt;itemfeedback ident=""response_4"" view=""All""&gt;&lt;flow_mat&gt;&lt;material&gt;&lt;mattext texttype=""text/html""&gt;"&amp;AX25&amp;"&lt;/mattext&gt;&lt;/material&gt;&lt;/flow_mat&gt;&lt;/itemfeedback&gt;"),"")</f>
      </c>
      <c r="BH25" s="46">
        <f>IF($B25,IF(AY25="","","    &lt;itemfeedback ident=""response_5"" view=""All""&gt;&lt;flow_mat&gt;&lt;material&gt;&lt;mattext texttype=""text/html""&gt;"&amp;AY25&amp;"&lt;/mattext&gt;&lt;/material&gt;&lt;/flow_mat&gt;&lt;/itemfeedback&gt;"),"")</f>
      </c>
      <c r="BI25" s="46">
        <f>IF($B25,IF(AZ25="","","    &lt;itemfeedback ident=""response_6"" view=""All""&gt;&lt;flow_mat&gt;&lt;material&gt;&lt;mattext texttype=""text/html""&gt;"&amp;AZ25&amp;"&lt;/mattext&gt;&lt;/material&gt;&lt;/flow_mat&gt;&lt;/itemfeedback&gt;"),"")</f>
      </c>
      <c r="BJ25" s="46">
        <f>IF($B25,IF(BA25="","","    &lt;itemfeedback ident=""response_7"" view=""All""&gt;&lt;flow_mat&gt;&lt;material&gt;&lt;mattext texttype=""text/html""&gt;"&amp;BA25&amp;"&lt;/mattext&gt;&lt;/material&gt;&lt;/flow_mat&gt;&lt;/itemfeedback&gt;"),"")</f>
      </c>
    </row>
    <row r="26" ht="18" customHeight="1" s="17">
      <c r="A26" s="46">
        <f>Saisie_Questions!A26</f>
        <v/>
      </c>
      <c r="B26" s="46">
        <f>Saisie_Questions!O26="OK"</f>
        <v/>
      </c>
      <c r="C26" s="46">
        <f>LOWER(TRIM(Saisie_Questions!B26))</f>
        <v/>
      </c>
      <c r="D26" s="46">
        <f>IF(C26="qcu","SINGLE CHOICE QUESTION","MULTIPLE CHOICE QUESTION")</f>
        <v/>
      </c>
      <c r="E26" s="46">
        <f>IF(C26="qcu","Single","Multiple")</f>
        <v/>
      </c>
      <c r="F26" s="46">
        <f>IF(A26="","",SUBSTITUTE(SUBSTITUTE(SUBSTITUTE(SUBSTITUTE(SUBSTITUTE(IF(Saisie_Questions!C26="", "Question "&amp;A26, Saisie_Questions!C26),"&amp;","&amp;amp;"),"&lt;","&amp;lt;"),"&gt;","&amp;gt;"),CHAR(34),"&amp;quot;"),"'","&amp;apos;"))</f>
        <v/>
      </c>
      <c r="G26" s="46">
        <f>IF(A26="","",SUBSTITUTE(SUBSTITUTE(SUBSTITUTE(SUBSTITUTE(SUBSTITUTE(Saisie_Questions!D26,"&amp;","&amp;amp;"),"&lt;","&amp;lt;"),"&gt;","&amp;gt;"),CHAR(34),"&amp;quot;"),"'","&amp;apos;"))</f>
        <v/>
      </c>
      <c r="H26" s="46">
        <f>Saisie_Questions!N26</f>
        <v/>
      </c>
      <c r="I26" s="46">
        <f>IF(Saisie_Questions!E26="",0,1)+IF(Saisie_Questions!F26="",0,1)+IF(Saisie_Questions!G26="",0,1)+IF(Saisie_Questions!H26="",0,1)+IF(Saisie_Questions!I26="",0,1)+IF(Saisie_Questions!J26="",0,1)+IF(Saisie_Questions!K26="",0,1)+IF(Saisie_Questions!L26="",0,1)</f>
        <v/>
      </c>
      <c r="J26" s="46">
        <f>Saisie_Questions!M26</f>
        <v/>
      </c>
      <c r="K26" s="46">
        <f>Saisie_Questions!O26</f>
        <v/>
      </c>
      <c r="L26" s="46">
        <f>IF(Saisie_Questions!E26="","",SUBSTITUTE(SUBSTITUTE(SUBSTITUTE(SUBSTITUTE(SUBSTITUTE(Saisie_Questions!E26,"&amp;","&amp;amp;"),"&lt;","&amp;lt;"),"&gt;","&amp;gt;"),CHAR(34),"&amp;quot;"),"'","&amp;apos;"))</f>
        <v/>
      </c>
      <c r="M26" s="46">
        <f>IF(Saisie_Questions!F26="","",SUBSTITUTE(SUBSTITUTE(SUBSTITUTE(SUBSTITUTE(SUBSTITUTE(Saisie_Questions!F26,"&amp;","&amp;amp;"),"&lt;","&amp;lt;"),"&gt;","&amp;gt;"),CHAR(34),"&amp;quot;"),"'","&amp;apos;"))</f>
        <v/>
      </c>
      <c r="N26" s="46">
        <f>IF(Saisie_Questions!G26="","",SUBSTITUTE(SUBSTITUTE(SUBSTITUTE(SUBSTITUTE(SUBSTITUTE(Saisie_Questions!G26,"&amp;","&amp;amp;"),"&lt;","&amp;lt;"),"&gt;","&amp;gt;"),CHAR(34),"&amp;quot;"),"'","&amp;apos;"))</f>
        <v/>
      </c>
      <c r="O26" s="46">
        <f>IF(Saisie_Questions!H26="","",SUBSTITUTE(SUBSTITUTE(SUBSTITUTE(SUBSTITUTE(SUBSTITUTE(Saisie_Questions!H26,"&amp;","&amp;amp;"),"&lt;","&amp;lt;"),"&gt;","&amp;gt;"),CHAR(34),"&amp;quot;"),"'","&amp;apos;"))</f>
        <v/>
      </c>
      <c r="P26" s="46">
        <f>IF(Saisie_Questions!I26="","",SUBSTITUTE(SUBSTITUTE(SUBSTITUTE(SUBSTITUTE(SUBSTITUTE(Saisie_Questions!I26,"&amp;","&amp;amp;"),"&lt;","&amp;lt;"),"&gt;","&amp;gt;"),CHAR(34),"&amp;quot;"),"'","&amp;apos;"))</f>
        <v/>
      </c>
      <c r="Q26" s="46">
        <f>IF(Saisie_Questions!J26="","",SUBSTITUTE(SUBSTITUTE(SUBSTITUTE(SUBSTITUTE(SUBSTITUTE(Saisie_Questions!J26,"&amp;","&amp;amp;"),"&lt;","&amp;lt;"),"&gt;","&amp;gt;"),CHAR(34),"&amp;quot;"),"'","&amp;apos;"))</f>
        <v/>
      </c>
      <c r="R26" s="46">
        <f>IF(Saisie_Questions!K26="","",SUBSTITUTE(SUBSTITUTE(SUBSTITUTE(SUBSTITUTE(SUBSTITUTE(Saisie_Questions!K26,"&amp;","&amp;amp;"),"&lt;","&amp;lt;"),"&gt;","&amp;gt;"),CHAR(34),"&amp;quot;"),"'","&amp;apos;"))</f>
        <v/>
      </c>
      <c r="S26" s="46">
        <f>IF(Saisie_Questions!L26="","",SUBSTITUTE(SUBSTITUTE(SUBSTITUTE(SUBSTITUTE(SUBSTITUTE(Saisie_Questions!L26,"&amp;","&amp;amp;"),"&lt;","&amp;lt;"),"&gt;","&amp;gt;"),CHAR(34),"&amp;quot;"),"'","&amp;apos;"))</f>
        <v/>
      </c>
      <c r="T26" s="46">
        <f>ISNUMBER(SEARCH(";"&amp;1&amp;";",";"&amp;$J26&amp;";"))</f>
        <v/>
      </c>
      <c r="U26" s="46">
        <f>ISNUMBER(SEARCH(";"&amp;2&amp;";",";"&amp;$J26&amp;";"))</f>
        <v/>
      </c>
      <c r="V26" s="46">
        <f>ISNUMBER(SEARCH(";"&amp;3&amp;";",";"&amp;$J26&amp;";"))</f>
        <v/>
      </c>
      <c r="W26" s="46">
        <f>ISNUMBER(SEARCH(";"&amp;4&amp;";",";"&amp;$J26&amp;";"))</f>
        <v/>
      </c>
      <c r="X26" s="46">
        <f>ISNUMBER(SEARCH(";"&amp;5&amp;";",";"&amp;$J26&amp;";"))</f>
        <v/>
      </c>
      <c r="Y26" s="46">
        <f>ISNUMBER(SEARCH(";"&amp;6&amp;";",";"&amp;$J26&amp;";"))</f>
        <v/>
      </c>
      <c r="Z26" s="46">
        <f>ISNUMBER(SEARCH(";"&amp;7&amp;";",";"&amp;$J26&amp;";"))</f>
        <v/>
      </c>
      <c r="AA26" s="46">
        <f>ISNUMBER(SEARCH(";"&amp;8&amp;";",";"&amp;$J26&amp;";"))</f>
        <v/>
      </c>
      <c r="AB26" s="46">
        <f>IF($B26,IF(L26="","","        &lt;response_label ident=""0""&gt;&lt;material&gt;&lt;mattext texttype=""text/html""&gt;"&amp;L26&amp;"&lt;/mattext&gt;&lt;/material&gt;&lt;/response_label&gt;"),"")</f>
        <v/>
      </c>
      <c r="AC26" s="46">
        <f>IF($B26,IF(M26="","","        &lt;response_label ident=""1""&gt;&lt;material&gt;&lt;mattext texttype=""text/html""&gt;"&amp;M26&amp;"&lt;/mattext&gt;&lt;/material&gt;&lt;/response_label&gt;"),"")</f>
        <v/>
      </c>
      <c r="AD26" s="46">
        <f>IF($B26,IF(N26="","","        &lt;response_label ident=""2""&gt;&lt;material&gt;&lt;mattext texttype=""text/html""&gt;"&amp;N26&amp;"&lt;/mattext&gt;&lt;/material&gt;&lt;/response_label&gt;"),"")</f>
        <v/>
      </c>
      <c r="AE26" s="46">
        <f>IF($B26,IF(O26="","","        &lt;response_label ident=""3""&gt;&lt;material&gt;&lt;mattext texttype=""text/html""&gt;"&amp;O26&amp;"&lt;/mattext&gt;&lt;/material&gt;&lt;/response_label&gt;"),"")</f>
        <v/>
      </c>
      <c r="AF26" s="46">
        <f>IF($B26,IF(P26="","","        &lt;response_label ident=""4""&gt;&lt;material&gt;&lt;mattext texttype=""text/html""&gt;"&amp;P26&amp;"&lt;/mattext&gt;&lt;/material&gt;&lt;/response_label&gt;"),"")</f>
        <v/>
      </c>
      <c r="AG26" s="46">
        <f>IF($B26,IF(Q26="","","        &lt;response_label ident=""5""&gt;&lt;material&gt;&lt;mattext texttype=""text/html""&gt;"&amp;Q26&amp;"&lt;/mattext&gt;&lt;/material&gt;&lt;/response_label&gt;"),"")</f>
        <v/>
      </c>
      <c r="AH26" s="46">
        <f>IF($B26,IF(R26="","","        &lt;response_label ident=""6""&gt;&lt;material&gt;&lt;mattext texttype=""text/html""&gt;"&amp;R26&amp;"&lt;/mattext&gt;&lt;/material&gt;&lt;/response_label&gt;"),"")</f>
        <v/>
      </c>
      <c r="AI26" s="46">
        <f>IF($B26,IF(S26="","","        &lt;response_label ident=""7""&gt;&lt;material&gt;&lt;mattext texttype=""text/html""&gt;"&amp;S26&amp;"&lt;/mattext&gt;&lt;/material&gt;&lt;/response_label&gt;"),"")</f>
        <v/>
      </c>
      <c r="AJ26" s="46">
        <f>IF($B26,IF(L26="","",IF($C26="qcu",IF(OR(T26,AT26&lt;&gt;"",$AS26&lt;&gt;""),"      &lt;respcondition continue=""Yes""&gt;&lt;conditionvar&gt;&lt;varequal respident=""RESPONSE""&gt;0&lt;/varequal&gt;&lt;/conditionvar&gt;"&amp;"&lt;setvar action=""Add""&gt;"&amp;IF(T26,$H26,0)&amp;"&lt;/setvar&gt;"&amp;IF(AT26&lt;&gt;"","&lt;displayfeedback feedbacktype=""Response"" linkrefid=""response_0""/&gt;",IF($AS26&lt;&gt;"","&lt;displayfeedback feedbacktype=""Response"" linkrefid=""qti_feedback_trigger""/&gt;",""))&amp;"&lt;/respcondition&gt;",""),IF(OR(T26,AT26&lt;&gt;"",$AS26&lt;&gt;""),"      &lt;respcondition continue=""Yes""&gt;&lt;conditionvar&gt;"&amp;IF(T26,"&lt;varequal respident=""RESPONSE""&gt;0&lt;/varequal&gt;","&lt;not&gt;&lt;varequal respident=""RESPONSE""&gt;0&lt;/varequal&gt;&lt;/not&gt;")&amp;"&lt;/conditionvar&gt;&lt;setvar action=""Add""&gt;"&amp;(Saisie_Questions!$N26/$I26)&amp;"&lt;/setvar&gt;"&amp;IF(AT26&lt;&gt;"","&lt;displayfeedback feedbacktype=""Response"" linkrefid=""response_0""/&gt;",IF($AS26&lt;&gt;"","&lt;displayfeedback feedbacktype=""Response"" linkrefid=""qti_feedback_trigger""/&gt;",""))&amp;"&lt;/respcondition&gt;",""))),"")</f>
      </c>
      <c r="AK26" s="46">
        <f>IF($B26,IF(M26="","",IF($C26="qcu",IF(OR(U26,AU26&lt;&gt;"",$AS26&lt;&gt;""),"      &lt;respcondition continue=""Yes""&gt;&lt;conditionvar&gt;&lt;varequal respident=""RESPONSE""&gt;1&lt;/varequal&gt;&lt;/conditionvar&gt;"&amp;"&lt;setvar action=""Add""&gt;"&amp;IF(U26,$H26,0)&amp;"&lt;/setvar&gt;"&amp;IF(AU26&lt;&gt;"","&lt;displayfeedback feedbacktype=""Response"" linkrefid=""response_1""/&gt;",IF($AS26&lt;&gt;"","&lt;displayfeedback feedbacktype=""Response"" linkrefid=""qti_feedback_trigger""/&gt;",""))&amp;"&lt;/respcondition&gt;",""),IF(OR(U26,AU26&lt;&gt;"",$AS26&lt;&gt;""),"      &lt;respcondition continue=""Yes""&gt;&lt;conditionvar&gt;"&amp;IF(U26,"&lt;varequal respident=""RESPONSE""&gt;1&lt;/varequal&gt;","&lt;not&gt;&lt;varequal respident=""RESPONSE""&gt;1&lt;/varequal&gt;&lt;/not&gt;")&amp;"&lt;/conditionvar&gt;&lt;setvar action=""Add""&gt;"&amp;(Saisie_Questions!$N26/$I26)&amp;"&lt;/setvar&gt;"&amp;IF(AU26&lt;&gt;"","&lt;displayfeedback feedbacktype=""Response"" linkrefid=""response_1""/&gt;",IF($AS26&lt;&gt;"","&lt;displayfeedback feedbacktype=""Response"" linkrefid=""qti_feedback_trigger""/&gt;",""))&amp;"&lt;/respcondition&gt;",""))),"")</f>
      </c>
      <c r="AL26" s="46">
        <f>IF($B26,IF(N26="","",IF($C26="qcu",IF(OR(V26,AV26&lt;&gt;"",$AS26&lt;&gt;""),"      &lt;respcondition continue=""Yes""&gt;&lt;conditionvar&gt;&lt;varequal respident=""RESPONSE""&gt;2&lt;/varequal&gt;&lt;/conditionvar&gt;"&amp;"&lt;setvar action=""Add""&gt;"&amp;IF(V26,$H26,0)&amp;"&lt;/setvar&gt;"&amp;IF(AV26&lt;&gt;"","&lt;displayfeedback feedbacktype=""Response"" linkrefid=""response_2""/&gt;",IF($AS26&lt;&gt;"","&lt;displayfeedback feedbacktype=""Response"" linkrefid=""qti_feedback_trigger""/&gt;",""))&amp;"&lt;/respcondition&gt;",""),IF(OR(V26,AV26&lt;&gt;"",$AS26&lt;&gt;""),"      &lt;respcondition continue=""Yes""&gt;&lt;conditionvar&gt;"&amp;IF(V26,"&lt;varequal respident=""RESPONSE""&gt;2&lt;/varequal&gt;","&lt;not&gt;&lt;varequal respident=""RESPONSE""&gt;2&lt;/varequal&gt;&lt;/not&gt;")&amp;"&lt;/conditionvar&gt;&lt;setvar action=""Add""&gt;"&amp;(Saisie_Questions!$N26/$I26)&amp;"&lt;/setvar&gt;"&amp;IF(AV26&lt;&gt;"","&lt;displayfeedback feedbacktype=""Response"" linkrefid=""response_2""/&gt;",IF($AS26&lt;&gt;"","&lt;displayfeedback feedbacktype=""Response"" linkrefid=""qti_feedback_trigger""/&gt;",""))&amp;"&lt;/respcondition&gt;",""))),"")</f>
      </c>
      <c r="AM26" s="46">
        <f>IF($B26,IF(O26="","",IF($C26="qcu",IF(OR(W26,AW26&lt;&gt;"",$AS26&lt;&gt;""),"      &lt;respcondition continue=""Yes""&gt;&lt;conditionvar&gt;&lt;varequal respident=""RESPONSE""&gt;3&lt;/varequal&gt;&lt;/conditionvar&gt;"&amp;"&lt;setvar action=""Add""&gt;"&amp;IF(W26,$H26,0)&amp;"&lt;/setvar&gt;"&amp;IF(AW26&lt;&gt;"","&lt;displayfeedback feedbacktype=""Response"" linkrefid=""response_3""/&gt;",IF($AS26&lt;&gt;"","&lt;displayfeedback feedbacktype=""Response"" linkrefid=""qti_feedback_trigger""/&gt;",""))&amp;"&lt;/respcondition&gt;",""),IF(OR(W26,AW26&lt;&gt;"",$AS26&lt;&gt;""),"      &lt;respcondition continue=""Yes""&gt;&lt;conditionvar&gt;"&amp;IF(W26,"&lt;varequal respident=""RESPONSE""&gt;3&lt;/varequal&gt;","&lt;not&gt;&lt;varequal respident=""RESPONSE""&gt;3&lt;/varequal&gt;&lt;/not&gt;")&amp;"&lt;/conditionvar&gt;&lt;setvar action=""Add""&gt;"&amp;(Saisie_Questions!$N26/$I26)&amp;"&lt;/setvar&gt;"&amp;IF(AW26&lt;&gt;"","&lt;displayfeedback feedbacktype=""Response"" linkrefid=""response_3""/&gt;",IF($AS26&lt;&gt;"","&lt;displayfeedback feedbacktype=""Response"" linkrefid=""qti_feedback_trigger""/&gt;",""))&amp;"&lt;/respcondition&gt;",""))),"")</f>
      </c>
      <c r="AN26" s="46">
        <f>IF($B26,IF(P26="","",IF($C26="qcu",IF(OR(X26,AX26&lt;&gt;"",$AS26&lt;&gt;""),"      &lt;respcondition continue=""Yes""&gt;&lt;conditionvar&gt;&lt;varequal respident=""RESPONSE""&gt;4&lt;/varequal&gt;&lt;/conditionvar&gt;"&amp;"&lt;setvar action=""Add""&gt;"&amp;IF(X26,$H26,0)&amp;"&lt;/setvar&gt;"&amp;IF(AX26&lt;&gt;"","&lt;displayfeedback feedbacktype=""Response"" linkrefid=""response_4""/&gt;",IF($AS26&lt;&gt;"","&lt;displayfeedback feedbacktype=""Response"" linkrefid=""qti_feedback_trigger""/&gt;",""))&amp;"&lt;/respcondition&gt;",""),IF(OR(X26,AX26&lt;&gt;"",$AS26&lt;&gt;""),"      &lt;respcondition continue=""Yes""&gt;&lt;conditionvar&gt;"&amp;IF(X26,"&lt;varequal respident=""RESPONSE""&gt;4&lt;/varequal&gt;","&lt;not&gt;&lt;varequal respident=""RESPONSE""&gt;4&lt;/varequal&gt;&lt;/not&gt;")&amp;"&lt;/conditionvar&gt;&lt;setvar action=""Add""&gt;"&amp;(Saisie_Questions!$N26/$I26)&amp;"&lt;/setvar&gt;"&amp;IF(AX26&lt;&gt;"","&lt;displayfeedback feedbacktype=""Response"" linkrefid=""response_4""/&gt;",IF($AS26&lt;&gt;"","&lt;displayfeedback feedbacktype=""Response"" linkrefid=""qti_feedback_trigger""/&gt;",""))&amp;"&lt;/respcondition&gt;",""))),"")</f>
      </c>
      <c r="AO26" s="46">
        <f>IF($B26,IF(Q26="","",IF($C26="qcu",IF(OR(Y26,AY26&lt;&gt;"",$AS26&lt;&gt;""),"      &lt;respcondition continue=""Yes""&gt;&lt;conditionvar&gt;&lt;varequal respident=""RESPONSE""&gt;5&lt;/varequal&gt;&lt;/conditionvar&gt;"&amp;"&lt;setvar action=""Add""&gt;"&amp;IF(Y26,$H26,0)&amp;"&lt;/setvar&gt;"&amp;IF(AY26&lt;&gt;"","&lt;displayfeedback feedbacktype=""Response"" linkrefid=""response_5""/&gt;",IF($AS26&lt;&gt;"","&lt;displayfeedback feedbacktype=""Response"" linkrefid=""qti_feedback_trigger""/&gt;",""))&amp;"&lt;/respcondition&gt;",""),IF(OR(Y26,AY26&lt;&gt;"",$AS26&lt;&gt;""),"      &lt;respcondition continue=""Yes""&gt;&lt;conditionvar&gt;"&amp;IF(Y26,"&lt;varequal respident=""RESPONSE""&gt;5&lt;/varequal&gt;","&lt;not&gt;&lt;varequal respident=""RESPONSE""&gt;5&lt;/varequal&gt;&lt;/not&gt;")&amp;"&lt;/conditionvar&gt;&lt;setvar action=""Add""&gt;"&amp;(Saisie_Questions!$N26/$I26)&amp;"&lt;/setvar&gt;"&amp;IF(AY26&lt;&gt;"","&lt;displayfeedback feedbacktype=""Response"" linkrefid=""response_5""/&gt;",IF($AS26&lt;&gt;"","&lt;displayfeedback feedbacktype=""Response"" linkrefid=""qti_feedback_trigger""/&gt;",""))&amp;"&lt;/respcondition&gt;",""))),"")</f>
      </c>
      <c r="AP26" s="46">
        <f>IF($B26,IF(R26="","",IF($C26="qcu",IF(OR(Z26,AZ26&lt;&gt;"",$AS26&lt;&gt;""),"      &lt;respcondition continue=""Yes""&gt;&lt;conditionvar&gt;&lt;varequal respident=""RESPONSE""&gt;6&lt;/varequal&gt;&lt;/conditionvar&gt;"&amp;"&lt;setvar action=""Add""&gt;"&amp;IF(Z26,$H26,0)&amp;"&lt;/setvar&gt;"&amp;IF(AZ26&lt;&gt;"","&lt;displayfeedback feedbacktype=""Response"" linkrefid=""response_6""/&gt;",IF($AS26&lt;&gt;"","&lt;displayfeedback feedbacktype=""Response"" linkrefid=""qti_feedback_trigger""/&gt;",""))&amp;"&lt;/respcondition&gt;",""),IF(OR(Z26,AZ26&lt;&gt;"",$AS26&lt;&gt;""),"      &lt;respcondition continue=""Yes""&gt;&lt;conditionvar&gt;"&amp;IF(Z26,"&lt;varequal respident=""RESPONSE""&gt;6&lt;/varequal&gt;","&lt;not&gt;&lt;varequal respident=""RESPONSE""&gt;6&lt;/varequal&gt;&lt;/not&gt;")&amp;"&lt;/conditionvar&gt;&lt;setvar action=""Add""&gt;"&amp;(Saisie_Questions!$N26/$I26)&amp;"&lt;/setvar&gt;"&amp;IF(AZ26&lt;&gt;"","&lt;displayfeedback feedbacktype=""Response"" linkrefid=""response_6""/&gt;",IF($AS26&lt;&gt;"","&lt;displayfeedback feedbacktype=""Response"" linkrefid=""qti_feedback_trigger""/&gt;",""))&amp;"&lt;/respcondition&gt;",""))),"")</f>
      </c>
      <c r="AQ26" s="46">
        <f>IF($B26,IF(S26="","",IF($C26="qcu",IF(OR(AA26,BA26&lt;&gt;"",$AS26&lt;&gt;""),"      &lt;respcondition continue=""Yes""&gt;&lt;conditionvar&gt;&lt;varequal respident=""RESPONSE""&gt;7&lt;/varequal&gt;&lt;/conditionvar&gt;"&amp;"&lt;setvar action=""Add""&gt;"&amp;IF(AA26,$H26,0)&amp;"&lt;/setvar&gt;"&amp;IF(BA26&lt;&gt;"","&lt;displayfeedback feedbacktype=""Response"" linkrefid=""response_7""/&gt;",IF($AS26&lt;&gt;"","&lt;displayfeedback feedbacktype=""Response"" linkrefid=""qti_feedback_trigger""/&gt;",""))&amp;"&lt;/respcondition&gt;",""),IF(OR(AA26,BA26&lt;&gt;"",$AS26&lt;&gt;""),"      &lt;respcondition continue=""Yes""&gt;&lt;conditionvar&gt;"&amp;IF(AA26,"&lt;varequal respident=""RESPONSE""&gt;7&lt;/varequal&gt;","&lt;not&gt;&lt;varequal respident=""RESPONSE""&gt;7&lt;/varequal&gt;&lt;/not&gt;")&amp;"&lt;/conditionvar&gt;&lt;setvar action=""Add""&gt;"&amp;(Saisie_Questions!$N26/$I26)&amp;"&lt;/setvar&gt;"&amp;IF(BA26&lt;&gt;"","&lt;displayfeedback feedbacktype=""Response"" linkrefid=""response_7""/&gt;",IF($AS26&lt;&gt;"","&lt;displayfeedback feedbacktype=""Response"" linkrefid=""qti_feedback_trigger""/&gt;",""))&amp;"&lt;/respcondition&gt;",""))),"")</f>
      </c>
      <c r="AR26" s="46">
        <f>IF(A26="","",SUBSTITUTE(SUBSTITUTE(SUBSTITUTE(SUBSTITUTE(SUBSTITUTE(IF(Saisie_Questions!P26&lt;&gt;"",Saisie_Questions!P26,Interface_Generation!$B$5),"&amp;","&amp;amp;"),"&lt;","&amp;lt;"),"&gt;","&amp;gt;"),CHAR(34),"&amp;quot;"),"'","&amp;apos;"))</f>
        <v/>
      </c>
      <c r="AS26" s="46">
        <f>IF(Saisie_Questions!Q26="","",SUBSTITUTE(SUBSTITUTE(SUBSTITUTE(SUBSTITUTE(SUBSTITUTE(Saisie_Questions!Q26,"&amp;","&amp;amp;"),"&lt;","&amp;lt;"),"&gt;","&amp;gt;"),CHAR(34),"&amp;quot;"),"'","&amp;apos;"))</f>
        <v/>
      </c>
      <c r="AT26" s="46">
        <f>IF(Saisie_Questions!R26="","",SUBSTITUTE(SUBSTITUTE(SUBSTITUTE(SUBSTITUTE(SUBSTITUTE(Saisie_Questions!R26,"&amp;","&amp;amp;"),"&lt;","&amp;lt;"),"&gt;","&amp;gt;"),CHAR(34),"&amp;quot;"),"'","&amp;apos;"))</f>
        <v/>
      </c>
      <c r="AU26" s="46">
        <f>IF(Saisie_Questions!S26="","",SUBSTITUTE(SUBSTITUTE(SUBSTITUTE(SUBSTITUTE(SUBSTITUTE(Saisie_Questions!S26,"&amp;","&amp;amp;"),"&lt;","&amp;lt;"),"&gt;","&amp;gt;"),CHAR(34),"&amp;quot;"),"'","&amp;apos;"))</f>
        <v/>
      </c>
      <c r="AV26" s="46">
        <f>IF(Saisie_Questions!T26="","",SUBSTITUTE(SUBSTITUTE(SUBSTITUTE(SUBSTITUTE(SUBSTITUTE(Saisie_Questions!T26,"&amp;","&amp;amp;"),"&lt;","&amp;lt;"),"&gt;","&amp;gt;"),CHAR(34),"&amp;quot;"),"'","&amp;apos;"))</f>
        <v/>
      </c>
      <c r="AW26" s="46">
        <f>IF(Saisie_Questions!U26="","",SUBSTITUTE(SUBSTITUTE(SUBSTITUTE(SUBSTITUTE(SUBSTITUTE(Saisie_Questions!U26,"&amp;","&amp;amp;"),"&lt;","&amp;lt;"),"&gt;","&amp;gt;"),CHAR(34),"&amp;quot;"),"'","&amp;apos;"))</f>
        <v/>
      </c>
      <c r="AX26" s="46">
        <f>IF(Saisie_Questions!V26="","",SUBSTITUTE(SUBSTITUTE(SUBSTITUTE(SUBSTITUTE(SUBSTITUTE(Saisie_Questions!V26,"&amp;","&amp;amp;"),"&lt;","&amp;lt;"),"&gt;","&amp;gt;"),CHAR(34),"&amp;quot;"),"'","&amp;apos;"))</f>
        <v/>
      </c>
      <c r="AY26" s="46">
        <f>IF(Saisie_Questions!W26="","",SUBSTITUTE(SUBSTITUTE(SUBSTITUTE(SUBSTITUTE(SUBSTITUTE(Saisie_Questions!W26,"&amp;","&amp;amp;"),"&lt;","&amp;lt;"),"&gt;","&amp;gt;"),CHAR(34),"&amp;quot;"),"'","&amp;apos;"))</f>
        <v/>
      </c>
      <c r="AZ26" s="46">
        <f>IF(Saisie_Questions!X26="","",SUBSTITUTE(SUBSTITUTE(SUBSTITUTE(SUBSTITUTE(SUBSTITUTE(Saisie_Questions!X26,"&amp;","&amp;amp;"),"&lt;","&amp;lt;"),"&gt;","&amp;gt;"),CHAR(34),"&amp;quot;"),"'","&amp;apos;"))</f>
        <v/>
      </c>
      <c r="BA26" s="46">
        <f>IF(Saisie_Questions!Y26="","",SUBSTITUTE(SUBSTITUTE(SUBSTITUTE(SUBSTITUTE(SUBSTITUTE(Saisie_Questions!Y26,"&amp;","&amp;amp;"),"&lt;","&amp;lt;"),"&gt;","&amp;gt;"),CHAR(34),"&amp;quot;"),"'","&amp;apos;"))</f>
        <v/>
      </c>
      <c r="BB26" s="46">
        <f>IF($B26,IF($AS26="","","    &lt;itemfeedback ident=""response_allcorrect"" view=""All""&gt;&lt;flow_mat&gt;&lt;material&gt;&lt;mattext texttype=""text/html""&gt;"&amp;$AS26&amp;"&lt;/mattext&gt;&lt;/material&gt;&lt;/flow_mat&gt;&lt;/itemfeedback&gt;"&amp;"    &lt;itemfeedback ident=""response_onenotcorrect"" view=""All""&gt;&lt;flow_mat&gt;&lt;material&gt;&lt;mattext texttype=""text/html""&gt;"&amp;$AS26&amp;"&lt;/mattext&gt;&lt;/material&gt;&lt;/flow_mat&gt;&lt;/itemfeedback&gt;"),"")</f>
      </c>
      <c r="BC26" s="46">
        <f>IF($B26,IF(AT26="","","    &lt;itemfeedback ident=""response_0"" view=""All""&gt;&lt;flow_mat&gt;&lt;material&gt;&lt;mattext texttype=""text/html""&gt;"&amp;AT26&amp;"&lt;/mattext&gt;&lt;/material&gt;&lt;/flow_mat&gt;&lt;/itemfeedback&gt;"),"")</f>
      </c>
      <c r="BD26" s="46">
        <f>IF($B26,IF(AU26="","","    &lt;itemfeedback ident=""response_1"" view=""All""&gt;&lt;flow_mat&gt;&lt;material&gt;&lt;mattext texttype=""text/html""&gt;"&amp;AU26&amp;"&lt;/mattext&gt;&lt;/material&gt;&lt;/flow_mat&gt;&lt;/itemfeedback&gt;"),"")</f>
      </c>
      <c r="BE26" s="46">
        <f>IF($B26,IF(AV26="","","    &lt;itemfeedback ident=""response_2"" view=""All""&gt;&lt;flow_mat&gt;&lt;material&gt;&lt;mattext texttype=""text/html""&gt;"&amp;AV26&amp;"&lt;/mattext&gt;&lt;/material&gt;&lt;/flow_mat&gt;&lt;/itemfeedback&gt;"),"")</f>
      </c>
      <c r="BF26" s="46">
        <f>IF($B26,IF(AW26="","","    &lt;itemfeedback ident=""response_3"" view=""All""&gt;&lt;flow_mat&gt;&lt;material&gt;&lt;mattext texttype=""text/html""&gt;"&amp;AW26&amp;"&lt;/mattext&gt;&lt;/material&gt;&lt;/flow_mat&gt;&lt;/itemfeedback&gt;"),"")</f>
      </c>
      <c r="BG26" s="46">
        <f>IF($B26,IF(AX26="","","    &lt;itemfeedback ident=""response_4"" view=""All""&gt;&lt;flow_mat&gt;&lt;material&gt;&lt;mattext texttype=""text/html""&gt;"&amp;AX26&amp;"&lt;/mattext&gt;&lt;/material&gt;&lt;/flow_mat&gt;&lt;/itemfeedback&gt;"),"")</f>
      </c>
      <c r="BH26" s="46">
        <f>IF($B26,IF(AY26="","","    &lt;itemfeedback ident=""response_5"" view=""All""&gt;&lt;flow_mat&gt;&lt;material&gt;&lt;mattext texttype=""text/html""&gt;"&amp;AY26&amp;"&lt;/mattext&gt;&lt;/material&gt;&lt;/flow_mat&gt;&lt;/itemfeedback&gt;"),"")</f>
      </c>
      <c r="BI26" s="46">
        <f>IF($B26,IF(AZ26="","","    &lt;itemfeedback ident=""response_6"" view=""All""&gt;&lt;flow_mat&gt;&lt;material&gt;&lt;mattext texttype=""text/html""&gt;"&amp;AZ26&amp;"&lt;/mattext&gt;&lt;/material&gt;&lt;/flow_mat&gt;&lt;/itemfeedback&gt;"),"")</f>
      </c>
      <c r="BJ26" s="46">
        <f>IF($B26,IF(BA26="","","    &lt;itemfeedback ident=""response_7"" view=""All""&gt;&lt;flow_mat&gt;&lt;material&gt;&lt;mattext texttype=""text/html""&gt;"&amp;BA26&amp;"&lt;/mattext&gt;&lt;/material&gt;&lt;/flow_mat&gt;&lt;/itemfeedback&gt;"),"")</f>
      </c>
    </row>
    <row r="27" ht="18" customHeight="1" s="17">
      <c r="A27" s="46">
        <f>Saisie_Questions!A27</f>
        <v/>
      </c>
      <c r="B27" s="46">
        <f>Saisie_Questions!O27="OK"</f>
        <v/>
      </c>
      <c r="C27" s="46">
        <f>LOWER(TRIM(Saisie_Questions!B27))</f>
        <v/>
      </c>
      <c r="D27" s="46">
        <f>IF(C27="qcu","SINGLE CHOICE QUESTION","MULTIPLE CHOICE QUESTION")</f>
        <v/>
      </c>
      <c r="E27" s="46">
        <f>IF(C27="qcu","Single","Multiple")</f>
        <v/>
      </c>
      <c r="F27" s="46">
        <f>IF(A27="","",SUBSTITUTE(SUBSTITUTE(SUBSTITUTE(SUBSTITUTE(SUBSTITUTE(IF(Saisie_Questions!C27="", "Question "&amp;A27, Saisie_Questions!C27),"&amp;","&amp;amp;"),"&lt;","&amp;lt;"),"&gt;","&amp;gt;"),CHAR(34),"&amp;quot;"),"'","&amp;apos;"))</f>
        <v/>
      </c>
      <c r="G27" s="46">
        <f>IF(A27="","",SUBSTITUTE(SUBSTITUTE(SUBSTITUTE(SUBSTITUTE(SUBSTITUTE(Saisie_Questions!D27,"&amp;","&amp;amp;"),"&lt;","&amp;lt;"),"&gt;","&amp;gt;"),CHAR(34),"&amp;quot;"),"'","&amp;apos;"))</f>
        <v/>
      </c>
      <c r="H27" s="46">
        <f>Saisie_Questions!N27</f>
        <v/>
      </c>
      <c r="I27" s="46">
        <f>IF(Saisie_Questions!E27="",0,1)+IF(Saisie_Questions!F27="",0,1)+IF(Saisie_Questions!G27="",0,1)+IF(Saisie_Questions!H27="",0,1)+IF(Saisie_Questions!I27="",0,1)+IF(Saisie_Questions!J27="",0,1)+IF(Saisie_Questions!K27="",0,1)+IF(Saisie_Questions!L27="",0,1)</f>
        <v/>
      </c>
      <c r="J27" s="46">
        <f>Saisie_Questions!M27</f>
        <v/>
      </c>
      <c r="K27" s="46">
        <f>Saisie_Questions!O27</f>
        <v/>
      </c>
      <c r="L27" s="46">
        <f>IF(Saisie_Questions!E27="","",SUBSTITUTE(SUBSTITUTE(SUBSTITUTE(SUBSTITUTE(SUBSTITUTE(Saisie_Questions!E27,"&amp;","&amp;amp;"),"&lt;","&amp;lt;"),"&gt;","&amp;gt;"),CHAR(34),"&amp;quot;"),"'","&amp;apos;"))</f>
        <v/>
      </c>
      <c r="M27" s="46">
        <f>IF(Saisie_Questions!F27="","",SUBSTITUTE(SUBSTITUTE(SUBSTITUTE(SUBSTITUTE(SUBSTITUTE(Saisie_Questions!F27,"&amp;","&amp;amp;"),"&lt;","&amp;lt;"),"&gt;","&amp;gt;"),CHAR(34),"&amp;quot;"),"'","&amp;apos;"))</f>
        <v/>
      </c>
      <c r="N27" s="46">
        <f>IF(Saisie_Questions!G27="","",SUBSTITUTE(SUBSTITUTE(SUBSTITUTE(SUBSTITUTE(SUBSTITUTE(Saisie_Questions!G27,"&amp;","&amp;amp;"),"&lt;","&amp;lt;"),"&gt;","&amp;gt;"),CHAR(34),"&amp;quot;"),"'","&amp;apos;"))</f>
        <v/>
      </c>
      <c r="O27" s="46">
        <f>IF(Saisie_Questions!H27="","",SUBSTITUTE(SUBSTITUTE(SUBSTITUTE(SUBSTITUTE(SUBSTITUTE(Saisie_Questions!H27,"&amp;","&amp;amp;"),"&lt;","&amp;lt;"),"&gt;","&amp;gt;"),CHAR(34),"&amp;quot;"),"'","&amp;apos;"))</f>
        <v/>
      </c>
      <c r="P27" s="46">
        <f>IF(Saisie_Questions!I27="","",SUBSTITUTE(SUBSTITUTE(SUBSTITUTE(SUBSTITUTE(SUBSTITUTE(Saisie_Questions!I27,"&amp;","&amp;amp;"),"&lt;","&amp;lt;"),"&gt;","&amp;gt;"),CHAR(34),"&amp;quot;"),"'","&amp;apos;"))</f>
        <v/>
      </c>
      <c r="Q27" s="46">
        <f>IF(Saisie_Questions!J27="","",SUBSTITUTE(SUBSTITUTE(SUBSTITUTE(SUBSTITUTE(SUBSTITUTE(Saisie_Questions!J27,"&amp;","&amp;amp;"),"&lt;","&amp;lt;"),"&gt;","&amp;gt;"),CHAR(34),"&amp;quot;"),"'","&amp;apos;"))</f>
        <v/>
      </c>
      <c r="R27" s="46">
        <f>IF(Saisie_Questions!K27="","",SUBSTITUTE(SUBSTITUTE(SUBSTITUTE(SUBSTITUTE(SUBSTITUTE(Saisie_Questions!K27,"&amp;","&amp;amp;"),"&lt;","&amp;lt;"),"&gt;","&amp;gt;"),CHAR(34),"&amp;quot;"),"'","&amp;apos;"))</f>
        <v/>
      </c>
      <c r="S27" s="46">
        <f>IF(Saisie_Questions!L27="","",SUBSTITUTE(SUBSTITUTE(SUBSTITUTE(SUBSTITUTE(SUBSTITUTE(Saisie_Questions!L27,"&amp;","&amp;amp;"),"&lt;","&amp;lt;"),"&gt;","&amp;gt;"),CHAR(34),"&amp;quot;"),"'","&amp;apos;"))</f>
        <v/>
      </c>
      <c r="T27" s="46">
        <f>ISNUMBER(SEARCH(";"&amp;1&amp;";",";"&amp;$J27&amp;";"))</f>
        <v/>
      </c>
      <c r="U27" s="46">
        <f>ISNUMBER(SEARCH(";"&amp;2&amp;";",";"&amp;$J27&amp;";"))</f>
        <v/>
      </c>
      <c r="V27" s="46">
        <f>ISNUMBER(SEARCH(";"&amp;3&amp;";",";"&amp;$J27&amp;";"))</f>
        <v/>
      </c>
      <c r="W27" s="46">
        <f>ISNUMBER(SEARCH(";"&amp;4&amp;";",";"&amp;$J27&amp;";"))</f>
        <v/>
      </c>
      <c r="X27" s="46">
        <f>ISNUMBER(SEARCH(";"&amp;5&amp;";",";"&amp;$J27&amp;";"))</f>
        <v/>
      </c>
      <c r="Y27" s="46">
        <f>ISNUMBER(SEARCH(";"&amp;6&amp;";",";"&amp;$J27&amp;";"))</f>
        <v/>
      </c>
      <c r="Z27" s="46">
        <f>ISNUMBER(SEARCH(";"&amp;7&amp;";",";"&amp;$J27&amp;";"))</f>
        <v/>
      </c>
      <c r="AA27" s="46">
        <f>ISNUMBER(SEARCH(";"&amp;8&amp;";",";"&amp;$J27&amp;";"))</f>
        <v/>
      </c>
      <c r="AB27" s="46">
        <f>IF($B27,IF(L27="","","        &lt;response_label ident=""0""&gt;&lt;material&gt;&lt;mattext texttype=""text/html""&gt;"&amp;L27&amp;"&lt;/mattext&gt;&lt;/material&gt;&lt;/response_label&gt;"),"")</f>
        <v/>
      </c>
      <c r="AC27" s="46">
        <f>IF($B27,IF(M27="","","        &lt;response_label ident=""1""&gt;&lt;material&gt;&lt;mattext texttype=""text/html""&gt;"&amp;M27&amp;"&lt;/mattext&gt;&lt;/material&gt;&lt;/response_label&gt;"),"")</f>
        <v/>
      </c>
      <c r="AD27" s="46">
        <f>IF($B27,IF(N27="","","        &lt;response_label ident=""2""&gt;&lt;material&gt;&lt;mattext texttype=""text/html""&gt;"&amp;N27&amp;"&lt;/mattext&gt;&lt;/material&gt;&lt;/response_label&gt;"),"")</f>
        <v/>
      </c>
      <c r="AE27" s="46">
        <f>IF($B27,IF(O27="","","        &lt;response_label ident=""3""&gt;&lt;material&gt;&lt;mattext texttype=""text/html""&gt;"&amp;O27&amp;"&lt;/mattext&gt;&lt;/material&gt;&lt;/response_label&gt;"),"")</f>
        <v/>
      </c>
      <c r="AF27" s="46">
        <f>IF($B27,IF(P27="","","        &lt;response_label ident=""4""&gt;&lt;material&gt;&lt;mattext texttype=""text/html""&gt;"&amp;P27&amp;"&lt;/mattext&gt;&lt;/material&gt;&lt;/response_label&gt;"),"")</f>
        <v/>
      </c>
      <c r="AG27" s="46">
        <f>IF($B27,IF(Q27="","","        &lt;response_label ident=""5""&gt;&lt;material&gt;&lt;mattext texttype=""text/html""&gt;"&amp;Q27&amp;"&lt;/mattext&gt;&lt;/material&gt;&lt;/response_label&gt;"),"")</f>
        <v/>
      </c>
      <c r="AH27" s="46">
        <f>IF($B27,IF(R27="","","        &lt;response_label ident=""6""&gt;&lt;material&gt;&lt;mattext texttype=""text/html""&gt;"&amp;R27&amp;"&lt;/mattext&gt;&lt;/material&gt;&lt;/response_label&gt;"),"")</f>
        <v/>
      </c>
      <c r="AI27" s="46">
        <f>IF($B27,IF(S27="","","        &lt;response_label ident=""7""&gt;&lt;material&gt;&lt;mattext texttype=""text/html""&gt;"&amp;S27&amp;"&lt;/mattext&gt;&lt;/material&gt;&lt;/response_label&gt;"),"")</f>
        <v/>
      </c>
      <c r="AJ27" s="46">
        <f>IF($B27,IF(L27="","",IF($C27="qcu",IF(OR(T27,AT27&lt;&gt;"",$AS27&lt;&gt;""),"      &lt;respcondition continue=""Yes""&gt;&lt;conditionvar&gt;&lt;varequal respident=""RESPONSE""&gt;0&lt;/varequal&gt;&lt;/conditionvar&gt;"&amp;"&lt;setvar action=""Add""&gt;"&amp;IF(T27,$H27,0)&amp;"&lt;/setvar&gt;"&amp;IF(AT27&lt;&gt;"","&lt;displayfeedback feedbacktype=""Response"" linkrefid=""response_0""/&gt;",IF($AS27&lt;&gt;"","&lt;displayfeedback feedbacktype=""Response"" linkrefid=""qti_feedback_trigger""/&gt;",""))&amp;"&lt;/respcondition&gt;",""),IF(OR(T27,AT27&lt;&gt;"",$AS27&lt;&gt;""),"      &lt;respcondition continue=""Yes""&gt;&lt;conditionvar&gt;"&amp;IF(T27,"&lt;varequal respident=""RESPONSE""&gt;0&lt;/varequal&gt;","&lt;not&gt;&lt;varequal respident=""RESPONSE""&gt;0&lt;/varequal&gt;&lt;/not&gt;")&amp;"&lt;/conditionvar&gt;&lt;setvar action=""Add""&gt;"&amp;(Saisie_Questions!$N27/$I27)&amp;"&lt;/setvar&gt;"&amp;IF(AT27&lt;&gt;"","&lt;displayfeedback feedbacktype=""Response"" linkrefid=""response_0""/&gt;",IF($AS27&lt;&gt;"","&lt;displayfeedback feedbacktype=""Response"" linkrefid=""qti_feedback_trigger""/&gt;",""))&amp;"&lt;/respcondition&gt;",""))),"")</f>
      </c>
      <c r="AK27" s="46">
        <f>IF($B27,IF(M27="","",IF($C27="qcu",IF(OR(U27,AU27&lt;&gt;"",$AS27&lt;&gt;""),"      &lt;respcondition continue=""Yes""&gt;&lt;conditionvar&gt;&lt;varequal respident=""RESPONSE""&gt;1&lt;/varequal&gt;&lt;/conditionvar&gt;"&amp;"&lt;setvar action=""Add""&gt;"&amp;IF(U27,$H27,0)&amp;"&lt;/setvar&gt;"&amp;IF(AU27&lt;&gt;"","&lt;displayfeedback feedbacktype=""Response"" linkrefid=""response_1""/&gt;",IF($AS27&lt;&gt;"","&lt;displayfeedback feedbacktype=""Response"" linkrefid=""qti_feedback_trigger""/&gt;",""))&amp;"&lt;/respcondition&gt;",""),IF(OR(U27,AU27&lt;&gt;"",$AS27&lt;&gt;""),"      &lt;respcondition continue=""Yes""&gt;&lt;conditionvar&gt;"&amp;IF(U27,"&lt;varequal respident=""RESPONSE""&gt;1&lt;/varequal&gt;","&lt;not&gt;&lt;varequal respident=""RESPONSE""&gt;1&lt;/varequal&gt;&lt;/not&gt;")&amp;"&lt;/conditionvar&gt;&lt;setvar action=""Add""&gt;"&amp;(Saisie_Questions!$N27/$I27)&amp;"&lt;/setvar&gt;"&amp;IF(AU27&lt;&gt;"","&lt;displayfeedback feedbacktype=""Response"" linkrefid=""response_1""/&gt;",IF($AS27&lt;&gt;"","&lt;displayfeedback feedbacktype=""Response"" linkrefid=""qti_feedback_trigger""/&gt;",""))&amp;"&lt;/respcondition&gt;",""))),"")</f>
      </c>
      <c r="AL27" s="46">
        <f>IF($B27,IF(N27="","",IF($C27="qcu",IF(OR(V27,AV27&lt;&gt;"",$AS27&lt;&gt;""),"      &lt;respcondition continue=""Yes""&gt;&lt;conditionvar&gt;&lt;varequal respident=""RESPONSE""&gt;2&lt;/varequal&gt;&lt;/conditionvar&gt;"&amp;"&lt;setvar action=""Add""&gt;"&amp;IF(V27,$H27,0)&amp;"&lt;/setvar&gt;"&amp;IF(AV27&lt;&gt;"","&lt;displayfeedback feedbacktype=""Response"" linkrefid=""response_2""/&gt;",IF($AS27&lt;&gt;"","&lt;displayfeedback feedbacktype=""Response"" linkrefid=""qti_feedback_trigger""/&gt;",""))&amp;"&lt;/respcondition&gt;",""),IF(OR(V27,AV27&lt;&gt;"",$AS27&lt;&gt;""),"      &lt;respcondition continue=""Yes""&gt;&lt;conditionvar&gt;"&amp;IF(V27,"&lt;varequal respident=""RESPONSE""&gt;2&lt;/varequal&gt;","&lt;not&gt;&lt;varequal respident=""RESPONSE""&gt;2&lt;/varequal&gt;&lt;/not&gt;")&amp;"&lt;/conditionvar&gt;&lt;setvar action=""Add""&gt;"&amp;(Saisie_Questions!$N27/$I27)&amp;"&lt;/setvar&gt;"&amp;IF(AV27&lt;&gt;"","&lt;displayfeedback feedbacktype=""Response"" linkrefid=""response_2""/&gt;",IF($AS27&lt;&gt;"","&lt;displayfeedback feedbacktype=""Response"" linkrefid=""qti_feedback_trigger""/&gt;",""))&amp;"&lt;/respcondition&gt;",""))),"")</f>
      </c>
      <c r="AM27" s="46">
        <f>IF($B27,IF(O27="","",IF($C27="qcu",IF(OR(W27,AW27&lt;&gt;"",$AS27&lt;&gt;""),"      &lt;respcondition continue=""Yes""&gt;&lt;conditionvar&gt;&lt;varequal respident=""RESPONSE""&gt;3&lt;/varequal&gt;&lt;/conditionvar&gt;"&amp;"&lt;setvar action=""Add""&gt;"&amp;IF(W27,$H27,0)&amp;"&lt;/setvar&gt;"&amp;IF(AW27&lt;&gt;"","&lt;displayfeedback feedbacktype=""Response"" linkrefid=""response_3""/&gt;",IF($AS27&lt;&gt;"","&lt;displayfeedback feedbacktype=""Response"" linkrefid=""qti_feedback_trigger""/&gt;",""))&amp;"&lt;/respcondition&gt;",""),IF(OR(W27,AW27&lt;&gt;"",$AS27&lt;&gt;""),"      &lt;respcondition continue=""Yes""&gt;&lt;conditionvar&gt;"&amp;IF(W27,"&lt;varequal respident=""RESPONSE""&gt;3&lt;/varequal&gt;","&lt;not&gt;&lt;varequal respident=""RESPONSE""&gt;3&lt;/varequal&gt;&lt;/not&gt;")&amp;"&lt;/conditionvar&gt;&lt;setvar action=""Add""&gt;"&amp;(Saisie_Questions!$N27/$I27)&amp;"&lt;/setvar&gt;"&amp;IF(AW27&lt;&gt;"","&lt;displayfeedback feedbacktype=""Response"" linkrefid=""response_3""/&gt;",IF($AS27&lt;&gt;"","&lt;displayfeedback feedbacktype=""Response"" linkrefid=""qti_feedback_trigger""/&gt;",""))&amp;"&lt;/respcondition&gt;",""))),"")</f>
      </c>
      <c r="AN27" s="46">
        <f>IF($B27,IF(P27="","",IF($C27="qcu",IF(OR(X27,AX27&lt;&gt;"",$AS27&lt;&gt;""),"      &lt;respcondition continue=""Yes""&gt;&lt;conditionvar&gt;&lt;varequal respident=""RESPONSE""&gt;4&lt;/varequal&gt;&lt;/conditionvar&gt;"&amp;"&lt;setvar action=""Add""&gt;"&amp;IF(X27,$H27,0)&amp;"&lt;/setvar&gt;"&amp;IF(AX27&lt;&gt;"","&lt;displayfeedback feedbacktype=""Response"" linkrefid=""response_4""/&gt;",IF($AS27&lt;&gt;"","&lt;displayfeedback feedbacktype=""Response"" linkrefid=""qti_feedback_trigger""/&gt;",""))&amp;"&lt;/respcondition&gt;",""),IF(OR(X27,AX27&lt;&gt;"",$AS27&lt;&gt;""),"      &lt;respcondition continue=""Yes""&gt;&lt;conditionvar&gt;"&amp;IF(X27,"&lt;varequal respident=""RESPONSE""&gt;4&lt;/varequal&gt;","&lt;not&gt;&lt;varequal respident=""RESPONSE""&gt;4&lt;/varequal&gt;&lt;/not&gt;")&amp;"&lt;/conditionvar&gt;&lt;setvar action=""Add""&gt;"&amp;(Saisie_Questions!$N27/$I27)&amp;"&lt;/setvar&gt;"&amp;IF(AX27&lt;&gt;"","&lt;displayfeedback feedbacktype=""Response"" linkrefid=""response_4""/&gt;",IF($AS27&lt;&gt;"","&lt;displayfeedback feedbacktype=""Response"" linkrefid=""qti_feedback_trigger""/&gt;",""))&amp;"&lt;/respcondition&gt;",""))),"")</f>
      </c>
      <c r="AO27" s="46">
        <f>IF($B27,IF(Q27="","",IF($C27="qcu",IF(OR(Y27,AY27&lt;&gt;"",$AS27&lt;&gt;""),"      &lt;respcondition continue=""Yes""&gt;&lt;conditionvar&gt;&lt;varequal respident=""RESPONSE""&gt;5&lt;/varequal&gt;&lt;/conditionvar&gt;"&amp;"&lt;setvar action=""Add""&gt;"&amp;IF(Y27,$H27,0)&amp;"&lt;/setvar&gt;"&amp;IF(AY27&lt;&gt;"","&lt;displayfeedback feedbacktype=""Response"" linkrefid=""response_5""/&gt;",IF($AS27&lt;&gt;"","&lt;displayfeedback feedbacktype=""Response"" linkrefid=""qti_feedback_trigger""/&gt;",""))&amp;"&lt;/respcondition&gt;",""),IF(OR(Y27,AY27&lt;&gt;"",$AS27&lt;&gt;""),"      &lt;respcondition continue=""Yes""&gt;&lt;conditionvar&gt;"&amp;IF(Y27,"&lt;varequal respident=""RESPONSE""&gt;5&lt;/varequal&gt;","&lt;not&gt;&lt;varequal respident=""RESPONSE""&gt;5&lt;/varequal&gt;&lt;/not&gt;")&amp;"&lt;/conditionvar&gt;&lt;setvar action=""Add""&gt;"&amp;(Saisie_Questions!$N27/$I27)&amp;"&lt;/setvar&gt;"&amp;IF(AY27&lt;&gt;"","&lt;displayfeedback feedbacktype=""Response"" linkrefid=""response_5""/&gt;",IF($AS27&lt;&gt;"","&lt;displayfeedback feedbacktype=""Response"" linkrefid=""qti_feedback_trigger""/&gt;",""))&amp;"&lt;/respcondition&gt;",""))),"")</f>
      </c>
      <c r="AP27" s="46">
        <f>IF($B27,IF(R27="","",IF($C27="qcu",IF(OR(Z27,AZ27&lt;&gt;"",$AS27&lt;&gt;""),"      &lt;respcondition continue=""Yes""&gt;&lt;conditionvar&gt;&lt;varequal respident=""RESPONSE""&gt;6&lt;/varequal&gt;&lt;/conditionvar&gt;"&amp;"&lt;setvar action=""Add""&gt;"&amp;IF(Z27,$H27,0)&amp;"&lt;/setvar&gt;"&amp;IF(AZ27&lt;&gt;"","&lt;displayfeedback feedbacktype=""Response"" linkrefid=""response_6""/&gt;",IF($AS27&lt;&gt;"","&lt;displayfeedback feedbacktype=""Response"" linkrefid=""qti_feedback_trigger""/&gt;",""))&amp;"&lt;/respcondition&gt;",""),IF(OR(Z27,AZ27&lt;&gt;"",$AS27&lt;&gt;""),"      &lt;respcondition continue=""Yes""&gt;&lt;conditionvar&gt;"&amp;IF(Z27,"&lt;varequal respident=""RESPONSE""&gt;6&lt;/varequal&gt;","&lt;not&gt;&lt;varequal respident=""RESPONSE""&gt;6&lt;/varequal&gt;&lt;/not&gt;")&amp;"&lt;/conditionvar&gt;&lt;setvar action=""Add""&gt;"&amp;(Saisie_Questions!$N27/$I27)&amp;"&lt;/setvar&gt;"&amp;IF(AZ27&lt;&gt;"","&lt;displayfeedback feedbacktype=""Response"" linkrefid=""response_6""/&gt;",IF($AS27&lt;&gt;"","&lt;displayfeedback feedbacktype=""Response"" linkrefid=""qti_feedback_trigger""/&gt;",""))&amp;"&lt;/respcondition&gt;",""))),"")</f>
      </c>
      <c r="AQ27" s="46">
        <f>IF($B27,IF(S27="","",IF($C27="qcu",IF(OR(AA27,BA27&lt;&gt;"",$AS27&lt;&gt;""),"      &lt;respcondition continue=""Yes""&gt;&lt;conditionvar&gt;&lt;varequal respident=""RESPONSE""&gt;7&lt;/varequal&gt;&lt;/conditionvar&gt;"&amp;"&lt;setvar action=""Add""&gt;"&amp;IF(AA27,$H27,0)&amp;"&lt;/setvar&gt;"&amp;IF(BA27&lt;&gt;"","&lt;displayfeedback feedbacktype=""Response"" linkrefid=""response_7""/&gt;",IF($AS27&lt;&gt;"","&lt;displayfeedback feedbacktype=""Response"" linkrefid=""qti_feedback_trigger""/&gt;",""))&amp;"&lt;/respcondition&gt;",""),IF(OR(AA27,BA27&lt;&gt;"",$AS27&lt;&gt;""),"      &lt;respcondition continue=""Yes""&gt;&lt;conditionvar&gt;"&amp;IF(AA27,"&lt;varequal respident=""RESPONSE""&gt;7&lt;/varequal&gt;","&lt;not&gt;&lt;varequal respident=""RESPONSE""&gt;7&lt;/varequal&gt;&lt;/not&gt;")&amp;"&lt;/conditionvar&gt;&lt;setvar action=""Add""&gt;"&amp;(Saisie_Questions!$N27/$I27)&amp;"&lt;/setvar&gt;"&amp;IF(BA27&lt;&gt;"","&lt;displayfeedback feedbacktype=""Response"" linkrefid=""response_7""/&gt;",IF($AS27&lt;&gt;"","&lt;displayfeedback feedbacktype=""Response"" linkrefid=""qti_feedback_trigger""/&gt;",""))&amp;"&lt;/respcondition&gt;",""))),"")</f>
      </c>
      <c r="AR27" s="46">
        <f>IF(A27="","",SUBSTITUTE(SUBSTITUTE(SUBSTITUTE(SUBSTITUTE(SUBSTITUTE(IF(Saisie_Questions!P27&lt;&gt;"",Saisie_Questions!P27,Interface_Generation!$B$5),"&amp;","&amp;amp;"),"&lt;","&amp;lt;"),"&gt;","&amp;gt;"),CHAR(34),"&amp;quot;"),"'","&amp;apos;"))</f>
        <v/>
      </c>
      <c r="AS27" s="46">
        <f>IF(Saisie_Questions!Q27="","",SUBSTITUTE(SUBSTITUTE(SUBSTITUTE(SUBSTITUTE(SUBSTITUTE(Saisie_Questions!Q27,"&amp;","&amp;amp;"),"&lt;","&amp;lt;"),"&gt;","&amp;gt;"),CHAR(34),"&amp;quot;"),"'","&amp;apos;"))</f>
        <v/>
      </c>
      <c r="AT27" s="46">
        <f>IF(Saisie_Questions!R27="","",SUBSTITUTE(SUBSTITUTE(SUBSTITUTE(SUBSTITUTE(SUBSTITUTE(Saisie_Questions!R27,"&amp;","&amp;amp;"),"&lt;","&amp;lt;"),"&gt;","&amp;gt;"),CHAR(34),"&amp;quot;"),"'","&amp;apos;"))</f>
        <v/>
      </c>
      <c r="AU27" s="46">
        <f>IF(Saisie_Questions!S27="","",SUBSTITUTE(SUBSTITUTE(SUBSTITUTE(SUBSTITUTE(SUBSTITUTE(Saisie_Questions!S27,"&amp;","&amp;amp;"),"&lt;","&amp;lt;"),"&gt;","&amp;gt;"),CHAR(34),"&amp;quot;"),"'","&amp;apos;"))</f>
        <v/>
      </c>
      <c r="AV27" s="46">
        <f>IF(Saisie_Questions!T27="","",SUBSTITUTE(SUBSTITUTE(SUBSTITUTE(SUBSTITUTE(SUBSTITUTE(Saisie_Questions!T27,"&amp;","&amp;amp;"),"&lt;","&amp;lt;"),"&gt;","&amp;gt;"),CHAR(34),"&amp;quot;"),"'","&amp;apos;"))</f>
        <v/>
      </c>
      <c r="AW27" s="46">
        <f>IF(Saisie_Questions!U27="","",SUBSTITUTE(SUBSTITUTE(SUBSTITUTE(SUBSTITUTE(SUBSTITUTE(Saisie_Questions!U27,"&amp;","&amp;amp;"),"&lt;","&amp;lt;"),"&gt;","&amp;gt;"),CHAR(34),"&amp;quot;"),"'","&amp;apos;"))</f>
        <v/>
      </c>
      <c r="AX27" s="46">
        <f>IF(Saisie_Questions!V27="","",SUBSTITUTE(SUBSTITUTE(SUBSTITUTE(SUBSTITUTE(SUBSTITUTE(Saisie_Questions!V27,"&amp;","&amp;amp;"),"&lt;","&amp;lt;"),"&gt;","&amp;gt;"),CHAR(34),"&amp;quot;"),"'","&amp;apos;"))</f>
        <v/>
      </c>
      <c r="AY27" s="46">
        <f>IF(Saisie_Questions!W27="","",SUBSTITUTE(SUBSTITUTE(SUBSTITUTE(SUBSTITUTE(SUBSTITUTE(Saisie_Questions!W27,"&amp;","&amp;amp;"),"&lt;","&amp;lt;"),"&gt;","&amp;gt;"),CHAR(34),"&amp;quot;"),"'","&amp;apos;"))</f>
        <v/>
      </c>
      <c r="AZ27" s="46">
        <f>IF(Saisie_Questions!X27="","",SUBSTITUTE(SUBSTITUTE(SUBSTITUTE(SUBSTITUTE(SUBSTITUTE(Saisie_Questions!X27,"&amp;","&amp;amp;"),"&lt;","&amp;lt;"),"&gt;","&amp;gt;"),CHAR(34),"&amp;quot;"),"'","&amp;apos;"))</f>
        <v/>
      </c>
      <c r="BA27" s="46">
        <f>IF(Saisie_Questions!Y27="","",SUBSTITUTE(SUBSTITUTE(SUBSTITUTE(SUBSTITUTE(SUBSTITUTE(Saisie_Questions!Y27,"&amp;","&amp;amp;"),"&lt;","&amp;lt;"),"&gt;","&amp;gt;"),CHAR(34),"&amp;quot;"),"'","&amp;apos;"))</f>
        <v/>
      </c>
      <c r="BB27" s="46">
        <f>IF($B27,IF($AS27="","","    &lt;itemfeedback ident=""response_allcorrect"" view=""All""&gt;&lt;flow_mat&gt;&lt;material&gt;&lt;mattext texttype=""text/html""&gt;"&amp;$AS27&amp;"&lt;/mattext&gt;&lt;/material&gt;&lt;/flow_mat&gt;&lt;/itemfeedback&gt;"&amp;"    &lt;itemfeedback ident=""response_onenotcorrect"" view=""All""&gt;&lt;flow_mat&gt;&lt;material&gt;&lt;mattext texttype=""text/html""&gt;"&amp;$AS27&amp;"&lt;/mattext&gt;&lt;/material&gt;&lt;/flow_mat&gt;&lt;/itemfeedback&gt;"),"")</f>
      </c>
      <c r="BC27" s="46">
        <f>IF($B27,IF(AT27="","","    &lt;itemfeedback ident=""response_0"" view=""All""&gt;&lt;flow_mat&gt;&lt;material&gt;&lt;mattext texttype=""text/html""&gt;"&amp;AT27&amp;"&lt;/mattext&gt;&lt;/material&gt;&lt;/flow_mat&gt;&lt;/itemfeedback&gt;"),"")</f>
      </c>
      <c r="BD27" s="46">
        <f>IF($B27,IF(AU27="","","    &lt;itemfeedback ident=""response_1"" view=""All""&gt;&lt;flow_mat&gt;&lt;material&gt;&lt;mattext texttype=""text/html""&gt;"&amp;AU27&amp;"&lt;/mattext&gt;&lt;/material&gt;&lt;/flow_mat&gt;&lt;/itemfeedback&gt;"),"")</f>
      </c>
      <c r="BE27" s="46">
        <f>IF($B27,IF(AV27="","","    &lt;itemfeedback ident=""response_2"" view=""All""&gt;&lt;flow_mat&gt;&lt;material&gt;&lt;mattext texttype=""text/html""&gt;"&amp;AV27&amp;"&lt;/mattext&gt;&lt;/material&gt;&lt;/flow_mat&gt;&lt;/itemfeedback&gt;"),"")</f>
      </c>
      <c r="BF27" s="46">
        <f>IF($B27,IF(AW27="","","    &lt;itemfeedback ident=""response_3"" view=""All""&gt;&lt;flow_mat&gt;&lt;material&gt;&lt;mattext texttype=""text/html""&gt;"&amp;AW27&amp;"&lt;/mattext&gt;&lt;/material&gt;&lt;/flow_mat&gt;&lt;/itemfeedback&gt;"),"")</f>
      </c>
      <c r="BG27" s="46">
        <f>IF($B27,IF(AX27="","","    &lt;itemfeedback ident=""response_4"" view=""All""&gt;&lt;flow_mat&gt;&lt;material&gt;&lt;mattext texttype=""text/html""&gt;"&amp;AX27&amp;"&lt;/mattext&gt;&lt;/material&gt;&lt;/flow_mat&gt;&lt;/itemfeedback&gt;"),"")</f>
      </c>
      <c r="BH27" s="46">
        <f>IF($B27,IF(AY27="","","    &lt;itemfeedback ident=""response_5"" view=""All""&gt;&lt;flow_mat&gt;&lt;material&gt;&lt;mattext texttype=""text/html""&gt;"&amp;AY27&amp;"&lt;/mattext&gt;&lt;/material&gt;&lt;/flow_mat&gt;&lt;/itemfeedback&gt;"),"")</f>
      </c>
      <c r="BI27" s="46">
        <f>IF($B27,IF(AZ27="","","    &lt;itemfeedback ident=""response_6"" view=""All""&gt;&lt;flow_mat&gt;&lt;material&gt;&lt;mattext texttype=""text/html""&gt;"&amp;AZ27&amp;"&lt;/mattext&gt;&lt;/material&gt;&lt;/flow_mat&gt;&lt;/itemfeedback&gt;"),"")</f>
      </c>
      <c r="BJ27" s="46">
        <f>IF($B27,IF(BA27="","","    &lt;itemfeedback ident=""response_7"" view=""All""&gt;&lt;flow_mat&gt;&lt;material&gt;&lt;mattext texttype=""text/html""&gt;"&amp;BA27&amp;"&lt;/mattext&gt;&lt;/material&gt;&lt;/flow_mat&gt;&lt;/itemfeedback&gt;"),"")</f>
      </c>
    </row>
    <row r="28" ht="18" customHeight="1" s="17">
      <c r="A28" s="46">
        <f>Saisie_Questions!A28</f>
        <v/>
      </c>
      <c r="B28" s="46">
        <f>Saisie_Questions!O28="OK"</f>
        <v/>
      </c>
      <c r="C28" s="46">
        <f>LOWER(TRIM(Saisie_Questions!B28))</f>
        <v/>
      </c>
      <c r="D28" s="46">
        <f>IF(C28="qcu","SINGLE CHOICE QUESTION","MULTIPLE CHOICE QUESTION")</f>
        <v/>
      </c>
      <c r="E28" s="46">
        <f>IF(C28="qcu","Single","Multiple")</f>
        <v/>
      </c>
      <c r="F28" s="46">
        <f>IF(A28="","",SUBSTITUTE(SUBSTITUTE(SUBSTITUTE(SUBSTITUTE(SUBSTITUTE(IF(Saisie_Questions!C28="", "Question "&amp;A28, Saisie_Questions!C28),"&amp;","&amp;amp;"),"&lt;","&amp;lt;"),"&gt;","&amp;gt;"),CHAR(34),"&amp;quot;"),"'","&amp;apos;"))</f>
        <v/>
      </c>
      <c r="G28" s="46">
        <f>IF(A28="","",SUBSTITUTE(SUBSTITUTE(SUBSTITUTE(SUBSTITUTE(SUBSTITUTE(Saisie_Questions!D28,"&amp;","&amp;amp;"),"&lt;","&amp;lt;"),"&gt;","&amp;gt;"),CHAR(34),"&amp;quot;"),"'","&amp;apos;"))</f>
        <v/>
      </c>
      <c r="H28" s="46">
        <f>Saisie_Questions!N28</f>
        <v/>
      </c>
      <c r="I28" s="46">
        <f>IF(Saisie_Questions!E28="",0,1)+IF(Saisie_Questions!F28="",0,1)+IF(Saisie_Questions!G28="",0,1)+IF(Saisie_Questions!H28="",0,1)+IF(Saisie_Questions!I28="",0,1)+IF(Saisie_Questions!J28="",0,1)+IF(Saisie_Questions!K28="",0,1)+IF(Saisie_Questions!L28="",0,1)</f>
        <v/>
      </c>
      <c r="J28" s="46">
        <f>Saisie_Questions!M28</f>
        <v/>
      </c>
      <c r="K28" s="46">
        <f>Saisie_Questions!O28</f>
        <v/>
      </c>
      <c r="L28" s="46">
        <f>IF(Saisie_Questions!E28="","",SUBSTITUTE(SUBSTITUTE(SUBSTITUTE(SUBSTITUTE(SUBSTITUTE(Saisie_Questions!E28,"&amp;","&amp;amp;"),"&lt;","&amp;lt;"),"&gt;","&amp;gt;"),CHAR(34),"&amp;quot;"),"'","&amp;apos;"))</f>
        <v/>
      </c>
      <c r="M28" s="46">
        <f>IF(Saisie_Questions!F28="","",SUBSTITUTE(SUBSTITUTE(SUBSTITUTE(SUBSTITUTE(SUBSTITUTE(Saisie_Questions!F28,"&amp;","&amp;amp;"),"&lt;","&amp;lt;"),"&gt;","&amp;gt;"),CHAR(34),"&amp;quot;"),"'","&amp;apos;"))</f>
        <v/>
      </c>
      <c r="N28" s="46">
        <f>IF(Saisie_Questions!G28="","",SUBSTITUTE(SUBSTITUTE(SUBSTITUTE(SUBSTITUTE(SUBSTITUTE(Saisie_Questions!G28,"&amp;","&amp;amp;"),"&lt;","&amp;lt;"),"&gt;","&amp;gt;"),CHAR(34),"&amp;quot;"),"'","&amp;apos;"))</f>
        <v/>
      </c>
      <c r="O28" s="46">
        <f>IF(Saisie_Questions!H28="","",SUBSTITUTE(SUBSTITUTE(SUBSTITUTE(SUBSTITUTE(SUBSTITUTE(Saisie_Questions!H28,"&amp;","&amp;amp;"),"&lt;","&amp;lt;"),"&gt;","&amp;gt;"),CHAR(34),"&amp;quot;"),"'","&amp;apos;"))</f>
        <v/>
      </c>
      <c r="P28" s="46">
        <f>IF(Saisie_Questions!I28="","",SUBSTITUTE(SUBSTITUTE(SUBSTITUTE(SUBSTITUTE(SUBSTITUTE(Saisie_Questions!I28,"&amp;","&amp;amp;"),"&lt;","&amp;lt;"),"&gt;","&amp;gt;"),CHAR(34),"&amp;quot;"),"'","&amp;apos;"))</f>
        <v/>
      </c>
      <c r="Q28" s="46">
        <f>IF(Saisie_Questions!J28="","",SUBSTITUTE(SUBSTITUTE(SUBSTITUTE(SUBSTITUTE(SUBSTITUTE(Saisie_Questions!J28,"&amp;","&amp;amp;"),"&lt;","&amp;lt;"),"&gt;","&amp;gt;"),CHAR(34),"&amp;quot;"),"'","&amp;apos;"))</f>
        <v/>
      </c>
      <c r="R28" s="46">
        <f>IF(Saisie_Questions!K28="","",SUBSTITUTE(SUBSTITUTE(SUBSTITUTE(SUBSTITUTE(SUBSTITUTE(Saisie_Questions!K28,"&amp;","&amp;amp;"),"&lt;","&amp;lt;"),"&gt;","&amp;gt;"),CHAR(34),"&amp;quot;"),"'","&amp;apos;"))</f>
        <v/>
      </c>
      <c r="S28" s="46">
        <f>IF(Saisie_Questions!L28="","",SUBSTITUTE(SUBSTITUTE(SUBSTITUTE(SUBSTITUTE(SUBSTITUTE(Saisie_Questions!L28,"&amp;","&amp;amp;"),"&lt;","&amp;lt;"),"&gt;","&amp;gt;"),CHAR(34),"&amp;quot;"),"'","&amp;apos;"))</f>
        <v/>
      </c>
      <c r="T28" s="46">
        <f>ISNUMBER(SEARCH(";"&amp;1&amp;";",";"&amp;$J28&amp;";"))</f>
        <v/>
      </c>
      <c r="U28" s="46">
        <f>ISNUMBER(SEARCH(";"&amp;2&amp;";",";"&amp;$J28&amp;";"))</f>
        <v/>
      </c>
      <c r="V28" s="46">
        <f>ISNUMBER(SEARCH(";"&amp;3&amp;";",";"&amp;$J28&amp;";"))</f>
        <v/>
      </c>
      <c r="W28" s="46">
        <f>ISNUMBER(SEARCH(";"&amp;4&amp;";",";"&amp;$J28&amp;";"))</f>
        <v/>
      </c>
      <c r="X28" s="46">
        <f>ISNUMBER(SEARCH(";"&amp;5&amp;";",";"&amp;$J28&amp;";"))</f>
        <v/>
      </c>
      <c r="Y28" s="46">
        <f>ISNUMBER(SEARCH(";"&amp;6&amp;";",";"&amp;$J28&amp;";"))</f>
        <v/>
      </c>
      <c r="Z28" s="46">
        <f>ISNUMBER(SEARCH(";"&amp;7&amp;";",";"&amp;$J28&amp;";"))</f>
        <v/>
      </c>
      <c r="AA28" s="46">
        <f>ISNUMBER(SEARCH(";"&amp;8&amp;";",";"&amp;$J28&amp;";"))</f>
        <v/>
      </c>
      <c r="AB28" s="46">
        <f>IF($B28,IF(L28="","","        &lt;response_label ident=""0""&gt;&lt;material&gt;&lt;mattext texttype=""text/html""&gt;"&amp;L28&amp;"&lt;/mattext&gt;&lt;/material&gt;&lt;/response_label&gt;"),"")</f>
        <v/>
      </c>
      <c r="AC28" s="46">
        <f>IF($B28,IF(M28="","","        &lt;response_label ident=""1""&gt;&lt;material&gt;&lt;mattext texttype=""text/html""&gt;"&amp;M28&amp;"&lt;/mattext&gt;&lt;/material&gt;&lt;/response_label&gt;"),"")</f>
        <v/>
      </c>
      <c r="AD28" s="46">
        <f>IF($B28,IF(N28="","","        &lt;response_label ident=""2""&gt;&lt;material&gt;&lt;mattext texttype=""text/html""&gt;"&amp;N28&amp;"&lt;/mattext&gt;&lt;/material&gt;&lt;/response_label&gt;"),"")</f>
        <v/>
      </c>
      <c r="AE28" s="46">
        <f>IF($B28,IF(O28="","","        &lt;response_label ident=""3""&gt;&lt;material&gt;&lt;mattext texttype=""text/html""&gt;"&amp;O28&amp;"&lt;/mattext&gt;&lt;/material&gt;&lt;/response_label&gt;"),"")</f>
        <v/>
      </c>
      <c r="AF28" s="46">
        <f>IF($B28,IF(P28="","","        &lt;response_label ident=""4""&gt;&lt;material&gt;&lt;mattext texttype=""text/html""&gt;"&amp;P28&amp;"&lt;/mattext&gt;&lt;/material&gt;&lt;/response_label&gt;"),"")</f>
        <v/>
      </c>
      <c r="AG28" s="46">
        <f>IF($B28,IF(Q28="","","        &lt;response_label ident=""5""&gt;&lt;material&gt;&lt;mattext texttype=""text/html""&gt;"&amp;Q28&amp;"&lt;/mattext&gt;&lt;/material&gt;&lt;/response_label&gt;"),"")</f>
        <v/>
      </c>
      <c r="AH28" s="46">
        <f>IF($B28,IF(R28="","","        &lt;response_label ident=""6""&gt;&lt;material&gt;&lt;mattext texttype=""text/html""&gt;"&amp;R28&amp;"&lt;/mattext&gt;&lt;/material&gt;&lt;/response_label&gt;"),"")</f>
        <v/>
      </c>
      <c r="AI28" s="46">
        <f>IF($B28,IF(S28="","","        &lt;response_label ident=""7""&gt;&lt;material&gt;&lt;mattext texttype=""text/html""&gt;"&amp;S28&amp;"&lt;/mattext&gt;&lt;/material&gt;&lt;/response_label&gt;"),"")</f>
        <v/>
      </c>
      <c r="AJ28" s="46">
        <f>IF($B28,IF(L28="","",IF($C28="qcu",IF(OR(T28,AT28&lt;&gt;"",$AS28&lt;&gt;""),"      &lt;respcondition continue=""Yes""&gt;&lt;conditionvar&gt;&lt;varequal respident=""RESPONSE""&gt;0&lt;/varequal&gt;&lt;/conditionvar&gt;"&amp;"&lt;setvar action=""Add""&gt;"&amp;IF(T28,$H28,0)&amp;"&lt;/setvar&gt;"&amp;IF(AT28&lt;&gt;"","&lt;displayfeedback feedbacktype=""Response"" linkrefid=""response_0""/&gt;",IF($AS28&lt;&gt;"","&lt;displayfeedback feedbacktype=""Response"" linkrefid=""qti_feedback_trigger""/&gt;",""))&amp;"&lt;/respcondition&gt;",""),IF(OR(T28,AT28&lt;&gt;"",$AS28&lt;&gt;""),"      &lt;respcondition continue=""Yes""&gt;&lt;conditionvar&gt;"&amp;IF(T28,"&lt;varequal respident=""RESPONSE""&gt;0&lt;/varequal&gt;","&lt;not&gt;&lt;varequal respident=""RESPONSE""&gt;0&lt;/varequal&gt;&lt;/not&gt;")&amp;"&lt;/conditionvar&gt;&lt;setvar action=""Add""&gt;"&amp;(Saisie_Questions!$N28/$I28)&amp;"&lt;/setvar&gt;"&amp;IF(AT28&lt;&gt;"","&lt;displayfeedback feedbacktype=""Response"" linkrefid=""response_0""/&gt;",IF($AS28&lt;&gt;"","&lt;displayfeedback feedbacktype=""Response"" linkrefid=""qti_feedback_trigger""/&gt;",""))&amp;"&lt;/respcondition&gt;",""))),"")</f>
      </c>
      <c r="AK28" s="46">
        <f>IF($B28,IF(M28="","",IF($C28="qcu",IF(OR(U28,AU28&lt;&gt;"",$AS28&lt;&gt;""),"      &lt;respcondition continue=""Yes""&gt;&lt;conditionvar&gt;&lt;varequal respident=""RESPONSE""&gt;1&lt;/varequal&gt;&lt;/conditionvar&gt;"&amp;"&lt;setvar action=""Add""&gt;"&amp;IF(U28,$H28,0)&amp;"&lt;/setvar&gt;"&amp;IF(AU28&lt;&gt;"","&lt;displayfeedback feedbacktype=""Response"" linkrefid=""response_1""/&gt;",IF($AS28&lt;&gt;"","&lt;displayfeedback feedbacktype=""Response"" linkrefid=""qti_feedback_trigger""/&gt;",""))&amp;"&lt;/respcondition&gt;",""),IF(OR(U28,AU28&lt;&gt;"",$AS28&lt;&gt;""),"      &lt;respcondition continue=""Yes""&gt;&lt;conditionvar&gt;"&amp;IF(U28,"&lt;varequal respident=""RESPONSE""&gt;1&lt;/varequal&gt;","&lt;not&gt;&lt;varequal respident=""RESPONSE""&gt;1&lt;/varequal&gt;&lt;/not&gt;")&amp;"&lt;/conditionvar&gt;&lt;setvar action=""Add""&gt;"&amp;(Saisie_Questions!$N28/$I28)&amp;"&lt;/setvar&gt;"&amp;IF(AU28&lt;&gt;"","&lt;displayfeedback feedbacktype=""Response"" linkrefid=""response_1""/&gt;",IF($AS28&lt;&gt;"","&lt;displayfeedback feedbacktype=""Response"" linkrefid=""qti_feedback_trigger""/&gt;",""))&amp;"&lt;/respcondition&gt;",""))),"")</f>
      </c>
      <c r="AL28" s="46">
        <f>IF($B28,IF(N28="","",IF($C28="qcu",IF(OR(V28,AV28&lt;&gt;"",$AS28&lt;&gt;""),"      &lt;respcondition continue=""Yes""&gt;&lt;conditionvar&gt;&lt;varequal respident=""RESPONSE""&gt;2&lt;/varequal&gt;&lt;/conditionvar&gt;"&amp;"&lt;setvar action=""Add""&gt;"&amp;IF(V28,$H28,0)&amp;"&lt;/setvar&gt;"&amp;IF(AV28&lt;&gt;"","&lt;displayfeedback feedbacktype=""Response"" linkrefid=""response_2""/&gt;",IF($AS28&lt;&gt;"","&lt;displayfeedback feedbacktype=""Response"" linkrefid=""qti_feedback_trigger""/&gt;",""))&amp;"&lt;/respcondition&gt;",""),IF(OR(V28,AV28&lt;&gt;"",$AS28&lt;&gt;""),"      &lt;respcondition continue=""Yes""&gt;&lt;conditionvar&gt;"&amp;IF(V28,"&lt;varequal respident=""RESPONSE""&gt;2&lt;/varequal&gt;","&lt;not&gt;&lt;varequal respident=""RESPONSE""&gt;2&lt;/varequal&gt;&lt;/not&gt;")&amp;"&lt;/conditionvar&gt;&lt;setvar action=""Add""&gt;"&amp;(Saisie_Questions!$N28/$I28)&amp;"&lt;/setvar&gt;"&amp;IF(AV28&lt;&gt;"","&lt;displayfeedback feedbacktype=""Response"" linkrefid=""response_2""/&gt;",IF($AS28&lt;&gt;"","&lt;displayfeedback feedbacktype=""Response"" linkrefid=""qti_feedback_trigger""/&gt;",""))&amp;"&lt;/respcondition&gt;",""))),"")</f>
      </c>
      <c r="AM28" s="46">
        <f>IF($B28,IF(O28="","",IF($C28="qcu",IF(OR(W28,AW28&lt;&gt;"",$AS28&lt;&gt;""),"      &lt;respcondition continue=""Yes""&gt;&lt;conditionvar&gt;&lt;varequal respident=""RESPONSE""&gt;3&lt;/varequal&gt;&lt;/conditionvar&gt;"&amp;"&lt;setvar action=""Add""&gt;"&amp;IF(W28,$H28,0)&amp;"&lt;/setvar&gt;"&amp;IF(AW28&lt;&gt;"","&lt;displayfeedback feedbacktype=""Response"" linkrefid=""response_3""/&gt;",IF($AS28&lt;&gt;"","&lt;displayfeedback feedbacktype=""Response"" linkrefid=""qti_feedback_trigger""/&gt;",""))&amp;"&lt;/respcondition&gt;",""),IF(OR(W28,AW28&lt;&gt;"",$AS28&lt;&gt;""),"      &lt;respcondition continue=""Yes""&gt;&lt;conditionvar&gt;"&amp;IF(W28,"&lt;varequal respident=""RESPONSE""&gt;3&lt;/varequal&gt;","&lt;not&gt;&lt;varequal respident=""RESPONSE""&gt;3&lt;/varequal&gt;&lt;/not&gt;")&amp;"&lt;/conditionvar&gt;&lt;setvar action=""Add""&gt;"&amp;(Saisie_Questions!$N28/$I28)&amp;"&lt;/setvar&gt;"&amp;IF(AW28&lt;&gt;"","&lt;displayfeedback feedbacktype=""Response"" linkrefid=""response_3""/&gt;",IF($AS28&lt;&gt;"","&lt;displayfeedback feedbacktype=""Response"" linkrefid=""qti_feedback_trigger""/&gt;",""))&amp;"&lt;/respcondition&gt;",""))),"")</f>
      </c>
      <c r="AN28" s="46">
        <f>IF($B28,IF(P28="","",IF($C28="qcu",IF(OR(X28,AX28&lt;&gt;"",$AS28&lt;&gt;""),"      &lt;respcondition continue=""Yes""&gt;&lt;conditionvar&gt;&lt;varequal respident=""RESPONSE""&gt;4&lt;/varequal&gt;&lt;/conditionvar&gt;"&amp;"&lt;setvar action=""Add""&gt;"&amp;IF(X28,$H28,0)&amp;"&lt;/setvar&gt;"&amp;IF(AX28&lt;&gt;"","&lt;displayfeedback feedbacktype=""Response"" linkrefid=""response_4""/&gt;",IF($AS28&lt;&gt;"","&lt;displayfeedback feedbacktype=""Response"" linkrefid=""qti_feedback_trigger""/&gt;",""))&amp;"&lt;/respcondition&gt;",""),IF(OR(X28,AX28&lt;&gt;"",$AS28&lt;&gt;""),"      &lt;respcondition continue=""Yes""&gt;&lt;conditionvar&gt;"&amp;IF(X28,"&lt;varequal respident=""RESPONSE""&gt;4&lt;/varequal&gt;","&lt;not&gt;&lt;varequal respident=""RESPONSE""&gt;4&lt;/varequal&gt;&lt;/not&gt;")&amp;"&lt;/conditionvar&gt;&lt;setvar action=""Add""&gt;"&amp;(Saisie_Questions!$N28/$I28)&amp;"&lt;/setvar&gt;"&amp;IF(AX28&lt;&gt;"","&lt;displayfeedback feedbacktype=""Response"" linkrefid=""response_4""/&gt;",IF($AS28&lt;&gt;"","&lt;displayfeedback feedbacktype=""Response"" linkrefid=""qti_feedback_trigger""/&gt;",""))&amp;"&lt;/respcondition&gt;",""))),"")</f>
      </c>
      <c r="AO28" s="46">
        <f>IF($B28,IF(Q28="","",IF($C28="qcu",IF(OR(Y28,AY28&lt;&gt;"",$AS28&lt;&gt;""),"      &lt;respcondition continue=""Yes""&gt;&lt;conditionvar&gt;&lt;varequal respident=""RESPONSE""&gt;5&lt;/varequal&gt;&lt;/conditionvar&gt;"&amp;"&lt;setvar action=""Add""&gt;"&amp;IF(Y28,$H28,0)&amp;"&lt;/setvar&gt;"&amp;IF(AY28&lt;&gt;"","&lt;displayfeedback feedbacktype=""Response"" linkrefid=""response_5""/&gt;",IF($AS28&lt;&gt;"","&lt;displayfeedback feedbacktype=""Response"" linkrefid=""qti_feedback_trigger""/&gt;",""))&amp;"&lt;/respcondition&gt;",""),IF(OR(Y28,AY28&lt;&gt;"",$AS28&lt;&gt;""),"      &lt;respcondition continue=""Yes""&gt;&lt;conditionvar&gt;"&amp;IF(Y28,"&lt;varequal respident=""RESPONSE""&gt;5&lt;/varequal&gt;","&lt;not&gt;&lt;varequal respident=""RESPONSE""&gt;5&lt;/varequal&gt;&lt;/not&gt;")&amp;"&lt;/conditionvar&gt;&lt;setvar action=""Add""&gt;"&amp;(Saisie_Questions!$N28/$I28)&amp;"&lt;/setvar&gt;"&amp;IF(AY28&lt;&gt;"","&lt;displayfeedback feedbacktype=""Response"" linkrefid=""response_5""/&gt;",IF($AS28&lt;&gt;"","&lt;displayfeedback feedbacktype=""Response"" linkrefid=""qti_feedback_trigger""/&gt;",""))&amp;"&lt;/respcondition&gt;",""))),"")</f>
      </c>
      <c r="AP28" s="46">
        <f>IF($B28,IF(R28="","",IF($C28="qcu",IF(OR(Z28,AZ28&lt;&gt;"",$AS28&lt;&gt;""),"      &lt;respcondition continue=""Yes""&gt;&lt;conditionvar&gt;&lt;varequal respident=""RESPONSE""&gt;6&lt;/varequal&gt;&lt;/conditionvar&gt;"&amp;"&lt;setvar action=""Add""&gt;"&amp;IF(Z28,$H28,0)&amp;"&lt;/setvar&gt;"&amp;IF(AZ28&lt;&gt;"","&lt;displayfeedback feedbacktype=""Response"" linkrefid=""response_6""/&gt;",IF($AS28&lt;&gt;"","&lt;displayfeedback feedbacktype=""Response"" linkrefid=""qti_feedback_trigger""/&gt;",""))&amp;"&lt;/respcondition&gt;",""),IF(OR(Z28,AZ28&lt;&gt;"",$AS28&lt;&gt;""),"      &lt;respcondition continue=""Yes""&gt;&lt;conditionvar&gt;"&amp;IF(Z28,"&lt;varequal respident=""RESPONSE""&gt;6&lt;/varequal&gt;","&lt;not&gt;&lt;varequal respident=""RESPONSE""&gt;6&lt;/varequal&gt;&lt;/not&gt;")&amp;"&lt;/conditionvar&gt;&lt;setvar action=""Add""&gt;"&amp;(Saisie_Questions!$N28/$I28)&amp;"&lt;/setvar&gt;"&amp;IF(AZ28&lt;&gt;"","&lt;displayfeedback feedbacktype=""Response"" linkrefid=""response_6""/&gt;",IF($AS28&lt;&gt;"","&lt;displayfeedback feedbacktype=""Response"" linkrefid=""qti_feedback_trigger""/&gt;",""))&amp;"&lt;/respcondition&gt;",""))),"")</f>
      </c>
      <c r="AQ28" s="46">
        <f>IF($B28,IF(S28="","",IF($C28="qcu",IF(OR(AA28,BA28&lt;&gt;"",$AS28&lt;&gt;""),"      &lt;respcondition continue=""Yes""&gt;&lt;conditionvar&gt;&lt;varequal respident=""RESPONSE""&gt;7&lt;/varequal&gt;&lt;/conditionvar&gt;"&amp;"&lt;setvar action=""Add""&gt;"&amp;IF(AA28,$H28,0)&amp;"&lt;/setvar&gt;"&amp;IF(BA28&lt;&gt;"","&lt;displayfeedback feedbacktype=""Response"" linkrefid=""response_7""/&gt;",IF($AS28&lt;&gt;"","&lt;displayfeedback feedbacktype=""Response"" linkrefid=""qti_feedback_trigger""/&gt;",""))&amp;"&lt;/respcondition&gt;",""),IF(OR(AA28,BA28&lt;&gt;"",$AS28&lt;&gt;""),"      &lt;respcondition continue=""Yes""&gt;&lt;conditionvar&gt;"&amp;IF(AA28,"&lt;varequal respident=""RESPONSE""&gt;7&lt;/varequal&gt;","&lt;not&gt;&lt;varequal respident=""RESPONSE""&gt;7&lt;/varequal&gt;&lt;/not&gt;")&amp;"&lt;/conditionvar&gt;&lt;setvar action=""Add""&gt;"&amp;(Saisie_Questions!$N28/$I28)&amp;"&lt;/setvar&gt;"&amp;IF(BA28&lt;&gt;"","&lt;displayfeedback feedbacktype=""Response"" linkrefid=""response_7""/&gt;",IF($AS28&lt;&gt;"","&lt;displayfeedback feedbacktype=""Response"" linkrefid=""qti_feedback_trigger""/&gt;",""))&amp;"&lt;/respcondition&gt;",""))),"")</f>
      </c>
      <c r="AR28" s="46">
        <f>IF(A28="","",SUBSTITUTE(SUBSTITUTE(SUBSTITUTE(SUBSTITUTE(SUBSTITUTE(IF(Saisie_Questions!P28&lt;&gt;"",Saisie_Questions!P28,Interface_Generation!$B$5),"&amp;","&amp;amp;"),"&lt;","&amp;lt;"),"&gt;","&amp;gt;"),CHAR(34),"&amp;quot;"),"'","&amp;apos;"))</f>
        <v/>
      </c>
      <c r="AS28" s="46">
        <f>IF(Saisie_Questions!Q28="","",SUBSTITUTE(SUBSTITUTE(SUBSTITUTE(SUBSTITUTE(SUBSTITUTE(Saisie_Questions!Q28,"&amp;","&amp;amp;"),"&lt;","&amp;lt;"),"&gt;","&amp;gt;"),CHAR(34),"&amp;quot;"),"'","&amp;apos;"))</f>
        <v/>
      </c>
      <c r="AT28" s="46">
        <f>IF(Saisie_Questions!R28="","",SUBSTITUTE(SUBSTITUTE(SUBSTITUTE(SUBSTITUTE(SUBSTITUTE(Saisie_Questions!R28,"&amp;","&amp;amp;"),"&lt;","&amp;lt;"),"&gt;","&amp;gt;"),CHAR(34),"&amp;quot;"),"'","&amp;apos;"))</f>
        <v/>
      </c>
      <c r="AU28" s="46">
        <f>IF(Saisie_Questions!S28="","",SUBSTITUTE(SUBSTITUTE(SUBSTITUTE(SUBSTITUTE(SUBSTITUTE(Saisie_Questions!S28,"&amp;","&amp;amp;"),"&lt;","&amp;lt;"),"&gt;","&amp;gt;"),CHAR(34),"&amp;quot;"),"'","&amp;apos;"))</f>
        <v/>
      </c>
      <c r="AV28" s="46">
        <f>IF(Saisie_Questions!T28="","",SUBSTITUTE(SUBSTITUTE(SUBSTITUTE(SUBSTITUTE(SUBSTITUTE(Saisie_Questions!T28,"&amp;","&amp;amp;"),"&lt;","&amp;lt;"),"&gt;","&amp;gt;"),CHAR(34),"&amp;quot;"),"'","&amp;apos;"))</f>
        <v/>
      </c>
      <c r="AW28" s="46">
        <f>IF(Saisie_Questions!U28="","",SUBSTITUTE(SUBSTITUTE(SUBSTITUTE(SUBSTITUTE(SUBSTITUTE(Saisie_Questions!U28,"&amp;","&amp;amp;"),"&lt;","&amp;lt;"),"&gt;","&amp;gt;"),CHAR(34),"&amp;quot;"),"'","&amp;apos;"))</f>
        <v/>
      </c>
      <c r="AX28" s="46">
        <f>IF(Saisie_Questions!V28="","",SUBSTITUTE(SUBSTITUTE(SUBSTITUTE(SUBSTITUTE(SUBSTITUTE(Saisie_Questions!V28,"&amp;","&amp;amp;"),"&lt;","&amp;lt;"),"&gt;","&amp;gt;"),CHAR(34),"&amp;quot;"),"'","&amp;apos;"))</f>
        <v/>
      </c>
      <c r="AY28" s="46">
        <f>IF(Saisie_Questions!W28="","",SUBSTITUTE(SUBSTITUTE(SUBSTITUTE(SUBSTITUTE(SUBSTITUTE(Saisie_Questions!W28,"&amp;","&amp;amp;"),"&lt;","&amp;lt;"),"&gt;","&amp;gt;"),CHAR(34),"&amp;quot;"),"'","&amp;apos;"))</f>
        <v/>
      </c>
      <c r="AZ28" s="46">
        <f>IF(Saisie_Questions!X28="","",SUBSTITUTE(SUBSTITUTE(SUBSTITUTE(SUBSTITUTE(SUBSTITUTE(Saisie_Questions!X28,"&amp;","&amp;amp;"),"&lt;","&amp;lt;"),"&gt;","&amp;gt;"),CHAR(34),"&amp;quot;"),"'","&amp;apos;"))</f>
        <v/>
      </c>
      <c r="BA28" s="46">
        <f>IF(Saisie_Questions!Y28="","",SUBSTITUTE(SUBSTITUTE(SUBSTITUTE(SUBSTITUTE(SUBSTITUTE(Saisie_Questions!Y28,"&amp;","&amp;amp;"),"&lt;","&amp;lt;"),"&gt;","&amp;gt;"),CHAR(34),"&amp;quot;"),"'","&amp;apos;"))</f>
        <v/>
      </c>
      <c r="BB28" s="46">
        <f>IF($B28,IF($AS28="","","    &lt;itemfeedback ident=""response_allcorrect"" view=""All""&gt;&lt;flow_mat&gt;&lt;material&gt;&lt;mattext texttype=""text/html""&gt;"&amp;$AS28&amp;"&lt;/mattext&gt;&lt;/material&gt;&lt;/flow_mat&gt;&lt;/itemfeedback&gt;"&amp;"    &lt;itemfeedback ident=""response_onenotcorrect"" view=""All""&gt;&lt;flow_mat&gt;&lt;material&gt;&lt;mattext texttype=""text/html""&gt;"&amp;$AS28&amp;"&lt;/mattext&gt;&lt;/material&gt;&lt;/flow_mat&gt;&lt;/itemfeedback&gt;"),"")</f>
      </c>
      <c r="BC28" s="46">
        <f>IF($B28,IF(AT28="","","    &lt;itemfeedback ident=""response_0"" view=""All""&gt;&lt;flow_mat&gt;&lt;material&gt;&lt;mattext texttype=""text/html""&gt;"&amp;AT28&amp;"&lt;/mattext&gt;&lt;/material&gt;&lt;/flow_mat&gt;&lt;/itemfeedback&gt;"),"")</f>
      </c>
      <c r="BD28" s="46">
        <f>IF($B28,IF(AU28="","","    &lt;itemfeedback ident=""response_1"" view=""All""&gt;&lt;flow_mat&gt;&lt;material&gt;&lt;mattext texttype=""text/html""&gt;"&amp;AU28&amp;"&lt;/mattext&gt;&lt;/material&gt;&lt;/flow_mat&gt;&lt;/itemfeedback&gt;"),"")</f>
      </c>
      <c r="BE28" s="46">
        <f>IF($B28,IF(AV28="","","    &lt;itemfeedback ident=""response_2"" view=""All""&gt;&lt;flow_mat&gt;&lt;material&gt;&lt;mattext texttype=""text/html""&gt;"&amp;AV28&amp;"&lt;/mattext&gt;&lt;/material&gt;&lt;/flow_mat&gt;&lt;/itemfeedback&gt;"),"")</f>
      </c>
      <c r="BF28" s="46">
        <f>IF($B28,IF(AW28="","","    &lt;itemfeedback ident=""response_3"" view=""All""&gt;&lt;flow_mat&gt;&lt;material&gt;&lt;mattext texttype=""text/html""&gt;"&amp;AW28&amp;"&lt;/mattext&gt;&lt;/material&gt;&lt;/flow_mat&gt;&lt;/itemfeedback&gt;"),"")</f>
      </c>
      <c r="BG28" s="46">
        <f>IF($B28,IF(AX28="","","    &lt;itemfeedback ident=""response_4"" view=""All""&gt;&lt;flow_mat&gt;&lt;material&gt;&lt;mattext texttype=""text/html""&gt;"&amp;AX28&amp;"&lt;/mattext&gt;&lt;/material&gt;&lt;/flow_mat&gt;&lt;/itemfeedback&gt;"),"")</f>
      </c>
      <c r="BH28" s="46">
        <f>IF($B28,IF(AY28="","","    &lt;itemfeedback ident=""response_5"" view=""All""&gt;&lt;flow_mat&gt;&lt;material&gt;&lt;mattext texttype=""text/html""&gt;"&amp;AY28&amp;"&lt;/mattext&gt;&lt;/material&gt;&lt;/flow_mat&gt;&lt;/itemfeedback&gt;"),"")</f>
      </c>
      <c r="BI28" s="46">
        <f>IF($B28,IF(AZ28="","","    &lt;itemfeedback ident=""response_6"" view=""All""&gt;&lt;flow_mat&gt;&lt;material&gt;&lt;mattext texttype=""text/html""&gt;"&amp;AZ28&amp;"&lt;/mattext&gt;&lt;/material&gt;&lt;/flow_mat&gt;&lt;/itemfeedback&gt;"),"")</f>
      </c>
      <c r="BJ28" s="46">
        <f>IF($B28,IF(BA28="","","    &lt;itemfeedback ident=""response_7"" view=""All""&gt;&lt;flow_mat&gt;&lt;material&gt;&lt;mattext texttype=""text/html""&gt;"&amp;BA28&amp;"&lt;/mattext&gt;&lt;/material&gt;&lt;/flow_mat&gt;&lt;/itemfeedback&gt;"),"")</f>
      </c>
    </row>
    <row r="29" ht="18" customHeight="1" s="17">
      <c r="A29" s="46">
        <f>Saisie_Questions!A29</f>
        <v/>
      </c>
      <c r="B29" s="46">
        <f>Saisie_Questions!O29="OK"</f>
        <v/>
      </c>
      <c r="C29" s="46">
        <f>LOWER(TRIM(Saisie_Questions!B29))</f>
        <v/>
      </c>
      <c r="D29" s="46">
        <f>IF(C29="qcu","SINGLE CHOICE QUESTION","MULTIPLE CHOICE QUESTION")</f>
        <v/>
      </c>
      <c r="E29" s="46">
        <f>IF(C29="qcu","Single","Multiple")</f>
        <v/>
      </c>
      <c r="F29" s="46">
        <f>IF(A29="","",SUBSTITUTE(SUBSTITUTE(SUBSTITUTE(SUBSTITUTE(SUBSTITUTE(IF(Saisie_Questions!C29="", "Question "&amp;A29, Saisie_Questions!C29),"&amp;","&amp;amp;"),"&lt;","&amp;lt;"),"&gt;","&amp;gt;"),CHAR(34),"&amp;quot;"),"'","&amp;apos;"))</f>
        <v/>
      </c>
      <c r="G29" s="46">
        <f>IF(A29="","",SUBSTITUTE(SUBSTITUTE(SUBSTITUTE(SUBSTITUTE(SUBSTITUTE(Saisie_Questions!D29,"&amp;","&amp;amp;"),"&lt;","&amp;lt;"),"&gt;","&amp;gt;"),CHAR(34),"&amp;quot;"),"'","&amp;apos;"))</f>
        <v/>
      </c>
      <c r="H29" s="46">
        <f>Saisie_Questions!N29</f>
        <v/>
      </c>
      <c r="I29" s="46">
        <f>IF(Saisie_Questions!E29="",0,1)+IF(Saisie_Questions!F29="",0,1)+IF(Saisie_Questions!G29="",0,1)+IF(Saisie_Questions!H29="",0,1)+IF(Saisie_Questions!I29="",0,1)+IF(Saisie_Questions!J29="",0,1)+IF(Saisie_Questions!K29="",0,1)+IF(Saisie_Questions!L29="",0,1)</f>
        <v/>
      </c>
      <c r="J29" s="46">
        <f>Saisie_Questions!M29</f>
        <v/>
      </c>
      <c r="K29" s="46">
        <f>Saisie_Questions!O29</f>
        <v/>
      </c>
      <c r="L29" s="46">
        <f>IF(Saisie_Questions!E29="","",SUBSTITUTE(SUBSTITUTE(SUBSTITUTE(SUBSTITUTE(SUBSTITUTE(Saisie_Questions!E29,"&amp;","&amp;amp;"),"&lt;","&amp;lt;"),"&gt;","&amp;gt;"),CHAR(34),"&amp;quot;"),"'","&amp;apos;"))</f>
        <v/>
      </c>
      <c r="M29" s="46">
        <f>IF(Saisie_Questions!F29="","",SUBSTITUTE(SUBSTITUTE(SUBSTITUTE(SUBSTITUTE(SUBSTITUTE(Saisie_Questions!F29,"&amp;","&amp;amp;"),"&lt;","&amp;lt;"),"&gt;","&amp;gt;"),CHAR(34),"&amp;quot;"),"'","&amp;apos;"))</f>
        <v/>
      </c>
      <c r="N29" s="46">
        <f>IF(Saisie_Questions!G29="","",SUBSTITUTE(SUBSTITUTE(SUBSTITUTE(SUBSTITUTE(SUBSTITUTE(Saisie_Questions!G29,"&amp;","&amp;amp;"),"&lt;","&amp;lt;"),"&gt;","&amp;gt;"),CHAR(34),"&amp;quot;"),"'","&amp;apos;"))</f>
        <v/>
      </c>
      <c r="O29" s="46">
        <f>IF(Saisie_Questions!H29="","",SUBSTITUTE(SUBSTITUTE(SUBSTITUTE(SUBSTITUTE(SUBSTITUTE(Saisie_Questions!H29,"&amp;","&amp;amp;"),"&lt;","&amp;lt;"),"&gt;","&amp;gt;"),CHAR(34),"&amp;quot;"),"'","&amp;apos;"))</f>
        <v/>
      </c>
      <c r="P29" s="46">
        <f>IF(Saisie_Questions!I29="","",SUBSTITUTE(SUBSTITUTE(SUBSTITUTE(SUBSTITUTE(SUBSTITUTE(Saisie_Questions!I29,"&amp;","&amp;amp;"),"&lt;","&amp;lt;"),"&gt;","&amp;gt;"),CHAR(34),"&amp;quot;"),"'","&amp;apos;"))</f>
        <v/>
      </c>
      <c r="Q29" s="46">
        <f>IF(Saisie_Questions!J29="","",SUBSTITUTE(SUBSTITUTE(SUBSTITUTE(SUBSTITUTE(SUBSTITUTE(Saisie_Questions!J29,"&amp;","&amp;amp;"),"&lt;","&amp;lt;"),"&gt;","&amp;gt;"),CHAR(34),"&amp;quot;"),"'","&amp;apos;"))</f>
        <v/>
      </c>
      <c r="R29" s="46">
        <f>IF(Saisie_Questions!K29="","",SUBSTITUTE(SUBSTITUTE(SUBSTITUTE(SUBSTITUTE(SUBSTITUTE(Saisie_Questions!K29,"&amp;","&amp;amp;"),"&lt;","&amp;lt;"),"&gt;","&amp;gt;"),CHAR(34),"&amp;quot;"),"'","&amp;apos;"))</f>
        <v/>
      </c>
      <c r="S29" s="46">
        <f>IF(Saisie_Questions!L29="","",SUBSTITUTE(SUBSTITUTE(SUBSTITUTE(SUBSTITUTE(SUBSTITUTE(Saisie_Questions!L29,"&amp;","&amp;amp;"),"&lt;","&amp;lt;"),"&gt;","&amp;gt;"),CHAR(34),"&amp;quot;"),"'","&amp;apos;"))</f>
        <v/>
      </c>
      <c r="T29" s="46">
        <f>ISNUMBER(SEARCH(";"&amp;1&amp;";",";"&amp;$J29&amp;";"))</f>
        <v/>
      </c>
      <c r="U29" s="46">
        <f>ISNUMBER(SEARCH(";"&amp;2&amp;";",";"&amp;$J29&amp;";"))</f>
        <v/>
      </c>
      <c r="V29" s="46">
        <f>ISNUMBER(SEARCH(";"&amp;3&amp;";",";"&amp;$J29&amp;";"))</f>
        <v/>
      </c>
      <c r="W29" s="46">
        <f>ISNUMBER(SEARCH(";"&amp;4&amp;";",";"&amp;$J29&amp;";"))</f>
        <v/>
      </c>
      <c r="X29" s="46">
        <f>ISNUMBER(SEARCH(";"&amp;5&amp;";",";"&amp;$J29&amp;";"))</f>
        <v/>
      </c>
      <c r="Y29" s="46">
        <f>ISNUMBER(SEARCH(";"&amp;6&amp;";",";"&amp;$J29&amp;";"))</f>
        <v/>
      </c>
      <c r="Z29" s="46">
        <f>ISNUMBER(SEARCH(";"&amp;7&amp;";",";"&amp;$J29&amp;";"))</f>
        <v/>
      </c>
      <c r="AA29" s="46">
        <f>ISNUMBER(SEARCH(";"&amp;8&amp;";",";"&amp;$J29&amp;";"))</f>
        <v/>
      </c>
      <c r="AB29" s="46">
        <f>IF($B29,IF(L29="","","        &lt;response_label ident=""0""&gt;&lt;material&gt;&lt;mattext texttype=""text/html""&gt;"&amp;L29&amp;"&lt;/mattext&gt;&lt;/material&gt;&lt;/response_label&gt;"),"")</f>
        <v/>
      </c>
      <c r="AC29" s="46">
        <f>IF($B29,IF(M29="","","        &lt;response_label ident=""1""&gt;&lt;material&gt;&lt;mattext texttype=""text/html""&gt;"&amp;M29&amp;"&lt;/mattext&gt;&lt;/material&gt;&lt;/response_label&gt;"),"")</f>
        <v/>
      </c>
      <c r="AD29" s="46">
        <f>IF($B29,IF(N29="","","        &lt;response_label ident=""2""&gt;&lt;material&gt;&lt;mattext texttype=""text/html""&gt;"&amp;N29&amp;"&lt;/mattext&gt;&lt;/material&gt;&lt;/response_label&gt;"),"")</f>
        <v/>
      </c>
      <c r="AE29" s="46">
        <f>IF($B29,IF(O29="","","        &lt;response_label ident=""3""&gt;&lt;material&gt;&lt;mattext texttype=""text/html""&gt;"&amp;O29&amp;"&lt;/mattext&gt;&lt;/material&gt;&lt;/response_label&gt;"),"")</f>
        <v/>
      </c>
      <c r="AF29" s="46">
        <f>IF($B29,IF(P29="","","        &lt;response_label ident=""4""&gt;&lt;material&gt;&lt;mattext texttype=""text/html""&gt;"&amp;P29&amp;"&lt;/mattext&gt;&lt;/material&gt;&lt;/response_label&gt;"),"")</f>
        <v/>
      </c>
      <c r="AG29" s="46">
        <f>IF($B29,IF(Q29="","","        &lt;response_label ident=""5""&gt;&lt;material&gt;&lt;mattext texttype=""text/html""&gt;"&amp;Q29&amp;"&lt;/mattext&gt;&lt;/material&gt;&lt;/response_label&gt;"),"")</f>
        <v/>
      </c>
      <c r="AH29" s="46">
        <f>IF($B29,IF(R29="","","        &lt;response_label ident=""6""&gt;&lt;material&gt;&lt;mattext texttype=""text/html""&gt;"&amp;R29&amp;"&lt;/mattext&gt;&lt;/material&gt;&lt;/response_label&gt;"),"")</f>
        <v/>
      </c>
      <c r="AI29" s="46">
        <f>IF($B29,IF(S29="","","        &lt;response_label ident=""7""&gt;&lt;material&gt;&lt;mattext texttype=""text/html""&gt;"&amp;S29&amp;"&lt;/mattext&gt;&lt;/material&gt;&lt;/response_label&gt;"),"")</f>
        <v/>
      </c>
      <c r="AJ29" s="46">
        <f>IF($B29,IF(L29="","",IF($C29="qcu",IF(OR(T29,AT29&lt;&gt;"",$AS29&lt;&gt;""),"      &lt;respcondition continue=""Yes""&gt;&lt;conditionvar&gt;&lt;varequal respident=""RESPONSE""&gt;0&lt;/varequal&gt;&lt;/conditionvar&gt;"&amp;"&lt;setvar action=""Add""&gt;"&amp;IF(T29,$H29,0)&amp;"&lt;/setvar&gt;"&amp;IF(AT29&lt;&gt;"","&lt;displayfeedback feedbacktype=""Response"" linkrefid=""response_0""/&gt;",IF($AS29&lt;&gt;"","&lt;displayfeedback feedbacktype=""Response"" linkrefid=""qti_feedback_trigger""/&gt;",""))&amp;"&lt;/respcondition&gt;",""),IF(OR(T29,AT29&lt;&gt;"",$AS29&lt;&gt;""),"      &lt;respcondition continue=""Yes""&gt;&lt;conditionvar&gt;"&amp;IF(T29,"&lt;varequal respident=""RESPONSE""&gt;0&lt;/varequal&gt;","&lt;not&gt;&lt;varequal respident=""RESPONSE""&gt;0&lt;/varequal&gt;&lt;/not&gt;")&amp;"&lt;/conditionvar&gt;&lt;setvar action=""Add""&gt;"&amp;(Saisie_Questions!$N29/$I29)&amp;"&lt;/setvar&gt;"&amp;IF(AT29&lt;&gt;"","&lt;displayfeedback feedbacktype=""Response"" linkrefid=""response_0""/&gt;",IF($AS29&lt;&gt;"","&lt;displayfeedback feedbacktype=""Response"" linkrefid=""qti_feedback_trigger""/&gt;",""))&amp;"&lt;/respcondition&gt;",""))),"")</f>
      </c>
      <c r="AK29" s="46">
        <f>IF($B29,IF(M29="","",IF($C29="qcu",IF(OR(U29,AU29&lt;&gt;"",$AS29&lt;&gt;""),"      &lt;respcondition continue=""Yes""&gt;&lt;conditionvar&gt;&lt;varequal respident=""RESPONSE""&gt;1&lt;/varequal&gt;&lt;/conditionvar&gt;"&amp;"&lt;setvar action=""Add""&gt;"&amp;IF(U29,$H29,0)&amp;"&lt;/setvar&gt;"&amp;IF(AU29&lt;&gt;"","&lt;displayfeedback feedbacktype=""Response"" linkrefid=""response_1""/&gt;",IF($AS29&lt;&gt;"","&lt;displayfeedback feedbacktype=""Response"" linkrefid=""qti_feedback_trigger""/&gt;",""))&amp;"&lt;/respcondition&gt;",""),IF(OR(U29,AU29&lt;&gt;"",$AS29&lt;&gt;""),"      &lt;respcondition continue=""Yes""&gt;&lt;conditionvar&gt;"&amp;IF(U29,"&lt;varequal respident=""RESPONSE""&gt;1&lt;/varequal&gt;","&lt;not&gt;&lt;varequal respident=""RESPONSE""&gt;1&lt;/varequal&gt;&lt;/not&gt;")&amp;"&lt;/conditionvar&gt;&lt;setvar action=""Add""&gt;"&amp;(Saisie_Questions!$N29/$I29)&amp;"&lt;/setvar&gt;"&amp;IF(AU29&lt;&gt;"","&lt;displayfeedback feedbacktype=""Response"" linkrefid=""response_1""/&gt;",IF($AS29&lt;&gt;"","&lt;displayfeedback feedbacktype=""Response"" linkrefid=""qti_feedback_trigger""/&gt;",""))&amp;"&lt;/respcondition&gt;",""))),"")</f>
      </c>
      <c r="AL29" s="46">
        <f>IF($B29,IF(N29="","",IF($C29="qcu",IF(OR(V29,AV29&lt;&gt;"",$AS29&lt;&gt;""),"      &lt;respcondition continue=""Yes""&gt;&lt;conditionvar&gt;&lt;varequal respident=""RESPONSE""&gt;2&lt;/varequal&gt;&lt;/conditionvar&gt;"&amp;"&lt;setvar action=""Add""&gt;"&amp;IF(V29,$H29,0)&amp;"&lt;/setvar&gt;"&amp;IF(AV29&lt;&gt;"","&lt;displayfeedback feedbacktype=""Response"" linkrefid=""response_2""/&gt;",IF($AS29&lt;&gt;"","&lt;displayfeedback feedbacktype=""Response"" linkrefid=""qti_feedback_trigger""/&gt;",""))&amp;"&lt;/respcondition&gt;",""),IF(OR(V29,AV29&lt;&gt;"",$AS29&lt;&gt;""),"      &lt;respcondition continue=""Yes""&gt;&lt;conditionvar&gt;"&amp;IF(V29,"&lt;varequal respident=""RESPONSE""&gt;2&lt;/varequal&gt;","&lt;not&gt;&lt;varequal respident=""RESPONSE""&gt;2&lt;/varequal&gt;&lt;/not&gt;")&amp;"&lt;/conditionvar&gt;&lt;setvar action=""Add""&gt;"&amp;(Saisie_Questions!$N29/$I29)&amp;"&lt;/setvar&gt;"&amp;IF(AV29&lt;&gt;"","&lt;displayfeedback feedbacktype=""Response"" linkrefid=""response_2""/&gt;",IF($AS29&lt;&gt;"","&lt;displayfeedback feedbacktype=""Response"" linkrefid=""qti_feedback_trigger""/&gt;",""))&amp;"&lt;/respcondition&gt;",""))),"")</f>
      </c>
      <c r="AM29" s="46">
        <f>IF($B29,IF(O29="","",IF($C29="qcu",IF(OR(W29,AW29&lt;&gt;"",$AS29&lt;&gt;""),"      &lt;respcondition continue=""Yes""&gt;&lt;conditionvar&gt;&lt;varequal respident=""RESPONSE""&gt;3&lt;/varequal&gt;&lt;/conditionvar&gt;"&amp;"&lt;setvar action=""Add""&gt;"&amp;IF(W29,$H29,0)&amp;"&lt;/setvar&gt;"&amp;IF(AW29&lt;&gt;"","&lt;displayfeedback feedbacktype=""Response"" linkrefid=""response_3""/&gt;",IF($AS29&lt;&gt;"","&lt;displayfeedback feedbacktype=""Response"" linkrefid=""qti_feedback_trigger""/&gt;",""))&amp;"&lt;/respcondition&gt;",""),IF(OR(W29,AW29&lt;&gt;"",$AS29&lt;&gt;""),"      &lt;respcondition continue=""Yes""&gt;&lt;conditionvar&gt;"&amp;IF(W29,"&lt;varequal respident=""RESPONSE""&gt;3&lt;/varequal&gt;","&lt;not&gt;&lt;varequal respident=""RESPONSE""&gt;3&lt;/varequal&gt;&lt;/not&gt;")&amp;"&lt;/conditionvar&gt;&lt;setvar action=""Add""&gt;"&amp;(Saisie_Questions!$N29/$I29)&amp;"&lt;/setvar&gt;"&amp;IF(AW29&lt;&gt;"","&lt;displayfeedback feedbacktype=""Response"" linkrefid=""response_3""/&gt;",IF($AS29&lt;&gt;"","&lt;displayfeedback feedbacktype=""Response"" linkrefid=""qti_feedback_trigger""/&gt;",""))&amp;"&lt;/respcondition&gt;",""))),"")</f>
      </c>
      <c r="AN29" s="46">
        <f>IF($B29,IF(P29="","",IF($C29="qcu",IF(OR(X29,AX29&lt;&gt;"",$AS29&lt;&gt;""),"      &lt;respcondition continue=""Yes""&gt;&lt;conditionvar&gt;&lt;varequal respident=""RESPONSE""&gt;4&lt;/varequal&gt;&lt;/conditionvar&gt;"&amp;"&lt;setvar action=""Add""&gt;"&amp;IF(X29,$H29,0)&amp;"&lt;/setvar&gt;"&amp;IF(AX29&lt;&gt;"","&lt;displayfeedback feedbacktype=""Response"" linkrefid=""response_4""/&gt;",IF($AS29&lt;&gt;"","&lt;displayfeedback feedbacktype=""Response"" linkrefid=""qti_feedback_trigger""/&gt;",""))&amp;"&lt;/respcondition&gt;",""),IF(OR(X29,AX29&lt;&gt;"",$AS29&lt;&gt;""),"      &lt;respcondition continue=""Yes""&gt;&lt;conditionvar&gt;"&amp;IF(X29,"&lt;varequal respident=""RESPONSE""&gt;4&lt;/varequal&gt;","&lt;not&gt;&lt;varequal respident=""RESPONSE""&gt;4&lt;/varequal&gt;&lt;/not&gt;")&amp;"&lt;/conditionvar&gt;&lt;setvar action=""Add""&gt;"&amp;(Saisie_Questions!$N29/$I29)&amp;"&lt;/setvar&gt;"&amp;IF(AX29&lt;&gt;"","&lt;displayfeedback feedbacktype=""Response"" linkrefid=""response_4""/&gt;",IF($AS29&lt;&gt;"","&lt;displayfeedback feedbacktype=""Response"" linkrefid=""qti_feedback_trigger""/&gt;",""))&amp;"&lt;/respcondition&gt;",""))),"")</f>
      </c>
      <c r="AO29" s="46">
        <f>IF($B29,IF(Q29="","",IF($C29="qcu",IF(OR(Y29,AY29&lt;&gt;"",$AS29&lt;&gt;""),"      &lt;respcondition continue=""Yes""&gt;&lt;conditionvar&gt;&lt;varequal respident=""RESPONSE""&gt;5&lt;/varequal&gt;&lt;/conditionvar&gt;"&amp;"&lt;setvar action=""Add""&gt;"&amp;IF(Y29,$H29,0)&amp;"&lt;/setvar&gt;"&amp;IF(AY29&lt;&gt;"","&lt;displayfeedback feedbacktype=""Response"" linkrefid=""response_5""/&gt;",IF($AS29&lt;&gt;"","&lt;displayfeedback feedbacktype=""Response"" linkrefid=""qti_feedback_trigger""/&gt;",""))&amp;"&lt;/respcondition&gt;",""),IF(OR(Y29,AY29&lt;&gt;"",$AS29&lt;&gt;""),"      &lt;respcondition continue=""Yes""&gt;&lt;conditionvar&gt;"&amp;IF(Y29,"&lt;varequal respident=""RESPONSE""&gt;5&lt;/varequal&gt;","&lt;not&gt;&lt;varequal respident=""RESPONSE""&gt;5&lt;/varequal&gt;&lt;/not&gt;")&amp;"&lt;/conditionvar&gt;&lt;setvar action=""Add""&gt;"&amp;(Saisie_Questions!$N29/$I29)&amp;"&lt;/setvar&gt;"&amp;IF(AY29&lt;&gt;"","&lt;displayfeedback feedbacktype=""Response"" linkrefid=""response_5""/&gt;",IF($AS29&lt;&gt;"","&lt;displayfeedback feedbacktype=""Response"" linkrefid=""qti_feedback_trigger""/&gt;",""))&amp;"&lt;/respcondition&gt;",""))),"")</f>
      </c>
      <c r="AP29" s="46">
        <f>IF($B29,IF(R29="","",IF($C29="qcu",IF(OR(Z29,AZ29&lt;&gt;"",$AS29&lt;&gt;""),"      &lt;respcondition continue=""Yes""&gt;&lt;conditionvar&gt;&lt;varequal respident=""RESPONSE""&gt;6&lt;/varequal&gt;&lt;/conditionvar&gt;"&amp;"&lt;setvar action=""Add""&gt;"&amp;IF(Z29,$H29,0)&amp;"&lt;/setvar&gt;"&amp;IF(AZ29&lt;&gt;"","&lt;displayfeedback feedbacktype=""Response"" linkrefid=""response_6""/&gt;",IF($AS29&lt;&gt;"","&lt;displayfeedback feedbacktype=""Response"" linkrefid=""qti_feedback_trigger""/&gt;",""))&amp;"&lt;/respcondition&gt;",""),IF(OR(Z29,AZ29&lt;&gt;"",$AS29&lt;&gt;""),"      &lt;respcondition continue=""Yes""&gt;&lt;conditionvar&gt;"&amp;IF(Z29,"&lt;varequal respident=""RESPONSE""&gt;6&lt;/varequal&gt;","&lt;not&gt;&lt;varequal respident=""RESPONSE""&gt;6&lt;/varequal&gt;&lt;/not&gt;")&amp;"&lt;/conditionvar&gt;&lt;setvar action=""Add""&gt;"&amp;(Saisie_Questions!$N29/$I29)&amp;"&lt;/setvar&gt;"&amp;IF(AZ29&lt;&gt;"","&lt;displayfeedback feedbacktype=""Response"" linkrefid=""response_6""/&gt;",IF($AS29&lt;&gt;"","&lt;displayfeedback feedbacktype=""Response"" linkrefid=""qti_feedback_trigger""/&gt;",""))&amp;"&lt;/respcondition&gt;",""))),"")</f>
      </c>
      <c r="AQ29" s="46">
        <f>IF($B29,IF(S29="","",IF($C29="qcu",IF(OR(AA29,BA29&lt;&gt;"",$AS29&lt;&gt;""),"      &lt;respcondition continue=""Yes""&gt;&lt;conditionvar&gt;&lt;varequal respident=""RESPONSE""&gt;7&lt;/varequal&gt;&lt;/conditionvar&gt;"&amp;"&lt;setvar action=""Add""&gt;"&amp;IF(AA29,$H29,0)&amp;"&lt;/setvar&gt;"&amp;IF(BA29&lt;&gt;"","&lt;displayfeedback feedbacktype=""Response"" linkrefid=""response_7""/&gt;",IF($AS29&lt;&gt;"","&lt;displayfeedback feedbacktype=""Response"" linkrefid=""qti_feedback_trigger""/&gt;",""))&amp;"&lt;/respcondition&gt;",""),IF(OR(AA29,BA29&lt;&gt;"",$AS29&lt;&gt;""),"      &lt;respcondition continue=""Yes""&gt;&lt;conditionvar&gt;"&amp;IF(AA29,"&lt;varequal respident=""RESPONSE""&gt;7&lt;/varequal&gt;","&lt;not&gt;&lt;varequal respident=""RESPONSE""&gt;7&lt;/varequal&gt;&lt;/not&gt;")&amp;"&lt;/conditionvar&gt;&lt;setvar action=""Add""&gt;"&amp;(Saisie_Questions!$N29/$I29)&amp;"&lt;/setvar&gt;"&amp;IF(BA29&lt;&gt;"","&lt;displayfeedback feedbacktype=""Response"" linkrefid=""response_7""/&gt;",IF($AS29&lt;&gt;"","&lt;displayfeedback feedbacktype=""Response"" linkrefid=""qti_feedback_trigger""/&gt;",""))&amp;"&lt;/respcondition&gt;",""))),"")</f>
      </c>
      <c r="AR29" s="46">
        <f>IF(A29="","",SUBSTITUTE(SUBSTITUTE(SUBSTITUTE(SUBSTITUTE(SUBSTITUTE(IF(Saisie_Questions!P29&lt;&gt;"",Saisie_Questions!P29,Interface_Generation!$B$5),"&amp;","&amp;amp;"),"&lt;","&amp;lt;"),"&gt;","&amp;gt;"),CHAR(34),"&amp;quot;"),"'","&amp;apos;"))</f>
        <v/>
      </c>
      <c r="AS29" s="46">
        <f>IF(Saisie_Questions!Q29="","",SUBSTITUTE(SUBSTITUTE(SUBSTITUTE(SUBSTITUTE(SUBSTITUTE(Saisie_Questions!Q29,"&amp;","&amp;amp;"),"&lt;","&amp;lt;"),"&gt;","&amp;gt;"),CHAR(34),"&amp;quot;"),"'","&amp;apos;"))</f>
        <v/>
      </c>
      <c r="AT29" s="46">
        <f>IF(Saisie_Questions!R29="","",SUBSTITUTE(SUBSTITUTE(SUBSTITUTE(SUBSTITUTE(SUBSTITUTE(Saisie_Questions!R29,"&amp;","&amp;amp;"),"&lt;","&amp;lt;"),"&gt;","&amp;gt;"),CHAR(34),"&amp;quot;"),"'","&amp;apos;"))</f>
        <v/>
      </c>
      <c r="AU29" s="46">
        <f>IF(Saisie_Questions!S29="","",SUBSTITUTE(SUBSTITUTE(SUBSTITUTE(SUBSTITUTE(SUBSTITUTE(Saisie_Questions!S29,"&amp;","&amp;amp;"),"&lt;","&amp;lt;"),"&gt;","&amp;gt;"),CHAR(34),"&amp;quot;"),"'","&amp;apos;"))</f>
        <v/>
      </c>
      <c r="AV29" s="46">
        <f>IF(Saisie_Questions!T29="","",SUBSTITUTE(SUBSTITUTE(SUBSTITUTE(SUBSTITUTE(SUBSTITUTE(Saisie_Questions!T29,"&amp;","&amp;amp;"),"&lt;","&amp;lt;"),"&gt;","&amp;gt;"),CHAR(34),"&amp;quot;"),"'","&amp;apos;"))</f>
        <v/>
      </c>
      <c r="AW29" s="46">
        <f>IF(Saisie_Questions!U29="","",SUBSTITUTE(SUBSTITUTE(SUBSTITUTE(SUBSTITUTE(SUBSTITUTE(Saisie_Questions!U29,"&amp;","&amp;amp;"),"&lt;","&amp;lt;"),"&gt;","&amp;gt;"),CHAR(34),"&amp;quot;"),"'","&amp;apos;"))</f>
        <v/>
      </c>
      <c r="AX29" s="46">
        <f>IF(Saisie_Questions!V29="","",SUBSTITUTE(SUBSTITUTE(SUBSTITUTE(SUBSTITUTE(SUBSTITUTE(Saisie_Questions!V29,"&amp;","&amp;amp;"),"&lt;","&amp;lt;"),"&gt;","&amp;gt;"),CHAR(34),"&amp;quot;"),"'","&amp;apos;"))</f>
        <v/>
      </c>
      <c r="AY29" s="46">
        <f>IF(Saisie_Questions!W29="","",SUBSTITUTE(SUBSTITUTE(SUBSTITUTE(SUBSTITUTE(SUBSTITUTE(Saisie_Questions!W29,"&amp;","&amp;amp;"),"&lt;","&amp;lt;"),"&gt;","&amp;gt;"),CHAR(34),"&amp;quot;"),"'","&amp;apos;"))</f>
        <v/>
      </c>
      <c r="AZ29" s="46">
        <f>IF(Saisie_Questions!X29="","",SUBSTITUTE(SUBSTITUTE(SUBSTITUTE(SUBSTITUTE(SUBSTITUTE(Saisie_Questions!X29,"&amp;","&amp;amp;"),"&lt;","&amp;lt;"),"&gt;","&amp;gt;"),CHAR(34),"&amp;quot;"),"'","&amp;apos;"))</f>
        <v/>
      </c>
      <c r="BA29" s="46">
        <f>IF(Saisie_Questions!Y29="","",SUBSTITUTE(SUBSTITUTE(SUBSTITUTE(SUBSTITUTE(SUBSTITUTE(Saisie_Questions!Y29,"&amp;","&amp;amp;"),"&lt;","&amp;lt;"),"&gt;","&amp;gt;"),CHAR(34),"&amp;quot;"),"'","&amp;apos;"))</f>
        <v/>
      </c>
      <c r="BB29" s="46">
        <f>IF($B29,IF($AS29="","","    &lt;itemfeedback ident=""response_allcorrect"" view=""All""&gt;&lt;flow_mat&gt;&lt;material&gt;&lt;mattext texttype=""text/html""&gt;"&amp;$AS29&amp;"&lt;/mattext&gt;&lt;/material&gt;&lt;/flow_mat&gt;&lt;/itemfeedback&gt;"&amp;"    &lt;itemfeedback ident=""response_onenotcorrect"" view=""All""&gt;&lt;flow_mat&gt;&lt;material&gt;&lt;mattext texttype=""text/html""&gt;"&amp;$AS29&amp;"&lt;/mattext&gt;&lt;/material&gt;&lt;/flow_mat&gt;&lt;/itemfeedback&gt;"),"")</f>
      </c>
      <c r="BC29" s="46">
        <f>IF($B29,IF(AT29="","","    &lt;itemfeedback ident=""response_0"" view=""All""&gt;&lt;flow_mat&gt;&lt;material&gt;&lt;mattext texttype=""text/html""&gt;"&amp;AT29&amp;"&lt;/mattext&gt;&lt;/material&gt;&lt;/flow_mat&gt;&lt;/itemfeedback&gt;"),"")</f>
      </c>
      <c r="BD29" s="46">
        <f>IF($B29,IF(AU29="","","    &lt;itemfeedback ident=""response_1"" view=""All""&gt;&lt;flow_mat&gt;&lt;material&gt;&lt;mattext texttype=""text/html""&gt;"&amp;AU29&amp;"&lt;/mattext&gt;&lt;/material&gt;&lt;/flow_mat&gt;&lt;/itemfeedback&gt;"),"")</f>
      </c>
      <c r="BE29" s="46">
        <f>IF($B29,IF(AV29="","","    &lt;itemfeedback ident=""response_2"" view=""All""&gt;&lt;flow_mat&gt;&lt;material&gt;&lt;mattext texttype=""text/html""&gt;"&amp;AV29&amp;"&lt;/mattext&gt;&lt;/material&gt;&lt;/flow_mat&gt;&lt;/itemfeedback&gt;"),"")</f>
      </c>
      <c r="BF29" s="46">
        <f>IF($B29,IF(AW29="","","    &lt;itemfeedback ident=""response_3"" view=""All""&gt;&lt;flow_mat&gt;&lt;material&gt;&lt;mattext texttype=""text/html""&gt;"&amp;AW29&amp;"&lt;/mattext&gt;&lt;/material&gt;&lt;/flow_mat&gt;&lt;/itemfeedback&gt;"),"")</f>
      </c>
      <c r="BG29" s="46">
        <f>IF($B29,IF(AX29="","","    &lt;itemfeedback ident=""response_4"" view=""All""&gt;&lt;flow_mat&gt;&lt;material&gt;&lt;mattext texttype=""text/html""&gt;"&amp;AX29&amp;"&lt;/mattext&gt;&lt;/material&gt;&lt;/flow_mat&gt;&lt;/itemfeedback&gt;"),"")</f>
      </c>
      <c r="BH29" s="46">
        <f>IF($B29,IF(AY29="","","    &lt;itemfeedback ident=""response_5"" view=""All""&gt;&lt;flow_mat&gt;&lt;material&gt;&lt;mattext texttype=""text/html""&gt;"&amp;AY29&amp;"&lt;/mattext&gt;&lt;/material&gt;&lt;/flow_mat&gt;&lt;/itemfeedback&gt;"),"")</f>
      </c>
      <c r="BI29" s="46">
        <f>IF($B29,IF(AZ29="","","    &lt;itemfeedback ident=""response_6"" view=""All""&gt;&lt;flow_mat&gt;&lt;material&gt;&lt;mattext texttype=""text/html""&gt;"&amp;AZ29&amp;"&lt;/mattext&gt;&lt;/material&gt;&lt;/flow_mat&gt;&lt;/itemfeedback&gt;"),"")</f>
      </c>
      <c r="BJ29" s="46">
        <f>IF($B29,IF(BA29="","","    &lt;itemfeedback ident=""response_7"" view=""All""&gt;&lt;flow_mat&gt;&lt;material&gt;&lt;mattext texttype=""text/html""&gt;"&amp;BA29&amp;"&lt;/mattext&gt;&lt;/material&gt;&lt;/flow_mat&gt;&lt;/itemfeedback&gt;"),"")</f>
      </c>
    </row>
    <row r="30" ht="18" customHeight="1" s="17">
      <c r="A30" s="46">
        <f>Saisie_Questions!A30</f>
        <v/>
      </c>
      <c r="B30" s="46">
        <f>Saisie_Questions!O30="OK"</f>
        <v/>
      </c>
      <c r="C30" s="46">
        <f>LOWER(TRIM(Saisie_Questions!B30))</f>
        <v/>
      </c>
      <c r="D30" s="46">
        <f>IF(C30="qcu","SINGLE CHOICE QUESTION","MULTIPLE CHOICE QUESTION")</f>
        <v/>
      </c>
      <c r="E30" s="46">
        <f>IF(C30="qcu","Single","Multiple")</f>
        <v/>
      </c>
      <c r="F30" s="46">
        <f>IF(A30="","",SUBSTITUTE(SUBSTITUTE(SUBSTITUTE(SUBSTITUTE(SUBSTITUTE(IF(Saisie_Questions!C30="", "Question "&amp;A30, Saisie_Questions!C30),"&amp;","&amp;amp;"),"&lt;","&amp;lt;"),"&gt;","&amp;gt;"),CHAR(34),"&amp;quot;"),"'","&amp;apos;"))</f>
        <v/>
      </c>
      <c r="G30" s="46">
        <f>IF(A30="","",SUBSTITUTE(SUBSTITUTE(SUBSTITUTE(SUBSTITUTE(SUBSTITUTE(Saisie_Questions!D30,"&amp;","&amp;amp;"),"&lt;","&amp;lt;"),"&gt;","&amp;gt;"),CHAR(34),"&amp;quot;"),"'","&amp;apos;"))</f>
        <v/>
      </c>
      <c r="H30" s="46">
        <f>Saisie_Questions!N30</f>
        <v/>
      </c>
      <c r="I30" s="46">
        <f>IF(Saisie_Questions!E30="",0,1)+IF(Saisie_Questions!F30="",0,1)+IF(Saisie_Questions!G30="",0,1)+IF(Saisie_Questions!H30="",0,1)+IF(Saisie_Questions!I30="",0,1)+IF(Saisie_Questions!J30="",0,1)+IF(Saisie_Questions!K30="",0,1)+IF(Saisie_Questions!L30="",0,1)</f>
        <v/>
      </c>
      <c r="J30" s="46">
        <f>Saisie_Questions!M30</f>
        <v/>
      </c>
      <c r="K30" s="46">
        <f>Saisie_Questions!O30</f>
        <v/>
      </c>
      <c r="L30" s="46">
        <f>IF(Saisie_Questions!E30="","",SUBSTITUTE(SUBSTITUTE(SUBSTITUTE(SUBSTITUTE(SUBSTITUTE(Saisie_Questions!E30,"&amp;","&amp;amp;"),"&lt;","&amp;lt;"),"&gt;","&amp;gt;"),CHAR(34),"&amp;quot;"),"'","&amp;apos;"))</f>
        <v/>
      </c>
      <c r="M30" s="46">
        <f>IF(Saisie_Questions!F30="","",SUBSTITUTE(SUBSTITUTE(SUBSTITUTE(SUBSTITUTE(SUBSTITUTE(Saisie_Questions!F30,"&amp;","&amp;amp;"),"&lt;","&amp;lt;"),"&gt;","&amp;gt;"),CHAR(34),"&amp;quot;"),"'","&amp;apos;"))</f>
        <v/>
      </c>
      <c r="N30" s="46">
        <f>IF(Saisie_Questions!G30="","",SUBSTITUTE(SUBSTITUTE(SUBSTITUTE(SUBSTITUTE(SUBSTITUTE(Saisie_Questions!G30,"&amp;","&amp;amp;"),"&lt;","&amp;lt;"),"&gt;","&amp;gt;"),CHAR(34),"&amp;quot;"),"'","&amp;apos;"))</f>
        <v/>
      </c>
      <c r="O30" s="46">
        <f>IF(Saisie_Questions!H30="","",SUBSTITUTE(SUBSTITUTE(SUBSTITUTE(SUBSTITUTE(SUBSTITUTE(Saisie_Questions!H30,"&amp;","&amp;amp;"),"&lt;","&amp;lt;"),"&gt;","&amp;gt;"),CHAR(34),"&amp;quot;"),"'","&amp;apos;"))</f>
        <v/>
      </c>
      <c r="P30" s="46">
        <f>IF(Saisie_Questions!I30="","",SUBSTITUTE(SUBSTITUTE(SUBSTITUTE(SUBSTITUTE(SUBSTITUTE(Saisie_Questions!I30,"&amp;","&amp;amp;"),"&lt;","&amp;lt;"),"&gt;","&amp;gt;"),CHAR(34),"&amp;quot;"),"'","&amp;apos;"))</f>
        <v/>
      </c>
      <c r="Q30" s="46">
        <f>IF(Saisie_Questions!J30="","",SUBSTITUTE(SUBSTITUTE(SUBSTITUTE(SUBSTITUTE(SUBSTITUTE(Saisie_Questions!J30,"&amp;","&amp;amp;"),"&lt;","&amp;lt;"),"&gt;","&amp;gt;"),CHAR(34),"&amp;quot;"),"'","&amp;apos;"))</f>
        <v/>
      </c>
      <c r="R30" s="46">
        <f>IF(Saisie_Questions!K30="","",SUBSTITUTE(SUBSTITUTE(SUBSTITUTE(SUBSTITUTE(SUBSTITUTE(Saisie_Questions!K30,"&amp;","&amp;amp;"),"&lt;","&amp;lt;"),"&gt;","&amp;gt;"),CHAR(34),"&amp;quot;"),"'","&amp;apos;"))</f>
        <v/>
      </c>
      <c r="S30" s="46">
        <f>IF(Saisie_Questions!L30="","",SUBSTITUTE(SUBSTITUTE(SUBSTITUTE(SUBSTITUTE(SUBSTITUTE(Saisie_Questions!L30,"&amp;","&amp;amp;"),"&lt;","&amp;lt;"),"&gt;","&amp;gt;"),CHAR(34),"&amp;quot;"),"'","&amp;apos;"))</f>
        <v/>
      </c>
      <c r="T30" s="46">
        <f>ISNUMBER(SEARCH(";"&amp;1&amp;";",";"&amp;$J30&amp;";"))</f>
        <v/>
      </c>
      <c r="U30" s="46">
        <f>ISNUMBER(SEARCH(";"&amp;2&amp;";",";"&amp;$J30&amp;";"))</f>
        <v/>
      </c>
      <c r="V30" s="46">
        <f>ISNUMBER(SEARCH(";"&amp;3&amp;";",";"&amp;$J30&amp;";"))</f>
        <v/>
      </c>
      <c r="W30" s="46">
        <f>ISNUMBER(SEARCH(";"&amp;4&amp;";",";"&amp;$J30&amp;";"))</f>
        <v/>
      </c>
      <c r="X30" s="46">
        <f>ISNUMBER(SEARCH(";"&amp;5&amp;";",";"&amp;$J30&amp;";"))</f>
        <v/>
      </c>
      <c r="Y30" s="46">
        <f>ISNUMBER(SEARCH(";"&amp;6&amp;";",";"&amp;$J30&amp;";"))</f>
        <v/>
      </c>
      <c r="Z30" s="46">
        <f>ISNUMBER(SEARCH(";"&amp;7&amp;";",";"&amp;$J30&amp;";"))</f>
        <v/>
      </c>
      <c r="AA30" s="46">
        <f>ISNUMBER(SEARCH(";"&amp;8&amp;";",";"&amp;$J30&amp;";"))</f>
        <v/>
      </c>
      <c r="AB30" s="46">
        <f>IF($B30,IF(L30="","","        &lt;response_label ident=""0""&gt;&lt;material&gt;&lt;mattext texttype=""text/html""&gt;"&amp;L30&amp;"&lt;/mattext&gt;&lt;/material&gt;&lt;/response_label&gt;"),"")</f>
        <v/>
      </c>
      <c r="AC30" s="46">
        <f>IF($B30,IF(M30="","","        &lt;response_label ident=""1""&gt;&lt;material&gt;&lt;mattext texttype=""text/html""&gt;"&amp;M30&amp;"&lt;/mattext&gt;&lt;/material&gt;&lt;/response_label&gt;"),"")</f>
        <v/>
      </c>
      <c r="AD30" s="46">
        <f>IF($B30,IF(N30="","","        &lt;response_label ident=""2""&gt;&lt;material&gt;&lt;mattext texttype=""text/html""&gt;"&amp;N30&amp;"&lt;/mattext&gt;&lt;/material&gt;&lt;/response_label&gt;"),"")</f>
        <v/>
      </c>
      <c r="AE30" s="46">
        <f>IF($B30,IF(O30="","","        &lt;response_label ident=""3""&gt;&lt;material&gt;&lt;mattext texttype=""text/html""&gt;"&amp;O30&amp;"&lt;/mattext&gt;&lt;/material&gt;&lt;/response_label&gt;"),"")</f>
        <v/>
      </c>
      <c r="AF30" s="46">
        <f>IF($B30,IF(P30="","","        &lt;response_label ident=""4""&gt;&lt;material&gt;&lt;mattext texttype=""text/html""&gt;"&amp;P30&amp;"&lt;/mattext&gt;&lt;/material&gt;&lt;/response_label&gt;"),"")</f>
        <v/>
      </c>
      <c r="AG30" s="46">
        <f>IF($B30,IF(Q30="","","        &lt;response_label ident=""5""&gt;&lt;material&gt;&lt;mattext texttype=""text/html""&gt;"&amp;Q30&amp;"&lt;/mattext&gt;&lt;/material&gt;&lt;/response_label&gt;"),"")</f>
        <v/>
      </c>
      <c r="AH30" s="46">
        <f>IF($B30,IF(R30="","","        &lt;response_label ident=""6""&gt;&lt;material&gt;&lt;mattext texttype=""text/html""&gt;"&amp;R30&amp;"&lt;/mattext&gt;&lt;/material&gt;&lt;/response_label&gt;"),"")</f>
        <v/>
      </c>
      <c r="AI30" s="46">
        <f>IF($B30,IF(S30="","","        &lt;response_label ident=""7""&gt;&lt;material&gt;&lt;mattext texttype=""text/html""&gt;"&amp;S30&amp;"&lt;/mattext&gt;&lt;/material&gt;&lt;/response_label&gt;"),"")</f>
        <v/>
      </c>
      <c r="AJ30" s="46">
        <f>IF($B30,IF(L30="","",IF($C30="qcu",IF(OR(T30,AT30&lt;&gt;"",$AS30&lt;&gt;""),"      &lt;respcondition continue=""Yes""&gt;&lt;conditionvar&gt;&lt;varequal respident=""RESPONSE""&gt;0&lt;/varequal&gt;&lt;/conditionvar&gt;"&amp;"&lt;setvar action=""Add""&gt;"&amp;IF(T30,$H30,0)&amp;"&lt;/setvar&gt;"&amp;IF(AT30&lt;&gt;"","&lt;displayfeedback feedbacktype=""Response"" linkrefid=""response_0""/&gt;",IF($AS30&lt;&gt;"","&lt;displayfeedback feedbacktype=""Response"" linkrefid=""qti_feedback_trigger""/&gt;",""))&amp;"&lt;/respcondition&gt;",""),IF(OR(T30,AT30&lt;&gt;"",$AS30&lt;&gt;""),"      &lt;respcondition continue=""Yes""&gt;&lt;conditionvar&gt;"&amp;IF(T30,"&lt;varequal respident=""RESPONSE""&gt;0&lt;/varequal&gt;","&lt;not&gt;&lt;varequal respident=""RESPONSE""&gt;0&lt;/varequal&gt;&lt;/not&gt;")&amp;"&lt;/conditionvar&gt;&lt;setvar action=""Add""&gt;"&amp;(Saisie_Questions!$N30/$I30)&amp;"&lt;/setvar&gt;"&amp;IF(AT30&lt;&gt;"","&lt;displayfeedback feedbacktype=""Response"" linkrefid=""response_0""/&gt;",IF($AS30&lt;&gt;"","&lt;displayfeedback feedbacktype=""Response"" linkrefid=""qti_feedback_trigger""/&gt;",""))&amp;"&lt;/respcondition&gt;",""))),"")</f>
      </c>
      <c r="AK30" s="46">
        <f>IF($B30,IF(M30="","",IF($C30="qcu",IF(OR(U30,AU30&lt;&gt;"",$AS30&lt;&gt;""),"      &lt;respcondition continue=""Yes""&gt;&lt;conditionvar&gt;&lt;varequal respident=""RESPONSE""&gt;1&lt;/varequal&gt;&lt;/conditionvar&gt;"&amp;"&lt;setvar action=""Add""&gt;"&amp;IF(U30,$H30,0)&amp;"&lt;/setvar&gt;"&amp;IF(AU30&lt;&gt;"","&lt;displayfeedback feedbacktype=""Response"" linkrefid=""response_1""/&gt;",IF($AS30&lt;&gt;"","&lt;displayfeedback feedbacktype=""Response"" linkrefid=""qti_feedback_trigger""/&gt;",""))&amp;"&lt;/respcondition&gt;",""),IF(OR(U30,AU30&lt;&gt;"",$AS30&lt;&gt;""),"      &lt;respcondition continue=""Yes""&gt;&lt;conditionvar&gt;"&amp;IF(U30,"&lt;varequal respident=""RESPONSE""&gt;1&lt;/varequal&gt;","&lt;not&gt;&lt;varequal respident=""RESPONSE""&gt;1&lt;/varequal&gt;&lt;/not&gt;")&amp;"&lt;/conditionvar&gt;&lt;setvar action=""Add""&gt;"&amp;(Saisie_Questions!$N30/$I30)&amp;"&lt;/setvar&gt;"&amp;IF(AU30&lt;&gt;"","&lt;displayfeedback feedbacktype=""Response"" linkrefid=""response_1""/&gt;",IF($AS30&lt;&gt;"","&lt;displayfeedback feedbacktype=""Response"" linkrefid=""qti_feedback_trigger""/&gt;",""))&amp;"&lt;/respcondition&gt;",""))),"")</f>
      </c>
      <c r="AL30" s="46">
        <f>IF($B30,IF(N30="","",IF($C30="qcu",IF(OR(V30,AV30&lt;&gt;"",$AS30&lt;&gt;""),"      &lt;respcondition continue=""Yes""&gt;&lt;conditionvar&gt;&lt;varequal respident=""RESPONSE""&gt;2&lt;/varequal&gt;&lt;/conditionvar&gt;"&amp;"&lt;setvar action=""Add""&gt;"&amp;IF(V30,$H30,0)&amp;"&lt;/setvar&gt;"&amp;IF(AV30&lt;&gt;"","&lt;displayfeedback feedbacktype=""Response"" linkrefid=""response_2""/&gt;",IF($AS30&lt;&gt;"","&lt;displayfeedback feedbacktype=""Response"" linkrefid=""qti_feedback_trigger""/&gt;",""))&amp;"&lt;/respcondition&gt;",""),IF(OR(V30,AV30&lt;&gt;"",$AS30&lt;&gt;""),"      &lt;respcondition continue=""Yes""&gt;&lt;conditionvar&gt;"&amp;IF(V30,"&lt;varequal respident=""RESPONSE""&gt;2&lt;/varequal&gt;","&lt;not&gt;&lt;varequal respident=""RESPONSE""&gt;2&lt;/varequal&gt;&lt;/not&gt;")&amp;"&lt;/conditionvar&gt;&lt;setvar action=""Add""&gt;"&amp;(Saisie_Questions!$N30/$I30)&amp;"&lt;/setvar&gt;"&amp;IF(AV30&lt;&gt;"","&lt;displayfeedback feedbacktype=""Response"" linkrefid=""response_2""/&gt;",IF($AS30&lt;&gt;"","&lt;displayfeedback feedbacktype=""Response"" linkrefid=""qti_feedback_trigger""/&gt;",""))&amp;"&lt;/respcondition&gt;",""))),"")</f>
      </c>
      <c r="AM30" s="46">
        <f>IF($B30,IF(O30="","",IF($C30="qcu",IF(OR(W30,AW30&lt;&gt;"",$AS30&lt;&gt;""),"      &lt;respcondition continue=""Yes""&gt;&lt;conditionvar&gt;&lt;varequal respident=""RESPONSE""&gt;3&lt;/varequal&gt;&lt;/conditionvar&gt;"&amp;"&lt;setvar action=""Add""&gt;"&amp;IF(W30,$H30,0)&amp;"&lt;/setvar&gt;"&amp;IF(AW30&lt;&gt;"","&lt;displayfeedback feedbacktype=""Response"" linkrefid=""response_3""/&gt;",IF($AS30&lt;&gt;"","&lt;displayfeedback feedbacktype=""Response"" linkrefid=""qti_feedback_trigger""/&gt;",""))&amp;"&lt;/respcondition&gt;",""),IF(OR(W30,AW30&lt;&gt;"",$AS30&lt;&gt;""),"      &lt;respcondition continue=""Yes""&gt;&lt;conditionvar&gt;"&amp;IF(W30,"&lt;varequal respident=""RESPONSE""&gt;3&lt;/varequal&gt;","&lt;not&gt;&lt;varequal respident=""RESPONSE""&gt;3&lt;/varequal&gt;&lt;/not&gt;")&amp;"&lt;/conditionvar&gt;&lt;setvar action=""Add""&gt;"&amp;(Saisie_Questions!$N30/$I30)&amp;"&lt;/setvar&gt;"&amp;IF(AW30&lt;&gt;"","&lt;displayfeedback feedbacktype=""Response"" linkrefid=""response_3""/&gt;",IF($AS30&lt;&gt;"","&lt;displayfeedback feedbacktype=""Response"" linkrefid=""qti_feedback_trigger""/&gt;",""))&amp;"&lt;/respcondition&gt;",""))),"")</f>
      </c>
      <c r="AN30" s="46">
        <f>IF($B30,IF(P30="","",IF($C30="qcu",IF(OR(X30,AX30&lt;&gt;"",$AS30&lt;&gt;""),"      &lt;respcondition continue=""Yes""&gt;&lt;conditionvar&gt;&lt;varequal respident=""RESPONSE""&gt;4&lt;/varequal&gt;&lt;/conditionvar&gt;"&amp;"&lt;setvar action=""Add""&gt;"&amp;IF(X30,$H30,0)&amp;"&lt;/setvar&gt;"&amp;IF(AX30&lt;&gt;"","&lt;displayfeedback feedbacktype=""Response"" linkrefid=""response_4""/&gt;",IF($AS30&lt;&gt;"","&lt;displayfeedback feedbacktype=""Response"" linkrefid=""qti_feedback_trigger""/&gt;",""))&amp;"&lt;/respcondition&gt;",""),IF(OR(X30,AX30&lt;&gt;"",$AS30&lt;&gt;""),"      &lt;respcondition continue=""Yes""&gt;&lt;conditionvar&gt;"&amp;IF(X30,"&lt;varequal respident=""RESPONSE""&gt;4&lt;/varequal&gt;","&lt;not&gt;&lt;varequal respident=""RESPONSE""&gt;4&lt;/varequal&gt;&lt;/not&gt;")&amp;"&lt;/conditionvar&gt;&lt;setvar action=""Add""&gt;"&amp;(Saisie_Questions!$N30/$I30)&amp;"&lt;/setvar&gt;"&amp;IF(AX30&lt;&gt;"","&lt;displayfeedback feedbacktype=""Response"" linkrefid=""response_4""/&gt;",IF($AS30&lt;&gt;"","&lt;displayfeedback feedbacktype=""Response"" linkrefid=""qti_feedback_trigger""/&gt;",""))&amp;"&lt;/respcondition&gt;",""))),"")</f>
      </c>
      <c r="AO30" s="46">
        <f>IF($B30,IF(Q30="","",IF($C30="qcu",IF(OR(Y30,AY30&lt;&gt;"",$AS30&lt;&gt;""),"      &lt;respcondition continue=""Yes""&gt;&lt;conditionvar&gt;&lt;varequal respident=""RESPONSE""&gt;5&lt;/varequal&gt;&lt;/conditionvar&gt;"&amp;"&lt;setvar action=""Add""&gt;"&amp;IF(Y30,$H30,0)&amp;"&lt;/setvar&gt;"&amp;IF(AY30&lt;&gt;"","&lt;displayfeedback feedbacktype=""Response"" linkrefid=""response_5""/&gt;",IF($AS30&lt;&gt;"","&lt;displayfeedback feedbacktype=""Response"" linkrefid=""qti_feedback_trigger""/&gt;",""))&amp;"&lt;/respcondition&gt;",""),IF(OR(Y30,AY30&lt;&gt;"",$AS30&lt;&gt;""),"      &lt;respcondition continue=""Yes""&gt;&lt;conditionvar&gt;"&amp;IF(Y30,"&lt;varequal respident=""RESPONSE""&gt;5&lt;/varequal&gt;","&lt;not&gt;&lt;varequal respident=""RESPONSE""&gt;5&lt;/varequal&gt;&lt;/not&gt;")&amp;"&lt;/conditionvar&gt;&lt;setvar action=""Add""&gt;"&amp;(Saisie_Questions!$N30/$I30)&amp;"&lt;/setvar&gt;"&amp;IF(AY30&lt;&gt;"","&lt;displayfeedback feedbacktype=""Response"" linkrefid=""response_5""/&gt;",IF($AS30&lt;&gt;"","&lt;displayfeedback feedbacktype=""Response"" linkrefid=""qti_feedback_trigger""/&gt;",""))&amp;"&lt;/respcondition&gt;",""))),"")</f>
      </c>
      <c r="AP30" s="46">
        <f>IF($B30,IF(R30="","",IF($C30="qcu",IF(OR(Z30,AZ30&lt;&gt;"",$AS30&lt;&gt;""),"      &lt;respcondition continue=""Yes""&gt;&lt;conditionvar&gt;&lt;varequal respident=""RESPONSE""&gt;6&lt;/varequal&gt;&lt;/conditionvar&gt;"&amp;"&lt;setvar action=""Add""&gt;"&amp;IF(Z30,$H30,0)&amp;"&lt;/setvar&gt;"&amp;IF(AZ30&lt;&gt;"","&lt;displayfeedback feedbacktype=""Response"" linkrefid=""response_6""/&gt;",IF($AS30&lt;&gt;"","&lt;displayfeedback feedbacktype=""Response"" linkrefid=""qti_feedback_trigger""/&gt;",""))&amp;"&lt;/respcondition&gt;",""),IF(OR(Z30,AZ30&lt;&gt;"",$AS30&lt;&gt;""),"      &lt;respcondition continue=""Yes""&gt;&lt;conditionvar&gt;"&amp;IF(Z30,"&lt;varequal respident=""RESPONSE""&gt;6&lt;/varequal&gt;","&lt;not&gt;&lt;varequal respident=""RESPONSE""&gt;6&lt;/varequal&gt;&lt;/not&gt;")&amp;"&lt;/conditionvar&gt;&lt;setvar action=""Add""&gt;"&amp;(Saisie_Questions!$N30/$I30)&amp;"&lt;/setvar&gt;"&amp;IF(AZ30&lt;&gt;"","&lt;displayfeedback feedbacktype=""Response"" linkrefid=""response_6""/&gt;",IF($AS30&lt;&gt;"","&lt;displayfeedback feedbacktype=""Response"" linkrefid=""qti_feedback_trigger""/&gt;",""))&amp;"&lt;/respcondition&gt;",""))),"")</f>
      </c>
      <c r="AQ30" s="46">
        <f>IF($B30,IF(S30="","",IF($C30="qcu",IF(OR(AA30,BA30&lt;&gt;"",$AS30&lt;&gt;""),"      &lt;respcondition continue=""Yes""&gt;&lt;conditionvar&gt;&lt;varequal respident=""RESPONSE""&gt;7&lt;/varequal&gt;&lt;/conditionvar&gt;"&amp;"&lt;setvar action=""Add""&gt;"&amp;IF(AA30,$H30,0)&amp;"&lt;/setvar&gt;"&amp;IF(BA30&lt;&gt;"","&lt;displayfeedback feedbacktype=""Response"" linkrefid=""response_7""/&gt;",IF($AS30&lt;&gt;"","&lt;displayfeedback feedbacktype=""Response"" linkrefid=""qti_feedback_trigger""/&gt;",""))&amp;"&lt;/respcondition&gt;",""),IF(OR(AA30,BA30&lt;&gt;"",$AS30&lt;&gt;""),"      &lt;respcondition continue=""Yes""&gt;&lt;conditionvar&gt;"&amp;IF(AA30,"&lt;varequal respident=""RESPONSE""&gt;7&lt;/varequal&gt;","&lt;not&gt;&lt;varequal respident=""RESPONSE""&gt;7&lt;/varequal&gt;&lt;/not&gt;")&amp;"&lt;/conditionvar&gt;&lt;setvar action=""Add""&gt;"&amp;(Saisie_Questions!$N30/$I30)&amp;"&lt;/setvar&gt;"&amp;IF(BA30&lt;&gt;"","&lt;displayfeedback feedbacktype=""Response"" linkrefid=""response_7""/&gt;",IF($AS30&lt;&gt;"","&lt;displayfeedback feedbacktype=""Response"" linkrefid=""qti_feedback_trigger""/&gt;",""))&amp;"&lt;/respcondition&gt;",""))),"")</f>
      </c>
      <c r="AR30" s="46">
        <f>IF(A30="","",SUBSTITUTE(SUBSTITUTE(SUBSTITUTE(SUBSTITUTE(SUBSTITUTE(IF(Saisie_Questions!P30&lt;&gt;"",Saisie_Questions!P30,Interface_Generation!$B$5),"&amp;","&amp;amp;"),"&lt;","&amp;lt;"),"&gt;","&amp;gt;"),CHAR(34),"&amp;quot;"),"'","&amp;apos;"))</f>
        <v/>
      </c>
      <c r="AS30" s="46">
        <f>IF(Saisie_Questions!Q30="","",SUBSTITUTE(SUBSTITUTE(SUBSTITUTE(SUBSTITUTE(SUBSTITUTE(Saisie_Questions!Q30,"&amp;","&amp;amp;"),"&lt;","&amp;lt;"),"&gt;","&amp;gt;"),CHAR(34),"&amp;quot;"),"'","&amp;apos;"))</f>
        <v/>
      </c>
      <c r="AT30" s="46">
        <f>IF(Saisie_Questions!R30="","",SUBSTITUTE(SUBSTITUTE(SUBSTITUTE(SUBSTITUTE(SUBSTITUTE(Saisie_Questions!R30,"&amp;","&amp;amp;"),"&lt;","&amp;lt;"),"&gt;","&amp;gt;"),CHAR(34),"&amp;quot;"),"'","&amp;apos;"))</f>
        <v/>
      </c>
      <c r="AU30" s="46">
        <f>IF(Saisie_Questions!S30="","",SUBSTITUTE(SUBSTITUTE(SUBSTITUTE(SUBSTITUTE(SUBSTITUTE(Saisie_Questions!S30,"&amp;","&amp;amp;"),"&lt;","&amp;lt;"),"&gt;","&amp;gt;"),CHAR(34),"&amp;quot;"),"'","&amp;apos;"))</f>
        <v/>
      </c>
      <c r="AV30" s="46">
        <f>IF(Saisie_Questions!T30="","",SUBSTITUTE(SUBSTITUTE(SUBSTITUTE(SUBSTITUTE(SUBSTITUTE(Saisie_Questions!T30,"&amp;","&amp;amp;"),"&lt;","&amp;lt;"),"&gt;","&amp;gt;"),CHAR(34),"&amp;quot;"),"'","&amp;apos;"))</f>
        <v/>
      </c>
      <c r="AW30" s="46">
        <f>IF(Saisie_Questions!U30="","",SUBSTITUTE(SUBSTITUTE(SUBSTITUTE(SUBSTITUTE(SUBSTITUTE(Saisie_Questions!U30,"&amp;","&amp;amp;"),"&lt;","&amp;lt;"),"&gt;","&amp;gt;"),CHAR(34),"&amp;quot;"),"'","&amp;apos;"))</f>
        <v/>
      </c>
      <c r="AX30" s="46">
        <f>IF(Saisie_Questions!V30="","",SUBSTITUTE(SUBSTITUTE(SUBSTITUTE(SUBSTITUTE(SUBSTITUTE(Saisie_Questions!V30,"&amp;","&amp;amp;"),"&lt;","&amp;lt;"),"&gt;","&amp;gt;"),CHAR(34),"&amp;quot;"),"'","&amp;apos;"))</f>
        <v/>
      </c>
      <c r="AY30" s="46">
        <f>IF(Saisie_Questions!W30="","",SUBSTITUTE(SUBSTITUTE(SUBSTITUTE(SUBSTITUTE(SUBSTITUTE(Saisie_Questions!W30,"&amp;","&amp;amp;"),"&lt;","&amp;lt;"),"&gt;","&amp;gt;"),CHAR(34),"&amp;quot;"),"'","&amp;apos;"))</f>
        <v/>
      </c>
      <c r="AZ30" s="46">
        <f>IF(Saisie_Questions!X30="","",SUBSTITUTE(SUBSTITUTE(SUBSTITUTE(SUBSTITUTE(SUBSTITUTE(Saisie_Questions!X30,"&amp;","&amp;amp;"),"&lt;","&amp;lt;"),"&gt;","&amp;gt;"),CHAR(34),"&amp;quot;"),"'","&amp;apos;"))</f>
        <v/>
      </c>
      <c r="BA30" s="46">
        <f>IF(Saisie_Questions!Y30="","",SUBSTITUTE(SUBSTITUTE(SUBSTITUTE(SUBSTITUTE(SUBSTITUTE(Saisie_Questions!Y30,"&amp;","&amp;amp;"),"&lt;","&amp;lt;"),"&gt;","&amp;gt;"),CHAR(34),"&amp;quot;"),"'","&amp;apos;"))</f>
        <v/>
      </c>
      <c r="BB30" s="46">
        <f>IF($B30,IF($AS30="","","    &lt;itemfeedback ident=""response_allcorrect"" view=""All""&gt;&lt;flow_mat&gt;&lt;material&gt;&lt;mattext texttype=""text/html""&gt;"&amp;$AS30&amp;"&lt;/mattext&gt;&lt;/material&gt;&lt;/flow_mat&gt;&lt;/itemfeedback&gt;"&amp;"    &lt;itemfeedback ident=""response_onenotcorrect"" view=""All""&gt;&lt;flow_mat&gt;&lt;material&gt;&lt;mattext texttype=""text/html""&gt;"&amp;$AS30&amp;"&lt;/mattext&gt;&lt;/material&gt;&lt;/flow_mat&gt;&lt;/itemfeedback&gt;"),"")</f>
      </c>
      <c r="BC30" s="46">
        <f>IF($B30,IF(AT30="","","    &lt;itemfeedback ident=""response_0"" view=""All""&gt;&lt;flow_mat&gt;&lt;material&gt;&lt;mattext texttype=""text/html""&gt;"&amp;AT30&amp;"&lt;/mattext&gt;&lt;/material&gt;&lt;/flow_mat&gt;&lt;/itemfeedback&gt;"),"")</f>
      </c>
      <c r="BD30" s="46">
        <f>IF($B30,IF(AU30="","","    &lt;itemfeedback ident=""response_1"" view=""All""&gt;&lt;flow_mat&gt;&lt;material&gt;&lt;mattext texttype=""text/html""&gt;"&amp;AU30&amp;"&lt;/mattext&gt;&lt;/material&gt;&lt;/flow_mat&gt;&lt;/itemfeedback&gt;"),"")</f>
      </c>
      <c r="BE30" s="46">
        <f>IF($B30,IF(AV30="","","    &lt;itemfeedback ident=""response_2"" view=""All""&gt;&lt;flow_mat&gt;&lt;material&gt;&lt;mattext texttype=""text/html""&gt;"&amp;AV30&amp;"&lt;/mattext&gt;&lt;/material&gt;&lt;/flow_mat&gt;&lt;/itemfeedback&gt;"),"")</f>
      </c>
      <c r="BF30" s="46">
        <f>IF($B30,IF(AW30="","","    &lt;itemfeedback ident=""response_3"" view=""All""&gt;&lt;flow_mat&gt;&lt;material&gt;&lt;mattext texttype=""text/html""&gt;"&amp;AW30&amp;"&lt;/mattext&gt;&lt;/material&gt;&lt;/flow_mat&gt;&lt;/itemfeedback&gt;"),"")</f>
      </c>
      <c r="BG30" s="46">
        <f>IF($B30,IF(AX30="","","    &lt;itemfeedback ident=""response_4"" view=""All""&gt;&lt;flow_mat&gt;&lt;material&gt;&lt;mattext texttype=""text/html""&gt;"&amp;AX30&amp;"&lt;/mattext&gt;&lt;/material&gt;&lt;/flow_mat&gt;&lt;/itemfeedback&gt;"),"")</f>
      </c>
      <c r="BH30" s="46">
        <f>IF($B30,IF(AY30="","","    &lt;itemfeedback ident=""response_5"" view=""All""&gt;&lt;flow_mat&gt;&lt;material&gt;&lt;mattext texttype=""text/html""&gt;"&amp;AY30&amp;"&lt;/mattext&gt;&lt;/material&gt;&lt;/flow_mat&gt;&lt;/itemfeedback&gt;"),"")</f>
      </c>
      <c r="BI30" s="46">
        <f>IF($B30,IF(AZ30="","","    &lt;itemfeedback ident=""response_6"" view=""All""&gt;&lt;flow_mat&gt;&lt;material&gt;&lt;mattext texttype=""text/html""&gt;"&amp;AZ30&amp;"&lt;/mattext&gt;&lt;/material&gt;&lt;/flow_mat&gt;&lt;/itemfeedback&gt;"),"")</f>
      </c>
      <c r="BJ30" s="46">
        <f>IF($B30,IF(BA30="","","    &lt;itemfeedback ident=""response_7"" view=""All""&gt;&lt;flow_mat&gt;&lt;material&gt;&lt;mattext texttype=""text/html""&gt;"&amp;BA30&amp;"&lt;/mattext&gt;&lt;/material&gt;&lt;/flow_mat&gt;&lt;/itemfeedback&gt;"),"")</f>
      </c>
    </row>
    <row r="31" ht="18" customHeight="1" s="17">
      <c r="A31" s="46">
        <f>Saisie_Questions!A31</f>
        <v/>
      </c>
      <c r="B31" s="46">
        <f>Saisie_Questions!O31="OK"</f>
        <v/>
      </c>
      <c r="C31" s="46">
        <f>LOWER(TRIM(Saisie_Questions!B31))</f>
        <v/>
      </c>
      <c r="D31" s="46">
        <f>IF(C31="qcu","SINGLE CHOICE QUESTION","MULTIPLE CHOICE QUESTION")</f>
        <v/>
      </c>
      <c r="E31" s="46">
        <f>IF(C31="qcu","Single","Multiple")</f>
        <v/>
      </c>
      <c r="F31" s="46">
        <f>IF(A31="","",SUBSTITUTE(SUBSTITUTE(SUBSTITUTE(SUBSTITUTE(SUBSTITUTE(IF(Saisie_Questions!C31="", "Question "&amp;A31, Saisie_Questions!C31),"&amp;","&amp;amp;"),"&lt;","&amp;lt;"),"&gt;","&amp;gt;"),CHAR(34),"&amp;quot;"),"'","&amp;apos;"))</f>
        <v/>
      </c>
      <c r="G31" s="46">
        <f>IF(A31="","",SUBSTITUTE(SUBSTITUTE(SUBSTITUTE(SUBSTITUTE(SUBSTITUTE(Saisie_Questions!D31,"&amp;","&amp;amp;"),"&lt;","&amp;lt;"),"&gt;","&amp;gt;"),CHAR(34),"&amp;quot;"),"'","&amp;apos;"))</f>
        <v/>
      </c>
      <c r="H31" s="46">
        <f>Saisie_Questions!N31</f>
        <v/>
      </c>
      <c r="I31" s="46">
        <f>IF(Saisie_Questions!E31="",0,1)+IF(Saisie_Questions!F31="",0,1)+IF(Saisie_Questions!G31="",0,1)+IF(Saisie_Questions!H31="",0,1)+IF(Saisie_Questions!I31="",0,1)+IF(Saisie_Questions!J31="",0,1)+IF(Saisie_Questions!K31="",0,1)+IF(Saisie_Questions!L31="",0,1)</f>
        <v/>
      </c>
      <c r="J31" s="46">
        <f>Saisie_Questions!M31</f>
        <v/>
      </c>
      <c r="K31" s="46">
        <f>Saisie_Questions!O31</f>
        <v/>
      </c>
      <c r="L31" s="46">
        <f>IF(Saisie_Questions!E31="","",SUBSTITUTE(SUBSTITUTE(SUBSTITUTE(SUBSTITUTE(SUBSTITUTE(Saisie_Questions!E31,"&amp;","&amp;amp;"),"&lt;","&amp;lt;"),"&gt;","&amp;gt;"),CHAR(34),"&amp;quot;"),"'","&amp;apos;"))</f>
        <v/>
      </c>
      <c r="M31" s="46">
        <f>IF(Saisie_Questions!F31="","",SUBSTITUTE(SUBSTITUTE(SUBSTITUTE(SUBSTITUTE(SUBSTITUTE(Saisie_Questions!F31,"&amp;","&amp;amp;"),"&lt;","&amp;lt;"),"&gt;","&amp;gt;"),CHAR(34),"&amp;quot;"),"'","&amp;apos;"))</f>
        <v/>
      </c>
      <c r="N31" s="46">
        <f>IF(Saisie_Questions!G31="","",SUBSTITUTE(SUBSTITUTE(SUBSTITUTE(SUBSTITUTE(SUBSTITUTE(Saisie_Questions!G31,"&amp;","&amp;amp;"),"&lt;","&amp;lt;"),"&gt;","&amp;gt;"),CHAR(34),"&amp;quot;"),"'","&amp;apos;"))</f>
        <v/>
      </c>
      <c r="O31" s="46">
        <f>IF(Saisie_Questions!H31="","",SUBSTITUTE(SUBSTITUTE(SUBSTITUTE(SUBSTITUTE(SUBSTITUTE(Saisie_Questions!H31,"&amp;","&amp;amp;"),"&lt;","&amp;lt;"),"&gt;","&amp;gt;"),CHAR(34),"&amp;quot;"),"'","&amp;apos;"))</f>
        <v/>
      </c>
      <c r="P31" s="46">
        <f>IF(Saisie_Questions!I31="","",SUBSTITUTE(SUBSTITUTE(SUBSTITUTE(SUBSTITUTE(SUBSTITUTE(Saisie_Questions!I31,"&amp;","&amp;amp;"),"&lt;","&amp;lt;"),"&gt;","&amp;gt;"),CHAR(34),"&amp;quot;"),"'","&amp;apos;"))</f>
        <v/>
      </c>
      <c r="Q31" s="46">
        <f>IF(Saisie_Questions!J31="","",SUBSTITUTE(SUBSTITUTE(SUBSTITUTE(SUBSTITUTE(SUBSTITUTE(Saisie_Questions!J31,"&amp;","&amp;amp;"),"&lt;","&amp;lt;"),"&gt;","&amp;gt;"),CHAR(34),"&amp;quot;"),"'","&amp;apos;"))</f>
        <v/>
      </c>
      <c r="R31" s="46">
        <f>IF(Saisie_Questions!K31="","",SUBSTITUTE(SUBSTITUTE(SUBSTITUTE(SUBSTITUTE(SUBSTITUTE(Saisie_Questions!K31,"&amp;","&amp;amp;"),"&lt;","&amp;lt;"),"&gt;","&amp;gt;"),CHAR(34),"&amp;quot;"),"'","&amp;apos;"))</f>
        <v/>
      </c>
      <c r="S31" s="46">
        <f>IF(Saisie_Questions!L31="","",SUBSTITUTE(SUBSTITUTE(SUBSTITUTE(SUBSTITUTE(SUBSTITUTE(Saisie_Questions!L31,"&amp;","&amp;amp;"),"&lt;","&amp;lt;"),"&gt;","&amp;gt;"),CHAR(34),"&amp;quot;"),"'","&amp;apos;"))</f>
        <v/>
      </c>
      <c r="T31" s="46">
        <f>ISNUMBER(SEARCH(";"&amp;1&amp;";",";"&amp;$J31&amp;";"))</f>
        <v/>
      </c>
      <c r="U31" s="46">
        <f>ISNUMBER(SEARCH(";"&amp;2&amp;";",";"&amp;$J31&amp;";"))</f>
        <v/>
      </c>
      <c r="V31" s="46">
        <f>ISNUMBER(SEARCH(";"&amp;3&amp;";",";"&amp;$J31&amp;";"))</f>
        <v/>
      </c>
      <c r="W31" s="46">
        <f>ISNUMBER(SEARCH(";"&amp;4&amp;";",";"&amp;$J31&amp;";"))</f>
        <v/>
      </c>
      <c r="X31" s="46">
        <f>ISNUMBER(SEARCH(";"&amp;5&amp;";",";"&amp;$J31&amp;";"))</f>
        <v/>
      </c>
      <c r="Y31" s="46">
        <f>ISNUMBER(SEARCH(";"&amp;6&amp;";",";"&amp;$J31&amp;";"))</f>
        <v/>
      </c>
      <c r="Z31" s="46">
        <f>ISNUMBER(SEARCH(";"&amp;7&amp;";",";"&amp;$J31&amp;";"))</f>
        <v/>
      </c>
      <c r="AA31" s="46">
        <f>ISNUMBER(SEARCH(";"&amp;8&amp;";",";"&amp;$J31&amp;";"))</f>
        <v/>
      </c>
      <c r="AB31" s="46">
        <f>IF($B31,IF(L31="","","        &lt;response_label ident=""0""&gt;&lt;material&gt;&lt;mattext texttype=""text/html""&gt;"&amp;L31&amp;"&lt;/mattext&gt;&lt;/material&gt;&lt;/response_label&gt;"),"")</f>
        <v/>
      </c>
      <c r="AC31" s="46">
        <f>IF($B31,IF(M31="","","        &lt;response_label ident=""1""&gt;&lt;material&gt;&lt;mattext texttype=""text/html""&gt;"&amp;M31&amp;"&lt;/mattext&gt;&lt;/material&gt;&lt;/response_label&gt;"),"")</f>
        <v/>
      </c>
      <c r="AD31" s="46">
        <f>IF($B31,IF(N31="","","        &lt;response_label ident=""2""&gt;&lt;material&gt;&lt;mattext texttype=""text/html""&gt;"&amp;N31&amp;"&lt;/mattext&gt;&lt;/material&gt;&lt;/response_label&gt;"),"")</f>
        <v/>
      </c>
      <c r="AE31" s="46">
        <f>IF($B31,IF(O31="","","        &lt;response_label ident=""3""&gt;&lt;material&gt;&lt;mattext texttype=""text/html""&gt;"&amp;O31&amp;"&lt;/mattext&gt;&lt;/material&gt;&lt;/response_label&gt;"),"")</f>
        <v/>
      </c>
      <c r="AF31" s="46">
        <f>IF($B31,IF(P31="","","        &lt;response_label ident=""4""&gt;&lt;material&gt;&lt;mattext texttype=""text/html""&gt;"&amp;P31&amp;"&lt;/mattext&gt;&lt;/material&gt;&lt;/response_label&gt;"),"")</f>
        <v/>
      </c>
      <c r="AG31" s="46">
        <f>IF($B31,IF(Q31="","","        &lt;response_label ident=""5""&gt;&lt;material&gt;&lt;mattext texttype=""text/html""&gt;"&amp;Q31&amp;"&lt;/mattext&gt;&lt;/material&gt;&lt;/response_label&gt;"),"")</f>
        <v/>
      </c>
      <c r="AH31" s="46">
        <f>IF($B31,IF(R31="","","        &lt;response_label ident=""6""&gt;&lt;material&gt;&lt;mattext texttype=""text/html""&gt;"&amp;R31&amp;"&lt;/mattext&gt;&lt;/material&gt;&lt;/response_label&gt;"),"")</f>
        <v/>
      </c>
      <c r="AI31" s="46">
        <f>IF($B31,IF(S31="","","        &lt;response_label ident=""7""&gt;&lt;material&gt;&lt;mattext texttype=""text/html""&gt;"&amp;S31&amp;"&lt;/mattext&gt;&lt;/material&gt;&lt;/response_label&gt;"),"")</f>
        <v/>
      </c>
      <c r="AJ31" s="46">
        <f>IF($B31,IF(L31="","",IF($C31="qcu",IF(OR(T31,AT31&lt;&gt;"",$AS31&lt;&gt;""),"      &lt;respcondition continue=""Yes""&gt;&lt;conditionvar&gt;&lt;varequal respident=""RESPONSE""&gt;0&lt;/varequal&gt;&lt;/conditionvar&gt;"&amp;"&lt;setvar action=""Add""&gt;"&amp;IF(T31,$H31,0)&amp;"&lt;/setvar&gt;"&amp;IF(AT31&lt;&gt;"","&lt;displayfeedback feedbacktype=""Response"" linkrefid=""response_0""/&gt;",IF($AS31&lt;&gt;"","&lt;displayfeedback feedbacktype=""Response"" linkrefid=""qti_feedback_trigger""/&gt;",""))&amp;"&lt;/respcondition&gt;",""),IF(OR(T31,AT31&lt;&gt;"",$AS31&lt;&gt;""),"      &lt;respcondition continue=""Yes""&gt;&lt;conditionvar&gt;"&amp;IF(T31,"&lt;varequal respident=""RESPONSE""&gt;0&lt;/varequal&gt;","&lt;not&gt;&lt;varequal respident=""RESPONSE""&gt;0&lt;/varequal&gt;&lt;/not&gt;")&amp;"&lt;/conditionvar&gt;&lt;setvar action=""Add""&gt;"&amp;(Saisie_Questions!$N31/$I31)&amp;"&lt;/setvar&gt;"&amp;IF(AT31&lt;&gt;"","&lt;displayfeedback feedbacktype=""Response"" linkrefid=""response_0""/&gt;",IF($AS31&lt;&gt;"","&lt;displayfeedback feedbacktype=""Response"" linkrefid=""qti_feedback_trigger""/&gt;",""))&amp;"&lt;/respcondition&gt;",""))),"")</f>
      </c>
      <c r="AK31" s="46">
        <f>IF($B31,IF(M31="","",IF($C31="qcu",IF(OR(U31,AU31&lt;&gt;"",$AS31&lt;&gt;""),"      &lt;respcondition continue=""Yes""&gt;&lt;conditionvar&gt;&lt;varequal respident=""RESPONSE""&gt;1&lt;/varequal&gt;&lt;/conditionvar&gt;"&amp;"&lt;setvar action=""Add""&gt;"&amp;IF(U31,$H31,0)&amp;"&lt;/setvar&gt;"&amp;IF(AU31&lt;&gt;"","&lt;displayfeedback feedbacktype=""Response"" linkrefid=""response_1""/&gt;",IF($AS31&lt;&gt;"","&lt;displayfeedback feedbacktype=""Response"" linkrefid=""qti_feedback_trigger""/&gt;",""))&amp;"&lt;/respcondition&gt;",""),IF(OR(U31,AU31&lt;&gt;"",$AS31&lt;&gt;""),"      &lt;respcondition continue=""Yes""&gt;&lt;conditionvar&gt;"&amp;IF(U31,"&lt;varequal respident=""RESPONSE""&gt;1&lt;/varequal&gt;","&lt;not&gt;&lt;varequal respident=""RESPONSE""&gt;1&lt;/varequal&gt;&lt;/not&gt;")&amp;"&lt;/conditionvar&gt;&lt;setvar action=""Add""&gt;"&amp;(Saisie_Questions!$N31/$I31)&amp;"&lt;/setvar&gt;"&amp;IF(AU31&lt;&gt;"","&lt;displayfeedback feedbacktype=""Response"" linkrefid=""response_1""/&gt;",IF($AS31&lt;&gt;"","&lt;displayfeedback feedbacktype=""Response"" linkrefid=""qti_feedback_trigger""/&gt;",""))&amp;"&lt;/respcondition&gt;",""))),"")</f>
      </c>
      <c r="AL31" s="46">
        <f>IF($B31,IF(N31="","",IF($C31="qcu",IF(OR(V31,AV31&lt;&gt;"",$AS31&lt;&gt;""),"      &lt;respcondition continue=""Yes""&gt;&lt;conditionvar&gt;&lt;varequal respident=""RESPONSE""&gt;2&lt;/varequal&gt;&lt;/conditionvar&gt;"&amp;"&lt;setvar action=""Add""&gt;"&amp;IF(V31,$H31,0)&amp;"&lt;/setvar&gt;"&amp;IF(AV31&lt;&gt;"","&lt;displayfeedback feedbacktype=""Response"" linkrefid=""response_2""/&gt;",IF($AS31&lt;&gt;"","&lt;displayfeedback feedbacktype=""Response"" linkrefid=""qti_feedback_trigger""/&gt;",""))&amp;"&lt;/respcondition&gt;",""),IF(OR(V31,AV31&lt;&gt;"",$AS31&lt;&gt;""),"      &lt;respcondition continue=""Yes""&gt;&lt;conditionvar&gt;"&amp;IF(V31,"&lt;varequal respident=""RESPONSE""&gt;2&lt;/varequal&gt;","&lt;not&gt;&lt;varequal respident=""RESPONSE""&gt;2&lt;/varequal&gt;&lt;/not&gt;")&amp;"&lt;/conditionvar&gt;&lt;setvar action=""Add""&gt;"&amp;(Saisie_Questions!$N31/$I31)&amp;"&lt;/setvar&gt;"&amp;IF(AV31&lt;&gt;"","&lt;displayfeedback feedbacktype=""Response"" linkrefid=""response_2""/&gt;",IF($AS31&lt;&gt;"","&lt;displayfeedback feedbacktype=""Response"" linkrefid=""qti_feedback_trigger""/&gt;",""))&amp;"&lt;/respcondition&gt;",""))),"")</f>
      </c>
      <c r="AM31" s="46">
        <f>IF($B31,IF(O31="","",IF($C31="qcu",IF(OR(W31,AW31&lt;&gt;"",$AS31&lt;&gt;""),"      &lt;respcondition continue=""Yes""&gt;&lt;conditionvar&gt;&lt;varequal respident=""RESPONSE""&gt;3&lt;/varequal&gt;&lt;/conditionvar&gt;"&amp;"&lt;setvar action=""Add""&gt;"&amp;IF(W31,$H31,0)&amp;"&lt;/setvar&gt;"&amp;IF(AW31&lt;&gt;"","&lt;displayfeedback feedbacktype=""Response"" linkrefid=""response_3""/&gt;",IF($AS31&lt;&gt;"","&lt;displayfeedback feedbacktype=""Response"" linkrefid=""qti_feedback_trigger""/&gt;",""))&amp;"&lt;/respcondition&gt;",""),IF(OR(W31,AW31&lt;&gt;"",$AS31&lt;&gt;""),"      &lt;respcondition continue=""Yes""&gt;&lt;conditionvar&gt;"&amp;IF(W31,"&lt;varequal respident=""RESPONSE""&gt;3&lt;/varequal&gt;","&lt;not&gt;&lt;varequal respident=""RESPONSE""&gt;3&lt;/varequal&gt;&lt;/not&gt;")&amp;"&lt;/conditionvar&gt;&lt;setvar action=""Add""&gt;"&amp;(Saisie_Questions!$N31/$I31)&amp;"&lt;/setvar&gt;"&amp;IF(AW31&lt;&gt;"","&lt;displayfeedback feedbacktype=""Response"" linkrefid=""response_3""/&gt;",IF($AS31&lt;&gt;"","&lt;displayfeedback feedbacktype=""Response"" linkrefid=""qti_feedback_trigger""/&gt;",""))&amp;"&lt;/respcondition&gt;",""))),"")</f>
      </c>
      <c r="AN31" s="46">
        <f>IF($B31,IF(P31="","",IF($C31="qcu",IF(OR(X31,AX31&lt;&gt;"",$AS31&lt;&gt;""),"      &lt;respcondition continue=""Yes""&gt;&lt;conditionvar&gt;&lt;varequal respident=""RESPONSE""&gt;4&lt;/varequal&gt;&lt;/conditionvar&gt;"&amp;"&lt;setvar action=""Add""&gt;"&amp;IF(X31,$H31,0)&amp;"&lt;/setvar&gt;"&amp;IF(AX31&lt;&gt;"","&lt;displayfeedback feedbacktype=""Response"" linkrefid=""response_4""/&gt;",IF($AS31&lt;&gt;"","&lt;displayfeedback feedbacktype=""Response"" linkrefid=""qti_feedback_trigger""/&gt;",""))&amp;"&lt;/respcondition&gt;",""),IF(OR(X31,AX31&lt;&gt;"",$AS31&lt;&gt;""),"      &lt;respcondition continue=""Yes""&gt;&lt;conditionvar&gt;"&amp;IF(X31,"&lt;varequal respident=""RESPONSE""&gt;4&lt;/varequal&gt;","&lt;not&gt;&lt;varequal respident=""RESPONSE""&gt;4&lt;/varequal&gt;&lt;/not&gt;")&amp;"&lt;/conditionvar&gt;&lt;setvar action=""Add""&gt;"&amp;(Saisie_Questions!$N31/$I31)&amp;"&lt;/setvar&gt;"&amp;IF(AX31&lt;&gt;"","&lt;displayfeedback feedbacktype=""Response"" linkrefid=""response_4""/&gt;",IF($AS31&lt;&gt;"","&lt;displayfeedback feedbacktype=""Response"" linkrefid=""qti_feedback_trigger""/&gt;",""))&amp;"&lt;/respcondition&gt;",""))),"")</f>
      </c>
      <c r="AO31" s="46">
        <f>IF($B31,IF(Q31="","",IF($C31="qcu",IF(OR(Y31,AY31&lt;&gt;"",$AS31&lt;&gt;""),"      &lt;respcondition continue=""Yes""&gt;&lt;conditionvar&gt;&lt;varequal respident=""RESPONSE""&gt;5&lt;/varequal&gt;&lt;/conditionvar&gt;"&amp;"&lt;setvar action=""Add""&gt;"&amp;IF(Y31,$H31,0)&amp;"&lt;/setvar&gt;"&amp;IF(AY31&lt;&gt;"","&lt;displayfeedback feedbacktype=""Response"" linkrefid=""response_5""/&gt;",IF($AS31&lt;&gt;"","&lt;displayfeedback feedbacktype=""Response"" linkrefid=""qti_feedback_trigger""/&gt;",""))&amp;"&lt;/respcondition&gt;",""),IF(OR(Y31,AY31&lt;&gt;"",$AS31&lt;&gt;""),"      &lt;respcondition continue=""Yes""&gt;&lt;conditionvar&gt;"&amp;IF(Y31,"&lt;varequal respident=""RESPONSE""&gt;5&lt;/varequal&gt;","&lt;not&gt;&lt;varequal respident=""RESPONSE""&gt;5&lt;/varequal&gt;&lt;/not&gt;")&amp;"&lt;/conditionvar&gt;&lt;setvar action=""Add""&gt;"&amp;(Saisie_Questions!$N31/$I31)&amp;"&lt;/setvar&gt;"&amp;IF(AY31&lt;&gt;"","&lt;displayfeedback feedbacktype=""Response"" linkrefid=""response_5""/&gt;",IF($AS31&lt;&gt;"","&lt;displayfeedback feedbacktype=""Response"" linkrefid=""qti_feedback_trigger""/&gt;",""))&amp;"&lt;/respcondition&gt;",""))),"")</f>
      </c>
      <c r="AP31" s="46">
        <f>IF($B31,IF(R31="","",IF($C31="qcu",IF(OR(Z31,AZ31&lt;&gt;"",$AS31&lt;&gt;""),"      &lt;respcondition continue=""Yes""&gt;&lt;conditionvar&gt;&lt;varequal respident=""RESPONSE""&gt;6&lt;/varequal&gt;&lt;/conditionvar&gt;"&amp;"&lt;setvar action=""Add""&gt;"&amp;IF(Z31,$H31,0)&amp;"&lt;/setvar&gt;"&amp;IF(AZ31&lt;&gt;"","&lt;displayfeedback feedbacktype=""Response"" linkrefid=""response_6""/&gt;",IF($AS31&lt;&gt;"","&lt;displayfeedback feedbacktype=""Response"" linkrefid=""qti_feedback_trigger""/&gt;",""))&amp;"&lt;/respcondition&gt;",""),IF(OR(Z31,AZ31&lt;&gt;"",$AS31&lt;&gt;""),"      &lt;respcondition continue=""Yes""&gt;&lt;conditionvar&gt;"&amp;IF(Z31,"&lt;varequal respident=""RESPONSE""&gt;6&lt;/varequal&gt;","&lt;not&gt;&lt;varequal respident=""RESPONSE""&gt;6&lt;/varequal&gt;&lt;/not&gt;")&amp;"&lt;/conditionvar&gt;&lt;setvar action=""Add""&gt;"&amp;(Saisie_Questions!$N31/$I31)&amp;"&lt;/setvar&gt;"&amp;IF(AZ31&lt;&gt;"","&lt;displayfeedback feedbacktype=""Response"" linkrefid=""response_6""/&gt;",IF($AS31&lt;&gt;"","&lt;displayfeedback feedbacktype=""Response"" linkrefid=""qti_feedback_trigger""/&gt;",""))&amp;"&lt;/respcondition&gt;",""))),"")</f>
      </c>
      <c r="AQ31" s="46">
        <f>IF($B31,IF(S31="","",IF($C31="qcu",IF(OR(AA31,BA31&lt;&gt;"",$AS31&lt;&gt;""),"      &lt;respcondition continue=""Yes""&gt;&lt;conditionvar&gt;&lt;varequal respident=""RESPONSE""&gt;7&lt;/varequal&gt;&lt;/conditionvar&gt;"&amp;"&lt;setvar action=""Add""&gt;"&amp;IF(AA31,$H31,0)&amp;"&lt;/setvar&gt;"&amp;IF(BA31&lt;&gt;"","&lt;displayfeedback feedbacktype=""Response"" linkrefid=""response_7""/&gt;",IF($AS31&lt;&gt;"","&lt;displayfeedback feedbacktype=""Response"" linkrefid=""qti_feedback_trigger""/&gt;",""))&amp;"&lt;/respcondition&gt;",""),IF(OR(AA31,BA31&lt;&gt;"",$AS31&lt;&gt;""),"      &lt;respcondition continue=""Yes""&gt;&lt;conditionvar&gt;"&amp;IF(AA31,"&lt;varequal respident=""RESPONSE""&gt;7&lt;/varequal&gt;","&lt;not&gt;&lt;varequal respident=""RESPONSE""&gt;7&lt;/varequal&gt;&lt;/not&gt;")&amp;"&lt;/conditionvar&gt;&lt;setvar action=""Add""&gt;"&amp;(Saisie_Questions!$N31/$I31)&amp;"&lt;/setvar&gt;"&amp;IF(BA31&lt;&gt;"","&lt;displayfeedback feedbacktype=""Response"" linkrefid=""response_7""/&gt;",IF($AS31&lt;&gt;"","&lt;displayfeedback feedbacktype=""Response"" linkrefid=""qti_feedback_trigger""/&gt;",""))&amp;"&lt;/respcondition&gt;",""))),"")</f>
      </c>
      <c r="AR31" s="46">
        <f>IF(A31="","",SUBSTITUTE(SUBSTITUTE(SUBSTITUTE(SUBSTITUTE(SUBSTITUTE(IF(Saisie_Questions!P31&lt;&gt;"",Saisie_Questions!P31,Interface_Generation!$B$5),"&amp;","&amp;amp;"),"&lt;","&amp;lt;"),"&gt;","&amp;gt;"),CHAR(34),"&amp;quot;"),"'","&amp;apos;"))</f>
        <v/>
      </c>
      <c r="AS31" s="46">
        <f>IF(Saisie_Questions!Q31="","",SUBSTITUTE(SUBSTITUTE(SUBSTITUTE(SUBSTITUTE(SUBSTITUTE(Saisie_Questions!Q31,"&amp;","&amp;amp;"),"&lt;","&amp;lt;"),"&gt;","&amp;gt;"),CHAR(34),"&amp;quot;"),"'","&amp;apos;"))</f>
        <v/>
      </c>
      <c r="AT31" s="46">
        <f>IF(Saisie_Questions!R31="","",SUBSTITUTE(SUBSTITUTE(SUBSTITUTE(SUBSTITUTE(SUBSTITUTE(Saisie_Questions!R31,"&amp;","&amp;amp;"),"&lt;","&amp;lt;"),"&gt;","&amp;gt;"),CHAR(34),"&amp;quot;"),"'","&amp;apos;"))</f>
        <v/>
      </c>
      <c r="AU31" s="46">
        <f>IF(Saisie_Questions!S31="","",SUBSTITUTE(SUBSTITUTE(SUBSTITUTE(SUBSTITUTE(SUBSTITUTE(Saisie_Questions!S31,"&amp;","&amp;amp;"),"&lt;","&amp;lt;"),"&gt;","&amp;gt;"),CHAR(34),"&amp;quot;"),"'","&amp;apos;"))</f>
        <v/>
      </c>
      <c r="AV31" s="46">
        <f>IF(Saisie_Questions!T31="","",SUBSTITUTE(SUBSTITUTE(SUBSTITUTE(SUBSTITUTE(SUBSTITUTE(Saisie_Questions!T31,"&amp;","&amp;amp;"),"&lt;","&amp;lt;"),"&gt;","&amp;gt;"),CHAR(34),"&amp;quot;"),"'","&amp;apos;"))</f>
        <v/>
      </c>
      <c r="AW31" s="46">
        <f>IF(Saisie_Questions!U31="","",SUBSTITUTE(SUBSTITUTE(SUBSTITUTE(SUBSTITUTE(SUBSTITUTE(Saisie_Questions!U31,"&amp;","&amp;amp;"),"&lt;","&amp;lt;"),"&gt;","&amp;gt;"),CHAR(34),"&amp;quot;"),"'","&amp;apos;"))</f>
        <v/>
      </c>
      <c r="AX31" s="46">
        <f>IF(Saisie_Questions!V31="","",SUBSTITUTE(SUBSTITUTE(SUBSTITUTE(SUBSTITUTE(SUBSTITUTE(Saisie_Questions!V31,"&amp;","&amp;amp;"),"&lt;","&amp;lt;"),"&gt;","&amp;gt;"),CHAR(34),"&amp;quot;"),"'","&amp;apos;"))</f>
        <v/>
      </c>
      <c r="AY31" s="46">
        <f>IF(Saisie_Questions!W31="","",SUBSTITUTE(SUBSTITUTE(SUBSTITUTE(SUBSTITUTE(SUBSTITUTE(Saisie_Questions!W31,"&amp;","&amp;amp;"),"&lt;","&amp;lt;"),"&gt;","&amp;gt;"),CHAR(34),"&amp;quot;"),"'","&amp;apos;"))</f>
        <v/>
      </c>
      <c r="AZ31" s="46">
        <f>IF(Saisie_Questions!X31="","",SUBSTITUTE(SUBSTITUTE(SUBSTITUTE(SUBSTITUTE(SUBSTITUTE(Saisie_Questions!X31,"&amp;","&amp;amp;"),"&lt;","&amp;lt;"),"&gt;","&amp;gt;"),CHAR(34),"&amp;quot;"),"'","&amp;apos;"))</f>
        <v/>
      </c>
      <c r="BA31" s="46">
        <f>IF(Saisie_Questions!Y31="","",SUBSTITUTE(SUBSTITUTE(SUBSTITUTE(SUBSTITUTE(SUBSTITUTE(Saisie_Questions!Y31,"&amp;","&amp;amp;"),"&lt;","&amp;lt;"),"&gt;","&amp;gt;"),CHAR(34),"&amp;quot;"),"'","&amp;apos;"))</f>
        <v/>
      </c>
      <c r="BB31" s="46">
        <f>IF($B31,IF($AS31="","","    &lt;itemfeedback ident=""response_allcorrect"" view=""All""&gt;&lt;flow_mat&gt;&lt;material&gt;&lt;mattext texttype=""text/html""&gt;"&amp;$AS31&amp;"&lt;/mattext&gt;&lt;/material&gt;&lt;/flow_mat&gt;&lt;/itemfeedback&gt;"&amp;"    &lt;itemfeedback ident=""response_onenotcorrect"" view=""All""&gt;&lt;flow_mat&gt;&lt;material&gt;&lt;mattext texttype=""text/html""&gt;"&amp;$AS31&amp;"&lt;/mattext&gt;&lt;/material&gt;&lt;/flow_mat&gt;&lt;/itemfeedback&gt;"),"")</f>
      </c>
      <c r="BC31" s="46">
        <f>IF($B31,IF(AT31="","","    &lt;itemfeedback ident=""response_0"" view=""All""&gt;&lt;flow_mat&gt;&lt;material&gt;&lt;mattext texttype=""text/html""&gt;"&amp;AT31&amp;"&lt;/mattext&gt;&lt;/material&gt;&lt;/flow_mat&gt;&lt;/itemfeedback&gt;"),"")</f>
      </c>
      <c r="BD31" s="46">
        <f>IF($B31,IF(AU31="","","    &lt;itemfeedback ident=""response_1"" view=""All""&gt;&lt;flow_mat&gt;&lt;material&gt;&lt;mattext texttype=""text/html""&gt;"&amp;AU31&amp;"&lt;/mattext&gt;&lt;/material&gt;&lt;/flow_mat&gt;&lt;/itemfeedback&gt;"),"")</f>
      </c>
      <c r="BE31" s="46">
        <f>IF($B31,IF(AV31="","","    &lt;itemfeedback ident=""response_2"" view=""All""&gt;&lt;flow_mat&gt;&lt;material&gt;&lt;mattext texttype=""text/html""&gt;"&amp;AV31&amp;"&lt;/mattext&gt;&lt;/material&gt;&lt;/flow_mat&gt;&lt;/itemfeedback&gt;"),"")</f>
      </c>
      <c r="BF31" s="46">
        <f>IF($B31,IF(AW31="","","    &lt;itemfeedback ident=""response_3"" view=""All""&gt;&lt;flow_mat&gt;&lt;material&gt;&lt;mattext texttype=""text/html""&gt;"&amp;AW31&amp;"&lt;/mattext&gt;&lt;/material&gt;&lt;/flow_mat&gt;&lt;/itemfeedback&gt;"),"")</f>
      </c>
      <c r="BG31" s="46">
        <f>IF($B31,IF(AX31="","","    &lt;itemfeedback ident=""response_4"" view=""All""&gt;&lt;flow_mat&gt;&lt;material&gt;&lt;mattext texttype=""text/html""&gt;"&amp;AX31&amp;"&lt;/mattext&gt;&lt;/material&gt;&lt;/flow_mat&gt;&lt;/itemfeedback&gt;"),"")</f>
      </c>
      <c r="BH31" s="46">
        <f>IF($B31,IF(AY31="","","    &lt;itemfeedback ident=""response_5"" view=""All""&gt;&lt;flow_mat&gt;&lt;material&gt;&lt;mattext texttype=""text/html""&gt;"&amp;AY31&amp;"&lt;/mattext&gt;&lt;/material&gt;&lt;/flow_mat&gt;&lt;/itemfeedback&gt;"),"")</f>
      </c>
      <c r="BI31" s="46">
        <f>IF($B31,IF(AZ31="","","    &lt;itemfeedback ident=""response_6"" view=""All""&gt;&lt;flow_mat&gt;&lt;material&gt;&lt;mattext texttype=""text/html""&gt;"&amp;AZ31&amp;"&lt;/mattext&gt;&lt;/material&gt;&lt;/flow_mat&gt;&lt;/itemfeedback&gt;"),"")</f>
      </c>
      <c r="BJ31" s="46">
        <f>IF($B31,IF(BA31="","","    &lt;itemfeedback ident=""response_7"" view=""All""&gt;&lt;flow_mat&gt;&lt;material&gt;&lt;mattext texttype=""text/html""&gt;"&amp;BA31&amp;"&lt;/mattext&gt;&lt;/material&gt;&lt;/flow_mat&gt;&lt;/itemfeedback&gt;"),"")</f>
      </c>
    </row>
    <row r="32" ht="18" customHeight="1" s="17">
      <c r="A32" s="46">
        <f>Saisie_Questions!A32</f>
        <v/>
      </c>
      <c r="B32" s="46">
        <f>Saisie_Questions!O32="OK"</f>
        <v/>
      </c>
      <c r="C32" s="46">
        <f>LOWER(TRIM(Saisie_Questions!B32))</f>
        <v/>
      </c>
      <c r="D32" s="46">
        <f>IF(C32="qcu","SINGLE CHOICE QUESTION","MULTIPLE CHOICE QUESTION")</f>
        <v/>
      </c>
      <c r="E32" s="46">
        <f>IF(C32="qcu","Single","Multiple")</f>
        <v/>
      </c>
      <c r="F32" s="46">
        <f>IF(A32="","",SUBSTITUTE(SUBSTITUTE(SUBSTITUTE(SUBSTITUTE(SUBSTITUTE(IF(Saisie_Questions!C32="", "Question "&amp;A32, Saisie_Questions!C32),"&amp;","&amp;amp;"),"&lt;","&amp;lt;"),"&gt;","&amp;gt;"),CHAR(34),"&amp;quot;"),"'","&amp;apos;"))</f>
        <v/>
      </c>
      <c r="G32" s="46">
        <f>IF(A32="","",SUBSTITUTE(SUBSTITUTE(SUBSTITUTE(SUBSTITUTE(SUBSTITUTE(Saisie_Questions!D32,"&amp;","&amp;amp;"),"&lt;","&amp;lt;"),"&gt;","&amp;gt;"),CHAR(34),"&amp;quot;"),"'","&amp;apos;"))</f>
        <v/>
      </c>
      <c r="H32" s="46">
        <f>Saisie_Questions!N32</f>
        <v/>
      </c>
      <c r="I32" s="46">
        <f>IF(Saisie_Questions!E32="",0,1)+IF(Saisie_Questions!F32="",0,1)+IF(Saisie_Questions!G32="",0,1)+IF(Saisie_Questions!H32="",0,1)+IF(Saisie_Questions!I32="",0,1)+IF(Saisie_Questions!J32="",0,1)+IF(Saisie_Questions!K32="",0,1)+IF(Saisie_Questions!L32="",0,1)</f>
        <v/>
      </c>
      <c r="J32" s="46">
        <f>Saisie_Questions!M32</f>
        <v/>
      </c>
      <c r="K32" s="46">
        <f>Saisie_Questions!O32</f>
        <v/>
      </c>
      <c r="L32" s="46">
        <f>IF(Saisie_Questions!E32="","",SUBSTITUTE(SUBSTITUTE(SUBSTITUTE(SUBSTITUTE(SUBSTITUTE(Saisie_Questions!E32,"&amp;","&amp;amp;"),"&lt;","&amp;lt;"),"&gt;","&amp;gt;"),CHAR(34),"&amp;quot;"),"'","&amp;apos;"))</f>
        <v/>
      </c>
      <c r="M32" s="46">
        <f>IF(Saisie_Questions!F32="","",SUBSTITUTE(SUBSTITUTE(SUBSTITUTE(SUBSTITUTE(SUBSTITUTE(Saisie_Questions!F32,"&amp;","&amp;amp;"),"&lt;","&amp;lt;"),"&gt;","&amp;gt;"),CHAR(34),"&amp;quot;"),"'","&amp;apos;"))</f>
        <v/>
      </c>
      <c r="N32" s="46">
        <f>IF(Saisie_Questions!G32="","",SUBSTITUTE(SUBSTITUTE(SUBSTITUTE(SUBSTITUTE(SUBSTITUTE(Saisie_Questions!G32,"&amp;","&amp;amp;"),"&lt;","&amp;lt;"),"&gt;","&amp;gt;"),CHAR(34),"&amp;quot;"),"'","&amp;apos;"))</f>
        <v/>
      </c>
      <c r="O32" s="46">
        <f>IF(Saisie_Questions!H32="","",SUBSTITUTE(SUBSTITUTE(SUBSTITUTE(SUBSTITUTE(SUBSTITUTE(Saisie_Questions!H32,"&amp;","&amp;amp;"),"&lt;","&amp;lt;"),"&gt;","&amp;gt;"),CHAR(34),"&amp;quot;"),"'","&amp;apos;"))</f>
        <v/>
      </c>
      <c r="P32" s="46">
        <f>IF(Saisie_Questions!I32="","",SUBSTITUTE(SUBSTITUTE(SUBSTITUTE(SUBSTITUTE(SUBSTITUTE(Saisie_Questions!I32,"&amp;","&amp;amp;"),"&lt;","&amp;lt;"),"&gt;","&amp;gt;"),CHAR(34),"&amp;quot;"),"'","&amp;apos;"))</f>
        <v/>
      </c>
      <c r="Q32" s="46">
        <f>IF(Saisie_Questions!J32="","",SUBSTITUTE(SUBSTITUTE(SUBSTITUTE(SUBSTITUTE(SUBSTITUTE(Saisie_Questions!J32,"&amp;","&amp;amp;"),"&lt;","&amp;lt;"),"&gt;","&amp;gt;"),CHAR(34),"&amp;quot;"),"'","&amp;apos;"))</f>
        <v/>
      </c>
      <c r="R32" s="46">
        <f>IF(Saisie_Questions!K32="","",SUBSTITUTE(SUBSTITUTE(SUBSTITUTE(SUBSTITUTE(SUBSTITUTE(Saisie_Questions!K32,"&amp;","&amp;amp;"),"&lt;","&amp;lt;"),"&gt;","&amp;gt;"),CHAR(34),"&amp;quot;"),"'","&amp;apos;"))</f>
        <v/>
      </c>
      <c r="S32" s="46">
        <f>IF(Saisie_Questions!L32="","",SUBSTITUTE(SUBSTITUTE(SUBSTITUTE(SUBSTITUTE(SUBSTITUTE(Saisie_Questions!L32,"&amp;","&amp;amp;"),"&lt;","&amp;lt;"),"&gt;","&amp;gt;"),CHAR(34),"&amp;quot;"),"'","&amp;apos;"))</f>
        <v/>
      </c>
      <c r="T32" s="46">
        <f>ISNUMBER(SEARCH(";"&amp;1&amp;";",";"&amp;$J32&amp;";"))</f>
        <v/>
      </c>
      <c r="U32" s="46">
        <f>ISNUMBER(SEARCH(";"&amp;2&amp;";",";"&amp;$J32&amp;";"))</f>
        <v/>
      </c>
      <c r="V32" s="46">
        <f>ISNUMBER(SEARCH(";"&amp;3&amp;";",";"&amp;$J32&amp;";"))</f>
        <v/>
      </c>
      <c r="W32" s="46">
        <f>ISNUMBER(SEARCH(";"&amp;4&amp;";",";"&amp;$J32&amp;";"))</f>
        <v/>
      </c>
      <c r="X32" s="46">
        <f>ISNUMBER(SEARCH(";"&amp;5&amp;";",";"&amp;$J32&amp;";"))</f>
        <v/>
      </c>
      <c r="Y32" s="46">
        <f>ISNUMBER(SEARCH(";"&amp;6&amp;";",";"&amp;$J32&amp;";"))</f>
        <v/>
      </c>
      <c r="Z32" s="46">
        <f>ISNUMBER(SEARCH(";"&amp;7&amp;";",";"&amp;$J32&amp;";"))</f>
        <v/>
      </c>
      <c r="AA32" s="46">
        <f>ISNUMBER(SEARCH(";"&amp;8&amp;";",";"&amp;$J32&amp;";"))</f>
        <v/>
      </c>
      <c r="AB32" s="46">
        <f>IF($B32,IF(L32="","","        &lt;response_label ident=""0""&gt;&lt;material&gt;&lt;mattext texttype=""text/html""&gt;"&amp;L32&amp;"&lt;/mattext&gt;&lt;/material&gt;&lt;/response_label&gt;"),"")</f>
        <v/>
      </c>
      <c r="AC32" s="46">
        <f>IF($B32,IF(M32="","","        &lt;response_label ident=""1""&gt;&lt;material&gt;&lt;mattext texttype=""text/html""&gt;"&amp;M32&amp;"&lt;/mattext&gt;&lt;/material&gt;&lt;/response_label&gt;"),"")</f>
        <v/>
      </c>
      <c r="AD32" s="46">
        <f>IF($B32,IF(N32="","","        &lt;response_label ident=""2""&gt;&lt;material&gt;&lt;mattext texttype=""text/html""&gt;"&amp;N32&amp;"&lt;/mattext&gt;&lt;/material&gt;&lt;/response_label&gt;"),"")</f>
        <v/>
      </c>
      <c r="AE32" s="46">
        <f>IF($B32,IF(O32="","","        &lt;response_label ident=""3""&gt;&lt;material&gt;&lt;mattext texttype=""text/html""&gt;"&amp;O32&amp;"&lt;/mattext&gt;&lt;/material&gt;&lt;/response_label&gt;"),"")</f>
        <v/>
      </c>
      <c r="AF32" s="46">
        <f>IF($B32,IF(P32="","","        &lt;response_label ident=""4""&gt;&lt;material&gt;&lt;mattext texttype=""text/html""&gt;"&amp;P32&amp;"&lt;/mattext&gt;&lt;/material&gt;&lt;/response_label&gt;"),"")</f>
        <v/>
      </c>
      <c r="AG32" s="46">
        <f>IF($B32,IF(Q32="","","        &lt;response_label ident=""5""&gt;&lt;material&gt;&lt;mattext texttype=""text/html""&gt;"&amp;Q32&amp;"&lt;/mattext&gt;&lt;/material&gt;&lt;/response_label&gt;"),"")</f>
        <v/>
      </c>
      <c r="AH32" s="46">
        <f>IF($B32,IF(R32="","","        &lt;response_label ident=""6""&gt;&lt;material&gt;&lt;mattext texttype=""text/html""&gt;"&amp;R32&amp;"&lt;/mattext&gt;&lt;/material&gt;&lt;/response_label&gt;"),"")</f>
        <v/>
      </c>
      <c r="AI32" s="46">
        <f>IF($B32,IF(S32="","","        &lt;response_label ident=""7""&gt;&lt;material&gt;&lt;mattext texttype=""text/html""&gt;"&amp;S32&amp;"&lt;/mattext&gt;&lt;/material&gt;&lt;/response_label&gt;"),"")</f>
        <v/>
      </c>
      <c r="AJ32" s="46">
        <f>IF($B32,IF(L32="","",IF($C32="qcu",IF(OR(T32,AT32&lt;&gt;"",$AS32&lt;&gt;""),"      &lt;respcondition continue=""Yes""&gt;&lt;conditionvar&gt;&lt;varequal respident=""RESPONSE""&gt;0&lt;/varequal&gt;&lt;/conditionvar&gt;"&amp;"&lt;setvar action=""Add""&gt;"&amp;IF(T32,$H32,0)&amp;"&lt;/setvar&gt;"&amp;IF(AT32&lt;&gt;"","&lt;displayfeedback feedbacktype=""Response"" linkrefid=""response_0""/&gt;",IF($AS32&lt;&gt;"","&lt;displayfeedback feedbacktype=""Response"" linkrefid=""qti_feedback_trigger""/&gt;",""))&amp;"&lt;/respcondition&gt;",""),IF(OR(T32,AT32&lt;&gt;"",$AS32&lt;&gt;""),"      &lt;respcondition continue=""Yes""&gt;&lt;conditionvar&gt;"&amp;IF(T32,"&lt;varequal respident=""RESPONSE""&gt;0&lt;/varequal&gt;","&lt;not&gt;&lt;varequal respident=""RESPONSE""&gt;0&lt;/varequal&gt;&lt;/not&gt;")&amp;"&lt;/conditionvar&gt;&lt;setvar action=""Add""&gt;"&amp;(Saisie_Questions!$N32/$I32)&amp;"&lt;/setvar&gt;"&amp;IF(AT32&lt;&gt;"","&lt;displayfeedback feedbacktype=""Response"" linkrefid=""response_0""/&gt;",IF($AS32&lt;&gt;"","&lt;displayfeedback feedbacktype=""Response"" linkrefid=""qti_feedback_trigger""/&gt;",""))&amp;"&lt;/respcondition&gt;",""))),"")</f>
      </c>
      <c r="AK32" s="46">
        <f>IF($B32,IF(M32="","",IF($C32="qcu",IF(OR(U32,AU32&lt;&gt;"",$AS32&lt;&gt;""),"      &lt;respcondition continue=""Yes""&gt;&lt;conditionvar&gt;&lt;varequal respident=""RESPONSE""&gt;1&lt;/varequal&gt;&lt;/conditionvar&gt;"&amp;"&lt;setvar action=""Add""&gt;"&amp;IF(U32,$H32,0)&amp;"&lt;/setvar&gt;"&amp;IF(AU32&lt;&gt;"","&lt;displayfeedback feedbacktype=""Response"" linkrefid=""response_1""/&gt;",IF($AS32&lt;&gt;"","&lt;displayfeedback feedbacktype=""Response"" linkrefid=""qti_feedback_trigger""/&gt;",""))&amp;"&lt;/respcondition&gt;",""),IF(OR(U32,AU32&lt;&gt;"",$AS32&lt;&gt;""),"      &lt;respcondition continue=""Yes""&gt;&lt;conditionvar&gt;"&amp;IF(U32,"&lt;varequal respident=""RESPONSE""&gt;1&lt;/varequal&gt;","&lt;not&gt;&lt;varequal respident=""RESPONSE""&gt;1&lt;/varequal&gt;&lt;/not&gt;")&amp;"&lt;/conditionvar&gt;&lt;setvar action=""Add""&gt;"&amp;(Saisie_Questions!$N32/$I32)&amp;"&lt;/setvar&gt;"&amp;IF(AU32&lt;&gt;"","&lt;displayfeedback feedbacktype=""Response"" linkrefid=""response_1""/&gt;",IF($AS32&lt;&gt;"","&lt;displayfeedback feedbacktype=""Response"" linkrefid=""qti_feedback_trigger""/&gt;",""))&amp;"&lt;/respcondition&gt;",""))),"")</f>
      </c>
      <c r="AL32" s="46">
        <f>IF($B32,IF(N32="","",IF($C32="qcu",IF(OR(V32,AV32&lt;&gt;"",$AS32&lt;&gt;""),"      &lt;respcondition continue=""Yes""&gt;&lt;conditionvar&gt;&lt;varequal respident=""RESPONSE""&gt;2&lt;/varequal&gt;&lt;/conditionvar&gt;"&amp;"&lt;setvar action=""Add""&gt;"&amp;IF(V32,$H32,0)&amp;"&lt;/setvar&gt;"&amp;IF(AV32&lt;&gt;"","&lt;displayfeedback feedbacktype=""Response"" linkrefid=""response_2""/&gt;",IF($AS32&lt;&gt;"","&lt;displayfeedback feedbacktype=""Response"" linkrefid=""qti_feedback_trigger""/&gt;",""))&amp;"&lt;/respcondition&gt;",""),IF(OR(V32,AV32&lt;&gt;"",$AS32&lt;&gt;""),"      &lt;respcondition continue=""Yes""&gt;&lt;conditionvar&gt;"&amp;IF(V32,"&lt;varequal respident=""RESPONSE""&gt;2&lt;/varequal&gt;","&lt;not&gt;&lt;varequal respident=""RESPONSE""&gt;2&lt;/varequal&gt;&lt;/not&gt;")&amp;"&lt;/conditionvar&gt;&lt;setvar action=""Add""&gt;"&amp;(Saisie_Questions!$N32/$I32)&amp;"&lt;/setvar&gt;"&amp;IF(AV32&lt;&gt;"","&lt;displayfeedback feedbacktype=""Response"" linkrefid=""response_2""/&gt;",IF($AS32&lt;&gt;"","&lt;displayfeedback feedbacktype=""Response"" linkrefid=""qti_feedback_trigger""/&gt;",""))&amp;"&lt;/respcondition&gt;",""))),"")</f>
      </c>
      <c r="AM32" s="46">
        <f>IF($B32,IF(O32="","",IF($C32="qcu",IF(OR(W32,AW32&lt;&gt;"",$AS32&lt;&gt;""),"      &lt;respcondition continue=""Yes""&gt;&lt;conditionvar&gt;&lt;varequal respident=""RESPONSE""&gt;3&lt;/varequal&gt;&lt;/conditionvar&gt;"&amp;"&lt;setvar action=""Add""&gt;"&amp;IF(W32,$H32,0)&amp;"&lt;/setvar&gt;"&amp;IF(AW32&lt;&gt;"","&lt;displayfeedback feedbacktype=""Response"" linkrefid=""response_3""/&gt;",IF($AS32&lt;&gt;"","&lt;displayfeedback feedbacktype=""Response"" linkrefid=""qti_feedback_trigger""/&gt;",""))&amp;"&lt;/respcondition&gt;",""),IF(OR(W32,AW32&lt;&gt;"",$AS32&lt;&gt;""),"      &lt;respcondition continue=""Yes""&gt;&lt;conditionvar&gt;"&amp;IF(W32,"&lt;varequal respident=""RESPONSE""&gt;3&lt;/varequal&gt;","&lt;not&gt;&lt;varequal respident=""RESPONSE""&gt;3&lt;/varequal&gt;&lt;/not&gt;")&amp;"&lt;/conditionvar&gt;&lt;setvar action=""Add""&gt;"&amp;(Saisie_Questions!$N32/$I32)&amp;"&lt;/setvar&gt;"&amp;IF(AW32&lt;&gt;"","&lt;displayfeedback feedbacktype=""Response"" linkrefid=""response_3""/&gt;",IF($AS32&lt;&gt;"","&lt;displayfeedback feedbacktype=""Response"" linkrefid=""qti_feedback_trigger""/&gt;",""))&amp;"&lt;/respcondition&gt;",""))),"")</f>
      </c>
      <c r="AN32" s="46">
        <f>IF($B32,IF(P32="","",IF($C32="qcu",IF(OR(X32,AX32&lt;&gt;"",$AS32&lt;&gt;""),"      &lt;respcondition continue=""Yes""&gt;&lt;conditionvar&gt;&lt;varequal respident=""RESPONSE""&gt;4&lt;/varequal&gt;&lt;/conditionvar&gt;"&amp;"&lt;setvar action=""Add""&gt;"&amp;IF(X32,$H32,0)&amp;"&lt;/setvar&gt;"&amp;IF(AX32&lt;&gt;"","&lt;displayfeedback feedbacktype=""Response"" linkrefid=""response_4""/&gt;",IF($AS32&lt;&gt;"","&lt;displayfeedback feedbacktype=""Response"" linkrefid=""qti_feedback_trigger""/&gt;",""))&amp;"&lt;/respcondition&gt;",""),IF(OR(X32,AX32&lt;&gt;"",$AS32&lt;&gt;""),"      &lt;respcondition continue=""Yes""&gt;&lt;conditionvar&gt;"&amp;IF(X32,"&lt;varequal respident=""RESPONSE""&gt;4&lt;/varequal&gt;","&lt;not&gt;&lt;varequal respident=""RESPONSE""&gt;4&lt;/varequal&gt;&lt;/not&gt;")&amp;"&lt;/conditionvar&gt;&lt;setvar action=""Add""&gt;"&amp;(Saisie_Questions!$N32/$I32)&amp;"&lt;/setvar&gt;"&amp;IF(AX32&lt;&gt;"","&lt;displayfeedback feedbacktype=""Response"" linkrefid=""response_4""/&gt;",IF($AS32&lt;&gt;"","&lt;displayfeedback feedbacktype=""Response"" linkrefid=""qti_feedback_trigger""/&gt;",""))&amp;"&lt;/respcondition&gt;",""))),"")</f>
      </c>
      <c r="AO32" s="46">
        <f>IF($B32,IF(Q32="","",IF($C32="qcu",IF(OR(Y32,AY32&lt;&gt;"",$AS32&lt;&gt;""),"      &lt;respcondition continue=""Yes""&gt;&lt;conditionvar&gt;&lt;varequal respident=""RESPONSE""&gt;5&lt;/varequal&gt;&lt;/conditionvar&gt;"&amp;"&lt;setvar action=""Add""&gt;"&amp;IF(Y32,$H32,0)&amp;"&lt;/setvar&gt;"&amp;IF(AY32&lt;&gt;"","&lt;displayfeedback feedbacktype=""Response"" linkrefid=""response_5""/&gt;",IF($AS32&lt;&gt;"","&lt;displayfeedback feedbacktype=""Response"" linkrefid=""qti_feedback_trigger""/&gt;",""))&amp;"&lt;/respcondition&gt;",""),IF(OR(Y32,AY32&lt;&gt;"",$AS32&lt;&gt;""),"      &lt;respcondition continue=""Yes""&gt;&lt;conditionvar&gt;"&amp;IF(Y32,"&lt;varequal respident=""RESPONSE""&gt;5&lt;/varequal&gt;","&lt;not&gt;&lt;varequal respident=""RESPONSE""&gt;5&lt;/varequal&gt;&lt;/not&gt;")&amp;"&lt;/conditionvar&gt;&lt;setvar action=""Add""&gt;"&amp;(Saisie_Questions!$N32/$I32)&amp;"&lt;/setvar&gt;"&amp;IF(AY32&lt;&gt;"","&lt;displayfeedback feedbacktype=""Response"" linkrefid=""response_5""/&gt;",IF($AS32&lt;&gt;"","&lt;displayfeedback feedbacktype=""Response"" linkrefid=""qti_feedback_trigger""/&gt;",""))&amp;"&lt;/respcondition&gt;",""))),"")</f>
      </c>
      <c r="AP32" s="46">
        <f>IF($B32,IF(R32="","",IF($C32="qcu",IF(OR(Z32,AZ32&lt;&gt;"",$AS32&lt;&gt;""),"      &lt;respcondition continue=""Yes""&gt;&lt;conditionvar&gt;&lt;varequal respident=""RESPONSE""&gt;6&lt;/varequal&gt;&lt;/conditionvar&gt;"&amp;"&lt;setvar action=""Add""&gt;"&amp;IF(Z32,$H32,0)&amp;"&lt;/setvar&gt;"&amp;IF(AZ32&lt;&gt;"","&lt;displayfeedback feedbacktype=""Response"" linkrefid=""response_6""/&gt;",IF($AS32&lt;&gt;"","&lt;displayfeedback feedbacktype=""Response"" linkrefid=""qti_feedback_trigger""/&gt;",""))&amp;"&lt;/respcondition&gt;",""),IF(OR(Z32,AZ32&lt;&gt;"",$AS32&lt;&gt;""),"      &lt;respcondition continue=""Yes""&gt;&lt;conditionvar&gt;"&amp;IF(Z32,"&lt;varequal respident=""RESPONSE""&gt;6&lt;/varequal&gt;","&lt;not&gt;&lt;varequal respident=""RESPONSE""&gt;6&lt;/varequal&gt;&lt;/not&gt;")&amp;"&lt;/conditionvar&gt;&lt;setvar action=""Add""&gt;"&amp;(Saisie_Questions!$N32/$I32)&amp;"&lt;/setvar&gt;"&amp;IF(AZ32&lt;&gt;"","&lt;displayfeedback feedbacktype=""Response"" linkrefid=""response_6""/&gt;",IF($AS32&lt;&gt;"","&lt;displayfeedback feedbacktype=""Response"" linkrefid=""qti_feedback_trigger""/&gt;",""))&amp;"&lt;/respcondition&gt;",""))),"")</f>
      </c>
      <c r="AQ32" s="46">
        <f>IF($B32,IF(S32="","",IF($C32="qcu",IF(OR(AA32,BA32&lt;&gt;"",$AS32&lt;&gt;""),"      &lt;respcondition continue=""Yes""&gt;&lt;conditionvar&gt;&lt;varequal respident=""RESPONSE""&gt;7&lt;/varequal&gt;&lt;/conditionvar&gt;"&amp;"&lt;setvar action=""Add""&gt;"&amp;IF(AA32,$H32,0)&amp;"&lt;/setvar&gt;"&amp;IF(BA32&lt;&gt;"","&lt;displayfeedback feedbacktype=""Response"" linkrefid=""response_7""/&gt;",IF($AS32&lt;&gt;"","&lt;displayfeedback feedbacktype=""Response"" linkrefid=""qti_feedback_trigger""/&gt;",""))&amp;"&lt;/respcondition&gt;",""),IF(OR(AA32,BA32&lt;&gt;"",$AS32&lt;&gt;""),"      &lt;respcondition continue=""Yes""&gt;&lt;conditionvar&gt;"&amp;IF(AA32,"&lt;varequal respident=""RESPONSE""&gt;7&lt;/varequal&gt;","&lt;not&gt;&lt;varequal respident=""RESPONSE""&gt;7&lt;/varequal&gt;&lt;/not&gt;")&amp;"&lt;/conditionvar&gt;&lt;setvar action=""Add""&gt;"&amp;(Saisie_Questions!$N32/$I32)&amp;"&lt;/setvar&gt;"&amp;IF(BA32&lt;&gt;"","&lt;displayfeedback feedbacktype=""Response"" linkrefid=""response_7""/&gt;",IF($AS32&lt;&gt;"","&lt;displayfeedback feedbacktype=""Response"" linkrefid=""qti_feedback_trigger""/&gt;",""))&amp;"&lt;/respcondition&gt;",""))),"")</f>
      </c>
      <c r="AR32" s="46">
        <f>IF(A32="","",SUBSTITUTE(SUBSTITUTE(SUBSTITUTE(SUBSTITUTE(SUBSTITUTE(IF(Saisie_Questions!P32&lt;&gt;"",Saisie_Questions!P32,Interface_Generation!$B$5),"&amp;","&amp;amp;"),"&lt;","&amp;lt;"),"&gt;","&amp;gt;"),CHAR(34),"&amp;quot;"),"'","&amp;apos;"))</f>
        <v/>
      </c>
      <c r="AS32" s="46">
        <f>IF(Saisie_Questions!Q32="","",SUBSTITUTE(SUBSTITUTE(SUBSTITUTE(SUBSTITUTE(SUBSTITUTE(Saisie_Questions!Q32,"&amp;","&amp;amp;"),"&lt;","&amp;lt;"),"&gt;","&amp;gt;"),CHAR(34),"&amp;quot;"),"'","&amp;apos;"))</f>
        <v/>
      </c>
      <c r="AT32" s="46">
        <f>IF(Saisie_Questions!R32="","",SUBSTITUTE(SUBSTITUTE(SUBSTITUTE(SUBSTITUTE(SUBSTITUTE(Saisie_Questions!R32,"&amp;","&amp;amp;"),"&lt;","&amp;lt;"),"&gt;","&amp;gt;"),CHAR(34),"&amp;quot;"),"'","&amp;apos;"))</f>
        <v/>
      </c>
      <c r="AU32" s="46">
        <f>IF(Saisie_Questions!S32="","",SUBSTITUTE(SUBSTITUTE(SUBSTITUTE(SUBSTITUTE(SUBSTITUTE(Saisie_Questions!S32,"&amp;","&amp;amp;"),"&lt;","&amp;lt;"),"&gt;","&amp;gt;"),CHAR(34),"&amp;quot;"),"'","&amp;apos;"))</f>
        <v/>
      </c>
      <c r="AV32" s="46">
        <f>IF(Saisie_Questions!T32="","",SUBSTITUTE(SUBSTITUTE(SUBSTITUTE(SUBSTITUTE(SUBSTITUTE(Saisie_Questions!T32,"&amp;","&amp;amp;"),"&lt;","&amp;lt;"),"&gt;","&amp;gt;"),CHAR(34),"&amp;quot;"),"'","&amp;apos;"))</f>
        <v/>
      </c>
      <c r="AW32" s="46">
        <f>IF(Saisie_Questions!U32="","",SUBSTITUTE(SUBSTITUTE(SUBSTITUTE(SUBSTITUTE(SUBSTITUTE(Saisie_Questions!U32,"&amp;","&amp;amp;"),"&lt;","&amp;lt;"),"&gt;","&amp;gt;"),CHAR(34),"&amp;quot;"),"'","&amp;apos;"))</f>
        <v/>
      </c>
      <c r="AX32" s="46">
        <f>IF(Saisie_Questions!V32="","",SUBSTITUTE(SUBSTITUTE(SUBSTITUTE(SUBSTITUTE(SUBSTITUTE(Saisie_Questions!V32,"&amp;","&amp;amp;"),"&lt;","&amp;lt;"),"&gt;","&amp;gt;"),CHAR(34),"&amp;quot;"),"'","&amp;apos;"))</f>
        <v/>
      </c>
      <c r="AY32" s="46">
        <f>IF(Saisie_Questions!W32="","",SUBSTITUTE(SUBSTITUTE(SUBSTITUTE(SUBSTITUTE(SUBSTITUTE(Saisie_Questions!W32,"&amp;","&amp;amp;"),"&lt;","&amp;lt;"),"&gt;","&amp;gt;"),CHAR(34),"&amp;quot;"),"'","&amp;apos;"))</f>
        <v/>
      </c>
      <c r="AZ32" s="46">
        <f>IF(Saisie_Questions!X32="","",SUBSTITUTE(SUBSTITUTE(SUBSTITUTE(SUBSTITUTE(SUBSTITUTE(Saisie_Questions!X32,"&amp;","&amp;amp;"),"&lt;","&amp;lt;"),"&gt;","&amp;gt;"),CHAR(34),"&amp;quot;"),"'","&amp;apos;"))</f>
        <v/>
      </c>
      <c r="BA32" s="46">
        <f>IF(Saisie_Questions!Y32="","",SUBSTITUTE(SUBSTITUTE(SUBSTITUTE(SUBSTITUTE(SUBSTITUTE(Saisie_Questions!Y32,"&amp;","&amp;amp;"),"&lt;","&amp;lt;"),"&gt;","&amp;gt;"),CHAR(34),"&amp;quot;"),"'","&amp;apos;"))</f>
        <v/>
      </c>
      <c r="BB32" s="46">
        <f>IF($B32,IF($AS32="","","    &lt;itemfeedback ident=""response_allcorrect"" view=""All""&gt;&lt;flow_mat&gt;&lt;material&gt;&lt;mattext texttype=""text/html""&gt;"&amp;$AS32&amp;"&lt;/mattext&gt;&lt;/material&gt;&lt;/flow_mat&gt;&lt;/itemfeedback&gt;"&amp;"    &lt;itemfeedback ident=""response_onenotcorrect"" view=""All""&gt;&lt;flow_mat&gt;&lt;material&gt;&lt;mattext texttype=""text/html""&gt;"&amp;$AS32&amp;"&lt;/mattext&gt;&lt;/material&gt;&lt;/flow_mat&gt;&lt;/itemfeedback&gt;"),"")</f>
      </c>
      <c r="BC32" s="46">
        <f>IF($B32,IF(AT32="","","    &lt;itemfeedback ident=""response_0"" view=""All""&gt;&lt;flow_mat&gt;&lt;material&gt;&lt;mattext texttype=""text/html""&gt;"&amp;AT32&amp;"&lt;/mattext&gt;&lt;/material&gt;&lt;/flow_mat&gt;&lt;/itemfeedback&gt;"),"")</f>
      </c>
      <c r="BD32" s="46">
        <f>IF($B32,IF(AU32="","","    &lt;itemfeedback ident=""response_1"" view=""All""&gt;&lt;flow_mat&gt;&lt;material&gt;&lt;mattext texttype=""text/html""&gt;"&amp;AU32&amp;"&lt;/mattext&gt;&lt;/material&gt;&lt;/flow_mat&gt;&lt;/itemfeedback&gt;"),"")</f>
      </c>
      <c r="BE32" s="46">
        <f>IF($B32,IF(AV32="","","    &lt;itemfeedback ident=""response_2"" view=""All""&gt;&lt;flow_mat&gt;&lt;material&gt;&lt;mattext texttype=""text/html""&gt;"&amp;AV32&amp;"&lt;/mattext&gt;&lt;/material&gt;&lt;/flow_mat&gt;&lt;/itemfeedback&gt;"),"")</f>
      </c>
      <c r="BF32" s="46">
        <f>IF($B32,IF(AW32="","","    &lt;itemfeedback ident=""response_3"" view=""All""&gt;&lt;flow_mat&gt;&lt;material&gt;&lt;mattext texttype=""text/html""&gt;"&amp;AW32&amp;"&lt;/mattext&gt;&lt;/material&gt;&lt;/flow_mat&gt;&lt;/itemfeedback&gt;"),"")</f>
      </c>
      <c r="BG32" s="46">
        <f>IF($B32,IF(AX32="","","    &lt;itemfeedback ident=""response_4"" view=""All""&gt;&lt;flow_mat&gt;&lt;material&gt;&lt;mattext texttype=""text/html""&gt;"&amp;AX32&amp;"&lt;/mattext&gt;&lt;/material&gt;&lt;/flow_mat&gt;&lt;/itemfeedback&gt;"),"")</f>
      </c>
      <c r="BH32" s="46">
        <f>IF($B32,IF(AY32="","","    &lt;itemfeedback ident=""response_5"" view=""All""&gt;&lt;flow_mat&gt;&lt;material&gt;&lt;mattext texttype=""text/html""&gt;"&amp;AY32&amp;"&lt;/mattext&gt;&lt;/material&gt;&lt;/flow_mat&gt;&lt;/itemfeedback&gt;"),"")</f>
      </c>
      <c r="BI32" s="46">
        <f>IF($B32,IF(AZ32="","","    &lt;itemfeedback ident=""response_6"" view=""All""&gt;&lt;flow_mat&gt;&lt;material&gt;&lt;mattext texttype=""text/html""&gt;"&amp;AZ32&amp;"&lt;/mattext&gt;&lt;/material&gt;&lt;/flow_mat&gt;&lt;/itemfeedback&gt;"),"")</f>
      </c>
      <c r="BJ32" s="46">
        <f>IF($B32,IF(BA32="","","    &lt;itemfeedback ident=""response_7"" view=""All""&gt;&lt;flow_mat&gt;&lt;material&gt;&lt;mattext texttype=""text/html""&gt;"&amp;BA32&amp;"&lt;/mattext&gt;&lt;/material&gt;&lt;/flow_mat&gt;&lt;/itemfeedback&gt;"),"")</f>
      </c>
    </row>
    <row r="33" ht="18" customHeight="1" s="17">
      <c r="A33" s="46">
        <f>Saisie_Questions!A33</f>
        <v/>
      </c>
      <c r="B33" s="46">
        <f>Saisie_Questions!O33="OK"</f>
        <v/>
      </c>
      <c r="C33" s="46">
        <f>LOWER(TRIM(Saisie_Questions!B33))</f>
        <v/>
      </c>
      <c r="D33" s="46">
        <f>IF(C33="qcu","SINGLE CHOICE QUESTION","MULTIPLE CHOICE QUESTION")</f>
        <v/>
      </c>
      <c r="E33" s="46">
        <f>IF(C33="qcu","Single","Multiple")</f>
        <v/>
      </c>
      <c r="F33" s="46">
        <f>IF(A33="","",SUBSTITUTE(SUBSTITUTE(SUBSTITUTE(SUBSTITUTE(SUBSTITUTE(IF(Saisie_Questions!C33="", "Question "&amp;A33, Saisie_Questions!C33),"&amp;","&amp;amp;"),"&lt;","&amp;lt;"),"&gt;","&amp;gt;"),CHAR(34),"&amp;quot;"),"'","&amp;apos;"))</f>
        <v/>
      </c>
      <c r="G33" s="46">
        <f>IF(A33="","",SUBSTITUTE(SUBSTITUTE(SUBSTITUTE(SUBSTITUTE(SUBSTITUTE(Saisie_Questions!D33,"&amp;","&amp;amp;"),"&lt;","&amp;lt;"),"&gt;","&amp;gt;"),CHAR(34),"&amp;quot;"),"'","&amp;apos;"))</f>
        <v/>
      </c>
      <c r="H33" s="46">
        <f>Saisie_Questions!N33</f>
        <v/>
      </c>
      <c r="I33" s="46">
        <f>IF(Saisie_Questions!E33="",0,1)+IF(Saisie_Questions!F33="",0,1)+IF(Saisie_Questions!G33="",0,1)+IF(Saisie_Questions!H33="",0,1)+IF(Saisie_Questions!I33="",0,1)+IF(Saisie_Questions!J33="",0,1)+IF(Saisie_Questions!K33="",0,1)+IF(Saisie_Questions!L33="",0,1)</f>
        <v/>
      </c>
      <c r="J33" s="46">
        <f>Saisie_Questions!M33</f>
        <v/>
      </c>
      <c r="K33" s="46">
        <f>Saisie_Questions!O33</f>
        <v/>
      </c>
      <c r="L33" s="46">
        <f>IF(Saisie_Questions!E33="","",SUBSTITUTE(SUBSTITUTE(SUBSTITUTE(SUBSTITUTE(SUBSTITUTE(Saisie_Questions!E33,"&amp;","&amp;amp;"),"&lt;","&amp;lt;"),"&gt;","&amp;gt;"),CHAR(34),"&amp;quot;"),"'","&amp;apos;"))</f>
        <v/>
      </c>
      <c r="M33" s="46">
        <f>IF(Saisie_Questions!F33="","",SUBSTITUTE(SUBSTITUTE(SUBSTITUTE(SUBSTITUTE(SUBSTITUTE(Saisie_Questions!F33,"&amp;","&amp;amp;"),"&lt;","&amp;lt;"),"&gt;","&amp;gt;"),CHAR(34),"&amp;quot;"),"'","&amp;apos;"))</f>
        <v/>
      </c>
      <c r="N33" s="46">
        <f>IF(Saisie_Questions!G33="","",SUBSTITUTE(SUBSTITUTE(SUBSTITUTE(SUBSTITUTE(SUBSTITUTE(Saisie_Questions!G33,"&amp;","&amp;amp;"),"&lt;","&amp;lt;"),"&gt;","&amp;gt;"),CHAR(34),"&amp;quot;"),"'","&amp;apos;"))</f>
        <v/>
      </c>
      <c r="O33" s="46">
        <f>IF(Saisie_Questions!H33="","",SUBSTITUTE(SUBSTITUTE(SUBSTITUTE(SUBSTITUTE(SUBSTITUTE(Saisie_Questions!H33,"&amp;","&amp;amp;"),"&lt;","&amp;lt;"),"&gt;","&amp;gt;"),CHAR(34),"&amp;quot;"),"'","&amp;apos;"))</f>
        <v/>
      </c>
      <c r="P33" s="46">
        <f>IF(Saisie_Questions!I33="","",SUBSTITUTE(SUBSTITUTE(SUBSTITUTE(SUBSTITUTE(SUBSTITUTE(Saisie_Questions!I33,"&amp;","&amp;amp;"),"&lt;","&amp;lt;"),"&gt;","&amp;gt;"),CHAR(34),"&amp;quot;"),"'","&amp;apos;"))</f>
        <v/>
      </c>
      <c r="Q33" s="46">
        <f>IF(Saisie_Questions!J33="","",SUBSTITUTE(SUBSTITUTE(SUBSTITUTE(SUBSTITUTE(SUBSTITUTE(Saisie_Questions!J33,"&amp;","&amp;amp;"),"&lt;","&amp;lt;"),"&gt;","&amp;gt;"),CHAR(34),"&amp;quot;"),"'","&amp;apos;"))</f>
        <v/>
      </c>
      <c r="R33" s="46">
        <f>IF(Saisie_Questions!K33="","",SUBSTITUTE(SUBSTITUTE(SUBSTITUTE(SUBSTITUTE(SUBSTITUTE(Saisie_Questions!K33,"&amp;","&amp;amp;"),"&lt;","&amp;lt;"),"&gt;","&amp;gt;"),CHAR(34),"&amp;quot;"),"'","&amp;apos;"))</f>
        <v/>
      </c>
      <c r="S33" s="46">
        <f>IF(Saisie_Questions!L33="","",SUBSTITUTE(SUBSTITUTE(SUBSTITUTE(SUBSTITUTE(SUBSTITUTE(Saisie_Questions!L33,"&amp;","&amp;amp;"),"&lt;","&amp;lt;"),"&gt;","&amp;gt;"),CHAR(34),"&amp;quot;"),"'","&amp;apos;"))</f>
        <v/>
      </c>
      <c r="T33" s="46">
        <f>ISNUMBER(SEARCH(";"&amp;1&amp;";",";"&amp;$J33&amp;";"))</f>
        <v/>
      </c>
      <c r="U33" s="46">
        <f>ISNUMBER(SEARCH(";"&amp;2&amp;";",";"&amp;$J33&amp;";"))</f>
        <v/>
      </c>
      <c r="V33" s="46">
        <f>ISNUMBER(SEARCH(";"&amp;3&amp;";",";"&amp;$J33&amp;";"))</f>
        <v/>
      </c>
      <c r="W33" s="46">
        <f>ISNUMBER(SEARCH(";"&amp;4&amp;";",";"&amp;$J33&amp;";"))</f>
        <v/>
      </c>
      <c r="X33" s="46">
        <f>ISNUMBER(SEARCH(";"&amp;5&amp;";",";"&amp;$J33&amp;";"))</f>
        <v/>
      </c>
      <c r="Y33" s="46">
        <f>ISNUMBER(SEARCH(";"&amp;6&amp;";",";"&amp;$J33&amp;";"))</f>
        <v/>
      </c>
      <c r="Z33" s="46">
        <f>ISNUMBER(SEARCH(";"&amp;7&amp;";",";"&amp;$J33&amp;";"))</f>
        <v/>
      </c>
      <c r="AA33" s="46">
        <f>ISNUMBER(SEARCH(";"&amp;8&amp;";",";"&amp;$J33&amp;";"))</f>
        <v/>
      </c>
      <c r="AB33" s="46">
        <f>IF($B33,IF(L33="","","        &lt;response_label ident=""0""&gt;&lt;material&gt;&lt;mattext texttype=""text/html""&gt;"&amp;L33&amp;"&lt;/mattext&gt;&lt;/material&gt;&lt;/response_label&gt;"),"")</f>
        <v/>
      </c>
      <c r="AC33" s="46">
        <f>IF($B33,IF(M33="","","        &lt;response_label ident=""1""&gt;&lt;material&gt;&lt;mattext texttype=""text/html""&gt;"&amp;M33&amp;"&lt;/mattext&gt;&lt;/material&gt;&lt;/response_label&gt;"),"")</f>
        <v/>
      </c>
      <c r="AD33" s="46">
        <f>IF($B33,IF(N33="","","        &lt;response_label ident=""2""&gt;&lt;material&gt;&lt;mattext texttype=""text/html""&gt;"&amp;N33&amp;"&lt;/mattext&gt;&lt;/material&gt;&lt;/response_label&gt;"),"")</f>
        <v/>
      </c>
      <c r="AE33" s="46">
        <f>IF($B33,IF(O33="","","        &lt;response_label ident=""3""&gt;&lt;material&gt;&lt;mattext texttype=""text/html""&gt;"&amp;O33&amp;"&lt;/mattext&gt;&lt;/material&gt;&lt;/response_label&gt;"),"")</f>
        <v/>
      </c>
      <c r="AF33" s="46">
        <f>IF($B33,IF(P33="","","        &lt;response_label ident=""4""&gt;&lt;material&gt;&lt;mattext texttype=""text/html""&gt;"&amp;P33&amp;"&lt;/mattext&gt;&lt;/material&gt;&lt;/response_label&gt;"),"")</f>
        <v/>
      </c>
      <c r="AG33" s="46">
        <f>IF($B33,IF(Q33="","","        &lt;response_label ident=""5""&gt;&lt;material&gt;&lt;mattext texttype=""text/html""&gt;"&amp;Q33&amp;"&lt;/mattext&gt;&lt;/material&gt;&lt;/response_label&gt;"),"")</f>
        <v/>
      </c>
      <c r="AH33" s="46">
        <f>IF($B33,IF(R33="","","        &lt;response_label ident=""6""&gt;&lt;material&gt;&lt;mattext texttype=""text/html""&gt;"&amp;R33&amp;"&lt;/mattext&gt;&lt;/material&gt;&lt;/response_label&gt;"),"")</f>
        <v/>
      </c>
      <c r="AI33" s="46">
        <f>IF($B33,IF(S33="","","        &lt;response_label ident=""7""&gt;&lt;material&gt;&lt;mattext texttype=""text/html""&gt;"&amp;S33&amp;"&lt;/mattext&gt;&lt;/material&gt;&lt;/response_label&gt;"),"")</f>
        <v/>
      </c>
      <c r="AJ33" s="46">
        <f>IF($B33,IF(L33="","",IF($C33="qcu",IF(OR(T33,AT33&lt;&gt;"",$AS33&lt;&gt;""),"      &lt;respcondition continue=""Yes""&gt;&lt;conditionvar&gt;&lt;varequal respident=""RESPONSE""&gt;0&lt;/varequal&gt;&lt;/conditionvar&gt;"&amp;"&lt;setvar action=""Add""&gt;"&amp;IF(T33,$H33,0)&amp;"&lt;/setvar&gt;"&amp;IF(AT33&lt;&gt;"","&lt;displayfeedback feedbacktype=""Response"" linkrefid=""response_0""/&gt;",IF($AS33&lt;&gt;"","&lt;displayfeedback feedbacktype=""Response"" linkrefid=""qti_feedback_trigger""/&gt;",""))&amp;"&lt;/respcondition&gt;",""),IF(OR(T33,AT33&lt;&gt;"",$AS33&lt;&gt;""),"      &lt;respcondition continue=""Yes""&gt;&lt;conditionvar&gt;"&amp;IF(T33,"&lt;varequal respident=""RESPONSE""&gt;0&lt;/varequal&gt;","&lt;not&gt;&lt;varequal respident=""RESPONSE""&gt;0&lt;/varequal&gt;&lt;/not&gt;")&amp;"&lt;/conditionvar&gt;&lt;setvar action=""Add""&gt;"&amp;(Saisie_Questions!$N33/$I33)&amp;"&lt;/setvar&gt;"&amp;IF(AT33&lt;&gt;"","&lt;displayfeedback feedbacktype=""Response"" linkrefid=""response_0""/&gt;",IF($AS33&lt;&gt;"","&lt;displayfeedback feedbacktype=""Response"" linkrefid=""qti_feedback_trigger""/&gt;",""))&amp;"&lt;/respcondition&gt;",""))),"")</f>
      </c>
      <c r="AK33" s="46">
        <f>IF($B33,IF(M33="","",IF($C33="qcu",IF(OR(U33,AU33&lt;&gt;"",$AS33&lt;&gt;""),"      &lt;respcondition continue=""Yes""&gt;&lt;conditionvar&gt;&lt;varequal respident=""RESPONSE""&gt;1&lt;/varequal&gt;&lt;/conditionvar&gt;"&amp;"&lt;setvar action=""Add""&gt;"&amp;IF(U33,$H33,0)&amp;"&lt;/setvar&gt;"&amp;IF(AU33&lt;&gt;"","&lt;displayfeedback feedbacktype=""Response"" linkrefid=""response_1""/&gt;",IF($AS33&lt;&gt;"","&lt;displayfeedback feedbacktype=""Response"" linkrefid=""qti_feedback_trigger""/&gt;",""))&amp;"&lt;/respcondition&gt;",""),IF(OR(U33,AU33&lt;&gt;"",$AS33&lt;&gt;""),"      &lt;respcondition continue=""Yes""&gt;&lt;conditionvar&gt;"&amp;IF(U33,"&lt;varequal respident=""RESPONSE""&gt;1&lt;/varequal&gt;","&lt;not&gt;&lt;varequal respident=""RESPONSE""&gt;1&lt;/varequal&gt;&lt;/not&gt;")&amp;"&lt;/conditionvar&gt;&lt;setvar action=""Add""&gt;"&amp;(Saisie_Questions!$N33/$I33)&amp;"&lt;/setvar&gt;"&amp;IF(AU33&lt;&gt;"","&lt;displayfeedback feedbacktype=""Response"" linkrefid=""response_1""/&gt;",IF($AS33&lt;&gt;"","&lt;displayfeedback feedbacktype=""Response"" linkrefid=""qti_feedback_trigger""/&gt;",""))&amp;"&lt;/respcondition&gt;",""))),"")</f>
      </c>
      <c r="AL33" s="46">
        <f>IF($B33,IF(N33="","",IF($C33="qcu",IF(OR(V33,AV33&lt;&gt;"",$AS33&lt;&gt;""),"      &lt;respcondition continue=""Yes""&gt;&lt;conditionvar&gt;&lt;varequal respident=""RESPONSE""&gt;2&lt;/varequal&gt;&lt;/conditionvar&gt;"&amp;"&lt;setvar action=""Add""&gt;"&amp;IF(V33,$H33,0)&amp;"&lt;/setvar&gt;"&amp;IF(AV33&lt;&gt;"","&lt;displayfeedback feedbacktype=""Response"" linkrefid=""response_2""/&gt;",IF($AS33&lt;&gt;"","&lt;displayfeedback feedbacktype=""Response"" linkrefid=""qti_feedback_trigger""/&gt;",""))&amp;"&lt;/respcondition&gt;",""),IF(OR(V33,AV33&lt;&gt;"",$AS33&lt;&gt;""),"      &lt;respcondition continue=""Yes""&gt;&lt;conditionvar&gt;"&amp;IF(V33,"&lt;varequal respident=""RESPONSE""&gt;2&lt;/varequal&gt;","&lt;not&gt;&lt;varequal respident=""RESPONSE""&gt;2&lt;/varequal&gt;&lt;/not&gt;")&amp;"&lt;/conditionvar&gt;&lt;setvar action=""Add""&gt;"&amp;(Saisie_Questions!$N33/$I33)&amp;"&lt;/setvar&gt;"&amp;IF(AV33&lt;&gt;"","&lt;displayfeedback feedbacktype=""Response"" linkrefid=""response_2""/&gt;",IF($AS33&lt;&gt;"","&lt;displayfeedback feedbacktype=""Response"" linkrefid=""qti_feedback_trigger""/&gt;",""))&amp;"&lt;/respcondition&gt;",""))),"")</f>
      </c>
      <c r="AM33" s="46">
        <f>IF($B33,IF(O33="","",IF($C33="qcu",IF(OR(W33,AW33&lt;&gt;"",$AS33&lt;&gt;""),"      &lt;respcondition continue=""Yes""&gt;&lt;conditionvar&gt;&lt;varequal respident=""RESPONSE""&gt;3&lt;/varequal&gt;&lt;/conditionvar&gt;"&amp;"&lt;setvar action=""Add""&gt;"&amp;IF(W33,$H33,0)&amp;"&lt;/setvar&gt;"&amp;IF(AW33&lt;&gt;"","&lt;displayfeedback feedbacktype=""Response"" linkrefid=""response_3""/&gt;",IF($AS33&lt;&gt;"","&lt;displayfeedback feedbacktype=""Response"" linkrefid=""qti_feedback_trigger""/&gt;",""))&amp;"&lt;/respcondition&gt;",""),IF(OR(W33,AW33&lt;&gt;"",$AS33&lt;&gt;""),"      &lt;respcondition continue=""Yes""&gt;&lt;conditionvar&gt;"&amp;IF(W33,"&lt;varequal respident=""RESPONSE""&gt;3&lt;/varequal&gt;","&lt;not&gt;&lt;varequal respident=""RESPONSE""&gt;3&lt;/varequal&gt;&lt;/not&gt;")&amp;"&lt;/conditionvar&gt;&lt;setvar action=""Add""&gt;"&amp;(Saisie_Questions!$N33/$I33)&amp;"&lt;/setvar&gt;"&amp;IF(AW33&lt;&gt;"","&lt;displayfeedback feedbacktype=""Response"" linkrefid=""response_3""/&gt;",IF($AS33&lt;&gt;"","&lt;displayfeedback feedbacktype=""Response"" linkrefid=""qti_feedback_trigger""/&gt;",""))&amp;"&lt;/respcondition&gt;",""))),"")</f>
      </c>
      <c r="AN33" s="46">
        <f>IF($B33,IF(P33="","",IF($C33="qcu",IF(OR(X33,AX33&lt;&gt;"",$AS33&lt;&gt;""),"      &lt;respcondition continue=""Yes""&gt;&lt;conditionvar&gt;&lt;varequal respident=""RESPONSE""&gt;4&lt;/varequal&gt;&lt;/conditionvar&gt;"&amp;"&lt;setvar action=""Add""&gt;"&amp;IF(X33,$H33,0)&amp;"&lt;/setvar&gt;"&amp;IF(AX33&lt;&gt;"","&lt;displayfeedback feedbacktype=""Response"" linkrefid=""response_4""/&gt;",IF($AS33&lt;&gt;"","&lt;displayfeedback feedbacktype=""Response"" linkrefid=""qti_feedback_trigger""/&gt;",""))&amp;"&lt;/respcondition&gt;",""),IF(OR(X33,AX33&lt;&gt;"",$AS33&lt;&gt;""),"      &lt;respcondition continue=""Yes""&gt;&lt;conditionvar&gt;"&amp;IF(X33,"&lt;varequal respident=""RESPONSE""&gt;4&lt;/varequal&gt;","&lt;not&gt;&lt;varequal respident=""RESPONSE""&gt;4&lt;/varequal&gt;&lt;/not&gt;")&amp;"&lt;/conditionvar&gt;&lt;setvar action=""Add""&gt;"&amp;(Saisie_Questions!$N33/$I33)&amp;"&lt;/setvar&gt;"&amp;IF(AX33&lt;&gt;"","&lt;displayfeedback feedbacktype=""Response"" linkrefid=""response_4""/&gt;",IF($AS33&lt;&gt;"","&lt;displayfeedback feedbacktype=""Response"" linkrefid=""qti_feedback_trigger""/&gt;",""))&amp;"&lt;/respcondition&gt;",""))),"")</f>
      </c>
      <c r="AO33" s="46">
        <f>IF($B33,IF(Q33="","",IF($C33="qcu",IF(OR(Y33,AY33&lt;&gt;"",$AS33&lt;&gt;""),"      &lt;respcondition continue=""Yes""&gt;&lt;conditionvar&gt;&lt;varequal respident=""RESPONSE""&gt;5&lt;/varequal&gt;&lt;/conditionvar&gt;"&amp;"&lt;setvar action=""Add""&gt;"&amp;IF(Y33,$H33,0)&amp;"&lt;/setvar&gt;"&amp;IF(AY33&lt;&gt;"","&lt;displayfeedback feedbacktype=""Response"" linkrefid=""response_5""/&gt;",IF($AS33&lt;&gt;"","&lt;displayfeedback feedbacktype=""Response"" linkrefid=""qti_feedback_trigger""/&gt;",""))&amp;"&lt;/respcondition&gt;",""),IF(OR(Y33,AY33&lt;&gt;"",$AS33&lt;&gt;""),"      &lt;respcondition continue=""Yes""&gt;&lt;conditionvar&gt;"&amp;IF(Y33,"&lt;varequal respident=""RESPONSE""&gt;5&lt;/varequal&gt;","&lt;not&gt;&lt;varequal respident=""RESPONSE""&gt;5&lt;/varequal&gt;&lt;/not&gt;")&amp;"&lt;/conditionvar&gt;&lt;setvar action=""Add""&gt;"&amp;(Saisie_Questions!$N33/$I33)&amp;"&lt;/setvar&gt;"&amp;IF(AY33&lt;&gt;"","&lt;displayfeedback feedbacktype=""Response"" linkrefid=""response_5""/&gt;",IF($AS33&lt;&gt;"","&lt;displayfeedback feedbacktype=""Response"" linkrefid=""qti_feedback_trigger""/&gt;",""))&amp;"&lt;/respcondition&gt;",""))),"")</f>
      </c>
      <c r="AP33" s="46">
        <f>IF($B33,IF(R33="","",IF($C33="qcu",IF(OR(Z33,AZ33&lt;&gt;"",$AS33&lt;&gt;""),"      &lt;respcondition continue=""Yes""&gt;&lt;conditionvar&gt;&lt;varequal respident=""RESPONSE""&gt;6&lt;/varequal&gt;&lt;/conditionvar&gt;"&amp;"&lt;setvar action=""Add""&gt;"&amp;IF(Z33,$H33,0)&amp;"&lt;/setvar&gt;"&amp;IF(AZ33&lt;&gt;"","&lt;displayfeedback feedbacktype=""Response"" linkrefid=""response_6""/&gt;",IF($AS33&lt;&gt;"","&lt;displayfeedback feedbacktype=""Response"" linkrefid=""qti_feedback_trigger""/&gt;",""))&amp;"&lt;/respcondition&gt;",""),IF(OR(Z33,AZ33&lt;&gt;"",$AS33&lt;&gt;""),"      &lt;respcondition continue=""Yes""&gt;&lt;conditionvar&gt;"&amp;IF(Z33,"&lt;varequal respident=""RESPONSE""&gt;6&lt;/varequal&gt;","&lt;not&gt;&lt;varequal respident=""RESPONSE""&gt;6&lt;/varequal&gt;&lt;/not&gt;")&amp;"&lt;/conditionvar&gt;&lt;setvar action=""Add""&gt;"&amp;(Saisie_Questions!$N33/$I33)&amp;"&lt;/setvar&gt;"&amp;IF(AZ33&lt;&gt;"","&lt;displayfeedback feedbacktype=""Response"" linkrefid=""response_6""/&gt;",IF($AS33&lt;&gt;"","&lt;displayfeedback feedbacktype=""Response"" linkrefid=""qti_feedback_trigger""/&gt;",""))&amp;"&lt;/respcondition&gt;",""))),"")</f>
      </c>
      <c r="AQ33" s="46">
        <f>IF($B33,IF(S33="","",IF($C33="qcu",IF(OR(AA33,BA33&lt;&gt;"",$AS33&lt;&gt;""),"      &lt;respcondition continue=""Yes""&gt;&lt;conditionvar&gt;&lt;varequal respident=""RESPONSE""&gt;7&lt;/varequal&gt;&lt;/conditionvar&gt;"&amp;"&lt;setvar action=""Add""&gt;"&amp;IF(AA33,$H33,0)&amp;"&lt;/setvar&gt;"&amp;IF(BA33&lt;&gt;"","&lt;displayfeedback feedbacktype=""Response"" linkrefid=""response_7""/&gt;",IF($AS33&lt;&gt;"","&lt;displayfeedback feedbacktype=""Response"" linkrefid=""qti_feedback_trigger""/&gt;",""))&amp;"&lt;/respcondition&gt;",""),IF(OR(AA33,BA33&lt;&gt;"",$AS33&lt;&gt;""),"      &lt;respcondition continue=""Yes""&gt;&lt;conditionvar&gt;"&amp;IF(AA33,"&lt;varequal respident=""RESPONSE""&gt;7&lt;/varequal&gt;","&lt;not&gt;&lt;varequal respident=""RESPONSE""&gt;7&lt;/varequal&gt;&lt;/not&gt;")&amp;"&lt;/conditionvar&gt;&lt;setvar action=""Add""&gt;"&amp;(Saisie_Questions!$N33/$I33)&amp;"&lt;/setvar&gt;"&amp;IF(BA33&lt;&gt;"","&lt;displayfeedback feedbacktype=""Response"" linkrefid=""response_7""/&gt;",IF($AS33&lt;&gt;"","&lt;displayfeedback feedbacktype=""Response"" linkrefid=""qti_feedback_trigger""/&gt;",""))&amp;"&lt;/respcondition&gt;",""))),"")</f>
      </c>
      <c r="AR33" s="46">
        <f>IF(A33="","",SUBSTITUTE(SUBSTITUTE(SUBSTITUTE(SUBSTITUTE(SUBSTITUTE(IF(Saisie_Questions!P33&lt;&gt;"",Saisie_Questions!P33,Interface_Generation!$B$5),"&amp;","&amp;amp;"),"&lt;","&amp;lt;"),"&gt;","&amp;gt;"),CHAR(34),"&amp;quot;"),"'","&amp;apos;"))</f>
        <v/>
      </c>
      <c r="AS33" s="46">
        <f>IF(Saisie_Questions!Q33="","",SUBSTITUTE(SUBSTITUTE(SUBSTITUTE(SUBSTITUTE(SUBSTITUTE(Saisie_Questions!Q33,"&amp;","&amp;amp;"),"&lt;","&amp;lt;"),"&gt;","&amp;gt;"),CHAR(34),"&amp;quot;"),"'","&amp;apos;"))</f>
        <v/>
      </c>
      <c r="AT33" s="46">
        <f>IF(Saisie_Questions!R33="","",SUBSTITUTE(SUBSTITUTE(SUBSTITUTE(SUBSTITUTE(SUBSTITUTE(Saisie_Questions!R33,"&amp;","&amp;amp;"),"&lt;","&amp;lt;"),"&gt;","&amp;gt;"),CHAR(34),"&amp;quot;"),"'","&amp;apos;"))</f>
        <v/>
      </c>
      <c r="AU33" s="46">
        <f>IF(Saisie_Questions!S33="","",SUBSTITUTE(SUBSTITUTE(SUBSTITUTE(SUBSTITUTE(SUBSTITUTE(Saisie_Questions!S33,"&amp;","&amp;amp;"),"&lt;","&amp;lt;"),"&gt;","&amp;gt;"),CHAR(34),"&amp;quot;"),"'","&amp;apos;"))</f>
        <v/>
      </c>
      <c r="AV33" s="46">
        <f>IF(Saisie_Questions!T33="","",SUBSTITUTE(SUBSTITUTE(SUBSTITUTE(SUBSTITUTE(SUBSTITUTE(Saisie_Questions!T33,"&amp;","&amp;amp;"),"&lt;","&amp;lt;"),"&gt;","&amp;gt;"),CHAR(34),"&amp;quot;"),"'","&amp;apos;"))</f>
        <v/>
      </c>
      <c r="AW33" s="46">
        <f>IF(Saisie_Questions!U33="","",SUBSTITUTE(SUBSTITUTE(SUBSTITUTE(SUBSTITUTE(SUBSTITUTE(Saisie_Questions!U33,"&amp;","&amp;amp;"),"&lt;","&amp;lt;"),"&gt;","&amp;gt;"),CHAR(34),"&amp;quot;"),"'","&amp;apos;"))</f>
        <v/>
      </c>
      <c r="AX33" s="46">
        <f>IF(Saisie_Questions!V33="","",SUBSTITUTE(SUBSTITUTE(SUBSTITUTE(SUBSTITUTE(SUBSTITUTE(Saisie_Questions!V33,"&amp;","&amp;amp;"),"&lt;","&amp;lt;"),"&gt;","&amp;gt;"),CHAR(34),"&amp;quot;"),"'","&amp;apos;"))</f>
        <v/>
      </c>
      <c r="AY33" s="46">
        <f>IF(Saisie_Questions!W33="","",SUBSTITUTE(SUBSTITUTE(SUBSTITUTE(SUBSTITUTE(SUBSTITUTE(Saisie_Questions!W33,"&amp;","&amp;amp;"),"&lt;","&amp;lt;"),"&gt;","&amp;gt;"),CHAR(34),"&amp;quot;"),"'","&amp;apos;"))</f>
        <v/>
      </c>
      <c r="AZ33" s="46">
        <f>IF(Saisie_Questions!X33="","",SUBSTITUTE(SUBSTITUTE(SUBSTITUTE(SUBSTITUTE(SUBSTITUTE(Saisie_Questions!X33,"&amp;","&amp;amp;"),"&lt;","&amp;lt;"),"&gt;","&amp;gt;"),CHAR(34),"&amp;quot;"),"'","&amp;apos;"))</f>
        <v/>
      </c>
      <c r="BA33" s="46">
        <f>IF(Saisie_Questions!Y33="","",SUBSTITUTE(SUBSTITUTE(SUBSTITUTE(SUBSTITUTE(SUBSTITUTE(Saisie_Questions!Y33,"&amp;","&amp;amp;"),"&lt;","&amp;lt;"),"&gt;","&amp;gt;"),CHAR(34),"&amp;quot;"),"'","&amp;apos;"))</f>
        <v/>
      </c>
      <c r="BB33" s="46">
        <f>IF($B33,IF($AS33="","","    &lt;itemfeedback ident=""response_allcorrect"" view=""All""&gt;&lt;flow_mat&gt;&lt;material&gt;&lt;mattext texttype=""text/html""&gt;"&amp;$AS33&amp;"&lt;/mattext&gt;&lt;/material&gt;&lt;/flow_mat&gt;&lt;/itemfeedback&gt;"&amp;"    &lt;itemfeedback ident=""response_onenotcorrect"" view=""All""&gt;&lt;flow_mat&gt;&lt;material&gt;&lt;mattext texttype=""text/html""&gt;"&amp;$AS33&amp;"&lt;/mattext&gt;&lt;/material&gt;&lt;/flow_mat&gt;&lt;/itemfeedback&gt;"),"")</f>
      </c>
      <c r="BC33" s="46">
        <f>IF($B33,IF(AT33="","","    &lt;itemfeedback ident=""response_0"" view=""All""&gt;&lt;flow_mat&gt;&lt;material&gt;&lt;mattext texttype=""text/html""&gt;"&amp;AT33&amp;"&lt;/mattext&gt;&lt;/material&gt;&lt;/flow_mat&gt;&lt;/itemfeedback&gt;"),"")</f>
      </c>
      <c r="BD33" s="46">
        <f>IF($B33,IF(AU33="","","    &lt;itemfeedback ident=""response_1"" view=""All""&gt;&lt;flow_mat&gt;&lt;material&gt;&lt;mattext texttype=""text/html""&gt;"&amp;AU33&amp;"&lt;/mattext&gt;&lt;/material&gt;&lt;/flow_mat&gt;&lt;/itemfeedback&gt;"),"")</f>
      </c>
      <c r="BE33" s="46">
        <f>IF($B33,IF(AV33="","","    &lt;itemfeedback ident=""response_2"" view=""All""&gt;&lt;flow_mat&gt;&lt;material&gt;&lt;mattext texttype=""text/html""&gt;"&amp;AV33&amp;"&lt;/mattext&gt;&lt;/material&gt;&lt;/flow_mat&gt;&lt;/itemfeedback&gt;"),"")</f>
      </c>
      <c r="BF33" s="46">
        <f>IF($B33,IF(AW33="","","    &lt;itemfeedback ident=""response_3"" view=""All""&gt;&lt;flow_mat&gt;&lt;material&gt;&lt;mattext texttype=""text/html""&gt;"&amp;AW33&amp;"&lt;/mattext&gt;&lt;/material&gt;&lt;/flow_mat&gt;&lt;/itemfeedback&gt;"),"")</f>
      </c>
      <c r="BG33" s="46">
        <f>IF($B33,IF(AX33="","","    &lt;itemfeedback ident=""response_4"" view=""All""&gt;&lt;flow_mat&gt;&lt;material&gt;&lt;mattext texttype=""text/html""&gt;"&amp;AX33&amp;"&lt;/mattext&gt;&lt;/material&gt;&lt;/flow_mat&gt;&lt;/itemfeedback&gt;"),"")</f>
      </c>
      <c r="BH33" s="46">
        <f>IF($B33,IF(AY33="","","    &lt;itemfeedback ident=""response_5"" view=""All""&gt;&lt;flow_mat&gt;&lt;material&gt;&lt;mattext texttype=""text/html""&gt;"&amp;AY33&amp;"&lt;/mattext&gt;&lt;/material&gt;&lt;/flow_mat&gt;&lt;/itemfeedback&gt;"),"")</f>
      </c>
      <c r="BI33" s="46">
        <f>IF($B33,IF(AZ33="","","    &lt;itemfeedback ident=""response_6"" view=""All""&gt;&lt;flow_mat&gt;&lt;material&gt;&lt;mattext texttype=""text/html""&gt;"&amp;AZ33&amp;"&lt;/mattext&gt;&lt;/material&gt;&lt;/flow_mat&gt;&lt;/itemfeedback&gt;"),"")</f>
      </c>
      <c r="BJ33" s="46">
        <f>IF($B33,IF(BA33="","","    &lt;itemfeedback ident=""response_7"" view=""All""&gt;&lt;flow_mat&gt;&lt;material&gt;&lt;mattext texttype=""text/html""&gt;"&amp;BA33&amp;"&lt;/mattext&gt;&lt;/material&gt;&lt;/flow_mat&gt;&lt;/itemfeedback&gt;"),"")</f>
      </c>
    </row>
    <row r="34" ht="18" customHeight="1" s="17">
      <c r="A34" s="46">
        <f>Saisie_Questions!A34</f>
        <v/>
      </c>
      <c r="B34" s="46">
        <f>Saisie_Questions!O34="OK"</f>
        <v/>
      </c>
      <c r="C34" s="46">
        <f>LOWER(TRIM(Saisie_Questions!B34))</f>
        <v/>
      </c>
      <c r="D34" s="46">
        <f>IF(C34="qcu","SINGLE CHOICE QUESTION","MULTIPLE CHOICE QUESTION")</f>
        <v/>
      </c>
      <c r="E34" s="46">
        <f>IF(C34="qcu","Single","Multiple")</f>
        <v/>
      </c>
      <c r="F34" s="46">
        <f>IF(A34="","",SUBSTITUTE(SUBSTITUTE(SUBSTITUTE(SUBSTITUTE(SUBSTITUTE(IF(Saisie_Questions!C34="", "Question "&amp;A34, Saisie_Questions!C34),"&amp;","&amp;amp;"),"&lt;","&amp;lt;"),"&gt;","&amp;gt;"),CHAR(34),"&amp;quot;"),"'","&amp;apos;"))</f>
        <v/>
      </c>
      <c r="G34" s="46">
        <f>IF(A34="","",SUBSTITUTE(SUBSTITUTE(SUBSTITUTE(SUBSTITUTE(SUBSTITUTE(Saisie_Questions!D34,"&amp;","&amp;amp;"),"&lt;","&amp;lt;"),"&gt;","&amp;gt;"),CHAR(34),"&amp;quot;"),"'","&amp;apos;"))</f>
        <v/>
      </c>
      <c r="H34" s="46">
        <f>Saisie_Questions!N34</f>
        <v/>
      </c>
      <c r="I34" s="46">
        <f>IF(Saisie_Questions!E34="",0,1)+IF(Saisie_Questions!F34="",0,1)+IF(Saisie_Questions!G34="",0,1)+IF(Saisie_Questions!H34="",0,1)+IF(Saisie_Questions!I34="",0,1)+IF(Saisie_Questions!J34="",0,1)+IF(Saisie_Questions!K34="",0,1)+IF(Saisie_Questions!L34="",0,1)</f>
        <v/>
      </c>
      <c r="J34" s="46">
        <f>Saisie_Questions!M34</f>
        <v/>
      </c>
      <c r="K34" s="46">
        <f>Saisie_Questions!O34</f>
        <v/>
      </c>
      <c r="L34" s="46">
        <f>IF(Saisie_Questions!E34="","",SUBSTITUTE(SUBSTITUTE(SUBSTITUTE(SUBSTITUTE(SUBSTITUTE(Saisie_Questions!E34,"&amp;","&amp;amp;"),"&lt;","&amp;lt;"),"&gt;","&amp;gt;"),CHAR(34),"&amp;quot;"),"'","&amp;apos;"))</f>
        <v/>
      </c>
      <c r="M34" s="46">
        <f>IF(Saisie_Questions!F34="","",SUBSTITUTE(SUBSTITUTE(SUBSTITUTE(SUBSTITUTE(SUBSTITUTE(Saisie_Questions!F34,"&amp;","&amp;amp;"),"&lt;","&amp;lt;"),"&gt;","&amp;gt;"),CHAR(34),"&amp;quot;"),"'","&amp;apos;"))</f>
        <v/>
      </c>
      <c r="N34" s="46">
        <f>IF(Saisie_Questions!G34="","",SUBSTITUTE(SUBSTITUTE(SUBSTITUTE(SUBSTITUTE(SUBSTITUTE(Saisie_Questions!G34,"&amp;","&amp;amp;"),"&lt;","&amp;lt;"),"&gt;","&amp;gt;"),CHAR(34),"&amp;quot;"),"'","&amp;apos;"))</f>
        <v/>
      </c>
      <c r="O34" s="46">
        <f>IF(Saisie_Questions!H34="","",SUBSTITUTE(SUBSTITUTE(SUBSTITUTE(SUBSTITUTE(SUBSTITUTE(Saisie_Questions!H34,"&amp;","&amp;amp;"),"&lt;","&amp;lt;"),"&gt;","&amp;gt;"),CHAR(34),"&amp;quot;"),"'","&amp;apos;"))</f>
        <v/>
      </c>
      <c r="P34" s="46">
        <f>IF(Saisie_Questions!I34="","",SUBSTITUTE(SUBSTITUTE(SUBSTITUTE(SUBSTITUTE(SUBSTITUTE(Saisie_Questions!I34,"&amp;","&amp;amp;"),"&lt;","&amp;lt;"),"&gt;","&amp;gt;"),CHAR(34),"&amp;quot;"),"'","&amp;apos;"))</f>
        <v/>
      </c>
      <c r="Q34" s="46">
        <f>IF(Saisie_Questions!J34="","",SUBSTITUTE(SUBSTITUTE(SUBSTITUTE(SUBSTITUTE(SUBSTITUTE(Saisie_Questions!J34,"&amp;","&amp;amp;"),"&lt;","&amp;lt;"),"&gt;","&amp;gt;"),CHAR(34),"&amp;quot;"),"'","&amp;apos;"))</f>
        <v/>
      </c>
      <c r="R34" s="46">
        <f>IF(Saisie_Questions!K34="","",SUBSTITUTE(SUBSTITUTE(SUBSTITUTE(SUBSTITUTE(SUBSTITUTE(Saisie_Questions!K34,"&amp;","&amp;amp;"),"&lt;","&amp;lt;"),"&gt;","&amp;gt;"),CHAR(34),"&amp;quot;"),"'","&amp;apos;"))</f>
        <v/>
      </c>
      <c r="S34" s="46">
        <f>IF(Saisie_Questions!L34="","",SUBSTITUTE(SUBSTITUTE(SUBSTITUTE(SUBSTITUTE(SUBSTITUTE(Saisie_Questions!L34,"&amp;","&amp;amp;"),"&lt;","&amp;lt;"),"&gt;","&amp;gt;"),CHAR(34),"&amp;quot;"),"'","&amp;apos;"))</f>
        <v/>
      </c>
      <c r="T34" s="46">
        <f>ISNUMBER(SEARCH(";"&amp;1&amp;";",";"&amp;$J34&amp;";"))</f>
        <v/>
      </c>
      <c r="U34" s="46">
        <f>ISNUMBER(SEARCH(";"&amp;2&amp;";",";"&amp;$J34&amp;";"))</f>
        <v/>
      </c>
      <c r="V34" s="46">
        <f>ISNUMBER(SEARCH(";"&amp;3&amp;";",";"&amp;$J34&amp;";"))</f>
        <v/>
      </c>
      <c r="W34" s="46">
        <f>ISNUMBER(SEARCH(";"&amp;4&amp;";",";"&amp;$J34&amp;";"))</f>
        <v/>
      </c>
      <c r="X34" s="46">
        <f>ISNUMBER(SEARCH(";"&amp;5&amp;";",";"&amp;$J34&amp;";"))</f>
        <v/>
      </c>
      <c r="Y34" s="46">
        <f>ISNUMBER(SEARCH(";"&amp;6&amp;";",";"&amp;$J34&amp;";"))</f>
        <v/>
      </c>
      <c r="Z34" s="46">
        <f>ISNUMBER(SEARCH(";"&amp;7&amp;";",";"&amp;$J34&amp;";"))</f>
        <v/>
      </c>
      <c r="AA34" s="46">
        <f>ISNUMBER(SEARCH(";"&amp;8&amp;";",";"&amp;$J34&amp;";"))</f>
        <v/>
      </c>
      <c r="AB34" s="46">
        <f>IF($B34,IF(L34="","","        &lt;response_label ident=""0""&gt;&lt;material&gt;&lt;mattext texttype=""text/html""&gt;"&amp;L34&amp;"&lt;/mattext&gt;&lt;/material&gt;&lt;/response_label&gt;"),"")</f>
        <v/>
      </c>
      <c r="AC34" s="46">
        <f>IF($B34,IF(M34="","","        &lt;response_label ident=""1""&gt;&lt;material&gt;&lt;mattext texttype=""text/html""&gt;"&amp;M34&amp;"&lt;/mattext&gt;&lt;/material&gt;&lt;/response_label&gt;"),"")</f>
        <v/>
      </c>
      <c r="AD34" s="46">
        <f>IF($B34,IF(N34="","","        &lt;response_label ident=""2""&gt;&lt;material&gt;&lt;mattext texttype=""text/html""&gt;"&amp;N34&amp;"&lt;/mattext&gt;&lt;/material&gt;&lt;/response_label&gt;"),"")</f>
        <v/>
      </c>
      <c r="AE34" s="46">
        <f>IF($B34,IF(O34="","","        &lt;response_label ident=""3""&gt;&lt;material&gt;&lt;mattext texttype=""text/html""&gt;"&amp;O34&amp;"&lt;/mattext&gt;&lt;/material&gt;&lt;/response_label&gt;"),"")</f>
        <v/>
      </c>
      <c r="AF34" s="46">
        <f>IF($B34,IF(P34="","","        &lt;response_label ident=""4""&gt;&lt;material&gt;&lt;mattext texttype=""text/html""&gt;"&amp;P34&amp;"&lt;/mattext&gt;&lt;/material&gt;&lt;/response_label&gt;"),"")</f>
        <v/>
      </c>
      <c r="AG34" s="46">
        <f>IF($B34,IF(Q34="","","        &lt;response_label ident=""5""&gt;&lt;material&gt;&lt;mattext texttype=""text/html""&gt;"&amp;Q34&amp;"&lt;/mattext&gt;&lt;/material&gt;&lt;/response_label&gt;"),"")</f>
        <v/>
      </c>
      <c r="AH34" s="46">
        <f>IF($B34,IF(R34="","","        &lt;response_label ident=""6""&gt;&lt;material&gt;&lt;mattext texttype=""text/html""&gt;"&amp;R34&amp;"&lt;/mattext&gt;&lt;/material&gt;&lt;/response_label&gt;"),"")</f>
        <v/>
      </c>
      <c r="AI34" s="46">
        <f>IF($B34,IF(S34="","","        &lt;response_label ident=""7""&gt;&lt;material&gt;&lt;mattext texttype=""text/html""&gt;"&amp;S34&amp;"&lt;/mattext&gt;&lt;/material&gt;&lt;/response_label&gt;"),"")</f>
        <v/>
      </c>
      <c r="AJ34" s="46">
        <f>IF($B34,IF(L34="","",IF($C34="qcu",IF(OR(T34,AT34&lt;&gt;"",$AS34&lt;&gt;""),"      &lt;respcondition continue=""Yes""&gt;&lt;conditionvar&gt;&lt;varequal respident=""RESPONSE""&gt;0&lt;/varequal&gt;&lt;/conditionvar&gt;"&amp;"&lt;setvar action=""Add""&gt;"&amp;IF(T34,$H34,0)&amp;"&lt;/setvar&gt;"&amp;IF(AT34&lt;&gt;"","&lt;displayfeedback feedbacktype=""Response"" linkrefid=""response_0""/&gt;",IF($AS34&lt;&gt;"","&lt;displayfeedback feedbacktype=""Response"" linkrefid=""qti_feedback_trigger""/&gt;",""))&amp;"&lt;/respcondition&gt;",""),IF(OR(T34,AT34&lt;&gt;"",$AS34&lt;&gt;""),"      &lt;respcondition continue=""Yes""&gt;&lt;conditionvar&gt;"&amp;IF(T34,"&lt;varequal respident=""RESPONSE""&gt;0&lt;/varequal&gt;","&lt;not&gt;&lt;varequal respident=""RESPONSE""&gt;0&lt;/varequal&gt;&lt;/not&gt;")&amp;"&lt;/conditionvar&gt;&lt;setvar action=""Add""&gt;"&amp;(Saisie_Questions!$N34/$I34)&amp;"&lt;/setvar&gt;"&amp;IF(AT34&lt;&gt;"","&lt;displayfeedback feedbacktype=""Response"" linkrefid=""response_0""/&gt;",IF($AS34&lt;&gt;"","&lt;displayfeedback feedbacktype=""Response"" linkrefid=""qti_feedback_trigger""/&gt;",""))&amp;"&lt;/respcondition&gt;",""))),"")</f>
      </c>
      <c r="AK34" s="46">
        <f>IF($B34,IF(M34="","",IF($C34="qcu",IF(OR(U34,AU34&lt;&gt;"",$AS34&lt;&gt;""),"      &lt;respcondition continue=""Yes""&gt;&lt;conditionvar&gt;&lt;varequal respident=""RESPONSE""&gt;1&lt;/varequal&gt;&lt;/conditionvar&gt;"&amp;"&lt;setvar action=""Add""&gt;"&amp;IF(U34,$H34,0)&amp;"&lt;/setvar&gt;"&amp;IF(AU34&lt;&gt;"","&lt;displayfeedback feedbacktype=""Response"" linkrefid=""response_1""/&gt;",IF($AS34&lt;&gt;"","&lt;displayfeedback feedbacktype=""Response"" linkrefid=""qti_feedback_trigger""/&gt;",""))&amp;"&lt;/respcondition&gt;",""),IF(OR(U34,AU34&lt;&gt;"",$AS34&lt;&gt;""),"      &lt;respcondition continue=""Yes""&gt;&lt;conditionvar&gt;"&amp;IF(U34,"&lt;varequal respident=""RESPONSE""&gt;1&lt;/varequal&gt;","&lt;not&gt;&lt;varequal respident=""RESPONSE""&gt;1&lt;/varequal&gt;&lt;/not&gt;")&amp;"&lt;/conditionvar&gt;&lt;setvar action=""Add""&gt;"&amp;(Saisie_Questions!$N34/$I34)&amp;"&lt;/setvar&gt;"&amp;IF(AU34&lt;&gt;"","&lt;displayfeedback feedbacktype=""Response"" linkrefid=""response_1""/&gt;",IF($AS34&lt;&gt;"","&lt;displayfeedback feedbacktype=""Response"" linkrefid=""qti_feedback_trigger""/&gt;",""))&amp;"&lt;/respcondition&gt;",""))),"")</f>
      </c>
      <c r="AL34" s="46">
        <f>IF($B34,IF(N34="","",IF($C34="qcu",IF(OR(V34,AV34&lt;&gt;"",$AS34&lt;&gt;""),"      &lt;respcondition continue=""Yes""&gt;&lt;conditionvar&gt;&lt;varequal respident=""RESPONSE""&gt;2&lt;/varequal&gt;&lt;/conditionvar&gt;"&amp;"&lt;setvar action=""Add""&gt;"&amp;IF(V34,$H34,0)&amp;"&lt;/setvar&gt;"&amp;IF(AV34&lt;&gt;"","&lt;displayfeedback feedbacktype=""Response"" linkrefid=""response_2""/&gt;",IF($AS34&lt;&gt;"","&lt;displayfeedback feedbacktype=""Response"" linkrefid=""qti_feedback_trigger""/&gt;",""))&amp;"&lt;/respcondition&gt;",""),IF(OR(V34,AV34&lt;&gt;"",$AS34&lt;&gt;""),"      &lt;respcondition continue=""Yes""&gt;&lt;conditionvar&gt;"&amp;IF(V34,"&lt;varequal respident=""RESPONSE""&gt;2&lt;/varequal&gt;","&lt;not&gt;&lt;varequal respident=""RESPONSE""&gt;2&lt;/varequal&gt;&lt;/not&gt;")&amp;"&lt;/conditionvar&gt;&lt;setvar action=""Add""&gt;"&amp;(Saisie_Questions!$N34/$I34)&amp;"&lt;/setvar&gt;"&amp;IF(AV34&lt;&gt;"","&lt;displayfeedback feedbacktype=""Response"" linkrefid=""response_2""/&gt;",IF($AS34&lt;&gt;"","&lt;displayfeedback feedbacktype=""Response"" linkrefid=""qti_feedback_trigger""/&gt;",""))&amp;"&lt;/respcondition&gt;",""))),"")</f>
      </c>
      <c r="AM34" s="46">
        <f>IF($B34,IF(O34="","",IF($C34="qcu",IF(OR(W34,AW34&lt;&gt;"",$AS34&lt;&gt;""),"      &lt;respcondition continue=""Yes""&gt;&lt;conditionvar&gt;&lt;varequal respident=""RESPONSE""&gt;3&lt;/varequal&gt;&lt;/conditionvar&gt;"&amp;"&lt;setvar action=""Add""&gt;"&amp;IF(W34,$H34,0)&amp;"&lt;/setvar&gt;"&amp;IF(AW34&lt;&gt;"","&lt;displayfeedback feedbacktype=""Response"" linkrefid=""response_3""/&gt;",IF($AS34&lt;&gt;"","&lt;displayfeedback feedbacktype=""Response"" linkrefid=""qti_feedback_trigger""/&gt;",""))&amp;"&lt;/respcondition&gt;",""),IF(OR(W34,AW34&lt;&gt;"",$AS34&lt;&gt;""),"      &lt;respcondition continue=""Yes""&gt;&lt;conditionvar&gt;"&amp;IF(W34,"&lt;varequal respident=""RESPONSE""&gt;3&lt;/varequal&gt;","&lt;not&gt;&lt;varequal respident=""RESPONSE""&gt;3&lt;/varequal&gt;&lt;/not&gt;")&amp;"&lt;/conditionvar&gt;&lt;setvar action=""Add""&gt;"&amp;(Saisie_Questions!$N34/$I34)&amp;"&lt;/setvar&gt;"&amp;IF(AW34&lt;&gt;"","&lt;displayfeedback feedbacktype=""Response"" linkrefid=""response_3""/&gt;",IF($AS34&lt;&gt;"","&lt;displayfeedback feedbacktype=""Response"" linkrefid=""qti_feedback_trigger""/&gt;",""))&amp;"&lt;/respcondition&gt;",""))),"")</f>
      </c>
      <c r="AN34" s="46">
        <f>IF($B34,IF(P34="","",IF($C34="qcu",IF(OR(X34,AX34&lt;&gt;"",$AS34&lt;&gt;""),"      &lt;respcondition continue=""Yes""&gt;&lt;conditionvar&gt;&lt;varequal respident=""RESPONSE""&gt;4&lt;/varequal&gt;&lt;/conditionvar&gt;"&amp;"&lt;setvar action=""Add""&gt;"&amp;IF(X34,$H34,0)&amp;"&lt;/setvar&gt;"&amp;IF(AX34&lt;&gt;"","&lt;displayfeedback feedbacktype=""Response"" linkrefid=""response_4""/&gt;",IF($AS34&lt;&gt;"","&lt;displayfeedback feedbacktype=""Response"" linkrefid=""qti_feedback_trigger""/&gt;",""))&amp;"&lt;/respcondition&gt;",""),IF(OR(X34,AX34&lt;&gt;"",$AS34&lt;&gt;""),"      &lt;respcondition continue=""Yes""&gt;&lt;conditionvar&gt;"&amp;IF(X34,"&lt;varequal respident=""RESPONSE""&gt;4&lt;/varequal&gt;","&lt;not&gt;&lt;varequal respident=""RESPONSE""&gt;4&lt;/varequal&gt;&lt;/not&gt;")&amp;"&lt;/conditionvar&gt;&lt;setvar action=""Add""&gt;"&amp;(Saisie_Questions!$N34/$I34)&amp;"&lt;/setvar&gt;"&amp;IF(AX34&lt;&gt;"","&lt;displayfeedback feedbacktype=""Response"" linkrefid=""response_4""/&gt;",IF($AS34&lt;&gt;"","&lt;displayfeedback feedbacktype=""Response"" linkrefid=""qti_feedback_trigger""/&gt;",""))&amp;"&lt;/respcondition&gt;",""))),"")</f>
      </c>
      <c r="AO34" s="46">
        <f>IF($B34,IF(Q34="","",IF($C34="qcu",IF(OR(Y34,AY34&lt;&gt;"",$AS34&lt;&gt;""),"      &lt;respcondition continue=""Yes""&gt;&lt;conditionvar&gt;&lt;varequal respident=""RESPONSE""&gt;5&lt;/varequal&gt;&lt;/conditionvar&gt;"&amp;"&lt;setvar action=""Add""&gt;"&amp;IF(Y34,$H34,0)&amp;"&lt;/setvar&gt;"&amp;IF(AY34&lt;&gt;"","&lt;displayfeedback feedbacktype=""Response"" linkrefid=""response_5""/&gt;",IF($AS34&lt;&gt;"","&lt;displayfeedback feedbacktype=""Response"" linkrefid=""qti_feedback_trigger""/&gt;",""))&amp;"&lt;/respcondition&gt;",""),IF(OR(Y34,AY34&lt;&gt;"",$AS34&lt;&gt;""),"      &lt;respcondition continue=""Yes""&gt;&lt;conditionvar&gt;"&amp;IF(Y34,"&lt;varequal respident=""RESPONSE""&gt;5&lt;/varequal&gt;","&lt;not&gt;&lt;varequal respident=""RESPONSE""&gt;5&lt;/varequal&gt;&lt;/not&gt;")&amp;"&lt;/conditionvar&gt;&lt;setvar action=""Add""&gt;"&amp;(Saisie_Questions!$N34/$I34)&amp;"&lt;/setvar&gt;"&amp;IF(AY34&lt;&gt;"","&lt;displayfeedback feedbacktype=""Response"" linkrefid=""response_5""/&gt;",IF($AS34&lt;&gt;"","&lt;displayfeedback feedbacktype=""Response"" linkrefid=""qti_feedback_trigger""/&gt;",""))&amp;"&lt;/respcondition&gt;",""))),"")</f>
      </c>
      <c r="AP34" s="46">
        <f>IF($B34,IF(R34="","",IF($C34="qcu",IF(OR(Z34,AZ34&lt;&gt;"",$AS34&lt;&gt;""),"      &lt;respcondition continue=""Yes""&gt;&lt;conditionvar&gt;&lt;varequal respident=""RESPONSE""&gt;6&lt;/varequal&gt;&lt;/conditionvar&gt;"&amp;"&lt;setvar action=""Add""&gt;"&amp;IF(Z34,$H34,0)&amp;"&lt;/setvar&gt;"&amp;IF(AZ34&lt;&gt;"","&lt;displayfeedback feedbacktype=""Response"" linkrefid=""response_6""/&gt;",IF($AS34&lt;&gt;"","&lt;displayfeedback feedbacktype=""Response"" linkrefid=""qti_feedback_trigger""/&gt;",""))&amp;"&lt;/respcondition&gt;",""),IF(OR(Z34,AZ34&lt;&gt;"",$AS34&lt;&gt;""),"      &lt;respcondition continue=""Yes""&gt;&lt;conditionvar&gt;"&amp;IF(Z34,"&lt;varequal respident=""RESPONSE""&gt;6&lt;/varequal&gt;","&lt;not&gt;&lt;varequal respident=""RESPONSE""&gt;6&lt;/varequal&gt;&lt;/not&gt;")&amp;"&lt;/conditionvar&gt;&lt;setvar action=""Add""&gt;"&amp;(Saisie_Questions!$N34/$I34)&amp;"&lt;/setvar&gt;"&amp;IF(AZ34&lt;&gt;"","&lt;displayfeedback feedbacktype=""Response"" linkrefid=""response_6""/&gt;",IF($AS34&lt;&gt;"","&lt;displayfeedback feedbacktype=""Response"" linkrefid=""qti_feedback_trigger""/&gt;",""))&amp;"&lt;/respcondition&gt;",""))),"")</f>
      </c>
      <c r="AQ34" s="46">
        <f>IF($B34,IF(S34="","",IF($C34="qcu",IF(OR(AA34,BA34&lt;&gt;"",$AS34&lt;&gt;""),"      &lt;respcondition continue=""Yes""&gt;&lt;conditionvar&gt;&lt;varequal respident=""RESPONSE""&gt;7&lt;/varequal&gt;&lt;/conditionvar&gt;"&amp;"&lt;setvar action=""Add""&gt;"&amp;IF(AA34,$H34,0)&amp;"&lt;/setvar&gt;"&amp;IF(BA34&lt;&gt;"","&lt;displayfeedback feedbacktype=""Response"" linkrefid=""response_7""/&gt;",IF($AS34&lt;&gt;"","&lt;displayfeedback feedbacktype=""Response"" linkrefid=""qti_feedback_trigger""/&gt;",""))&amp;"&lt;/respcondition&gt;",""),IF(OR(AA34,BA34&lt;&gt;"",$AS34&lt;&gt;""),"      &lt;respcondition continue=""Yes""&gt;&lt;conditionvar&gt;"&amp;IF(AA34,"&lt;varequal respident=""RESPONSE""&gt;7&lt;/varequal&gt;","&lt;not&gt;&lt;varequal respident=""RESPONSE""&gt;7&lt;/varequal&gt;&lt;/not&gt;")&amp;"&lt;/conditionvar&gt;&lt;setvar action=""Add""&gt;"&amp;(Saisie_Questions!$N34/$I34)&amp;"&lt;/setvar&gt;"&amp;IF(BA34&lt;&gt;"","&lt;displayfeedback feedbacktype=""Response"" linkrefid=""response_7""/&gt;",IF($AS34&lt;&gt;"","&lt;displayfeedback feedbacktype=""Response"" linkrefid=""qti_feedback_trigger""/&gt;",""))&amp;"&lt;/respcondition&gt;",""))),"")</f>
      </c>
      <c r="AR34" s="46">
        <f>IF(A34="","",SUBSTITUTE(SUBSTITUTE(SUBSTITUTE(SUBSTITUTE(SUBSTITUTE(IF(Saisie_Questions!P34&lt;&gt;"",Saisie_Questions!P34,Interface_Generation!$B$5),"&amp;","&amp;amp;"),"&lt;","&amp;lt;"),"&gt;","&amp;gt;"),CHAR(34),"&amp;quot;"),"'","&amp;apos;"))</f>
        <v/>
      </c>
      <c r="AS34" s="46">
        <f>IF(Saisie_Questions!Q34="","",SUBSTITUTE(SUBSTITUTE(SUBSTITUTE(SUBSTITUTE(SUBSTITUTE(Saisie_Questions!Q34,"&amp;","&amp;amp;"),"&lt;","&amp;lt;"),"&gt;","&amp;gt;"),CHAR(34),"&amp;quot;"),"'","&amp;apos;"))</f>
        <v/>
      </c>
      <c r="AT34" s="46">
        <f>IF(Saisie_Questions!R34="","",SUBSTITUTE(SUBSTITUTE(SUBSTITUTE(SUBSTITUTE(SUBSTITUTE(Saisie_Questions!R34,"&amp;","&amp;amp;"),"&lt;","&amp;lt;"),"&gt;","&amp;gt;"),CHAR(34),"&amp;quot;"),"'","&amp;apos;"))</f>
        <v/>
      </c>
      <c r="AU34" s="46">
        <f>IF(Saisie_Questions!S34="","",SUBSTITUTE(SUBSTITUTE(SUBSTITUTE(SUBSTITUTE(SUBSTITUTE(Saisie_Questions!S34,"&amp;","&amp;amp;"),"&lt;","&amp;lt;"),"&gt;","&amp;gt;"),CHAR(34),"&amp;quot;"),"'","&amp;apos;"))</f>
        <v/>
      </c>
      <c r="AV34" s="46">
        <f>IF(Saisie_Questions!T34="","",SUBSTITUTE(SUBSTITUTE(SUBSTITUTE(SUBSTITUTE(SUBSTITUTE(Saisie_Questions!T34,"&amp;","&amp;amp;"),"&lt;","&amp;lt;"),"&gt;","&amp;gt;"),CHAR(34),"&amp;quot;"),"'","&amp;apos;"))</f>
        <v/>
      </c>
      <c r="AW34" s="46">
        <f>IF(Saisie_Questions!U34="","",SUBSTITUTE(SUBSTITUTE(SUBSTITUTE(SUBSTITUTE(SUBSTITUTE(Saisie_Questions!U34,"&amp;","&amp;amp;"),"&lt;","&amp;lt;"),"&gt;","&amp;gt;"),CHAR(34),"&amp;quot;"),"'","&amp;apos;"))</f>
        <v/>
      </c>
      <c r="AX34" s="46">
        <f>IF(Saisie_Questions!V34="","",SUBSTITUTE(SUBSTITUTE(SUBSTITUTE(SUBSTITUTE(SUBSTITUTE(Saisie_Questions!V34,"&amp;","&amp;amp;"),"&lt;","&amp;lt;"),"&gt;","&amp;gt;"),CHAR(34),"&amp;quot;"),"'","&amp;apos;"))</f>
        <v/>
      </c>
      <c r="AY34" s="46">
        <f>IF(Saisie_Questions!W34="","",SUBSTITUTE(SUBSTITUTE(SUBSTITUTE(SUBSTITUTE(SUBSTITUTE(Saisie_Questions!W34,"&amp;","&amp;amp;"),"&lt;","&amp;lt;"),"&gt;","&amp;gt;"),CHAR(34),"&amp;quot;"),"'","&amp;apos;"))</f>
        <v/>
      </c>
      <c r="AZ34" s="46">
        <f>IF(Saisie_Questions!X34="","",SUBSTITUTE(SUBSTITUTE(SUBSTITUTE(SUBSTITUTE(SUBSTITUTE(Saisie_Questions!X34,"&amp;","&amp;amp;"),"&lt;","&amp;lt;"),"&gt;","&amp;gt;"),CHAR(34),"&amp;quot;"),"'","&amp;apos;"))</f>
        <v/>
      </c>
      <c r="BA34" s="46">
        <f>IF(Saisie_Questions!Y34="","",SUBSTITUTE(SUBSTITUTE(SUBSTITUTE(SUBSTITUTE(SUBSTITUTE(Saisie_Questions!Y34,"&amp;","&amp;amp;"),"&lt;","&amp;lt;"),"&gt;","&amp;gt;"),CHAR(34),"&amp;quot;"),"'","&amp;apos;"))</f>
        <v/>
      </c>
      <c r="BB34" s="46">
        <f>IF($B34,IF($AS34="","","    &lt;itemfeedback ident=""response_allcorrect"" view=""All""&gt;&lt;flow_mat&gt;&lt;material&gt;&lt;mattext texttype=""text/html""&gt;"&amp;$AS34&amp;"&lt;/mattext&gt;&lt;/material&gt;&lt;/flow_mat&gt;&lt;/itemfeedback&gt;"&amp;"    &lt;itemfeedback ident=""response_onenotcorrect"" view=""All""&gt;&lt;flow_mat&gt;&lt;material&gt;&lt;mattext texttype=""text/html""&gt;"&amp;$AS34&amp;"&lt;/mattext&gt;&lt;/material&gt;&lt;/flow_mat&gt;&lt;/itemfeedback&gt;"),"")</f>
      </c>
      <c r="BC34" s="46">
        <f>IF($B34,IF(AT34="","","    &lt;itemfeedback ident=""response_0"" view=""All""&gt;&lt;flow_mat&gt;&lt;material&gt;&lt;mattext texttype=""text/html""&gt;"&amp;AT34&amp;"&lt;/mattext&gt;&lt;/material&gt;&lt;/flow_mat&gt;&lt;/itemfeedback&gt;"),"")</f>
      </c>
      <c r="BD34" s="46">
        <f>IF($B34,IF(AU34="","","    &lt;itemfeedback ident=""response_1"" view=""All""&gt;&lt;flow_mat&gt;&lt;material&gt;&lt;mattext texttype=""text/html""&gt;"&amp;AU34&amp;"&lt;/mattext&gt;&lt;/material&gt;&lt;/flow_mat&gt;&lt;/itemfeedback&gt;"),"")</f>
      </c>
      <c r="BE34" s="46">
        <f>IF($B34,IF(AV34="","","    &lt;itemfeedback ident=""response_2"" view=""All""&gt;&lt;flow_mat&gt;&lt;material&gt;&lt;mattext texttype=""text/html""&gt;"&amp;AV34&amp;"&lt;/mattext&gt;&lt;/material&gt;&lt;/flow_mat&gt;&lt;/itemfeedback&gt;"),"")</f>
      </c>
      <c r="BF34" s="46">
        <f>IF($B34,IF(AW34="","","    &lt;itemfeedback ident=""response_3"" view=""All""&gt;&lt;flow_mat&gt;&lt;material&gt;&lt;mattext texttype=""text/html""&gt;"&amp;AW34&amp;"&lt;/mattext&gt;&lt;/material&gt;&lt;/flow_mat&gt;&lt;/itemfeedback&gt;"),"")</f>
      </c>
      <c r="BG34" s="46">
        <f>IF($B34,IF(AX34="","","    &lt;itemfeedback ident=""response_4"" view=""All""&gt;&lt;flow_mat&gt;&lt;material&gt;&lt;mattext texttype=""text/html""&gt;"&amp;AX34&amp;"&lt;/mattext&gt;&lt;/material&gt;&lt;/flow_mat&gt;&lt;/itemfeedback&gt;"),"")</f>
      </c>
      <c r="BH34" s="46">
        <f>IF($B34,IF(AY34="","","    &lt;itemfeedback ident=""response_5"" view=""All""&gt;&lt;flow_mat&gt;&lt;material&gt;&lt;mattext texttype=""text/html""&gt;"&amp;AY34&amp;"&lt;/mattext&gt;&lt;/material&gt;&lt;/flow_mat&gt;&lt;/itemfeedback&gt;"),"")</f>
      </c>
      <c r="BI34" s="46">
        <f>IF($B34,IF(AZ34="","","    &lt;itemfeedback ident=""response_6"" view=""All""&gt;&lt;flow_mat&gt;&lt;material&gt;&lt;mattext texttype=""text/html""&gt;"&amp;AZ34&amp;"&lt;/mattext&gt;&lt;/material&gt;&lt;/flow_mat&gt;&lt;/itemfeedback&gt;"),"")</f>
      </c>
      <c r="BJ34" s="46">
        <f>IF($B34,IF(BA34="","","    &lt;itemfeedback ident=""response_7"" view=""All""&gt;&lt;flow_mat&gt;&lt;material&gt;&lt;mattext texttype=""text/html""&gt;"&amp;BA34&amp;"&lt;/mattext&gt;&lt;/material&gt;&lt;/flow_mat&gt;&lt;/itemfeedback&gt;"),"")</f>
      </c>
    </row>
    <row r="35" ht="18" customHeight="1" s="17">
      <c r="A35" s="46">
        <f>Saisie_Questions!A35</f>
        <v/>
      </c>
      <c r="B35" s="46">
        <f>Saisie_Questions!O35="OK"</f>
        <v/>
      </c>
      <c r="C35" s="46">
        <f>LOWER(TRIM(Saisie_Questions!B35))</f>
        <v/>
      </c>
      <c r="D35" s="46">
        <f>IF(C35="qcu","SINGLE CHOICE QUESTION","MULTIPLE CHOICE QUESTION")</f>
        <v/>
      </c>
      <c r="E35" s="46">
        <f>IF(C35="qcu","Single","Multiple")</f>
        <v/>
      </c>
      <c r="F35" s="46">
        <f>IF(A35="","",SUBSTITUTE(SUBSTITUTE(SUBSTITUTE(SUBSTITUTE(SUBSTITUTE(IF(Saisie_Questions!C35="", "Question "&amp;A35, Saisie_Questions!C35),"&amp;","&amp;amp;"),"&lt;","&amp;lt;"),"&gt;","&amp;gt;"),CHAR(34),"&amp;quot;"),"'","&amp;apos;"))</f>
        <v/>
      </c>
      <c r="G35" s="46">
        <f>IF(A35="","",SUBSTITUTE(SUBSTITUTE(SUBSTITUTE(SUBSTITUTE(SUBSTITUTE(Saisie_Questions!D35,"&amp;","&amp;amp;"),"&lt;","&amp;lt;"),"&gt;","&amp;gt;"),CHAR(34),"&amp;quot;"),"'","&amp;apos;"))</f>
        <v/>
      </c>
      <c r="H35" s="46">
        <f>Saisie_Questions!N35</f>
        <v/>
      </c>
      <c r="I35" s="46">
        <f>IF(Saisie_Questions!E35="",0,1)+IF(Saisie_Questions!F35="",0,1)+IF(Saisie_Questions!G35="",0,1)+IF(Saisie_Questions!H35="",0,1)+IF(Saisie_Questions!I35="",0,1)+IF(Saisie_Questions!J35="",0,1)+IF(Saisie_Questions!K35="",0,1)+IF(Saisie_Questions!L35="",0,1)</f>
        <v/>
      </c>
      <c r="J35" s="46">
        <f>Saisie_Questions!M35</f>
        <v/>
      </c>
      <c r="K35" s="46">
        <f>Saisie_Questions!O35</f>
        <v/>
      </c>
      <c r="L35" s="46">
        <f>IF(Saisie_Questions!E35="","",SUBSTITUTE(SUBSTITUTE(SUBSTITUTE(SUBSTITUTE(SUBSTITUTE(Saisie_Questions!E35,"&amp;","&amp;amp;"),"&lt;","&amp;lt;"),"&gt;","&amp;gt;"),CHAR(34),"&amp;quot;"),"'","&amp;apos;"))</f>
        <v/>
      </c>
      <c r="M35" s="46">
        <f>IF(Saisie_Questions!F35="","",SUBSTITUTE(SUBSTITUTE(SUBSTITUTE(SUBSTITUTE(SUBSTITUTE(Saisie_Questions!F35,"&amp;","&amp;amp;"),"&lt;","&amp;lt;"),"&gt;","&amp;gt;"),CHAR(34),"&amp;quot;"),"'","&amp;apos;"))</f>
        <v/>
      </c>
      <c r="N35" s="46">
        <f>IF(Saisie_Questions!G35="","",SUBSTITUTE(SUBSTITUTE(SUBSTITUTE(SUBSTITUTE(SUBSTITUTE(Saisie_Questions!G35,"&amp;","&amp;amp;"),"&lt;","&amp;lt;"),"&gt;","&amp;gt;"),CHAR(34),"&amp;quot;"),"'","&amp;apos;"))</f>
        <v/>
      </c>
      <c r="O35" s="46">
        <f>IF(Saisie_Questions!H35="","",SUBSTITUTE(SUBSTITUTE(SUBSTITUTE(SUBSTITUTE(SUBSTITUTE(Saisie_Questions!H35,"&amp;","&amp;amp;"),"&lt;","&amp;lt;"),"&gt;","&amp;gt;"),CHAR(34),"&amp;quot;"),"'","&amp;apos;"))</f>
        <v/>
      </c>
      <c r="P35" s="46">
        <f>IF(Saisie_Questions!I35="","",SUBSTITUTE(SUBSTITUTE(SUBSTITUTE(SUBSTITUTE(SUBSTITUTE(Saisie_Questions!I35,"&amp;","&amp;amp;"),"&lt;","&amp;lt;"),"&gt;","&amp;gt;"),CHAR(34),"&amp;quot;"),"'","&amp;apos;"))</f>
        <v/>
      </c>
      <c r="Q35" s="46">
        <f>IF(Saisie_Questions!J35="","",SUBSTITUTE(SUBSTITUTE(SUBSTITUTE(SUBSTITUTE(SUBSTITUTE(Saisie_Questions!J35,"&amp;","&amp;amp;"),"&lt;","&amp;lt;"),"&gt;","&amp;gt;"),CHAR(34),"&amp;quot;"),"'","&amp;apos;"))</f>
        <v/>
      </c>
      <c r="R35" s="46">
        <f>IF(Saisie_Questions!K35="","",SUBSTITUTE(SUBSTITUTE(SUBSTITUTE(SUBSTITUTE(SUBSTITUTE(Saisie_Questions!K35,"&amp;","&amp;amp;"),"&lt;","&amp;lt;"),"&gt;","&amp;gt;"),CHAR(34),"&amp;quot;"),"'","&amp;apos;"))</f>
        <v/>
      </c>
      <c r="S35" s="46">
        <f>IF(Saisie_Questions!L35="","",SUBSTITUTE(SUBSTITUTE(SUBSTITUTE(SUBSTITUTE(SUBSTITUTE(Saisie_Questions!L35,"&amp;","&amp;amp;"),"&lt;","&amp;lt;"),"&gt;","&amp;gt;"),CHAR(34),"&amp;quot;"),"'","&amp;apos;"))</f>
        <v/>
      </c>
      <c r="T35" s="46">
        <f>ISNUMBER(SEARCH(";"&amp;1&amp;";",";"&amp;$J35&amp;";"))</f>
        <v/>
      </c>
      <c r="U35" s="46">
        <f>ISNUMBER(SEARCH(";"&amp;2&amp;";",";"&amp;$J35&amp;";"))</f>
        <v/>
      </c>
      <c r="V35" s="46">
        <f>ISNUMBER(SEARCH(";"&amp;3&amp;";",";"&amp;$J35&amp;";"))</f>
        <v/>
      </c>
      <c r="W35" s="46">
        <f>ISNUMBER(SEARCH(";"&amp;4&amp;";",";"&amp;$J35&amp;";"))</f>
        <v/>
      </c>
      <c r="X35" s="46">
        <f>ISNUMBER(SEARCH(";"&amp;5&amp;";",";"&amp;$J35&amp;";"))</f>
        <v/>
      </c>
      <c r="Y35" s="46">
        <f>ISNUMBER(SEARCH(";"&amp;6&amp;";",";"&amp;$J35&amp;";"))</f>
        <v/>
      </c>
      <c r="Z35" s="46">
        <f>ISNUMBER(SEARCH(";"&amp;7&amp;";",";"&amp;$J35&amp;";"))</f>
        <v/>
      </c>
      <c r="AA35" s="46">
        <f>ISNUMBER(SEARCH(";"&amp;8&amp;";",";"&amp;$J35&amp;";"))</f>
        <v/>
      </c>
      <c r="AB35" s="46">
        <f>IF($B35,IF(L35="","","        &lt;response_label ident=""0""&gt;&lt;material&gt;&lt;mattext texttype=""text/html""&gt;"&amp;L35&amp;"&lt;/mattext&gt;&lt;/material&gt;&lt;/response_label&gt;"),"")</f>
        <v/>
      </c>
      <c r="AC35" s="46">
        <f>IF($B35,IF(M35="","","        &lt;response_label ident=""1""&gt;&lt;material&gt;&lt;mattext texttype=""text/html""&gt;"&amp;M35&amp;"&lt;/mattext&gt;&lt;/material&gt;&lt;/response_label&gt;"),"")</f>
        <v/>
      </c>
      <c r="AD35" s="46">
        <f>IF($B35,IF(N35="","","        &lt;response_label ident=""2""&gt;&lt;material&gt;&lt;mattext texttype=""text/html""&gt;"&amp;N35&amp;"&lt;/mattext&gt;&lt;/material&gt;&lt;/response_label&gt;"),"")</f>
        <v/>
      </c>
      <c r="AE35" s="46">
        <f>IF($B35,IF(O35="","","        &lt;response_label ident=""3""&gt;&lt;material&gt;&lt;mattext texttype=""text/html""&gt;"&amp;O35&amp;"&lt;/mattext&gt;&lt;/material&gt;&lt;/response_label&gt;"),"")</f>
        <v/>
      </c>
      <c r="AF35" s="46">
        <f>IF($B35,IF(P35="","","        &lt;response_label ident=""4""&gt;&lt;material&gt;&lt;mattext texttype=""text/html""&gt;"&amp;P35&amp;"&lt;/mattext&gt;&lt;/material&gt;&lt;/response_label&gt;"),"")</f>
        <v/>
      </c>
      <c r="AG35" s="46">
        <f>IF($B35,IF(Q35="","","        &lt;response_label ident=""5""&gt;&lt;material&gt;&lt;mattext texttype=""text/html""&gt;"&amp;Q35&amp;"&lt;/mattext&gt;&lt;/material&gt;&lt;/response_label&gt;"),"")</f>
        <v/>
      </c>
      <c r="AH35" s="46">
        <f>IF($B35,IF(R35="","","        &lt;response_label ident=""6""&gt;&lt;material&gt;&lt;mattext texttype=""text/html""&gt;"&amp;R35&amp;"&lt;/mattext&gt;&lt;/material&gt;&lt;/response_label&gt;"),"")</f>
        <v/>
      </c>
      <c r="AI35" s="46">
        <f>IF($B35,IF(S35="","","        &lt;response_label ident=""7""&gt;&lt;material&gt;&lt;mattext texttype=""text/html""&gt;"&amp;S35&amp;"&lt;/mattext&gt;&lt;/material&gt;&lt;/response_label&gt;"),"")</f>
        <v/>
      </c>
      <c r="AJ35" s="46">
        <f>IF($B35,IF(L35="","",IF($C35="qcu",IF(OR(T35,AT35&lt;&gt;"",$AS35&lt;&gt;""),"      &lt;respcondition continue=""Yes""&gt;&lt;conditionvar&gt;&lt;varequal respident=""RESPONSE""&gt;0&lt;/varequal&gt;&lt;/conditionvar&gt;"&amp;"&lt;setvar action=""Add""&gt;"&amp;IF(T35,$H35,0)&amp;"&lt;/setvar&gt;"&amp;IF(AT35&lt;&gt;"","&lt;displayfeedback feedbacktype=""Response"" linkrefid=""response_0""/&gt;",IF($AS35&lt;&gt;"","&lt;displayfeedback feedbacktype=""Response"" linkrefid=""qti_feedback_trigger""/&gt;",""))&amp;"&lt;/respcondition&gt;",""),IF(OR(T35,AT35&lt;&gt;"",$AS35&lt;&gt;""),"      &lt;respcondition continue=""Yes""&gt;&lt;conditionvar&gt;"&amp;IF(T35,"&lt;varequal respident=""RESPONSE""&gt;0&lt;/varequal&gt;","&lt;not&gt;&lt;varequal respident=""RESPONSE""&gt;0&lt;/varequal&gt;&lt;/not&gt;")&amp;"&lt;/conditionvar&gt;&lt;setvar action=""Add""&gt;"&amp;(Saisie_Questions!$N35/$I35)&amp;"&lt;/setvar&gt;"&amp;IF(AT35&lt;&gt;"","&lt;displayfeedback feedbacktype=""Response"" linkrefid=""response_0""/&gt;",IF($AS35&lt;&gt;"","&lt;displayfeedback feedbacktype=""Response"" linkrefid=""qti_feedback_trigger""/&gt;",""))&amp;"&lt;/respcondition&gt;",""))),"")</f>
      </c>
      <c r="AK35" s="46">
        <f>IF($B35,IF(M35="","",IF($C35="qcu",IF(OR(U35,AU35&lt;&gt;"",$AS35&lt;&gt;""),"      &lt;respcondition continue=""Yes""&gt;&lt;conditionvar&gt;&lt;varequal respident=""RESPONSE""&gt;1&lt;/varequal&gt;&lt;/conditionvar&gt;"&amp;"&lt;setvar action=""Add""&gt;"&amp;IF(U35,$H35,0)&amp;"&lt;/setvar&gt;"&amp;IF(AU35&lt;&gt;"","&lt;displayfeedback feedbacktype=""Response"" linkrefid=""response_1""/&gt;",IF($AS35&lt;&gt;"","&lt;displayfeedback feedbacktype=""Response"" linkrefid=""qti_feedback_trigger""/&gt;",""))&amp;"&lt;/respcondition&gt;",""),IF(OR(U35,AU35&lt;&gt;"",$AS35&lt;&gt;""),"      &lt;respcondition continue=""Yes""&gt;&lt;conditionvar&gt;"&amp;IF(U35,"&lt;varequal respident=""RESPONSE""&gt;1&lt;/varequal&gt;","&lt;not&gt;&lt;varequal respident=""RESPONSE""&gt;1&lt;/varequal&gt;&lt;/not&gt;")&amp;"&lt;/conditionvar&gt;&lt;setvar action=""Add""&gt;"&amp;(Saisie_Questions!$N35/$I35)&amp;"&lt;/setvar&gt;"&amp;IF(AU35&lt;&gt;"","&lt;displayfeedback feedbacktype=""Response"" linkrefid=""response_1""/&gt;",IF($AS35&lt;&gt;"","&lt;displayfeedback feedbacktype=""Response"" linkrefid=""qti_feedback_trigger""/&gt;",""))&amp;"&lt;/respcondition&gt;",""))),"")</f>
      </c>
      <c r="AL35" s="46">
        <f>IF($B35,IF(N35="","",IF($C35="qcu",IF(OR(V35,AV35&lt;&gt;"",$AS35&lt;&gt;""),"      &lt;respcondition continue=""Yes""&gt;&lt;conditionvar&gt;&lt;varequal respident=""RESPONSE""&gt;2&lt;/varequal&gt;&lt;/conditionvar&gt;"&amp;"&lt;setvar action=""Add""&gt;"&amp;IF(V35,$H35,0)&amp;"&lt;/setvar&gt;"&amp;IF(AV35&lt;&gt;"","&lt;displayfeedback feedbacktype=""Response"" linkrefid=""response_2""/&gt;",IF($AS35&lt;&gt;"","&lt;displayfeedback feedbacktype=""Response"" linkrefid=""qti_feedback_trigger""/&gt;",""))&amp;"&lt;/respcondition&gt;",""),IF(OR(V35,AV35&lt;&gt;"",$AS35&lt;&gt;""),"      &lt;respcondition continue=""Yes""&gt;&lt;conditionvar&gt;"&amp;IF(V35,"&lt;varequal respident=""RESPONSE""&gt;2&lt;/varequal&gt;","&lt;not&gt;&lt;varequal respident=""RESPONSE""&gt;2&lt;/varequal&gt;&lt;/not&gt;")&amp;"&lt;/conditionvar&gt;&lt;setvar action=""Add""&gt;"&amp;(Saisie_Questions!$N35/$I35)&amp;"&lt;/setvar&gt;"&amp;IF(AV35&lt;&gt;"","&lt;displayfeedback feedbacktype=""Response"" linkrefid=""response_2""/&gt;",IF($AS35&lt;&gt;"","&lt;displayfeedback feedbacktype=""Response"" linkrefid=""qti_feedback_trigger""/&gt;",""))&amp;"&lt;/respcondition&gt;",""))),"")</f>
      </c>
      <c r="AM35" s="46">
        <f>IF($B35,IF(O35="","",IF($C35="qcu",IF(OR(W35,AW35&lt;&gt;"",$AS35&lt;&gt;""),"      &lt;respcondition continue=""Yes""&gt;&lt;conditionvar&gt;&lt;varequal respident=""RESPONSE""&gt;3&lt;/varequal&gt;&lt;/conditionvar&gt;"&amp;"&lt;setvar action=""Add""&gt;"&amp;IF(W35,$H35,0)&amp;"&lt;/setvar&gt;"&amp;IF(AW35&lt;&gt;"","&lt;displayfeedback feedbacktype=""Response"" linkrefid=""response_3""/&gt;",IF($AS35&lt;&gt;"","&lt;displayfeedback feedbacktype=""Response"" linkrefid=""qti_feedback_trigger""/&gt;",""))&amp;"&lt;/respcondition&gt;",""),IF(OR(W35,AW35&lt;&gt;"",$AS35&lt;&gt;""),"      &lt;respcondition continue=""Yes""&gt;&lt;conditionvar&gt;"&amp;IF(W35,"&lt;varequal respident=""RESPONSE""&gt;3&lt;/varequal&gt;","&lt;not&gt;&lt;varequal respident=""RESPONSE""&gt;3&lt;/varequal&gt;&lt;/not&gt;")&amp;"&lt;/conditionvar&gt;&lt;setvar action=""Add""&gt;"&amp;(Saisie_Questions!$N35/$I35)&amp;"&lt;/setvar&gt;"&amp;IF(AW35&lt;&gt;"","&lt;displayfeedback feedbacktype=""Response"" linkrefid=""response_3""/&gt;",IF($AS35&lt;&gt;"","&lt;displayfeedback feedbacktype=""Response"" linkrefid=""qti_feedback_trigger""/&gt;",""))&amp;"&lt;/respcondition&gt;",""))),"")</f>
      </c>
      <c r="AN35" s="46">
        <f>IF($B35,IF(P35="","",IF($C35="qcu",IF(OR(X35,AX35&lt;&gt;"",$AS35&lt;&gt;""),"      &lt;respcondition continue=""Yes""&gt;&lt;conditionvar&gt;&lt;varequal respident=""RESPONSE""&gt;4&lt;/varequal&gt;&lt;/conditionvar&gt;"&amp;"&lt;setvar action=""Add""&gt;"&amp;IF(X35,$H35,0)&amp;"&lt;/setvar&gt;"&amp;IF(AX35&lt;&gt;"","&lt;displayfeedback feedbacktype=""Response"" linkrefid=""response_4""/&gt;",IF($AS35&lt;&gt;"","&lt;displayfeedback feedbacktype=""Response"" linkrefid=""qti_feedback_trigger""/&gt;",""))&amp;"&lt;/respcondition&gt;",""),IF(OR(X35,AX35&lt;&gt;"",$AS35&lt;&gt;""),"      &lt;respcondition continue=""Yes""&gt;&lt;conditionvar&gt;"&amp;IF(X35,"&lt;varequal respident=""RESPONSE""&gt;4&lt;/varequal&gt;","&lt;not&gt;&lt;varequal respident=""RESPONSE""&gt;4&lt;/varequal&gt;&lt;/not&gt;")&amp;"&lt;/conditionvar&gt;&lt;setvar action=""Add""&gt;"&amp;(Saisie_Questions!$N35/$I35)&amp;"&lt;/setvar&gt;"&amp;IF(AX35&lt;&gt;"","&lt;displayfeedback feedbacktype=""Response"" linkrefid=""response_4""/&gt;",IF($AS35&lt;&gt;"","&lt;displayfeedback feedbacktype=""Response"" linkrefid=""qti_feedback_trigger""/&gt;",""))&amp;"&lt;/respcondition&gt;",""))),"")</f>
      </c>
      <c r="AO35" s="46">
        <f>IF($B35,IF(Q35="","",IF($C35="qcu",IF(OR(Y35,AY35&lt;&gt;"",$AS35&lt;&gt;""),"      &lt;respcondition continue=""Yes""&gt;&lt;conditionvar&gt;&lt;varequal respident=""RESPONSE""&gt;5&lt;/varequal&gt;&lt;/conditionvar&gt;"&amp;"&lt;setvar action=""Add""&gt;"&amp;IF(Y35,$H35,0)&amp;"&lt;/setvar&gt;"&amp;IF(AY35&lt;&gt;"","&lt;displayfeedback feedbacktype=""Response"" linkrefid=""response_5""/&gt;",IF($AS35&lt;&gt;"","&lt;displayfeedback feedbacktype=""Response"" linkrefid=""qti_feedback_trigger""/&gt;",""))&amp;"&lt;/respcondition&gt;",""),IF(OR(Y35,AY35&lt;&gt;"",$AS35&lt;&gt;""),"      &lt;respcondition continue=""Yes""&gt;&lt;conditionvar&gt;"&amp;IF(Y35,"&lt;varequal respident=""RESPONSE""&gt;5&lt;/varequal&gt;","&lt;not&gt;&lt;varequal respident=""RESPONSE""&gt;5&lt;/varequal&gt;&lt;/not&gt;")&amp;"&lt;/conditionvar&gt;&lt;setvar action=""Add""&gt;"&amp;(Saisie_Questions!$N35/$I35)&amp;"&lt;/setvar&gt;"&amp;IF(AY35&lt;&gt;"","&lt;displayfeedback feedbacktype=""Response"" linkrefid=""response_5""/&gt;",IF($AS35&lt;&gt;"","&lt;displayfeedback feedbacktype=""Response"" linkrefid=""qti_feedback_trigger""/&gt;",""))&amp;"&lt;/respcondition&gt;",""))),"")</f>
      </c>
      <c r="AP35" s="46">
        <f>IF($B35,IF(R35="","",IF($C35="qcu",IF(OR(Z35,AZ35&lt;&gt;"",$AS35&lt;&gt;""),"      &lt;respcondition continue=""Yes""&gt;&lt;conditionvar&gt;&lt;varequal respident=""RESPONSE""&gt;6&lt;/varequal&gt;&lt;/conditionvar&gt;"&amp;"&lt;setvar action=""Add""&gt;"&amp;IF(Z35,$H35,0)&amp;"&lt;/setvar&gt;"&amp;IF(AZ35&lt;&gt;"","&lt;displayfeedback feedbacktype=""Response"" linkrefid=""response_6""/&gt;",IF($AS35&lt;&gt;"","&lt;displayfeedback feedbacktype=""Response"" linkrefid=""qti_feedback_trigger""/&gt;",""))&amp;"&lt;/respcondition&gt;",""),IF(OR(Z35,AZ35&lt;&gt;"",$AS35&lt;&gt;""),"      &lt;respcondition continue=""Yes""&gt;&lt;conditionvar&gt;"&amp;IF(Z35,"&lt;varequal respident=""RESPONSE""&gt;6&lt;/varequal&gt;","&lt;not&gt;&lt;varequal respident=""RESPONSE""&gt;6&lt;/varequal&gt;&lt;/not&gt;")&amp;"&lt;/conditionvar&gt;&lt;setvar action=""Add""&gt;"&amp;(Saisie_Questions!$N35/$I35)&amp;"&lt;/setvar&gt;"&amp;IF(AZ35&lt;&gt;"","&lt;displayfeedback feedbacktype=""Response"" linkrefid=""response_6""/&gt;",IF($AS35&lt;&gt;"","&lt;displayfeedback feedbacktype=""Response"" linkrefid=""qti_feedback_trigger""/&gt;",""))&amp;"&lt;/respcondition&gt;",""))),"")</f>
      </c>
      <c r="AQ35" s="46">
        <f>IF($B35,IF(S35="","",IF($C35="qcu",IF(OR(AA35,BA35&lt;&gt;"",$AS35&lt;&gt;""),"      &lt;respcondition continue=""Yes""&gt;&lt;conditionvar&gt;&lt;varequal respident=""RESPONSE""&gt;7&lt;/varequal&gt;&lt;/conditionvar&gt;"&amp;"&lt;setvar action=""Add""&gt;"&amp;IF(AA35,$H35,0)&amp;"&lt;/setvar&gt;"&amp;IF(BA35&lt;&gt;"","&lt;displayfeedback feedbacktype=""Response"" linkrefid=""response_7""/&gt;",IF($AS35&lt;&gt;"","&lt;displayfeedback feedbacktype=""Response"" linkrefid=""qti_feedback_trigger""/&gt;",""))&amp;"&lt;/respcondition&gt;",""),IF(OR(AA35,BA35&lt;&gt;"",$AS35&lt;&gt;""),"      &lt;respcondition continue=""Yes""&gt;&lt;conditionvar&gt;"&amp;IF(AA35,"&lt;varequal respident=""RESPONSE""&gt;7&lt;/varequal&gt;","&lt;not&gt;&lt;varequal respident=""RESPONSE""&gt;7&lt;/varequal&gt;&lt;/not&gt;")&amp;"&lt;/conditionvar&gt;&lt;setvar action=""Add""&gt;"&amp;(Saisie_Questions!$N35/$I35)&amp;"&lt;/setvar&gt;"&amp;IF(BA35&lt;&gt;"","&lt;displayfeedback feedbacktype=""Response"" linkrefid=""response_7""/&gt;",IF($AS35&lt;&gt;"","&lt;displayfeedback feedbacktype=""Response"" linkrefid=""qti_feedback_trigger""/&gt;",""))&amp;"&lt;/respcondition&gt;",""))),"")</f>
      </c>
      <c r="AR35" s="46">
        <f>IF(A35="","",SUBSTITUTE(SUBSTITUTE(SUBSTITUTE(SUBSTITUTE(SUBSTITUTE(IF(Saisie_Questions!P35&lt;&gt;"",Saisie_Questions!P35,Interface_Generation!$B$5),"&amp;","&amp;amp;"),"&lt;","&amp;lt;"),"&gt;","&amp;gt;"),CHAR(34),"&amp;quot;"),"'","&amp;apos;"))</f>
        <v/>
      </c>
      <c r="AS35" s="46">
        <f>IF(Saisie_Questions!Q35="","",SUBSTITUTE(SUBSTITUTE(SUBSTITUTE(SUBSTITUTE(SUBSTITUTE(Saisie_Questions!Q35,"&amp;","&amp;amp;"),"&lt;","&amp;lt;"),"&gt;","&amp;gt;"),CHAR(34),"&amp;quot;"),"'","&amp;apos;"))</f>
        <v/>
      </c>
      <c r="AT35" s="46">
        <f>IF(Saisie_Questions!R35="","",SUBSTITUTE(SUBSTITUTE(SUBSTITUTE(SUBSTITUTE(SUBSTITUTE(Saisie_Questions!R35,"&amp;","&amp;amp;"),"&lt;","&amp;lt;"),"&gt;","&amp;gt;"),CHAR(34),"&amp;quot;"),"'","&amp;apos;"))</f>
        <v/>
      </c>
      <c r="AU35" s="46">
        <f>IF(Saisie_Questions!S35="","",SUBSTITUTE(SUBSTITUTE(SUBSTITUTE(SUBSTITUTE(SUBSTITUTE(Saisie_Questions!S35,"&amp;","&amp;amp;"),"&lt;","&amp;lt;"),"&gt;","&amp;gt;"),CHAR(34),"&amp;quot;"),"'","&amp;apos;"))</f>
        <v/>
      </c>
      <c r="AV35" s="46">
        <f>IF(Saisie_Questions!T35="","",SUBSTITUTE(SUBSTITUTE(SUBSTITUTE(SUBSTITUTE(SUBSTITUTE(Saisie_Questions!T35,"&amp;","&amp;amp;"),"&lt;","&amp;lt;"),"&gt;","&amp;gt;"),CHAR(34),"&amp;quot;"),"'","&amp;apos;"))</f>
        <v/>
      </c>
      <c r="AW35" s="46">
        <f>IF(Saisie_Questions!U35="","",SUBSTITUTE(SUBSTITUTE(SUBSTITUTE(SUBSTITUTE(SUBSTITUTE(Saisie_Questions!U35,"&amp;","&amp;amp;"),"&lt;","&amp;lt;"),"&gt;","&amp;gt;"),CHAR(34),"&amp;quot;"),"'","&amp;apos;"))</f>
        <v/>
      </c>
      <c r="AX35" s="46">
        <f>IF(Saisie_Questions!V35="","",SUBSTITUTE(SUBSTITUTE(SUBSTITUTE(SUBSTITUTE(SUBSTITUTE(Saisie_Questions!V35,"&amp;","&amp;amp;"),"&lt;","&amp;lt;"),"&gt;","&amp;gt;"),CHAR(34),"&amp;quot;"),"'","&amp;apos;"))</f>
        <v/>
      </c>
      <c r="AY35" s="46">
        <f>IF(Saisie_Questions!W35="","",SUBSTITUTE(SUBSTITUTE(SUBSTITUTE(SUBSTITUTE(SUBSTITUTE(Saisie_Questions!W35,"&amp;","&amp;amp;"),"&lt;","&amp;lt;"),"&gt;","&amp;gt;"),CHAR(34),"&amp;quot;"),"'","&amp;apos;"))</f>
        <v/>
      </c>
      <c r="AZ35" s="46">
        <f>IF(Saisie_Questions!X35="","",SUBSTITUTE(SUBSTITUTE(SUBSTITUTE(SUBSTITUTE(SUBSTITUTE(Saisie_Questions!X35,"&amp;","&amp;amp;"),"&lt;","&amp;lt;"),"&gt;","&amp;gt;"),CHAR(34),"&amp;quot;"),"'","&amp;apos;"))</f>
        <v/>
      </c>
      <c r="BA35" s="46">
        <f>IF(Saisie_Questions!Y35="","",SUBSTITUTE(SUBSTITUTE(SUBSTITUTE(SUBSTITUTE(SUBSTITUTE(Saisie_Questions!Y35,"&amp;","&amp;amp;"),"&lt;","&amp;lt;"),"&gt;","&amp;gt;"),CHAR(34),"&amp;quot;"),"'","&amp;apos;"))</f>
        <v/>
      </c>
      <c r="BB35" s="46">
        <f>IF($B35,IF($AS35="","","    &lt;itemfeedback ident=""response_allcorrect"" view=""All""&gt;&lt;flow_mat&gt;&lt;material&gt;&lt;mattext texttype=""text/html""&gt;"&amp;$AS35&amp;"&lt;/mattext&gt;&lt;/material&gt;&lt;/flow_mat&gt;&lt;/itemfeedback&gt;"&amp;"    &lt;itemfeedback ident=""response_onenotcorrect"" view=""All""&gt;&lt;flow_mat&gt;&lt;material&gt;&lt;mattext texttype=""text/html""&gt;"&amp;$AS35&amp;"&lt;/mattext&gt;&lt;/material&gt;&lt;/flow_mat&gt;&lt;/itemfeedback&gt;"),"")</f>
      </c>
      <c r="BC35" s="46">
        <f>IF($B35,IF(AT35="","","    &lt;itemfeedback ident=""response_0"" view=""All""&gt;&lt;flow_mat&gt;&lt;material&gt;&lt;mattext texttype=""text/html""&gt;"&amp;AT35&amp;"&lt;/mattext&gt;&lt;/material&gt;&lt;/flow_mat&gt;&lt;/itemfeedback&gt;"),"")</f>
      </c>
      <c r="BD35" s="46">
        <f>IF($B35,IF(AU35="","","    &lt;itemfeedback ident=""response_1"" view=""All""&gt;&lt;flow_mat&gt;&lt;material&gt;&lt;mattext texttype=""text/html""&gt;"&amp;AU35&amp;"&lt;/mattext&gt;&lt;/material&gt;&lt;/flow_mat&gt;&lt;/itemfeedback&gt;"),"")</f>
      </c>
      <c r="BE35" s="46">
        <f>IF($B35,IF(AV35="","","    &lt;itemfeedback ident=""response_2"" view=""All""&gt;&lt;flow_mat&gt;&lt;material&gt;&lt;mattext texttype=""text/html""&gt;"&amp;AV35&amp;"&lt;/mattext&gt;&lt;/material&gt;&lt;/flow_mat&gt;&lt;/itemfeedback&gt;"),"")</f>
      </c>
      <c r="BF35" s="46">
        <f>IF($B35,IF(AW35="","","    &lt;itemfeedback ident=""response_3"" view=""All""&gt;&lt;flow_mat&gt;&lt;material&gt;&lt;mattext texttype=""text/html""&gt;"&amp;AW35&amp;"&lt;/mattext&gt;&lt;/material&gt;&lt;/flow_mat&gt;&lt;/itemfeedback&gt;"),"")</f>
      </c>
      <c r="BG35" s="46">
        <f>IF($B35,IF(AX35="","","    &lt;itemfeedback ident=""response_4"" view=""All""&gt;&lt;flow_mat&gt;&lt;material&gt;&lt;mattext texttype=""text/html""&gt;"&amp;AX35&amp;"&lt;/mattext&gt;&lt;/material&gt;&lt;/flow_mat&gt;&lt;/itemfeedback&gt;"),"")</f>
      </c>
      <c r="BH35" s="46">
        <f>IF($B35,IF(AY35="","","    &lt;itemfeedback ident=""response_5"" view=""All""&gt;&lt;flow_mat&gt;&lt;material&gt;&lt;mattext texttype=""text/html""&gt;"&amp;AY35&amp;"&lt;/mattext&gt;&lt;/material&gt;&lt;/flow_mat&gt;&lt;/itemfeedback&gt;"),"")</f>
      </c>
      <c r="BI35" s="46">
        <f>IF($B35,IF(AZ35="","","    &lt;itemfeedback ident=""response_6"" view=""All""&gt;&lt;flow_mat&gt;&lt;material&gt;&lt;mattext texttype=""text/html""&gt;"&amp;AZ35&amp;"&lt;/mattext&gt;&lt;/material&gt;&lt;/flow_mat&gt;&lt;/itemfeedback&gt;"),"")</f>
      </c>
      <c r="BJ35" s="46">
        <f>IF($B35,IF(BA35="","","    &lt;itemfeedback ident=""response_7"" view=""All""&gt;&lt;flow_mat&gt;&lt;material&gt;&lt;mattext texttype=""text/html""&gt;"&amp;BA35&amp;"&lt;/mattext&gt;&lt;/material&gt;&lt;/flow_mat&gt;&lt;/itemfeedback&gt;"),"")</f>
      </c>
    </row>
    <row r="36" ht="18" customHeight="1" s="17">
      <c r="A36" s="46">
        <f>Saisie_Questions!A36</f>
        <v/>
      </c>
      <c r="B36" s="46">
        <f>Saisie_Questions!O36="OK"</f>
        <v/>
      </c>
      <c r="C36" s="46">
        <f>LOWER(TRIM(Saisie_Questions!B36))</f>
        <v/>
      </c>
      <c r="D36" s="46">
        <f>IF(C36="qcu","SINGLE CHOICE QUESTION","MULTIPLE CHOICE QUESTION")</f>
        <v/>
      </c>
      <c r="E36" s="46">
        <f>IF(C36="qcu","Single","Multiple")</f>
        <v/>
      </c>
      <c r="F36" s="46">
        <f>IF(A36="","",SUBSTITUTE(SUBSTITUTE(SUBSTITUTE(SUBSTITUTE(SUBSTITUTE(IF(Saisie_Questions!C36="", "Question "&amp;A36, Saisie_Questions!C36),"&amp;","&amp;amp;"),"&lt;","&amp;lt;"),"&gt;","&amp;gt;"),CHAR(34),"&amp;quot;"),"'","&amp;apos;"))</f>
        <v/>
      </c>
      <c r="G36" s="46">
        <f>IF(A36="","",SUBSTITUTE(SUBSTITUTE(SUBSTITUTE(SUBSTITUTE(SUBSTITUTE(Saisie_Questions!D36,"&amp;","&amp;amp;"),"&lt;","&amp;lt;"),"&gt;","&amp;gt;"),CHAR(34),"&amp;quot;"),"'","&amp;apos;"))</f>
        <v/>
      </c>
      <c r="H36" s="46">
        <f>Saisie_Questions!N36</f>
        <v/>
      </c>
      <c r="I36" s="46">
        <f>IF(Saisie_Questions!E36="",0,1)+IF(Saisie_Questions!F36="",0,1)+IF(Saisie_Questions!G36="",0,1)+IF(Saisie_Questions!H36="",0,1)+IF(Saisie_Questions!I36="",0,1)+IF(Saisie_Questions!J36="",0,1)+IF(Saisie_Questions!K36="",0,1)+IF(Saisie_Questions!L36="",0,1)</f>
        <v/>
      </c>
      <c r="J36" s="46">
        <f>Saisie_Questions!M36</f>
        <v/>
      </c>
      <c r="K36" s="46">
        <f>Saisie_Questions!O36</f>
        <v/>
      </c>
      <c r="L36" s="46">
        <f>IF(Saisie_Questions!E36="","",SUBSTITUTE(SUBSTITUTE(SUBSTITUTE(SUBSTITUTE(SUBSTITUTE(Saisie_Questions!E36,"&amp;","&amp;amp;"),"&lt;","&amp;lt;"),"&gt;","&amp;gt;"),CHAR(34),"&amp;quot;"),"'","&amp;apos;"))</f>
        <v/>
      </c>
      <c r="M36" s="46">
        <f>IF(Saisie_Questions!F36="","",SUBSTITUTE(SUBSTITUTE(SUBSTITUTE(SUBSTITUTE(SUBSTITUTE(Saisie_Questions!F36,"&amp;","&amp;amp;"),"&lt;","&amp;lt;"),"&gt;","&amp;gt;"),CHAR(34),"&amp;quot;"),"'","&amp;apos;"))</f>
        <v/>
      </c>
      <c r="N36" s="46">
        <f>IF(Saisie_Questions!G36="","",SUBSTITUTE(SUBSTITUTE(SUBSTITUTE(SUBSTITUTE(SUBSTITUTE(Saisie_Questions!G36,"&amp;","&amp;amp;"),"&lt;","&amp;lt;"),"&gt;","&amp;gt;"),CHAR(34),"&amp;quot;"),"'","&amp;apos;"))</f>
        <v/>
      </c>
      <c r="O36" s="46">
        <f>IF(Saisie_Questions!H36="","",SUBSTITUTE(SUBSTITUTE(SUBSTITUTE(SUBSTITUTE(SUBSTITUTE(Saisie_Questions!H36,"&amp;","&amp;amp;"),"&lt;","&amp;lt;"),"&gt;","&amp;gt;"),CHAR(34),"&amp;quot;"),"'","&amp;apos;"))</f>
        <v/>
      </c>
      <c r="P36" s="46">
        <f>IF(Saisie_Questions!I36="","",SUBSTITUTE(SUBSTITUTE(SUBSTITUTE(SUBSTITUTE(SUBSTITUTE(Saisie_Questions!I36,"&amp;","&amp;amp;"),"&lt;","&amp;lt;"),"&gt;","&amp;gt;"),CHAR(34),"&amp;quot;"),"'","&amp;apos;"))</f>
        <v/>
      </c>
      <c r="Q36" s="46">
        <f>IF(Saisie_Questions!J36="","",SUBSTITUTE(SUBSTITUTE(SUBSTITUTE(SUBSTITUTE(SUBSTITUTE(Saisie_Questions!J36,"&amp;","&amp;amp;"),"&lt;","&amp;lt;"),"&gt;","&amp;gt;"),CHAR(34),"&amp;quot;"),"'","&amp;apos;"))</f>
        <v/>
      </c>
      <c r="R36" s="46">
        <f>IF(Saisie_Questions!K36="","",SUBSTITUTE(SUBSTITUTE(SUBSTITUTE(SUBSTITUTE(SUBSTITUTE(Saisie_Questions!K36,"&amp;","&amp;amp;"),"&lt;","&amp;lt;"),"&gt;","&amp;gt;"),CHAR(34),"&amp;quot;"),"'","&amp;apos;"))</f>
        <v/>
      </c>
      <c r="S36" s="46">
        <f>IF(Saisie_Questions!L36="","",SUBSTITUTE(SUBSTITUTE(SUBSTITUTE(SUBSTITUTE(SUBSTITUTE(Saisie_Questions!L36,"&amp;","&amp;amp;"),"&lt;","&amp;lt;"),"&gt;","&amp;gt;"),CHAR(34),"&amp;quot;"),"'","&amp;apos;"))</f>
        <v/>
      </c>
      <c r="T36" s="46">
        <f>ISNUMBER(SEARCH(";"&amp;1&amp;";",";"&amp;$J36&amp;";"))</f>
        <v/>
      </c>
      <c r="U36" s="46">
        <f>ISNUMBER(SEARCH(";"&amp;2&amp;";",";"&amp;$J36&amp;";"))</f>
        <v/>
      </c>
      <c r="V36" s="46">
        <f>ISNUMBER(SEARCH(";"&amp;3&amp;";",";"&amp;$J36&amp;";"))</f>
        <v/>
      </c>
      <c r="W36" s="46">
        <f>ISNUMBER(SEARCH(";"&amp;4&amp;";",";"&amp;$J36&amp;";"))</f>
        <v/>
      </c>
      <c r="X36" s="46">
        <f>ISNUMBER(SEARCH(";"&amp;5&amp;";",";"&amp;$J36&amp;";"))</f>
        <v/>
      </c>
      <c r="Y36" s="46">
        <f>ISNUMBER(SEARCH(";"&amp;6&amp;";",";"&amp;$J36&amp;";"))</f>
        <v/>
      </c>
      <c r="Z36" s="46">
        <f>ISNUMBER(SEARCH(";"&amp;7&amp;";",";"&amp;$J36&amp;";"))</f>
        <v/>
      </c>
      <c r="AA36" s="46">
        <f>ISNUMBER(SEARCH(";"&amp;8&amp;";",";"&amp;$J36&amp;";"))</f>
        <v/>
      </c>
      <c r="AB36" s="46">
        <f>IF($B36,IF(L36="","","        &lt;response_label ident=""0""&gt;&lt;material&gt;&lt;mattext texttype=""text/html""&gt;"&amp;L36&amp;"&lt;/mattext&gt;&lt;/material&gt;&lt;/response_label&gt;"),"")</f>
        <v/>
      </c>
      <c r="AC36" s="46">
        <f>IF($B36,IF(M36="","","        &lt;response_label ident=""1""&gt;&lt;material&gt;&lt;mattext texttype=""text/html""&gt;"&amp;M36&amp;"&lt;/mattext&gt;&lt;/material&gt;&lt;/response_label&gt;"),"")</f>
        <v/>
      </c>
      <c r="AD36" s="46">
        <f>IF($B36,IF(N36="","","        &lt;response_label ident=""2""&gt;&lt;material&gt;&lt;mattext texttype=""text/html""&gt;"&amp;N36&amp;"&lt;/mattext&gt;&lt;/material&gt;&lt;/response_label&gt;"),"")</f>
        <v/>
      </c>
      <c r="AE36" s="46">
        <f>IF($B36,IF(O36="","","        &lt;response_label ident=""3""&gt;&lt;material&gt;&lt;mattext texttype=""text/html""&gt;"&amp;O36&amp;"&lt;/mattext&gt;&lt;/material&gt;&lt;/response_label&gt;"),"")</f>
        <v/>
      </c>
      <c r="AF36" s="46">
        <f>IF($B36,IF(P36="","","        &lt;response_label ident=""4""&gt;&lt;material&gt;&lt;mattext texttype=""text/html""&gt;"&amp;P36&amp;"&lt;/mattext&gt;&lt;/material&gt;&lt;/response_label&gt;"),"")</f>
        <v/>
      </c>
      <c r="AG36" s="46">
        <f>IF($B36,IF(Q36="","","        &lt;response_label ident=""5""&gt;&lt;material&gt;&lt;mattext texttype=""text/html""&gt;"&amp;Q36&amp;"&lt;/mattext&gt;&lt;/material&gt;&lt;/response_label&gt;"),"")</f>
        <v/>
      </c>
      <c r="AH36" s="46">
        <f>IF($B36,IF(R36="","","        &lt;response_label ident=""6""&gt;&lt;material&gt;&lt;mattext texttype=""text/html""&gt;"&amp;R36&amp;"&lt;/mattext&gt;&lt;/material&gt;&lt;/response_label&gt;"),"")</f>
        <v/>
      </c>
      <c r="AI36" s="46">
        <f>IF($B36,IF(S36="","","        &lt;response_label ident=""7""&gt;&lt;material&gt;&lt;mattext texttype=""text/html""&gt;"&amp;S36&amp;"&lt;/mattext&gt;&lt;/material&gt;&lt;/response_label&gt;"),"")</f>
        <v/>
      </c>
      <c r="AJ36" s="46">
        <f>IF($B36,IF(L36="","",IF($C36="qcu",IF(OR(T36,AT36&lt;&gt;"",$AS36&lt;&gt;""),"      &lt;respcondition continue=""Yes""&gt;&lt;conditionvar&gt;&lt;varequal respident=""RESPONSE""&gt;0&lt;/varequal&gt;&lt;/conditionvar&gt;"&amp;"&lt;setvar action=""Add""&gt;"&amp;IF(T36,$H36,0)&amp;"&lt;/setvar&gt;"&amp;IF(AT36&lt;&gt;"","&lt;displayfeedback feedbacktype=""Response"" linkrefid=""response_0""/&gt;",IF($AS36&lt;&gt;"","&lt;displayfeedback feedbacktype=""Response"" linkrefid=""qti_feedback_trigger""/&gt;",""))&amp;"&lt;/respcondition&gt;",""),IF(OR(T36,AT36&lt;&gt;"",$AS36&lt;&gt;""),"      &lt;respcondition continue=""Yes""&gt;&lt;conditionvar&gt;"&amp;IF(T36,"&lt;varequal respident=""RESPONSE""&gt;0&lt;/varequal&gt;","&lt;not&gt;&lt;varequal respident=""RESPONSE""&gt;0&lt;/varequal&gt;&lt;/not&gt;")&amp;"&lt;/conditionvar&gt;&lt;setvar action=""Add""&gt;"&amp;(Saisie_Questions!$N36/$I36)&amp;"&lt;/setvar&gt;"&amp;IF(AT36&lt;&gt;"","&lt;displayfeedback feedbacktype=""Response"" linkrefid=""response_0""/&gt;",IF($AS36&lt;&gt;"","&lt;displayfeedback feedbacktype=""Response"" linkrefid=""qti_feedback_trigger""/&gt;",""))&amp;"&lt;/respcondition&gt;",""))),"")</f>
      </c>
      <c r="AK36" s="46">
        <f>IF($B36,IF(M36="","",IF($C36="qcu",IF(OR(U36,AU36&lt;&gt;"",$AS36&lt;&gt;""),"      &lt;respcondition continue=""Yes""&gt;&lt;conditionvar&gt;&lt;varequal respident=""RESPONSE""&gt;1&lt;/varequal&gt;&lt;/conditionvar&gt;"&amp;"&lt;setvar action=""Add""&gt;"&amp;IF(U36,$H36,0)&amp;"&lt;/setvar&gt;"&amp;IF(AU36&lt;&gt;"","&lt;displayfeedback feedbacktype=""Response"" linkrefid=""response_1""/&gt;",IF($AS36&lt;&gt;"","&lt;displayfeedback feedbacktype=""Response"" linkrefid=""qti_feedback_trigger""/&gt;",""))&amp;"&lt;/respcondition&gt;",""),IF(OR(U36,AU36&lt;&gt;"",$AS36&lt;&gt;""),"      &lt;respcondition continue=""Yes""&gt;&lt;conditionvar&gt;"&amp;IF(U36,"&lt;varequal respident=""RESPONSE""&gt;1&lt;/varequal&gt;","&lt;not&gt;&lt;varequal respident=""RESPONSE""&gt;1&lt;/varequal&gt;&lt;/not&gt;")&amp;"&lt;/conditionvar&gt;&lt;setvar action=""Add""&gt;"&amp;(Saisie_Questions!$N36/$I36)&amp;"&lt;/setvar&gt;"&amp;IF(AU36&lt;&gt;"","&lt;displayfeedback feedbacktype=""Response"" linkrefid=""response_1""/&gt;",IF($AS36&lt;&gt;"","&lt;displayfeedback feedbacktype=""Response"" linkrefid=""qti_feedback_trigger""/&gt;",""))&amp;"&lt;/respcondition&gt;",""))),"")</f>
      </c>
      <c r="AL36" s="46">
        <f>IF($B36,IF(N36="","",IF($C36="qcu",IF(OR(V36,AV36&lt;&gt;"",$AS36&lt;&gt;""),"      &lt;respcondition continue=""Yes""&gt;&lt;conditionvar&gt;&lt;varequal respident=""RESPONSE""&gt;2&lt;/varequal&gt;&lt;/conditionvar&gt;"&amp;"&lt;setvar action=""Add""&gt;"&amp;IF(V36,$H36,0)&amp;"&lt;/setvar&gt;"&amp;IF(AV36&lt;&gt;"","&lt;displayfeedback feedbacktype=""Response"" linkrefid=""response_2""/&gt;",IF($AS36&lt;&gt;"","&lt;displayfeedback feedbacktype=""Response"" linkrefid=""qti_feedback_trigger""/&gt;",""))&amp;"&lt;/respcondition&gt;",""),IF(OR(V36,AV36&lt;&gt;"",$AS36&lt;&gt;""),"      &lt;respcondition continue=""Yes""&gt;&lt;conditionvar&gt;"&amp;IF(V36,"&lt;varequal respident=""RESPONSE""&gt;2&lt;/varequal&gt;","&lt;not&gt;&lt;varequal respident=""RESPONSE""&gt;2&lt;/varequal&gt;&lt;/not&gt;")&amp;"&lt;/conditionvar&gt;&lt;setvar action=""Add""&gt;"&amp;(Saisie_Questions!$N36/$I36)&amp;"&lt;/setvar&gt;"&amp;IF(AV36&lt;&gt;"","&lt;displayfeedback feedbacktype=""Response"" linkrefid=""response_2""/&gt;",IF($AS36&lt;&gt;"","&lt;displayfeedback feedbacktype=""Response"" linkrefid=""qti_feedback_trigger""/&gt;",""))&amp;"&lt;/respcondition&gt;",""))),"")</f>
      </c>
      <c r="AM36" s="46">
        <f>IF($B36,IF(O36="","",IF($C36="qcu",IF(OR(W36,AW36&lt;&gt;"",$AS36&lt;&gt;""),"      &lt;respcondition continue=""Yes""&gt;&lt;conditionvar&gt;&lt;varequal respident=""RESPONSE""&gt;3&lt;/varequal&gt;&lt;/conditionvar&gt;"&amp;"&lt;setvar action=""Add""&gt;"&amp;IF(W36,$H36,0)&amp;"&lt;/setvar&gt;"&amp;IF(AW36&lt;&gt;"","&lt;displayfeedback feedbacktype=""Response"" linkrefid=""response_3""/&gt;",IF($AS36&lt;&gt;"","&lt;displayfeedback feedbacktype=""Response"" linkrefid=""qti_feedback_trigger""/&gt;",""))&amp;"&lt;/respcondition&gt;",""),IF(OR(W36,AW36&lt;&gt;"",$AS36&lt;&gt;""),"      &lt;respcondition continue=""Yes""&gt;&lt;conditionvar&gt;"&amp;IF(W36,"&lt;varequal respident=""RESPONSE""&gt;3&lt;/varequal&gt;","&lt;not&gt;&lt;varequal respident=""RESPONSE""&gt;3&lt;/varequal&gt;&lt;/not&gt;")&amp;"&lt;/conditionvar&gt;&lt;setvar action=""Add""&gt;"&amp;(Saisie_Questions!$N36/$I36)&amp;"&lt;/setvar&gt;"&amp;IF(AW36&lt;&gt;"","&lt;displayfeedback feedbacktype=""Response"" linkrefid=""response_3""/&gt;",IF($AS36&lt;&gt;"","&lt;displayfeedback feedbacktype=""Response"" linkrefid=""qti_feedback_trigger""/&gt;",""))&amp;"&lt;/respcondition&gt;",""))),"")</f>
      </c>
      <c r="AN36" s="46">
        <f>IF($B36,IF(P36="","",IF($C36="qcu",IF(OR(X36,AX36&lt;&gt;"",$AS36&lt;&gt;""),"      &lt;respcondition continue=""Yes""&gt;&lt;conditionvar&gt;&lt;varequal respident=""RESPONSE""&gt;4&lt;/varequal&gt;&lt;/conditionvar&gt;"&amp;"&lt;setvar action=""Add""&gt;"&amp;IF(X36,$H36,0)&amp;"&lt;/setvar&gt;"&amp;IF(AX36&lt;&gt;"","&lt;displayfeedback feedbacktype=""Response"" linkrefid=""response_4""/&gt;",IF($AS36&lt;&gt;"","&lt;displayfeedback feedbacktype=""Response"" linkrefid=""qti_feedback_trigger""/&gt;",""))&amp;"&lt;/respcondition&gt;",""),IF(OR(X36,AX36&lt;&gt;"",$AS36&lt;&gt;""),"      &lt;respcondition continue=""Yes""&gt;&lt;conditionvar&gt;"&amp;IF(X36,"&lt;varequal respident=""RESPONSE""&gt;4&lt;/varequal&gt;","&lt;not&gt;&lt;varequal respident=""RESPONSE""&gt;4&lt;/varequal&gt;&lt;/not&gt;")&amp;"&lt;/conditionvar&gt;&lt;setvar action=""Add""&gt;"&amp;(Saisie_Questions!$N36/$I36)&amp;"&lt;/setvar&gt;"&amp;IF(AX36&lt;&gt;"","&lt;displayfeedback feedbacktype=""Response"" linkrefid=""response_4""/&gt;",IF($AS36&lt;&gt;"","&lt;displayfeedback feedbacktype=""Response"" linkrefid=""qti_feedback_trigger""/&gt;",""))&amp;"&lt;/respcondition&gt;",""))),"")</f>
      </c>
      <c r="AO36" s="46">
        <f>IF($B36,IF(Q36="","",IF($C36="qcu",IF(OR(Y36,AY36&lt;&gt;"",$AS36&lt;&gt;""),"      &lt;respcondition continue=""Yes""&gt;&lt;conditionvar&gt;&lt;varequal respident=""RESPONSE""&gt;5&lt;/varequal&gt;&lt;/conditionvar&gt;"&amp;"&lt;setvar action=""Add""&gt;"&amp;IF(Y36,$H36,0)&amp;"&lt;/setvar&gt;"&amp;IF(AY36&lt;&gt;"","&lt;displayfeedback feedbacktype=""Response"" linkrefid=""response_5""/&gt;",IF($AS36&lt;&gt;"","&lt;displayfeedback feedbacktype=""Response"" linkrefid=""qti_feedback_trigger""/&gt;",""))&amp;"&lt;/respcondition&gt;",""),IF(OR(Y36,AY36&lt;&gt;"",$AS36&lt;&gt;""),"      &lt;respcondition continue=""Yes""&gt;&lt;conditionvar&gt;"&amp;IF(Y36,"&lt;varequal respident=""RESPONSE""&gt;5&lt;/varequal&gt;","&lt;not&gt;&lt;varequal respident=""RESPONSE""&gt;5&lt;/varequal&gt;&lt;/not&gt;")&amp;"&lt;/conditionvar&gt;&lt;setvar action=""Add""&gt;"&amp;(Saisie_Questions!$N36/$I36)&amp;"&lt;/setvar&gt;"&amp;IF(AY36&lt;&gt;"","&lt;displayfeedback feedbacktype=""Response"" linkrefid=""response_5""/&gt;",IF($AS36&lt;&gt;"","&lt;displayfeedback feedbacktype=""Response"" linkrefid=""qti_feedback_trigger""/&gt;",""))&amp;"&lt;/respcondition&gt;",""))),"")</f>
      </c>
      <c r="AP36" s="46">
        <f>IF($B36,IF(R36="","",IF($C36="qcu",IF(OR(Z36,AZ36&lt;&gt;"",$AS36&lt;&gt;""),"      &lt;respcondition continue=""Yes""&gt;&lt;conditionvar&gt;&lt;varequal respident=""RESPONSE""&gt;6&lt;/varequal&gt;&lt;/conditionvar&gt;"&amp;"&lt;setvar action=""Add""&gt;"&amp;IF(Z36,$H36,0)&amp;"&lt;/setvar&gt;"&amp;IF(AZ36&lt;&gt;"","&lt;displayfeedback feedbacktype=""Response"" linkrefid=""response_6""/&gt;",IF($AS36&lt;&gt;"","&lt;displayfeedback feedbacktype=""Response"" linkrefid=""qti_feedback_trigger""/&gt;",""))&amp;"&lt;/respcondition&gt;",""),IF(OR(Z36,AZ36&lt;&gt;"",$AS36&lt;&gt;""),"      &lt;respcondition continue=""Yes""&gt;&lt;conditionvar&gt;"&amp;IF(Z36,"&lt;varequal respident=""RESPONSE""&gt;6&lt;/varequal&gt;","&lt;not&gt;&lt;varequal respident=""RESPONSE""&gt;6&lt;/varequal&gt;&lt;/not&gt;")&amp;"&lt;/conditionvar&gt;&lt;setvar action=""Add""&gt;"&amp;(Saisie_Questions!$N36/$I36)&amp;"&lt;/setvar&gt;"&amp;IF(AZ36&lt;&gt;"","&lt;displayfeedback feedbacktype=""Response"" linkrefid=""response_6""/&gt;",IF($AS36&lt;&gt;"","&lt;displayfeedback feedbacktype=""Response"" linkrefid=""qti_feedback_trigger""/&gt;",""))&amp;"&lt;/respcondition&gt;",""))),"")</f>
      </c>
      <c r="AQ36" s="46">
        <f>IF($B36,IF(S36="","",IF($C36="qcu",IF(OR(AA36,BA36&lt;&gt;"",$AS36&lt;&gt;""),"      &lt;respcondition continue=""Yes""&gt;&lt;conditionvar&gt;&lt;varequal respident=""RESPONSE""&gt;7&lt;/varequal&gt;&lt;/conditionvar&gt;"&amp;"&lt;setvar action=""Add""&gt;"&amp;IF(AA36,$H36,0)&amp;"&lt;/setvar&gt;"&amp;IF(BA36&lt;&gt;"","&lt;displayfeedback feedbacktype=""Response"" linkrefid=""response_7""/&gt;",IF($AS36&lt;&gt;"","&lt;displayfeedback feedbacktype=""Response"" linkrefid=""qti_feedback_trigger""/&gt;",""))&amp;"&lt;/respcondition&gt;",""),IF(OR(AA36,BA36&lt;&gt;"",$AS36&lt;&gt;""),"      &lt;respcondition continue=""Yes""&gt;&lt;conditionvar&gt;"&amp;IF(AA36,"&lt;varequal respident=""RESPONSE""&gt;7&lt;/varequal&gt;","&lt;not&gt;&lt;varequal respident=""RESPONSE""&gt;7&lt;/varequal&gt;&lt;/not&gt;")&amp;"&lt;/conditionvar&gt;&lt;setvar action=""Add""&gt;"&amp;(Saisie_Questions!$N36/$I36)&amp;"&lt;/setvar&gt;"&amp;IF(BA36&lt;&gt;"","&lt;displayfeedback feedbacktype=""Response"" linkrefid=""response_7""/&gt;",IF($AS36&lt;&gt;"","&lt;displayfeedback feedbacktype=""Response"" linkrefid=""qti_feedback_trigger""/&gt;",""))&amp;"&lt;/respcondition&gt;",""))),"")</f>
      </c>
      <c r="AR36" s="46">
        <f>IF(A36="","",SUBSTITUTE(SUBSTITUTE(SUBSTITUTE(SUBSTITUTE(SUBSTITUTE(IF(Saisie_Questions!P36&lt;&gt;"",Saisie_Questions!P36,Interface_Generation!$B$5),"&amp;","&amp;amp;"),"&lt;","&amp;lt;"),"&gt;","&amp;gt;"),CHAR(34),"&amp;quot;"),"'","&amp;apos;"))</f>
        <v/>
      </c>
      <c r="AS36" s="46">
        <f>IF(Saisie_Questions!Q36="","",SUBSTITUTE(SUBSTITUTE(SUBSTITUTE(SUBSTITUTE(SUBSTITUTE(Saisie_Questions!Q36,"&amp;","&amp;amp;"),"&lt;","&amp;lt;"),"&gt;","&amp;gt;"),CHAR(34),"&amp;quot;"),"'","&amp;apos;"))</f>
        <v/>
      </c>
      <c r="AT36" s="46">
        <f>IF(Saisie_Questions!R36="","",SUBSTITUTE(SUBSTITUTE(SUBSTITUTE(SUBSTITUTE(SUBSTITUTE(Saisie_Questions!R36,"&amp;","&amp;amp;"),"&lt;","&amp;lt;"),"&gt;","&amp;gt;"),CHAR(34),"&amp;quot;"),"'","&amp;apos;"))</f>
        <v/>
      </c>
      <c r="AU36" s="46">
        <f>IF(Saisie_Questions!S36="","",SUBSTITUTE(SUBSTITUTE(SUBSTITUTE(SUBSTITUTE(SUBSTITUTE(Saisie_Questions!S36,"&amp;","&amp;amp;"),"&lt;","&amp;lt;"),"&gt;","&amp;gt;"),CHAR(34),"&amp;quot;"),"'","&amp;apos;"))</f>
        <v/>
      </c>
      <c r="AV36" s="46">
        <f>IF(Saisie_Questions!T36="","",SUBSTITUTE(SUBSTITUTE(SUBSTITUTE(SUBSTITUTE(SUBSTITUTE(Saisie_Questions!T36,"&amp;","&amp;amp;"),"&lt;","&amp;lt;"),"&gt;","&amp;gt;"),CHAR(34),"&amp;quot;"),"'","&amp;apos;"))</f>
        <v/>
      </c>
      <c r="AW36" s="46">
        <f>IF(Saisie_Questions!U36="","",SUBSTITUTE(SUBSTITUTE(SUBSTITUTE(SUBSTITUTE(SUBSTITUTE(Saisie_Questions!U36,"&amp;","&amp;amp;"),"&lt;","&amp;lt;"),"&gt;","&amp;gt;"),CHAR(34),"&amp;quot;"),"'","&amp;apos;"))</f>
        <v/>
      </c>
      <c r="AX36" s="46">
        <f>IF(Saisie_Questions!V36="","",SUBSTITUTE(SUBSTITUTE(SUBSTITUTE(SUBSTITUTE(SUBSTITUTE(Saisie_Questions!V36,"&amp;","&amp;amp;"),"&lt;","&amp;lt;"),"&gt;","&amp;gt;"),CHAR(34),"&amp;quot;"),"'","&amp;apos;"))</f>
        <v/>
      </c>
      <c r="AY36" s="46">
        <f>IF(Saisie_Questions!W36="","",SUBSTITUTE(SUBSTITUTE(SUBSTITUTE(SUBSTITUTE(SUBSTITUTE(Saisie_Questions!W36,"&amp;","&amp;amp;"),"&lt;","&amp;lt;"),"&gt;","&amp;gt;"),CHAR(34),"&amp;quot;"),"'","&amp;apos;"))</f>
        <v/>
      </c>
      <c r="AZ36" s="46">
        <f>IF(Saisie_Questions!X36="","",SUBSTITUTE(SUBSTITUTE(SUBSTITUTE(SUBSTITUTE(SUBSTITUTE(Saisie_Questions!X36,"&amp;","&amp;amp;"),"&lt;","&amp;lt;"),"&gt;","&amp;gt;"),CHAR(34),"&amp;quot;"),"'","&amp;apos;"))</f>
        <v/>
      </c>
      <c r="BA36" s="46">
        <f>IF(Saisie_Questions!Y36="","",SUBSTITUTE(SUBSTITUTE(SUBSTITUTE(SUBSTITUTE(SUBSTITUTE(Saisie_Questions!Y36,"&amp;","&amp;amp;"),"&lt;","&amp;lt;"),"&gt;","&amp;gt;"),CHAR(34),"&amp;quot;"),"'","&amp;apos;"))</f>
        <v/>
      </c>
      <c r="BB36" s="46">
        <f>IF($B36,IF($AS36="","","    &lt;itemfeedback ident=""response_allcorrect"" view=""All""&gt;&lt;flow_mat&gt;&lt;material&gt;&lt;mattext texttype=""text/html""&gt;"&amp;$AS36&amp;"&lt;/mattext&gt;&lt;/material&gt;&lt;/flow_mat&gt;&lt;/itemfeedback&gt;"&amp;"    &lt;itemfeedback ident=""response_onenotcorrect"" view=""All""&gt;&lt;flow_mat&gt;&lt;material&gt;&lt;mattext texttype=""text/html""&gt;"&amp;$AS36&amp;"&lt;/mattext&gt;&lt;/material&gt;&lt;/flow_mat&gt;&lt;/itemfeedback&gt;"),"")</f>
      </c>
      <c r="BC36" s="46">
        <f>IF($B36,IF(AT36="","","    &lt;itemfeedback ident=""response_0"" view=""All""&gt;&lt;flow_mat&gt;&lt;material&gt;&lt;mattext texttype=""text/html""&gt;"&amp;AT36&amp;"&lt;/mattext&gt;&lt;/material&gt;&lt;/flow_mat&gt;&lt;/itemfeedback&gt;"),"")</f>
      </c>
      <c r="BD36" s="46">
        <f>IF($B36,IF(AU36="","","    &lt;itemfeedback ident=""response_1"" view=""All""&gt;&lt;flow_mat&gt;&lt;material&gt;&lt;mattext texttype=""text/html""&gt;"&amp;AU36&amp;"&lt;/mattext&gt;&lt;/material&gt;&lt;/flow_mat&gt;&lt;/itemfeedback&gt;"),"")</f>
      </c>
      <c r="BE36" s="46">
        <f>IF($B36,IF(AV36="","","    &lt;itemfeedback ident=""response_2"" view=""All""&gt;&lt;flow_mat&gt;&lt;material&gt;&lt;mattext texttype=""text/html""&gt;"&amp;AV36&amp;"&lt;/mattext&gt;&lt;/material&gt;&lt;/flow_mat&gt;&lt;/itemfeedback&gt;"),"")</f>
      </c>
      <c r="BF36" s="46">
        <f>IF($B36,IF(AW36="","","    &lt;itemfeedback ident=""response_3"" view=""All""&gt;&lt;flow_mat&gt;&lt;material&gt;&lt;mattext texttype=""text/html""&gt;"&amp;AW36&amp;"&lt;/mattext&gt;&lt;/material&gt;&lt;/flow_mat&gt;&lt;/itemfeedback&gt;"),"")</f>
      </c>
      <c r="BG36" s="46">
        <f>IF($B36,IF(AX36="","","    &lt;itemfeedback ident=""response_4"" view=""All""&gt;&lt;flow_mat&gt;&lt;material&gt;&lt;mattext texttype=""text/html""&gt;"&amp;AX36&amp;"&lt;/mattext&gt;&lt;/material&gt;&lt;/flow_mat&gt;&lt;/itemfeedback&gt;"),"")</f>
      </c>
      <c r="BH36" s="46">
        <f>IF($B36,IF(AY36="","","    &lt;itemfeedback ident=""response_5"" view=""All""&gt;&lt;flow_mat&gt;&lt;material&gt;&lt;mattext texttype=""text/html""&gt;"&amp;AY36&amp;"&lt;/mattext&gt;&lt;/material&gt;&lt;/flow_mat&gt;&lt;/itemfeedback&gt;"),"")</f>
      </c>
      <c r="BI36" s="46">
        <f>IF($B36,IF(AZ36="","","    &lt;itemfeedback ident=""response_6"" view=""All""&gt;&lt;flow_mat&gt;&lt;material&gt;&lt;mattext texttype=""text/html""&gt;"&amp;AZ36&amp;"&lt;/mattext&gt;&lt;/material&gt;&lt;/flow_mat&gt;&lt;/itemfeedback&gt;"),"")</f>
      </c>
      <c r="BJ36" s="46">
        <f>IF($B36,IF(BA36="","","    &lt;itemfeedback ident=""response_7"" view=""All""&gt;&lt;flow_mat&gt;&lt;material&gt;&lt;mattext texttype=""text/html""&gt;"&amp;BA36&amp;"&lt;/mattext&gt;&lt;/material&gt;&lt;/flow_mat&gt;&lt;/itemfeedback&gt;"),"")</f>
      </c>
    </row>
    <row r="37" ht="18" customHeight="1" s="17">
      <c r="A37" s="46">
        <f>Saisie_Questions!A37</f>
        <v/>
      </c>
      <c r="B37" s="46">
        <f>Saisie_Questions!O37="OK"</f>
        <v/>
      </c>
      <c r="C37" s="46">
        <f>LOWER(TRIM(Saisie_Questions!B37))</f>
        <v/>
      </c>
      <c r="D37" s="46">
        <f>IF(C37="qcu","SINGLE CHOICE QUESTION","MULTIPLE CHOICE QUESTION")</f>
        <v/>
      </c>
      <c r="E37" s="46">
        <f>IF(C37="qcu","Single","Multiple")</f>
        <v/>
      </c>
      <c r="F37" s="46">
        <f>IF(A37="","",SUBSTITUTE(SUBSTITUTE(SUBSTITUTE(SUBSTITUTE(SUBSTITUTE(IF(Saisie_Questions!C37="", "Question "&amp;A37, Saisie_Questions!C37),"&amp;","&amp;amp;"),"&lt;","&amp;lt;"),"&gt;","&amp;gt;"),CHAR(34),"&amp;quot;"),"'","&amp;apos;"))</f>
        <v/>
      </c>
      <c r="G37" s="46">
        <f>IF(A37="","",SUBSTITUTE(SUBSTITUTE(SUBSTITUTE(SUBSTITUTE(SUBSTITUTE(Saisie_Questions!D37,"&amp;","&amp;amp;"),"&lt;","&amp;lt;"),"&gt;","&amp;gt;"),CHAR(34),"&amp;quot;"),"'","&amp;apos;"))</f>
        <v/>
      </c>
      <c r="H37" s="46">
        <f>Saisie_Questions!N37</f>
        <v/>
      </c>
      <c r="I37" s="46">
        <f>IF(Saisie_Questions!E37="",0,1)+IF(Saisie_Questions!F37="",0,1)+IF(Saisie_Questions!G37="",0,1)+IF(Saisie_Questions!H37="",0,1)+IF(Saisie_Questions!I37="",0,1)+IF(Saisie_Questions!J37="",0,1)+IF(Saisie_Questions!K37="",0,1)+IF(Saisie_Questions!L37="",0,1)</f>
        <v/>
      </c>
      <c r="J37" s="46">
        <f>Saisie_Questions!M37</f>
        <v/>
      </c>
      <c r="K37" s="46">
        <f>Saisie_Questions!O37</f>
        <v/>
      </c>
      <c r="L37" s="46">
        <f>IF(Saisie_Questions!E37="","",SUBSTITUTE(SUBSTITUTE(SUBSTITUTE(SUBSTITUTE(SUBSTITUTE(Saisie_Questions!E37,"&amp;","&amp;amp;"),"&lt;","&amp;lt;"),"&gt;","&amp;gt;"),CHAR(34),"&amp;quot;"),"'","&amp;apos;"))</f>
        <v/>
      </c>
      <c r="M37" s="46">
        <f>IF(Saisie_Questions!F37="","",SUBSTITUTE(SUBSTITUTE(SUBSTITUTE(SUBSTITUTE(SUBSTITUTE(Saisie_Questions!F37,"&amp;","&amp;amp;"),"&lt;","&amp;lt;"),"&gt;","&amp;gt;"),CHAR(34),"&amp;quot;"),"'","&amp;apos;"))</f>
        <v/>
      </c>
      <c r="N37" s="46">
        <f>IF(Saisie_Questions!G37="","",SUBSTITUTE(SUBSTITUTE(SUBSTITUTE(SUBSTITUTE(SUBSTITUTE(Saisie_Questions!G37,"&amp;","&amp;amp;"),"&lt;","&amp;lt;"),"&gt;","&amp;gt;"),CHAR(34),"&amp;quot;"),"'","&amp;apos;"))</f>
        <v/>
      </c>
      <c r="O37" s="46">
        <f>IF(Saisie_Questions!H37="","",SUBSTITUTE(SUBSTITUTE(SUBSTITUTE(SUBSTITUTE(SUBSTITUTE(Saisie_Questions!H37,"&amp;","&amp;amp;"),"&lt;","&amp;lt;"),"&gt;","&amp;gt;"),CHAR(34),"&amp;quot;"),"'","&amp;apos;"))</f>
        <v/>
      </c>
      <c r="P37" s="46">
        <f>IF(Saisie_Questions!I37="","",SUBSTITUTE(SUBSTITUTE(SUBSTITUTE(SUBSTITUTE(SUBSTITUTE(Saisie_Questions!I37,"&amp;","&amp;amp;"),"&lt;","&amp;lt;"),"&gt;","&amp;gt;"),CHAR(34),"&amp;quot;"),"'","&amp;apos;"))</f>
        <v/>
      </c>
      <c r="Q37" s="46">
        <f>IF(Saisie_Questions!J37="","",SUBSTITUTE(SUBSTITUTE(SUBSTITUTE(SUBSTITUTE(SUBSTITUTE(Saisie_Questions!J37,"&amp;","&amp;amp;"),"&lt;","&amp;lt;"),"&gt;","&amp;gt;"),CHAR(34),"&amp;quot;"),"'","&amp;apos;"))</f>
        <v/>
      </c>
      <c r="R37" s="46">
        <f>IF(Saisie_Questions!K37="","",SUBSTITUTE(SUBSTITUTE(SUBSTITUTE(SUBSTITUTE(SUBSTITUTE(Saisie_Questions!K37,"&amp;","&amp;amp;"),"&lt;","&amp;lt;"),"&gt;","&amp;gt;"),CHAR(34),"&amp;quot;"),"'","&amp;apos;"))</f>
        <v/>
      </c>
      <c r="S37" s="46">
        <f>IF(Saisie_Questions!L37="","",SUBSTITUTE(SUBSTITUTE(SUBSTITUTE(SUBSTITUTE(SUBSTITUTE(Saisie_Questions!L37,"&amp;","&amp;amp;"),"&lt;","&amp;lt;"),"&gt;","&amp;gt;"),CHAR(34),"&amp;quot;"),"'","&amp;apos;"))</f>
        <v/>
      </c>
      <c r="T37" s="46">
        <f>ISNUMBER(SEARCH(";"&amp;1&amp;";",";"&amp;$J37&amp;";"))</f>
        <v/>
      </c>
      <c r="U37" s="46">
        <f>ISNUMBER(SEARCH(";"&amp;2&amp;";",";"&amp;$J37&amp;";"))</f>
        <v/>
      </c>
      <c r="V37" s="46">
        <f>ISNUMBER(SEARCH(";"&amp;3&amp;";",";"&amp;$J37&amp;";"))</f>
        <v/>
      </c>
      <c r="W37" s="46">
        <f>ISNUMBER(SEARCH(";"&amp;4&amp;";",";"&amp;$J37&amp;";"))</f>
        <v/>
      </c>
      <c r="X37" s="46">
        <f>ISNUMBER(SEARCH(";"&amp;5&amp;";",";"&amp;$J37&amp;";"))</f>
        <v/>
      </c>
      <c r="Y37" s="46">
        <f>ISNUMBER(SEARCH(";"&amp;6&amp;";",";"&amp;$J37&amp;";"))</f>
        <v/>
      </c>
      <c r="Z37" s="46">
        <f>ISNUMBER(SEARCH(";"&amp;7&amp;";",";"&amp;$J37&amp;";"))</f>
        <v/>
      </c>
      <c r="AA37" s="46">
        <f>ISNUMBER(SEARCH(";"&amp;8&amp;";",";"&amp;$J37&amp;";"))</f>
        <v/>
      </c>
      <c r="AB37" s="46">
        <f>IF($B37,IF(L37="","","        &lt;response_label ident=""0""&gt;&lt;material&gt;&lt;mattext texttype=""text/html""&gt;"&amp;L37&amp;"&lt;/mattext&gt;&lt;/material&gt;&lt;/response_label&gt;"),"")</f>
        <v/>
      </c>
      <c r="AC37" s="46">
        <f>IF($B37,IF(M37="","","        &lt;response_label ident=""1""&gt;&lt;material&gt;&lt;mattext texttype=""text/html""&gt;"&amp;M37&amp;"&lt;/mattext&gt;&lt;/material&gt;&lt;/response_label&gt;"),"")</f>
        <v/>
      </c>
      <c r="AD37" s="46">
        <f>IF($B37,IF(N37="","","        &lt;response_label ident=""2""&gt;&lt;material&gt;&lt;mattext texttype=""text/html""&gt;"&amp;N37&amp;"&lt;/mattext&gt;&lt;/material&gt;&lt;/response_label&gt;"),"")</f>
        <v/>
      </c>
      <c r="AE37" s="46">
        <f>IF($B37,IF(O37="","","        &lt;response_label ident=""3""&gt;&lt;material&gt;&lt;mattext texttype=""text/html""&gt;"&amp;O37&amp;"&lt;/mattext&gt;&lt;/material&gt;&lt;/response_label&gt;"),"")</f>
        <v/>
      </c>
      <c r="AF37" s="46">
        <f>IF($B37,IF(P37="","","        &lt;response_label ident=""4""&gt;&lt;material&gt;&lt;mattext texttype=""text/html""&gt;"&amp;P37&amp;"&lt;/mattext&gt;&lt;/material&gt;&lt;/response_label&gt;"),"")</f>
        <v/>
      </c>
      <c r="AG37" s="46">
        <f>IF($B37,IF(Q37="","","        &lt;response_label ident=""5""&gt;&lt;material&gt;&lt;mattext texttype=""text/html""&gt;"&amp;Q37&amp;"&lt;/mattext&gt;&lt;/material&gt;&lt;/response_label&gt;"),"")</f>
        <v/>
      </c>
      <c r="AH37" s="46">
        <f>IF($B37,IF(R37="","","        &lt;response_label ident=""6""&gt;&lt;material&gt;&lt;mattext texttype=""text/html""&gt;"&amp;R37&amp;"&lt;/mattext&gt;&lt;/material&gt;&lt;/response_label&gt;"),"")</f>
        <v/>
      </c>
      <c r="AI37" s="46">
        <f>IF($B37,IF(S37="","","        &lt;response_label ident=""7""&gt;&lt;material&gt;&lt;mattext texttype=""text/html""&gt;"&amp;S37&amp;"&lt;/mattext&gt;&lt;/material&gt;&lt;/response_label&gt;"),"")</f>
        <v/>
      </c>
      <c r="AJ37" s="46">
        <f>IF($B37,IF(L37="","",IF($C37="qcu",IF(OR(T37,AT37&lt;&gt;"",$AS37&lt;&gt;""),"      &lt;respcondition continue=""Yes""&gt;&lt;conditionvar&gt;&lt;varequal respident=""RESPONSE""&gt;0&lt;/varequal&gt;&lt;/conditionvar&gt;"&amp;"&lt;setvar action=""Add""&gt;"&amp;IF(T37,$H37,0)&amp;"&lt;/setvar&gt;"&amp;IF(AT37&lt;&gt;"","&lt;displayfeedback feedbacktype=""Response"" linkrefid=""response_0""/&gt;",IF($AS37&lt;&gt;"","&lt;displayfeedback feedbacktype=""Response"" linkrefid=""qti_feedback_trigger""/&gt;",""))&amp;"&lt;/respcondition&gt;",""),IF(OR(T37,AT37&lt;&gt;"",$AS37&lt;&gt;""),"      &lt;respcondition continue=""Yes""&gt;&lt;conditionvar&gt;"&amp;IF(T37,"&lt;varequal respident=""RESPONSE""&gt;0&lt;/varequal&gt;","&lt;not&gt;&lt;varequal respident=""RESPONSE""&gt;0&lt;/varequal&gt;&lt;/not&gt;")&amp;"&lt;/conditionvar&gt;&lt;setvar action=""Add""&gt;"&amp;(Saisie_Questions!$N37/$I37)&amp;"&lt;/setvar&gt;"&amp;IF(AT37&lt;&gt;"","&lt;displayfeedback feedbacktype=""Response"" linkrefid=""response_0""/&gt;",IF($AS37&lt;&gt;"","&lt;displayfeedback feedbacktype=""Response"" linkrefid=""qti_feedback_trigger""/&gt;",""))&amp;"&lt;/respcondition&gt;",""))),"")</f>
      </c>
      <c r="AK37" s="46">
        <f>IF($B37,IF(M37="","",IF($C37="qcu",IF(OR(U37,AU37&lt;&gt;"",$AS37&lt;&gt;""),"      &lt;respcondition continue=""Yes""&gt;&lt;conditionvar&gt;&lt;varequal respident=""RESPONSE""&gt;1&lt;/varequal&gt;&lt;/conditionvar&gt;"&amp;"&lt;setvar action=""Add""&gt;"&amp;IF(U37,$H37,0)&amp;"&lt;/setvar&gt;"&amp;IF(AU37&lt;&gt;"","&lt;displayfeedback feedbacktype=""Response"" linkrefid=""response_1""/&gt;",IF($AS37&lt;&gt;"","&lt;displayfeedback feedbacktype=""Response"" linkrefid=""qti_feedback_trigger""/&gt;",""))&amp;"&lt;/respcondition&gt;",""),IF(OR(U37,AU37&lt;&gt;"",$AS37&lt;&gt;""),"      &lt;respcondition continue=""Yes""&gt;&lt;conditionvar&gt;"&amp;IF(U37,"&lt;varequal respident=""RESPONSE""&gt;1&lt;/varequal&gt;","&lt;not&gt;&lt;varequal respident=""RESPONSE""&gt;1&lt;/varequal&gt;&lt;/not&gt;")&amp;"&lt;/conditionvar&gt;&lt;setvar action=""Add""&gt;"&amp;(Saisie_Questions!$N37/$I37)&amp;"&lt;/setvar&gt;"&amp;IF(AU37&lt;&gt;"","&lt;displayfeedback feedbacktype=""Response"" linkrefid=""response_1""/&gt;",IF($AS37&lt;&gt;"","&lt;displayfeedback feedbacktype=""Response"" linkrefid=""qti_feedback_trigger""/&gt;",""))&amp;"&lt;/respcondition&gt;",""))),"")</f>
      </c>
      <c r="AL37" s="46">
        <f>IF($B37,IF(N37="","",IF($C37="qcu",IF(OR(V37,AV37&lt;&gt;"",$AS37&lt;&gt;""),"      &lt;respcondition continue=""Yes""&gt;&lt;conditionvar&gt;&lt;varequal respident=""RESPONSE""&gt;2&lt;/varequal&gt;&lt;/conditionvar&gt;"&amp;"&lt;setvar action=""Add""&gt;"&amp;IF(V37,$H37,0)&amp;"&lt;/setvar&gt;"&amp;IF(AV37&lt;&gt;"","&lt;displayfeedback feedbacktype=""Response"" linkrefid=""response_2""/&gt;",IF($AS37&lt;&gt;"","&lt;displayfeedback feedbacktype=""Response"" linkrefid=""qti_feedback_trigger""/&gt;",""))&amp;"&lt;/respcondition&gt;",""),IF(OR(V37,AV37&lt;&gt;"",$AS37&lt;&gt;""),"      &lt;respcondition continue=""Yes""&gt;&lt;conditionvar&gt;"&amp;IF(V37,"&lt;varequal respident=""RESPONSE""&gt;2&lt;/varequal&gt;","&lt;not&gt;&lt;varequal respident=""RESPONSE""&gt;2&lt;/varequal&gt;&lt;/not&gt;")&amp;"&lt;/conditionvar&gt;&lt;setvar action=""Add""&gt;"&amp;(Saisie_Questions!$N37/$I37)&amp;"&lt;/setvar&gt;"&amp;IF(AV37&lt;&gt;"","&lt;displayfeedback feedbacktype=""Response"" linkrefid=""response_2""/&gt;",IF($AS37&lt;&gt;"","&lt;displayfeedback feedbacktype=""Response"" linkrefid=""qti_feedback_trigger""/&gt;",""))&amp;"&lt;/respcondition&gt;",""))),"")</f>
      </c>
      <c r="AM37" s="46">
        <f>IF($B37,IF(O37="","",IF($C37="qcu",IF(OR(W37,AW37&lt;&gt;"",$AS37&lt;&gt;""),"      &lt;respcondition continue=""Yes""&gt;&lt;conditionvar&gt;&lt;varequal respident=""RESPONSE""&gt;3&lt;/varequal&gt;&lt;/conditionvar&gt;"&amp;"&lt;setvar action=""Add""&gt;"&amp;IF(W37,$H37,0)&amp;"&lt;/setvar&gt;"&amp;IF(AW37&lt;&gt;"","&lt;displayfeedback feedbacktype=""Response"" linkrefid=""response_3""/&gt;",IF($AS37&lt;&gt;"","&lt;displayfeedback feedbacktype=""Response"" linkrefid=""qti_feedback_trigger""/&gt;",""))&amp;"&lt;/respcondition&gt;",""),IF(OR(W37,AW37&lt;&gt;"",$AS37&lt;&gt;""),"      &lt;respcondition continue=""Yes""&gt;&lt;conditionvar&gt;"&amp;IF(W37,"&lt;varequal respident=""RESPONSE""&gt;3&lt;/varequal&gt;","&lt;not&gt;&lt;varequal respident=""RESPONSE""&gt;3&lt;/varequal&gt;&lt;/not&gt;")&amp;"&lt;/conditionvar&gt;&lt;setvar action=""Add""&gt;"&amp;(Saisie_Questions!$N37/$I37)&amp;"&lt;/setvar&gt;"&amp;IF(AW37&lt;&gt;"","&lt;displayfeedback feedbacktype=""Response"" linkrefid=""response_3""/&gt;",IF($AS37&lt;&gt;"","&lt;displayfeedback feedbacktype=""Response"" linkrefid=""qti_feedback_trigger""/&gt;",""))&amp;"&lt;/respcondition&gt;",""))),"")</f>
      </c>
      <c r="AN37" s="46">
        <f>IF($B37,IF(P37="","",IF($C37="qcu",IF(OR(X37,AX37&lt;&gt;"",$AS37&lt;&gt;""),"      &lt;respcondition continue=""Yes""&gt;&lt;conditionvar&gt;&lt;varequal respident=""RESPONSE""&gt;4&lt;/varequal&gt;&lt;/conditionvar&gt;"&amp;"&lt;setvar action=""Add""&gt;"&amp;IF(X37,$H37,0)&amp;"&lt;/setvar&gt;"&amp;IF(AX37&lt;&gt;"","&lt;displayfeedback feedbacktype=""Response"" linkrefid=""response_4""/&gt;",IF($AS37&lt;&gt;"","&lt;displayfeedback feedbacktype=""Response"" linkrefid=""qti_feedback_trigger""/&gt;",""))&amp;"&lt;/respcondition&gt;",""),IF(OR(X37,AX37&lt;&gt;"",$AS37&lt;&gt;""),"      &lt;respcondition continue=""Yes""&gt;&lt;conditionvar&gt;"&amp;IF(X37,"&lt;varequal respident=""RESPONSE""&gt;4&lt;/varequal&gt;","&lt;not&gt;&lt;varequal respident=""RESPONSE""&gt;4&lt;/varequal&gt;&lt;/not&gt;")&amp;"&lt;/conditionvar&gt;&lt;setvar action=""Add""&gt;"&amp;(Saisie_Questions!$N37/$I37)&amp;"&lt;/setvar&gt;"&amp;IF(AX37&lt;&gt;"","&lt;displayfeedback feedbacktype=""Response"" linkrefid=""response_4""/&gt;",IF($AS37&lt;&gt;"","&lt;displayfeedback feedbacktype=""Response"" linkrefid=""qti_feedback_trigger""/&gt;",""))&amp;"&lt;/respcondition&gt;",""))),"")</f>
      </c>
      <c r="AO37" s="46">
        <f>IF($B37,IF(Q37="","",IF($C37="qcu",IF(OR(Y37,AY37&lt;&gt;"",$AS37&lt;&gt;""),"      &lt;respcondition continue=""Yes""&gt;&lt;conditionvar&gt;&lt;varequal respident=""RESPONSE""&gt;5&lt;/varequal&gt;&lt;/conditionvar&gt;"&amp;"&lt;setvar action=""Add""&gt;"&amp;IF(Y37,$H37,0)&amp;"&lt;/setvar&gt;"&amp;IF(AY37&lt;&gt;"","&lt;displayfeedback feedbacktype=""Response"" linkrefid=""response_5""/&gt;",IF($AS37&lt;&gt;"","&lt;displayfeedback feedbacktype=""Response"" linkrefid=""qti_feedback_trigger""/&gt;",""))&amp;"&lt;/respcondition&gt;",""),IF(OR(Y37,AY37&lt;&gt;"",$AS37&lt;&gt;""),"      &lt;respcondition continue=""Yes""&gt;&lt;conditionvar&gt;"&amp;IF(Y37,"&lt;varequal respident=""RESPONSE""&gt;5&lt;/varequal&gt;","&lt;not&gt;&lt;varequal respident=""RESPONSE""&gt;5&lt;/varequal&gt;&lt;/not&gt;")&amp;"&lt;/conditionvar&gt;&lt;setvar action=""Add""&gt;"&amp;(Saisie_Questions!$N37/$I37)&amp;"&lt;/setvar&gt;"&amp;IF(AY37&lt;&gt;"","&lt;displayfeedback feedbacktype=""Response"" linkrefid=""response_5""/&gt;",IF($AS37&lt;&gt;"","&lt;displayfeedback feedbacktype=""Response"" linkrefid=""qti_feedback_trigger""/&gt;",""))&amp;"&lt;/respcondition&gt;",""))),"")</f>
      </c>
      <c r="AP37" s="46">
        <f>IF($B37,IF(R37="","",IF($C37="qcu",IF(OR(Z37,AZ37&lt;&gt;"",$AS37&lt;&gt;""),"      &lt;respcondition continue=""Yes""&gt;&lt;conditionvar&gt;&lt;varequal respident=""RESPONSE""&gt;6&lt;/varequal&gt;&lt;/conditionvar&gt;"&amp;"&lt;setvar action=""Add""&gt;"&amp;IF(Z37,$H37,0)&amp;"&lt;/setvar&gt;"&amp;IF(AZ37&lt;&gt;"","&lt;displayfeedback feedbacktype=""Response"" linkrefid=""response_6""/&gt;",IF($AS37&lt;&gt;"","&lt;displayfeedback feedbacktype=""Response"" linkrefid=""qti_feedback_trigger""/&gt;",""))&amp;"&lt;/respcondition&gt;",""),IF(OR(Z37,AZ37&lt;&gt;"",$AS37&lt;&gt;""),"      &lt;respcondition continue=""Yes""&gt;&lt;conditionvar&gt;"&amp;IF(Z37,"&lt;varequal respident=""RESPONSE""&gt;6&lt;/varequal&gt;","&lt;not&gt;&lt;varequal respident=""RESPONSE""&gt;6&lt;/varequal&gt;&lt;/not&gt;")&amp;"&lt;/conditionvar&gt;&lt;setvar action=""Add""&gt;"&amp;(Saisie_Questions!$N37/$I37)&amp;"&lt;/setvar&gt;"&amp;IF(AZ37&lt;&gt;"","&lt;displayfeedback feedbacktype=""Response"" linkrefid=""response_6""/&gt;",IF($AS37&lt;&gt;"","&lt;displayfeedback feedbacktype=""Response"" linkrefid=""qti_feedback_trigger""/&gt;",""))&amp;"&lt;/respcondition&gt;",""))),"")</f>
      </c>
      <c r="AQ37" s="46">
        <f>IF($B37,IF(S37="","",IF($C37="qcu",IF(OR(AA37,BA37&lt;&gt;"",$AS37&lt;&gt;""),"      &lt;respcondition continue=""Yes""&gt;&lt;conditionvar&gt;&lt;varequal respident=""RESPONSE""&gt;7&lt;/varequal&gt;&lt;/conditionvar&gt;"&amp;"&lt;setvar action=""Add""&gt;"&amp;IF(AA37,$H37,0)&amp;"&lt;/setvar&gt;"&amp;IF(BA37&lt;&gt;"","&lt;displayfeedback feedbacktype=""Response"" linkrefid=""response_7""/&gt;",IF($AS37&lt;&gt;"","&lt;displayfeedback feedbacktype=""Response"" linkrefid=""qti_feedback_trigger""/&gt;",""))&amp;"&lt;/respcondition&gt;",""),IF(OR(AA37,BA37&lt;&gt;"",$AS37&lt;&gt;""),"      &lt;respcondition continue=""Yes""&gt;&lt;conditionvar&gt;"&amp;IF(AA37,"&lt;varequal respident=""RESPONSE""&gt;7&lt;/varequal&gt;","&lt;not&gt;&lt;varequal respident=""RESPONSE""&gt;7&lt;/varequal&gt;&lt;/not&gt;")&amp;"&lt;/conditionvar&gt;&lt;setvar action=""Add""&gt;"&amp;(Saisie_Questions!$N37/$I37)&amp;"&lt;/setvar&gt;"&amp;IF(BA37&lt;&gt;"","&lt;displayfeedback feedbacktype=""Response"" linkrefid=""response_7""/&gt;",IF($AS37&lt;&gt;"","&lt;displayfeedback feedbacktype=""Response"" linkrefid=""qti_feedback_trigger""/&gt;",""))&amp;"&lt;/respcondition&gt;",""))),"")</f>
      </c>
      <c r="AR37" s="46">
        <f>IF(A37="","",SUBSTITUTE(SUBSTITUTE(SUBSTITUTE(SUBSTITUTE(SUBSTITUTE(IF(Saisie_Questions!P37&lt;&gt;"",Saisie_Questions!P37,Interface_Generation!$B$5),"&amp;","&amp;amp;"),"&lt;","&amp;lt;"),"&gt;","&amp;gt;"),CHAR(34),"&amp;quot;"),"'","&amp;apos;"))</f>
        <v/>
      </c>
      <c r="AS37" s="46">
        <f>IF(Saisie_Questions!Q37="","",SUBSTITUTE(SUBSTITUTE(SUBSTITUTE(SUBSTITUTE(SUBSTITUTE(Saisie_Questions!Q37,"&amp;","&amp;amp;"),"&lt;","&amp;lt;"),"&gt;","&amp;gt;"),CHAR(34),"&amp;quot;"),"'","&amp;apos;"))</f>
        <v/>
      </c>
      <c r="AT37" s="46">
        <f>IF(Saisie_Questions!R37="","",SUBSTITUTE(SUBSTITUTE(SUBSTITUTE(SUBSTITUTE(SUBSTITUTE(Saisie_Questions!R37,"&amp;","&amp;amp;"),"&lt;","&amp;lt;"),"&gt;","&amp;gt;"),CHAR(34),"&amp;quot;"),"'","&amp;apos;"))</f>
        <v/>
      </c>
      <c r="AU37" s="46">
        <f>IF(Saisie_Questions!S37="","",SUBSTITUTE(SUBSTITUTE(SUBSTITUTE(SUBSTITUTE(SUBSTITUTE(Saisie_Questions!S37,"&amp;","&amp;amp;"),"&lt;","&amp;lt;"),"&gt;","&amp;gt;"),CHAR(34),"&amp;quot;"),"'","&amp;apos;"))</f>
        <v/>
      </c>
      <c r="AV37" s="46">
        <f>IF(Saisie_Questions!T37="","",SUBSTITUTE(SUBSTITUTE(SUBSTITUTE(SUBSTITUTE(SUBSTITUTE(Saisie_Questions!T37,"&amp;","&amp;amp;"),"&lt;","&amp;lt;"),"&gt;","&amp;gt;"),CHAR(34),"&amp;quot;"),"'","&amp;apos;"))</f>
        <v/>
      </c>
      <c r="AW37" s="46">
        <f>IF(Saisie_Questions!U37="","",SUBSTITUTE(SUBSTITUTE(SUBSTITUTE(SUBSTITUTE(SUBSTITUTE(Saisie_Questions!U37,"&amp;","&amp;amp;"),"&lt;","&amp;lt;"),"&gt;","&amp;gt;"),CHAR(34),"&amp;quot;"),"'","&amp;apos;"))</f>
        <v/>
      </c>
      <c r="AX37" s="46">
        <f>IF(Saisie_Questions!V37="","",SUBSTITUTE(SUBSTITUTE(SUBSTITUTE(SUBSTITUTE(SUBSTITUTE(Saisie_Questions!V37,"&amp;","&amp;amp;"),"&lt;","&amp;lt;"),"&gt;","&amp;gt;"),CHAR(34),"&amp;quot;"),"'","&amp;apos;"))</f>
        <v/>
      </c>
      <c r="AY37" s="46">
        <f>IF(Saisie_Questions!W37="","",SUBSTITUTE(SUBSTITUTE(SUBSTITUTE(SUBSTITUTE(SUBSTITUTE(Saisie_Questions!W37,"&amp;","&amp;amp;"),"&lt;","&amp;lt;"),"&gt;","&amp;gt;"),CHAR(34),"&amp;quot;"),"'","&amp;apos;"))</f>
        <v/>
      </c>
      <c r="AZ37" s="46">
        <f>IF(Saisie_Questions!X37="","",SUBSTITUTE(SUBSTITUTE(SUBSTITUTE(SUBSTITUTE(SUBSTITUTE(Saisie_Questions!X37,"&amp;","&amp;amp;"),"&lt;","&amp;lt;"),"&gt;","&amp;gt;"),CHAR(34),"&amp;quot;"),"'","&amp;apos;"))</f>
        <v/>
      </c>
      <c r="BA37" s="46">
        <f>IF(Saisie_Questions!Y37="","",SUBSTITUTE(SUBSTITUTE(SUBSTITUTE(SUBSTITUTE(SUBSTITUTE(Saisie_Questions!Y37,"&amp;","&amp;amp;"),"&lt;","&amp;lt;"),"&gt;","&amp;gt;"),CHAR(34),"&amp;quot;"),"'","&amp;apos;"))</f>
        <v/>
      </c>
      <c r="BB37" s="46">
        <f>IF($B37,IF($AS37="","","    &lt;itemfeedback ident=""response_allcorrect"" view=""All""&gt;&lt;flow_mat&gt;&lt;material&gt;&lt;mattext texttype=""text/html""&gt;"&amp;$AS37&amp;"&lt;/mattext&gt;&lt;/material&gt;&lt;/flow_mat&gt;&lt;/itemfeedback&gt;"&amp;"    &lt;itemfeedback ident=""response_onenotcorrect"" view=""All""&gt;&lt;flow_mat&gt;&lt;material&gt;&lt;mattext texttype=""text/html""&gt;"&amp;$AS37&amp;"&lt;/mattext&gt;&lt;/material&gt;&lt;/flow_mat&gt;&lt;/itemfeedback&gt;"),"")</f>
      </c>
      <c r="BC37" s="46">
        <f>IF($B37,IF(AT37="","","    &lt;itemfeedback ident=""response_0"" view=""All""&gt;&lt;flow_mat&gt;&lt;material&gt;&lt;mattext texttype=""text/html""&gt;"&amp;AT37&amp;"&lt;/mattext&gt;&lt;/material&gt;&lt;/flow_mat&gt;&lt;/itemfeedback&gt;"),"")</f>
      </c>
      <c r="BD37" s="46">
        <f>IF($B37,IF(AU37="","","    &lt;itemfeedback ident=""response_1"" view=""All""&gt;&lt;flow_mat&gt;&lt;material&gt;&lt;mattext texttype=""text/html""&gt;"&amp;AU37&amp;"&lt;/mattext&gt;&lt;/material&gt;&lt;/flow_mat&gt;&lt;/itemfeedback&gt;"),"")</f>
      </c>
      <c r="BE37" s="46">
        <f>IF($B37,IF(AV37="","","    &lt;itemfeedback ident=""response_2"" view=""All""&gt;&lt;flow_mat&gt;&lt;material&gt;&lt;mattext texttype=""text/html""&gt;"&amp;AV37&amp;"&lt;/mattext&gt;&lt;/material&gt;&lt;/flow_mat&gt;&lt;/itemfeedback&gt;"),"")</f>
      </c>
      <c r="BF37" s="46">
        <f>IF($B37,IF(AW37="","","    &lt;itemfeedback ident=""response_3"" view=""All""&gt;&lt;flow_mat&gt;&lt;material&gt;&lt;mattext texttype=""text/html""&gt;"&amp;AW37&amp;"&lt;/mattext&gt;&lt;/material&gt;&lt;/flow_mat&gt;&lt;/itemfeedback&gt;"),"")</f>
      </c>
      <c r="BG37" s="46">
        <f>IF($B37,IF(AX37="","","    &lt;itemfeedback ident=""response_4"" view=""All""&gt;&lt;flow_mat&gt;&lt;material&gt;&lt;mattext texttype=""text/html""&gt;"&amp;AX37&amp;"&lt;/mattext&gt;&lt;/material&gt;&lt;/flow_mat&gt;&lt;/itemfeedback&gt;"),"")</f>
      </c>
      <c r="BH37" s="46">
        <f>IF($B37,IF(AY37="","","    &lt;itemfeedback ident=""response_5"" view=""All""&gt;&lt;flow_mat&gt;&lt;material&gt;&lt;mattext texttype=""text/html""&gt;"&amp;AY37&amp;"&lt;/mattext&gt;&lt;/material&gt;&lt;/flow_mat&gt;&lt;/itemfeedback&gt;"),"")</f>
      </c>
      <c r="BI37" s="46">
        <f>IF($B37,IF(AZ37="","","    &lt;itemfeedback ident=""response_6"" view=""All""&gt;&lt;flow_mat&gt;&lt;material&gt;&lt;mattext texttype=""text/html""&gt;"&amp;AZ37&amp;"&lt;/mattext&gt;&lt;/material&gt;&lt;/flow_mat&gt;&lt;/itemfeedback&gt;"),"")</f>
      </c>
      <c r="BJ37" s="46">
        <f>IF($B37,IF(BA37="","","    &lt;itemfeedback ident=""response_7"" view=""All""&gt;&lt;flow_mat&gt;&lt;material&gt;&lt;mattext texttype=""text/html""&gt;"&amp;BA37&amp;"&lt;/mattext&gt;&lt;/material&gt;&lt;/flow_mat&gt;&lt;/itemfeedback&gt;"),"")</f>
      </c>
    </row>
    <row r="38" ht="18" customHeight="1" s="17">
      <c r="A38" s="46">
        <f>Saisie_Questions!A38</f>
        <v/>
      </c>
      <c r="B38" s="46">
        <f>Saisie_Questions!O38="OK"</f>
        <v/>
      </c>
      <c r="C38" s="46">
        <f>LOWER(TRIM(Saisie_Questions!B38))</f>
        <v/>
      </c>
      <c r="D38" s="46">
        <f>IF(C38="qcu","SINGLE CHOICE QUESTION","MULTIPLE CHOICE QUESTION")</f>
        <v/>
      </c>
      <c r="E38" s="46">
        <f>IF(C38="qcu","Single","Multiple")</f>
        <v/>
      </c>
      <c r="F38" s="46">
        <f>IF(A38="","",SUBSTITUTE(SUBSTITUTE(SUBSTITUTE(SUBSTITUTE(SUBSTITUTE(IF(Saisie_Questions!C38="", "Question "&amp;A38, Saisie_Questions!C38),"&amp;","&amp;amp;"),"&lt;","&amp;lt;"),"&gt;","&amp;gt;"),CHAR(34),"&amp;quot;"),"'","&amp;apos;"))</f>
        <v/>
      </c>
      <c r="G38" s="46">
        <f>IF(A38="","",SUBSTITUTE(SUBSTITUTE(SUBSTITUTE(SUBSTITUTE(SUBSTITUTE(Saisie_Questions!D38,"&amp;","&amp;amp;"),"&lt;","&amp;lt;"),"&gt;","&amp;gt;"),CHAR(34),"&amp;quot;"),"'","&amp;apos;"))</f>
        <v/>
      </c>
      <c r="H38" s="46">
        <f>Saisie_Questions!N38</f>
        <v/>
      </c>
      <c r="I38" s="46">
        <f>IF(Saisie_Questions!E38="",0,1)+IF(Saisie_Questions!F38="",0,1)+IF(Saisie_Questions!G38="",0,1)+IF(Saisie_Questions!H38="",0,1)+IF(Saisie_Questions!I38="",0,1)+IF(Saisie_Questions!J38="",0,1)+IF(Saisie_Questions!K38="",0,1)+IF(Saisie_Questions!L38="",0,1)</f>
        <v/>
      </c>
      <c r="J38" s="46">
        <f>Saisie_Questions!M38</f>
        <v/>
      </c>
      <c r="K38" s="46">
        <f>Saisie_Questions!O38</f>
        <v/>
      </c>
      <c r="L38" s="46">
        <f>IF(Saisie_Questions!E38="","",SUBSTITUTE(SUBSTITUTE(SUBSTITUTE(SUBSTITUTE(SUBSTITUTE(Saisie_Questions!E38,"&amp;","&amp;amp;"),"&lt;","&amp;lt;"),"&gt;","&amp;gt;"),CHAR(34),"&amp;quot;"),"'","&amp;apos;"))</f>
        <v/>
      </c>
      <c r="M38" s="46">
        <f>IF(Saisie_Questions!F38="","",SUBSTITUTE(SUBSTITUTE(SUBSTITUTE(SUBSTITUTE(SUBSTITUTE(Saisie_Questions!F38,"&amp;","&amp;amp;"),"&lt;","&amp;lt;"),"&gt;","&amp;gt;"),CHAR(34),"&amp;quot;"),"'","&amp;apos;"))</f>
        <v/>
      </c>
      <c r="N38" s="46">
        <f>IF(Saisie_Questions!G38="","",SUBSTITUTE(SUBSTITUTE(SUBSTITUTE(SUBSTITUTE(SUBSTITUTE(Saisie_Questions!G38,"&amp;","&amp;amp;"),"&lt;","&amp;lt;"),"&gt;","&amp;gt;"),CHAR(34),"&amp;quot;"),"'","&amp;apos;"))</f>
        <v/>
      </c>
      <c r="O38" s="46">
        <f>IF(Saisie_Questions!H38="","",SUBSTITUTE(SUBSTITUTE(SUBSTITUTE(SUBSTITUTE(SUBSTITUTE(Saisie_Questions!H38,"&amp;","&amp;amp;"),"&lt;","&amp;lt;"),"&gt;","&amp;gt;"),CHAR(34),"&amp;quot;"),"'","&amp;apos;"))</f>
        <v/>
      </c>
      <c r="P38" s="46">
        <f>IF(Saisie_Questions!I38="","",SUBSTITUTE(SUBSTITUTE(SUBSTITUTE(SUBSTITUTE(SUBSTITUTE(Saisie_Questions!I38,"&amp;","&amp;amp;"),"&lt;","&amp;lt;"),"&gt;","&amp;gt;"),CHAR(34),"&amp;quot;"),"'","&amp;apos;"))</f>
        <v/>
      </c>
      <c r="Q38" s="46">
        <f>IF(Saisie_Questions!J38="","",SUBSTITUTE(SUBSTITUTE(SUBSTITUTE(SUBSTITUTE(SUBSTITUTE(Saisie_Questions!J38,"&amp;","&amp;amp;"),"&lt;","&amp;lt;"),"&gt;","&amp;gt;"),CHAR(34),"&amp;quot;"),"'","&amp;apos;"))</f>
        <v/>
      </c>
      <c r="R38" s="46">
        <f>IF(Saisie_Questions!K38="","",SUBSTITUTE(SUBSTITUTE(SUBSTITUTE(SUBSTITUTE(SUBSTITUTE(Saisie_Questions!K38,"&amp;","&amp;amp;"),"&lt;","&amp;lt;"),"&gt;","&amp;gt;"),CHAR(34),"&amp;quot;"),"'","&amp;apos;"))</f>
        <v/>
      </c>
      <c r="S38" s="46">
        <f>IF(Saisie_Questions!L38="","",SUBSTITUTE(SUBSTITUTE(SUBSTITUTE(SUBSTITUTE(SUBSTITUTE(Saisie_Questions!L38,"&amp;","&amp;amp;"),"&lt;","&amp;lt;"),"&gt;","&amp;gt;"),CHAR(34),"&amp;quot;"),"'","&amp;apos;"))</f>
        <v/>
      </c>
      <c r="T38" s="46">
        <f>ISNUMBER(SEARCH(";"&amp;1&amp;";",";"&amp;$J38&amp;";"))</f>
        <v/>
      </c>
      <c r="U38" s="46">
        <f>ISNUMBER(SEARCH(";"&amp;2&amp;";",";"&amp;$J38&amp;";"))</f>
        <v/>
      </c>
      <c r="V38" s="46">
        <f>ISNUMBER(SEARCH(";"&amp;3&amp;";",";"&amp;$J38&amp;";"))</f>
        <v/>
      </c>
      <c r="W38" s="46">
        <f>ISNUMBER(SEARCH(";"&amp;4&amp;";",";"&amp;$J38&amp;";"))</f>
        <v/>
      </c>
      <c r="X38" s="46">
        <f>ISNUMBER(SEARCH(";"&amp;5&amp;";",";"&amp;$J38&amp;";"))</f>
        <v/>
      </c>
      <c r="Y38" s="46">
        <f>ISNUMBER(SEARCH(";"&amp;6&amp;";",";"&amp;$J38&amp;";"))</f>
        <v/>
      </c>
      <c r="Z38" s="46">
        <f>ISNUMBER(SEARCH(";"&amp;7&amp;";",";"&amp;$J38&amp;";"))</f>
        <v/>
      </c>
      <c r="AA38" s="46">
        <f>ISNUMBER(SEARCH(";"&amp;8&amp;";",";"&amp;$J38&amp;";"))</f>
        <v/>
      </c>
      <c r="AB38" s="46">
        <f>IF($B38,IF(L38="","","        &lt;response_label ident=""0""&gt;&lt;material&gt;&lt;mattext texttype=""text/html""&gt;"&amp;L38&amp;"&lt;/mattext&gt;&lt;/material&gt;&lt;/response_label&gt;"),"")</f>
        <v/>
      </c>
      <c r="AC38" s="46">
        <f>IF($B38,IF(M38="","","        &lt;response_label ident=""1""&gt;&lt;material&gt;&lt;mattext texttype=""text/html""&gt;"&amp;M38&amp;"&lt;/mattext&gt;&lt;/material&gt;&lt;/response_label&gt;"),"")</f>
        <v/>
      </c>
      <c r="AD38" s="46">
        <f>IF($B38,IF(N38="","","        &lt;response_label ident=""2""&gt;&lt;material&gt;&lt;mattext texttype=""text/html""&gt;"&amp;N38&amp;"&lt;/mattext&gt;&lt;/material&gt;&lt;/response_label&gt;"),"")</f>
        <v/>
      </c>
      <c r="AE38" s="46">
        <f>IF($B38,IF(O38="","","        &lt;response_label ident=""3""&gt;&lt;material&gt;&lt;mattext texttype=""text/html""&gt;"&amp;O38&amp;"&lt;/mattext&gt;&lt;/material&gt;&lt;/response_label&gt;"),"")</f>
        <v/>
      </c>
      <c r="AF38" s="46">
        <f>IF($B38,IF(P38="","","        &lt;response_label ident=""4""&gt;&lt;material&gt;&lt;mattext texttype=""text/html""&gt;"&amp;P38&amp;"&lt;/mattext&gt;&lt;/material&gt;&lt;/response_label&gt;"),"")</f>
        <v/>
      </c>
      <c r="AG38" s="46">
        <f>IF($B38,IF(Q38="","","        &lt;response_label ident=""5""&gt;&lt;material&gt;&lt;mattext texttype=""text/html""&gt;"&amp;Q38&amp;"&lt;/mattext&gt;&lt;/material&gt;&lt;/response_label&gt;"),"")</f>
        <v/>
      </c>
      <c r="AH38" s="46">
        <f>IF($B38,IF(R38="","","        &lt;response_label ident=""6""&gt;&lt;material&gt;&lt;mattext texttype=""text/html""&gt;"&amp;R38&amp;"&lt;/mattext&gt;&lt;/material&gt;&lt;/response_label&gt;"),"")</f>
        <v/>
      </c>
      <c r="AI38" s="46">
        <f>IF($B38,IF(S38="","","        &lt;response_label ident=""7""&gt;&lt;material&gt;&lt;mattext texttype=""text/html""&gt;"&amp;S38&amp;"&lt;/mattext&gt;&lt;/material&gt;&lt;/response_label&gt;"),"")</f>
        <v/>
      </c>
      <c r="AJ38" s="46">
        <f>IF($B38,IF(L38="","",IF($C38="qcu",IF(OR(T38,AT38&lt;&gt;"",$AS38&lt;&gt;""),"      &lt;respcondition continue=""Yes""&gt;&lt;conditionvar&gt;&lt;varequal respident=""RESPONSE""&gt;0&lt;/varequal&gt;&lt;/conditionvar&gt;"&amp;"&lt;setvar action=""Add""&gt;"&amp;IF(T38,$H38,0)&amp;"&lt;/setvar&gt;"&amp;IF(AT38&lt;&gt;"","&lt;displayfeedback feedbacktype=""Response"" linkrefid=""response_0""/&gt;",IF($AS38&lt;&gt;"","&lt;displayfeedback feedbacktype=""Response"" linkrefid=""qti_feedback_trigger""/&gt;",""))&amp;"&lt;/respcondition&gt;",""),IF(OR(T38,AT38&lt;&gt;"",$AS38&lt;&gt;""),"      &lt;respcondition continue=""Yes""&gt;&lt;conditionvar&gt;"&amp;IF(T38,"&lt;varequal respident=""RESPONSE""&gt;0&lt;/varequal&gt;","&lt;not&gt;&lt;varequal respident=""RESPONSE""&gt;0&lt;/varequal&gt;&lt;/not&gt;")&amp;"&lt;/conditionvar&gt;&lt;setvar action=""Add""&gt;"&amp;(Saisie_Questions!$N38/$I38)&amp;"&lt;/setvar&gt;"&amp;IF(AT38&lt;&gt;"","&lt;displayfeedback feedbacktype=""Response"" linkrefid=""response_0""/&gt;",IF($AS38&lt;&gt;"","&lt;displayfeedback feedbacktype=""Response"" linkrefid=""qti_feedback_trigger""/&gt;",""))&amp;"&lt;/respcondition&gt;",""))),"")</f>
      </c>
      <c r="AK38" s="46">
        <f>IF($B38,IF(M38="","",IF($C38="qcu",IF(OR(U38,AU38&lt;&gt;"",$AS38&lt;&gt;""),"      &lt;respcondition continue=""Yes""&gt;&lt;conditionvar&gt;&lt;varequal respident=""RESPONSE""&gt;1&lt;/varequal&gt;&lt;/conditionvar&gt;"&amp;"&lt;setvar action=""Add""&gt;"&amp;IF(U38,$H38,0)&amp;"&lt;/setvar&gt;"&amp;IF(AU38&lt;&gt;"","&lt;displayfeedback feedbacktype=""Response"" linkrefid=""response_1""/&gt;",IF($AS38&lt;&gt;"","&lt;displayfeedback feedbacktype=""Response"" linkrefid=""qti_feedback_trigger""/&gt;",""))&amp;"&lt;/respcondition&gt;",""),IF(OR(U38,AU38&lt;&gt;"",$AS38&lt;&gt;""),"      &lt;respcondition continue=""Yes""&gt;&lt;conditionvar&gt;"&amp;IF(U38,"&lt;varequal respident=""RESPONSE""&gt;1&lt;/varequal&gt;","&lt;not&gt;&lt;varequal respident=""RESPONSE""&gt;1&lt;/varequal&gt;&lt;/not&gt;")&amp;"&lt;/conditionvar&gt;&lt;setvar action=""Add""&gt;"&amp;(Saisie_Questions!$N38/$I38)&amp;"&lt;/setvar&gt;"&amp;IF(AU38&lt;&gt;"","&lt;displayfeedback feedbacktype=""Response"" linkrefid=""response_1""/&gt;",IF($AS38&lt;&gt;"","&lt;displayfeedback feedbacktype=""Response"" linkrefid=""qti_feedback_trigger""/&gt;",""))&amp;"&lt;/respcondition&gt;",""))),"")</f>
      </c>
      <c r="AL38" s="46">
        <f>IF($B38,IF(N38="","",IF($C38="qcu",IF(OR(V38,AV38&lt;&gt;"",$AS38&lt;&gt;""),"      &lt;respcondition continue=""Yes""&gt;&lt;conditionvar&gt;&lt;varequal respident=""RESPONSE""&gt;2&lt;/varequal&gt;&lt;/conditionvar&gt;"&amp;"&lt;setvar action=""Add""&gt;"&amp;IF(V38,$H38,0)&amp;"&lt;/setvar&gt;"&amp;IF(AV38&lt;&gt;"","&lt;displayfeedback feedbacktype=""Response"" linkrefid=""response_2""/&gt;",IF($AS38&lt;&gt;"","&lt;displayfeedback feedbacktype=""Response"" linkrefid=""qti_feedback_trigger""/&gt;",""))&amp;"&lt;/respcondition&gt;",""),IF(OR(V38,AV38&lt;&gt;"",$AS38&lt;&gt;""),"      &lt;respcondition continue=""Yes""&gt;&lt;conditionvar&gt;"&amp;IF(V38,"&lt;varequal respident=""RESPONSE""&gt;2&lt;/varequal&gt;","&lt;not&gt;&lt;varequal respident=""RESPONSE""&gt;2&lt;/varequal&gt;&lt;/not&gt;")&amp;"&lt;/conditionvar&gt;&lt;setvar action=""Add""&gt;"&amp;(Saisie_Questions!$N38/$I38)&amp;"&lt;/setvar&gt;"&amp;IF(AV38&lt;&gt;"","&lt;displayfeedback feedbacktype=""Response"" linkrefid=""response_2""/&gt;",IF($AS38&lt;&gt;"","&lt;displayfeedback feedbacktype=""Response"" linkrefid=""qti_feedback_trigger""/&gt;",""))&amp;"&lt;/respcondition&gt;",""))),"")</f>
      </c>
      <c r="AM38" s="46">
        <f>IF($B38,IF(O38="","",IF($C38="qcu",IF(OR(W38,AW38&lt;&gt;"",$AS38&lt;&gt;""),"      &lt;respcondition continue=""Yes""&gt;&lt;conditionvar&gt;&lt;varequal respident=""RESPONSE""&gt;3&lt;/varequal&gt;&lt;/conditionvar&gt;"&amp;"&lt;setvar action=""Add""&gt;"&amp;IF(W38,$H38,0)&amp;"&lt;/setvar&gt;"&amp;IF(AW38&lt;&gt;"","&lt;displayfeedback feedbacktype=""Response"" linkrefid=""response_3""/&gt;",IF($AS38&lt;&gt;"","&lt;displayfeedback feedbacktype=""Response"" linkrefid=""qti_feedback_trigger""/&gt;",""))&amp;"&lt;/respcondition&gt;",""),IF(OR(W38,AW38&lt;&gt;"",$AS38&lt;&gt;""),"      &lt;respcondition continue=""Yes""&gt;&lt;conditionvar&gt;"&amp;IF(W38,"&lt;varequal respident=""RESPONSE""&gt;3&lt;/varequal&gt;","&lt;not&gt;&lt;varequal respident=""RESPONSE""&gt;3&lt;/varequal&gt;&lt;/not&gt;")&amp;"&lt;/conditionvar&gt;&lt;setvar action=""Add""&gt;"&amp;(Saisie_Questions!$N38/$I38)&amp;"&lt;/setvar&gt;"&amp;IF(AW38&lt;&gt;"","&lt;displayfeedback feedbacktype=""Response"" linkrefid=""response_3""/&gt;",IF($AS38&lt;&gt;"","&lt;displayfeedback feedbacktype=""Response"" linkrefid=""qti_feedback_trigger""/&gt;",""))&amp;"&lt;/respcondition&gt;",""))),"")</f>
      </c>
      <c r="AN38" s="46">
        <f>IF($B38,IF(P38="","",IF($C38="qcu",IF(OR(X38,AX38&lt;&gt;"",$AS38&lt;&gt;""),"      &lt;respcondition continue=""Yes""&gt;&lt;conditionvar&gt;&lt;varequal respident=""RESPONSE""&gt;4&lt;/varequal&gt;&lt;/conditionvar&gt;"&amp;"&lt;setvar action=""Add""&gt;"&amp;IF(X38,$H38,0)&amp;"&lt;/setvar&gt;"&amp;IF(AX38&lt;&gt;"","&lt;displayfeedback feedbacktype=""Response"" linkrefid=""response_4""/&gt;",IF($AS38&lt;&gt;"","&lt;displayfeedback feedbacktype=""Response"" linkrefid=""qti_feedback_trigger""/&gt;",""))&amp;"&lt;/respcondition&gt;",""),IF(OR(X38,AX38&lt;&gt;"",$AS38&lt;&gt;""),"      &lt;respcondition continue=""Yes""&gt;&lt;conditionvar&gt;"&amp;IF(X38,"&lt;varequal respident=""RESPONSE""&gt;4&lt;/varequal&gt;","&lt;not&gt;&lt;varequal respident=""RESPONSE""&gt;4&lt;/varequal&gt;&lt;/not&gt;")&amp;"&lt;/conditionvar&gt;&lt;setvar action=""Add""&gt;"&amp;(Saisie_Questions!$N38/$I38)&amp;"&lt;/setvar&gt;"&amp;IF(AX38&lt;&gt;"","&lt;displayfeedback feedbacktype=""Response"" linkrefid=""response_4""/&gt;",IF($AS38&lt;&gt;"","&lt;displayfeedback feedbacktype=""Response"" linkrefid=""qti_feedback_trigger""/&gt;",""))&amp;"&lt;/respcondition&gt;",""))),"")</f>
      </c>
      <c r="AO38" s="46">
        <f>IF($B38,IF(Q38="","",IF($C38="qcu",IF(OR(Y38,AY38&lt;&gt;"",$AS38&lt;&gt;""),"      &lt;respcondition continue=""Yes""&gt;&lt;conditionvar&gt;&lt;varequal respident=""RESPONSE""&gt;5&lt;/varequal&gt;&lt;/conditionvar&gt;"&amp;"&lt;setvar action=""Add""&gt;"&amp;IF(Y38,$H38,0)&amp;"&lt;/setvar&gt;"&amp;IF(AY38&lt;&gt;"","&lt;displayfeedback feedbacktype=""Response"" linkrefid=""response_5""/&gt;",IF($AS38&lt;&gt;"","&lt;displayfeedback feedbacktype=""Response"" linkrefid=""qti_feedback_trigger""/&gt;",""))&amp;"&lt;/respcondition&gt;",""),IF(OR(Y38,AY38&lt;&gt;"",$AS38&lt;&gt;""),"      &lt;respcondition continue=""Yes""&gt;&lt;conditionvar&gt;"&amp;IF(Y38,"&lt;varequal respident=""RESPONSE""&gt;5&lt;/varequal&gt;","&lt;not&gt;&lt;varequal respident=""RESPONSE""&gt;5&lt;/varequal&gt;&lt;/not&gt;")&amp;"&lt;/conditionvar&gt;&lt;setvar action=""Add""&gt;"&amp;(Saisie_Questions!$N38/$I38)&amp;"&lt;/setvar&gt;"&amp;IF(AY38&lt;&gt;"","&lt;displayfeedback feedbacktype=""Response"" linkrefid=""response_5""/&gt;",IF($AS38&lt;&gt;"","&lt;displayfeedback feedbacktype=""Response"" linkrefid=""qti_feedback_trigger""/&gt;",""))&amp;"&lt;/respcondition&gt;",""))),"")</f>
      </c>
      <c r="AP38" s="46">
        <f>IF($B38,IF(R38="","",IF($C38="qcu",IF(OR(Z38,AZ38&lt;&gt;"",$AS38&lt;&gt;""),"      &lt;respcondition continue=""Yes""&gt;&lt;conditionvar&gt;&lt;varequal respident=""RESPONSE""&gt;6&lt;/varequal&gt;&lt;/conditionvar&gt;"&amp;"&lt;setvar action=""Add""&gt;"&amp;IF(Z38,$H38,0)&amp;"&lt;/setvar&gt;"&amp;IF(AZ38&lt;&gt;"","&lt;displayfeedback feedbacktype=""Response"" linkrefid=""response_6""/&gt;",IF($AS38&lt;&gt;"","&lt;displayfeedback feedbacktype=""Response"" linkrefid=""qti_feedback_trigger""/&gt;",""))&amp;"&lt;/respcondition&gt;",""),IF(OR(Z38,AZ38&lt;&gt;"",$AS38&lt;&gt;""),"      &lt;respcondition continue=""Yes""&gt;&lt;conditionvar&gt;"&amp;IF(Z38,"&lt;varequal respident=""RESPONSE""&gt;6&lt;/varequal&gt;","&lt;not&gt;&lt;varequal respident=""RESPONSE""&gt;6&lt;/varequal&gt;&lt;/not&gt;")&amp;"&lt;/conditionvar&gt;&lt;setvar action=""Add""&gt;"&amp;(Saisie_Questions!$N38/$I38)&amp;"&lt;/setvar&gt;"&amp;IF(AZ38&lt;&gt;"","&lt;displayfeedback feedbacktype=""Response"" linkrefid=""response_6""/&gt;",IF($AS38&lt;&gt;"","&lt;displayfeedback feedbacktype=""Response"" linkrefid=""qti_feedback_trigger""/&gt;",""))&amp;"&lt;/respcondition&gt;",""))),"")</f>
      </c>
      <c r="AQ38" s="46">
        <f>IF($B38,IF(S38="","",IF($C38="qcu",IF(OR(AA38,BA38&lt;&gt;"",$AS38&lt;&gt;""),"      &lt;respcondition continue=""Yes""&gt;&lt;conditionvar&gt;&lt;varequal respident=""RESPONSE""&gt;7&lt;/varequal&gt;&lt;/conditionvar&gt;"&amp;"&lt;setvar action=""Add""&gt;"&amp;IF(AA38,$H38,0)&amp;"&lt;/setvar&gt;"&amp;IF(BA38&lt;&gt;"","&lt;displayfeedback feedbacktype=""Response"" linkrefid=""response_7""/&gt;",IF($AS38&lt;&gt;"","&lt;displayfeedback feedbacktype=""Response"" linkrefid=""qti_feedback_trigger""/&gt;",""))&amp;"&lt;/respcondition&gt;",""),IF(OR(AA38,BA38&lt;&gt;"",$AS38&lt;&gt;""),"      &lt;respcondition continue=""Yes""&gt;&lt;conditionvar&gt;"&amp;IF(AA38,"&lt;varequal respident=""RESPONSE""&gt;7&lt;/varequal&gt;","&lt;not&gt;&lt;varequal respident=""RESPONSE""&gt;7&lt;/varequal&gt;&lt;/not&gt;")&amp;"&lt;/conditionvar&gt;&lt;setvar action=""Add""&gt;"&amp;(Saisie_Questions!$N38/$I38)&amp;"&lt;/setvar&gt;"&amp;IF(BA38&lt;&gt;"","&lt;displayfeedback feedbacktype=""Response"" linkrefid=""response_7""/&gt;",IF($AS38&lt;&gt;"","&lt;displayfeedback feedbacktype=""Response"" linkrefid=""qti_feedback_trigger""/&gt;",""))&amp;"&lt;/respcondition&gt;",""))),"")</f>
      </c>
      <c r="AR38" s="46">
        <f>IF(A38="","",SUBSTITUTE(SUBSTITUTE(SUBSTITUTE(SUBSTITUTE(SUBSTITUTE(IF(Saisie_Questions!P38&lt;&gt;"",Saisie_Questions!P38,Interface_Generation!$B$5),"&amp;","&amp;amp;"),"&lt;","&amp;lt;"),"&gt;","&amp;gt;"),CHAR(34),"&amp;quot;"),"'","&amp;apos;"))</f>
        <v/>
      </c>
      <c r="AS38" s="46">
        <f>IF(Saisie_Questions!Q38="","",SUBSTITUTE(SUBSTITUTE(SUBSTITUTE(SUBSTITUTE(SUBSTITUTE(Saisie_Questions!Q38,"&amp;","&amp;amp;"),"&lt;","&amp;lt;"),"&gt;","&amp;gt;"),CHAR(34),"&amp;quot;"),"'","&amp;apos;"))</f>
        <v/>
      </c>
      <c r="AT38" s="46">
        <f>IF(Saisie_Questions!R38="","",SUBSTITUTE(SUBSTITUTE(SUBSTITUTE(SUBSTITUTE(SUBSTITUTE(Saisie_Questions!R38,"&amp;","&amp;amp;"),"&lt;","&amp;lt;"),"&gt;","&amp;gt;"),CHAR(34),"&amp;quot;"),"'","&amp;apos;"))</f>
        <v/>
      </c>
      <c r="AU38" s="46">
        <f>IF(Saisie_Questions!S38="","",SUBSTITUTE(SUBSTITUTE(SUBSTITUTE(SUBSTITUTE(SUBSTITUTE(Saisie_Questions!S38,"&amp;","&amp;amp;"),"&lt;","&amp;lt;"),"&gt;","&amp;gt;"),CHAR(34),"&amp;quot;"),"'","&amp;apos;"))</f>
        <v/>
      </c>
      <c r="AV38" s="46">
        <f>IF(Saisie_Questions!T38="","",SUBSTITUTE(SUBSTITUTE(SUBSTITUTE(SUBSTITUTE(SUBSTITUTE(Saisie_Questions!T38,"&amp;","&amp;amp;"),"&lt;","&amp;lt;"),"&gt;","&amp;gt;"),CHAR(34),"&amp;quot;"),"'","&amp;apos;"))</f>
        <v/>
      </c>
      <c r="AW38" s="46">
        <f>IF(Saisie_Questions!U38="","",SUBSTITUTE(SUBSTITUTE(SUBSTITUTE(SUBSTITUTE(SUBSTITUTE(Saisie_Questions!U38,"&amp;","&amp;amp;"),"&lt;","&amp;lt;"),"&gt;","&amp;gt;"),CHAR(34),"&amp;quot;"),"'","&amp;apos;"))</f>
        <v/>
      </c>
      <c r="AX38" s="46">
        <f>IF(Saisie_Questions!V38="","",SUBSTITUTE(SUBSTITUTE(SUBSTITUTE(SUBSTITUTE(SUBSTITUTE(Saisie_Questions!V38,"&amp;","&amp;amp;"),"&lt;","&amp;lt;"),"&gt;","&amp;gt;"),CHAR(34),"&amp;quot;"),"'","&amp;apos;"))</f>
        <v/>
      </c>
      <c r="AY38" s="46">
        <f>IF(Saisie_Questions!W38="","",SUBSTITUTE(SUBSTITUTE(SUBSTITUTE(SUBSTITUTE(SUBSTITUTE(Saisie_Questions!W38,"&amp;","&amp;amp;"),"&lt;","&amp;lt;"),"&gt;","&amp;gt;"),CHAR(34),"&amp;quot;"),"'","&amp;apos;"))</f>
        <v/>
      </c>
      <c r="AZ38" s="46">
        <f>IF(Saisie_Questions!X38="","",SUBSTITUTE(SUBSTITUTE(SUBSTITUTE(SUBSTITUTE(SUBSTITUTE(Saisie_Questions!X38,"&amp;","&amp;amp;"),"&lt;","&amp;lt;"),"&gt;","&amp;gt;"),CHAR(34),"&amp;quot;"),"'","&amp;apos;"))</f>
        <v/>
      </c>
      <c r="BA38" s="46">
        <f>IF(Saisie_Questions!Y38="","",SUBSTITUTE(SUBSTITUTE(SUBSTITUTE(SUBSTITUTE(SUBSTITUTE(Saisie_Questions!Y38,"&amp;","&amp;amp;"),"&lt;","&amp;lt;"),"&gt;","&amp;gt;"),CHAR(34),"&amp;quot;"),"'","&amp;apos;"))</f>
        <v/>
      </c>
      <c r="BB38" s="46">
        <f>IF($B38,IF($AS38="","","    &lt;itemfeedback ident=""response_allcorrect"" view=""All""&gt;&lt;flow_mat&gt;&lt;material&gt;&lt;mattext texttype=""text/html""&gt;"&amp;$AS38&amp;"&lt;/mattext&gt;&lt;/material&gt;&lt;/flow_mat&gt;&lt;/itemfeedback&gt;"&amp;"    &lt;itemfeedback ident=""response_onenotcorrect"" view=""All""&gt;&lt;flow_mat&gt;&lt;material&gt;&lt;mattext texttype=""text/html""&gt;"&amp;$AS38&amp;"&lt;/mattext&gt;&lt;/material&gt;&lt;/flow_mat&gt;&lt;/itemfeedback&gt;"),"")</f>
      </c>
      <c r="BC38" s="46">
        <f>IF($B38,IF(AT38="","","    &lt;itemfeedback ident=""response_0"" view=""All""&gt;&lt;flow_mat&gt;&lt;material&gt;&lt;mattext texttype=""text/html""&gt;"&amp;AT38&amp;"&lt;/mattext&gt;&lt;/material&gt;&lt;/flow_mat&gt;&lt;/itemfeedback&gt;"),"")</f>
      </c>
      <c r="BD38" s="46">
        <f>IF($B38,IF(AU38="","","    &lt;itemfeedback ident=""response_1"" view=""All""&gt;&lt;flow_mat&gt;&lt;material&gt;&lt;mattext texttype=""text/html""&gt;"&amp;AU38&amp;"&lt;/mattext&gt;&lt;/material&gt;&lt;/flow_mat&gt;&lt;/itemfeedback&gt;"),"")</f>
      </c>
      <c r="BE38" s="46">
        <f>IF($B38,IF(AV38="","","    &lt;itemfeedback ident=""response_2"" view=""All""&gt;&lt;flow_mat&gt;&lt;material&gt;&lt;mattext texttype=""text/html""&gt;"&amp;AV38&amp;"&lt;/mattext&gt;&lt;/material&gt;&lt;/flow_mat&gt;&lt;/itemfeedback&gt;"),"")</f>
      </c>
      <c r="BF38" s="46">
        <f>IF($B38,IF(AW38="","","    &lt;itemfeedback ident=""response_3"" view=""All""&gt;&lt;flow_mat&gt;&lt;material&gt;&lt;mattext texttype=""text/html""&gt;"&amp;AW38&amp;"&lt;/mattext&gt;&lt;/material&gt;&lt;/flow_mat&gt;&lt;/itemfeedback&gt;"),"")</f>
      </c>
      <c r="BG38" s="46">
        <f>IF($B38,IF(AX38="","","    &lt;itemfeedback ident=""response_4"" view=""All""&gt;&lt;flow_mat&gt;&lt;material&gt;&lt;mattext texttype=""text/html""&gt;"&amp;AX38&amp;"&lt;/mattext&gt;&lt;/material&gt;&lt;/flow_mat&gt;&lt;/itemfeedback&gt;"),"")</f>
      </c>
      <c r="BH38" s="46">
        <f>IF($B38,IF(AY38="","","    &lt;itemfeedback ident=""response_5"" view=""All""&gt;&lt;flow_mat&gt;&lt;material&gt;&lt;mattext texttype=""text/html""&gt;"&amp;AY38&amp;"&lt;/mattext&gt;&lt;/material&gt;&lt;/flow_mat&gt;&lt;/itemfeedback&gt;"),"")</f>
      </c>
      <c r="BI38" s="46">
        <f>IF($B38,IF(AZ38="","","    &lt;itemfeedback ident=""response_6"" view=""All""&gt;&lt;flow_mat&gt;&lt;material&gt;&lt;mattext texttype=""text/html""&gt;"&amp;AZ38&amp;"&lt;/mattext&gt;&lt;/material&gt;&lt;/flow_mat&gt;&lt;/itemfeedback&gt;"),"")</f>
      </c>
      <c r="BJ38" s="46">
        <f>IF($B38,IF(BA38="","","    &lt;itemfeedback ident=""response_7"" view=""All""&gt;&lt;flow_mat&gt;&lt;material&gt;&lt;mattext texttype=""text/html""&gt;"&amp;BA38&amp;"&lt;/mattext&gt;&lt;/material&gt;&lt;/flow_mat&gt;&lt;/itemfeedback&gt;"),"")</f>
      </c>
    </row>
    <row r="39" ht="18" customHeight="1" s="17">
      <c r="A39" s="46">
        <f>Saisie_Questions!A39</f>
        <v/>
      </c>
      <c r="B39" s="46">
        <f>Saisie_Questions!O39="OK"</f>
        <v/>
      </c>
      <c r="C39" s="46">
        <f>LOWER(TRIM(Saisie_Questions!B39))</f>
        <v/>
      </c>
      <c r="D39" s="46">
        <f>IF(C39="qcu","SINGLE CHOICE QUESTION","MULTIPLE CHOICE QUESTION")</f>
        <v/>
      </c>
      <c r="E39" s="46">
        <f>IF(C39="qcu","Single","Multiple")</f>
        <v/>
      </c>
      <c r="F39" s="46">
        <f>IF(A39="","",SUBSTITUTE(SUBSTITUTE(SUBSTITUTE(SUBSTITUTE(SUBSTITUTE(IF(Saisie_Questions!C39="", "Question "&amp;A39, Saisie_Questions!C39),"&amp;","&amp;amp;"),"&lt;","&amp;lt;"),"&gt;","&amp;gt;"),CHAR(34),"&amp;quot;"),"'","&amp;apos;"))</f>
        <v/>
      </c>
      <c r="G39" s="46">
        <f>IF(A39="","",SUBSTITUTE(SUBSTITUTE(SUBSTITUTE(SUBSTITUTE(SUBSTITUTE(Saisie_Questions!D39,"&amp;","&amp;amp;"),"&lt;","&amp;lt;"),"&gt;","&amp;gt;"),CHAR(34),"&amp;quot;"),"'","&amp;apos;"))</f>
        <v/>
      </c>
      <c r="H39" s="46">
        <f>Saisie_Questions!N39</f>
        <v/>
      </c>
      <c r="I39" s="46">
        <f>IF(Saisie_Questions!E39="",0,1)+IF(Saisie_Questions!F39="",0,1)+IF(Saisie_Questions!G39="",0,1)+IF(Saisie_Questions!H39="",0,1)+IF(Saisie_Questions!I39="",0,1)+IF(Saisie_Questions!J39="",0,1)+IF(Saisie_Questions!K39="",0,1)+IF(Saisie_Questions!L39="",0,1)</f>
        <v/>
      </c>
      <c r="J39" s="46">
        <f>Saisie_Questions!M39</f>
        <v/>
      </c>
      <c r="K39" s="46">
        <f>Saisie_Questions!O39</f>
        <v/>
      </c>
      <c r="L39" s="46">
        <f>IF(Saisie_Questions!E39="","",SUBSTITUTE(SUBSTITUTE(SUBSTITUTE(SUBSTITUTE(SUBSTITUTE(Saisie_Questions!E39,"&amp;","&amp;amp;"),"&lt;","&amp;lt;"),"&gt;","&amp;gt;"),CHAR(34),"&amp;quot;"),"'","&amp;apos;"))</f>
        <v/>
      </c>
      <c r="M39" s="46">
        <f>IF(Saisie_Questions!F39="","",SUBSTITUTE(SUBSTITUTE(SUBSTITUTE(SUBSTITUTE(SUBSTITUTE(Saisie_Questions!F39,"&amp;","&amp;amp;"),"&lt;","&amp;lt;"),"&gt;","&amp;gt;"),CHAR(34),"&amp;quot;"),"'","&amp;apos;"))</f>
        <v/>
      </c>
      <c r="N39" s="46">
        <f>IF(Saisie_Questions!G39="","",SUBSTITUTE(SUBSTITUTE(SUBSTITUTE(SUBSTITUTE(SUBSTITUTE(Saisie_Questions!G39,"&amp;","&amp;amp;"),"&lt;","&amp;lt;"),"&gt;","&amp;gt;"),CHAR(34),"&amp;quot;"),"'","&amp;apos;"))</f>
        <v/>
      </c>
      <c r="O39" s="46">
        <f>IF(Saisie_Questions!H39="","",SUBSTITUTE(SUBSTITUTE(SUBSTITUTE(SUBSTITUTE(SUBSTITUTE(Saisie_Questions!H39,"&amp;","&amp;amp;"),"&lt;","&amp;lt;"),"&gt;","&amp;gt;"),CHAR(34),"&amp;quot;"),"'","&amp;apos;"))</f>
        <v/>
      </c>
      <c r="P39" s="46">
        <f>IF(Saisie_Questions!I39="","",SUBSTITUTE(SUBSTITUTE(SUBSTITUTE(SUBSTITUTE(SUBSTITUTE(Saisie_Questions!I39,"&amp;","&amp;amp;"),"&lt;","&amp;lt;"),"&gt;","&amp;gt;"),CHAR(34),"&amp;quot;"),"'","&amp;apos;"))</f>
        <v/>
      </c>
      <c r="Q39" s="46">
        <f>IF(Saisie_Questions!J39="","",SUBSTITUTE(SUBSTITUTE(SUBSTITUTE(SUBSTITUTE(SUBSTITUTE(Saisie_Questions!J39,"&amp;","&amp;amp;"),"&lt;","&amp;lt;"),"&gt;","&amp;gt;"),CHAR(34),"&amp;quot;"),"'","&amp;apos;"))</f>
        <v/>
      </c>
      <c r="R39" s="46">
        <f>IF(Saisie_Questions!K39="","",SUBSTITUTE(SUBSTITUTE(SUBSTITUTE(SUBSTITUTE(SUBSTITUTE(Saisie_Questions!K39,"&amp;","&amp;amp;"),"&lt;","&amp;lt;"),"&gt;","&amp;gt;"),CHAR(34),"&amp;quot;"),"'","&amp;apos;"))</f>
        <v/>
      </c>
      <c r="S39" s="46">
        <f>IF(Saisie_Questions!L39="","",SUBSTITUTE(SUBSTITUTE(SUBSTITUTE(SUBSTITUTE(SUBSTITUTE(Saisie_Questions!L39,"&amp;","&amp;amp;"),"&lt;","&amp;lt;"),"&gt;","&amp;gt;"),CHAR(34),"&amp;quot;"),"'","&amp;apos;"))</f>
        <v/>
      </c>
      <c r="T39" s="46">
        <f>ISNUMBER(SEARCH(";"&amp;1&amp;";",";"&amp;$J39&amp;";"))</f>
        <v/>
      </c>
      <c r="U39" s="46">
        <f>ISNUMBER(SEARCH(";"&amp;2&amp;";",";"&amp;$J39&amp;";"))</f>
        <v/>
      </c>
      <c r="V39" s="46">
        <f>ISNUMBER(SEARCH(";"&amp;3&amp;";",";"&amp;$J39&amp;";"))</f>
        <v/>
      </c>
      <c r="W39" s="46">
        <f>ISNUMBER(SEARCH(";"&amp;4&amp;";",";"&amp;$J39&amp;";"))</f>
        <v/>
      </c>
      <c r="X39" s="46">
        <f>ISNUMBER(SEARCH(";"&amp;5&amp;";",";"&amp;$J39&amp;";"))</f>
        <v/>
      </c>
      <c r="Y39" s="46">
        <f>ISNUMBER(SEARCH(";"&amp;6&amp;";",";"&amp;$J39&amp;";"))</f>
        <v/>
      </c>
      <c r="Z39" s="46">
        <f>ISNUMBER(SEARCH(";"&amp;7&amp;";",";"&amp;$J39&amp;";"))</f>
        <v/>
      </c>
      <c r="AA39" s="46">
        <f>ISNUMBER(SEARCH(";"&amp;8&amp;";",";"&amp;$J39&amp;";"))</f>
        <v/>
      </c>
      <c r="AB39" s="46">
        <f>IF($B39,IF(L39="","","        &lt;response_label ident=""0""&gt;&lt;material&gt;&lt;mattext texttype=""text/html""&gt;"&amp;L39&amp;"&lt;/mattext&gt;&lt;/material&gt;&lt;/response_label&gt;"),"")</f>
        <v/>
      </c>
      <c r="AC39" s="46">
        <f>IF($B39,IF(M39="","","        &lt;response_label ident=""1""&gt;&lt;material&gt;&lt;mattext texttype=""text/html""&gt;"&amp;M39&amp;"&lt;/mattext&gt;&lt;/material&gt;&lt;/response_label&gt;"),"")</f>
        <v/>
      </c>
      <c r="AD39" s="46">
        <f>IF($B39,IF(N39="","","        &lt;response_label ident=""2""&gt;&lt;material&gt;&lt;mattext texttype=""text/html""&gt;"&amp;N39&amp;"&lt;/mattext&gt;&lt;/material&gt;&lt;/response_label&gt;"),"")</f>
        <v/>
      </c>
      <c r="AE39" s="46">
        <f>IF($B39,IF(O39="","","        &lt;response_label ident=""3""&gt;&lt;material&gt;&lt;mattext texttype=""text/html""&gt;"&amp;O39&amp;"&lt;/mattext&gt;&lt;/material&gt;&lt;/response_label&gt;"),"")</f>
        <v/>
      </c>
      <c r="AF39" s="46">
        <f>IF($B39,IF(P39="","","        &lt;response_label ident=""4""&gt;&lt;material&gt;&lt;mattext texttype=""text/html""&gt;"&amp;P39&amp;"&lt;/mattext&gt;&lt;/material&gt;&lt;/response_label&gt;"),"")</f>
        <v/>
      </c>
      <c r="AG39" s="46">
        <f>IF($B39,IF(Q39="","","        &lt;response_label ident=""5""&gt;&lt;material&gt;&lt;mattext texttype=""text/html""&gt;"&amp;Q39&amp;"&lt;/mattext&gt;&lt;/material&gt;&lt;/response_label&gt;"),"")</f>
        <v/>
      </c>
      <c r="AH39" s="46">
        <f>IF($B39,IF(R39="","","        &lt;response_label ident=""6""&gt;&lt;material&gt;&lt;mattext texttype=""text/html""&gt;"&amp;R39&amp;"&lt;/mattext&gt;&lt;/material&gt;&lt;/response_label&gt;"),"")</f>
        <v/>
      </c>
      <c r="AI39" s="46">
        <f>IF($B39,IF(S39="","","        &lt;response_label ident=""7""&gt;&lt;material&gt;&lt;mattext texttype=""text/html""&gt;"&amp;S39&amp;"&lt;/mattext&gt;&lt;/material&gt;&lt;/response_label&gt;"),"")</f>
        <v/>
      </c>
      <c r="AJ39" s="46">
        <f>IF($B39,IF(L39="","",IF($C39="qcu",IF(OR(T39,AT39&lt;&gt;"",$AS39&lt;&gt;""),"      &lt;respcondition continue=""Yes""&gt;&lt;conditionvar&gt;&lt;varequal respident=""RESPONSE""&gt;0&lt;/varequal&gt;&lt;/conditionvar&gt;"&amp;"&lt;setvar action=""Add""&gt;"&amp;IF(T39,$H39,0)&amp;"&lt;/setvar&gt;"&amp;IF(AT39&lt;&gt;"","&lt;displayfeedback feedbacktype=""Response"" linkrefid=""response_0""/&gt;",IF($AS39&lt;&gt;"","&lt;displayfeedback feedbacktype=""Response"" linkrefid=""qti_feedback_trigger""/&gt;",""))&amp;"&lt;/respcondition&gt;",""),IF(OR(T39,AT39&lt;&gt;"",$AS39&lt;&gt;""),"      &lt;respcondition continue=""Yes""&gt;&lt;conditionvar&gt;"&amp;IF(T39,"&lt;varequal respident=""RESPONSE""&gt;0&lt;/varequal&gt;","&lt;not&gt;&lt;varequal respident=""RESPONSE""&gt;0&lt;/varequal&gt;&lt;/not&gt;")&amp;"&lt;/conditionvar&gt;&lt;setvar action=""Add""&gt;"&amp;(Saisie_Questions!$N39/$I39)&amp;"&lt;/setvar&gt;"&amp;IF(AT39&lt;&gt;"","&lt;displayfeedback feedbacktype=""Response"" linkrefid=""response_0""/&gt;",IF($AS39&lt;&gt;"","&lt;displayfeedback feedbacktype=""Response"" linkrefid=""qti_feedback_trigger""/&gt;",""))&amp;"&lt;/respcondition&gt;",""))),"")</f>
      </c>
      <c r="AK39" s="46">
        <f>IF($B39,IF(M39="","",IF($C39="qcu",IF(OR(U39,AU39&lt;&gt;"",$AS39&lt;&gt;""),"      &lt;respcondition continue=""Yes""&gt;&lt;conditionvar&gt;&lt;varequal respident=""RESPONSE""&gt;1&lt;/varequal&gt;&lt;/conditionvar&gt;"&amp;"&lt;setvar action=""Add""&gt;"&amp;IF(U39,$H39,0)&amp;"&lt;/setvar&gt;"&amp;IF(AU39&lt;&gt;"","&lt;displayfeedback feedbacktype=""Response"" linkrefid=""response_1""/&gt;",IF($AS39&lt;&gt;"","&lt;displayfeedback feedbacktype=""Response"" linkrefid=""qti_feedback_trigger""/&gt;",""))&amp;"&lt;/respcondition&gt;",""),IF(OR(U39,AU39&lt;&gt;"",$AS39&lt;&gt;""),"      &lt;respcondition continue=""Yes""&gt;&lt;conditionvar&gt;"&amp;IF(U39,"&lt;varequal respident=""RESPONSE""&gt;1&lt;/varequal&gt;","&lt;not&gt;&lt;varequal respident=""RESPONSE""&gt;1&lt;/varequal&gt;&lt;/not&gt;")&amp;"&lt;/conditionvar&gt;&lt;setvar action=""Add""&gt;"&amp;(Saisie_Questions!$N39/$I39)&amp;"&lt;/setvar&gt;"&amp;IF(AU39&lt;&gt;"","&lt;displayfeedback feedbacktype=""Response"" linkrefid=""response_1""/&gt;",IF($AS39&lt;&gt;"","&lt;displayfeedback feedbacktype=""Response"" linkrefid=""qti_feedback_trigger""/&gt;",""))&amp;"&lt;/respcondition&gt;",""))),"")</f>
      </c>
      <c r="AL39" s="46">
        <f>IF($B39,IF(N39="","",IF($C39="qcu",IF(OR(V39,AV39&lt;&gt;"",$AS39&lt;&gt;""),"      &lt;respcondition continue=""Yes""&gt;&lt;conditionvar&gt;&lt;varequal respident=""RESPONSE""&gt;2&lt;/varequal&gt;&lt;/conditionvar&gt;"&amp;"&lt;setvar action=""Add""&gt;"&amp;IF(V39,$H39,0)&amp;"&lt;/setvar&gt;"&amp;IF(AV39&lt;&gt;"","&lt;displayfeedback feedbacktype=""Response"" linkrefid=""response_2""/&gt;",IF($AS39&lt;&gt;"","&lt;displayfeedback feedbacktype=""Response"" linkrefid=""qti_feedback_trigger""/&gt;",""))&amp;"&lt;/respcondition&gt;",""),IF(OR(V39,AV39&lt;&gt;"",$AS39&lt;&gt;""),"      &lt;respcondition continue=""Yes""&gt;&lt;conditionvar&gt;"&amp;IF(V39,"&lt;varequal respident=""RESPONSE""&gt;2&lt;/varequal&gt;","&lt;not&gt;&lt;varequal respident=""RESPONSE""&gt;2&lt;/varequal&gt;&lt;/not&gt;")&amp;"&lt;/conditionvar&gt;&lt;setvar action=""Add""&gt;"&amp;(Saisie_Questions!$N39/$I39)&amp;"&lt;/setvar&gt;"&amp;IF(AV39&lt;&gt;"","&lt;displayfeedback feedbacktype=""Response"" linkrefid=""response_2""/&gt;",IF($AS39&lt;&gt;"","&lt;displayfeedback feedbacktype=""Response"" linkrefid=""qti_feedback_trigger""/&gt;",""))&amp;"&lt;/respcondition&gt;",""))),"")</f>
      </c>
      <c r="AM39" s="46">
        <f>IF($B39,IF(O39="","",IF($C39="qcu",IF(OR(W39,AW39&lt;&gt;"",$AS39&lt;&gt;""),"      &lt;respcondition continue=""Yes""&gt;&lt;conditionvar&gt;&lt;varequal respident=""RESPONSE""&gt;3&lt;/varequal&gt;&lt;/conditionvar&gt;"&amp;"&lt;setvar action=""Add""&gt;"&amp;IF(W39,$H39,0)&amp;"&lt;/setvar&gt;"&amp;IF(AW39&lt;&gt;"","&lt;displayfeedback feedbacktype=""Response"" linkrefid=""response_3""/&gt;",IF($AS39&lt;&gt;"","&lt;displayfeedback feedbacktype=""Response"" linkrefid=""qti_feedback_trigger""/&gt;",""))&amp;"&lt;/respcondition&gt;",""),IF(OR(W39,AW39&lt;&gt;"",$AS39&lt;&gt;""),"      &lt;respcondition continue=""Yes""&gt;&lt;conditionvar&gt;"&amp;IF(W39,"&lt;varequal respident=""RESPONSE""&gt;3&lt;/varequal&gt;","&lt;not&gt;&lt;varequal respident=""RESPONSE""&gt;3&lt;/varequal&gt;&lt;/not&gt;")&amp;"&lt;/conditionvar&gt;&lt;setvar action=""Add""&gt;"&amp;(Saisie_Questions!$N39/$I39)&amp;"&lt;/setvar&gt;"&amp;IF(AW39&lt;&gt;"","&lt;displayfeedback feedbacktype=""Response"" linkrefid=""response_3""/&gt;",IF($AS39&lt;&gt;"","&lt;displayfeedback feedbacktype=""Response"" linkrefid=""qti_feedback_trigger""/&gt;",""))&amp;"&lt;/respcondition&gt;",""))),"")</f>
      </c>
      <c r="AN39" s="46">
        <f>IF($B39,IF(P39="","",IF($C39="qcu",IF(OR(X39,AX39&lt;&gt;"",$AS39&lt;&gt;""),"      &lt;respcondition continue=""Yes""&gt;&lt;conditionvar&gt;&lt;varequal respident=""RESPONSE""&gt;4&lt;/varequal&gt;&lt;/conditionvar&gt;"&amp;"&lt;setvar action=""Add""&gt;"&amp;IF(X39,$H39,0)&amp;"&lt;/setvar&gt;"&amp;IF(AX39&lt;&gt;"","&lt;displayfeedback feedbacktype=""Response"" linkrefid=""response_4""/&gt;",IF($AS39&lt;&gt;"","&lt;displayfeedback feedbacktype=""Response"" linkrefid=""qti_feedback_trigger""/&gt;",""))&amp;"&lt;/respcondition&gt;",""),IF(OR(X39,AX39&lt;&gt;"",$AS39&lt;&gt;""),"      &lt;respcondition continue=""Yes""&gt;&lt;conditionvar&gt;"&amp;IF(X39,"&lt;varequal respident=""RESPONSE""&gt;4&lt;/varequal&gt;","&lt;not&gt;&lt;varequal respident=""RESPONSE""&gt;4&lt;/varequal&gt;&lt;/not&gt;")&amp;"&lt;/conditionvar&gt;&lt;setvar action=""Add""&gt;"&amp;(Saisie_Questions!$N39/$I39)&amp;"&lt;/setvar&gt;"&amp;IF(AX39&lt;&gt;"","&lt;displayfeedback feedbacktype=""Response"" linkrefid=""response_4""/&gt;",IF($AS39&lt;&gt;"","&lt;displayfeedback feedbacktype=""Response"" linkrefid=""qti_feedback_trigger""/&gt;",""))&amp;"&lt;/respcondition&gt;",""))),"")</f>
      </c>
      <c r="AO39" s="46">
        <f>IF($B39,IF(Q39="","",IF($C39="qcu",IF(OR(Y39,AY39&lt;&gt;"",$AS39&lt;&gt;""),"      &lt;respcondition continue=""Yes""&gt;&lt;conditionvar&gt;&lt;varequal respident=""RESPONSE""&gt;5&lt;/varequal&gt;&lt;/conditionvar&gt;"&amp;"&lt;setvar action=""Add""&gt;"&amp;IF(Y39,$H39,0)&amp;"&lt;/setvar&gt;"&amp;IF(AY39&lt;&gt;"","&lt;displayfeedback feedbacktype=""Response"" linkrefid=""response_5""/&gt;",IF($AS39&lt;&gt;"","&lt;displayfeedback feedbacktype=""Response"" linkrefid=""qti_feedback_trigger""/&gt;",""))&amp;"&lt;/respcondition&gt;",""),IF(OR(Y39,AY39&lt;&gt;"",$AS39&lt;&gt;""),"      &lt;respcondition continue=""Yes""&gt;&lt;conditionvar&gt;"&amp;IF(Y39,"&lt;varequal respident=""RESPONSE""&gt;5&lt;/varequal&gt;","&lt;not&gt;&lt;varequal respident=""RESPONSE""&gt;5&lt;/varequal&gt;&lt;/not&gt;")&amp;"&lt;/conditionvar&gt;&lt;setvar action=""Add""&gt;"&amp;(Saisie_Questions!$N39/$I39)&amp;"&lt;/setvar&gt;"&amp;IF(AY39&lt;&gt;"","&lt;displayfeedback feedbacktype=""Response"" linkrefid=""response_5""/&gt;",IF($AS39&lt;&gt;"","&lt;displayfeedback feedbacktype=""Response"" linkrefid=""qti_feedback_trigger""/&gt;",""))&amp;"&lt;/respcondition&gt;",""))),"")</f>
      </c>
      <c r="AP39" s="46">
        <f>IF($B39,IF(R39="","",IF($C39="qcu",IF(OR(Z39,AZ39&lt;&gt;"",$AS39&lt;&gt;""),"      &lt;respcondition continue=""Yes""&gt;&lt;conditionvar&gt;&lt;varequal respident=""RESPONSE""&gt;6&lt;/varequal&gt;&lt;/conditionvar&gt;"&amp;"&lt;setvar action=""Add""&gt;"&amp;IF(Z39,$H39,0)&amp;"&lt;/setvar&gt;"&amp;IF(AZ39&lt;&gt;"","&lt;displayfeedback feedbacktype=""Response"" linkrefid=""response_6""/&gt;",IF($AS39&lt;&gt;"","&lt;displayfeedback feedbacktype=""Response"" linkrefid=""qti_feedback_trigger""/&gt;",""))&amp;"&lt;/respcondition&gt;",""),IF(OR(Z39,AZ39&lt;&gt;"",$AS39&lt;&gt;""),"      &lt;respcondition continue=""Yes""&gt;&lt;conditionvar&gt;"&amp;IF(Z39,"&lt;varequal respident=""RESPONSE""&gt;6&lt;/varequal&gt;","&lt;not&gt;&lt;varequal respident=""RESPONSE""&gt;6&lt;/varequal&gt;&lt;/not&gt;")&amp;"&lt;/conditionvar&gt;&lt;setvar action=""Add""&gt;"&amp;(Saisie_Questions!$N39/$I39)&amp;"&lt;/setvar&gt;"&amp;IF(AZ39&lt;&gt;"","&lt;displayfeedback feedbacktype=""Response"" linkrefid=""response_6""/&gt;",IF($AS39&lt;&gt;"","&lt;displayfeedback feedbacktype=""Response"" linkrefid=""qti_feedback_trigger""/&gt;",""))&amp;"&lt;/respcondition&gt;",""))),"")</f>
      </c>
      <c r="AQ39" s="46">
        <f>IF($B39,IF(S39="","",IF($C39="qcu",IF(OR(AA39,BA39&lt;&gt;"",$AS39&lt;&gt;""),"      &lt;respcondition continue=""Yes""&gt;&lt;conditionvar&gt;&lt;varequal respident=""RESPONSE""&gt;7&lt;/varequal&gt;&lt;/conditionvar&gt;"&amp;"&lt;setvar action=""Add""&gt;"&amp;IF(AA39,$H39,0)&amp;"&lt;/setvar&gt;"&amp;IF(BA39&lt;&gt;"","&lt;displayfeedback feedbacktype=""Response"" linkrefid=""response_7""/&gt;",IF($AS39&lt;&gt;"","&lt;displayfeedback feedbacktype=""Response"" linkrefid=""qti_feedback_trigger""/&gt;",""))&amp;"&lt;/respcondition&gt;",""),IF(OR(AA39,BA39&lt;&gt;"",$AS39&lt;&gt;""),"      &lt;respcondition continue=""Yes""&gt;&lt;conditionvar&gt;"&amp;IF(AA39,"&lt;varequal respident=""RESPONSE""&gt;7&lt;/varequal&gt;","&lt;not&gt;&lt;varequal respident=""RESPONSE""&gt;7&lt;/varequal&gt;&lt;/not&gt;")&amp;"&lt;/conditionvar&gt;&lt;setvar action=""Add""&gt;"&amp;(Saisie_Questions!$N39/$I39)&amp;"&lt;/setvar&gt;"&amp;IF(BA39&lt;&gt;"","&lt;displayfeedback feedbacktype=""Response"" linkrefid=""response_7""/&gt;",IF($AS39&lt;&gt;"","&lt;displayfeedback feedbacktype=""Response"" linkrefid=""qti_feedback_trigger""/&gt;",""))&amp;"&lt;/respcondition&gt;",""))),"")</f>
      </c>
      <c r="AR39" s="46">
        <f>IF(A39="","",SUBSTITUTE(SUBSTITUTE(SUBSTITUTE(SUBSTITUTE(SUBSTITUTE(IF(Saisie_Questions!P39&lt;&gt;"",Saisie_Questions!P39,Interface_Generation!$B$5),"&amp;","&amp;amp;"),"&lt;","&amp;lt;"),"&gt;","&amp;gt;"),CHAR(34),"&amp;quot;"),"'","&amp;apos;"))</f>
        <v/>
      </c>
      <c r="AS39" s="46">
        <f>IF(Saisie_Questions!Q39="","",SUBSTITUTE(SUBSTITUTE(SUBSTITUTE(SUBSTITUTE(SUBSTITUTE(Saisie_Questions!Q39,"&amp;","&amp;amp;"),"&lt;","&amp;lt;"),"&gt;","&amp;gt;"),CHAR(34),"&amp;quot;"),"'","&amp;apos;"))</f>
        <v/>
      </c>
      <c r="AT39" s="46">
        <f>IF(Saisie_Questions!R39="","",SUBSTITUTE(SUBSTITUTE(SUBSTITUTE(SUBSTITUTE(SUBSTITUTE(Saisie_Questions!R39,"&amp;","&amp;amp;"),"&lt;","&amp;lt;"),"&gt;","&amp;gt;"),CHAR(34),"&amp;quot;"),"'","&amp;apos;"))</f>
        <v/>
      </c>
      <c r="AU39" s="46">
        <f>IF(Saisie_Questions!S39="","",SUBSTITUTE(SUBSTITUTE(SUBSTITUTE(SUBSTITUTE(SUBSTITUTE(Saisie_Questions!S39,"&amp;","&amp;amp;"),"&lt;","&amp;lt;"),"&gt;","&amp;gt;"),CHAR(34),"&amp;quot;"),"'","&amp;apos;"))</f>
        <v/>
      </c>
      <c r="AV39" s="46">
        <f>IF(Saisie_Questions!T39="","",SUBSTITUTE(SUBSTITUTE(SUBSTITUTE(SUBSTITUTE(SUBSTITUTE(Saisie_Questions!T39,"&amp;","&amp;amp;"),"&lt;","&amp;lt;"),"&gt;","&amp;gt;"),CHAR(34),"&amp;quot;"),"'","&amp;apos;"))</f>
        <v/>
      </c>
      <c r="AW39" s="46">
        <f>IF(Saisie_Questions!U39="","",SUBSTITUTE(SUBSTITUTE(SUBSTITUTE(SUBSTITUTE(SUBSTITUTE(Saisie_Questions!U39,"&amp;","&amp;amp;"),"&lt;","&amp;lt;"),"&gt;","&amp;gt;"),CHAR(34),"&amp;quot;"),"'","&amp;apos;"))</f>
        <v/>
      </c>
      <c r="AX39" s="46">
        <f>IF(Saisie_Questions!V39="","",SUBSTITUTE(SUBSTITUTE(SUBSTITUTE(SUBSTITUTE(SUBSTITUTE(Saisie_Questions!V39,"&amp;","&amp;amp;"),"&lt;","&amp;lt;"),"&gt;","&amp;gt;"),CHAR(34),"&amp;quot;"),"'","&amp;apos;"))</f>
        <v/>
      </c>
      <c r="AY39" s="46">
        <f>IF(Saisie_Questions!W39="","",SUBSTITUTE(SUBSTITUTE(SUBSTITUTE(SUBSTITUTE(SUBSTITUTE(Saisie_Questions!W39,"&amp;","&amp;amp;"),"&lt;","&amp;lt;"),"&gt;","&amp;gt;"),CHAR(34),"&amp;quot;"),"'","&amp;apos;"))</f>
        <v/>
      </c>
      <c r="AZ39" s="46">
        <f>IF(Saisie_Questions!X39="","",SUBSTITUTE(SUBSTITUTE(SUBSTITUTE(SUBSTITUTE(SUBSTITUTE(Saisie_Questions!X39,"&amp;","&amp;amp;"),"&lt;","&amp;lt;"),"&gt;","&amp;gt;"),CHAR(34),"&amp;quot;"),"'","&amp;apos;"))</f>
        <v/>
      </c>
      <c r="BA39" s="46">
        <f>IF(Saisie_Questions!Y39="","",SUBSTITUTE(SUBSTITUTE(SUBSTITUTE(SUBSTITUTE(SUBSTITUTE(Saisie_Questions!Y39,"&amp;","&amp;amp;"),"&lt;","&amp;lt;"),"&gt;","&amp;gt;"),CHAR(34),"&amp;quot;"),"'","&amp;apos;"))</f>
        <v/>
      </c>
      <c r="BB39" s="46">
        <f>IF($B39,IF($AS39="","","    &lt;itemfeedback ident=""response_allcorrect"" view=""All""&gt;&lt;flow_mat&gt;&lt;material&gt;&lt;mattext texttype=""text/html""&gt;"&amp;$AS39&amp;"&lt;/mattext&gt;&lt;/material&gt;&lt;/flow_mat&gt;&lt;/itemfeedback&gt;"&amp;"    &lt;itemfeedback ident=""response_onenotcorrect"" view=""All""&gt;&lt;flow_mat&gt;&lt;material&gt;&lt;mattext texttype=""text/html""&gt;"&amp;$AS39&amp;"&lt;/mattext&gt;&lt;/material&gt;&lt;/flow_mat&gt;&lt;/itemfeedback&gt;"),"")</f>
      </c>
      <c r="BC39" s="46">
        <f>IF($B39,IF(AT39="","","    &lt;itemfeedback ident=""response_0"" view=""All""&gt;&lt;flow_mat&gt;&lt;material&gt;&lt;mattext texttype=""text/html""&gt;"&amp;AT39&amp;"&lt;/mattext&gt;&lt;/material&gt;&lt;/flow_mat&gt;&lt;/itemfeedback&gt;"),"")</f>
      </c>
      <c r="BD39" s="46">
        <f>IF($B39,IF(AU39="","","    &lt;itemfeedback ident=""response_1"" view=""All""&gt;&lt;flow_mat&gt;&lt;material&gt;&lt;mattext texttype=""text/html""&gt;"&amp;AU39&amp;"&lt;/mattext&gt;&lt;/material&gt;&lt;/flow_mat&gt;&lt;/itemfeedback&gt;"),"")</f>
      </c>
      <c r="BE39" s="46">
        <f>IF($B39,IF(AV39="","","    &lt;itemfeedback ident=""response_2"" view=""All""&gt;&lt;flow_mat&gt;&lt;material&gt;&lt;mattext texttype=""text/html""&gt;"&amp;AV39&amp;"&lt;/mattext&gt;&lt;/material&gt;&lt;/flow_mat&gt;&lt;/itemfeedback&gt;"),"")</f>
      </c>
      <c r="BF39" s="46">
        <f>IF($B39,IF(AW39="","","    &lt;itemfeedback ident=""response_3"" view=""All""&gt;&lt;flow_mat&gt;&lt;material&gt;&lt;mattext texttype=""text/html""&gt;"&amp;AW39&amp;"&lt;/mattext&gt;&lt;/material&gt;&lt;/flow_mat&gt;&lt;/itemfeedback&gt;"),"")</f>
      </c>
      <c r="BG39" s="46">
        <f>IF($B39,IF(AX39="","","    &lt;itemfeedback ident=""response_4"" view=""All""&gt;&lt;flow_mat&gt;&lt;material&gt;&lt;mattext texttype=""text/html""&gt;"&amp;AX39&amp;"&lt;/mattext&gt;&lt;/material&gt;&lt;/flow_mat&gt;&lt;/itemfeedback&gt;"),"")</f>
      </c>
      <c r="BH39" s="46">
        <f>IF($B39,IF(AY39="","","    &lt;itemfeedback ident=""response_5"" view=""All""&gt;&lt;flow_mat&gt;&lt;material&gt;&lt;mattext texttype=""text/html""&gt;"&amp;AY39&amp;"&lt;/mattext&gt;&lt;/material&gt;&lt;/flow_mat&gt;&lt;/itemfeedback&gt;"),"")</f>
      </c>
      <c r="BI39" s="46">
        <f>IF($B39,IF(AZ39="","","    &lt;itemfeedback ident=""response_6"" view=""All""&gt;&lt;flow_mat&gt;&lt;material&gt;&lt;mattext texttype=""text/html""&gt;"&amp;AZ39&amp;"&lt;/mattext&gt;&lt;/material&gt;&lt;/flow_mat&gt;&lt;/itemfeedback&gt;"),"")</f>
      </c>
      <c r="BJ39" s="46">
        <f>IF($B39,IF(BA39="","","    &lt;itemfeedback ident=""response_7"" view=""All""&gt;&lt;flow_mat&gt;&lt;material&gt;&lt;mattext texttype=""text/html""&gt;"&amp;BA39&amp;"&lt;/mattext&gt;&lt;/material&gt;&lt;/flow_mat&gt;&lt;/itemfeedback&gt;"),"")</f>
      </c>
    </row>
    <row r="40" ht="18" customHeight="1" s="17">
      <c r="A40" s="46">
        <f>Saisie_Questions!A40</f>
        <v/>
      </c>
      <c r="B40" s="46">
        <f>Saisie_Questions!O40="OK"</f>
        <v/>
      </c>
      <c r="C40" s="46">
        <f>LOWER(TRIM(Saisie_Questions!B40))</f>
        <v/>
      </c>
      <c r="D40" s="46">
        <f>IF(C40="qcu","SINGLE CHOICE QUESTION","MULTIPLE CHOICE QUESTION")</f>
        <v/>
      </c>
      <c r="E40" s="46">
        <f>IF(C40="qcu","Single","Multiple")</f>
        <v/>
      </c>
      <c r="F40" s="46">
        <f>IF(A40="","",SUBSTITUTE(SUBSTITUTE(SUBSTITUTE(SUBSTITUTE(SUBSTITUTE(IF(Saisie_Questions!C40="", "Question "&amp;A40, Saisie_Questions!C40),"&amp;","&amp;amp;"),"&lt;","&amp;lt;"),"&gt;","&amp;gt;"),CHAR(34),"&amp;quot;"),"'","&amp;apos;"))</f>
        <v/>
      </c>
      <c r="G40" s="46">
        <f>IF(A40="","",SUBSTITUTE(SUBSTITUTE(SUBSTITUTE(SUBSTITUTE(SUBSTITUTE(Saisie_Questions!D40,"&amp;","&amp;amp;"),"&lt;","&amp;lt;"),"&gt;","&amp;gt;"),CHAR(34),"&amp;quot;"),"'","&amp;apos;"))</f>
        <v/>
      </c>
      <c r="H40" s="46">
        <f>Saisie_Questions!N40</f>
        <v/>
      </c>
      <c r="I40" s="46">
        <f>IF(Saisie_Questions!E40="",0,1)+IF(Saisie_Questions!F40="",0,1)+IF(Saisie_Questions!G40="",0,1)+IF(Saisie_Questions!H40="",0,1)+IF(Saisie_Questions!I40="",0,1)+IF(Saisie_Questions!J40="",0,1)+IF(Saisie_Questions!K40="",0,1)+IF(Saisie_Questions!L40="",0,1)</f>
        <v/>
      </c>
      <c r="J40" s="46">
        <f>Saisie_Questions!M40</f>
        <v/>
      </c>
      <c r="K40" s="46">
        <f>Saisie_Questions!O40</f>
        <v/>
      </c>
      <c r="L40" s="46">
        <f>IF(Saisie_Questions!E40="","",SUBSTITUTE(SUBSTITUTE(SUBSTITUTE(SUBSTITUTE(SUBSTITUTE(Saisie_Questions!E40,"&amp;","&amp;amp;"),"&lt;","&amp;lt;"),"&gt;","&amp;gt;"),CHAR(34),"&amp;quot;"),"'","&amp;apos;"))</f>
        <v/>
      </c>
      <c r="M40" s="46">
        <f>IF(Saisie_Questions!F40="","",SUBSTITUTE(SUBSTITUTE(SUBSTITUTE(SUBSTITUTE(SUBSTITUTE(Saisie_Questions!F40,"&amp;","&amp;amp;"),"&lt;","&amp;lt;"),"&gt;","&amp;gt;"),CHAR(34),"&amp;quot;"),"'","&amp;apos;"))</f>
        <v/>
      </c>
      <c r="N40" s="46">
        <f>IF(Saisie_Questions!G40="","",SUBSTITUTE(SUBSTITUTE(SUBSTITUTE(SUBSTITUTE(SUBSTITUTE(Saisie_Questions!G40,"&amp;","&amp;amp;"),"&lt;","&amp;lt;"),"&gt;","&amp;gt;"),CHAR(34),"&amp;quot;"),"'","&amp;apos;"))</f>
        <v/>
      </c>
      <c r="O40" s="46">
        <f>IF(Saisie_Questions!H40="","",SUBSTITUTE(SUBSTITUTE(SUBSTITUTE(SUBSTITUTE(SUBSTITUTE(Saisie_Questions!H40,"&amp;","&amp;amp;"),"&lt;","&amp;lt;"),"&gt;","&amp;gt;"),CHAR(34),"&amp;quot;"),"'","&amp;apos;"))</f>
        <v/>
      </c>
      <c r="P40" s="46">
        <f>IF(Saisie_Questions!I40="","",SUBSTITUTE(SUBSTITUTE(SUBSTITUTE(SUBSTITUTE(SUBSTITUTE(Saisie_Questions!I40,"&amp;","&amp;amp;"),"&lt;","&amp;lt;"),"&gt;","&amp;gt;"),CHAR(34),"&amp;quot;"),"'","&amp;apos;"))</f>
        <v/>
      </c>
      <c r="Q40" s="46">
        <f>IF(Saisie_Questions!J40="","",SUBSTITUTE(SUBSTITUTE(SUBSTITUTE(SUBSTITUTE(SUBSTITUTE(Saisie_Questions!J40,"&amp;","&amp;amp;"),"&lt;","&amp;lt;"),"&gt;","&amp;gt;"),CHAR(34),"&amp;quot;"),"'","&amp;apos;"))</f>
        <v/>
      </c>
      <c r="R40" s="46">
        <f>IF(Saisie_Questions!K40="","",SUBSTITUTE(SUBSTITUTE(SUBSTITUTE(SUBSTITUTE(SUBSTITUTE(Saisie_Questions!K40,"&amp;","&amp;amp;"),"&lt;","&amp;lt;"),"&gt;","&amp;gt;"),CHAR(34),"&amp;quot;"),"'","&amp;apos;"))</f>
        <v/>
      </c>
      <c r="S40" s="46">
        <f>IF(Saisie_Questions!L40="","",SUBSTITUTE(SUBSTITUTE(SUBSTITUTE(SUBSTITUTE(SUBSTITUTE(Saisie_Questions!L40,"&amp;","&amp;amp;"),"&lt;","&amp;lt;"),"&gt;","&amp;gt;"),CHAR(34),"&amp;quot;"),"'","&amp;apos;"))</f>
        <v/>
      </c>
      <c r="T40" s="46">
        <f>ISNUMBER(SEARCH(";"&amp;1&amp;";",";"&amp;$J40&amp;";"))</f>
        <v/>
      </c>
      <c r="U40" s="46">
        <f>ISNUMBER(SEARCH(";"&amp;2&amp;";",";"&amp;$J40&amp;";"))</f>
        <v/>
      </c>
      <c r="V40" s="46">
        <f>ISNUMBER(SEARCH(";"&amp;3&amp;";",";"&amp;$J40&amp;";"))</f>
        <v/>
      </c>
      <c r="W40" s="46">
        <f>ISNUMBER(SEARCH(";"&amp;4&amp;";",";"&amp;$J40&amp;";"))</f>
        <v/>
      </c>
      <c r="X40" s="46">
        <f>ISNUMBER(SEARCH(";"&amp;5&amp;";",";"&amp;$J40&amp;";"))</f>
        <v/>
      </c>
      <c r="Y40" s="46">
        <f>ISNUMBER(SEARCH(";"&amp;6&amp;";",";"&amp;$J40&amp;";"))</f>
        <v/>
      </c>
      <c r="Z40" s="46">
        <f>ISNUMBER(SEARCH(";"&amp;7&amp;";",";"&amp;$J40&amp;";"))</f>
        <v/>
      </c>
      <c r="AA40" s="46">
        <f>ISNUMBER(SEARCH(";"&amp;8&amp;";",";"&amp;$J40&amp;";"))</f>
        <v/>
      </c>
      <c r="AB40" s="46">
        <f>IF($B40,IF(L40="","","        &lt;response_label ident=""0""&gt;&lt;material&gt;&lt;mattext texttype=""text/html""&gt;"&amp;L40&amp;"&lt;/mattext&gt;&lt;/material&gt;&lt;/response_label&gt;"),"")</f>
        <v/>
      </c>
      <c r="AC40" s="46">
        <f>IF($B40,IF(M40="","","        &lt;response_label ident=""1""&gt;&lt;material&gt;&lt;mattext texttype=""text/html""&gt;"&amp;M40&amp;"&lt;/mattext&gt;&lt;/material&gt;&lt;/response_label&gt;"),"")</f>
        <v/>
      </c>
      <c r="AD40" s="46">
        <f>IF($B40,IF(N40="","","        &lt;response_label ident=""2""&gt;&lt;material&gt;&lt;mattext texttype=""text/html""&gt;"&amp;N40&amp;"&lt;/mattext&gt;&lt;/material&gt;&lt;/response_label&gt;"),"")</f>
        <v/>
      </c>
      <c r="AE40" s="46">
        <f>IF($B40,IF(O40="","","        &lt;response_label ident=""3""&gt;&lt;material&gt;&lt;mattext texttype=""text/html""&gt;"&amp;O40&amp;"&lt;/mattext&gt;&lt;/material&gt;&lt;/response_label&gt;"),"")</f>
        <v/>
      </c>
      <c r="AF40" s="46">
        <f>IF($B40,IF(P40="","","        &lt;response_label ident=""4""&gt;&lt;material&gt;&lt;mattext texttype=""text/html""&gt;"&amp;P40&amp;"&lt;/mattext&gt;&lt;/material&gt;&lt;/response_label&gt;"),"")</f>
        <v/>
      </c>
      <c r="AG40" s="46">
        <f>IF($B40,IF(Q40="","","        &lt;response_label ident=""5""&gt;&lt;material&gt;&lt;mattext texttype=""text/html""&gt;"&amp;Q40&amp;"&lt;/mattext&gt;&lt;/material&gt;&lt;/response_label&gt;"),"")</f>
        <v/>
      </c>
      <c r="AH40" s="46">
        <f>IF($B40,IF(R40="","","        &lt;response_label ident=""6""&gt;&lt;material&gt;&lt;mattext texttype=""text/html""&gt;"&amp;R40&amp;"&lt;/mattext&gt;&lt;/material&gt;&lt;/response_label&gt;"),"")</f>
        <v/>
      </c>
      <c r="AI40" s="46">
        <f>IF($B40,IF(S40="","","        &lt;response_label ident=""7""&gt;&lt;material&gt;&lt;mattext texttype=""text/html""&gt;"&amp;S40&amp;"&lt;/mattext&gt;&lt;/material&gt;&lt;/response_label&gt;"),"")</f>
        <v/>
      </c>
      <c r="AJ40" s="46">
        <f>IF($B40,IF(L40="","",IF($C40="qcu",IF(OR(T40,AT40&lt;&gt;"",$AS40&lt;&gt;""),"      &lt;respcondition continue=""Yes""&gt;&lt;conditionvar&gt;&lt;varequal respident=""RESPONSE""&gt;0&lt;/varequal&gt;&lt;/conditionvar&gt;"&amp;"&lt;setvar action=""Add""&gt;"&amp;IF(T40,$H40,0)&amp;"&lt;/setvar&gt;"&amp;IF(AT40&lt;&gt;"","&lt;displayfeedback feedbacktype=""Response"" linkrefid=""response_0""/&gt;",IF($AS40&lt;&gt;"","&lt;displayfeedback feedbacktype=""Response"" linkrefid=""qti_feedback_trigger""/&gt;",""))&amp;"&lt;/respcondition&gt;",""),IF(OR(T40,AT40&lt;&gt;"",$AS40&lt;&gt;""),"      &lt;respcondition continue=""Yes""&gt;&lt;conditionvar&gt;"&amp;IF(T40,"&lt;varequal respident=""RESPONSE""&gt;0&lt;/varequal&gt;","&lt;not&gt;&lt;varequal respident=""RESPONSE""&gt;0&lt;/varequal&gt;&lt;/not&gt;")&amp;"&lt;/conditionvar&gt;&lt;setvar action=""Add""&gt;"&amp;(Saisie_Questions!$N40/$I40)&amp;"&lt;/setvar&gt;"&amp;IF(AT40&lt;&gt;"","&lt;displayfeedback feedbacktype=""Response"" linkrefid=""response_0""/&gt;",IF($AS40&lt;&gt;"","&lt;displayfeedback feedbacktype=""Response"" linkrefid=""qti_feedback_trigger""/&gt;",""))&amp;"&lt;/respcondition&gt;",""))),"")</f>
      </c>
      <c r="AK40" s="46">
        <f>IF($B40,IF(M40="","",IF($C40="qcu",IF(OR(U40,AU40&lt;&gt;"",$AS40&lt;&gt;""),"      &lt;respcondition continue=""Yes""&gt;&lt;conditionvar&gt;&lt;varequal respident=""RESPONSE""&gt;1&lt;/varequal&gt;&lt;/conditionvar&gt;"&amp;"&lt;setvar action=""Add""&gt;"&amp;IF(U40,$H40,0)&amp;"&lt;/setvar&gt;"&amp;IF(AU40&lt;&gt;"","&lt;displayfeedback feedbacktype=""Response"" linkrefid=""response_1""/&gt;",IF($AS40&lt;&gt;"","&lt;displayfeedback feedbacktype=""Response"" linkrefid=""qti_feedback_trigger""/&gt;",""))&amp;"&lt;/respcondition&gt;",""),IF(OR(U40,AU40&lt;&gt;"",$AS40&lt;&gt;""),"      &lt;respcondition continue=""Yes""&gt;&lt;conditionvar&gt;"&amp;IF(U40,"&lt;varequal respident=""RESPONSE""&gt;1&lt;/varequal&gt;","&lt;not&gt;&lt;varequal respident=""RESPONSE""&gt;1&lt;/varequal&gt;&lt;/not&gt;")&amp;"&lt;/conditionvar&gt;&lt;setvar action=""Add""&gt;"&amp;(Saisie_Questions!$N40/$I40)&amp;"&lt;/setvar&gt;"&amp;IF(AU40&lt;&gt;"","&lt;displayfeedback feedbacktype=""Response"" linkrefid=""response_1""/&gt;",IF($AS40&lt;&gt;"","&lt;displayfeedback feedbacktype=""Response"" linkrefid=""qti_feedback_trigger""/&gt;",""))&amp;"&lt;/respcondition&gt;",""))),"")</f>
      </c>
      <c r="AL40" s="46">
        <f>IF($B40,IF(N40="","",IF($C40="qcu",IF(OR(V40,AV40&lt;&gt;"",$AS40&lt;&gt;""),"      &lt;respcondition continue=""Yes""&gt;&lt;conditionvar&gt;&lt;varequal respident=""RESPONSE""&gt;2&lt;/varequal&gt;&lt;/conditionvar&gt;"&amp;"&lt;setvar action=""Add""&gt;"&amp;IF(V40,$H40,0)&amp;"&lt;/setvar&gt;"&amp;IF(AV40&lt;&gt;"","&lt;displayfeedback feedbacktype=""Response"" linkrefid=""response_2""/&gt;",IF($AS40&lt;&gt;"","&lt;displayfeedback feedbacktype=""Response"" linkrefid=""qti_feedback_trigger""/&gt;",""))&amp;"&lt;/respcondition&gt;",""),IF(OR(V40,AV40&lt;&gt;"",$AS40&lt;&gt;""),"      &lt;respcondition continue=""Yes""&gt;&lt;conditionvar&gt;"&amp;IF(V40,"&lt;varequal respident=""RESPONSE""&gt;2&lt;/varequal&gt;","&lt;not&gt;&lt;varequal respident=""RESPONSE""&gt;2&lt;/varequal&gt;&lt;/not&gt;")&amp;"&lt;/conditionvar&gt;&lt;setvar action=""Add""&gt;"&amp;(Saisie_Questions!$N40/$I40)&amp;"&lt;/setvar&gt;"&amp;IF(AV40&lt;&gt;"","&lt;displayfeedback feedbacktype=""Response"" linkrefid=""response_2""/&gt;",IF($AS40&lt;&gt;"","&lt;displayfeedback feedbacktype=""Response"" linkrefid=""qti_feedback_trigger""/&gt;",""))&amp;"&lt;/respcondition&gt;",""))),"")</f>
      </c>
      <c r="AM40" s="46">
        <f>IF($B40,IF(O40="","",IF($C40="qcu",IF(OR(W40,AW40&lt;&gt;"",$AS40&lt;&gt;""),"      &lt;respcondition continue=""Yes""&gt;&lt;conditionvar&gt;&lt;varequal respident=""RESPONSE""&gt;3&lt;/varequal&gt;&lt;/conditionvar&gt;"&amp;"&lt;setvar action=""Add""&gt;"&amp;IF(W40,$H40,0)&amp;"&lt;/setvar&gt;"&amp;IF(AW40&lt;&gt;"","&lt;displayfeedback feedbacktype=""Response"" linkrefid=""response_3""/&gt;",IF($AS40&lt;&gt;"","&lt;displayfeedback feedbacktype=""Response"" linkrefid=""qti_feedback_trigger""/&gt;",""))&amp;"&lt;/respcondition&gt;",""),IF(OR(W40,AW40&lt;&gt;"",$AS40&lt;&gt;""),"      &lt;respcondition continue=""Yes""&gt;&lt;conditionvar&gt;"&amp;IF(W40,"&lt;varequal respident=""RESPONSE""&gt;3&lt;/varequal&gt;","&lt;not&gt;&lt;varequal respident=""RESPONSE""&gt;3&lt;/varequal&gt;&lt;/not&gt;")&amp;"&lt;/conditionvar&gt;&lt;setvar action=""Add""&gt;"&amp;(Saisie_Questions!$N40/$I40)&amp;"&lt;/setvar&gt;"&amp;IF(AW40&lt;&gt;"","&lt;displayfeedback feedbacktype=""Response"" linkrefid=""response_3""/&gt;",IF($AS40&lt;&gt;"","&lt;displayfeedback feedbacktype=""Response"" linkrefid=""qti_feedback_trigger""/&gt;",""))&amp;"&lt;/respcondition&gt;",""))),"")</f>
      </c>
      <c r="AN40" s="46">
        <f>IF($B40,IF(P40="","",IF($C40="qcu",IF(OR(X40,AX40&lt;&gt;"",$AS40&lt;&gt;""),"      &lt;respcondition continue=""Yes""&gt;&lt;conditionvar&gt;&lt;varequal respident=""RESPONSE""&gt;4&lt;/varequal&gt;&lt;/conditionvar&gt;"&amp;"&lt;setvar action=""Add""&gt;"&amp;IF(X40,$H40,0)&amp;"&lt;/setvar&gt;"&amp;IF(AX40&lt;&gt;"","&lt;displayfeedback feedbacktype=""Response"" linkrefid=""response_4""/&gt;",IF($AS40&lt;&gt;"","&lt;displayfeedback feedbacktype=""Response"" linkrefid=""qti_feedback_trigger""/&gt;",""))&amp;"&lt;/respcondition&gt;",""),IF(OR(X40,AX40&lt;&gt;"",$AS40&lt;&gt;""),"      &lt;respcondition continue=""Yes""&gt;&lt;conditionvar&gt;"&amp;IF(X40,"&lt;varequal respident=""RESPONSE""&gt;4&lt;/varequal&gt;","&lt;not&gt;&lt;varequal respident=""RESPONSE""&gt;4&lt;/varequal&gt;&lt;/not&gt;")&amp;"&lt;/conditionvar&gt;&lt;setvar action=""Add""&gt;"&amp;(Saisie_Questions!$N40/$I40)&amp;"&lt;/setvar&gt;"&amp;IF(AX40&lt;&gt;"","&lt;displayfeedback feedbacktype=""Response"" linkrefid=""response_4""/&gt;",IF($AS40&lt;&gt;"","&lt;displayfeedback feedbacktype=""Response"" linkrefid=""qti_feedback_trigger""/&gt;",""))&amp;"&lt;/respcondition&gt;",""))),"")</f>
      </c>
      <c r="AO40" s="46">
        <f>IF($B40,IF(Q40="","",IF($C40="qcu",IF(OR(Y40,AY40&lt;&gt;"",$AS40&lt;&gt;""),"      &lt;respcondition continue=""Yes""&gt;&lt;conditionvar&gt;&lt;varequal respident=""RESPONSE""&gt;5&lt;/varequal&gt;&lt;/conditionvar&gt;"&amp;"&lt;setvar action=""Add""&gt;"&amp;IF(Y40,$H40,0)&amp;"&lt;/setvar&gt;"&amp;IF(AY40&lt;&gt;"","&lt;displayfeedback feedbacktype=""Response"" linkrefid=""response_5""/&gt;",IF($AS40&lt;&gt;"","&lt;displayfeedback feedbacktype=""Response"" linkrefid=""qti_feedback_trigger""/&gt;",""))&amp;"&lt;/respcondition&gt;",""),IF(OR(Y40,AY40&lt;&gt;"",$AS40&lt;&gt;""),"      &lt;respcondition continue=""Yes""&gt;&lt;conditionvar&gt;"&amp;IF(Y40,"&lt;varequal respident=""RESPONSE""&gt;5&lt;/varequal&gt;","&lt;not&gt;&lt;varequal respident=""RESPONSE""&gt;5&lt;/varequal&gt;&lt;/not&gt;")&amp;"&lt;/conditionvar&gt;&lt;setvar action=""Add""&gt;"&amp;(Saisie_Questions!$N40/$I40)&amp;"&lt;/setvar&gt;"&amp;IF(AY40&lt;&gt;"","&lt;displayfeedback feedbacktype=""Response"" linkrefid=""response_5""/&gt;",IF($AS40&lt;&gt;"","&lt;displayfeedback feedbacktype=""Response"" linkrefid=""qti_feedback_trigger""/&gt;",""))&amp;"&lt;/respcondition&gt;",""))),"")</f>
      </c>
      <c r="AP40" s="46">
        <f>IF($B40,IF(R40="","",IF($C40="qcu",IF(OR(Z40,AZ40&lt;&gt;"",$AS40&lt;&gt;""),"      &lt;respcondition continue=""Yes""&gt;&lt;conditionvar&gt;&lt;varequal respident=""RESPONSE""&gt;6&lt;/varequal&gt;&lt;/conditionvar&gt;"&amp;"&lt;setvar action=""Add""&gt;"&amp;IF(Z40,$H40,0)&amp;"&lt;/setvar&gt;"&amp;IF(AZ40&lt;&gt;"","&lt;displayfeedback feedbacktype=""Response"" linkrefid=""response_6""/&gt;",IF($AS40&lt;&gt;"","&lt;displayfeedback feedbacktype=""Response"" linkrefid=""qti_feedback_trigger""/&gt;",""))&amp;"&lt;/respcondition&gt;",""),IF(OR(Z40,AZ40&lt;&gt;"",$AS40&lt;&gt;""),"      &lt;respcondition continue=""Yes""&gt;&lt;conditionvar&gt;"&amp;IF(Z40,"&lt;varequal respident=""RESPONSE""&gt;6&lt;/varequal&gt;","&lt;not&gt;&lt;varequal respident=""RESPONSE""&gt;6&lt;/varequal&gt;&lt;/not&gt;")&amp;"&lt;/conditionvar&gt;&lt;setvar action=""Add""&gt;"&amp;(Saisie_Questions!$N40/$I40)&amp;"&lt;/setvar&gt;"&amp;IF(AZ40&lt;&gt;"","&lt;displayfeedback feedbacktype=""Response"" linkrefid=""response_6""/&gt;",IF($AS40&lt;&gt;"","&lt;displayfeedback feedbacktype=""Response"" linkrefid=""qti_feedback_trigger""/&gt;",""))&amp;"&lt;/respcondition&gt;",""))),"")</f>
      </c>
      <c r="AQ40" s="46">
        <f>IF($B40,IF(S40="","",IF($C40="qcu",IF(OR(AA40,BA40&lt;&gt;"",$AS40&lt;&gt;""),"      &lt;respcondition continue=""Yes""&gt;&lt;conditionvar&gt;&lt;varequal respident=""RESPONSE""&gt;7&lt;/varequal&gt;&lt;/conditionvar&gt;"&amp;"&lt;setvar action=""Add""&gt;"&amp;IF(AA40,$H40,0)&amp;"&lt;/setvar&gt;"&amp;IF(BA40&lt;&gt;"","&lt;displayfeedback feedbacktype=""Response"" linkrefid=""response_7""/&gt;",IF($AS40&lt;&gt;"","&lt;displayfeedback feedbacktype=""Response"" linkrefid=""qti_feedback_trigger""/&gt;",""))&amp;"&lt;/respcondition&gt;",""),IF(OR(AA40,BA40&lt;&gt;"",$AS40&lt;&gt;""),"      &lt;respcondition continue=""Yes""&gt;&lt;conditionvar&gt;"&amp;IF(AA40,"&lt;varequal respident=""RESPONSE""&gt;7&lt;/varequal&gt;","&lt;not&gt;&lt;varequal respident=""RESPONSE""&gt;7&lt;/varequal&gt;&lt;/not&gt;")&amp;"&lt;/conditionvar&gt;&lt;setvar action=""Add""&gt;"&amp;(Saisie_Questions!$N40/$I40)&amp;"&lt;/setvar&gt;"&amp;IF(BA40&lt;&gt;"","&lt;displayfeedback feedbacktype=""Response"" linkrefid=""response_7""/&gt;",IF($AS40&lt;&gt;"","&lt;displayfeedback feedbacktype=""Response"" linkrefid=""qti_feedback_trigger""/&gt;",""))&amp;"&lt;/respcondition&gt;",""))),"")</f>
      </c>
      <c r="AR40" s="46">
        <f>IF(A40="","",SUBSTITUTE(SUBSTITUTE(SUBSTITUTE(SUBSTITUTE(SUBSTITUTE(IF(Saisie_Questions!P40&lt;&gt;"",Saisie_Questions!P40,Interface_Generation!$B$5),"&amp;","&amp;amp;"),"&lt;","&amp;lt;"),"&gt;","&amp;gt;"),CHAR(34),"&amp;quot;"),"'","&amp;apos;"))</f>
        <v/>
      </c>
      <c r="AS40" s="46">
        <f>IF(Saisie_Questions!Q40="","",SUBSTITUTE(SUBSTITUTE(SUBSTITUTE(SUBSTITUTE(SUBSTITUTE(Saisie_Questions!Q40,"&amp;","&amp;amp;"),"&lt;","&amp;lt;"),"&gt;","&amp;gt;"),CHAR(34),"&amp;quot;"),"'","&amp;apos;"))</f>
        <v/>
      </c>
      <c r="AT40" s="46">
        <f>IF(Saisie_Questions!R40="","",SUBSTITUTE(SUBSTITUTE(SUBSTITUTE(SUBSTITUTE(SUBSTITUTE(Saisie_Questions!R40,"&amp;","&amp;amp;"),"&lt;","&amp;lt;"),"&gt;","&amp;gt;"),CHAR(34),"&amp;quot;"),"'","&amp;apos;"))</f>
        <v/>
      </c>
      <c r="AU40" s="46">
        <f>IF(Saisie_Questions!S40="","",SUBSTITUTE(SUBSTITUTE(SUBSTITUTE(SUBSTITUTE(SUBSTITUTE(Saisie_Questions!S40,"&amp;","&amp;amp;"),"&lt;","&amp;lt;"),"&gt;","&amp;gt;"),CHAR(34),"&amp;quot;"),"'","&amp;apos;"))</f>
        <v/>
      </c>
      <c r="AV40" s="46">
        <f>IF(Saisie_Questions!T40="","",SUBSTITUTE(SUBSTITUTE(SUBSTITUTE(SUBSTITUTE(SUBSTITUTE(Saisie_Questions!T40,"&amp;","&amp;amp;"),"&lt;","&amp;lt;"),"&gt;","&amp;gt;"),CHAR(34),"&amp;quot;"),"'","&amp;apos;"))</f>
        <v/>
      </c>
      <c r="AW40" s="46">
        <f>IF(Saisie_Questions!U40="","",SUBSTITUTE(SUBSTITUTE(SUBSTITUTE(SUBSTITUTE(SUBSTITUTE(Saisie_Questions!U40,"&amp;","&amp;amp;"),"&lt;","&amp;lt;"),"&gt;","&amp;gt;"),CHAR(34),"&amp;quot;"),"'","&amp;apos;"))</f>
        <v/>
      </c>
      <c r="AX40" s="46">
        <f>IF(Saisie_Questions!V40="","",SUBSTITUTE(SUBSTITUTE(SUBSTITUTE(SUBSTITUTE(SUBSTITUTE(Saisie_Questions!V40,"&amp;","&amp;amp;"),"&lt;","&amp;lt;"),"&gt;","&amp;gt;"),CHAR(34),"&amp;quot;"),"'","&amp;apos;"))</f>
        <v/>
      </c>
      <c r="AY40" s="46">
        <f>IF(Saisie_Questions!W40="","",SUBSTITUTE(SUBSTITUTE(SUBSTITUTE(SUBSTITUTE(SUBSTITUTE(Saisie_Questions!W40,"&amp;","&amp;amp;"),"&lt;","&amp;lt;"),"&gt;","&amp;gt;"),CHAR(34),"&amp;quot;"),"'","&amp;apos;"))</f>
        <v/>
      </c>
      <c r="AZ40" s="46">
        <f>IF(Saisie_Questions!X40="","",SUBSTITUTE(SUBSTITUTE(SUBSTITUTE(SUBSTITUTE(SUBSTITUTE(Saisie_Questions!X40,"&amp;","&amp;amp;"),"&lt;","&amp;lt;"),"&gt;","&amp;gt;"),CHAR(34),"&amp;quot;"),"'","&amp;apos;"))</f>
        <v/>
      </c>
      <c r="BA40" s="46">
        <f>IF(Saisie_Questions!Y40="","",SUBSTITUTE(SUBSTITUTE(SUBSTITUTE(SUBSTITUTE(SUBSTITUTE(Saisie_Questions!Y40,"&amp;","&amp;amp;"),"&lt;","&amp;lt;"),"&gt;","&amp;gt;"),CHAR(34),"&amp;quot;"),"'","&amp;apos;"))</f>
        <v/>
      </c>
      <c r="BB40" s="46">
        <f>IF($B40,IF($AS40="","","    &lt;itemfeedback ident=""response_allcorrect"" view=""All""&gt;&lt;flow_mat&gt;&lt;material&gt;&lt;mattext texttype=""text/html""&gt;"&amp;$AS40&amp;"&lt;/mattext&gt;&lt;/material&gt;&lt;/flow_mat&gt;&lt;/itemfeedback&gt;"&amp;"    &lt;itemfeedback ident=""response_onenotcorrect"" view=""All""&gt;&lt;flow_mat&gt;&lt;material&gt;&lt;mattext texttype=""text/html""&gt;"&amp;$AS40&amp;"&lt;/mattext&gt;&lt;/material&gt;&lt;/flow_mat&gt;&lt;/itemfeedback&gt;"),"")</f>
      </c>
      <c r="BC40" s="46">
        <f>IF($B40,IF(AT40="","","    &lt;itemfeedback ident=""response_0"" view=""All""&gt;&lt;flow_mat&gt;&lt;material&gt;&lt;mattext texttype=""text/html""&gt;"&amp;AT40&amp;"&lt;/mattext&gt;&lt;/material&gt;&lt;/flow_mat&gt;&lt;/itemfeedback&gt;"),"")</f>
      </c>
      <c r="BD40" s="46">
        <f>IF($B40,IF(AU40="","","    &lt;itemfeedback ident=""response_1"" view=""All""&gt;&lt;flow_mat&gt;&lt;material&gt;&lt;mattext texttype=""text/html""&gt;"&amp;AU40&amp;"&lt;/mattext&gt;&lt;/material&gt;&lt;/flow_mat&gt;&lt;/itemfeedback&gt;"),"")</f>
      </c>
      <c r="BE40" s="46">
        <f>IF($B40,IF(AV40="","","    &lt;itemfeedback ident=""response_2"" view=""All""&gt;&lt;flow_mat&gt;&lt;material&gt;&lt;mattext texttype=""text/html""&gt;"&amp;AV40&amp;"&lt;/mattext&gt;&lt;/material&gt;&lt;/flow_mat&gt;&lt;/itemfeedback&gt;"),"")</f>
      </c>
      <c r="BF40" s="46">
        <f>IF($B40,IF(AW40="","","    &lt;itemfeedback ident=""response_3"" view=""All""&gt;&lt;flow_mat&gt;&lt;material&gt;&lt;mattext texttype=""text/html""&gt;"&amp;AW40&amp;"&lt;/mattext&gt;&lt;/material&gt;&lt;/flow_mat&gt;&lt;/itemfeedback&gt;"),"")</f>
      </c>
      <c r="BG40" s="46">
        <f>IF($B40,IF(AX40="","","    &lt;itemfeedback ident=""response_4"" view=""All""&gt;&lt;flow_mat&gt;&lt;material&gt;&lt;mattext texttype=""text/html""&gt;"&amp;AX40&amp;"&lt;/mattext&gt;&lt;/material&gt;&lt;/flow_mat&gt;&lt;/itemfeedback&gt;"),"")</f>
      </c>
      <c r="BH40" s="46">
        <f>IF($B40,IF(AY40="","","    &lt;itemfeedback ident=""response_5"" view=""All""&gt;&lt;flow_mat&gt;&lt;material&gt;&lt;mattext texttype=""text/html""&gt;"&amp;AY40&amp;"&lt;/mattext&gt;&lt;/material&gt;&lt;/flow_mat&gt;&lt;/itemfeedback&gt;"),"")</f>
      </c>
      <c r="BI40" s="46">
        <f>IF($B40,IF(AZ40="","","    &lt;itemfeedback ident=""response_6"" view=""All""&gt;&lt;flow_mat&gt;&lt;material&gt;&lt;mattext texttype=""text/html""&gt;"&amp;AZ40&amp;"&lt;/mattext&gt;&lt;/material&gt;&lt;/flow_mat&gt;&lt;/itemfeedback&gt;"),"")</f>
      </c>
      <c r="BJ40" s="46">
        <f>IF($B40,IF(BA40="","","    &lt;itemfeedback ident=""response_7"" view=""All""&gt;&lt;flow_mat&gt;&lt;material&gt;&lt;mattext texttype=""text/html""&gt;"&amp;BA40&amp;"&lt;/mattext&gt;&lt;/material&gt;&lt;/flow_mat&gt;&lt;/itemfeedback&gt;"),"")</f>
      </c>
    </row>
    <row r="41" ht="18" customHeight="1" s="17">
      <c r="A41" s="46">
        <f>Saisie_Questions!A41</f>
        <v/>
      </c>
      <c r="B41" s="46">
        <f>Saisie_Questions!O41="OK"</f>
        <v/>
      </c>
      <c r="C41" s="46">
        <f>LOWER(TRIM(Saisie_Questions!B41))</f>
        <v/>
      </c>
      <c r="D41" s="46">
        <f>IF(C41="qcu","SINGLE CHOICE QUESTION","MULTIPLE CHOICE QUESTION")</f>
        <v/>
      </c>
      <c r="E41" s="46">
        <f>IF(C41="qcu","Single","Multiple")</f>
        <v/>
      </c>
      <c r="F41" s="46">
        <f>IF(A41="","",SUBSTITUTE(SUBSTITUTE(SUBSTITUTE(SUBSTITUTE(SUBSTITUTE(IF(Saisie_Questions!C41="", "Question "&amp;A41, Saisie_Questions!C41),"&amp;","&amp;amp;"),"&lt;","&amp;lt;"),"&gt;","&amp;gt;"),CHAR(34),"&amp;quot;"),"'","&amp;apos;"))</f>
        <v/>
      </c>
      <c r="G41" s="46">
        <f>IF(A41="","",SUBSTITUTE(SUBSTITUTE(SUBSTITUTE(SUBSTITUTE(SUBSTITUTE(Saisie_Questions!D41,"&amp;","&amp;amp;"),"&lt;","&amp;lt;"),"&gt;","&amp;gt;"),CHAR(34),"&amp;quot;"),"'","&amp;apos;"))</f>
        <v/>
      </c>
      <c r="H41" s="46">
        <f>Saisie_Questions!N41</f>
        <v/>
      </c>
      <c r="I41" s="46">
        <f>IF(Saisie_Questions!E41="",0,1)+IF(Saisie_Questions!F41="",0,1)+IF(Saisie_Questions!G41="",0,1)+IF(Saisie_Questions!H41="",0,1)+IF(Saisie_Questions!I41="",0,1)+IF(Saisie_Questions!J41="",0,1)+IF(Saisie_Questions!K41="",0,1)+IF(Saisie_Questions!L41="",0,1)</f>
        <v/>
      </c>
      <c r="J41" s="46">
        <f>Saisie_Questions!M41</f>
        <v/>
      </c>
      <c r="K41" s="46">
        <f>Saisie_Questions!O41</f>
        <v/>
      </c>
      <c r="L41" s="46">
        <f>IF(Saisie_Questions!E41="","",SUBSTITUTE(SUBSTITUTE(SUBSTITUTE(SUBSTITUTE(SUBSTITUTE(Saisie_Questions!E41,"&amp;","&amp;amp;"),"&lt;","&amp;lt;"),"&gt;","&amp;gt;"),CHAR(34),"&amp;quot;"),"'","&amp;apos;"))</f>
        <v/>
      </c>
      <c r="M41" s="46">
        <f>IF(Saisie_Questions!F41="","",SUBSTITUTE(SUBSTITUTE(SUBSTITUTE(SUBSTITUTE(SUBSTITUTE(Saisie_Questions!F41,"&amp;","&amp;amp;"),"&lt;","&amp;lt;"),"&gt;","&amp;gt;"),CHAR(34),"&amp;quot;"),"'","&amp;apos;"))</f>
        <v/>
      </c>
      <c r="N41" s="46">
        <f>IF(Saisie_Questions!G41="","",SUBSTITUTE(SUBSTITUTE(SUBSTITUTE(SUBSTITUTE(SUBSTITUTE(Saisie_Questions!G41,"&amp;","&amp;amp;"),"&lt;","&amp;lt;"),"&gt;","&amp;gt;"),CHAR(34),"&amp;quot;"),"'","&amp;apos;"))</f>
        <v/>
      </c>
      <c r="O41" s="46">
        <f>IF(Saisie_Questions!H41="","",SUBSTITUTE(SUBSTITUTE(SUBSTITUTE(SUBSTITUTE(SUBSTITUTE(Saisie_Questions!H41,"&amp;","&amp;amp;"),"&lt;","&amp;lt;"),"&gt;","&amp;gt;"),CHAR(34),"&amp;quot;"),"'","&amp;apos;"))</f>
        <v/>
      </c>
      <c r="P41" s="46">
        <f>IF(Saisie_Questions!I41="","",SUBSTITUTE(SUBSTITUTE(SUBSTITUTE(SUBSTITUTE(SUBSTITUTE(Saisie_Questions!I41,"&amp;","&amp;amp;"),"&lt;","&amp;lt;"),"&gt;","&amp;gt;"),CHAR(34),"&amp;quot;"),"'","&amp;apos;"))</f>
        <v/>
      </c>
      <c r="Q41" s="46">
        <f>IF(Saisie_Questions!J41="","",SUBSTITUTE(SUBSTITUTE(SUBSTITUTE(SUBSTITUTE(SUBSTITUTE(Saisie_Questions!J41,"&amp;","&amp;amp;"),"&lt;","&amp;lt;"),"&gt;","&amp;gt;"),CHAR(34),"&amp;quot;"),"'","&amp;apos;"))</f>
        <v/>
      </c>
      <c r="R41" s="46">
        <f>IF(Saisie_Questions!K41="","",SUBSTITUTE(SUBSTITUTE(SUBSTITUTE(SUBSTITUTE(SUBSTITUTE(Saisie_Questions!K41,"&amp;","&amp;amp;"),"&lt;","&amp;lt;"),"&gt;","&amp;gt;"),CHAR(34),"&amp;quot;"),"'","&amp;apos;"))</f>
        <v/>
      </c>
      <c r="S41" s="46">
        <f>IF(Saisie_Questions!L41="","",SUBSTITUTE(SUBSTITUTE(SUBSTITUTE(SUBSTITUTE(SUBSTITUTE(Saisie_Questions!L41,"&amp;","&amp;amp;"),"&lt;","&amp;lt;"),"&gt;","&amp;gt;"),CHAR(34),"&amp;quot;"),"'","&amp;apos;"))</f>
        <v/>
      </c>
      <c r="T41" s="46">
        <f>ISNUMBER(SEARCH(";"&amp;1&amp;";",";"&amp;$J41&amp;";"))</f>
        <v/>
      </c>
      <c r="U41" s="46">
        <f>ISNUMBER(SEARCH(";"&amp;2&amp;";",";"&amp;$J41&amp;";"))</f>
        <v/>
      </c>
      <c r="V41" s="46">
        <f>ISNUMBER(SEARCH(";"&amp;3&amp;";",";"&amp;$J41&amp;";"))</f>
        <v/>
      </c>
      <c r="W41" s="46">
        <f>ISNUMBER(SEARCH(";"&amp;4&amp;";",";"&amp;$J41&amp;";"))</f>
        <v/>
      </c>
      <c r="X41" s="46">
        <f>ISNUMBER(SEARCH(";"&amp;5&amp;";",";"&amp;$J41&amp;";"))</f>
        <v/>
      </c>
      <c r="Y41" s="46">
        <f>ISNUMBER(SEARCH(";"&amp;6&amp;";",";"&amp;$J41&amp;";"))</f>
        <v/>
      </c>
      <c r="Z41" s="46">
        <f>ISNUMBER(SEARCH(";"&amp;7&amp;";",";"&amp;$J41&amp;";"))</f>
        <v/>
      </c>
      <c r="AA41" s="46">
        <f>ISNUMBER(SEARCH(";"&amp;8&amp;";",";"&amp;$J41&amp;";"))</f>
        <v/>
      </c>
      <c r="AB41" s="46">
        <f>IF($B41,IF(L41="","","        &lt;response_label ident=""0""&gt;&lt;material&gt;&lt;mattext texttype=""text/html""&gt;"&amp;L41&amp;"&lt;/mattext&gt;&lt;/material&gt;&lt;/response_label&gt;"),"")</f>
        <v/>
      </c>
      <c r="AC41" s="46">
        <f>IF($B41,IF(M41="","","        &lt;response_label ident=""1""&gt;&lt;material&gt;&lt;mattext texttype=""text/html""&gt;"&amp;M41&amp;"&lt;/mattext&gt;&lt;/material&gt;&lt;/response_label&gt;"),"")</f>
        <v/>
      </c>
      <c r="AD41" s="46">
        <f>IF($B41,IF(N41="","","        &lt;response_label ident=""2""&gt;&lt;material&gt;&lt;mattext texttype=""text/html""&gt;"&amp;N41&amp;"&lt;/mattext&gt;&lt;/material&gt;&lt;/response_label&gt;"),"")</f>
        <v/>
      </c>
      <c r="AE41" s="46">
        <f>IF($B41,IF(O41="","","        &lt;response_label ident=""3""&gt;&lt;material&gt;&lt;mattext texttype=""text/html""&gt;"&amp;O41&amp;"&lt;/mattext&gt;&lt;/material&gt;&lt;/response_label&gt;"),"")</f>
        <v/>
      </c>
      <c r="AF41" s="46">
        <f>IF($B41,IF(P41="","","        &lt;response_label ident=""4""&gt;&lt;material&gt;&lt;mattext texttype=""text/html""&gt;"&amp;P41&amp;"&lt;/mattext&gt;&lt;/material&gt;&lt;/response_label&gt;"),"")</f>
        <v/>
      </c>
      <c r="AG41" s="46">
        <f>IF($B41,IF(Q41="","","        &lt;response_label ident=""5""&gt;&lt;material&gt;&lt;mattext texttype=""text/html""&gt;"&amp;Q41&amp;"&lt;/mattext&gt;&lt;/material&gt;&lt;/response_label&gt;"),"")</f>
        <v/>
      </c>
      <c r="AH41" s="46">
        <f>IF($B41,IF(R41="","","        &lt;response_label ident=""6""&gt;&lt;material&gt;&lt;mattext texttype=""text/html""&gt;"&amp;R41&amp;"&lt;/mattext&gt;&lt;/material&gt;&lt;/response_label&gt;"),"")</f>
        <v/>
      </c>
      <c r="AI41" s="46">
        <f>IF($B41,IF(S41="","","        &lt;response_label ident=""7""&gt;&lt;material&gt;&lt;mattext texttype=""text/html""&gt;"&amp;S41&amp;"&lt;/mattext&gt;&lt;/material&gt;&lt;/response_label&gt;"),"")</f>
        <v/>
      </c>
      <c r="AJ41" s="46">
        <f>IF($B41,IF(L41="","",IF($C41="qcu",IF(OR(T41,AT41&lt;&gt;"",$AS41&lt;&gt;""),"      &lt;respcondition continue=""Yes""&gt;&lt;conditionvar&gt;&lt;varequal respident=""RESPONSE""&gt;0&lt;/varequal&gt;&lt;/conditionvar&gt;"&amp;"&lt;setvar action=""Add""&gt;"&amp;IF(T41,$H41,0)&amp;"&lt;/setvar&gt;"&amp;IF(AT41&lt;&gt;"","&lt;displayfeedback feedbacktype=""Response"" linkrefid=""response_0""/&gt;",IF($AS41&lt;&gt;"","&lt;displayfeedback feedbacktype=""Response"" linkrefid=""qti_feedback_trigger""/&gt;",""))&amp;"&lt;/respcondition&gt;",""),IF(OR(T41,AT41&lt;&gt;"",$AS41&lt;&gt;""),"      &lt;respcondition continue=""Yes""&gt;&lt;conditionvar&gt;"&amp;IF(T41,"&lt;varequal respident=""RESPONSE""&gt;0&lt;/varequal&gt;","&lt;not&gt;&lt;varequal respident=""RESPONSE""&gt;0&lt;/varequal&gt;&lt;/not&gt;")&amp;"&lt;/conditionvar&gt;&lt;setvar action=""Add""&gt;"&amp;(Saisie_Questions!$N41/$I41)&amp;"&lt;/setvar&gt;"&amp;IF(AT41&lt;&gt;"","&lt;displayfeedback feedbacktype=""Response"" linkrefid=""response_0""/&gt;",IF($AS41&lt;&gt;"","&lt;displayfeedback feedbacktype=""Response"" linkrefid=""qti_feedback_trigger""/&gt;",""))&amp;"&lt;/respcondition&gt;",""))),"")</f>
      </c>
      <c r="AK41" s="46">
        <f>IF($B41,IF(M41="","",IF($C41="qcu",IF(OR(U41,AU41&lt;&gt;"",$AS41&lt;&gt;""),"      &lt;respcondition continue=""Yes""&gt;&lt;conditionvar&gt;&lt;varequal respident=""RESPONSE""&gt;1&lt;/varequal&gt;&lt;/conditionvar&gt;"&amp;"&lt;setvar action=""Add""&gt;"&amp;IF(U41,$H41,0)&amp;"&lt;/setvar&gt;"&amp;IF(AU41&lt;&gt;"","&lt;displayfeedback feedbacktype=""Response"" linkrefid=""response_1""/&gt;",IF($AS41&lt;&gt;"","&lt;displayfeedback feedbacktype=""Response"" linkrefid=""qti_feedback_trigger""/&gt;",""))&amp;"&lt;/respcondition&gt;",""),IF(OR(U41,AU41&lt;&gt;"",$AS41&lt;&gt;""),"      &lt;respcondition continue=""Yes""&gt;&lt;conditionvar&gt;"&amp;IF(U41,"&lt;varequal respident=""RESPONSE""&gt;1&lt;/varequal&gt;","&lt;not&gt;&lt;varequal respident=""RESPONSE""&gt;1&lt;/varequal&gt;&lt;/not&gt;")&amp;"&lt;/conditionvar&gt;&lt;setvar action=""Add""&gt;"&amp;(Saisie_Questions!$N41/$I41)&amp;"&lt;/setvar&gt;"&amp;IF(AU41&lt;&gt;"","&lt;displayfeedback feedbacktype=""Response"" linkrefid=""response_1""/&gt;",IF($AS41&lt;&gt;"","&lt;displayfeedback feedbacktype=""Response"" linkrefid=""qti_feedback_trigger""/&gt;",""))&amp;"&lt;/respcondition&gt;",""))),"")</f>
      </c>
      <c r="AL41" s="46">
        <f>IF($B41,IF(N41="","",IF($C41="qcu",IF(OR(V41,AV41&lt;&gt;"",$AS41&lt;&gt;""),"      &lt;respcondition continue=""Yes""&gt;&lt;conditionvar&gt;&lt;varequal respident=""RESPONSE""&gt;2&lt;/varequal&gt;&lt;/conditionvar&gt;"&amp;"&lt;setvar action=""Add""&gt;"&amp;IF(V41,$H41,0)&amp;"&lt;/setvar&gt;"&amp;IF(AV41&lt;&gt;"","&lt;displayfeedback feedbacktype=""Response"" linkrefid=""response_2""/&gt;",IF($AS41&lt;&gt;"","&lt;displayfeedback feedbacktype=""Response"" linkrefid=""qti_feedback_trigger""/&gt;",""))&amp;"&lt;/respcondition&gt;",""),IF(OR(V41,AV41&lt;&gt;"",$AS41&lt;&gt;""),"      &lt;respcondition continue=""Yes""&gt;&lt;conditionvar&gt;"&amp;IF(V41,"&lt;varequal respident=""RESPONSE""&gt;2&lt;/varequal&gt;","&lt;not&gt;&lt;varequal respident=""RESPONSE""&gt;2&lt;/varequal&gt;&lt;/not&gt;")&amp;"&lt;/conditionvar&gt;&lt;setvar action=""Add""&gt;"&amp;(Saisie_Questions!$N41/$I41)&amp;"&lt;/setvar&gt;"&amp;IF(AV41&lt;&gt;"","&lt;displayfeedback feedbacktype=""Response"" linkrefid=""response_2""/&gt;",IF($AS41&lt;&gt;"","&lt;displayfeedback feedbacktype=""Response"" linkrefid=""qti_feedback_trigger""/&gt;",""))&amp;"&lt;/respcondition&gt;",""))),"")</f>
      </c>
      <c r="AM41" s="46">
        <f>IF($B41,IF(O41="","",IF($C41="qcu",IF(OR(W41,AW41&lt;&gt;"",$AS41&lt;&gt;""),"      &lt;respcondition continue=""Yes""&gt;&lt;conditionvar&gt;&lt;varequal respident=""RESPONSE""&gt;3&lt;/varequal&gt;&lt;/conditionvar&gt;"&amp;"&lt;setvar action=""Add""&gt;"&amp;IF(W41,$H41,0)&amp;"&lt;/setvar&gt;"&amp;IF(AW41&lt;&gt;"","&lt;displayfeedback feedbacktype=""Response"" linkrefid=""response_3""/&gt;",IF($AS41&lt;&gt;"","&lt;displayfeedback feedbacktype=""Response"" linkrefid=""qti_feedback_trigger""/&gt;",""))&amp;"&lt;/respcondition&gt;",""),IF(OR(W41,AW41&lt;&gt;"",$AS41&lt;&gt;""),"      &lt;respcondition continue=""Yes""&gt;&lt;conditionvar&gt;"&amp;IF(W41,"&lt;varequal respident=""RESPONSE""&gt;3&lt;/varequal&gt;","&lt;not&gt;&lt;varequal respident=""RESPONSE""&gt;3&lt;/varequal&gt;&lt;/not&gt;")&amp;"&lt;/conditionvar&gt;&lt;setvar action=""Add""&gt;"&amp;(Saisie_Questions!$N41/$I41)&amp;"&lt;/setvar&gt;"&amp;IF(AW41&lt;&gt;"","&lt;displayfeedback feedbacktype=""Response"" linkrefid=""response_3""/&gt;",IF($AS41&lt;&gt;"","&lt;displayfeedback feedbacktype=""Response"" linkrefid=""qti_feedback_trigger""/&gt;",""))&amp;"&lt;/respcondition&gt;",""))),"")</f>
      </c>
      <c r="AN41" s="46">
        <f>IF($B41,IF(P41="","",IF($C41="qcu",IF(OR(X41,AX41&lt;&gt;"",$AS41&lt;&gt;""),"      &lt;respcondition continue=""Yes""&gt;&lt;conditionvar&gt;&lt;varequal respident=""RESPONSE""&gt;4&lt;/varequal&gt;&lt;/conditionvar&gt;"&amp;"&lt;setvar action=""Add""&gt;"&amp;IF(X41,$H41,0)&amp;"&lt;/setvar&gt;"&amp;IF(AX41&lt;&gt;"","&lt;displayfeedback feedbacktype=""Response"" linkrefid=""response_4""/&gt;",IF($AS41&lt;&gt;"","&lt;displayfeedback feedbacktype=""Response"" linkrefid=""qti_feedback_trigger""/&gt;",""))&amp;"&lt;/respcondition&gt;",""),IF(OR(X41,AX41&lt;&gt;"",$AS41&lt;&gt;""),"      &lt;respcondition continue=""Yes""&gt;&lt;conditionvar&gt;"&amp;IF(X41,"&lt;varequal respident=""RESPONSE""&gt;4&lt;/varequal&gt;","&lt;not&gt;&lt;varequal respident=""RESPONSE""&gt;4&lt;/varequal&gt;&lt;/not&gt;")&amp;"&lt;/conditionvar&gt;&lt;setvar action=""Add""&gt;"&amp;(Saisie_Questions!$N41/$I41)&amp;"&lt;/setvar&gt;"&amp;IF(AX41&lt;&gt;"","&lt;displayfeedback feedbacktype=""Response"" linkrefid=""response_4""/&gt;",IF($AS41&lt;&gt;"","&lt;displayfeedback feedbacktype=""Response"" linkrefid=""qti_feedback_trigger""/&gt;",""))&amp;"&lt;/respcondition&gt;",""))),"")</f>
      </c>
      <c r="AO41" s="46">
        <f>IF($B41,IF(Q41="","",IF($C41="qcu",IF(OR(Y41,AY41&lt;&gt;"",$AS41&lt;&gt;""),"      &lt;respcondition continue=""Yes""&gt;&lt;conditionvar&gt;&lt;varequal respident=""RESPONSE""&gt;5&lt;/varequal&gt;&lt;/conditionvar&gt;"&amp;"&lt;setvar action=""Add""&gt;"&amp;IF(Y41,$H41,0)&amp;"&lt;/setvar&gt;"&amp;IF(AY41&lt;&gt;"","&lt;displayfeedback feedbacktype=""Response"" linkrefid=""response_5""/&gt;",IF($AS41&lt;&gt;"","&lt;displayfeedback feedbacktype=""Response"" linkrefid=""qti_feedback_trigger""/&gt;",""))&amp;"&lt;/respcondition&gt;",""),IF(OR(Y41,AY41&lt;&gt;"",$AS41&lt;&gt;""),"      &lt;respcondition continue=""Yes""&gt;&lt;conditionvar&gt;"&amp;IF(Y41,"&lt;varequal respident=""RESPONSE""&gt;5&lt;/varequal&gt;","&lt;not&gt;&lt;varequal respident=""RESPONSE""&gt;5&lt;/varequal&gt;&lt;/not&gt;")&amp;"&lt;/conditionvar&gt;&lt;setvar action=""Add""&gt;"&amp;(Saisie_Questions!$N41/$I41)&amp;"&lt;/setvar&gt;"&amp;IF(AY41&lt;&gt;"","&lt;displayfeedback feedbacktype=""Response"" linkrefid=""response_5""/&gt;",IF($AS41&lt;&gt;"","&lt;displayfeedback feedbacktype=""Response"" linkrefid=""qti_feedback_trigger""/&gt;",""))&amp;"&lt;/respcondition&gt;",""))),"")</f>
      </c>
      <c r="AP41" s="46">
        <f>IF($B41,IF(R41="","",IF($C41="qcu",IF(OR(Z41,AZ41&lt;&gt;"",$AS41&lt;&gt;""),"      &lt;respcondition continue=""Yes""&gt;&lt;conditionvar&gt;&lt;varequal respident=""RESPONSE""&gt;6&lt;/varequal&gt;&lt;/conditionvar&gt;"&amp;"&lt;setvar action=""Add""&gt;"&amp;IF(Z41,$H41,0)&amp;"&lt;/setvar&gt;"&amp;IF(AZ41&lt;&gt;"","&lt;displayfeedback feedbacktype=""Response"" linkrefid=""response_6""/&gt;",IF($AS41&lt;&gt;"","&lt;displayfeedback feedbacktype=""Response"" linkrefid=""qti_feedback_trigger""/&gt;",""))&amp;"&lt;/respcondition&gt;",""),IF(OR(Z41,AZ41&lt;&gt;"",$AS41&lt;&gt;""),"      &lt;respcondition continue=""Yes""&gt;&lt;conditionvar&gt;"&amp;IF(Z41,"&lt;varequal respident=""RESPONSE""&gt;6&lt;/varequal&gt;","&lt;not&gt;&lt;varequal respident=""RESPONSE""&gt;6&lt;/varequal&gt;&lt;/not&gt;")&amp;"&lt;/conditionvar&gt;&lt;setvar action=""Add""&gt;"&amp;(Saisie_Questions!$N41/$I41)&amp;"&lt;/setvar&gt;"&amp;IF(AZ41&lt;&gt;"","&lt;displayfeedback feedbacktype=""Response"" linkrefid=""response_6""/&gt;",IF($AS41&lt;&gt;"","&lt;displayfeedback feedbacktype=""Response"" linkrefid=""qti_feedback_trigger""/&gt;",""))&amp;"&lt;/respcondition&gt;",""))),"")</f>
      </c>
      <c r="AQ41" s="46">
        <f>IF($B41,IF(S41="","",IF($C41="qcu",IF(OR(AA41,BA41&lt;&gt;"",$AS41&lt;&gt;""),"      &lt;respcondition continue=""Yes""&gt;&lt;conditionvar&gt;&lt;varequal respident=""RESPONSE""&gt;7&lt;/varequal&gt;&lt;/conditionvar&gt;"&amp;"&lt;setvar action=""Add""&gt;"&amp;IF(AA41,$H41,0)&amp;"&lt;/setvar&gt;"&amp;IF(BA41&lt;&gt;"","&lt;displayfeedback feedbacktype=""Response"" linkrefid=""response_7""/&gt;",IF($AS41&lt;&gt;"","&lt;displayfeedback feedbacktype=""Response"" linkrefid=""qti_feedback_trigger""/&gt;",""))&amp;"&lt;/respcondition&gt;",""),IF(OR(AA41,BA41&lt;&gt;"",$AS41&lt;&gt;""),"      &lt;respcondition continue=""Yes""&gt;&lt;conditionvar&gt;"&amp;IF(AA41,"&lt;varequal respident=""RESPONSE""&gt;7&lt;/varequal&gt;","&lt;not&gt;&lt;varequal respident=""RESPONSE""&gt;7&lt;/varequal&gt;&lt;/not&gt;")&amp;"&lt;/conditionvar&gt;&lt;setvar action=""Add""&gt;"&amp;(Saisie_Questions!$N41/$I41)&amp;"&lt;/setvar&gt;"&amp;IF(BA41&lt;&gt;"","&lt;displayfeedback feedbacktype=""Response"" linkrefid=""response_7""/&gt;",IF($AS41&lt;&gt;"","&lt;displayfeedback feedbacktype=""Response"" linkrefid=""qti_feedback_trigger""/&gt;",""))&amp;"&lt;/respcondition&gt;",""))),"")</f>
      </c>
      <c r="AR41" s="46">
        <f>IF(A41="","",SUBSTITUTE(SUBSTITUTE(SUBSTITUTE(SUBSTITUTE(SUBSTITUTE(IF(Saisie_Questions!P41&lt;&gt;"",Saisie_Questions!P41,Interface_Generation!$B$5),"&amp;","&amp;amp;"),"&lt;","&amp;lt;"),"&gt;","&amp;gt;"),CHAR(34),"&amp;quot;"),"'","&amp;apos;"))</f>
        <v/>
      </c>
      <c r="AS41" s="46">
        <f>IF(Saisie_Questions!Q41="","",SUBSTITUTE(SUBSTITUTE(SUBSTITUTE(SUBSTITUTE(SUBSTITUTE(Saisie_Questions!Q41,"&amp;","&amp;amp;"),"&lt;","&amp;lt;"),"&gt;","&amp;gt;"),CHAR(34),"&amp;quot;"),"'","&amp;apos;"))</f>
        <v/>
      </c>
      <c r="AT41" s="46">
        <f>IF(Saisie_Questions!R41="","",SUBSTITUTE(SUBSTITUTE(SUBSTITUTE(SUBSTITUTE(SUBSTITUTE(Saisie_Questions!R41,"&amp;","&amp;amp;"),"&lt;","&amp;lt;"),"&gt;","&amp;gt;"),CHAR(34),"&amp;quot;"),"'","&amp;apos;"))</f>
        <v/>
      </c>
      <c r="AU41" s="46">
        <f>IF(Saisie_Questions!S41="","",SUBSTITUTE(SUBSTITUTE(SUBSTITUTE(SUBSTITUTE(SUBSTITUTE(Saisie_Questions!S41,"&amp;","&amp;amp;"),"&lt;","&amp;lt;"),"&gt;","&amp;gt;"),CHAR(34),"&amp;quot;"),"'","&amp;apos;"))</f>
        <v/>
      </c>
      <c r="AV41" s="46">
        <f>IF(Saisie_Questions!T41="","",SUBSTITUTE(SUBSTITUTE(SUBSTITUTE(SUBSTITUTE(SUBSTITUTE(Saisie_Questions!T41,"&amp;","&amp;amp;"),"&lt;","&amp;lt;"),"&gt;","&amp;gt;"),CHAR(34),"&amp;quot;"),"'","&amp;apos;"))</f>
        <v/>
      </c>
      <c r="AW41" s="46">
        <f>IF(Saisie_Questions!U41="","",SUBSTITUTE(SUBSTITUTE(SUBSTITUTE(SUBSTITUTE(SUBSTITUTE(Saisie_Questions!U41,"&amp;","&amp;amp;"),"&lt;","&amp;lt;"),"&gt;","&amp;gt;"),CHAR(34),"&amp;quot;"),"'","&amp;apos;"))</f>
        <v/>
      </c>
      <c r="AX41" s="46">
        <f>IF(Saisie_Questions!V41="","",SUBSTITUTE(SUBSTITUTE(SUBSTITUTE(SUBSTITUTE(SUBSTITUTE(Saisie_Questions!V41,"&amp;","&amp;amp;"),"&lt;","&amp;lt;"),"&gt;","&amp;gt;"),CHAR(34),"&amp;quot;"),"'","&amp;apos;"))</f>
        <v/>
      </c>
      <c r="AY41" s="46">
        <f>IF(Saisie_Questions!W41="","",SUBSTITUTE(SUBSTITUTE(SUBSTITUTE(SUBSTITUTE(SUBSTITUTE(Saisie_Questions!W41,"&amp;","&amp;amp;"),"&lt;","&amp;lt;"),"&gt;","&amp;gt;"),CHAR(34),"&amp;quot;"),"'","&amp;apos;"))</f>
        <v/>
      </c>
      <c r="AZ41" s="46">
        <f>IF(Saisie_Questions!X41="","",SUBSTITUTE(SUBSTITUTE(SUBSTITUTE(SUBSTITUTE(SUBSTITUTE(Saisie_Questions!X41,"&amp;","&amp;amp;"),"&lt;","&amp;lt;"),"&gt;","&amp;gt;"),CHAR(34),"&amp;quot;"),"'","&amp;apos;"))</f>
        <v/>
      </c>
      <c r="BA41" s="46">
        <f>IF(Saisie_Questions!Y41="","",SUBSTITUTE(SUBSTITUTE(SUBSTITUTE(SUBSTITUTE(SUBSTITUTE(Saisie_Questions!Y41,"&amp;","&amp;amp;"),"&lt;","&amp;lt;"),"&gt;","&amp;gt;"),CHAR(34),"&amp;quot;"),"'","&amp;apos;"))</f>
        <v/>
      </c>
      <c r="BB41" s="46">
        <f>IF($B41,IF($AS41="","","    &lt;itemfeedback ident=""response_allcorrect"" view=""All""&gt;&lt;flow_mat&gt;&lt;material&gt;&lt;mattext texttype=""text/html""&gt;"&amp;$AS41&amp;"&lt;/mattext&gt;&lt;/material&gt;&lt;/flow_mat&gt;&lt;/itemfeedback&gt;"&amp;"    &lt;itemfeedback ident=""response_onenotcorrect"" view=""All""&gt;&lt;flow_mat&gt;&lt;material&gt;&lt;mattext texttype=""text/html""&gt;"&amp;$AS41&amp;"&lt;/mattext&gt;&lt;/material&gt;&lt;/flow_mat&gt;&lt;/itemfeedback&gt;"),"")</f>
      </c>
      <c r="BC41" s="46">
        <f>IF($B41,IF(AT41="","","    &lt;itemfeedback ident=""response_0"" view=""All""&gt;&lt;flow_mat&gt;&lt;material&gt;&lt;mattext texttype=""text/html""&gt;"&amp;AT41&amp;"&lt;/mattext&gt;&lt;/material&gt;&lt;/flow_mat&gt;&lt;/itemfeedback&gt;"),"")</f>
      </c>
      <c r="BD41" s="46">
        <f>IF($B41,IF(AU41="","","    &lt;itemfeedback ident=""response_1"" view=""All""&gt;&lt;flow_mat&gt;&lt;material&gt;&lt;mattext texttype=""text/html""&gt;"&amp;AU41&amp;"&lt;/mattext&gt;&lt;/material&gt;&lt;/flow_mat&gt;&lt;/itemfeedback&gt;"),"")</f>
      </c>
      <c r="BE41" s="46">
        <f>IF($B41,IF(AV41="","","    &lt;itemfeedback ident=""response_2"" view=""All""&gt;&lt;flow_mat&gt;&lt;material&gt;&lt;mattext texttype=""text/html""&gt;"&amp;AV41&amp;"&lt;/mattext&gt;&lt;/material&gt;&lt;/flow_mat&gt;&lt;/itemfeedback&gt;"),"")</f>
      </c>
      <c r="BF41" s="46">
        <f>IF($B41,IF(AW41="","","    &lt;itemfeedback ident=""response_3"" view=""All""&gt;&lt;flow_mat&gt;&lt;material&gt;&lt;mattext texttype=""text/html""&gt;"&amp;AW41&amp;"&lt;/mattext&gt;&lt;/material&gt;&lt;/flow_mat&gt;&lt;/itemfeedback&gt;"),"")</f>
      </c>
      <c r="BG41" s="46">
        <f>IF($B41,IF(AX41="","","    &lt;itemfeedback ident=""response_4"" view=""All""&gt;&lt;flow_mat&gt;&lt;material&gt;&lt;mattext texttype=""text/html""&gt;"&amp;AX41&amp;"&lt;/mattext&gt;&lt;/material&gt;&lt;/flow_mat&gt;&lt;/itemfeedback&gt;"),"")</f>
      </c>
      <c r="BH41" s="46">
        <f>IF($B41,IF(AY41="","","    &lt;itemfeedback ident=""response_5"" view=""All""&gt;&lt;flow_mat&gt;&lt;material&gt;&lt;mattext texttype=""text/html""&gt;"&amp;AY41&amp;"&lt;/mattext&gt;&lt;/material&gt;&lt;/flow_mat&gt;&lt;/itemfeedback&gt;"),"")</f>
      </c>
      <c r="BI41" s="46">
        <f>IF($B41,IF(AZ41="","","    &lt;itemfeedback ident=""response_6"" view=""All""&gt;&lt;flow_mat&gt;&lt;material&gt;&lt;mattext texttype=""text/html""&gt;"&amp;AZ41&amp;"&lt;/mattext&gt;&lt;/material&gt;&lt;/flow_mat&gt;&lt;/itemfeedback&gt;"),"")</f>
      </c>
      <c r="BJ41" s="46">
        <f>IF($B41,IF(BA41="","","    &lt;itemfeedback ident=""response_7"" view=""All""&gt;&lt;flow_mat&gt;&lt;material&gt;&lt;mattext texttype=""text/html""&gt;"&amp;BA41&amp;"&lt;/mattext&gt;&lt;/material&gt;&lt;/flow_mat&gt;&lt;/itemfeedback&gt;"),"")</f>
      </c>
    </row>
    <row r="42" ht="18" customHeight="1" s="17">
      <c r="A42" s="46">
        <f>Saisie_Questions!A42</f>
        <v/>
      </c>
      <c r="B42" s="46">
        <f>Saisie_Questions!O42="OK"</f>
        <v/>
      </c>
      <c r="C42" s="46">
        <f>LOWER(TRIM(Saisie_Questions!B42))</f>
        <v/>
      </c>
      <c r="D42" s="46">
        <f>IF(C42="qcu","SINGLE CHOICE QUESTION","MULTIPLE CHOICE QUESTION")</f>
        <v/>
      </c>
      <c r="E42" s="46">
        <f>IF(C42="qcu","Single","Multiple")</f>
        <v/>
      </c>
      <c r="F42" s="46">
        <f>IF(A42="","",SUBSTITUTE(SUBSTITUTE(SUBSTITUTE(SUBSTITUTE(SUBSTITUTE(IF(Saisie_Questions!C42="", "Question "&amp;A42, Saisie_Questions!C42),"&amp;","&amp;amp;"),"&lt;","&amp;lt;"),"&gt;","&amp;gt;"),CHAR(34),"&amp;quot;"),"'","&amp;apos;"))</f>
        <v/>
      </c>
      <c r="G42" s="46">
        <f>IF(A42="","",SUBSTITUTE(SUBSTITUTE(SUBSTITUTE(SUBSTITUTE(SUBSTITUTE(Saisie_Questions!D42,"&amp;","&amp;amp;"),"&lt;","&amp;lt;"),"&gt;","&amp;gt;"),CHAR(34),"&amp;quot;"),"'","&amp;apos;"))</f>
        <v/>
      </c>
      <c r="H42" s="46">
        <f>Saisie_Questions!N42</f>
        <v/>
      </c>
      <c r="I42" s="46">
        <f>IF(Saisie_Questions!E42="",0,1)+IF(Saisie_Questions!F42="",0,1)+IF(Saisie_Questions!G42="",0,1)+IF(Saisie_Questions!H42="",0,1)+IF(Saisie_Questions!I42="",0,1)+IF(Saisie_Questions!J42="",0,1)+IF(Saisie_Questions!K42="",0,1)+IF(Saisie_Questions!L42="",0,1)</f>
        <v/>
      </c>
      <c r="J42" s="46">
        <f>Saisie_Questions!M42</f>
        <v/>
      </c>
      <c r="K42" s="46">
        <f>Saisie_Questions!O42</f>
        <v/>
      </c>
      <c r="L42" s="46">
        <f>IF(Saisie_Questions!E42="","",SUBSTITUTE(SUBSTITUTE(SUBSTITUTE(SUBSTITUTE(SUBSTITUTE(Saisie_Questions!E42,"&amp;","&amp;amp;"),"&lt;","&amp;lt;"),"&gt;","&amp;gt;"),CHAR(34),"&amp;quot;"),"'","&amp;apos;"))</f>
        <v/>
      </c>
      <c r="M42" s="46">
        <f>IF(Saisie_Questions!F42="","",SUBSTITUTE(SUBSTITUTE(SUBSTITUTE(SUBSTITUTE(SUBSTITUTE(Saisie_Questions!F42,"&amp;","&amp;amp;"),"&lt;","&amp;lt;"),"&gt;","&amp;gt;"),CHAR(34),"&amp;quot;"),"'","&amp;apos;"))</f>
        <v/>
      </c>
      <c r="N42" s="46">
        <f>IF(Saisie_Questions!G42="","",SUBSTITUTE(SUBSTITUTE(SUBSTITUTE(SUBSTITUTE(SUBSTITUTE(Saisie_Questions!G42,"&amp;","&amp;amp;"),"&lt;","&amp;lt;"),"&gt;","&amp;gt;"),CHAR(34),"&amp;quot;"),"'","&amp;apos;"))</f>
        <v/>
      </c>
      <c r="O42" s="46">
        <f>IF(Saisie_Questions!H42="","",SUBSTITUTE(SUBSTITUTE(SUBSTITUTE(SUBSTITUTE(SUBSTITUTE(Saisie_Questions!H42,"&amp;","&amp;amp;"),"&lt;","&amp;lt;"),"&gt;","&amp;gt;"),CHAR(34),"&amp;quot;"),"'","&amp;apos;"))</f>
        <v/>
      </c>
      <c r="P42" s="46">
        <f>IF(Saisie_Questions!I42="","",SUBSTITUTE(SUBSTITUTE(SUBSTITUTE(SUBSTITUTE(SUBSTITUTE(Saisie_Questions!I42,"&amp;","&amp;amp;"),"&lt;","&amp;lt;"),"&gt;","&amp;gt;"),CHAR(34),"&amp;quot;"),"'","&amp;apos;"))</f>
        <v/>
      </c>
      <c r="Q42" s="46">
        <f>IF(Saisie_Questions!J42="","",SUBSTITUTE(SUBSTITUTE(SUBSTITUTE(SUBSTITUTE(SUBSTITUTE(Saisie_Questions!J42,"&amp;","&amp;amp;"),"&lt;","&amp;lt;"),"&gt;","&amp;gt;"),CHAR(34),"&amp;quot;"),"'","&amp;apos;"))</f>
        <v/>
      </c>
      <c r="R42" s="46">
        <f>IF(Saisie_Questions!K42="","",SUBSTITUTE(SUBSTITUTE(SUBSTITUTE(SUBSTITUTE(SUBSTITUTE(Saisie_Questions!K42,"&amp;","&amp;amp;"),"&lt;","&amp;lt;"),"&gt;","&amp;gt;"),CHAR(34),"&amp;quot;"),"'","&amp;apos;"))</f>
        <v/>
      </c>
      <c r="S42" s="46">
        <f>IF(Saisie_Questions!L42="","",SUBSTITUTE(SUBSTITUTE(SUBSTITUTE(SUBSTITUTE(SUBSTITUTE(Saisie_Questions!L42,"&amp;","&amp;amp;"),"&lt;","&amp;lt;"),"&gt;","&amp;gt;"),CHAR(34),"&amp;quot;"),"'","&amp;apos;"))</f>
        <v/>
      </c>
      <c r="T42" s="46">
        <f>ISNUMBER(SEARCH(";"&amp;1&amp;";",";"&amp;$J42&amp;";"))</f>
        <v/>
      </c>
      <c r="U42" s="46">
        <f>ISNUMBER(SEARCH(";"&amp;2&amp;";",";"&amp;$J42&amp;";"))</f>
        <v/>
      </c>
      <c r="V42" s="46">
        <f>ISNUMBER(SEARCH(";"&amp;3&amp;";",";"&amp;$J42&amp;";"))</f>
        <v/>
      </c>
      <c r="W42" s="46">
        <f>ISNUMBER(SEARCH(";"&amp;4&amp;";",";"&amp;$J42&amp;";"))</f>
        <v/>
      </c>
      <c r="X42" s="46">
        <f>ISNUMBER(SEARCH(";"&amp;5&amp;";",";"&amp;$J42&amp;";"))</f>
        <v/>
      </c>
      <c r="Y42" s="46">
        <f>ISNUMBER(SEARCH(";"&amp;6&amp;";",";"&amp;$J42&amp;";"))</f>
        <v/>
      </c>
      <c r="Z42" s="46">
        <f>ISNUMBER(SEARCH(";"&amp;7&amp;";",";"&amp;$J42&amp;";"))</f>
        <v/>
      </c>
      <c r="AA42" s="46">
        <f>ISNUMBER(SEARCH(";"&amp;8&amp;";",";"&amp;$J42&amp;";"))</f>
        <v/>
      </c>
      <c r="AB42" s="46">
        <f>IF($B42,IF(L42="","","        &lt;response_label ident=""0""&gt;&lt;material&gt;&lt;mattext texttype=""text/html""&gt;"&amp;L42&amp;"&lt;/mattext&gt;&lt;/material&gt;&lt;/response_label&gt;"),"")</f>
        <v/>
      </c>
      <c r="AC42" s="46">
        <f>IF($B42,IF(M42="","","        &lt;response_label ident=""1""&gt;&lt;material&gt;&lt;mattext texttype=""text/html""&gt;"&amp;M42&amp;"&lt;/mattext&gt;&lt;/material&gt;&lt;/response_label&gt;"),"")</f>
        <v/>
      </c>
      <c r="AD42" s="46">
        <f>IF($B42,IF(N42="","","        &lt;response_label ident=""2""&gt;&lt;material&gt;&lt;mattext texttype=""text/html""&gt;"&amp;N42&amp;"&lt;/mattext&gt;&lt;/material&gt;&lt;/response_label&gt;"),"")</f>
        <v/>
      </c>
      <c r="AE42" s="46">
        <f>IF($B42,IF(O42="","","        &lt;response_label ident=""3""&gt;&lt;material&gt;&lt;mattext texttype=""text/html""&gt;"&amp;O42&amp;"&lt;/mattext&gt;&lt;/material&gt;&lt;/response_label&gt;"),"")</f>
        <v/>
      </c>
      <c r="AF42" s="46">
        <f>IF($B42,IF(P42="","","        &lt;response_label ident=""4""&gt;&lt;material&gt;&lt;mattext texttype=""text/html""&gt;"&amp;P42&amp;"&lt;/mattext&gt;&lt;/material&gt;&lt;/response_label&gt;"),"")</f>
        <v/>
      </c>
      <c r="AG42" s="46">
        <f>IF($B42,IF(Q42="","","        &lt;response_label ident=""5""&gt;&lt;material&gt;&lt;mattext texttype=""text/html""&gt;"&amp;Q42&amp;"&lt;/mattext&gt;&lt;/material&gt;&lt;/response_label&gt;"),"")</f>
        <v/>
      </c>
      <c r="AH42" s="46">
        <f>IF($B42,IF(R42="","","        &lt;response_label ident=""6""&gt;&lt;material&gt;&lt;mattext texttype=""text/html""&gt;"&amp;R42&amp;"&lt;/mattext&gt;&lt;/material&gt;&lt;/response_label&gt;"),"")</f>
        <v/>
      </c>
      <c r="AI42" s="46">
        <f>IF($B42,IF(S42="","","        &lt;response_label ident=""7""&gt;&lt;material&gt;&lt;mattext texttype=""text/html""&gt;"&amp;S42&amp;"&lt;/mattext&gt;&lt;/material&gt;&lt;/response_label&gt;"),"")</f>
        <v/>
      </c>
      <c r="AJ42" s="46">
        <f>IF($B42,IF(L42="","",IF($C42="qcu",IF(OR(T42,AT42&lt;&gt;"",$AS42&lt;&gt;""),"      &lt;respcondition continue=""Yes""&gt;&lt;conditionvar&gt;&lt;varequal respident=""RESPONSE""&gt;0&lt;/varequal&gt;&lt;/conditionvar&gt;"&amp;"&lt;setvar action=""Add""&gt;"&amp;IF(T42,$H42,0)&amp;"&lt;/setvar&gt;"&amp;IF(AT42&lt;&gt;"","&lt;displayfeedback feedbacktype=""Response"" linkrefid=""response_0""/&gt;",IF($AS42&lt;&gt;"","&lt;displayfeedback feedbacktype=""Response"" linkrefid=""qti_feedback_trigger""/&gt;",""))&amp;"&lt;/respcondition&gt;",""),IF(OR(T42,AT42&lt;&gt;"",$AS42&lt;&gt;""),"      &lt;respcondition continue=""Yes""&gt;&lt;conditionvar&gt;"&amp;IF(T42,"&lt;varequal respident=""RESPONSE""&gt;0&lt;/varequal&gt;","&lt;not&gt;&lt;varequal respident=""RESPONSE""&gt;0&lt;/varequal&gt;&lt;/not&gt;")&amp;"&lt;/conditionvar&gt;&lt;setvar action=""Add""&gt;"&amp;(Saisie_Questions!$N42/$I42)&amp;"&lt;/setvar&gt;"&amp;IF(AT42&lt;&gt;"","&lt;displayfeedback feedbacktype=""Response"" linkrefid=""response_0""/&gt;",IF($AS42&lt;&gt;"","&lt;displayfeedback feedbacktype=""Response"" linkrefid=""qti_feedback_trigger""/&gt;",""))&amp;"&lt;/respcondition&gt;",""))),"")</f>
      </c>
      <c r="AK42" s="46">
        <f>IF($B42,IF(M42="","",IF($C42="qcu",IF(OR(U42,AU42&lt;&gt;"",$AS42&lt;&gt;""),"      &lt;respcondition continue=""Yes""&gt;&lt;conditionvar&gt;&lt;varequal respident=""RESPONSE""&gt;1&lt;/varequal&gt;&lt;/conditionvar&gt;"&amp;"&lt;setvar action=""Add""&gt;"&amp;IF(U42,$H42,0)&amp;"&lt;/setvar&gt;"&amp;IF(AU42&lt;&gt;"","&lt;displayfeedback feedbacktype=""Response"" linkrefid=""response_1""/&gt;",IF($AS42&lt;&gt;"","&lt;displayfeedback feedbacktype=""Response"" linkrefid=""qti_feedback_trigger""/&gt;",""))&amp;"&lt;/respcondition&gt;",""),IF(OR(U42,AU42&lt;&gt;"",$AS42&lt;&gt;""),"      &lt;respcondition continue=""Yes""&gt;&lt;conditionvar&gt;"&amp;IF(U42,"&lt;varequal respident=""RESPONSE""&gt;1&lt;/varequal&gt;","&lt;not&gt;&lt;varequal respident=""RESPONSE""&gt;1&lt;/varequal&gt;&lt;/not&gt;")&amp;"&lt;/conditionvar&gt;&lt;setvar action=""Add""&gt;"&amp;(Saisie_Questions!$N42/$I42)&amp;"&lt;/setvar&gt;"&amp;IF(AU42&lt;&gt;"","&lt;displayfeedback feedbacktype=""Response"" linkrefid=""response_1""/&gt;",IF($AS42&lt;&gt;"","&lt;displayfeedback feedbacktype=""Response"" linkrefid=""qti_feedback_trigger""/&gt;",""))&amp;"&lt;/respcondition&gt;",""))),"")</f>
      </c>
      <c r="AL42" s="46">
        <f>IF($B42,IF(N42="","",IF($C42="qcu",IF(OR(V42,AV42&lt;&gt;"",$AS42&lt;&gt;""),"      &lt;respcondition continue=""Yes""&gt;&lt;conditionvar&gt;&lt;varequal respident=""RESPONSE""&gt;2&lt;/varequal&gt;&lt;/conditionvar&gt;"&amp;"&lt;setvar action=""Add""&gt;"&amp;IF(V42,$H42,0)&amp;"&lt;/setvar&gt;"&amp;IF(AV42&lt;&gt;"","&lt;displayfeedback feedbacktype=""Response"" linkrefid=""response_2""/&gt;",IF($AS42&lt;&gt;"","&lt;displayfeedback feedbacktype=""Response"" linkrefid=""qti_feedback_trigger""/&gt;",""))&amp;"&lt;/respcondition&gt;",""),IF(OR(V42,AV42&lt;&gt;"",$AS42&lt;&gt;""),"      &lt;respcondition continue=""Yes""&gt;&lt;conditionvar&gt;"&amp;IF(V42,"&lt;varequal respident=""RESPONSE""&gt;2&lt;/varequal&gt;","&lt;not&gt;&lt;varequal respident=""RESPONSE""&gt;2&lt;/varequal&gt;&lt;/not&gt;")&amp;"&lt;/conditionvar&gt;&lt;setvar action=""Add""&gt;"&amp;(Saisie_Questions!$N42/$I42)&amp;"&lt;/setvar&gt;"&amp;IF(AV42&lt;&gt;"","&lt;displayfeedback feedbacktype=""Response"" linkrefid=""response_2""/&gt;",IF($AS42&lt;&gt;"","&lt;displayfeedback feedbacktype=""Response"" linkrefid=""qti_feedback_trigger""/&gt;",""))&amp;"&lt;/respcondition&gt;",""))),"")</f>
      </c>
      <c r="AM42" s="46">
        <f>IF($B42,IF(O42="","",IF($C42="qcu",IF(OR(W42,AW42&lt;&gt;"",$AS42&lt;&gt;""),"      &lt;respcondition continue=""Yes""&gt;&lt;conditionvar&gt;&lt;varequal respident=""RESPONSE""&gt;3&lt;/varequal&gt;&lt;/conditionvar&gt;"&amp;"&lt;setvar action=""Add""&gt;"&amp;IF(W42,$H42,0)&amp;"&lt;/setvar&gt;"&amp;IF(AW42&lt;&gt;"","&lt;displayfeedback feedbacktype=""Response"" linkrefid=""response_3""/&gt;",IF($AS42&lt;&gt;"","&lt;displayfeedback feedbacktype=""Response"" linkrefid=""qti_feedback_trigger""/&gt;",""))&amp;"&lt;/respcondition&gt;",""),IF(OR(W42,AW42&lt;&gt;"",$AS42&lt;&gt;""),"      &lt;respcondition continue=""Yes""&gt;&lt;conditionvar&gt;"&amp;IF(W42,"&lt;varequal respident=""RESPONSE""&gt;3&lt;/varequal&gt;","&lt;not&gt;&lt;varequal respident=""RESPONSE""&gt;3&lt;/varequal&gt;&lt;/not&gt;")&amp;"&lt;/conditionvar&gt;&lt;setvar action=""Add""&gt;"&amp;(Saisie_Questions!$N42/$I42)&amp;"&lt;/setvar&gt;"&amp;IF(AW42&lt;&gt;"","&lt;displayfeedback feedbacktype=""Response"" linkrefid=""response_3""/&gt;",IF($AS42&lt;&gt;"","&lt;displayfeedback feedbacktype=""Response"" linkrefid=""qti_feedback_trigger""/&gt;",""))&amp;"&lt;/respcondition&gt;",""))),"")</f>
      </c>
      <c r="AN42" s="46">
        <f>IF($B42,IF(P42="","",IF($C42="qcu",IF(OR(X42,AX42&lt;&gt;"",$AS42&lt;&gt;""),"      &lt;respcondition continue=""Yes""&gt;&lt;conditionvar&gt;&lt;varequal respident=""RESPONSE""&gt;4&lt;/varequal&gt;&lt;/conditionvar&gt;"&amp;"&lt;setvar action=""Add""&gt;"&amp;IF(X42,$H42,0)&amp;"&lt;/setvar&gt;"&amp;IF(AX42&lt;&gt;"","&lt;displayfeedback feedbacktype=""Response"" linkrefid=""response_4""/&gt;",IF($AS42&lt;&gt;"","&lt;displayfeedback feedbacktype=""Response"" linkrefid=""qti_feedback_trigger""/&gt;",""))&amp;"&lt;/respcondition&gt;",""),IF(OR(X42,AX42&lt;&gt;"",$AS42&lt;&gt;""),"      &lt;respcondition continue=""Yes""&gt;&lt;conditionvar&gt;"&amp;IF(X42,"&lt;varequal respident=""RESPONSE""&gt;4&lt;/varequal&gt;","&lt;not&gt;&lt;varequal respident=""RESPONSE""&gt;4&lt;/varequal&gt;&lt;/not&gt;")&amp;"&lt;/conditionvar&gt;&lt;setvar action=""Add""&gt;"&amp;(Saisie_Questions!$N42/$I42)&amp;"&lt;/setvar&gt;"&amp;IF(AX42&lt;&gt;"","&lt;displayfeedback feedbacktype=""Response"" linkrefid=""response_4""/&gt;",IF($AS42&lt;&gt;"","&lt;displayfeedback feedbacktype=""Response"" linkrefid=""qti_feedback_trigger""/&gt;",""))&amp;"&lt;/respcondition&gt;",""))),"")</f>
      </c>
      <c r="AO42" s="46">
        <f>IF($B42,IF(Q42="","",IF($C42="qcu",IF(OR(Y42,AY42&lt;&gt;"",$AS42&lt;&gt;""),"      &lt;respcondition continue=""Yes""&gt;&lt;conditionvar&gt;&lt;varequal respident=""RESPONSE""&gt;5&lt;/varequal&gt;&lt;/conditionvar&gt;"&amp;"&lt;setvar action=""Add""&gt;"&amp;IF(Y42,$H42,0)&amp;"&lt;/setvar&gt;"&amp;IF(AY42&lt;&gt;"","&lt;displayfeedback feedbacktype=""Response"" linkrefid=""response_5""/&gt;",IF($AS42&lt;&gt;"","&lt;displayfeedback feedbacktype=""Response"" linkrefid=""qti_feedback_trigger""/&gt;",""))&amp;"&lt;/respcondition&gt;",""),IF(OR(Y42,AY42&lt;&gt;"",$AS42&lt;&gt;""),"      &lt;respcondition continue=""Yes""&gt;&lt;conditionvar&gt;"&amp;IF(Y42,"&lt;varequal respident=""RESPONSE""&gt;5&lt;/varequal&gt;","&lt;not&gt;&lt;varequal respident=""RESPONSE""&gt;5&lt;/varequal&gt;&lt;/not&gt;")&amp;"&lt;/conditionvar&gt;&lt;setvar action=""Add""&gt;"&amp;(Saisie_Questions!$N42/$I42)&amp;"&lt;/setvar&gt;"&amp;IF(AY42&lt;&gt;"","&lt;displayfeedback feedbacktype=""Response"" linkrefid=""response_5""/&gt;",IF($AS42&lt;&gt;"","&lt;displayfeedback feedbacktype=""Response"" linkrefid=""qti_feedback_trigger""/&gt;",""))&amp;"&lt;/respcondition&gt;",""))),"")</f>
      </c>
      <c r="AP42" s="46">
        <f>IF($B42,IF(R42="","",IF($C42="qcu",IF(OR(Z42,AZ42&lt;&gt;"",$AS42&lt;&gt;""),"      &lt;respcondition continue=""Yes""&gt;&lt;conditionvar&gt;&lt;varequal respident=""RESPONSE""&gt;6&lt;/varequal&gt;&lt;/conditionvar&gt;"&amp;"&lt;setvar action=""Add""&gt;"&amp;IF(Z42,$H42,0)&amp;"&lt;/setvar&gt;"&amp;IF(AZ42&lt;&gt;"","&lt;displayfeedback feedbacktype=""Response"" linkrefid=""response_6""/&gt;",IF($AS42&lt;&gt;"","&lt;displayfeedback feedbacktype=""Response"" linkrefid=""qti_feedback_trigger""/&gt;",""))&amp;"&lt;/respcondition&gt;",""),IF(OR(Z42,AZ42&lt;&gt;"",$AS42&lt;&gt;""),"      &lt;respcondition continue=""Yes""&gt;&lt;conditionvar&gt;"&amp;IF(Z42,"&lt;varequal respident=""RESPONSE""&gt;6&lt;/varequal&gt;","&lt;not&gt;&lt;varequal respident=""RESPONSE""&gt;6&lt;/varequal&gt;&lt;/not&gt;")&amp;"&lt;/conditionvar&gt;&lt;setvar action=""Add""&gt;"&amp;(Saisie_Questions!$N42/$I42)&amp;"&lt;/setvar&gt;"&amp;IF(AZ42&lt;&gt;"","&lt;displayfeedback feedbacktype=""Response"" linkrefid=""response_6""/&gt;",IF($AS42&lt;&gt;"","&lt;displayfeedback feedbacktype=""Response"" linkrefid=""qti_feedback_trigger""/&gt;",""))&amp;"&lt;/respcondition&gt;",""))),"")</f>
      </c>
      <c r="AQ42" s="46">
        <f>IF($B42,IF(S42="","",IF($C42="qcu",IF(OR(AA42,BA42&lt;&gt;"",$AS42&lt;&gt;""),"      &lt;respcondition continue=""Yes""&gt;&lt;conditionvar&gt;&lt;varequal respident=""RESPONSE""&gt;7&lt;/varequal&gt;&lt;/conditionvar&gt;"&amp;"&lt;setvar action=""Add""&gt;"&amp;IF(AA42,$H42,0)&amp;"&lt;/setvar&gt;"&amp;IF(BA42&lt;&gt;"","&lt;displayfeedback feedbacktype=""Response"" linkrefid=""response_7""/&gt;",IF($AS42&lt;&gt;"","&lt;displayfeedback feedbacktype=""Response"" linkrefid=""qti_feedback_trigger""/&gt;",""))&amp;"&lt;/respcondition&gt;",""),IF(OR(AA42,BA42&lt;&gt;"",$AS42&lt;&gt;""),"      &lt;respcondition continue=""Yes""&gt;&lt;conditionvar&gt;"&amp;IF(AA42,"&lt;varequal respident=""RESPONSE""&gt;7&lt;/varequal&gt;","&lt;not&gt;&lt;varequal respident=""RESPONSE""&gt;7&lt;/varequal&gt;&lt;/not&gt;")&amp;"&lt;/conditionvar&gt;&lt;setvar action=""Add""&gt;"&amp;(Saisie_Questions!$N42/$I42)&amp;"&lt;/setvar&gt;"&amp;IF(BA42&lt;&gt;"","&lt;displayfeedback feedbacktype=""Response"" linkrefid=""response_7""/&gt;",IF($AS42&lt;&gt;"","&lt;displayfeedback feedbacktype=""Response"" linkrefid=""qti_feedback_trigger""/&gt;",""))&amp;"&lt;/respcondition&gt;",""))),"")</f>
      </c>
      <c r="AR42" s="46">
        <f>IF(A42="","",SUBSTITUTE(SUBSTITUTE(SUBSTITUTE(SUBSTITUTE(SUBSTITUTE(IF(Saisie_Questions!P42&lt;&gt;"",Saisie_Questions!P42,Interface_Generation!$B$5),"&amp;","&amp;amp;"),"&lt;","&amp;lt;"),"&gt;","&amp;gt;"),CHAR(34),"&amp;quot;"),"'","&amp;apos;"))</f>
        <v/>
      </c>
      <c r="AS42" s="46">
        <f>IF(Saisie_Questions!Q42="","",SUBSTITUTE(SUBSTITUTE(SUBSTITUTE(SUBSTITUTE(SUBSTITUTE(Saisie_Questions!Q42,"&amp;","&amp;amp;"),"&lt;","&amp;lt;"),"&gt;","&amp;gt;"),CHAR(34),"&amp;quot;"),"'","&amp;apos;"))</f>
        <v/>
      </c>
      <c r="AT42" s="46">
        <f>IF(Saisie_Questions!R42="","",SUBSTITUTE(SUBSTITUTE(SUBSTITUTE(SUBSTITUTE(SUBSTITUTE(Saisie_Questions!R42,"&amp;","&amp;amp;"),"&lt;","&amp;lt;"),"&gt;","&amp;gt;"),CHAR(34),"&amp;quot;"),"'","&amp;apos;"))</f>
        <v/>
      </c>
      <c r="AU42" s="46">
        <f>IF(Saisie_Questions!S42="","",SUBSTITUTE(SUBSTITUTE(SUBSTITUTE(SUBSTITUTE(SUBSTITUTE(Saisie_Questions!S42,"&amp;","&amp;amp;"),"&lt;","&amp;lt;"),"&gt;","&amp;gt;"),CHAR(34),"&amp;quot;"),"'","&amp;apos;"))</f>
        <v/>
      </c>
      <c r="AV42" s="46">
        <f>IF(Saisie_Questions!T42="","",SUBSTITUTE(SUBSTITUTE(SUBSTITUTE(SUBSTITUTE(SUBSTITUTE(Saisie_Questions!T42,"&amp;","&amp;amp;"),"&lt;","&amp;lt;"),"&gt;","&amp;gt;"),CHAR(34),"&amp;quot;"),"'","&amp;apos;"))</f>
        <v/>
      </c>
      <c r="AW42" s="46">
        <f>IF(Saisie_Questions!U42="","",SUBSTITUTE(SUBSTITUTE(SUBSTITUTE(SUBSTITUTE(SUBSTITUTE(Saisie_Questions!U42,"&amp;","&amp;amp;"),"&lt;","&amp;lt;"),"&gt;","&amp;gt;"),CHAR(34),"&amp;quot;"),"'","&amp;apos;"))</f>
        <v/>
      </c>
      <c r="AX42" s="46">
        <f>IF(Saisie_Questions!V42="","",SUBSTITUTE(SUBSTITUTE(SUBSTITUTE(SUBSTITUTE(SUBSTITUTE(Saisie_Questions!V42,"&amp;","&amp;amp;"),"&lt;","&amp;lt;"),"&gt;","&amp;gt;"),CHAR(34),"&amp;quot;"),"'","&amp;apos;"))</f>
        <v/>
      </c>
      <c r="AY42" s="46">
        <f>IF(Saisie_Questions!W42="","",SUBSTITUTE(SUBSTITUTE(SUBSTITUTE(SUBSTITUTE(SUBSTITUTE(Saisie_Questions!W42,"&amp;","&amp;amp;"),"&lt;","&amp;lt;"),"&gt;","&amp;gt;"),CHAR(34),"&amp;quot;"),"'","&amp;apos;"))</f>
        <v/>
      </c>
      <c r="AZ42" s="46">
        <f>IF(Saisie_Questions!X42="","",SUBSTITUTE(SUBSTITUTE(SUBSTITUTE(SUBSTITUTE(SUBSTITUTE(Saisie_Questions!X42,"&amp;","&amp;amp;"),"&lt;","&amp;lt;"),"&gt;","&amp;gt;"),CHAR(34),"&amp;quot;"),"'","&amp;apos;"))</f>
        <v/>
      </c>
      <c r="BA42" s="46">
        <f>IF(Saisie_Questions!Y42="","",SUBSTITUTE(SUBSTITUTE(SUBSTITUTE(SUBSTITUTE(SUBSTITUTE(Saisie_Questions!Y42,"&amp;","&amp;amp;"),"&lt;","&amp;lt;"),"&gt;","&amp;gt;"),CHAR(34),"&amp;quot;"),"'","&amp;apos;"))</f>
        <v/>
      </c>
      <c r="BB42" s="46">
        <f>IF($B42,IF($AS42="","","    &lt;itemfeedback ident=""response_allcorrect"" view=""All""&gt;&lt;flow_mat&gt;&lt;material&gt;&lt;mattext texttype=""text/html""&gt;"&amp;$AS42&amp;"&lt;/mattext&gt;&lt;/material&gt;&lt;/flow_mat&gt;&lt;/itemfeedback&gt;"&amp;"    &lt;itemfeedback ident=""response_onenotcorrect"" view=""All""&gt;&lt;flow_mat&gt;&lt;material&gt;&lt;mattext texttype=""text/html""&gt;"&amp;$AS42&amp;"&lt;/mattext&gt;&lt;/material&gt;&lt;/flow_mat&gt;&lt;/itemfeedback&gt;"),"")</f>
      </c>
      <c r="BC42" s="46">
        <f>IF($B42,IF(AT42="","","    &lt;itemfeedback ident=""response_0"" view=""All""&gt;&lt;flow_mat&gt;&lt;material&gt;&lt;mattext texttype=""text/html""&gt;"&amp;AT42&amp;"&lt;/mattext&gt;&lt;/material&gt;&lt;/flow_mat&gt;&lt;/itemfeedback&gt;"),"")</f>
      </c>
      <c r="BD42" s="46">
        <f>IF($B42,IF(AU42="","","    &lt;itemfeedback ident=""response_1"" view=""All""&gt;&lt;flow_mat&gt;&lt;material&gt;&lt;mattext texttype=""text/html""&gt;"&amp;AU42&amp;"&lt;/mattext&gt;&lt;/material&gt;&lt;/flow_mat&gt;&lt;/itemfeedback&gt;"),"")</f>
      </c>
      <c r="BE42" s="46">
        <f>IF($B42,IF(AV42="","","    &lt;itemfeedback ident=""response_2"" view=""All""&gt;&lt;flow_mat&gt;&lt;material&gt;&lt;mattext texttype=""text/html""&gt;"&amp;AV42&amp;"&lt;/mattext&gt;&lt;/material&gt;&lt;/flow_mat&gt;&lt;/itemfeedback&gt;"),"")</f>
      </c>
      <c r="BF42" s="46">
        <f>IF($B42,IF(AW42="","","    &lt;itemfeedback ident=""response_3"" view=""All""&gt;&lt;flow_mat&gt;&lt;material&gt;&lt;mattext texttype=""text/html""&gt;"&amp;AW42&amp;"&lt;/mattext&gt;&lt;/material&gt;&lt;/flow_mat&gt;&lt;/itemfeedback&gt;"),"")</f>
      </c>
      <c r="BG42" s="46">
        <f>IF($B42,IF(AX42="","","    &lt;itemfeedback ident=""response_4"" view=""All""&gt;&lt;flow_mat&gt;&lt;material&gt;&lt;mattext texttype=""text/html""&gt;"&amp;AX42&amp;"&lt;/mattext&gt;&lt;/material&gt;&lt;/flow_mat&gt;&lt;/itemfeedback&gt;"),"")</f>
      </c>
      <c r="BH42" s="46">
        <f>IF($B42,IF(AY42="","","    &lt;itemfeedback ident=""response_5"" view=""All""&gt;&lt;flow_mat&gt;&lt;material&gt;&lt;mattext texttype=""text/html""&gt;"&amp;AY42&amp;"&lt;/mattext&gt;&lt;/material&gt;&lt;/flow_mat&gt;&lt;/itemfeedback&gt;"),"")</f>
      </c>
      <c r="BI42" s="46">
        <f>IF($B42,IF(AZ42="","","    &lt;itemfeedback ident=""response_6"" view=""All""&gt;&lt;flow_mat&gt;&lt;material&gt;&lt;mattext texttype=""text/html""&gt;"&amp;AZ42&amp;"&lt;/mattext&gt;&lt;/material&gt;&lt;/flow_mat&gt;&lt;/itemfeedback&gt;"),"")</f>
      </c>
      <c r="BJ42" s="46">
        <f>IF($B42,IF(BA42="","","    &lt;itemfeedback ident=""response_7"" view=""All""&gt;&lt;flow_mat&gt;&lt;material&gt;&lt;mattext texttype=""text/html""&gt;"&amp;BA42&amp;"&lt;/mattext&gt;&lt;/material&gt;&lt;/flow_mat&gt;&lt;/itemfeedback&gt;"),"")</f>
      </c>
    </row>
    <row r="43" ht="18" customHeight="1" s="17">
      <c r="A43" s="46">
        <f>Saisie_Questions!A43</f>
        <v/>
      </c>
      <c r="B43" s="46">
        <f>Saisie_Questions!O43="OK"</f>
        <v/>
      </c>
      <c r="C43" s="46">
        <f>LOWER(TRIM(Saisie_Questions!B43))</f>
        <v/>
      </c>
      <c r="D43" s="46">
        <f>IF(C43="qcu","SINGLE CHOICE QUESTION","MULTIPLE CHOICE QUESTION")</f>
        <v/>
      </c>
      <c r="E43" s="46">
        <f>IF(C43="qcu","Single","Multiple")</f>
        <v/>
      </c>
      <c r="F43" s="46">
        <f>IF(A43="","",SUBSTITUTE(SUBSTITUTE(SUBSTITUTE(SUBSTITUTE(SUBSTITUTE(IF(Saisie_Questions!C43="", "Question "&amp;A43, Saisie_Questions!C43),"&amp;","&amp;amp;"),"&lt;","&amp;lt;"),"&gt;","&amp;gt;"),CHAR(34),"&amp;quot;"),"'","&amp;apos;"))</f>
        <v/>
      </c>
      <c r="G43" s="46">
        <f>IF(A43="","",SUBSTITUTE(SUBSTITUTE(SUBSTITUTE(SUBSTITUTE(SUBSTITUTE(Saisie_Questions!D43,"&amp;","&amp;amp;"),"&lt;","&amp;lt;"),"&gt;","&amp;gt;"),CHAR(34),"&amp;quot;"),"'","&amp;apos;"))</f>
        <v/>
      </c>
      <c r="H43" s="46">
        <f>Saisie_Questions!N43</f>
        <v/>
      </c>
      <c r="I43" s="46">
        <f>IF(Saisie_Questions!E43="",0,1)+IF(Saisie_Questions!F43="",0,1)+IF(Saisie_Questions!G43="",0,1)+IF(Saisie_Questions!H43="",0,1)+IF(Saisie_Questions!I43="",0,1)+IF(Saisie_Questions!J43="",0,1)+IF(Saisie_Questions!K43="",0,1)+IF(Saisie_Questions!L43="",0,1)</f>
        <v/>
      </c>
      <c r="J43" s="46">
        <f>Saisie_Questions!M43</f>
        <v/>
      </c>
      <c r="K43" s="46">
        <f>Saisie_Questions!O43</f>
        <v/>
      </c>
      <c r="L43" s="46">
        <f>IF(Saisie_Questions!E43="","",SUBSTITUTE(SUBSTITUTE(SUBSTITUTE(SUBSTITUTE(SUBSTITUTE(Saisie_Questions!E43,"&amp;","&amp;amp;"),"&lt;","&amp;lt;"),"&gt;","&amp;gt;"),CHAR(34),"&amp;quot;"),"'","&amp;apos;"))</f>
        <v/>
      </c>
      <c r="M43" s="46">
        <f>IF(Saisie_Questions!F43="","",SUBSTITUTE(SUBSTITUTE(SUBSTITUTE(SUBSTITUTE(SUBSTITUTE(Saisie_Questions!F43,"&amp;","&amp;amp;"),"&lt;","&amp;lt;"),"&gt;","&amp;gt;"),CHAR(34),"&amp;quot;"),"'","&amp;apos;"))</f>
        <v/>
      </c>
      <c r="N43" s="46">
        <f>IF(Saisie_Questions!G43="","",SUBSTITUTE(SUBSTITUTE(SUBSTITUTE(SUBSTITUTE(SUBSTITUTE(Saisie_Questions!G43,"&amp;","&amp;amp;"),"&lt;","&amp;lt;"),"&gt;","&amp;gt;"),CHAR(34),"&amp;quot;"),"'","&amp;apos;"))</f>
        <v/>
      </c>
      <c r="O43" s="46">
        <f>IF(Saisie_Questions!H43="","",SUBSTITUTE(SUBSTITUTE(SUBSTITUTE(SUBSTITUTE(SUBSTITUTE(Saisie_Questions!H43,"&amp;","&amp;amp;"),"&lt;","&amp;lt;"),"&gt;","&amp;gt;"),CHAR(34),"&amp;quot;"),"'","&amp;apos;"))</f>
        <v/>
      </c>
      <c r="P43" s="46">
        <f>IF(Saisie_Questions!I43="","",SUBSTITUTE(SUBSTITUTE(SUBSTITUTE(SUBSTITUTE(SUBSTITUTE(Saisie_Questions!I43,"&amp;","&amp;amp;"),"&lt;","&amp;lt;"),"&gt;","&amp;gt;"),CHAR(34),"&amp;quot;"),"'","&amp;apos;"))</f>
        <v/>
      </c>
      <c r="Q43" s="46">
        <f>IF(Saisie_Questions!J43="","",SUBSTITUTE(SUBSTITUTE(SUBSTITUTE(SUBSTITUTE(SUBSTITUTE(Saisie_Questions!J43,"&amp;","&amp;amp;"),"&lt;","&amp;lt;"),"&gt;","&amp;gt;"),CHAR(34),"&amp;quot;"),"'","&amp;apos;"))</f>
        <v/>
      </c>
      <c r="R43" s="46">
        <f>IF(Saisie_Questions!K43="","",SUBSTITUTE(SUBSTITUTE(SUBSTITUTE(SUBSTITUTE(SUBSTITUTE(Saisie_Questions!K43,"&amp;","&amp;amp;"),"&lt;","&amp;lt;"),"&gt;","&amp;gt;"),CHAR(34),"&amp;quot;"),"'","&amp;apos;"))</f>
        <v/>
      </c>
      <c r="S43" s="46">
        <f>IF(Saisie_Questions!L43="","",SUBSTITUTE(SUBSTITUTE(SUBSTITUTE(SUBSTITUTE(SUBSTITUTE(Saisie_Questions!L43,"&amp;","&amp;amp;"),"&lt;","&amp;lt;"),"&gt;","&amp;gt;"),CHAR(34),"&amp;quot;"),"'","&amp;apos;"))</f>
        <v/>
      </c>
      <c r="T43" s="46">
        <f>ISNUMBER(SEARCH(";"&amp;1&amp;";",";"&amp;$J43&amp;";"))</f>
        <v/>
      </c>
      <c r="U43" s="46">
        <f>ISNUMBER(SEARCH(";"&amp;2&amp;";",";"&amp;$J43&amp;";"))</f>
        <v/>
      </c>
      <c r="V43" s="46">
        <f>ISNUMBER(SEARCH(";"&amp;3&amp;";",";"&amp;$J43&amp;";"))</f>
        <v/>
      </c>
      <c r="W43" s="46">
        <f>ISNUMBER(SEARCH(";"&amp;4&amp;";",";"&amp;$J43&amp;";"))</f>
        <v/>
      </c>
      <c r="X43" s="46">
        <f>ISNUMBER(SEARCH(";"&amp;5&amp;";",";"&amp;$J43&amp;";"))</f>
        <v/>
      </c>
      <c r="Y43" s="46">
        <f>ISNUMBER(SEARCH(";"&amp;6&amp;";",";"&amp;$J43&amp;";"))</f>
        <v/>
      </c>
      <c r="Z43" s="46">
        <f>ISNUMBER(SEARCH(";"&amp;7&amp;";",";"&amp;$J43&amp;";"))</f>
        <v/>
      </c>
      <c r="AA43" s="46">
        <f>ISNUMBER(SEARCH(";"&amp;8&amp;";",";"&amp;$J43&amp;";"))</f>
        <v/>
      </c>
      <c r="AB43" s="46">
        <f>IF($B43,IF(L43="","","        &lt;response_label ident=""0""&gt;&lt;material&gt;&lt;mattext texttype=""text/html""&gt;"&amp;L43&amp;"&lt;/mattext&gt;&lt;/material&gt;&lt;/response_label&gt;"),"")</f>
        <v/>
      </c>
      <c r="AC43" s="46">
        <f>IF($B43,IF(M43="","","        &lt;response_label ident=""1""&gt;&lt;material&gt;&lt;mattext texttype=""text/html""&gt;"&amp;M43&amp;"&lt;/mattext&gt;&lt;/material&gt;&lt;/response_label&gt;"),"")</f>
        <v/>
      </c>
      <c r="AD43" s="46">
        <f>IF($B43,IF(N43="","","        &lt;response_label ident=""2""&gt;&lt;material&gt;&lt;mattext texttype=""text/html""&gt;"&amp;N43&amp;"&lt;/mattext&gt;&lt;/material&gt;&lt;/response_label&gt;"),"")</f>
        <v/>
      </c>
      <c r="AE43" s="46">
        <f>IF($B43,IF(O43="","","        &lt;response_label ident=""3""&gt;&lt;material&gt;&lt;mattext texttype=""text/html""&gt;"&amp;O43&amp;"&lt;/mattext&gt;&lt;/material&gt;&lt;/response_label&gt;"),"")</f>
        <v/>
      </c>
      <c r="AF43" s="46">
        <f>IF($B43,IF(P43="","","        &lt;response_label ident=""4""&gt;&lt;material&gt;&lt;mattext texttype=""text/html""&gt;"&amp;P43&amp;"&lt;/mattext&gt;&lt;/material&gt;&lt;/response_label&gt;"),"")</f>
        <v/>
      </c>
      <c r="AG43" s="46">
        <f>IF($B43,IF(Q43="","","        &lt;response_label ident=""5""&gt;&lt;material&gt;&lt;mattext texttype=""text/html""&gt;"&amp;Q43&amp;"&lt;/mattext&gt;&lt;/material&gt;&lt;/response_label&gt;"),"")</f>
        <v/>
      </c>
      <c r="AH43" s="46">
        <f>IF($B43,IF(R43="","","        &lt;response_label ident=""6""&gt;&lt;material&gt;&lt;mattext texttype=""text/html""&gt;"&amp;R43&amp;"&lt;/mattext&gt;&lt;/material&gt;&lt;/response_label&gt;"),"")</f>
        <v/>
      </c>
      <c r="AI43" s="46">
        <f>IF($B43,IF(S43="","","        &lt;response_label ident=""7""&gt;&lt;material&gt;&lt;mattext texttype=""text/html""&gt;"&amp;S43&amp;"&lt;/mattext&gt;&lt;/material&gt;&lt;/response_label&gt;"),"")</f>
        <v/>
      </c>
      <c r="AJ43" s="46">
        <f>IF($B43,IF(L43="","",IF($C43="qcu",IF(OR(T43,AT43&lt;&gt;"",$AS43&lt;&gt;""),"      &lt;respcondition continue=""Yes""&gt;&lt;conditionvar&gt;&lt;varequal respident=""RESPONSE""&gt;0&lt;/varequal&gt;&lt;/conditionvar&gt;"&amp;"&lt;setvar action=""Add""&gt;"&amp;IF(T43,$H43,0)&amp;"&lt;/setvar&gt;"&amp;IF(AT43&lt;&gt;"","&lt;displayfeedback feedbacktype=""Response"" linkrefid=""response_0""/&gt;",IF($AS43&lt;&gt;"","&lt;displayfeedback feedbacktype=""Response"" linkrefid=""qti_feedback_trigger""/&gt;",""))&amp;"&lt;/respcondition&gt;",""),IF(OR(T43,AT43&lt;&gt;"",$AS43&lt;&gt;""),"      &lt;respcondition continue=""Yes""&gt;&lt;conditionvar&gt;"&amp;IF(T43,"&lt;varequal respident=""RESPONSE""&gt;0&lt;/varequal&gt;","&lt;not&gt;&lt;varequal respident=""RESPONSE""&gt;0&lt;/varequal&gt;&lt;/not&gt;")&amp;"&lt;/conditionvar&gt;&lt;setvar action=""Add""&gt;"&amp;(Saisie_Questions!$N43/$I43)&amp;"&lt;/setvar&gt;"&amp;IF(AT43&lt;&gt;"","&lt;displayfeedback feedbacktype=""Response"" linkrefid=""response_0""/&gt;",IF($AS43&lt;&gt;"","&lt;displayfeedback feedbacktype=""Response"" linkrefid=""qti_feedback_trigger""/&gt;",""))&amp;"&lt;/respcondition&gt;",""))),"")</f>
      </c>
      <c r="AK43" s="46">
        <f>IF($B43,IF(M43="","",IF($C43="qcu",IF(OR(U43,AU43&lt;&gt;"",$AS43&lt;&gt;""),"      &lt;respcondition continue=""Yes""&gt;&lt;conditionvar&gt;&lt;varequal respident=""RESPONSE""&gt;1&lt;/varequal&gt;&lt;/conditionvar&gt;"&amp;"&lt;setvar action=""Add""&gt;"&amp;IF(U43,$H43,0)&amp;"&lt;/setvar&gt;"&amp;IF(AU43&lt;&gt;"","&lt;displayfeedback feedbacktype=""Response"" linkrefid=""response_1""/&gt;",IF($AS43&lt;&gt;"","&lt;displayfeedback feedbacktype=""Response"" linkrefid=""qti_feedback_trigger""/&gt;",""))&amp;"&lt;/respcondition&gt;",""),IF(OR(U43,AU43&lt;&gt;"",$AS43&lt;&gt;""),"      &lt;respcondition continue=""Yes""&gt;&lt;conditionvar&gt;"&amp;IF(U43,"&lt;varequal respident=""RESPONSE""&gt;1&lt;/varequal&gt;","&lt;not&gt;&lt;varequal respident=""RESPONSE""&gt;1&lt;/varequal&gt;&lt;/not&gt;")&amp;"&lt;/conditionvar&gt;&lt;setvar action=""Add""&gt;"&amp;(Saisie_Questions!$N43/$I43)&amp;"&lt;/setvar&gt;"&amp;IF(AU43&lt;&gt;"","&lt;displayfeedback feedbacktype=""Response"" linkrefid=""response_1""/&gt;",IF($AS43&lt;&gt;"","&lt;displayfeedback feedbacktype=""Response"" linkrefid=""qti_feedback_trigger""/&gt;",""))&amp;"&lt;/respcondition&gt;",""))),"")</f>
      </c>
      <c r="AL43" s="46">
        <f>IF($B43,IF(N43="","",IF($C43="qcu",IF(OR(V43,AV43&lt;&gt;"",$AS43&lt;&gt;""),"      &lt;respcondition continue=""Yes""&gt;&lt;conditionvar&gt;&lt;varequal respident=""RESPONSE""&gt;2&lt;/varequal&gt;&lt;/conditionvar&gt;"&amp;"&lt;setvar action=""Add""&gt;"&amp;IF(V43,$H43,0)&amp;"&lt;/setvar&gt;"&amp;IF(AV43&lt;&gt;"","&lt;displayfeedback feedbacktype=""Response"" linkrefid=""response_2""/&gt;",IF($AS43&lt;&gt;"","&lt;displayfeedback feedbacktype=""Response"" linkrefid=""qti_feedback_trigger""/&gt;",""))&amp;"&lt;/respcondition&gt;",""),IF(OR(V43,AV43&lt;&gt;"",$AS43&lt;&gt;""),"      &lt;respcondition continue=""Yes""&gt;&lt;conditionvar&gt;"&amp;IF(V43,"&lt;varequal respident=""RESPONSE""&gt;2&lt;/varequal&gt;","&lt;not&gt;&lt;varequal respident=""RESPONSE""&gt;2&lt;/varequal&gt;&lt;/not&gt;")&amp;"&lt;/conditionvar&gt;&lt;setvar action=""Add""&gt;"&amp;(Saisie_Questions!$N43/$I43)&amp;"&lt;/setvar&gt;"&amp;IF(AV43&lt;&gt;"","&lt;displayfeedback feedbacktype=""Response"" linkrefid=""response_2""/&gt;",IF($AS43&lt;&gt;"","&lt;displayfeedback feedbacktype=""Response"" linkrefid=""qti_feedback_trigger""/&gt;",""))&amp;"&lt;/respcondition&gt;",""))),"")</f>
      </c>
      <c r="AM43" s="46">
        <f>IF($B43,IF(O43="","",IF($C43="qcu",IF(OR(W43,AW43&lt;&gt;"",$AS43&lt;&gt;""),"      &lt;respcondition continue=""Yes""&gt;&lt;conditionvar&gt;&lt;varequal respident=""RESPONSE""&gt;3&lt;/varequal&gt;&lt;/conditionvar&gt;"&amp;"&lt;setvar action=""Add""&gt;"&amp;IF(W43,$H43,0)&amp;"&lt;/setvar&gt;"&amp;IF(AW43&lt;&gt;"","&lt;displayfeedback feedbacktype=""Response"" linkrefid=""response_3""/&gt;",IF($AS43&lt;&gt;"","&lt;displayfeedback feedbacktype=""Response"" linkrefid=""qti_feedback_trigger""/&gt;",""))&amp;"&lt;/respcondition&gt;",""),IF(OR(W43,AW43&lt;&gt;"",$AS43&lt;&gt;""),"      &lt;respcondition continue=""Yes""&gt;&lt;conditionvar&gt;"&amp;IF(W43,"&lt;varequal respident=""RESPONSE""&gt;3&lt;/varequal&gt;","&lt;not&gt;&lt;varequal respident=""RESPONSE""&gt;3&lt;/varequal&gt;&lt;/not&gt;")&amp;"&lt;/conditionvar&gt;&lt;setvar action=""Add""&gt;"&amp;(Saisie_Questions!$N43/$I43)&amp;"&lt;/setvar&gt;"&amp;IF(AW43&lt;&gt;"","&lt;displayfeedback feedbacktype=""Response"" linkrefid=""response_3""/&gt;",IF($AS43&lt;&gt;"","&lt;displayfeedback feedbacktype=""Response"" linkrefid=""qti_feedback_trigger""/&gt;",""))&amp;"&lt;/respcondition&gt;",""))),"")</f>
      </c>
      <c r="AN43" s="46">
        <f>IF($B43,IF(P43="","",IF($C43="qcu",IF(OR(X43,AX43&lt;&gt;"",$AS43&lt;&gt;""),"      &lt;respcondition continue=""Yes""&gt;&lt;conditionvar&gt;&lt;varequal respident=""RESPONSE""&gt;4&lt;/varequal&gt;&lt;/conditionvar&gt;"&amp;"&lt;setvar action=""Add""&gt;"&amp;IF(X43,$H43,0)&amp;"&lt;/setvar&gt;"&amp;IF(AX43&lt;&gt;"","&lt;displayfeedback feedbacktype=""Response"" linkrefid=""response_4""/&gt;",IF($AS43&lt;&gt;"","&lt;displayfeedback feedbacktype=""Response"" linkrefid=""qti_feedback_trigger""/&gt;",""))&amp;"&lt;/respcondition&gt;",""),IF(OR(X43,AX43&lt;&gt;"",$AS43&lt;&gt;""),"      &lt;respcondition continue=""Yes""&gt;&lt;conditionvar&gt;"&amp;IF(X43,"&lt;varequal respident=""RESPONSE""&gt;4&lt;/varequal&gt;","&lt;not&gt;&lt;varequal respident=""RESPONSE""&gt;4&lt;/varequal&gt;&lt;/not&gt;")&amp;"&lt;/conditionvar&gt;&lt;setvar action=""Add""&gt;"&amp;(Saisie_Questions!$N43/$I43)&amp;"&lt;/setvar&gt;"&amp;IF(AX43&lt;&gt;"","&lt;displayfeedback feedbacktype=""Response"" linkrefid=""response_4""/&gt;",IF($AS43&lt;&gt;"","&lt;displayfeedback feedbacktype=""Response"" linkrefid=""qti_feedback_trigger""/&gt;",""))&amp;"&lt;/respcondition&gt;",""))),"")</f>
      </c>
      <c r="AO43" s="46">
        <f>IF($B43,IF(Q43="","",IF($C43="qcu",IF(OR(Y43,AY43&lt;&gt;"",$AS43&lt;&gt;""),"      &lt;respcondition continue=""Yes""&gt;&lt;conditionvar&gt;&lt;varequal respident=""RESPONSE""&gt;5&lt;/varequal&gt;&lt;/conditionvar&gt;"&amp;"&lt;setvar action=""Add""&gt;"&amp;IF(Y43,$H43,0)&amp;"&lt;/setvar&gt;"&amp;IF(AY43&lt;&gt;"","&lt;displayfeedback feedbacktype=""Response"" linkrefid=""response_5""/&gt;",IF($AS43&lt;&gt;"","&lt;displayfeedback feedbacktype=""Response"" linkrefid=""qti_feedback_trigger""/&gt;",""))&amp;"&lt;/respcondition&gt;",""),IF(OR(Y43,AY43&lt;&gt;"",$AS43&lt;&gt;""),"      &lt;respcondition continue=""Yes""&gt;&lt;conditionvar&gt;"&amp;IF(Y43,"&lt;varequal respident=""RESPONSE""&gt;5&lt;/varequal&gt;","&lt;not&gt;&lt;varequal respident=""RESPONSE""&gt;5&lt;/varequal&gt;&lt;/not&gt;")&amp;"&lt;/conditionvar&gt;&lt;setvar action=""Add""&gt;"&amp;(Saisie_Questions!$N43/$I43)&amp;"&lt;/setvar&gt;"&amp;IF(AY43&lt;&gt;"","&lt;displayfeedback feedbacktype=""Response"" linkrefid=""response_5""/&gt;",IF($AS43&lt;&gt;"","&lt;displayfeedback feedbacktype=""Response"" linkrefid=""qti_feedback_trigger""/&gt;",""))&amp;"&lt;/respcondition&gt;",""))),"")</f>
      </c>
      <c r="AP43" s="46">
        <f>IF($B43,IF(R43="","",IF($C43="qcu",IF(OR(Z43,AZ43&lt;&gt;"",$AS43&lt;&gt;""),"      &lt;respcondition continue=""Yes""&gt;&lt;conditionvar&gt;&lt;varequal respident=""RESPONSE""&gt;6&lt;/varequal&gt;&lt;/conditionvar&gt;"&amp;"&lt;setvar action=""Add""&gt;"&amp;IF(Z43,$H43,0)&amp;"&lt;/setvar&gt;"&amp;IF(AZ43&lt;&gt;"","&lt;displayfeedback feedbacktype=""Response"" linkrefid=""response_6""/&gt;",IF($AS43&lt;&gt;"","&lt;displayfeedback feedbacktype=""Response"" linkrefid=""qti_feedback_trigger""/&gt;",""))&amp;"&lt;/respcondition&gt;",""),IF(OR(Z43,AZ43&lt;&gt;"",$AS43&lt;&gt;""),"      &lt;respcondition continue=""Yes""&gt;&lt;conditionvar&gt;"&amp;IF(Z43,"&lt;varequal respident=""RESPONSE""&gt;6&lt;/varequal&gt;","&lt;not&gt;&lt;varequal respident=""RESPONSE""&gt;6&lt;/varequal&gt;&lt;/not&gt;")&amp;"&lt;/conditionvar&gt;&lt;setvar action=""Add""&gt;"&amp;(Saisie_Questions!$N43/$I43)&amp;"&lt;/setvar&gt;"&amp;IF(AZ43&lt;&gt;"","&lt;displayfeedback feedbacktype=""Response"" linkrefid=""response_6""/&gt;",IF($AS43&lt;&gt;"","&lt;displayfeedback feedbacktype=""Response"" linkrefid=""qti_feedback_trigger""/&gt;",""))&amp;"&lt;/respcondition&gt;",""))),"")</f>
      </c>
      <c r="AQ43" s="46">
        <f>IF($B43,IF(S43="","",IF($C43="qcu",IF(OR(AA43,BA43&lt;&gt;"",$AS43&lt;&gt;""),"      &lt;respcondition continue=""Yes""&gt;&lt;conditionvar&gt;&lt;varequal respident=""RESPONSE""&gt;7&lt;/varequal&gt;&lt;/conditionvar&gt;"&amp;"&lt;setvar action=""Add""&gt;"&amp;IF(AA43,$H43,0)&amp;"&lt;/setvar&gt;"&amp;IF(BA43&lt;&gt;"","&lt;displayfeedback feedbacktype=""Response"" linkrefid=""response_7""/&gt;",IF($AS43&lt;&gt;"","&lt;displayfeedback feedbacktype=""Response"" linkrefid=""qti_feedback_trigger""/&gt;",""))&amp;"&lt;/respcondition&gt;",""),IF(OR(AA43,BA43&lt;&gt;"",$AS43&lt;&gt;""),"      &lt;respcondition continue=""Yes""&gt;&lt;conditionvar&gt;"&amp;IF(AA43,"&lt;varequal respident=""RESPONSE""&gt;7&lt;/varequal&gt;","&lt;not&gt;&lt;varequal respident=""RESPONSE""&gt;7&lt;/varequal&gt;&lt;/not&gt;")&amp;"&lt;/conditionvar&gt;&lt;setvar action=""Add""&gt;"&amp;(Saisie_Questions!$N43/$I43)&amp;"&lt;/setvar&gt;"&amp;IF(BA43&lt;&gt;"","&lt;displayfeedback feedbacktype=""Response"" linkrefid=""response_7""/&gt;",IF($AS43&lt;&gt;"","&lt;displayfeedback feedbacktype=""Response"" linkrefid=""qti_feedback_trigger""/&gt;",""))&amp;"&lt;/respcondition&gt;",""))),"")</f>
      </c>
      <c r="AR43" s="46">
        <f>IF(A43="","",SUBSTITUTE(SUBSTITUTE(SUBSTITUTE(SUBSTITUTE(SUBSTITUTE(IF(Saisie_Questions!P43&lt;&gt;"",Saisie_Questions!P43,Interface_Generation!$B$5),"&amp;","&amp;amp;"),"&lt;","&amp;lt;"),"&gt;","&amp;gt;"),CHAR(34),"&amp;quot;"),"'","&amp;apos;"))</f>
        <v/>
      </c>
      <c r="AS43" s="46">
        <f>IF(Saisie_Questions!Q43="","",SUBSTITUTE(SUBSTITUTE(SUBSTITUTE(SUBSTITUTE(SUBSTITUTE(Saisie_Questions!Q43,"&amp;","&amp;amp;"),"&lt;","&amp;lt;"),"&gt;","&amp;gt;"),CHAR(34),"&amp;quot;"),"'","&amp;apos;"))</f>
        <v/>
      </c>
      <c r="AT43" s="46">
        <f>IF(Saisie_Questions!R43="","",SUBSTITUTE(SUBSTITUTE(SUBSTITUTE(SUBSTITUTE(SUBSTITUTE(Saisie_Questions!R43,"&amp;","&amp;amp;"),"&lt;","&amp;lt;"),"&gt;","&amp;gt;"),CHAR(34),"&amp;quot;"),"'","&amp;apos;"))</f>
        <v/>
      </c>
      <c r="AU43" s="46">
        <f>IF(Saisie_Questions!S43="","",SUBSTITUTE(SUBSTITUTE(SUBSTITUTE(SUBSTITUTE(SUBSTITUTE(Saisie_Questions!S43,"&amp;","&amp;amp;"),"&lt;","&amp;lt;"),"&gt;","&amp;gt;"),CHAR(34),"&amp;quot;"),"'","&amp;apos;"))</f>
        <v/>
      </c>
      <c r="AV43" s="46">
        <f>IF(Saisie_Questions!T43="","",SUBSTITUTE(SUBSTITUTE(SUBSTITUTE(SUBSTITUTE(SUBSTITUTE(Saisie_Questions!T43,"&amp;","&amp;amp;"),"&lt;","&amp;lt;"),"&gt;","&amp;gt;"),CHAR(34),"&amp;quot;"),"'","&amp;apos;"))</f>
        <v/>
      </c>
      <c r="AW43" s="46">
        <f>IF(Saisie_Questions!U43="","",SUBSTITUTE(SUBSTITUTE(SUBSTITUTE(SUBSTITUTE(SUBSTITUTE(Saisie_Questions!U43,"&amp;","&amp;amp;"),"&lt;","&amp;lt;"),"&gt;","&amp;gt;"),CHAR(34),"&amp;quot;"),"'","&amp;apos;"))</f>
        <v/>
      </c>
      <c r="AX43" s="46">
        <f>IF(Saisie_Questions!V43="","",SUBSTITUTE(SUBSTITUTE(SUBSTITUTE(SUBSTITUTE(SUBSTITUTE(Saisie_Questions!V43,"&amp;","&amp;amp;"),"&lt;","&amp;lt;"),"&gt;","&amp;gt;"),CHAR(34),"&amp;quot;"),"'","&amp;apos;"))</f>
        <v/>
      </c>
      <c r="AY43" s="46">
        <f>IF(Saisie_Questions!W43="","",SUBSTITUTE(SUBSTITUTE(SUBSTITUTE(SUBSTITUTE(SUBSTITUTE(Saisie_Questions!W43,"&amp;","&amp;amp;"),"&lt;","&amp;lt;"),"&gt;","&amp;gt;"),CHAR(34),"&amp;quot;"),"'","&amp;apos;"))</f>
        <v/>
      </c>
      <c r="AZ43" s="46">
        <f>IF(Saisie_Questions!X43="","",SUBSTITUTE(SUBSTITUTE(SUBSTITUTE(SUBSTITUTE(SUBSTITUTE(Saisie_Questions!X43,"&amp;","&amp;amp;"),"&lt;","&amp;lt;"),"&gt;","&amp;gt;"),CHAR(34),"&amp;quot;"),"'","&amp;apos;"))</f>
        <v/>
      </c>
      <c r="BA43" s="46">
        <f>IF(Saisie_Questions!Y43="","",SUBSTITUTE(SUBSTITUTE(SUBSTITUTE(SUBSTITUTE(SUBSTITUTE(Saisie_Questions!Y43,"&amp;","&amp;amp;"),"&lt;","&amp;lt;"),"&gt;","&amp;gt;"),CHAR(34),"&amp;quot;"),"'","&amp;apos;"))</f>
        <v/>
      </c>
      <c r="BB43" s="46">
        <f>IF($B43,IF($AS43="","","    &lt;itemfeedback ident=""response_allcorrect"" view=""All""&gt;&lt;flow_mat&gt;&lt;material&gt;&lt;mattext texttype=""text/html""&gt;"&amp;$AS43&amp;"&lt;/mattext&gt;&lt;/material&gt;&lt;/flow_mat&gt;&lt;/itemfeedback&gt;"&amp;"    &lt;itemfeedback ident=""response_onenotcorrect"" view=""All""&gt;&lt;flow_mat&gt;&lt;material&gt;&lt;mattext texttype=""text/html""&gt;"&amp;$AS43&amp;"&lt;/mattext&gt;&lt;/material&gt;&lt;/flow_mat&gt;&lt;/itemfeedback&gt;"),"")</f>
      </c>
      <c r="BC43" s="46">
        <f>IF($B43,IF(AT43="","","    &lt;itemfeedback ident=""response_0"" view=""All""&gt;&lt;flow_mat&gt;&lt;material&gt;&lt;mattext texttype=""text/html""&gt;"&amp;AT43&amp;"&lt;/mattext&gt;&lt;/material&gt;&lt;/flow_mat&gt;&lt;/itemfeedback&gt;"),"")</f>
      </c>
      <c r="BD43" s="46">
        <f>IF($B43,IF(AU43="","","    &lt;itemfeedback ident=""response_1"" view=""All""&gt;&lt;flow_mat&gt;&lt;material&gt;&lt;mattext texttype=""text/html""&gt;"&amp;AU43&amp;"&lt;/mattext&gt;&lt;/material&gt;&lt;/flow_mat&gt;&lt;/itemfeedback&gt;"),"")</f>
      </c>
      <c r="BE43" s="46">
        <f>IF($B43,IF(AV43="","","    &lt;itemfeedback ident=""response_2"" view=""All""&gt;&lt;flow_mat&gt;&lt;material&gt;&lt;mattext texttype=""text/html""&gt;"&amp;AV43&amp;"&lt;/mattext&gt;&lt;/material&gt;&lt;/flow_mat&gt;&lt;/itemfeedback&gt;"),"")</f>
      </c>
      <c r="BF43" s="46">
        <f>IF($B43,IF(AW43="","","    &lt;itemfeedback ident=""response_3"" view=""All""&gt;&lt;flow_mat&gt;&lt;material&gt;&lt;mattext texttype=""text/html""&gt;"&amp;AW43&amp;"&lt;/mattext&gt;&lt;/material&gt;&lt;/flow_mat&gt;&lt;/itemfeedback&gt;"),"")</f>
      </c>
      <c r="BG43" s="46">
        <f>IF($B43,IF(AX43="","","    &lt;itemfeedback ident=""response_4"" view=""All""&gt;&lt;flow_mat&gt;&lt;material&gt;&lt;mattext texttype=""text/html""&gt;"&amp;AX43&amp;"&lt;/mattext&gt;&lt;/material&gt;&lt;/flow_mat&gt;&lt;/itemfeedback&gt;"),"")</f>
      </c>
      <c r="BH43" s="46">
        <f>IF($B43,IF(AY43="","","    &lt;itemfeedback ident=""response_5"" view=""All""&gt;&lt;flow_mat&gt;&lt;material&gt;&lt;mattext texttype=""text/html""&gt;"&amp;AY43&amp;"&lt;/mattext&gt;&lt;/material&gt;&lt;/flow_mat&gt;&lt;/itemfeedback&gt;"),"")</f>
      </c>
      <c r="BI43" s="46">
        <f>IF($B43,IF(AZ43="","","    &lt;itemfeedback ident=""response_6"" view=""All""&gt;&lt;flow_mat&gt;&lt;material&gt;&lt;mattext texttype=""text/html""&gt;"&amp;AZ43&amp;"&lt;/mattext&gt;&lt;/material&gt;&lt;/flow_mat&gt;&lt;/itemfeedback&gt;"),"")</f>
      </c>
      <c r="BJ43" s="46">
        <f>IF($B43,IF(BA43="","","    &lt;itemfeedback ident=""response_7"" view=""All""&gt;&lt;flow_mat&gt;&lt;material&gt;&lt;mattext texttype=""text/html""&gt;"&amp;BA43&amp;"&lt;/mattext&gt;&lt;/material&gt;&lt;/flow_mat&gt;&lt;/itemfeedback&gt;"),"")</f>
      </c>
    </row>
    <row r="44" ht="18" customHeight="1" s="17">
      <c r="A44" s="46">
        <f>Saisie_Questions!A44</f>
        <v/>
      </c>
      <c r="B44" s="46">
        <f>Saisie_Questions!O44="OK"</f>
        <v/>
      </c>
      <c r="C44" s="46">
        <f>LOWER(TRIM(Saisie_Questions!B44))</f>
        <v/>
      </c>
      <c r="D44" s="46">
        <f>IF(C44="qcu","SINGLE CHOICE QUESTION","MULTIPLE CHOICE QUESTION")</f>
        <v/>
      </c>
      <c r="E44" s="46">
        <f>IF(C44="qcu","Single","Multiple")</f>
        <v/>
      </c>
      <c r="F44" s="46">
        <f>IF(A44="","",SUBSTITUTE(SUBSTITUTE(SUBSTITUTE(SUBSTITUTE(SUBSTITUTE(IF(Saisie_Questions!C44="", "Question "&amp;A44, Saisie_Questions!C44),"&amp;","&amp;amp;"),"&lt;","&amp;lt;"),"&gt;","&amp;gt;"),CHAR(34),"&amp;quot;"),"'","&amp;apos;"))</f>
        <v/>
      </c>
      <c r="G44" s="46">
        <f>IF(A44="","",SUBSTITUTE(SUBSTITUTE(SUBSTITUTE(SUBSTITUTE(SUBSTITUTE(Saisie_Questions!D44,"&amp;","&amp;amp;"),"&lt;","&amp;lt;"),"&gt;","&amp;gt;"),CHAR(34),"&amp;quot;"),"'","&amp;apos;"))</f>
        <v/>
      </c>
      <c r="H44" s="46">
        <f>Saisie_Questions!N44</f>
        <v/>
      </c>
      <c r="I44" s="46">
        <f>IF(Saisie_Questions!E44="",0,1)+IF(Saisie_Questions!F44="",0,1)+IF(Saisie_Questions!G44="",0,1)+IF(Saisie_Questions!H44="",0,1)+IF(Saisie_Questions!I44="",0,1)+IF(Saisie_Questions!J44="",0,1)+IF(Saisie_Questions!K44="",0,1)+IF(Saisie_Questions!L44="",0,1)</f>
        <v/>
      </c>
      <c r="J44" s="46">
        <f>Saisie_Questions!M44</f>
        <v/>
      </c>
      <c r="K44" s="46">
        <f>Saisie_Questions!O44</f>
        <v/>
      </c>
      <c r="L44" s="46">
        <f>IF(Saisie_Questions!E44="","",SUBSTITUTE(SUBSTITUTE(SUBSTITUTE(SUBSTITUTE(SUBSTITUTE(Saisie_Questions!E44,"&amp;","&amp;amp;"),"&lt;","&amp;lt;"),"&gt;","&amp;gt;"),CHAR(34),"&amp;quot;"),"'","&amp;apos;"))</f>
        <v/>
      </c>
      <c r="M44" s="46">
        <f>IF(Saisie_Questions!F44="","",SUBSTITUTE(SUBSTITUTE(SUBSTITUTE(SUBSTITUTE(SUBSTITUTE(Saisie_Questions!F44,"&amp;","&amp;amp;"),"&lt;","&amp;lt;"),"&gt;","&amp;gt;"),CHAR(34),"&amp;quot;"),"'","&amp;apos;"))</f>
        <v/>
      </c>
      <c r="N44" s="46">
        <f>IF(Saisie_Questions!G44="","",SUBSTITUTE(SUBSTITUTE(SUBSTITUTE(SUBSTITUTE(SUBSTITUTE(Saisie_Questions!G44,"&amp;","&amp;amp;"),"&lt;","&amp;lt;"),"&gt;","&amp;gt;"),CHAR(34),"&amp;quot;"),"'","&amp;apos;"))</f>
        <v/>
      </c>
      <c r="O44" s="46">
        <f>IF(Saisie_Questions!H44="","",SUBSTITUTE(SUBSTITUTE(SUBSTITUTE(SUBSTITUTE(SUBSTITUTE(Saisie_Questions!H44,"&amp;","&amp;amp;"),"&lt;","&amp;lt;"),"&gt;","&amp;gt;"),CHAR(34),"&amp;quot;"),"'","&amp;apos;"))</f>
        <v/>
      </c>
      <c r="P44" s="46">
        <f>IF(Saisie_Questions!I44="","",SUBSTITUTE(SUBSTITUTE(SUBSTITUTE(SUBSTITUTE(SUBSTITUTE(Saisie_Questions!I44,"&amp;","&amp;amp;"),"&lt;","&amp;lt;"),"&gt;","&amp;gt;"),CHAR(34),"&amp;quot;"),"'","&amp;apos;"))</f>
        <v/>
      </c>
      <c r="Q44" s="46">
        <f>IF(Saisie_Questions!J44="","",SUBSTITUTE(SUBSTITUTE(SUBSTITUTE(SUBSTITUTE(SUBSTITUTE(Saisie_Questions!J44,"&amp;","&amp;amp;"),"&lt;","&amp;lt;"),"&gt;","&amp;gt;"),CHAR(34),"&amp;quot;"),"'","&amp;apos;"))</f>
        <v/>
      </c>
      <c r="R44" s="46">
        <f>IF(Saisie_Questions!K44="","",SUBSTITUTE(SUBSTITUTE(SUBSTITUTE(SUBSTITUTE(SUBSTITUTE(Saisie_Questions!K44,"&amp;","&amp;amp;"),"&lt;","&amp;lt;"),"&gt;","&amp;gt;"),CHAR(34),"&amp;quot;"),"'","&amp;apos;"))</f>
        <v/>
      </c>
      <c r="S44" s="46">
        <f>IF(Saisie_Questions!L44="","",SUBSTITUTE(SUBSTITUTE(SUBSTITUTE(SUBSTITUTE(SUBSTITUTE(Saisie_Questions!L44,"&amp;","&amp;amp;"),"&lt;","&amp;lt;"),"&gt;","&amp;gt;"),CHAR(34),"&amp;quot;"),"'","&amp;apos;"))</f>
        <v/>
      </c>
      <c r="T44" s="46">
        <f>ISNUMBER(SEARCH(";"&amp;1&amp;";",";"&amp;$J44&amp;";"))</f>
        <v/>
      </c>
      <c r="U44" s="46">
        <f>ISNUMBER(SEARCH(";"&amp;2&amp;";",";"&amp;$J44&amp;";"))</f>
        <v/>
      </c>
      <c r="V44" s="46">
        <f>ISNUMBER(SEARCH(";"&amp;3&amp;";",";"&amp;$J44&amp;";"))</f>
        <v/>
      </c>
      <c r="W44" s="46">
        <f>ISNUMBER(SEARCH(";"&amp;4&amp;";",";"&amp;$J44&amp;";"))</f>
        <v/>
      </c>
      <c r="X44" s="46">
        <f>ISNUMBER(SEARCH(";"&amp;5&amp;";",";"&amp;$J44&amp;";"))</f>
        <v/>
      </c>
      <c r="Y44" s="46">
        <f>ISNUMBER(SEARCH(";"&amp;6&amp;";",";"&amp;$J44&amp;";"))</f>
        <v/>
      </c>
      <c r="Z44" s="46">
        <f>ISNUMBER(SEARCH(";"&amp;7&amp;";",";"&amp;$J44&amp;";"))</f>
        <v/>
      </c>
      <c r="AA44" s="46">
        <f>ISNUMBER(SEARCH(";"&amp;8&amp;";",";"&amp;$J44&amp;";"))</f>
        <v/>
      </c>
      <c r="AB44" s="46">
        <f>IF($B44,IF(L44="","","        &lt;response_label ident=""0""&gt;&lt;material&gt;&lt;mattext texttype=""text/html""&gt;"&amp;L44&amp;"&lt;/mattext&gt;&lt;/material&gt;&lt;/response_label&gt;"),"")</f>
        <v/>
      </c>
      <c r="AC44" s="46">
        <f>IF($B44,IF(M44="","","        &lt;response_label ident=""1""&gt;&lt;material&gt;&lt;mattext texttype=""text/html""&gt;"&amp;M44&amp;"&lt;/mattext&gt;&lt;/material&gt;&lt;/response_label&gt;"),"")</f>
        <v/>
      </c>
      <c r="AD44" s="46">
        <f>IF($B44,IF(N44="","","        &lt;response_label ident=""2""&gt;&lt;material&gt;&lt;mattext texttype=""text/html""&gt;"&amp;N44&amp;"&lt;/mattext&gt;&lt;/material&gt;&lt;/response_label&gt;"),"")</f>
        <v/>
      </c>
      <c r="AE44" s="46">
        <f>IF($B44,IF(O44="","","        &lt;response_label ident=""3""&gt;&lt;material&gt;&lt;mattext texttype=""text/html""&gt;"&amp;O44&amp;"&lt;/mattext&gt;&lt;/material&gt;&lt;/response_label&gt;"),"")</f>
        <v/>
      </c>
      <c r="AF44" s="46">
        <f>IF($B44,IF(P44="","","        &lt;response_label ident=""4""&gt;&lt;material&gt;&lt;mattext texttype=""text/html""&gt;"&amp;P44&amp;"&lt;/mattext&gt;&lt;/material&gt;&lt;/response_label&gt;"),"")</f>
        <v/>
      </c>
      <c r="AG44" s="46">
        <f>IF($B44,IF(Q44="","","        &lt;response_label ident=""5""&gt;&lt;material&gt;&lt;mattext texttype=""text/html""&gt;"&amp;Q44&amp;"&lt;/mattext&gt;&lt;/material&gt;&lt;/response_label&gt;"),"")</f>
        <v/>
      </c>
      <c r="AH44" s="46">
        <f>IF($B44,IF(R44="","","        &lt;response_label ident=""6""&gt;&lt;material&gt;&lt;mattext texttype=""text/html""&gt;"&amp;R44&amp;"&lt;/mattext&gt;&lt;/material&gt;&lt;/response_label&gt;"),"")</f>
        <v/>
      </c>
      <c r="AI44" s="46">
        <f>IF($B44,IF(S44="","","        &lt;response_label ident=""7""&gt;&lt;material&gt;&lt;mattext texttype=""text/html""&gt;"&amp;S44&amp;"&lt;/mattext&gt;&lt;/material&gt;&lt;/response_label&gt;"),"")</f>
        <v/>
      </c>
      <c r="AJ44" s="46">
        <f>IF($B44,IF(L44="","",IF($C44="qcu",IF(OR(T44,AT44&lt;&gt;"",$AS44&lt;&gt;""),"      &lt;respcondition continue=""Yes""&gt;&lt;conditionvar&gt;&lt;varequal respident=""RESPONSE""&gt;0&lt;/varequal&gt;&lt;/conditionvar&gt;"&amp;"&lt;setvar action=""Add""&gt;"&amp;IF(T44,$H44,0)&amp;"&lt;/setvar&gt;"&amp;IF(AT44&lt;&gt;"","&lt;displayfeedback feedbacktype=""Response"" linkrefid=""response_0""/&gt;",IF($AS44&lt;&gt;"","&lt;displayfeedback feedbacktype=""Response"" linkrefid=""qti_feedback_trigger""/&gt;",""))&amp;"&lt;/respcondition&gt;",""),IF(OR(T44,AT44&lt;&gt;"",$AS44&lt;&gt;""),"      &lt;respcondition continue=""Yes""&gt;&lt;conditionvar&gt;"&amp;IF(T44,"&lt;varequal respident=""RESPONSE""&gt;0&lt;/varequal&gt;","&lt;not&gt;&lt;varequal respident=""RESPONSE""&gt;0&lt;/varequal&gt;&lt;/not&gt;")&amp;"&lt;/conditionvar&gt;&lt;setvar action=""Add""&gt;"&amp;(Saisie_Questions!$N44/$I44)&amp;"&lt;/setvar&gt;"&amp;IF(AT44&lt;&gt;"","&lt;displayfeedback feedbacktype=""Response"" linkrefid=""response_0""/&gt;",IF($AS44&lt;&gt;"","&lt;displayfeedback feedbacktype=""Response"" linkrefid=""qti_feedback_trigger""/&gt;",""))&amp;"&lt;/respcondition&gt;",""))),"")</f>
      </c>
      <c r="AK44" s="46">
        <f>IF($B44,IF(M44="","",IF($C44="qcu",IF(OR(U44,AU44&lt;&gt;"",$AS44&lt;&gt;""),"      &lt;respcondition continue=""Yes""&gt;&lt;conditionvar&gt;&lt;varequal respident=""RESPONSE""&gt;1&lt;/varequal&gt;&lt;/conditionvar&gt;"&amp;"&lt;setvar action=""Add""&gt;"&amp;IF(U44,$H44,0)&amp;"&lt;/setvar&gt;"&amp;IF(AU44&lt;&gt;"","&lt;displayfeedback feedbacktype=""Response"" linkrefid=""response_1""/&gt;",IF($AS44&lt;&gt;"","&lt;displayfeedback feedbacktype=""Response"" linkrefid=""qti_feedback_trigger""/&gt;",""))&amp;"&lt;/respcondition&gt;",""),IF(OR(U44,AU44&lt;&gt;"",$AS44&lt;&gt;""),"      &lt;respcondition continue=""Yes""&gt;&lt;conditionvar&gt;"&amp;IF(U44,"&lt;varequal respident=""RESPONSE""&gt;1&lt;/varequal&gt;","&lt;not&gt;&lt;varequal respident=""RESPONSE""&gt;1&lt;/varequal&gt;&lt;/not&gt;")&amp;"&lt;/conditionvar&gt;&lt;setvar action=""Add""&gt;"&amp;(Saisie_Questions!$N44/$I44)&amp;"&lt;/setvar&gt;"&amp;IF(AU44&lt;&gt;"","&lt;displayfeedback feedbacktype=""Response"" linkrefid=""response_1""/&gt;",IF($AS44&lt;&gt;"","&lt;displayfeedback feedbacktype=""Response"" linkrefid=""qti_feedback_trigger""/&gt;",""))&amp;"&lt;/respcondition&gt;",""))),"")</f>
      </c>
      <c r="AL44" s="46">
        <f>IF($B44,IF(N44="","",IF($C44="qcu",IF(OR(V44,AV44&lt;&gt;"",$AS44&lt;&gt;""),"      &lt;respcondition continue=""Yes""&gt;&lt;conditionvar&gt;&lt;varequal respident=""RESPONSE""&gt;2&lt;/varequal&gt;&lt;/conditionvar&gt;"&amp;"&lt;setvar action=""Add""&gt;"&amp;IF(V44,$H44,0)&amp;"&lt;/setvar&gt;"&amp;IF(AV44&lt;&gt;"","&lt;displayfeedback feedbacktype=""Response"" linkrefid=""response_2""/&gt;",IF($AS44&lt;&gt;"","&lt;displayfeedback feedbacktype=""Response"" linkrefid=""qti_feedback_trigger""/&gt;",""))&amp;"&lt;/respcondition&gt;",""),IF(OR(V44,AV44&lt;&gt;"",$AS44&lt;&gt;""),"      &lt;respcondition continue=""Yes""&gt;&lt;conditionvar&gt;"&amp;IF(V44,"&lt;varequal respident=""RESPONSE""&gt;2&lt;/varequal&gt;","&lt;not&gt;&lt;varequal respident=""RESPONSE""&gt;2&lt;/varequal&gt;&lt;/not&gt;")&amp;"&lt;/conditionvar&gt;&lt;setvar action=""Add""&gt;"&amp;(Saisie_Questions!$N44/$I44)&amp;"&lt;/setvar&gt;"&amp;IF(AV44&lt;&gt;"","&lt;displayfeedback feedbacktype=""Response"" linkrefid=""response_2""/&gt;",IF($AS44&lt;&gt;"","&lt;displayfeedback feedbacktype=""Response"" linkrefid=""qti_feedback_trigger""/&gt;",""))&amp;"&lt;/respcondition&gt;",""))),"")</f>
      </c>
      <c r="AM44" s="46">
        <f>IF($B44,IF(O44="","",IF($C44="qcu",IF(OR(W44,AW44&lt;&gt;"",$AS44&lt;&gt;""),"      &lt;respcondition continue=""Yes""&gt;&lt;conditionvar&gt;&lt;varequal respident=""RESPONSE""&gt;3&lt;/varequal&gt;&lt;/conditionvar&gt;"&amp;"&lt;setvar action=""Add""&gt;"&amp;IF(W44,$H44,0)&amp;"&lt;/setvar&gt;"&amp;IF(AW44&lt;&gt;"","&lt;displayfeedback feedbacktype=""Response"" linkrefid=""response_3""/&gt;",IF($AS44&lt;&gt;"","&lt;displayfeedback feedbacktype=""Response"" linkrefid=""qti_feedback_trigger""/&gt;",""))&amp;"&lt;/respcondition&gt;",""),IF(OR(W44,AW44&lt;&gt;"",$AS44&lt;&gt;""),"      &lt;respcondition continue=""Yes""&gt;&lt;conditionvar&gt;"&amp;IF(W44,"&lt;varequal respident=""RESPONSE""&gt;3&lt;/varequal&gt;","&lt;not&gt;&lt;varequal respident=""RESPONSE""&gt;3&lt;/varequal&gt;&lt;/not&gt;")&amp;"&lt;/conditionvar&gt;&lt;setvar action=""Add""&gt;"&amp;(Saisie_Questions!$N44/$I44)&amp;"&lt;/setvar&gt;"&amp;IF(AW44&lt;&gt;"","&lt;displayfeedback feedbacktype=""Response"" linkrefid=""response_3""/&gt;",IF($AS44&lt;&gt;"","&lt;displayfeedback feedbacktype=""Response"" linkrefid=""qti_feedback_trigger""/&gt;",""))&amp;"&lt;/respcondition&gt;",""))),"")</f>
      </c>
      <c r="AN44" s="46">
        <f>IF($B44,IF(P44="","",IF($C44="qcu",IF(OR(X44,AX44&lt;&gt;"",$AS44&lt;&gt;""),"      &lt;respcondition continue=""Yes""&gt;&lt;conditionvar&gt;&lt;varequal respident=""RESPONSE""&gt;4&lt;/varequal&gt;&lt;/conditionvar&gt;"&amp;"&lt;setvar action=""Add""&gt;"&amp;IF(X44,$H44,0)&amp;"&lt;/setvar&gt;"&amp;IF(AX44&lt;&gt;"","&lt;displayfeedback feedbacktype=""Response"" linkrefid=""response_4""/&gt;",IF($AS44&lt;&gt;"","&lt;displayfeedback feedbacktype=""Response"" linkrefid=""qti_feedback_trigger""/&gt;",""))&amp;"&lt;/respcondition&gt;",""),IF(OR(X44,AX44&lt;&gt;"",$AS44&lt;&gt;""),"      &lt;respcondition continue=""Yes""&gt;&lt;conditionvar&gt;"&amp;IF(X44,"&lt;varequal respident=""RESPONSE""&gt;4&lt;/varequal&gt;","&lt;not&gt;&lt;varequal respident=""RESPONSE""&gt;4&lt;/varequal&gt;&lt;/not&gt;")&amp;"&lt;/conditionvar&gt;&lt;setvar action=""Add""&gt;"&amp;(Saisie_Questions!$N44/$I44)&amp;"&lt;/setvar&gt;"&amp;IF(AX44&lt;&gt;"","&lt;displayfeedback feedbacktype=""Response"" linkrefid=""response_4""/&gt;",IF($AS44&lt;&gt;"","&lt;displayfeedback feedbacktype=""Response"" linkrefid=""qti_feedback_trigger""/&gt;",""))&amp;"&lt;/respcondition&gt;",""))),"")</f>
      </c>
      <c r="AO44" s="46">
        <f>IF($B44,IF(Q44="","",IF($C44="qcu",IF(OR(Y44,AY44&lt;&gt;"",$AS44&lt;&gt;""),"      &lt;respcondition continue=""Yes""&gt;&lt;conditionvar&gt;&lt;varequal respident=""RESPONSE""&gt;5&lt;/varequal&gt;&lt;/conditionvar&gt;"&amp;"&lt;setvar action=""Add""&gt;"&amp;IF(Y44,$H44,0)&amp;"&lt;/setvar&gt;"&amp;IF(AY44&lt;&gt;"","&lt;displayfeedback feedbacktype=""Response"" linkrefid=""response_5""/&gt;",IF($AS44&lt;&gt;"","&lt;displayfeedback feedbacktype=""Response"" linkrefid=""qti_feedback_trigger""/&gt;",""))&amp;"&lt;/respcondition&gt;",""),IF(OR(Y44,AY44&lt;&gt;"",$AS44&lt;&gt;""),"      &lt;respcondition continue=""Yes""&gt;&lt;conditionvar&gt;"&amp;IF(Y44,"&lt;varequal respident=""RESPONSE""&gt;5&lt;/varequal&gt;","&lt;not&gt;&lt;varequal respident=""RESPONSE""&gt;5&lt;/varequal&gt;&lt;/not&gt;")&amp;"&lt;/conditionvar&gt;&lt;setvar action=""Add""&gt;"&amp;(Saisie_Questions!$N44/$I44)&amp;"&lt;/setvar&gt;"&amp;IF(AY44&lt;&gt;"","&lt;displayfeedback feedbacktype=""Response"" linkrefid=""response_5""/&gt;",IF($AS44&lt;&gt;"","&lt;displayfeedback feedbacktype=""Response"" linkrefid=""qti_feedback_trigger""/&gt;",""))&amp;"&lt;/respcondition&gt;",""))),"")</f>
      </c>
      <c r="AP44" s="46">
        <f>IF($B44,IF(R44="","",IF($C44="qcu",IF(OR(Z44,AZ44&lt;&gt;"",$AS44&lt;&gt;""),"      &lt;respcondition continue=""Yes""&gt;&lt;conditionvar&gt;&lt;varequal respident=""RESPONSE""&gt;6&lt;/varequal&gt;&lt;/conditionvar&gt;"&amp;"&lt;setvar action=""Add""&gt;"&amp;IF(Z44,$H44,0)&amp;"&lt;/setvar&gt;"&amp;IF(AZ44&lt;&gt;"","&lt;displayfeedback feedbacktype=""Response"" linkrefid=""response_6""/&gt;",IF($AS44&lt;&gt;"","&lt;displayfeedback feedbacktype=""Response"" linkrefid=""qti_feedback_trigger""/&gt;",""))&amp;"&lt;/respcondition&gt;",""),IF(OR(Z44,AZ44&lt;&gt;"",$AS44&lt;&gt;""),"      &lt;respcondition continue=""Yes""&gt;&lt;conditionvar&gt;"&amp;IF(Z44,"&lt;varequal respident=""RESPONSE""&gt;6&lt;/varequal&gt;","&lt;not&gt;&lt;varequal respident=""RESPONSE""&gt;6&lt;/varequal&gt;&lt;/not&gt;")&amp;"&lt;/conditionvar&gt;&lt;setvar action=""Add""&gt;"&amp;(Saisie_Questions!$N44/$I44)&amp;"&lt;/setvar&gt;"&amp;IF(AZ44&lt;&gt;"","&lt;displayfeedback feedbacktype=""Response"" linkrefid=""response_6""/&gt;",IF($AS44&lt;&gt;"","&lt;displayfeedback feedbacktype=""Response"" linkrefid=""qti_feedback_trigger""/&gt;",""))&amp;"&lt;/respcondition&gt;",""))),"")</f>
      </c>
      <c r="AQ44" s="46">
        <f>IF($B44,IF(S44="","",IF($C44="qcu",IF(OR(AA44,BA44&lt;&gt;"",$AS44&lt;&gt;""),"      &lt;respcondition continue=""Yes""&gt;&lt;conditionvar&gt;&lt;varequal respident=""RESPONSE""&gt;7&lt;/varequal&gt;&lt;/conditionvar&gt;"&amp;"&lt;setvar action=""Add""&gt;"&amp;IF(AA44,$H44,0)&amp;"&lt;/setvar&gt;"&amp;IF(BA44&lt;&gt;"","&lt;displayfeedback feedbacktype=""Response"" linkrefid=""response_7""/&gt;",IF($AS44&lt;&gt;"","&lt;displayfeedback feedbacktype=""Response"" linkrefid=""qti_feedback_trigger""/&gt;",""))&amp;"&lt;/respcondition&gt;",""),IF(OR(AA44,BA44&lt;&gt;"",$AS44&lt;&gt;""),"      &lt;respcondition continue=""Yes""&gt;&lt;conditionvar&gt;"&amp;IF(AA44,"&lt;varequal respident=""RESPONSE""&gt;7&lt;/varequal&gt;","&lt;not&gt;&lt;varequal respident=""RESPONSE""&gt;7&lt;/varequal&gt;&lt;/not&gt;")&amp;"&lt;/conditionvar&gt;&lt;setvar action=""Add""&gt;"&amp;(Saisie_Questions!$N44/$I44)&amp;"&lt;/setvar&gt;"&amp;IF(BA44&lt;&gt;"","&lt;displayfeedback feedbacktype=""Response"" linkrefid=""response_7""/&gt;",IF($AS44&lt;&gt;"","&lt;displayfeedback feedbacktype=""Response"" linkrefid=""qti_feedback_trigger""/&gt;",""))&amp;"&lt;/respcondition&gt;",""))),"")</f>
      </c>
      <c r="AR44" s="46">
        <f>IF(A44="","",SUBSTITUTE(SUBSTITUTE(SUBSTITUTE(SUBSTITUTE(SUBSTITUTE(IF(Saisie_Questions!P44&lt;&gt;"",Saisie_Questions!P44,Interface_Generation!$B$5),"&amp;","&amp;amp;"),"&lt;","&amp;lt;"),"&gt;","&amp;gt;"),CHAR(34),"&amp;quot;"),"'","&amp;apos;"))</f>
        <v/>
      </c>
      <c r="AS44" s="46">
        <f>IF(Saisie_Questions!Q44="","",SUBSTITUTE(SUBSTITUTE(SUBSTITUTE(SUBSTITUTE(SUBSTITUTE(Saisie_Questions!Q44,"&amp;","&amp;amp;"),"&lt;","&amp;lt;"),"&gt;","&amp;gt;"),CHAR(34),"&amp;quot;"),"'","&amp;apos;"))</f>
        <v/>
      </c>
      <c r="AT44" s="46">
        <f>IF(Saisie_Questions!R44="","",SUBSTITUTE(SUBSTITUTE(SUBSTITUTE(SUBSTITUTE(SUBSTITUTE(Saisie_Questions!R44,"&amp;","&amp;amp;"),"&lt;","&amp;lt;"),"&gt;","&amp;gt;"),CHAR(34),"&amp;quot;"),"'","&amp;apos;"))</f>
        <v/>
      </c>
      <c r="AU44" s="46">
        <f>IF(Saisie_Questions!S44="","",SUBSTITUTE(SUBSTITUTE(SUBSTITUTE(SUBSTITUTE(SUBSTITUTE(Saisie_Questions!S44,"&amp;","&amp;amp;"),"&lt;","&amp;lt;"),"&gt;","&amp;gt;"),CHAR(34),"&amp;quot;"),"'","&amp;apos;"))</f>
        <v/>
      </c>
      <c r="AV44" s="46">
        <f>IF(Saisie_Questions!T44="","",SUBSTITUTE(SUBSTITUTE(SUBSTITUTE(SUBSTITUTE(SUBSTITUTE(Saisie_Questions!T44,"&amp;","&amp;amp;"),"&lt;","&amp;lt;"),"&gt;","&amp;gt;"),CHAR(34),"&amp;quot;"),"'","&amp;apos;"))</f>
        <v/>
      </c>
      <c r="AW44" s="46">
        <f>IF(Saisie_Questions!U44="","",SUBSTITUTE(SUBSTITUTE(SUBSTITUTE(SUBSTITUTE(SUBSTITUTE(Saisie_Questions!U44,"&amp;","&amp;amp;"),"&lt;","&amp;lt;"),"&gt;","&amp;gt;"),CHAR(34),"&amp;quot;"),"'","&amp;apos;"))</f>
        <v/>
      </c>
      <c r="AX44" s="46">
        <f>IF(Saisie_Questions!V44="","",SUBSTITUTE(SUBSTITUTE(SUBSTITUTE(SUBSTITUTE(SUBSTITUTE(Saisie_Questions!V44,"&amp;","&amp;amp;"),"&lt;","&amp;lt;"),"&gt;","&amp;gt;"),CHAR(34),"&amp;quot;"),"'","&amp;apos;"))</f>
        <v/>
      </c>
      <c r="AY44" s="46">
        <f>IF(Saisie_Questions!W44="","",SUBSTITUTE(SUBSTITUTE(SUBSTITUTE(SUBSTITUTE(SUBSTITUTE(Saisie_Questions!W44,"&amp;","&amp;amp;"),"&lt;","&amp;lt;"),"&gt;","&amp;gt;"),CHAR(34),"&amp;quot;"),"'","&amp;apos;"))</f>
        <v/>
      </c>
      <c r="AZ44" s="46">
        <f>IF(Saisie_Questions!X44="","",SUBSTITUTE(SUBSTITUTE(SUBSTITUTE(SUBSTITUTE(SUBSTITUTE(Saisie_Questions!X44,"&amp;","&amp;amp;"),"&lt;","&amp;lt;"),"&gt;","&amp;gt;"),CHAR(34),"&amp;quot;"),"'","&amp;apos;"))</f>
        <v/>
      </c>
      <c r="BA44" s="46">
        <f>IF(Saisie_Questions!Y44="","",SUBSTITUTE(SUBSTITUTE(SUBSTITUTE(SUBSTITUTE(SUBSTITUTE(Saisie_Questions!Y44,"&amp;","&amp;amp;"),"&lt;","&amp;lt;"),"&gt;","&amp;gt;"),CHAR(34),"&amp;quot;"),"'","&amp;apos;"))</f>
        <v/>
      </c>
      <c r="BB44" s="46">
        <f>IF($B44,IF($AS44="","","    &lt;itemfeedback ident=""response_allcorrect"" view=""All""&gt;&lt;flow_mat&gt;&lt;material&gt;&lt;mattext texttype=""text/html""&gt;"&amp;$AS44&amp;"&lt;/mattext&gt;&lt;/material&gt;&lt;/flow_mat&gt;&lt;/itemfeedback&gt;"&amp;"    &lt;itemfeedback ident=""response_onenotcorrect"" view=""All""&gt;&lt;flow_mat&gt;&lt;material&gt;&lt;mattext texttype=""text/html""&gt;"&amp;$AS44&amp;"&lt;/mattext&gt;&lt;/material&gt;&lt;/flow_mat&gt;&lt;/itemfeedback&gt;"),"")</f>
      </c>
      <c r="BC44" s="46">
        <f>IF($B44,IF(AT44="","","    &lt;itemfeedback ident=""response_0"" view=""All""&gt;&lt;flow_mat&gt;&lt;material&gt;&lt;mattext texttype=""text/html""&gt;"&amp;AT44&amp;"&lt;/mattext&gt;&lt;/material&gt;&lt;/flow_mat&gt;&lt;/itemfeedback&gt;"),"")</f>
      </c>
      <c r="BD44" s="46">
        <f>IF($B44,IF(AU44="","","    &lt;itemfeedback ident=""response_1"" view=""All""&gt;&lt;flow_mat&gt;&lt;material&gt;&lt;mattext texttype=""text/html""&gt;"&amp;AU44&amp;"&lt;/mattext&gt;&lt;/material&gt;&lt;/flow_mat&gt;&lt;/itemfeedback&gt;"),"")</f>
      </c>
      <c r="BE44" s="46">
        <f>IF($B44,IF(AV44="","","    &lt;itemfeedback ident=""response_2"" view=""All""&gt;&lt;flow_mat&gt;&lt;material&gt;&lt;mattext texttype=""text/html""&gt;"&amp;AV44&amp;"&lt;/mattext&gt;&lt;/material&gt;&lt;/flow_mat&gt;&lt;/itemfeedback&gt;"),"")</f>
      </c>
      <c r="BF44" s="46">
        <f>IF($B44,IF(AW44="","","    &lt;itemfeedback ident=""response_3"" view=""All""&gt;&lt;flow_mat&gt;&lt;material&gt;&lt;mattext texttype=""text/html""&gt;"&amp;AW44&amp;"&lt;/mattext&gt;&lt;/material&gt;&lt;/flow_mat&gt;&lt;/itemfeedback&gt;"),"")</f>
      </c>
      <c r="BG44" s="46">
        <f>IF($B44,IF(AX44="","","    &lt;itemfeedback ident=""response_4"" view=""All""&gt;&lt;flow_mat&gt;&lt;material&gt;&lt;mattext texttype=""text/html""&gt;"&amp;AX44&amp;"&lt;/mattext&gt;&lt;/material&gt;&lt;/flow_mat&gt;&lt;/itemfeedback&gt;"),"")</f>
      </c>
      <c r="BH44" s="46">
        <f>IF($B44,IF(AY44="","","    &lt;itemfeedback ident=""response_5"" view=""All""&gt;&lt;flow_mat&gt;&lt;material&gt;&lt;mattext texttype=""text/html""&gt;"&amp;AY44&amp;"&lt;/mattext&gt;&lt;/material&gt;&lt;/flow_mat&gt;&lt;/itemfeedback&gt;"),"")</f>
      </c>
      <c r="BI44" s="46">
        <f>IF($B44,IF(AZ44="","","    &lt;itemfeedback ident=""response_6"" view=""All""&gt;&lt;flow_mat&gt;&lt;material&gt;&lt;mattext texttype=""text/html""&gt;"&amp;AZ44&amp;"&lt;/mattext&gt;&lt;/material&gt;&lt;/flow_mat&gt;&lt;/itemfeedback&gt;"),"")</f>
      </c>
      <c r="BJ44" s="46">
        <f>IF($B44,IF(BA44="","","    &lt;itemfeedback ident=""response_7"" view=""All""&gt;&lt;flow_mat&gt;&lt;material&gt;&lt;mattext texttype=""text/html""&gt;"&amp;BA44&amp;"&lt;/mattext&gt;&lt;/material&gt;&lt;/flow_mat&gt;&lt;/itemfeedback&gt;"),"")</f>
      </c>
    </row>
    <row r="45" ht="18" customHeight="1" s="17">
      <c r="A45" s="46">
        <f>Saisie_Questions!A45</f>
        <v/>
      </c>
      <c r="B45" s="46">
        <f>Saisie_Questions!O45="OK"</f>
        <v/>
      </c>
      <c r="C45" s="46">
        <f>LOWER(TRIM(Saisie_Questions!B45))</f>
        <v/>
      </c>
      <c r="D45" s="46">
        <f>IF(C45="qcu","SINGLE CHOICE QUESTION","MULTIPLE CHOICE QUESTION")</f>
        <v/>
      </c>
      <c r="E45" s="46">
        <f>IF(C45="qcu","Single","Multiple")</f>
        <v/>
      </c>
      <c r="F45" s="46">
        <f>IF(A45="","",SUBSTITUTE(SUBSTITUTE(SUBSTITUTE(SUBSTITUTE(SUBSTITUTE(IF(Saisie_Questions!C45="", "Question "&amp;A45, Saisie_Questions!C45),"&amp;","&amp;amp;"),"&lt;","&amp;lt;"),"&gt;","&amp;gt;"),CHAR(34),"&amp;quot;"),"'","&amp;apos;"))</f>
        <v/>
      </c>
      <c r="G45" s="46">
        <f>IF(A45="","",SUBSTITUTE(SUBSTITUTE(SUBSTITUTE(SUBSTITUTE(SUBSTITUTE(Saisie_Questions!D45,"&amp;","&amp;amp;"),"&lt;","&amp;lt;"),"&gt;","&amp;gt;"),CHAR(34),"&amp;quot;"),"'","&amp;apos;"))</f>
        <v/>
      </c>
      <c r="H45" s="46">
        <f>Saisie_Questions!N45</f>
        <v/>
      </c>
      <c r="I45" s="46">
        <f>IF(Saisie_Questions!E45="",0,1)+IF(Saisie_Questions!F45="",0,1)+IF(Saisie_Questions!G45="",0,1)+IF(Saisie_Questions!H45="",0,1)+IF(Saisie_Questions!I45="",0,1)+IF(Saisie_Questions!J45="",0,1)+IF(Saisie_Questions!K45="",0,1)+IF(Saisie_Questions!L45="",0,1)</f>
        <v/>
      </c>
      <c r="J45" s="46">
        <f>Saisie_Questions!M45</f>
        <v/>
      </c>
      <c r="K45" s="46">
        <f>Saisie_Questions!O45</f>
        <v/>
      </c>
      <c r="L45" s="46">
        <f>IF(Saisie_Questions!E45="","",SUBSTITUTE(SUBSTITUTE(SUBSTITUTE(SUBSTITUTE(SUBSTITUTE(Saisie_Questions!E45,"&amp;","&amp;amp;"),"&lt;","&amp;lt;"),"&gt;","&amp;gt;"),CHAR(34),"&amp;quot;"),"'","&amp;apos;"))</f>
        <v/>
      </c>
      <c r="M45" s="46">
        <f>IF(Saisie_Questions!F45="","",SUBSTITUTE(SUBSTITUTE(SUBSTITUTE(SUBSTITUTE(SUBSTITUTE(Saisie_Questions!F45,"&amp;","&amp;amp;"),"&lt;","&amp;lt;"),"&gt;","&amp;gt;"),CHAR(34),"&amp;quot;"),"'","&amp;apos;"))</f>
        <v/>
      </c>
      <c r="N45" s="46">
        <f>IF(Saisie_Questions!G45="","",SUBSTITUTE(SUBSTITUTE(SUBSTITUTE(SUBSTITUTE(SUBSTITUTE(Saisie_Questions!G45,"&amp;","&amp;amp;"),"&lt;","&amp;lt;"),"&gt;","&amp;gt;"),CHAR(34),"&amp;quot;"),"'","&amp;apos;"))</f>
        <v/>
      </c>
      <c r="O45" s="46">
        <f>IF(Saisie_Questions!H45="","",SUBSTITUTE(SUBSTITUTE(SUBSTITUTE(SUBSTITUTE(SUBSTITUTE(Saisie_Questions!H45,"&amp;","&amp;amp;"),"&lt;","&amp;lt;"),"&gt;","&amp;gt;"),CHAR(34),"&amp;quot;"),"'","&amp;apos;"))</f>
        <v/>
      </c>
      <c r="P45" s="46">
        <f>IF(Saisie_Questions!I45="","",SUBSTITUTE(SUBSTITUTE(SUBSTITUTE(SUBSTITUTE(SUBSTITUTE(Saisie_Questions!I45,"&amp;","&amp;amp;"),"&lt;","&amp;lt;"),"&gt;","&amp;gt;"),CHAR(34),"&amp;quot;"),"'","&amp;apos;"))</f>
        <v/>
      </c>
      <c r="Q45" s="46">
        <f>IF(Saisie_Questions!J45="","",SUBSTITUTE(SUBSTITUTE(SUBSTITUTE(SUBSTITUTE(SUBSTITUTE(Saisie_Questions!J45,"&amp;","&amp;amp;"),"&lt;","&amp;lt;"),"&gt;","&amp;gt;"),CHAR(34),"&amp;quot;"),"'","&amp;apos;"))</f>
        <v/>
      </c>
      <c r="R45" s="46">
        <f>IF(Saisie_Questions!K45="","",SUBSTITUTE(SUBSTITUTE(SUBSTITUTE(SUBSTITUTE(SUBSTITUTE(Saisie_Questions!K45,"&amp;","&amp;amp;"),"&lt;","&amp;lt;"),"&gt;","&amp;gt;"),CHAR(34),"&amp;quot;"),"'","&amp;apos;"))</f>
        <v/>
      </c>
      <c r="S45" s="46">
        <f>IF(Saisie_Questions!L45="","",SUBSTITUTE(SUBSTITUTE(SUBSTITUTE(SUBSTITUTE(SUBSTITUTE(Saisie_Questions!L45,"&amp;","&amp;amp;"),"&lt;","&amp;lt;"),"&gt;","&amp;gt;"),CHAR(34),"&amp;quot;"),"'","&amp;apos;"))</f>
        <v/>
      </c>
      <c r="T45" s="46">
        <f>ISNUMBER(SEARCH(";"&amp;1&amp;";",";"&amp;$J45&amp;";"))</f>
        <v/>
      </c>
      <c r="U45" s="46">
        <f>ISNUMBER(SEARCH(";"&amp;2&amp;";",";"&amp;$J45&amp;";"))</f>
        <v/>
      </c>
      <c r="V45" s="46">
        <f>ISNUMBER(SEARCH(";"&amp;3&amp;";",";"&amp;$J45&amp;";"))</f>
        <v/>
      </c>
      <c r="W45" s="46">
        <f>ISNUMBER(SEARCH(";"&amp;4&amp;";",";"&amp;$J45&amp;";"))</f>
        <v/>
      </c>
      <c r="X45" s="46">
        <f>ISNUMBER(SEARCH(";"&amp;5&amp;";",";"&amp;$J45&amp;";"))</f>
        <v/>
      </c>
      <c r="Y45" s="46">
        <f>ISNUMBER(SEARCH(";"&amp;6&amp;";",";"&amp;$J45&amp;";"))</f>
        <v/>
      </c>
      <c r="Z45" s="46">
        <f>ISNUMBER(SEARCH(";"&amp;7&amp;";",";"&amp;$J45&amp;";"))</f>
        <v/>
      </c>
      <c r="AA45" s="46">
        <f>ISNUMBER(SEARCH(";"&amp;8&amp;";",";"&amp;$J45&amp;";"))</f>
        <v/>
      </c>
      <c r="AB45" s="46">
        <f>IF($B45,IF(L45="","","        &lt;response_label ident=""0""&gt;&lt;material&gt;&lt;mattext texttype=""text/html""&gt;"&amp;L45&amp;"&lt;/mattext&gt;&lt;/material&gt;&lt;/response_label&gt;"),"")</f>
        <v/>
      </c>
      <c r="AC45" s="46">
        <f>IF($B45,IF(M45="","","        &lt;response_label ident=""1""&gt;&lt;material&gt;&lt;mattext texttype=""text/html""&gt;"&amp;M45&amp;"&lt;/mattext&gt;&lt;/material&gt;&lt;/response_label&gt;"),"")</f>
        <v/>
      </c>
      <c r="AD45" s="46">
        <f>IF($B45,IF(N45="","","        &lt;response_label ident=""2""&gt;&lt;material&gt;&lt;mattext texttype=""text/html""&gt;"&amp;N45&amp;"&lt;/mattext&gt;&lt;/material&gt;&lt;/response_label&gt;"),"")</f>
        <v/>
      </c>
      <c r="AE45" s="46">
        <f>IF($B45,IF(O45="","","        &lt;response_label ident=""3""&gt;&lt;material&gt;&lt;mattext texttype=""text/html""&gt;"&amp;O45&amp;"&lt;/mattext&gt;&lt;/material&gt;&lt;/response_label&gt;"),"")</f>
        <v/>
      </c>
      <c r="AF45" s="46">
        <f>IF($B45,IF(P45="","","        &lt;response_label ident=""4""&gt;&lt;material&gt;&lt;mattext texttype=""text/html""&gt;"&amp;P45&amp;"&lt;/mattext&gt;&lt;/material&gt;&lt;/response_label&gt;"),"")</f>
        <v/>
      </c>
      <c r="AG45" s="46">
        <f>IF($B45,IF(Q45="","","        &lt;response_label ident=""5""&gt;&lt;material&gt;&lt;mattext texttype=""text/html""&gt;"&amp;Q45&amp;"&lt;/mattext&gt;&lt;/material&gt;&lt;/response_label&gt;"),"")</f>
        <v/>
      </c>
      <c r="AH45" s="46">
        <f>IF($B45,IF(R45="","","        &lt;response_label ident=""6""&gt;&lt;material&gt;&lt;mattext texttype=""text/html""&gt;"&amp;R45&amp;"&lt;/mattext&gt;&lt;/material&gt;&lt;/response_label&gt;"),"")</f>
        <v/>
      </c>
      <c r="AI45" s="46">
        <f>IF($B45,IF(S45="","","        &lt;response_label ident=""7""&gt;&lt;material&gt;&lt;mattext texttype=""text/html""&gt;"&amp;S45&amp;"&lt;/mattext&gt;&lt;/material&gt;&lt;/response_label&gt;"),"")</f>
        <v/>
      </c>
      <c r="AJ45" s="46">
        <f>IF($B45,IF(L45="","",IF($C45="qcu",IF(OR(T45,AT45&lt;&gt;"",$AS45&lt;&gt;""),"      &lt;respcondition continue=""Yes""&gt;&lt;conditionvar&gt;&lt;varequal respident=""RESPONSE""&gt;0&lt;/varequal&gt;&lt;/conditionvar&gt;"&amp;"&lt;setvar action=""Add""&gt;"&amp;IF(T45,$H45,0)&amp;"&lt;/setvar&gt;"&amp;IF(AT45&lt;&gt;"","&lt;displayfeedback feedbacktype=""Response"" linkrefid=""response_0""/&gt;",IF($AS45&lt;&gt;"","&lt;displayfeedback feedbacktype=""Response"" linkrefid=""qti_feedback_trigger""/&gt;",""))&amp;"&lt;/respcondition&gt;",""),IF(OR(T45,AT45&lt;&gt;"",$AS45&lt;&gt;""),"      &lt;respcondition continue=""Yes""&gt;&lt;conditionvar&gt;"&amp;IF(T45,"&lt;varequal respident=""RESPONSE""&gt;0&lt;/varequal&gt;","&lt;not&gt;&lt;varequal respident=""RESPONSE""&gt;0&lt;/varequal&gt;&lt;/not&gt;")&amp;"&lt;/conditionvar&gt;&lt;setvar action=""Add""&gt;"&amp;(Saisie_Questions!$N45/$I45)&amp;"&lt;/setvar&gt;"&amp;IF(AT45&lt;&gt;"","&lt;displayfeedback feedbacktype=""Response"" linkrefid=""response_0""/&gt;",IF($AS45&lt;&gt;"","&lt;displayfeedback feedbacktype=""Response"" linkrefid=""qti_feedback_trigger""/&gt;",""))&amp;"&lt;/respcondition&gt;",""))),"")</f>
      </c>
      <c r="AK45" s="46">
        <f>IF($B45,IF(M45="","",IF($C45="qcu",IF(OR(U45,AU45&lt;&gt;"",$AS45&lt;&gt;""),"      &lt;respcondition continue=""Yes""&gt;&lt;conditionvar&gt;&lt;varequal respident=""RESPONSE""&gt;1&lt;/varequal&gt;&lt;/conditionvar&gt;"&amp;"&lt;setvar action=""Add""&gt;"&amp;IF(U45,$H45,0)&amp;"&lt;/setvar&gt;"&amp;IF(AU45&lt;&gt;"","&lt;displayfeedback feedbacktype=""Response"" linkrefid=""response_1""/&gt;",IF($AS45&lt;&gt;"","&lt;displayfeedback feedbacktype=""Response"" linkrefid=""qti_feedback_trigger""/&gt;",""))&amp;"&lt;/respcondition&gt;",""),IF(OR(U45,AU45&lt;&gt;"",$AS45&lt;&gt;""),"      &lt;respcondition continue=""Yes""&gt;&lt;conditionvar&gt;"&amp;IF(U45,"&lt;varequal respident=""RESPONSE""&gt;1&lt;/varequal&gt;","&lt;not&gt;&lt;varequal respident=""RESPONSE""&gt;1&lt;/varequal&gt;&lt;/not&gt;")&amp;"&lt;/conditionvar&gt;&lt;setvar action=""Add""&gt;"&amp;(Saisie_Questions!$N45/$I45)&amp;"&lt;/setvar&gt;"&amp;IF(AU45&lt;&gt;"","&lt;displayfeedback feedbacktype=""Response"" linkrefid=""response_1""/&gt;",IF($AS45&lt;&gt;"","&lt;displayfeedback feedbacktype=""Response"" linkrefid=""qti_feedback_trigger""/&gt;",""))&amp;"&lt;/respcondition&gt;",""))),"")</f>
      </c>
      <c r="AL45" s="46">
        <f>IF($B45,IF(N45="","",IF($C45="qcu",IF(OR(V45,AV45&lt;&gt;"",$AS45&lt;&gt;""),"      &lt;respcondition continue=""Yes""&gt;&lt;conditionvar&gt;&lt;varequal respident=""RESPONSE""&gt;2&lt;/varequal&gt;&lt;/conditionvar&gt;"&amp;"&lt;setvar action=""Add""&gt;"&amp;IF(V45,$H45,0)&amp;"&lt;/setvar&gt;"&amp;IF(AV45&lt;&gt;"","&lt;displayfeedback feedbacktype=""Response"" linkrefid=""response_2""/&gt;",IF($AS45&lt;&gt;"","&lt;displayfeedback feedbacktype=""Response"" linkrefid=""qti_feedback_trigger""/&gt;",""))&amp;"&lt;/respcondition&gt;",""),IF(OR(V45,AV45&lt;&gt;"",$AS45&lt;&gt;""),"      &lt;respcondition continue=""Yes""&gt;&lt;conditionvar&gt;"&amp;IF(V45,"&lt;varequal respident=""RESPONSE""&gt;2&lt;/varequal&gt;","&lt;not&gt;&lt;varequal respident=""RESPONSE""&gt;2&lt;/varequal&gt;&lt;/not&gt;")&amp;"&lt;/conditionvar&gt;&lt;setvar action=""Add""&gt;"&amp;(Saisie_Questions!$N45/$I45)&amp;"&lt;/setvar&gt;"&amp;IF(AV45&lt;&gt;"","&lt;displayfeedback feedbacktype=""Response"" linkrefid=""response_2""/&gt;",IF($AS45&lt;&gt;"","&lt;displayfeedback feedbacktype=""Response"" linkrefid=""qti_feedback_trigger""/&gt;",""))&amp;"&lt;/respcondition&gt;",""))),"")</f>
      </c>
      <c r="AM45" s="46">
        <f>IF($B45,IF(O45="","",IF($C45="qcu",IF(OR(W45,AW45&lt;&gt;"",$AS45&lt;&gt;""),"      &lt;respcondition continue=""Yes""&gt;&lt;conditionvar&gt;&lt;varequal respident=""RESPONSE""&gt;3&lt;/varequal&gt;&lt;/conditionvar&gt;"&amp;"&lt;setvar action=""Add""&gt;"&amp;IF(W45,$H45,0)&amp;"&lt;/setvar&gt;"&amp;IF(AW45&lt;&gt;"","&lt;displayfeedback feedbacktype=""Response"" linkrefid=""response_3""/&gt;",IF($AS45&lt;&gt;"","&lt;displayfeedback feedbacktype=""Response"" linkrefid=""qti_feedback_trigger""/&gt;",""))&amp;"&lt;/respcondition&gt;",""),IF(OR(W45,AW45&lt;&gt;"",$AS45&lt;&gt;""),"      &lt;respcondition continue=""Yes""&gt;&lt;conditionvar&gt;"&amp;IF(W45,"&lt;varequal respident=""RESPONSE""&gt;3&lt;/varequal&gt;","&lt;not&gt;&lt;varequal respident=""RESPONSE""&gt;3&lt;/varequal&gt;&lt;/not&gt;")&amp;"&lt;/conditionvar&gt;&lt;setvar action=""Add""&gt;"&amp;(Saisie_Questions!$N45/$I45)&amp;"&lt;/setvar&gt;"&amp;IF(AW45&lt;&gt;"","&lt;displayfeedback feedbacktype=""Response"" linkrefid=""response_3""/&gt;",IF($AS45&lt;&gt;"","&lt;displayfeedback feedbacktype=""Response"" linkrefid=""qti_feedback_trigger""/&gt;",""))&amp;"&lt;/respcondition&gt;",""))),"")</f>
      </c>
      <c r="AN45" s="46">
        <f>IF($B45,IF(P45="","",IF($C45="qcu",IF(OR(X45,AX45&lt;&gt;"",$AS45&lt;&gt;""),"      &lt;respcondition continue=""Yes""&gt;&lt;conditionvar&gt;&lt;varequal respident=""RESPONSE""&gt;4&lt;/varequal&gt;&lt;/conditionvar&gt;"&amp;"&lt;setvar action=""Add""&gt;"&amp;IF(X45,$H45,0)&amp;"&lt;/setvar&gt;"&amp;IF(AX45&lt;&gt;"","&lt;displayfeedback feedbacktype=""Response"" linkrefid=""response_4""/&gt;",IF($AS45&lt;&gt;"","&lt;displayfeedback feedbacktype=""Response"" linkrefid=""qti_feedback_trigger""/&gt;",""))&amp;"&lt;/respcondition&gt;",""),IF(OR(X45,AX45&lt;&gt;"",$AS45&lt;&gt;""),"      &lt;respcondition continue=""Yes""&gt;&lt;conditionvar&gt;"&amp;IF(X45,"&lt;varequal respident=""RESPONSE""&gt;4&lt;/varequal&gt;","&lt;not&gt;&lt;varequal respident=""RESPONSE""&gt;4&lt;/varequal&gt;&lt;/not&gt;")&amp;"&lt;/conditionvar&gt;&lt;setvar action=""Add""&gt;"&amp;(Saisie_Questions!$N45/$I45)&amp;"&lt;/setvar&gt;"&amp;IF(AX45&lt;&gt;"","&lt;displayfeedback feedbacktype=""Response"" linkrefid=""response_4""/&gt;",IF($AS45&lt;&gt;"","&lt;displayfeedback feedbacktype=""Response"" linkrefid=""qti_feedback_trigger""/&gt;",""))&amp;"&lt;/respcondition&gt;",""))),"")</f>
      </c>
      <c r="AO45" s="46">
        <f>IF($B45,IF(Q45="","",IF($C45="qcu",IF(OR(Y45,AY45&lt;&gt;"",$AS45&lt;&gt;""),"      &lt;respcondition continue=""Yes""&gt;&lt;conditionvar&gt;&lt;varequal respident=""RESPONSE""&gt;5&lt;/varequal&gt;&lt;/conditionvar&gt;"&amp;"&lt;setvar action=""Add""&gt;"&amp;IF(Y45,$H45,0)&amp;"&lt;/setvar&gt;"&amp;IF(AY45&lt;&gt;"","&lt;displayfeedback feedbacktype=""Response"" linkrefid=""response_5""/&gt;",IF($AS45&lt;&gt;"","&lt;displayfeedback feedbacktype=""Response"" linkrefid=""qti_feedback_trigger""/&gt;",""))&amp;"&lt;/respcondition&gt;",""),IF(OR(Y45,AY45&lt;&gt;"",$AS45&lt;&gt;""),"      &lt;respcondition continue=""Yes""&gt;&lt;conditionvar&gt;"&amp;IF(Y45,"&lt;varequal respident=""RESPONSE""&gt;5&lt;/varequal&gt;","&lt;not&gt;&lt;varequal respident=""RESPONSE""&gt;5&lt;/varequal&gt;&lt;/not&gt;")&amp;"&lt;/conditionvar&gt;&lt;setvar action=""Add""&gt;"&amp;(Saisie_Questions!$N45/$I45)&amp;"&lt;/setvar&gt;"&amp;IF(AY45&lt;&gt;"","&lt;displayfeedback feedbacktype=""Response"" linkrefid=""response_5""/&gt;",IF($AS45&lt;&gt;"","&lt;displayfeedback feedbacktype=""Response"" linkrefid=""qti_feedback_trigger""/&gt;",""))&amp;"&lt;/respcondition&gt;",""))),"")</f>
      </c>
      <c r="AP45" s="46">
        <f>IF($B45,IF(R45="","",IF($C45="qcu",IF(OR(Z45,AZ45&lt;&gt;"",$AS45&lt;&gt;""),"      &lt;respcondition continue=""Yes""&gt;&lt;conditionvar&gt;&lt;varequal respident=""RESPONSE""&gt;6&lt;/varequal&gt;&lt;/conditionvar&gt;"&amp;"&lt;setvar action=""Add""&gt;"&amp;IF(Z45,$H45,0)&amp;"&lt;/setvar&gt;"&amp;IF(AZ45&lt;&gt;"","&lt;displayfeedback feedbacktype=""Response"" linkrefid=""response_6""/&gt;",IF($AS45&lt;&gt;"","&lt;displayfeedback feedbacktype=""Response"" linkrefid=""qti_feedback_trigger""/&gt;",""))&amp;"&lt;/respcondition&gt;",""),IF(OR(Z45,AZ45&lt;&gt;"",$AS45&lt;&gt;""),"      &lt;respcondition continue=""Yes""&gt;&lt;conditionvar&gt;"&amp;IF(Z45,"&lt;varequal respident=""RESPONSE""&gt;6&lt;/varequal&gt;","&lt;not&gt;&lt;varequal respident=""RESPONSE""&gt;6&lt;/varequal&gt;&lt;/not&gt;")&amp;"&lt;/conditionvar&gt;&lt;setvar action=""Add""&gt;"&amp;(Saisie_Questions!$N45/$I45)&amp;"&lt;/setvar&gt;"&amp;IF(AZ45&lt;&gt;"","&lt;displayfeedback feedbacktype=""Response"" linkrefid=""response_6""/&gt;",IF($AS45&lt;&gt;"","&lt;displayfeedback feedbacktype=""Response"" linkrefid=""qti_feedback_trigger""/&gt;",""))&amp;"&lt;/respcondition&gt;",""))),"")</f>
      </c>
      <c r="AQ45" s="46">
        <f>IF($B45,IF(S45="","",IF($C45="qcu",IF(OR(AA45,BA45&lt;&gt;"",$AS45&lt;&gt;""),"      &lt;respcondition continue=""Yes""&gt;&lt;conditionvar&gt;&lt;varequal respident=""RESPONSE""&gt;7&lt;/varequal&gt;&lt;/conditionvar&gt;"&amp;"&lt;setvar action=""Add""&gt;"&amp;IF(AA45,$H45,0)&amp;"&lt;/setvar&gt;"&amp;IF(BA45&lt;&gt;"","&lt;displayfeedback feedbacktype=""Response"" linkrefid=""response_7""/&gt;",IF($AS45&lt;&gt;"","&lt;displayfeedback feedbacktype=""Response"" linkrefid=""qti_feedback_trigger""/&gt;",""))&amp;"&lt;/respcondition&gt;",""),IF(OR(AA45,BA45&lt;&gt;"",$AS45&lt;&gt;""),"      &lt;respcondition continue=""Yes""&gt;&lt;conditionvar&gt;"&amp;IF(AA45,"&lt;varequal respident=""RESPONSE""&gt;7&lt;/varequal&gt;","&lt;not&gt;&lt;varequal respident=""RESPONSE""&gt;7&lt;/varequal&gt;&lt;/not&gt;")&amp;"&lt;/conditionvar&gt;&lt;setvar action=""Add""&gt;"&amp;(Saisie_Questions!$N45/$I45)&amp;"&lt;/setvar&gt;"&amp;IF(BA45&lt;&gt;"","&lt;displayfeedback feedbacktype=""Response"" linkrefid=""response_7""/&gt;",IF($AS45&lt;&gt;"","&lt;displayfeedback feedbacktype=""Response"" linkrefid=""qti_feedback_trigger""/&gt;",""))&amp;"&lt;/respcondition&gt;",""))),"")</f>
      </c>
      <c r="AR45" s="46">
        <f>IF(A45="","",SUBSTITUTE(SUBSTITUTE(SUBSTITUTE(SUBSTITUTE(SUBSTITUTE(IF(Saisie_Questions!P45&lt;&gt;"",Saisie_Questions!P45,Interface_Generation!$B$5),"&amp;","&amp;amp;"),"&lt;","&amp;lt;"),"&gt;","&amp;gt;"),CHAR(34),"&amp;quot;"),"'","&amp;apos;"))</f>
        <v/>
      </c>
      <c r="AS45" s="46">
        <f>IF(Saisie_Questions!Q45="","",SUBSTITUTE(SUBSTITUTE(SUBSTITUTE(SUBSTITUTE(SUBSTITUTE(Saisie_Questions!Q45,"&amp;","&amp;amp;"),"&lt;","&amp;lt;"),"&gt;","&amp;gt;"),CHAR(34),"&amp;quot;"),"'","&amp;apos;"))</f>
        <v/>
      </c>
      <c r="AT45" s="46">
        <f>IF(Saisie_Questions!R45="","",SUBSTITUTE(SUBSTITUTE(SUBSTITUTE(SUBSTITUTE(SUBSTITUTE(Saisie_Questions!R45,"&amp;","&amp;amp;"),"&lt;","&amp;lt;"),"&gt;","&amp;gt;"),CHAR(34),"&amp;quot;"),"'","&amp;apos;"))</f>
        <v/>
      </c>
      <c r="AU45" s="46">
        <f>IF(Saisie_Questions!S45="","",SUBSTITUTE(SUBSTITUTE(SUBSTITUTE(SUBSTITUTE(SUBSTITUTE(Saisie_Questions!S45,"&amp;","&amp;amp;"),"&lt;","&amp;lt;"),"&gt;","&amp;gt;"),CHAR(34),"&amp;quot;"),"'","&amp;apos;"))</f>
        <v/>
      </c>
      <c r="AV45" s="46">
        <f>IF(Saisie_Questions!T45="","",SUBSTITUTE(SUBSTITUTE(SUBSTITUTE(SUBSTITUTE(SUBSTITUTE(Saisie_Questions!T45,"&amp;","&amp;amp;"),"&lt;","&amp;lt;"),"&gt;","&amp;gt;"),CHAR(34),"&amp;quot;"),"'","&amp;apos;"))</f>
        <v/>
      </c>
      <c r="AW45" s="46">
        <f>IF(Saisie_Questions!U45="","",SUBSTITUTE(SUBSTITUTE(SUBSTITUTE(SUBSTITUTE(SUBSTITUTE(Saisie_Questions!U45,"&amp;","&amp;amp;"),"&lt;","&amp;lt;"),"&gt;","&amp;gt;"),CHAR(34),"&amp;quot;"),"'","&amp;apos;"))</f>
        <v/>
      </c>
      <c r="AX45" s="46">
        <f>IF(Saisie_Questions!V45="","",SUBSTITUTE(SUBSTITUTE(SUBSTITUTE(SUBSTITUTE(SUBSTITUTE(Saisie_Questions!V45,"&amp;","&amp;amp;"),"&lt;","&amp;lt;"),"&gt;","&amp;gt;"),CHAR(34),"&amp;quot;"),"'","&amp;apos;"))</f>
        <v/>
      </c>
      <c r="AY45" s="46">
        <f>IF(Saisie_Questions!W45="","",SUBSTITUTE(SUBSTITUTE(SUBSTITUTE(SUBSTITUTE(SUBSTITUTE(Saisie_Questions!W45,"&amp;","&amp;amp;"),"&lt;","&amp;lt;"),"&gt;","&amp;gt;"),CHAR(34),"&amp;quot;"),"'","&amp;apos;"))</f>
        <v/>
      </c>
      <c r="AZ45" s="46">
        <f>IF(Saisie_Questions!X45="","",SUBSTITUTE(SUBSTITUTE(SUBSTITUTE(SUBSTITUTE(SUBSTITUTE(Saisie_Questions!X45,"&amp;","&amp;amp;"),"&lt;","&amp;lt;"),"&gt;","&amp;gt;"),CHAR(34),"&amp;quot;"),"'","&amp;apos;"))</f>
        <v/>
      </c>
      <c r="BA45" s="46">
        <f>IF(Saisie_Questions!Y45="","",SUBSTITUTE(SUBSTITUTE(SUBSTITUTE(SUBSTITUTE(SUBSTITUTE(Saisie_Questions!Y45,"&amp;","&amp;amp;"),"&lt;","&amp;lt;"),"&gt;","&amp;gt;"),CHAR(34),"&amp;quot;"),"'","&amp;apos;"))</f>
        <v/>
      </c>
      <c r="BB45" s="46">
        <f>IF($B45,IF($AS45="","","    &lt;itemfeedback ident=""response_allcorrect"" view=""All""&gt;&lt;flow_mat&gt;&lt;material&gt;&lt;mattext texttype=""text/html""&gt;"&amp;$AS45&amp;"&lt;/mattext&gt;&lt;/material&gt;&lt;/flow_mat&gt;&lt;/itemfeedback&gt;"&amp;"    &lt;itemfeedback ident=""response_onenotcorrect"" view=""All""&gt;&lt;flow_mat&gt;&lt;material&gt;&lt;mattext texttype=""text/html""&gt;"&amp;$AS45&amp;"&lt;/mattext&gt;&lt;/material&gt;&lt;/flow_mat&gt;&lt;/itemfeedback&gt;"),"")</f>
      </c>
      <c r="BC45" s="46">
        <f>IF($B45,IF(AT45="","","    &lt;itemfeedback ident=""response_0"" view=""All""&gt;&lt;flow_mat&gt;&lt;material&gt;&lt;mattext texttype=""text/html""&gt;"&amp;AT45&amp;"&lt;/mattext&gt;&lt;/material&gt;&lt;/flow_mat&gt;&lt;/itemfeedback&gt;"),"")</f>
      </c>
      <c r="BD45" s="46">
        <f>IF($B45,IF(AU45="","","    &lt;itemfeedback ident=""response_1"" view=""All""&gt;&lt;flow_mat&gt;&lt;material&gt;&lt;mattext texttype=""text/html""&gt;"&amp;AU45&amp;"&lt;/mattext&gt;&lt;/material&gt;&lt;/flow_mat&gt;&lt;/itemfeedback&gt;"),"")</f>
      </c>
      <c r="BE45" s="46">
        <f>IF($B45,IF(AV45="","","    &lt;itemfeedback ident=""response_2"" view=""All""&gt;&lt;flow_mat&gt;&lt;material&gt;&lt;mattext texttype=""text/html""&gt;"&amp;AV45&amp;"&lt;/mattext&gt;&lt;/material&gt;&lt;/flow_mat&gt;&lt;/itemfeedback&gt;"),"")</f>
      </c>
      <c r="BF45" s="46">
        <f>IF($B45,IF(AW45="","","    &lt;itemfeedback ident=""response_3"" view=""All""&gt;&lt;flow_mat&gt;&lt;material&gt;&lt;mattext texttype=""text/html""&gt;"&amp;AW45&amp;"&lt;/mattext&gt;&lt;/material&gt;&lt;/flow_mat&gt;&lt;/itemfeedback&gt;"),"")</f>
      </c>
      <c r="BG45" s="46">
        <f>IF($B45,IF(AX45="","","    &lt;itemfeedback ident=""response_4"" view=""All""&gt;&lt;flow_mat&gt;&lt;material&gt;&lt;mattext texttype=""text/html""&gt;"&amp;AX45&amp;"&lt;/mattext&gt;&lt;/material&gt;&lt;/flow_mat&gt;&lt;/itemfeedback&gt;"),"")</f>
      </c>
      <c r="BH45" s="46">
        <f>IF($B45,IF(AY45="","","    &lt;itemfeedback ident=""response_5"" view=""All""&gt;&lt;flow_mat&gt;&lt;material&gt;&lt;mattext texttype=""text/html""&gt;"&amp;AY45&amp;"&lt;/mattext&gt;&lt;/material&gt;&lt;/flow_mat&gt;&lt;/itemfeedback&gt;"),"")</f>
      </c>
      <c r="BI45" s="46">
        <f>IF($B45,IF(AZ45="","","    &lt;itemfeedback ident=""response_6"" view=""All""&gt;&lt;flow_mat&gt;&lt;material&gt;&lt;mattext texttype=""text/html""&gt;"&amp;AZ45&amp;"&lt;/mattext&gt;&lt;/material&gt;&lt;/flow_mat&gt;&lt;/itemfeedback&gt;"),"")</f>
      </c>
      <c r="BJ45" s="46">
        <f>IF($B45,IF(BA45="","","    &lt;itemfeedback ident=""response_7"" view=""All""&gt;&lt;flow_mat&gt;&lt;material&gt;&lt;mattext texttype=""text/html""&gt;"&amp;BA45&amp;"&lt;/mattext&gt;&lt;/material&gt;&lt;/flow_mat&gt;&lt;/itemfeedback&gt;"),"")</f>
      </c>
    </row>
    <row r="46" ht="18" customHeight="1" s="17">
      <c r="A46" s="46">
        <f>Saisie_Questions!A46</f>
        <v/>
      </c>
      <c r="B46" s="46">
        <f>Saisie_Questions!O46="OK"</f>
        <v/>
      </c>
      <c r="C46" s="46">
        <f>LOWER(TRIM(Saisie_Questions!B46))</f>
        <v/>
      </c>
      <c r="D46" s="46">
        <f>IF(C46="qcu","SINGLE CHOICE QUESTION","MULTIPLE CHOICE QUESTION")</f>
        <v/>
      </c>
      <c r="E46" s="46">
        <f>IF(C46="qcu","Single","Multiple")</f>
        <v/>
      </c>
      <c r="F46" s="46">
        <f>IF(A46="","",SUBSTITUTE(SUBSTITUTE(SUBSTITUTE(SUBSTITUTE(SUBSTITUTE(IF(Saisie_Questions!C46="", "Question "&amp;A46, Saisie_Questions!C46),"&amp;","&amp;amp;"),"&lt;","&amp;lt;"),"&gt;","&amp;gt;"),CHAR(34),"&amp;quot;"),"'","&amp;apos;"))</f>
        <v/>
      </c>
      <c r="G46" s="46">
        <f>IF(A46="","",SUBSTITUTE(SUBSTITUTE(SUBSTITUTE(SUBSTITUTE(SUBSTITUTE(Saisie_Questions!D46,"&amp;","&amp;amp;"),"&lt;","&amp;lt;"),"&gt;","&amp;gt;"),CHAR(34),"&amp;quot;"),"'","&amp;apos;"))</f>
        <v/>
      </c>
      <c r="H46" s="46">
        <f>Saisie_Questions!N46</f>
        <v/>
      </c>
      <c r="I46" s="46">
        <f>IF(Saisie_Questions!E46="",0,1)+IF(Saisie_Questions!F46="",0,1)+IF(Saisie_Questions!G46="",0,1)+IF(Saisie_Questions!H46="",0,1)+IF(Saisie_Questions!I46="",0,1)+IF(Saisie_Questions!J46="",0,1)+IF(Saisie_Questions!K46="",0,1)+IF(Saisie_Questions!L46="",0,1)</f>
        <v/>
      </c>
      <c r="J46" s="46">
        <f>Saisie_Questions!M46</f>
        <v/>
      </c>
      <c r="K46" s="46">
        <f>Saisie_Questions!O46</f>
        <v/>
      </c>
      <c r="L46" s="46">
        <f>IF(Saisie_Questions!E46="","",SUBSTITUTE(SUBSTITUTE(SUBSTITUTE(SUBSTITUTE(SUBSTITUTE(Saisie_Questions!E46,"&amp;","&amp;amp;"),"&lt;","&amp;lt;"),"&gt;","&amp;gt;"),CHAR(34),"&amp;quot;"),"'","&amp;apos;"))</f>
        <v/>
      </c>
      <c r="M46" s="46">
        <f>IF(Saisie_Questions!F46="","",SUBSTITUTE(SUBSTITUTE(SUBSTITUTE(SUBSTITUTE(SUBSTITUTE(Saisie_Questions!F46,"&amp;","&amp;amp;"),"&lt;","&amp;lt;"),"&gt;","&amp;gt;"),CHAR(34),"&amp;quot;"),"'","&amp;apos;"))</f>
        <v/>
      </c>
      <c r="N46" s="46">
        <f>IF(Saisie_Questions!G46="","",SUBSTITUTE(SUBSTITUTE(SUBSTITUTE(SUBSTITUTE(SUBSTITUTE(Saisie_Questions!G46,"&amp;","&amp;amp;"),"&lt;","&amp;lt;"),"&gt;","&amp;gt;"),CHAR(34),"&amp;quot;"),"'","&amp;apos;"))</f>
        <v/>
      </c>
      <c r="O46" s="46">
        <f>IF(Saisie_Questions!H46="","",SUBSTITUTE(SUBSTITUTE(SUBSTITUTE(SUBSTITUTE(SUBSTITUTE(Saisie_Questions!H46,"&amp;","&amp;amp;"),"&lt;","&amp;lt;"),"&gt;","&amp;gt;"),CHAR(34),"&amp;quot;"),"'","&amp;apos;"))</f>
        <v/>
      </c>
      <c r="P46" s="46">
        <f>IF(Saisie_Questions!I46="","",SUBSTITUTE(SUBSTITUTE(SUBSTITUTE(SUBSTITUTE(SUBSTITUTE(Saisie_Questions!I46,"&amp;","&amp;amp;"),"&lt;","&amp;lt;"),"&gt;","&amp;gt;"),CHAR(34),"&amp;quot;"),"'","&amp;apos;"))</f>
        <v/>
      </c>
      <c r="Q46" s="46">
        <f>IF(Saisie_Questions!J46="","",SUBSTITUTE(SUBSTITUTE(SUBSTITUTE(SUBSTITUTE(SUBSTITUTE(Saisie_Questions!J46,"&amp;","&amp;amp;"),"&lt;","&amp;lt;"),"&gt;","&amp;gt;"),CHAR(34),"&amp;quot;"),"'","&amp;apos;"))</f>
        <v/>
      </c>
      <c r="R46" s="46">
        <f>IF(Saisie_Questions!K46="","",SUBSTITUTE(SUBSTITUTE(SUBSTITUTE(SUBSTITUTE(SUBSTITUTE(Saisie_Questions!K46,"&amp;","&amp;amp;"),"&lt;","&amp;lt;"),"&gt;","&amp;gt;"),CHAR(34),"&amp;quot;"),"'","&amp;apos;"))</f>
        <v/>
      </c>
      <c r="S46" s="46">
        <f>IF(Saisie_Questions!L46="","",SUBSTITUTE(SUBSTITUTE(SUBSTITUTE(SUBSTITUTE(SUBSTITUTE(Saisie_Questions!L46,"&amp;","&amp;amp;"),"&lt;","&amp;lt;"),"&gt;","&amp;gt;"),CHAR(34),"&amp;quot;"),"'","&amp;apos;"))</f>
        <v/>
      </c>
      <c r="T46" s="46">
        <f>ISNUMBER(SEARCH(";"&amp;1&amp;";",";"&amp;$J46&amp;";"))</f>
        <v/>
      </c>
      <c r="U46" s="46">
        <f>ISNUMBER(SEARCH(";"&amp;2&amp;";",";"&amp;$J46&amp;";"))</f>
        <v/>
      </c>
      <c r="V46" s="46">
        <f>ISNUMBER(SEARCH(";"&amp;3&amp;";",";"&amp;$J46&amp;";"))</f>
        <v/>
      </c>
      <c r="W46" s="46">
        <f>ISNUMBER(SEARCH(";"&amp;4&amp;";",";"&amp;$J46&amp;";"))</f>
        <v/>
      </c>
      <c r="X46" s="46">
        <f>ISNUMBER(SEARCH(";"&amp;5&amp;";",";"&amp;$J46&amp;";"))</f>
        <v/>
      </c>
      <c r="Y46" s="46">
        <f>ISNUMBER(SEARCH(";"&amp;6&amp;";",";"&amp;$J46&amp;";"))</f>
        <v/>
      </c>
      <c r="Z46" s="46">
        <f>ISNUMBER(SEARCH(";"&amp;7&amp;";",";"&amp;$J46&amp;";"))</f>
        <v/>
      </c>
      <c r="AA46" s="46">
        <f>ISNUMBER(SEARCH(";"&amp;8&amp;";",";"&amp;$J46&amp;";"))</f>
        <v/>
      </c>
      <c r="AB46" s="46">
        <f>IF($B46,IF(L46="","","        &lt;response_label ident=""0""&gt;&lt;material&gt;&lt;mattext texttype=""text/html""&gt;"&amp;L46&amp;"&lt;/mattext&gt;&lt;/material&gt;&lt;/response_label&gt;"),"")</f>
        <v/>
      </c>
      <c r="AC46" s="46">
        <f>IF($B46,IF(M46="","","        &lt;response_label ident=""1""&gt;&lt;material&gt;&lt;mattext texttype=""text/html""&gt;"&amp;M46&amp;"&lt;/mattext&gt;&lt;/material&gt;&lt;/response_label&gt;"),"")</f>
        <v/>
      </c>
      <c r="AD46" s="46">
        <f>IF($B46,IF(N46="","","        &lt;response_label ident=""2""&gt;&lt;material&gt;&lt;mattext texttype=""text/html""&gt;"&amp;N46&amp;"&lt;/mattext&gt;&lt;/material&gt;&lt;/response_label&gt;"),"")</f>
        <v/>
      </c>
      <c r="AE46" s="46">
        <f>IF($B46,IF(O46="","","        &lt;response_label ident=""3""&gt;&lt;material&gt;&lt;mattext texttype=""text/html""&gt;"&amp;O46&amp;"&lt;/mattext&gt;&lt;/material&gt;&lt;/response_label&gt;"),"")</f>
        <v/>
      </c>
      <c r="AF46" s="46">
        <f>IF($B46,IF(P46="","","        &lt;response_label ident=""4""&gt;&lt;material&gt;&lt;mattext texttype=""text/html""&gt;"&amp;P46&amp;"&lt;/mattext&gt;&lt;/material&gt;&lt;/response_label&gt;"),"")</f>
        <v/>
      </c>
      <c r="AG46" s="46">
        <f>IF($B46,IF(Q46="","","        &lt;response_label ident=""5""&gt;&lt;material&gt;&lt;mattext texttype=""text/html""&gt;"&amp;Q46&amp;"&lt;/mattext&gt;&lt;/material&gt;&lt;/response_label&gt;"),"")</f>
        <v/>
      </c>
      <c r="AH46" s="46">
        <f>IF($B46,IF(R46="","","        &lt;response_label ident=""6""&gt;&lt;material&gt;&lt;mattext texttype=""text/html""&gt;"&amp;R46&amp;"&lt;/mattext&gt;&lt;/material&gt;&lt;/response_label&gt;"),"")</f>
        <v/>
      </c>
      <c r="AI46" s="46">
        <f>IF($B46,IF(S46="","","        &lt;response_label ident=""7""&gt;&lt;material&gt;&lt;mattext texttype=""text/html""&gt;"&amp;S46&amp;"&lt;/mattext&gt;&lt;/material&gt;&lt;/response_label&gt;"),"")</f>
        <v/>
      </c>
      <c r="AJ46" s="46">
        <f>IF($B46,IF(L46="","",IF($C46="qcu",IF(OR(T46,AT46&lt;&gt;"",$AS46&lt;&gt;""),"      &lt;respcondition continue=""Yes""&gt;&lt;conditionvar&gt;&lt;varequal respident=""RESPONSE""&gt;0&lt;/varequal&gt;&lt;/conditionvar&gt;"&amp;"&lt;setvar action=""Add""&gt;"&amp;IF(T46,$H46,0)&amp;"&lt;/setvar&gt;"&amp;IF(AT46&lt;&gt;"","&lt;displayfeedback feedbacktype=""Response"" linkrefid=""response_0""/&gt;",IF($AS46&lt;&gt;"","&lt;displayfeedback feedbacktype=""Response"" linkrefid=""qti_feedback_trigger""/&gt;",""))&amp;"&lt;/respcondition&gt;",""),IF(OR(T46,AT46&lt;&gt;"",$AS46&lt;&gt;""),"      &lt;respcondition continue=""Yes""&gt;&lt;conditionvar&gt;"&amp;IF(T46,"&lt;varequal respident=""RESPONSE""&gt;0&lt;/varequal&gt;","&lt;not&gt;&lt;varequal respident=""RESPONSE""&gt;0&lt;/varequal&gt;&lt;/not&gt;")&amp;"&lt;/conditionvar&gt;&lt;setvar action=""Add""&gt;"&amp;(Saisie_Questions!$N46/$I46)&amp;"&lt;/setvar&gt;"&amp;IF(AT46&lt;&gt;"","&lt;displayfeedback feedbacktype=""Response"" linkrefid=""response_0""/&gt;",IF($AS46&lt;&gt;"","&lt;displayfeedback feedbacktype=""Response"" linkrefid=""qti_feedback_trigger""/&gt;",""))&amp;"&lt;/respcondition&gt;",""))),"")</f>
      </c>
      <c r="AK46" s="46">
        <f>IF($B46,IF(M46="","",IF($C46="qcu",IF(OR(U46,AU46&lt;&gt;"",$AS46&lt;&gt;""),"      &lt;respcondition continue=""Yes""&gt;&lt;conditionvar&gt;&lt;varequal respident=""RESPONSE""&gt;1&lt;/varequal&gt;&lt;/conditionvar&gt;"&amp;"&lt;setvar action=""Add""&gt;"&amp;IF(U46,$H46,0)&amp;"&lt;/setvar&gt;"&amp;IF(AU46&lt;&gt;"","&lt;displayfeedback feedbacktype=""Response"" linkrefid=""response_1""/&gt;",IF($AS46&lt;&gt;"","&lt;displayfeedback feedbacktype=""Response"" linkrefid=""qti_feedback_trigger""/&gt;",""))&amp;"&lt;/respcondition&gt;",""),IF(OR(U46,AU46&lt;&gt;"",$AS46&lt;&gt;""),"      &lt;respcondition continue=""Yes""&gt;&lt;conditionvar&gt;"&amp;IF(U46,"&lt;varequal respident=""RESPONSE""&gt;1&lt;/varequal&gt;","&lt;not&gt;&lt;varequal respident=""RESPONSE""&gt;1&lt;/varequal&gt;&lt;/not&gt;")&amp;"&lt;/conditionvar&gt;&lt;setvar action=""Add""&gt;"&amp;(Saisie_Questions!$N46/$I46)&amp;"&lt;/setvar&gt;"&amp;IF(AU46&lt;&gt;"","&lt;displayfeedback feedbacktype=""Response"" linkrefid=""response_1""/&gt;",IF($AS46&lt;&gt;"","&lt;displayfeedback feedbacktype=""Response"" linkrefid=""qti_feedback_trigger""/&gt;",""))&amp;"&lt;/respcondition&gt;",""))),"")</f>
      </c>
      <c r="AL46" s="46">
        <f>IF($B46,IF(N46="","",IF($C46="qcu",IF(OR(V46,AV46&lt;&gt;"",$AS46&lt;&gt;""),"      &lt;respcondition continue=""Yes""&gt;&lt;conditionvar&gt;&lt;varequal respident=""RESPONSE""&gt;2&lt;/varequal&gt;&lt;/conditionvar&gt;"&amp;"&lt;setvar action=""Add""&gt;"&amp;IF(V46,$H46,0)&amp;"&lt;/setvar&gt;"&amp;IF(AV46&lt;&gt;"","&lt;displayfeedback feedbacktype=""Response"" linkrefid=""response_2""/&gt;",IF($AS46&lt;&gt;"","&lt;displayfeedback feedbacktype=""Response"" linkrefid=""qti_feedback_trigger""/&gt;",""))&amp;"&lt;/respcondition&gt;",""),IF(OR(V46,AV46&lt;&gt;"",$AS46&lt;&gt;""),"      &lt;respcondition continue=""Yes""&gt;&lt;conditionvar&gt;"&amp;IF(V46,"&lt;varequal respident=""RESPONSE""&gt;2&lt;/varequal&gt;","&lt;not&gt;&lt;varequal respident=""RESPONSE""&gt;2&lt;/varequal&gt;&lt;/not&gt;")&amp;"&lt;/conditionvar&gt;&lt;setvar action=""Add""&gt;"&amp;(Saisie_Questions!$N46/$I46)&amp;"&lt;/setvar&gt;"&amp;IF(AV46&lt;&gt;"","&lt;displayfeedback feedbacktype=""Response"" linkrefid=""response_2""/&gt;",IF($AS46&lt;&gt;"","&lt;displayfeedback feedbacktype=""Response"" linkrefid=""qti_feedback_trigger""/&gt;",""))&amp;"&lt;/respcondition&gt;",""))),"")</f>
      </c>
      <c r="AM46" s="46">
        <f>IF($B46,IF(O46="","",IF($C46="qcu",IF(OR(W46,AW46&lt;&gt;"",$AS46&lt;&gt;""),"      &lt;respcondition continue=""Yes""&gt;&lt;conditionvar&gt;&lt;varequal respident=""RESPONSE""&gt;3&lt;/varequal&gt;&lt;/conditionvar&gt;"&amp;"&lt;setvar action=""Add""&gt;"&amp;IF(W46,$H46,0)&amp;"&lt;/setvar&gt;"&amp;IF(AW46&lt;&gt;"","&lt;displayfeedback feedbacktype=""Response"" linkrefid=""response_3""/&gt;",IF($AS46&lt;&gt;"","&lt;displayfeedback feedbacktype=""Response"" linkrefid=""qti_feedback_trigger""/&gt;",""))&amp;"&lt;/respcondition&gt;",""),IF(OR(W46,AW46&lt;&gt;"",$AS46&lt;&gt;""),"      &lt;respcondition continue=""Yes""&gt;&lt;conditionvar&gt;"&amp;IF(W46,"&lt;varequal respident=""RESPONSE""&gt;3&lt;/varequal&gt;","&lt;not&gt;&lt;varequal respident=""RESPONSE""&gt;3&lt;/varequal&gt;&lt;/not&gt;")&amp;"&lt;/conditionvar&gt;&lt;setvar action=""Add""&gt;"&amp;(Saisie_Questions!$N46/$I46)&amp;"&lt;/setvar&gt;"&amp;IF(AW46&lt;&gt;"","&lt;displayfeedback feedbacktype=""Response"" linkrefid=""response_3""/&gt;",IF($AS46&lt;&gt;"","&lt;displayfeedback feedbacktype=""Response"" linkrefid=""qti_feedback_trigger""/&gt;",""))&amp;"&lt;/respcondition&gt;",""))),"")</f>
      </c>
      <c r="AN46" s="46">
        <f>IF($B46,IF(P46="","",IF($C46="qcu",IF(OR(X46,AX46&lt;&gt;"",$AS46&lt;&gt;""),"      &lt;respcondition continue=""Yes""&gt;&lt;conditionvar&gt;&lt;varequal respident=""RESPONSE""&gt;4&lt;/varequal&gt;&lt;/conditionvar&gt;"&amp;"&lt;setvar action=""Add""&gt;"&amp;IF(X46,$H46,0)&amp;"&lt;/setvar&gt;"&amp;IF(AX46&lt;&gt;"","&lt;displayfeedback feedbacktype=""Response"" linkrefid=""response_4""/&gt;",IF($AS46&lt;&gt;"","&lt;displayfeedback feedbacktype=""Response"" linkrefid=""qti_feedback_trigger""/&gt;",""))&amp;"&lt;/respcondition&gt;",""),IF(OR(X46,AX46&lt;&gt;"",$AS46&lt;&gt;""),"      &lt;respcondition continue=""Yes""&gt;&lt;conditionvar&gt;"&amp;IF(X46,"&lt;varequal respident=""RESPONSE""&gt;4&lt;/varequal&gt;","&lt;not&gt;&lt;varequal respident=""RESPONSE""&gt;4&lt;/varequal&gt;&lt;/not&gt;")&amp;"&lt;/conditionvar&gt;&lt;setvar action=""Add""&gt;"&amp;(Saisie_Questions!$N46/$I46)&amp;"&lt;/setvar&gt;"&amp;IF(AX46&lt;&gt;"","&lt;displayfeedback feedbacktype=""Response"" linkrefid=""response_4""/&gt;",IF($AS46&lt;&gt;"","&lt;displayfeedback feedbacktype=""Response"" linkrefid=""qti_feedback_trigger""/&gt;",""))&amp;"&lt;/respcondition&gt;",""))),"")</f>
      </c>
      <c r="AO46" s="46">
        <f>IF($B46,IF(Q46="","",IF($C46="qcu",IF(OR(Y46,AY46&lt;&gt;"",$AS46&lt;&gt;""),"      &lt;respcondition continue=""Yes""&gt;&lt;conditionvar&gt;&lt;varequal respident=""RESPONSE""&gt;5&lt;/varequal&gt;&lt;/conditionvar&gt;"&amp;"&lt;setvar action=""Add""&gt;"&amp;IF(Y46,$H46,0)&amp;"&lt;/setvar&gt;"&amp;IF(AY46&lt;&gt;"","&lt;displayfeedback feedbacktype=""Response"" linkrefid=""response_5""/&gt;",IF($AS46&lt;&gt;"","&lt;displayfeedback feedbacktype=""Response"" linkrefid=""qti_feedback_trigger""/&gt;",""))&amp;"&lt;/respcondition&gt;",""),IF(OR(Y46,AY46&lt;&gt;"",$AS46&lt;&gt;""),"      &lt;respcondition continue=""Yes""&gt;&lt;conditionvar&gt;"&amp;IF(Y46,"&lt;varequal respident=""RESPONSE""&gt;5&lt;/varequal&gt;","&lt;not&gt;&lt;varequal respident=""RESPONSE""&gt;5&lt;/varequal&gt;&lt;/not&gt;")&amp;"&lt;/conditionvar&gt;&lt;setvar action=""Add""&gt;"&amp;(Saisie_Questions!$N46/$I46)&amp;"&lt;/setvar&gt;"&amp;IF(AY46&lt;&gt;"","&lt;displayfeedback feedbacktype=""Response"" linkrefid=""response_5""/&gt;",IF($AS46&lt;&gt;"","&lt;displayfeedback feedbacktype=""Response"" linkrefid=""qti_feedback_trigger""/&gt;",""))&amp;"&lt;/respcondition&gt;",""))),"")</f>
      </c>
      <c r="AP46" s="46">
        <f>IF($B46,IF(R46="","",IF($C46="qcu",IF(OR(Z46,AZ46&lt;&gt;"",$AS46&lt;&gt;""),"      &lt;respcondition continue=""Yes""&gt;&lt;conditionvar&gt;&lt;varequal respident=""RESPONSE""&gt;6&lt;/varequal&gt;&lt;/conditionvar&gt;"&amp;"&lt;setvar action=""Add""&gt;"&amp;IF(Z46,$H46,0)&amp;"&lt;/setvar&gt;"&amp;IF(AZ46&lt;&gt;"","&lt;displayfeedback feedbacktype=""Response"" linkrefid=""response_6""/&gt;",IF($AS46&lt;&gt;"","&lt;displayfeedback feedbacktype=""Response"" linkrefid=""qti_feedback_trigger""/&gt;",""))&amp;"&lt;/respcondition&gt;",""),IF(OR(Z46,AZ46&lt;&gt;"",$AS46&lt;&gt;""),"      &lt;respcondition continue=""Yes""&gt;&lt;conditionvar&gt;"&amp;IF(Z46,"&lt;varequal respident=""RESPONSE""&gt;6&lt;/varequal&gt;","&lt;not&gt;&lt;varequal respident=""RESPONSE""&gt;6&lt;/varequal&gt;&lt;/not&gt;")&amp;"&lt;/conditionvar&gt;&lt;setvar action=""Add""&gt;"&amp;(Saisie_Questions!$N46/$I46)&amp;"&lt;/setvar&gt;"&amp;IF(AZ46&lt;&gt;"","&lt;displayfeedback feedbacktype=""Response"" linkrefid=""response_6""/&gt;",IF($AS46&lt;&gt;"","&lt;displayfeedback feedbacktype=""Response"" linkrefid=""qti_feedback_trigger""/&gt;",""))&amp;"&lt;/respcondition&gt;",""))),"")</f>
      </c>
      <c r="AQ46" s="46">
        <f>IF($B46,IF(S46="","",IF($C46="qcu",IF(OR(AA46,BA46&lt;&gt;"",$AS46&lt;&gt;""),"      &lt;respcondition continue=""Yes""&gt;&lt;conditionvar&gt;&lt;varequal respident=""RESPONSE""&gt;7&lt;/varequal&gt;&lt;/conditionvar&gt;"&amp;"&lt;setvar action=""Add""&gt;"&amp;IF(AA46,$H46,0)&amp;"&lt;/setvar&gt;"&amp;IF(BA46&lt;&gt;"","&lt;displayfeedback feedbacktype=""Response"" linkrefid=""response_7""/&gt;",IF($AS46&lt;&gt;"","&lt;displayfeedback feedbacktype=""Response"" linkrefid=""qti_feedback_trigger""/&gt;",""))&amp;"&lt;/respcondition&gt;",""),IF(OR(AA46,BA46&lt;&gt;"",$AS46&lt;&gt;""),"      &lt;respcondition continue=""Yes""&gt;&lt;conditionvar&gt;"&amp;IF(AA46,"&lt;varequal respident=""RESPONSE""&gt;7&lt;/varequal&gt;","&lt;not&gt;&lt;varequal respident=""RESPONSE""&gt;7&lt;/varequal&gt;&lt;/not&gt;")&amp;"&lt;/conditionvar&gt;&lt;setvar action=""Add""&gt;"&amp;(Saisie_Questions!$N46/$I46)&amp;"&lt;/setvar&gt;"&amp;IF(BA46&lt;&gt;"","&lt;displayfeedback feedbacktype=""Response"" linkrefid=""response_7""/&gt;",IF($AS46&lt;&gt;"","&lt;displayfeedback feedbacktype=""Response"" linkrefid=""qti_feedback_trigger""/&gt;",""))&amp;"&lt;/respcondition&gt;",""))),"")</f>
      </c>
      <c r="AR46" s="46">
        <f>IF(A46="","",SUBSTITUTE(SUBSTITUTE(SUBSTITUTE(SUBSTITUTE(SUBSTITUTE(IF(Saisie_Questions!P46&lt;&gt;"",Saisie_Questions!P46,Interface_Generation!$B$5),"&amp;","&amp;amp;"),"&lt;","&amp;lt;"),"&gt;","&amp;gt;"),CHAR(34),"&amp;quot;"),"'","&amp;apos;"))</f>
        <v/>
      </c>
      <c r="AS46" s="46">
        <f>IF(Saisie_Questions!Q46="","",SUBSTITUTE(SUBSTITUTE(SUBSTITUTE(SUBSTITUTE(SUBSTITUTE(Saisie_Questions!Q46,"&amp;","&amp;amp;"),"&lt;","&amp;lt;"),"&gt;","&amp;gt;"),CHAR(34),"&amp;quot;"),"'","&amp;apos;"))</f>
        <v/>
      </c>
      <c r="AT46" s="46">
        <f>IF(Saisie_Questions!R46="","",SUBSTITUTE(SUBSTITUTE(SUBSTITUTE(SUBSTITUTE(SUBSTITUTE(Saisie_Questions!R46,"&amp;","&amp;amp;"),"&lt;","&amp;lt;"),"&gt;","&amp;gt;"),CHAR(34),"&amp;quot;"),"'","&amp;apos;"))</f>
        <v/>
      </c>
      <c r="AU46" s="46">
        <f>IF(Saisie_Questions!S46="","",SUBSTITUTE(SUBSTITUTE(SUBSTITUTE(SUBSTITUTE(SUBSTITUTE(Saisie_Questions!S46,"&amp;","&amp;amp;"),"&lt;","&amp;lt;"),"&gt;","&amp;gt;"),CHAR(34),"&amp;quot;"),"'","&amp;apos;"))</f>
        <v/>
      </c>
      <c r="AV46" s="46">
        <f>IF(Saisie_Questions!T46="","",SUBSTITUTE(SUBSTITUTE(SUBSTITUTE(SUBSTITUTE(SUBSTITUTE(Saisie_Questions!T46,"&amp;","&amp;amp;"),"&lt;","&amp;lt;"),"&gt;","&amp;gt;"),CHAR(34),"&amp;quot;"),"'","&amp;apos;"))</f>
        <v/>
      </c>
      <c r="AW46" s="46">
        <f>IF(Saisie_Questions!U46="","",SUBSTITUTE(SUBSTITUTE(SUBSTITUTE(SUBSTITUTE(SUBSTITUTE(Saisie_Questions!U46,"&amp;","&amp;amp;"),"&lt;","&amp;lt;"),"&gt;","&amp;gt;"),CHAR(34),"&amp;quot;"),"'","&amp;apos;"))</f>
        <v/>
      </c>
      <c r="AX46" s="46">
        <f>IF(Saisie_Questions!V46="","",SUBSTITUTE(SUBSTITUTE(SUBSTITUTE(SUBSTITUTE(SUBSTITUTE(Saisie_Questions!V46,"&amp;","&amp;amp;"),"&lt;","&amp;lt;"),"&gt;","&amp;gt;"),CHAR(34),"&amp;quot;"),"'","&amp;apos;"))</f>
        <v/>
      </c>
      <c r="AY46" s="46">
        <f>IF(Saisie_Questions!W46="","",SUBSTITUTE(SUBSTITUTE(SUBSTITUTE(SUBSTITUTE(SUBSTITUTE(Saisie_Questions!W46,"&amp;","&amp;amp;"),"&lt;","&amp;lt;"),"&gt;","&amp;gt;"),CHAR(34),"&amp;quot;"),"'","&amp;apos;"))</f>
        <v/>
      </c>
      <c r="AZ46" s="46">
        <f>IF(Saisie_Questions!X46="","",SUBSTITUTE(SUBSTITUTE(SUBSTITUTE(SUBSTITUTE(SUBSTITUTE(Saisie_Questions!X46,"&amp;","&amp;amp;"),"&lt;","&amp;lt;"),"&gt;","&amp;gt;"),CHAR(34),"&amp;quot;"),"'","&amp;apos;"))</f>
        <v/>
      </c>
      <c r="BA46" s="46">
        <f>IF(Saisie_Questions!Y46="","",SUBSTITUTE(SUBSTITUTE(SUBSTITUTE(SUBSTITUTE(SUBSTITUTE(Saisie_Questions!Y46,"&amp;","&amp;amp;"),"&lt;","&amp;lt;"),"&gt;","&amp;gt;"),CHAR(34),"&amp;quot;"),"'","&amp;apos;"))</f>
        <v/>
      </c>
      <c r="BB46" s="46">
        <f>IF($B46,IF($AS46="","","    &lt;itemfeedback ident=""response_allcorrect"" view=""All""&gt;&lt;flow_mat&gt;&lt;material&gt;&lt;mattext texttype=""text/html""&gt;"&amp;$AS46&amp;"&lt;/mattext&gt;&lt;/material&gt;&lt;/flow_mat&gt;&lt;/itemfeedback&gt;"&amp;"    &lt;itemfeedback ident=""response_onenotcorrect"" view=""All""&gt;&lt;flow_mat&gt;&lt;material&gt;&lt;mattext texttype=""text/html""&gt;"&amp;$AS46&amp;"&lt;/mattext&gt;&lt;/material&gt;&lt;/flow_mat&gt;&lt;/itemfeedback&gt;"),"")</f>
      </c>
      <c r="BC46" s="46">
        <f>IF($B46,IF(AT46="","","    &lt;itemfeedback ident=""response_0"" view=""All""&gt;&lt;flow_mat&gt;&lt;material&gt;&lt;mattext texttype=""text/html""&gt;"&amp;AT46&amp;"&lt;/mattext&gt;&lt;/material&gt;&lt;/flow_mat&gt;&lt;/itemfeedback&gt;"),"")</f>
      </c>
      <c r="BD46" s="46">
        <f>IF($B46,IF(AU46="","","    &lt;itemfeedback ident=""response_1"" view=""All""&gt;&lt;flow_mat&gt;&lt;material&gt;&lt;mattext texttype=""text/html""&gt;"&amp;AU46&amp;"&lt;/mattext&gt;&lt;/material&gt;&lt;/flow_mat&gt;&lt;/itemfeedback&gt;"),"")</f>
      </c>
      <c r="BE46" s="46">
        <f>IF($B46,IF(AV46="","","    &lt;itemfeedback ident=""response_2"" view=""All""&gt;&lt;flow_mat&gt;&lt;material&gt;&lt;mattext texttype=""text/html""&gt;"&amp;AV46&amp;"&lt;/mattext&gt;&lt;/material&gt;&lt;/flow_mat&gt;&lt;/itemfeedback&gt;"),"")</f>
      </c>
      <c r="BF46" s="46">
        <f>IF($B46,IF(AW46="","","    &lt;itemfeedback ident=""response_3"" view=""All""&gt;&lt;flow_mat&gt;&lt;material&gt;&lt;mattext texttype=""text/html""&gt;"&amp;AW46&amp;"&lt;/mattext&gt;&lt;/material&gt;&lt;/flow_mat&gt;&lt;/itemfeedback&gt;"),"")</f>
      </c>
      <c r="BG46" s="46">
        <f>IF($B46,IF(AX46="","","    &lt;itemfeedback ident=""response_4"" view=""All""&gt;&lt;flow_mat&gt;&lt;material&gt;&lt;mattext texttype=""text/html""&gt;"&amp;AX46&amp;"&lt;/mattext&gt;&lt;/material&gt;&lt;/flow_mat&gt;&lt;/itemfeedback&gt;"),"")</f>
      </c>
      <c r="BH46" s="46">
        <f>IF($B46,IF(AY46="","","    &lt;itemfeedback ident=""response_5"" view=""All""&gt;&lt;flow_mat&gt;&lt;material&gt;&lt;mattext texttype=""text/html""&gt;"&amp;AY46&amp;"&lt;/mattext&gt;&lt;/material&gt;&lt;/flow_mat&gt;&lt;/itemfeedback&gt;"),"")</f>
      </c>
      <c r="BI46" s="46">
        <f>IF($B46,IF(AZ46="","","    &lt;itemfeedback ident=""response_6"" view=""All""&gt;&lt;flow_mat&gt;&lt;material&gt;&lt;mattext texttype=""text/html""&gt;"&amp;AZ46&amp;"&lt;/mattext&gt;&lt;/material&gt;&lt;/flow_mat&gt;&lt;/itemfeedback&gt;"),"")</f>
      </c>
      <c r="BJ46" s="46">
        <f>IF($B46,IF(BA46="","","    &lt;itemfeedback ident=""response_7"" view=""All""&gt;&lt;flow_mat&gt;&lt;material&gt;&lt;mattext texttype=""text/html""&gt;"&amp;BA46&amp;"&lt;/mattext&gt;&lt;/material&gt;&lt;/flow_mat&gt;&lt;/itemfeedback&gt;"),"")</f>
      </c>
    </row>
    <row r="47" ht="18" customHeight="1" s="17">
      <c r="A47" s="46">
        <f>Saisie_Questions!A47</f>
        <v/>
      </c>
      <c r="B47" s="46">
        <f>Saisie_Questions!O47="OK"</f>
        <v/>
      </c>
      <c r="C47" s="46">
        <f>LOWER(TRIM(Saisie_Questions!B47))</f>
        <v/>
      </c>
      <c r="D47" s="46">
        <f>IF(C47="qcu","SINGLE CHOICE QUESTION","MULTIPLE CHOICE QUESTION")</f>
        <v/>
      </c>
      <c r="E47" s="46">
        <f>IF(C47="qcu","Single","Multiple")</f>
        <v/>
      </c>
      <c r="F47" s="46">
        <f>IF(A47="","",SUBSTITUTE(SUBSTITUTE(SUBSTITUTE(SUBSTITUTE(SUBSTITUTE(IF(Saisie_Questions!C47="", "Question "&amp;A47, Saisie_Questions!C47),"&amp;","&amp;amp;"),"&lt;","&amp;lt;"),"&gt;","&amp;gt;"),CHAR(34),"&amp;quot;"),"'","&amp;apos;"))</f>
        <v/>
      </c>
      <c r="G47" s="46">
        <f>IF(A47="","",SUBSTITUTE(SUBSTITUTE(SUBSTITUTE(SUBSTITUTE(SUBSTITUTE(Saisie_Questions!D47,"&amp;","&amp;amp;"),"&lt;","&amp;lt;"),"&gt;","&amp;gt;"),CHAR(34),"&amp;quot;"),"'","&amp;apos;"))</f>
        <v/>
      </c>
      <c r="H47" s="46">
        <f>Saisie_Questions!N47</f>
        <v/>
      </c>
      <c r="I47" s="46">
        <f>IF(Saisie_Questions!E47="",0,1)+IF(Saisie_Questions!F47="",0,1)+IF(Saisie_Questions!G47="",0,1)+IF(Saisie_Questions!H47="",0,1)+IF(Saisie_Questions!I47="",0,1)+IF(Saisie_Questions!J47="",0,1)+IF(Saisie_Questions!K47="",0,1)+IF(Saisie_Questions!L47="",0,1)</f>
        <v/>
      </c>
      <c r="J47" s="46">
        <f>Saisie_Questions!M47</f>
        <v/>
      </c>
      <c r="K47" s="46">
        <f>Saisie_Questions!O47</f>
        <v/>
      </c>
      <c r="L47" s="46">
        <f>IF(Saisie_Questions!E47="","",SUBSTITUTE(SUBSTITUTE(SUBSTITUTE(SUBSTITUTE(SUBSTITUTE(Saisie_Questions!E47,"&amp;","&amp;amp;"),"&lt;","&amp;lt;"),"&gt;","&amp;gt;"),CHAR(34),"&amp;quot;"),"'","&amp;apos;"))</f>
        <v/>
      </c>
      <c r="M47" s="46">
        <f>IF(Saisie_Questions!F47="","",SUBSTITUTE(SUBSTITUTE(SUBSTITUTE(SUBSTITUTE(SUBSTITUTE(Saisie_Questions!F47,"&amp;","&amp;amp;"),"&lt;","&amp;lt;"),"&gt;","&amp;gt;"),CHAR(34),"&amp;quot;"),"'","&amp;apos;"))</f>
        <v/>
      </c>
      <c r="N47" s="46">
        <f>IF(Saisie_Questions!G47="","",SUBSTITUTE(SUBSTITUTE(SUBSTITUTE(SUBSTITUTE(SUBSTITUTE(Saisie_Questions!G47,"&amp;","&amp;amp;"),"&lt;","&amp;lt;"),"&gt;","&amp;gt;"),CHAR(34),"&amp;quot;"),"'","&amp;apos;"))</f>
        <v/>
      </c>
      <c r="O47" s="46">
        <f>IF(Saisie_Questions!H47="","",SUBSTITUTE(SUBSTITUTE(SUBSTITUTE(SUBSTITUTE(SUBSTITUTE(Saisie_Questions!H47,"&amp;","&amp;amp;"),"&lt;","&amp;lt;"),"&gt;","&amp;gt;"),CHAR(34),"&amp;quot;"),"'","&amp;apos;"))</f>
        <v/>
      </c>
      <c r="P47" s="46">
        <f>IF(Saisie_Questions!I47="","",SUBSTITUTE(SUBSTITUTE(SUBSTITUTE(SUBSTITUTE(SUBSTITUTE(Saisie_Questions!I47,"&amp;","&amp;amp;"),"&lt;","&amp;lt;"),"&gt;","&amp;gt;"),CHAR(34),"&amp;quot;"),"'","&amp;apos;"))</f>
        <v/>
      </c>
      <c r="Q47" s="46">
        <f>IF(Saisie_Questions!J47="","",SUBSTITUTE(SUBSTITUTE(SUBSTITUTE(SUBSTITUTE(SUBSTITUTE(Saisie_Questions!J47,"&amp;","&amp;amp;"),"&lt;","&amp;lt;"),"&gt;","&amp;gt;"),CHAR(34),"&amp;quot;"),"'","&amp;apos;"))</f>
        <v/>
      </c>
      <c r="R47" s="46">
        <f>IF(Saisie_Questions!K47="","",SUBSTITUTE(SUBSTITUTE(SUBSTITUTE(SUBSTITUTE(SUBSTITUTE(Saisie_Questions!K47,"&amp;","&amp;amp;"),"&lt;","&amp;lt;"),"&gt;","&amp;gt;"),CHAR(34),"&amp;quot;"),"'","&amp;apos;"))</f>
        <v/>
      </c>
      <c r="S47" s="46">
        <f>IF(Saisie_Questions!L47="","",SUBSTITUTE(SUBSTITUTE(SUBSTITUTE(SUBSTITUTE(SUBSTITUTE(Saisie_Questions!L47,"&amp;","&amp;amp;"),"&lt;","&amp;lt;"),"&gt;","&amp;gt;"),CHAR(34),"&amp;quot;"),"'","&amp;apos;"))</f>
        <v/>
      </c>
      <c r="T47" s="46">
        <f>ISNUMBER(SEARCH(";"&amp;1&amp;";",";"&amp;$J47&amp;";"))</f>
        <v/>
      </c>
      <c r="U47" s="46">
        <f>ISNUMBER(SEARCH(";"&amp;2&amp;";",";"&amp;$J47&amp;";"))</f>
        <v/>
      </c>
      <c r="V47" s="46">
        <f>ISNUMBER(SEARCH(";"&amp;3&amp;";",";"&amp;$J47&amp;";"))</f>
        <v/>
      </c>
      <c r="W47" s="46">
        <f>ISNUMBER(SEARCH(";"&amp;4&amp;";",";"&amp;$J47&amp;";"))</f>
        <v/>
      </c>
      <c r="X47" s="46">
        <f>ISNUMBER(SEARCH(";"&amp;5&amp;";",";"&amp;$J47&amp;";"))</f>
        <v/>
      </c>
      <c r="Y47" s="46">
        <f>ISNUMBER(SEARCH(";"&amp;6&amp;";",";"&amp;$J47&amp;";"))</f>
        <v/>
      </c>
      <c r="Z47" s="46">
        <f>ISNUMBER(SEARCH(";"&amp;7&amp;";",";"&amp;$J47&amp;";"))</f>
        <v/>
      </c>
      <c r="AA47" s="46">
        <f>ISNUMBER(SEARCH(";"&amp;8&amp;";",";"&amp;$J47&amp;";"))</f>
        <v/>
      </c>
      <c r="AB47" s="46">
        <f>IF($B47,IF(L47="","","        &lt;response_label ident=""0""&gt;&lt;material&gt;&lt;mattext texttype=""text/html""&gt;"&amp;L47&amp;"&lt;/mattext&gt;&lt;/material&gt;&lt;/response_label&gt;"),"")</f>
        <v/>
      </c>
      <c r="AC47" s="46">
        <f>IF($B47,IF(M47="","","        &lt;response_label ident=""1""&gt;&lt;material&gt;&lt;mattext texttype=""text/html""&gt;"&amp;M47&amp;"&lt;/mattext&gt;&lt;/material&gt;&lt;/response_label&gt;"),"")</f>
        <v/>
      </c>
      <c r="AD47" s="46">
        <f>IF($B47,IF(N47="","","        &lt;response_label ident=""2""&gt;&lt;material&gt;&lt;mattext texttype=""text/html""&gt;"&amp;N47&amp;"&lt;/mattext&gt;&lt;/material&gt;&lt;/response_label&gt;"),"")</f>
        <v/>
      </c>
      <c r="AE47" s="46">
        <f>IF($B47,IF(O47="","","        &lt;response_label ident=""3""&gt;&lt;material&gt;&lt;mattext texttype=""text/html""&gt;"&amp;O47&amp;"&lt;/mattext&gt;&lt;/material&gt;&lt;/response_label&gt;"),"")</f>
        <v/>
      </c>
      <c r="AF47" s="46">
        <f>IF($B47,IF(P47="","","        &lt;response_label ident=""4""&gt;&lt;material&gt;&lt;mattext texttype=""text/html""&gt;"&amp;P47&amp;"&lt;/mattext&gt;&lt;/material&gt;&lt;/response_label&gt;"),"")</f>
        <v/>
      </c>
      <c r="AG47" s="46">
        <f>IF($B47,IF(Q47="","","        &lt;response_label ident=""5""&gt;&lt;material&gt;&lt;mattext texttype=""text/html""&gt;"&amp;Q47&amp;"&lt;/mattext&gt;&lt;/material&gt;&lt;/response_label&gt;"),"")</f>
        <v/>
      </c>
      <c r="AH47" s="46">
        <f>IF($B47,IF(R47="","","        &lt;response_label ident=""6""&gt;&lt;material&gt;&lt;mattext texttype=""text/html""&gt;"&amp;R47&amp;"&lt;/mattext&gt;&lt;/material&gt;&lt;/response_label&gt;"),"")</f>
        <v/>
      </c>
      <c r="AI47" s="46">
        <f>IF($B47,IF(S47="","","        &lt;response_label ident=""7""&gt;&lt;material&gt;&lt;mattext texttype=""text/html""&gt;"&amp;S47&amp;"&lt;/mattext&gt;&lt;/material&gt;&lt;/response_label&gt;"),"")</f>
        <v/>
      </c>
      <c r="AJ47" s="46">
        <f>IF($B47,IF(L47="","",IF($C47="qcu",IF(OR(T47,AT47&lt;&gt;"",$AS47&lt;&gt;""),"      &lt;respcondition continue=""Yes""&gt;&lt;conditionvar&gt;&lt;varequal respident=""RESPONSE""&gt;0&lt;/varequal&gt;&lt;/conditionvar&gt;"&amp;"&lt;setvar action=""Add""&gt;"&amp;IF(T47,$H47,0)&amp;"&lt;/setvar&gt;"&amp;IF(AT47&lt;&gt;"","&lt;displayfeedback feedbacktype=""Response"" linkrefid=""response_0""/&gt;",IF($AS47&lt;&gt;"","&lt;displayfeedback feedbacktype=""Response"" linkrefid=""qti_feedback_trigger""/&gt;",""))&amp;"&lt;/respcondition&gt;",""),IF(OR(T47,AT47&lt;&gt;"",$AS47&lt;&gt;""),"      &lt;respcondition continue=""Yes""&gt;&lt;conditionvar&gt;"&amp;IF(T47,"&lt;varequal respident=""RESPONSE""&gt;0&lt;/varequal&gt;","&lt;not&gt;&lt;varequal respident=""RESPONSE""&gt;0&lt;/varequal&gt;&lt;/not&gt;")&amp;"&lt;/conditionvar&gt;&lt;setvar action=""Add""&gt;"&amp;(Saisie_Questions!$N47/$I47)&amp;"&lt;/setvar&gt;"&amp;IF(AT47&lt;&gt;"","&lt;displayfeedback feedbacktype=""Response"" linkrefid=""response_0""/&gt;",IF($AS47&lt;&gt;"","&lt;displayfeedback feedbacktype=""Response"" linkrefid=""qti_feedback_trigger""/&gt;",""))&amp;"&lt;/respcondition&gt;",""))),"")</f>
      </c>
      <c r="AK47" s="46">
        <f>IF($B47,IF(M47="","",IF($C47="qcu",IF(OR(U47,AU47&lt;&gt;"",$AS47&lt;&gt;""),"      &lt;respcondition continue=""Yes""&gt;&lt;conditionvar&gt;&lt;varequal respident=""RESPONSE""&gt;1&lt;/varequal&gt;&lt;/conditionvar&gt;"&amp;"&lt;setvar action=""Add""&gt;"&amp;IF(U47,$H47,0)&amp;"&lt;/setvar&gt;"&amp;IF(AU47&lt;&gt;"","&lt;displayfeedback feedbacktype=""Response"" linkrefid=""response_1""/&gt;",IF($AS47&lt;&gt;"","&lt;displayfeedback feedbacktype=""Response"" linkrefid=""qti_feedback_trigger""/&gt;",""))&amp;"&lt;/respcondition&gt;",""),IF(OR(U47,AU47&lt;&gt;"",$AS47&lt;&gt;""),"      &lt;respcondition continue=""Yes""&gt;&lt;conditionvar&gt;"&amp;IF(U47,"&lt;varequal respident=""RESPONSE""&gt;1&lt;/varequal&gt;","&lt;not&gt;&lt;varequal respident=""RESPONSE""&gt;1&lt;/varequal&gt;&lt;/not&gt;")&amp;"&lt;/conditionvar&gt;&lt;setvar action=""Add""&gt;"&amp;(Saisie_Questions!$N47/$I47)&amp;"&lt;/setvar&gt;"&amp;IF(AU47&lt;&gt;"","&lt;displayfeedback feedbacktype=""Response"" linkrefid=""response_1""/&gt;",IF($AS47&lt;&gt;"","&lt;displayfeedback feedbacktype=""Response"" linkrefid=""qti_feedback_trigger""/&gt;",""))&amp;"&lt;/respcondition&gt;",""))),"")</f>
      </c>
      <c r="AL47" s="46">
        <f>IF($B47,IF(N47="","",IF($C47="qcu",IF(OR(V47,AV47&lt;&gt;"",$AS47&lt;&gt;""),"      &lt;respcondition continue=""Yes""&gt;&lt;conditionvar&gt;&lt;varequal respident=""RESPONSE""&gt;2&lt;/varequal&gt;&lt;/conditionvar&gt;"&amp;"&lt;setvar action=""Add""&gt;"&amp;IF(V47,$H47,0)&amp;"&lt;/setvar&gt;"&amp;IF(AV47&lt;&gt;"","&lt;displayfeedback feedbacktype=""Response"" linkrefid=""response_2""/&gt;",IF($AS47&lt;&gt;"","&lt;displayfeedback feedbacktype=""Response"" linkrefid=""qti_feedback_trigger""/&gt;",""))&amp;"&lt;/respcondition&gt;",""),IF(OR(V47,AV47&lt;&gt;"",$AS47&lt;&gt;""),"      &lt;respcondition continue=""Yes""&gt;&lt;conditionvar&gt;"&amp;IF(V47,"&lt;varequal respident=""RESPONSE""&gt;2&lt;/varequal&gt;","&lt;not&gt;&lt;varequal respident=""RESPONSE""&gt;2&lt;/varequal&gt;&lt;/not&gt;")&amp;"&lt;/conditionvar&gt;&lt;setvar action=""Add""&gt;"&amp;(Saisie_Questions!$N47/$I47)&amp;"&lt;/setvar&gt;"&amp;IF(AV47&lt;&gt;"","&lt;displayfeedback feedbacktype=""Response"" linkrefid=""response_2""/&gt;",IF($AS47&lt;&gt;"","&lt;displayfeedback feedbacktype=""Response"" linkrefid=""qti_feedback_trigger""/&gt;",""))&amp;"&lt;/respcondition&gt;",""))),"")</f>
      </c>
      <c r="AM47" s="46">
        <f>IF($B47,IF(O47="","",IF($C47="qcu",IF(OR(W47,AW47&lt;&gt;"",$AS47&lt;&gt;""),"      &lt;respcondition continue=""Yes""&gt;&lt;conditionvar&gt;&lt;varequal respident=""RESPONSE""&gt;3&lt;/varequal&gt;&lt;/conditionvar&gt;"&amp;"&lt;setvar action=""Add""&gt;"&amp;IF(W47,$H47,0)&amp;"&lt;/setvar&gt;"&amp;IF(AW47&lt;&gt;"","&lt;displayfeedback feedbacktype=""Response"" linkrefid=""response_3""/&gt;",IF($AS47&lt;&gt;"","&lt;displayfeedback feedbacktype=""Response"" linkrefid=""qti_feedback_trigger""/&gt;",""))&amp;"&lt;/respcondition&gt;",""),IF(OR(W47,AW47&lt;&gt;"",$AS47&lt;&gt;""),"      &lt;respcondition continue=""Yes""&gt;&lt;conditionvar&gt;"&amp;IF(W47,"&lt;varequal respident=""RESPONSE""&gt;3&lt;/varequal&gt;","&lt;not&gt;&lt;varequal respident=""RESPONSE""&gt;3&lt;/varequal&gt;&lt;/not&gt;")&amp;"&lt;/conditionvar&gt;&lt;setvar action=""Add""&gt;"&amp;(Saisie_Questions!$N47/$I47)&amp;"&lt;/setvar&gt;"&amp;IF(AW47&lt;&gt;"","&lt;displayfeedback feedbacktype=""Response"" linkrefid=""response_3""/&gt;",IF($AS47&lt;&gt;"","&lt;displayfeedback feedbacktype=""Response"" linkrefid=""qti_feedback_trigger""/&gt;",""))&amp;"&lt;/respcondition&gt;",""))),"")</f>
      </c>
      <c r="AN47" s="46">
        <f>IF($B47,IF(P47="","",IF($C47="qcu",IF(OR(X47,AX47&lt;&gt;"",$AS47&lt;&gt;""),"      &lt;respcondition continue=""Yes""&gt;&lt;conditionvar&gt;&lt;varequal respident=""RESPONSE""&gt;4&lt;/varequal&gt;&lt;/conditionvar&gt;"&amp;"&lt;setvar action=""Add""&gt;"&amp;IF(X47,$H47,0)&amp;"&lt;/setvar&gt;"&amp;IF(AX47&lt;&gt;"","&lt;displayfeedback feedbacktype=""Response"" linkrefid=""response_4""/&gt;",IF($AS47&lt;&gt;"","&lt;displayfeedback feedbacktype=""Response"" linkrefid=""qti_feedback_trigger""/&gt;",""))&amp;"&lt;/respcondition&gt;",""),IF(OR(X47,AX47&lt;&gt;"",$AS47&lt;&gt;""),"      &lt;respcondition continue=""Yes""&gt;&lt;conditionvar&gt;"&amp;IF(X47,"&lt;varequal respident=""RESPONSE""&gt;4&lt;/varequal&gt;","&lt;not&gt;&lt;varequal respident=""RESPONSE""&gt;4&lt;/varequal&gt;&lt;/not&gt;")&amp;"&lt;/conditionvar&gt;&lt;setvar action=""Add""&gt;"&amp;(Saisie_Questions!$N47/$I47)&amp;"&lt;/setvar&gt;"&amp;IF(AX47&lt;&gt;"","&lt;displayfeedback feedbacktype=""Response"" linkrefid=""response_4""/&gt;",IF($AS47&lt;&gt;"","&lt;displayfeedback feedbacktype=""Response"" linkrefid=""qti_feedback_trigger""/&gt;",""))&amp;"&lt;/respcondition&gt;",""))),"")</f>
      </c>
      <c r="AO47" s="46">
        <f>IF($B47,IF(Q47="","",IF($C47="qcu",IF(OR(Y47,AY47&lt;&gt;"",$AS47&lt;&gt;""),"      &lt;respcondition continue=""Yes""&gt;&lt;conditionvar&gt;&lt;varequal respident=""RESPONSE""&gt;5&lt;/varequal&gt;&lt;/conditionvar&gt;"&amp;"&lt;setvar action=""Add""&gt;"&amp;IF(Y47,$H47,0)&amp;"&lt;/setvar&gt;"&amp;IF(AY47&lt;&gt;"","&lt;displayfeedback feedbacktype=""Response"" linkrefid=""response_5""/&gt;",IF($AS47&lt;&gt;"","&lt;displayfeedback feedbacktype=""Response"" linkrefid=""qti_feedback_trigger""/&gt;",""))&amp;"&lt;/respcondition&gt;",""),IF(OR(Y47,AY47&lt;&gt;"",$AS47&lt;&gt;""),"      &lt;respcondition continue=""Yes""&gt;&lt;conditionvar&gt;"&amp;IF(Y47,"&lt;varequal respident=""RESPONSE""&gt;5&lt;/varequal&gt;","&lt;not&gt;&lt;varequal respident=""RESPONSE""&gt;5&lt;/varequal&gt;&lt;/not&gt;")&amp;"&lt;/conditionvar&gt;&lt;setvar action=""Add""&gt;"&amp;(Saisie_Questions!$N47/$I47)&amp;"&lt;/setvar&gt;"&amp;IF(AY47&lt;&gt;"","&lt;displayfeedback feedbacktype=""Response"" linkrefid=""response_5""/&gt;",IF($AS47&lt;&gt;"","&lt;displayfeedback feedbacktype=""Response"" linkrefid=""qti_feedback_trigger""/&gt;",""))&amp;"&lt;/respcondition&gt;",""))),"")</f>
      </c>
      <c r="AP47" s="46">
        <f>IF($B47,IF(R47="","",IF($C47="qcu",IF(OR(Z47,AZ47&lt;&gt;"",$AS47&lt;&gt;""),"      &lt;respcondition continue=""Yes""&gt;&lt;conditionvar&gt;&lt;varequal respident=""RESPONSE""&gt;6&lt;/varequal&gt;&lt;/conditionvar&gt;"&amp;"&lt;setvar action=""Add""&gt;"&amp;IF(Z47,$H47,0)&amp;"&lt;/setvar&gt;"&amp;IF(AZ47&lt;&gt;"","&lt;displayfeedback feedbacktype=""Response"" linkrefid=""response_6""/&gt;",IF($AS47&lt;&gt;"","&lt;displayfeedback feedbacktype=""Response"" linkrefid=""qti_feedback_trigger""/&gt;",""))&amp;"&lt;/respcondition&gt;",""),IF(OR(Z47,AZ47&lt;&gt;"",$AS47&lt;&gt;""),"      &lt;respcondition continue=""Yes""&gt;&lt;conditionvar&gt;"&amp;IF(Z47,"&lt;varequal respident=""RESPONSE""&gt;6&lt;/varequal&gt;","&lt;not&gt;&lt;varequal respident=""RESPONSE""&gt;6&lt;/varequal&gt;&lt;/not&gt;")&amp;"&lt;/conditionvar&gt;&lt;setvar action=""Add""&gt;"&amp;(Saisie_Questions!$N47/$I47)&amp;"&lt;/setvar&gt;"&amp;IF(AZ47&lt;&gt;"","&lt;displayfeedback feedbacktype=""Response"" linkrefid=""response_6""/&gt;",IF($AS47&lt;&gt;"","&lt;displayfeedback feedbacktype=""Response"" linkrefid=""qti_feedback_trigger""/&gt;",""))&amp;"&lt;/respcondition&gt;",""))),"")</f>
      </c>
      <c r="AQ47" s="46">
        <f>IF($B47,IF(S47="","",IF($C47="qcu",IF(OR(AA47,BA47&lt;&gt;"",$AS47&lt;&gt;""),"      &lt;respcondition continue=""Yes""&gt;&lt;conditionvar&gt;&lt;varequal respident=""RESPONSE""&gt;7&lt;/varequal&gt;&lt;/conditionvar&gt;"&amp;"&lt;setvar action=""Add""&gt;"&amp;IF(AA47,$H47,0)&amp;"&lt;/setvar&gt;"&amp;IF(BA47&lt;&gt;"","&lt;displayfeedback feedbacktype=""Response"" linkrefid=""response_7""/&gt;",IF($AS47&lt;&gt;"","&lt;displayfeedback feedbacktype=""Response"" linkrefid=""qti_feedback_trigger""/&gt;",""))&amp;"&lt;/respcondition&gt;",""),IF(OR(AA47,BA47&lt;&gt;"",$AS47&lt;&gt;""),"      &lt;respcondition continue=""Yes""&gt;&lt;conditionvar&gt;"&amp;IF(AA47,"&lt;varequal respident=""RESPONSE""&gt;7&lt;/varequal&gt;","&lt;not&gt;&lt;varequal respident=""RESPONSE""&gt;7&lt;/varequal&gt;&lt;/not&gt;")&amp;"&lt;/conditionvar&gt;&lt;setvar action=""Add""&gt;"&amp;(Saisie_Questions!$N47/$I47)&amp;"&lt;/setvar&gt;"&amp;IF(BA47&lt;&gt;"","&lt;displayfeedback feedbacktype=""Response"" linkrefid=""response_7""/&gt;",IF($AS47&lt;&gt;"","&lt;displayfeedback feedbacktype=""Response"" linkrefid=""qti_feedback_trigger""/&gt;",""))&amp;"&lt;/respcondition&gt;",""))),"")</f>
      </c>
      <c r="AR47" s="46">
        <f>IF(A47="","",SUBSTITUTE(SUBSTITUTE(SUBSTITUTE(SUBSTITUTE(SUBSTITUTE(IF(Saisie_Questions!P47&lt;&gt;"",Saisie_Questions!P47,Interface_Generation!$B$5),"&amp;","&amp;amp;"),"&lt;","&amp;lt;"),"&gt;","&amp;gt;"),CHAR(34),"&amp;quot;"),"'","&amp;apos;"))</f>
        <v/>
      </c>
      <c r="AS47" s="46">
        <f>IF(Saisie_Questions!Q47="","",SUBSTITUTE(SUBSTITUTE(SUBSTITUTE(SUBSTITUTE(SUBSTITUTE(Saisie_Questions!Q47,"&amp;","&amp;amp;"),"&lt;","&amp;lt;"),"&gt;","&amp;gt;"),CHAR(34),"&amp;quot;"),"'","&amp;apos;"))</f>
        <v/>
      </c>
      <c r="AT47" s="46">
        <f>IF(Saisie_Questions!R47="","",SUBSTITUTE(SUBSTITUTE(SUBSTITUTE(SUBSTITUTE(SUBSTITUTE(Saisie_Questions!R47,"&amp;","&amp;amp;"),"&lt;","&amp;lt;"),"&gt;","&amp;gt;"),CHAR(34),"&amp;quot;"),"'","&amp;apos;"))</f>
        <v/>
      </c>
      <c r="AU47" s="46">
        <f>IF(Saisie_Questions!S47="","",SUBSTITUTE(SUBSTITUTE(SUBSTITUTE(SUBSTITUTE(SUBSTITUTE(Saisie_Questions!S47,"&amp;","&amp;amp;"),"&lt;","&amp;lt;"),"&gt;","&amp;gt;"),CHAR(34),"&amp;quot;"),"'","&amp;apos;"))</f>
        <v/>
      </c>
      <c r="AV47" s="46">
        <f>IF(Saisie_Questions!T47="","",SUBSTITUTE(SUBSTITUTE(SUBSTITUTE(SUBSTITUTE(SUBSTITUTE(Saisie_Questions!T47,"&amp;","&amp;amp;"),"&lt;","&amp;lt;"),"&gt;","&amp;gt;"),CHAR(34),"&amp;quot;"),"'","&amp;apos;"))</f>
        <v/>
      </c>
      <c r="AW47" s="46">
        <f>IF(Saisie_Questions!U47="","",SUBSTITUTE(SUBSTITUTE(SUBSTITUTE(SUBSTITUTE(SUBSTITUTE(Saisie_Questions!U47,"&amp;","&amp;amp;"),"&lt;","&amp;lt;"),"&gt;","&amp;gt;"),CHAR(34),"&amp;quot;"),"'","&amp;apos;"))</f>
        <v/>
      </c>
      <c r="AX47" s="46">
        <f>IF(Saisie_Questions!V47="","",SUBSTITUTE(SUBSTITUTE(SUBSTITUTE(SUBSTITUTE(SUBSTITUTE(Saisie_Questions!V47,"&amp;","&amp;amp;"),"&lt;","&amp;lt;"),"&gt;","&amp;gt;"),CHAR(34),"&amp;quot;"),"'","&amp;apos;"))</f>
        <v/>
      </c>
      <c r="AY47" s="46">
        <f>IF(Saisie_Questions!W47="","",SUBSTITUTE(SUBSTITUTE(SUBSTITUTE(SUBSTITUTE(SUBSTITUTE(Saisie_Questions!W47,"&amp;","&amp;amp;"),"&lt;","&amp;lt;"),"&gt;","&amp;gt;"),CHAR(34),"&amp;quot;"),"'","&amp;apos;"))</f>
        <v/>
      </c>
      <c r="AZ47" s="46">
        <f>IF(Saisie_Questions!X47="","",SUBSTITUTE(SUBSTITUTE(SUBSTITUTE(SUBSTITUTE(SUBSTITUTE(Saisie_Questions!X47,"&amp;","&amp;amp;"),"&lt;","&amp;lt;"),"&gt;","&amp;gt;"),CHAR(34),"&amp;quot;"),"'","&amp;apos;"))</f>
        <v/>
      </c>
      <c r="BA47" s="46">
        <f>IF(Saisie_Questions!Y47="","",SUBSTITUTE(SUBSTITUTE(SUBSTITUTE(SUBSTITUTE(SUBSTITUTE(Saisie_Questions!Y47,"&amp;","&amp;amp;"),"&lt;","&amp;lt;"),"&gt;","&amp;gt;"),CHAR(34),"&amp;quot;"),"'","&amp;apos;"))</f>
        <v/>
      </c>
      <c r="BB47" s="46">
        <f>IF($B47,IF($AS47="","","    &lt;itemfeedback ident=""response_allcorrect"" view=""All""&gt;&lt;flow_mat&gt;&lt;material&gt;&lt;mattext texttype=""text/html""&gt;"&amp;$AS47&amp;"&lt;/mattext&gt;&lt;/material&gt;&lt;/flow_mat&gt;&lt;/itemfeedback&gt;"&amp;"    &lt;itemfeedback ident=""response_onenotcorrect"" view=""All""&gt;&lt;flow_mat&gt;&lt;material&gt;&lt;mattext texttype=""text/html""&gt;"&amp;$AS47&amp;"&lt;/mattext&gt;&lt;/material&gt;&lt;/flow_mat&gt;&lt;/itemfeedback&gt;"),"")</f>
      </c>
      <c r="BC47" s="46">
        <f>IF($B47,IF(AT47="","","    &lt;itemfeedback ident=""response_0"" view=""All""&gt;&lt;flow_mat&gt;&lt;material&gt;&lt;mattext texttype=""text/html""&gt;"&amp;AT47&amp;"&lt;/mattext&gt;&lt;/material&gt;&lt;/flow_mat&gt;&lt;/itemfeedback&gt;"),"")</f>
      </c>
      <c r="BD47" s="46">
        <f>IF($B47,IF(AU47="","","    &lt;itemfeedback ident=""response_1"" view=""All""&gt;&lt;flow_mat&gt;&lt;material&gt;&lt;mattext texttype=""text/html""&gt;"&amp;AU47&amp;"&lt;/mattext&gt;&lt;/material&gt;&lt;/flow_mat&gt;&lt;/itemfeedback&gt;"),"")</f>
      </c>
      <c r="BE47" s="46">
        <f>IF($B47,IF(AV47="","","    &lt;itemfeedback ident=""response_2"" view=""All""&gt;&lt;flow_mat&gt;&lt;material&gt;&lt;mattext texttype=""text/html""&gt;"&amp;AV47&amp;"&lt;/mattext&gt;&lt;/material&gt;&lt;/flow_mat&gt;&lt;/itemfeedback&gt;"),"")</f>
      </c>
      <c r="BF47" s="46">
        <f>IF($B47,IF(AW47="","","    &lt;itemfeedback ident=""response_3"" view=""All""&gt;&lt;flow_mat&gt;&lt;material&gt;&lt;mattext texttype=""text/html""&gt;"&amp;AW47&amp;"&lt;/mattext&gt;&lt;/material&gt;&lt;/flow_mat&gt;&lt;/itemfeedback&gt;"),"")</f>
      </c>
      <c r="BG47" s="46">
        <f>IF($B47,IF(AX47="","","    &lt;itemfeedback ident=""response_4"" view=""All""&gt;&lt;flow_mat&gt;&lt;material&gt;&lt;mattext texttype=""text/html""&gt;"&amp;AX47&amp;"&lt;/mattext&gt;&lt;/material&gt;&lt;/flow_mat&gt;&lt;/itemfeedback&gt;"),"")</f>
      </c>
      <c r="BH47" s="46">
        <f>IF($B47,IF(AY47="","","    &lt;itemfeedback ident=""response_5"" view=""All""&gt;&lt;flow_mat&gt;&lt;material&gt;&lt;mattext texttype=""text/html""&gt;"&amp;AY47&amp;"&lt;/mattext&gt;&lt;/material&gt;&lt;/flow_mat&gt;&lt;/itemfeedback&gt;"),"")</f>
      </c>
      <c r="BI47" s="46">
        <f>IF($B47,IF(AZ47="","","    &lt;itemfeedback ident=""response_6"" view=""All""&gt;&lt;flow_mat&gt;&lt;material&gt;&lt;mattext texttype=""text/html""&gt;"&amp;AZ47&amp;"&lt;/mattext&gt;&lt;/material&gt;&lt;/flow_mat&gt;&lt;/itemfeedback&gt;"),"")</f>
      </c>
      <c r="BJ47" s="46">
        <f>IF($B47,IF(BA47="","","    &lt;itemfeedback ident=""response_7"" view=""All""&gt;&lt;flow_mat&gt;&lt;material&gt;&lt;mattext texttype=""text/html""&gt;"&amp;BA47&amp;"&lt;/mattext&gt;&lt;/material&gt;&lt;/flow_mat&gt;&lt;/itemfeedback&gt;"),"")</f>
      </c>
    </row>
    <row r="48" ht="18" customHeight="1" s="17">
      <c r="A48" s="46">
        <f>Saisie_Questions!A48</f>
        <v/>
      </c>
      <c r="B48" s="46">
        <f>Saisie_Questions!O48="OK"</f>
        <v/>
      </c>
      <c r="C48" s="46">
        <f>LOWER(TRIM(Saisie_Questions!B48))</f>
        <v/>
      </c>
      <c r="D48" s="46">
        <f>IF(C48="qcu","SINGLE CHOICE QUESTION","MULTIPLE CHOICE QUESTION")</f>
        <v/>
      </c>
      <c r="E48" s="46">
        <f>IF(C48="qcu","Single","Multiple")</f>
        <v/>
      </c>
      <c r="F48" s="46">
        <f>IF(A48="","",SUBSTITUTE(SUBSTITUTE(SUBSTITUTE(SUBSTITUTE(SUBSTITUTE(IF(Saisie_Questions!C48="", "Question "&amp;A48, Saisie_Questions!C48),"&amp;","&amp;amp;"),"&lt;","&amp;lt;"),"&gt;","&amp;gt;"),CHAR(34),"&amp;quot;"),"'","&amp;apos;"))</f>
        <v/>
      </c>
      <c r="G48" s="46">
        <f>IF(A48="","",SUBSTITUTE(SUBSTITUTE(SUBSTITUTE(SUBSTITUTE(SUBSTITUTE(Saisie_Questions!D48,"&amp;","&amp;amp;"),"&lt;","&amp;lt;"),"&gt;","&amp;gt;"),CHAR(34),"&amp;quot;"),"'","&amp;apos;"))</f>
        <v/>
      </c>
      <c r="H48" s="46">
        <f>Saisie_Questions!N48</f>
        <v/>
      </c>
      <c r="I48" s="46">
        <f>IF(Saisie_Questions!E48="",0,1)+IF(Saisie_Questions!F48="",0,1)+IF(Saisie_Questions!G48="",0,1)+IF(Saisie_Questions!H48="",0,1)+IF(Saisie_Questions!I48="",0,1)+IF(Saisie_Questions!J48="",0,1)+IF(Saisie_Questions!K48="",0,1)+IF(Saisie_Questions!L48="",0,1)</f>
        <v/>
      </c>
      <c r="J48" s="46">
        <f>Saisie_Questions!M48</f>
        <v/>
      </c>
      <c r="K48" s="46">
        <f>Saisie_Questions!O48</f>
        <v/>
      </c>
      <c r="L48" s="46">
        <f>IF(Saisie_Questions!E48="","",SUBSTITUTE(SUBSTITUTE(SUBSTITUTE(SUBSTITUTE(SUBSTITUTE(Saisie_Questions!E48,"&amp;","&amp;amp;"),"&lt;","&amp;lt;"),"&gt;","&amp;gt;"),CHAR(34),"&amp;quot;"),"'","&amp;apos;"))</f>
        <v/>
      </c>
      <c r="M48" s="46">
        <f>IF(Saisie_Questions!F48="","",SUBSTITUTE(SUBSTITUTE(SUBSTITUTE(SUBSTITUTE(SUBSTITUTE(Saisie_Questions!F48,"&amp;","&amp;amp;"),"&lt;","&amp;lt;"),"&gt;","&amp;gt;"),CHAR(34),"&amp;quot;"),"'","&amp;apos;"))</f>
        <v/>
      </c>
      <c r="N48" s="46">
        <f>IF(Saisie_Questions!G48="","",SUBSTITUTE(SUBSTITUTE(SUBSTITUTE(SUBSTITUTE(SUBSTITUTE(Saisie_Questions!G48,"&amp;","&amp;amp;"),"&lt;","&amp;lt;"),"&gt;","&amp;gt;"),CHAR(34),"&amp;quot;"),"'","&amp;apos;"))</f>
        <v/>
      </c>
      <c r="O48" s="46">
        <f>IF(Saisie_Questions!H48="","",SUBSTITUTE(SUBSTITUTE(SUBSTITUTE(SUBSTITUTE(SUBSTITUTE(Saisie_Questions!H48,"&amp;","&amp;amp;"),"&lt;","&amp;lt;"),"&gt;","&amp;gt;"),CHAR(34),"&amp;quot;"),"'","&amp;apos;"))</f>
        <v/>
      </c>
      <c r="P48" s="46">
        <f>IF(Saisie_Questions!I48="","",SUBSTITUTE(SUBSTITUTE(SUBSTITUTE(SUBSTITUTE(SUBSTITUTE(Saisie_Questions!I48,"&amp;","&amp;amp;"),"&lt;","&amp;lt;"),"&gt;","&amp;gt;"),CHAR(34),"&amp;quot;"),"'","&amp;apos;"))</f>
        <v/>
      </c>
      <c r="Q48" s="46">
        <f>IF(Saisie_Questions!J48="","",SUBSTITUTE(SUBSTITUTE(SUBSTITUTE(SUBSTITUTE(SUBSTITUTE(Saisie_Questions!J48,"&amp;","&amp;amp;"),"&lt;","&amp;lt;"),"&gt;","&amp;gt;"),CHAR(34),"&amp;quot;"),"'","&amp;apos;"))</f>
        <v/>
      </c>
      <c r="R48" s="46">
        <f>IF(Saisie_Questions!K48="","",SUBSTITUTE(SUBSTITUTE(SUBSTITUTE(SUBSTITUTE(SUBSTITUTE(Saisie_Questions!K48,"&amp;","&amp;amp;"),"&lt;","&amp;lt;"),"&gt;","&amp;gt;"),CHAR(34),"&amp;quot;"),"'","&amp;apos;"))</f>
        <v/>
      </c>
      <c r="S48" s="46">
        <f>IF(Saisie_Questions!L48="","",SUBSTITUTE(SUBSTITUTE(SUBSTITUTE(SUBSTITUTE(SUBSTITUTE(Saisie_Questions!L48,"&amp;","&amp;amp;"),"&lt;","&amp;lt;"),"&gt;","&amp;gt;"),CHAR(34),"&amp;quot;"),"'","&amp;apos;"))</f>
        <v/>
      </c>
      <c r="T48" s="46">
        <f>ISNUMBER(SEARCH(";"&amp;1&amp;";",";"&amp;$J48&amp;";"))</f>
        <v/>
      </c>
      <c r="U48" s="46">
        <f>ISNUMBER(SEARCH(";"&amp;2&amp;";",";"&amp;$J48&amp;";"))</f>
        <v/>
      </c>
      <c r="V48" s="46">
        <f>ISNUMBER(SEARCH(";"&amp;3&amp;";",";"&amp;$J48&amp;";"))</f>
        <v/>
      </c>
      <c r="W48" s="46">
        <f>ISNUMBER(SEARCH(";"&amp;4&amp;";",";"&amp;$J48&amp;";"))</f>
        <v/>
      </c>
      <c r="X48" s="46">
        <f>ISNUMBER(SEARCH(";"&amp;5&amp;";",";"&amp;$J48&amp;";"))</f>
        <v/>
      </c>
      <c r="Y48" s="46">
        <f>ISNUMBER(SEARCH(";"&amp;6&amp;";",";"&amp;$J48&amp;";"))</f>
        <v/>
      </c>
      <c r="Z48" s="46">
        <f>ISNUMBER(SEARCH(";"&amp;7&amp;";",";"&amp;$J48&amp;";"))</f>
        <v/>
      </c>
      <c r="AA48" s="46">
        <f>ISNUMBER(SEARCH(";"&amp;8&amp;";",";"&amp;$J48&amp;";"))</f>
        <v/>
      </c>
      <c r="AB48" s="46">
        <f>IF($B48,IF(L48="","","        &lt;response_label ident=""0""&gt;&lt;material&gt;&lt;mattext texttype=""text/html""&gt;"&amp;L48&amp;"&lt;/mattext&gt;&lt;/material&gt;&lt;/response_label&gt;"),"")</f>
        <v/>
      </c>
      <c r="AC48" s="46">
        <f>IF($B48,IF(M48="","","        &lt;response_label ident=""1""&gt;&lt;material&gt;&lt;mattext texttype=""text/html""&gt;"&amp;M48&amp;"&lt;/mattext&gt;&lt;/material&gt;&lt;/response_label&gt;"),"")</f>
        <v/>
      </c>
      <c r="AD48" s="46">
        <f>IF($B48,IF(N48="","","        &lt;response_label ident=""2""&gt;&lt;material&gt;&lt;mattext texttype=""text/html""&gt;"&amp;N48&amp;"&lt;/mattext&gt;&lt;/material&gt;&lt;/response_label&gt;"),"")</f>
        <v/>
      </c>
      <c r="AE48" s="46">
        <f>IF($B48,IF(O48="","","        &lt;response_label ident=""3""&gt;&lt;material&gt;&lt;mattext texttype=""text/html""&gt;"&amp;O48&amp;"&lt;/mattext&gt;&lt;/material&gt;&lt;/response_label&gt;"),"")</f>
        <v/>
      </c>
      <c r="AF48" s="46">
        <f>IF($B48,IF(P48="","","        &lt;response_label ident=""4""&gt;&lt;material&gt;&lt;mattext texttype=""text/html""&gt;"&amp;P48&amp;"&lt;/mattext&gt;&lt;/material&gt;&lt;/response_label&gt;"),"")</f>
        <v/>
      </c>
      <c r="AG48" s="46">
        <f>IF($B48,IF(Q48="","","        &lt;response_label ident=""5""&gt;&lt;material&gt;&lt;mattext texttype=""text/html""&gt;"&amp;Q48&amp;"&lt;/mattext&gt;&lt;/material&gt;&lt;/response_label&gt;"),"")</f>
        <v/>
      </c>
      <c r="AH48" s="46">
        <f>IF($B48,IF(R48="","","        &lt;response_label ident=""6""&gt;&lt;material&gt;&lt;mattext texttype=""text/html""&gt;"&amp;R48&amp;"&lt;/mattext&gt;&lt;/material&gt;&lt;/response_label&gt;"),"")</f>
        <v/>
      </c>
      <c r="AI48" s="46">
        <f>IF($B48,IF(S48="","","        &lt;response_label ident=""7""&gt;&lt;material&gt;&lt;mattext texttype=""text/html""&gt;"&amp;S48&amp;"&lt;/mattext&gt;&lt;/material&gt;&lt;/response_label&gt;"),"")</f>
        <v/>
      </c>
      <c r="AJ48" s="46">
        <f>IF($B48,IF(L48="","",IF($C48="qcu",IF(OR(T48,AT48&lt;&gt;"",$AS48&lt;&gt;""),"      &lt;respcondition continue=""Yes""&gt;&lt;conditionvar&gt;&lt;varequal respident=""RESPONSE""&gt;0&lt;/varequal&gt;&lt;/conditionvar&gt;"&amp;"&lt;setvar action=""Add""&gt;"&amp;IF(T48,$H48,0)&amp;"&lt;/setvar&gt;"&amp;IF(AT48&lt;&gt;"","&lt;displayfeedback feedbacktype=""Response"" linkrefid=""response_0""/&gt;",IF($AS48&lt;&gt;"","&lt;displayfeedback feedbacktype=""Response"" linkrefid=""qti_feedback_trigger""/&gt;",""))&amp;"&lt;/respcondition&gt;",""),IF(OR(T48,AT48&lt;&gt;"",$AS48&lt;&gt;""),"      &lt;respcondition continue=""Yes""&gt;&lt;conditionvar&gt;"&amp;IF(T48,"&lt;varequal respident=""RESPONSE""&gt;0&lt;/varequal&gt;","&lt;not&gt;&lt;varequal respident=""RESPONSE""&gt;0&lt;/varequal&gt;&lt;/not&gt;")&amp;"&lt;/conditionvar&gt;&lt;setvar action=""Add""&gt;"&amp;(Saisie_Questions!$N48/$I48)&amp;"&lt;/setvar&gt;"&amp;IF(AT48&lt;&gt;"","&lt;displayfeedback feedbacktype=""Response"" linkrefid=""response_0""/&gt;",IF($AS48&lt;&gt;"","&lt;displayfeedback feedbacktype=""Response"" linkrefid=""qti_feedback_trigger""/&gt;",""))&amp;"&lt;/respcondition&gt;",""))),"")</f>
      </c>
      <c r="AK48" s="46">
        <f>IF($B48,IF(M48="","",IF($C48="qcu",IF(OR(U48,AU48&lt;&gt;"",$AS48&lt;&gt;""),"      &lt;respcondition continue=""Yes""&gt;&lt;conditionvar&gt;&lt;varequal respident=""RESPONSE""&gt;1&lt;/varequal&gt;&lt;/conditionvar&gt;"&amp;"&lt;setvar action=""Add""&gt;"&amp;IF(U48,$H48,0)&amp;"&lt;/setvar&gt;"&amp;IF(AU48&lt;&gt;"","&lt;displayfeedback feedbacktype=""Response"" linkrefid=""response_1""/&gt;",IF($AS48&lt;&gt;"","&lt;displayfeedback feedbacktype=""Response"" linkrefid=""qti_feedback_trigger""/&gt;",""))&amp;"&lt;/respcondition&gt;",""),IF(OR(U48,AU48&lt;&gt;"",$AS48&lt;&gt;""),"      &lt;respcondition continue=""Yes""&gt;&lt;conditionvar&gt;"&amp;IF(U48,"&lt;varequal respident=""RESPONSE""&gt;1&lt;/varequal&gt;","&lt;not&gt;&lt;varequal respident=""RESPONSE""&gt;1&lt;/varequal&gt;&lt;/not&gt;")&amp;"&lt;/conditionvar&gt;&lt;setvar action=""Add""&gt;"&amp;(Saisie_Questions!$N48/$I48)&amp;"&lt;/setvar&gt;"&amp;IF(AU48&lt;&gt;"","&lt;displayfeedback feedbacktype=""Response"" linkrefid=""response_1""/&gt;",IF($AS48&lt;&gt;"","&lt;displayfeedback feedbacktype=""Response"" linkrefid=""qti_feedback_trigger""/&gt;",""))&amp;"&lt;/respcondition&gt;",""))),"")</f>
      </c>
      <c r="AL48" s="46">
        <f>IF($B48,IF(N48="","",IF($C48="qcu",IF(OR(V48,AV48&lt;&gt;"",$AS48&lt;&gt;""),"      &lt;respcondition continue=""Yes""&gt;&lt;conditionvar&gt;&lt;varequal respident=""RESPONSE""&gt;2&lt;/varequal&gt;&lt;/conditionvar&gt;"&amp;"&lt;setvar action=""Add""&gt;"&amp;IF(V48,$H48,0)&amp;"&lt;/setvar&gt;"&amp;IF(AV48&lt;&gt;"","&lt;displayfeedback feedbacktype=""Response"" linkrefid=""response_2""/&gt;",IF($AS48&lt;&gt;"","&lt;displayfeedback feedbacktype=""Response"" linkrefid=""qti_feedback_trigger""/&gt;",""))&amp;"&lt;/respcondition&gt;",""),IF(OR(V48,AV48&lt;&gt;"",$AS48&lt;&gt;""),"      &lt;respcondition continue=""Yes""&gt;&lt;conditionvar&gt;"&amp;IF(V48,"&lt;varequal respident=""RESPONSE""&gt;2&lt;/varequal&gt;","&lt;not&gt;&lt;varequal respident=""RESPONSE""&gt;2&lt;/varequal&gt;&lt;/not&gt;")&amp;"&lt;/conditionvar&gt;&lt;setvar action=""Add""&gt;"&amp;(Saisie_Questions!$N48/$I48)&amp;"&lt;/setvar&gt;"&amp;IF(AV48&lt;&gt;"","&lt;displayfeedback feedbacktype=""Response"" linkrefid=""response_2""/&gt;",IF($AS48&lt;&gt;"","&lt;displayfeedback feedbacktype=""Response"" linkrefid=""qti_feedback_trigger""/&gt;",""))&amp;"&lt;/respcondition&gt;",""))),"")</f>
      </c>
      <c r="AM48" s="46">
        <f>IF($B48,IF(O48="","",IF($C48="qcu",IF(OR(W48,AW48&lt;&gt;"",$AS48&lt;&gt;""),"      &lt;respcondition continue=""Yes""&gt;&lt;conditionvar&gt;&lt;varequal respident=""RESPONSE""&gt;3&lt;/varequal&gt;&lt;/conditionvar&gt;"&amp;"&lt;setvar action=""Add""&gt;"&amp;IF(W48,$H48,0)&amp;"&lt;/setvar&gt;"&amp;IF(AW48&lt;&gt;"","&lt;displayfeedback feedbacktype=""Response"" linkrefid=""response_3""/&gt;",IF($AS48&lt;&gt;"","&lt;displayfeedback feedbacktype=""Response"" linkrefid=""qti_feedback_trigger""/&gt;",""))&amp;"&lt;/respcondition&gt;",""),IF(OR(W48,AW48&lt;&gt;"",$AS48&lt;&gt;""),"      &lt;respcondition continue=""Yes""&gt;&lt;conditionvar&gt;"&amp;IF(W48,"&lt;varequal respident=""RESPONSE""&gt;3&lt;/varequal&gt;","&lt;not&gt;&lt;varequal respident=""RESPONSE""&gt;3&lt;/varequal&gt;&lt;/not&gt;")&amp;"&lt;/conditionvar&gt;&lt;setvar action=""Add""&gt;"&amp;(Saisie_Questions!$N48/$I48)&amp;"&lt;/setvar&gt;"&amp;IF(AW48&lt;&gt;"","&lt;displayfeedback feedbacktype=""Response"" linkrefid=""response_3""/&gt;",IF($AS48&lt;&gt;"","&lt;displayfeedback feedbacktype=""Response"" linkrefid=""qti_feedback_trigger""/&gt;",""))&amp;"&lt;/respcondition&gt;",""))),"")</f>
      </c>
      <c r="AN48" s="46">
        <f>IF($B48,IF(P48="","",IF($C48="qcu",IF(OR(X48,AX48&lt;&gt;"",$AS48&lt;&gt;""),"      &lt;respcondition continue=""Yes""&gt;&lt;conditionvar&gt;&lt;varequal respident=""RESPONSE""&gt;4&lt;/varequal&gt;&lt;/conditionvar&gt;"&amp;"&lt;setvar action=""Add""&gt;"&amp;IF(X48,$H48,0)&amp;"&lt;/setvar&gt;"&amp;IF(AX48&lt;&gt;"","&lt;displayfeedback feedbacktype=""Response"" linkrefid=""response_4""/&gt;",IF($AS48&lt;&gt;"","&lt;displayfeedback feedbacktype=""Response"" linkrefid=""qti_feedback_trigger""/&gt;",""))&amp;"&lt;/respcondition&gt;",""),IF(OR(X48,AX48&lt;&gt;"",$AS48&lt;&gt;""),"      &lt;respcondition continue=""Yes""&gt;&lt;conditionvar&gt;"&amp;IF(X48,"&lt;varequal respident=""RESPONSE""&gt;4&lt;/varequal&gt;","&lt;not&gt;&lt;varequal respident=""RESPONSE""&gt;4&lt;/varequal&gt;&lt;/not&gt;")&amp;"&lt;/conditionvar&gt;&lt;setvar action=""Add""&gt;"&amp;(Saisie_Questions!$N48/$I48)&amp;"&lt;/setvar&gt;"&amp;IF(AX48&lt;&gt;"","&lt;displayfeedback feedbacktype=""Response"" linkrefid=""response_4""/&gt;",IF($AS48&lt;&gt;"","&lt;displayfeedback feedbacktype=""Response"" linkrefid=""qti_feedback_trigger""/&gt;",""))&amp;"&lt;/respcondition&gt;",""))),"")</f>
      </c>
      <c r="AO48" s="46">
        <f>IF($B48,IF(Q48="","",IF($C48="qcu",IF(OR(Y48,AY48&lt;&gt;"",$AS48&lt;&gt;""),"      &lt;respcondition continue=""Yes""&gt;&lt;conditionvar&gt;&lt;varequal respident=""RESPONSE""&gt;5&lt;/varequal&gt;&lt;/conditionvar&gt;"&amp;"&lt;setvar action=""Add""&gt;"&amp;IF(Y48,$H48,0)&amp;"&lt;/setvar&gt;"&amp;IF(AY48&lt;&gt;"","&lt;displayfeedback feedbacktype=""Response"" linkrefid=""response_5""/&gt;",IF($AS48&lt;&gt;"","&lt;displayfeedback feedbacktype=""Response"" linkrefid=""qti_feedback_trigger""/&gt;",""))&amp;"&lt;/respcondition&gt;",""),IF(OR(Y48,AY48&lt;&gt;"",$AS48&lt;&gt;""),"      &lt;respcondition continue=""Yes""&gt;&lt;conditionvar&gt;"&amp;IF(Y48,"&lt;varequal respident=""RESPONSE""&gt;5&lt;/varequal&gt;","&lt;not&gt;&lt;varequal respident=""RESPONSE""&gt;5&lt;/varequal&gt;&lt;/not&gt;")&amp;"&lt;/conditionvar&gt;&lt;setvar action=""Add""&gt;"&amp;(Saisie_Questions!$N48/$I48)&amp;"&lt;/setvar&gt;"&amp;IF(AY48&lt;&gt;"","&lt;displayfeedback feedbacktype=""Response"" linkrefid=""response_5""/&gt;",IF($AS48&lt;&gt;"","&lt;displayfeedback feedbacktype=""Response"" linkrefid=""qti_feedback_trigger""/&gt;",""))&amp;"&lt;/respcondition&gt;",""))),"")</f>
      </c>
      <c r="AP48" s="46">
        <f>IF($B48,IF(R48="","",IF($C48="qcu",IF(OR(Z48,AZ48&lt;&gt;"",$AS48&lt;&gt;""),"      &lt;respcondition continue=""Yes""&gt;&lt;conditionvar&gt;&lt;varequal respident=""RESPONSE""&gt;6&lt;/varequal&gt;&lt;/conditionvar&gt;"&amp;"&lt;setvar action=""Add""&gt;"&amp;IF(Z48,$H48,0)&amp;"&lt;/setvar&gt;"&amp;IF(AZ48&lt;&gt;"","&lt;displayfeedback feedbacktype=""Response"" linkrefid=""response_6""/&gt;",IF($AS48&lt;&gt;"","&lt;displayfeedback feedbacktype=""Response"" linkrefid=""qti_feedback_trigger""/&gt;",""))&amp;"&lt;/respcondition&gt;",""),IF(OR(Z48,AZ48&lt;&gt;"",$AS48&lt;&gt;""),"      &lt;respcondition continue=""Yes""&gt;&lt;conditionvar&gt;"&amp;IF(Z48,"&lt;varequal respident=""RESPONSE""&gt;6&lt;/varequal&gt;","&lt;not&gt;&lt;varequal respident=""RESPONSE""&gt;6&lt;/varequal&gt;&lt;/not&gt;")&amp;"&lt;/conditionvar&gt;&lt;setvar action=""Add""&gt;"&amp;(Saisie_Questions!$N48/$I48)&amp;"&lt;/setvar&gt;"&amp;IF(AZ48&lt;&gt;"","&lt;displayfeedback feedbacktype=""Response"" linkrefid=""response_6""/&gt;",IF($AS48&lt;&gt;"","&lt;displayfeedback feedbacktype=""Response"" linkrefid=""qti_feedback_trigger""/&gt;",""))&amp;"&lt;/respcondition&gt;",""))),"")</f>
      </c>
      <c r="AQ48" s="46">
        <f>IF($B48,IF(S48="","",IF($C48="qcu",IF(OR(AA48,BA48&lt;&gt;"",$AS48&lt;&gt;""),"      &lt;respcondition continue=""Yes""&gt;&lt;conditionvar&gt;&lt;varequal respident=""RESPONSE""&gt;7&lt;/varequal&gt;&lt;/conditionvar&gt;"&amp;"&lt;setvar action=""Add""&gt;"&amp;IF(AA48,$H48,0)&amp;"&lt;/setvar&gt;"&amp;IF(BA48&lt;&gt;"","&lt;displayfeedback feedbacktype=""Response"" linkrefid=""response_7""/&gt;",IF($AS48&lt;&gt;"","&lt;displayfeedback feedbacktype=""Response"" linkrefid=""qti_feedback_trigger""/&gt;",""))&amp;"&lt;/respcondition&gt;",""),IF(OR(AA48,BA48&lt;&gt;"",$AS48&lt;&gt;""),"      &lt;respcondition continue=""Yes""&gt;&lt;conditionvar&gt;"&amp;IF(AA48,"&lt;varequal respident=""RESPONSE""&gt;7&lt;/varequal&gt;","&lt;not&gt;&lt;varequal respident=""RESPONSE""&gt;7&lt;/varequal&gt;&lt;/not&gt;")&amp;"&lt;/conditionvar&gt;&lt;setvar action=""Add""&gt;"&amp;(Saisie_Questions!$N48/$I48)&amp;"&lt;/setvar&gt;"&amp;IF(BA48&lt;&gt;"","&lt;displayfeedback feedbacktype=""Response"" linkrefid=""response_7""/&gt;",IF($AS48&lt;&gt;"","&lt;displayfeedback feedbacktype=""Response"" linkrefid=""qti_feedback_trigger""/&gt;",""))&amp;"&lt;/respcondition&gt;",""))),"")</f>
      </c>
      <c r="AR48" s="46">
        <f>IF(A48="","",SUBSTITUTE(SUBSTITUTE(SUBSTITUTE(SUBSTITUTE(SUBSTITUTE(IF(Saisie_Questions!P48&lt;&gt;"",Saisie_Questions!P48,Interface_Generation!$B$5),"&amp;","&amp;amp;"),"&lt;","&amp;lt;"),"&gt;","&amp;gt;"),CHAR(34),"&amp;quot;"),"'","&amp;apos;"))</f>
        <v/>
      </c>
      <c r="AS48" s="46">
        <f>IF(Saisie_Questions!Q48="","",SUBSTITUTE(SUBSTITUTE(SUBSTITUTE(SUBSTITUTE(SUBSTITUTE(Saisie_Questions!Q48,"&amp;","&amp;amp;"),"&lt;","&amp;lt;"),"&gt;","&amp;gt;"),CHAR(34),"&amp;quot;"),"'","&amp;apos;"))</f>
        <v/>
      </c>
      <c r="AT48" s="46">
        <f>IF(Saisie_Questions!R48="","",SUBSTITUTE(SUBSTITUTE(SUBSTITUTE(SUBSTITUTE(SUBSTITUTE(Saisie_Questions!R48,"&amp;","&amp;amp;"),"&lt;","&amp;lt;"),"&gt;","&amp;gt;"),CHAR(34),"&amp;quot;"),"'","&amp;apos;"))</f>
        <v/>
      </c>
      <c r="AU48" s="46">
        <f>IF(Saisie_Questions!S48="","",SUBSTITUTE(SUBSTITUTE(SUBSTITUTE(SUBSTITUTE(SUBSTITUTE(Saisie_Questions!S48,"&amp;","&amp;amp;"),"&lt;","&amp;lt;"),"&gt;","&amp;gt;"),CHAR(34),"&amp;quot;"),"'","&amp;apos;"))</f>
        <v/>
      </c>
      <c r="AV48" s="46">
        <f>IF(Saisie_Questions!T48="","",SUBSTITUTE(SUBSTITUTE(SUBSTITUTE(SUBSTITUTE(SUBSTITUTE(Saisie_Questions!T48,"&amp;","&amp;amp;"),"&lt;","&amp;lt;"),"&gt;","&amp;gt;"),CHAR(34),"&amp;quot;"),"'","&amp;apos;"))</f>
        <v/>
      </c>
      <c r="AW48" s="46">
        <f>IF(Saisie_Questions!U48="","",SUBSTITUTE(SUBSTITUTE(SUBSTITUTE(SUBSTITUTE(SUBSTITUTE(Saisie_Questions!U48,"&amp;","&amp;amp;"),"&lt;","&amp;lt;"),"&gt;","&amp;gt;"),CHAR(34),"&amp;quot;"),"'","&amp;apos;"))</f>
        <v/>
      </c>
      <c r="AX48" s="46">
        <f>IF(Saisie_Questions!V48="","",SUBSTITUTE(SUBSTITUTE(SUBSTITUTE(SUBSTITUTE(SUBSTITUTE(Saisie_Questions!V48,"&amp;","&amp;amp;"),"&lt;","&amp;lt;"),"&gt;","&amp;gt;"),CHAR(34),"&amp;quot;"),"'","&amp;apos;"))</f>
        <v/>
      </c>
      <c r="AY48" s="46">
        <f>IF(Saisie_Questions!W48="","",SUBSTITUTE(SUBSTITUTE(SUBSTITUTE(SUBSTITUTE(SUBSTITUTE(Saisie_Questions!W48,"&amp;","&amp;amp;"),"&lt;","&amp;lt;"),"&gt;","&amp;gt;"),CHAR(34),"&amp;quot;"),"'","&amp;apos;"))</f>
        <v/>
      </c>
      <c r="AZ48" s="46">
        <f>IF(Saisie_Questions!X48="","",SUBSTITUTE(SUBSTITUTE(SUBSTITUTE(SUBSTITUTE(SUBSTITUTE(Saisie_Questions!X48,"&amp;","&amp;amp;"),"&lt;","&amp;lt;"),"&gt;","&amp;gt;"),CHAR(34),"&amp;quot;"),"'","&amp;apos;"))</f>
        <v/>
      </c>
      <c r="BA48" s="46">
        <f>IF(Saisie_Questions!Y48="","",SUBSTITUTE(SUBSTITUTE(SUBSTITUTE(SUBSTITUTE(SUBSTITUTE(Saisie_Questions!Y48,"&amp;","&amp;amp;"),"&lt;","&amp;lt;"),"&gt;","&amp;gt;"),CHAR(34),"&amp;quot;"),"'","&amp;apos;"))</f>
        <v/>
      </c>
      <c r="BB48" s="46">
        <f>IF($B48,IF($AS48="","","    &lt;itemfeedback ident=""response_allcorrect"" view=""All""&gt;&lt;flow_mat&gt;&lt;material&gt;&lt;mattext texttype=""text/html""&gt;"&amp;$AS48&amp;"&lt;/mattext&gt;&lt;/material&gt;&lt;/flow_mat&gt;&lt;/itemfeedback&gt;"&amp;"    &lt;itemfeedback ident=""response_onenotcorrect"" view=""All""&gt;&lt;flow_mat&gt;&lt;material&gt;&lt;mattext texttype=""text/html""&gt;"&amp;$AS48&amp;"&lt;/mattext&gt;&lt;/material&gt;&lt;/flow_mat&gt;&lt;/itemfeedback&gt;"),"")</f>
      </c>
      <c r="BC48" s="46">
        <f>IF($B48,IF(AT48="","","    &lt;itemfeedback ident=""response_0"" view=""All""&gt;&lt;flow_mat&gt;&lt;material&gt;&lt;mattext texttype=""text/html""&gt;"&amp;AT48&amp;"&lt;/mattext&gt;&lt;/material&gt;&lt;/flow_mat&gt;&lt;/itemfeedback&gt;"),"")</f>
      </c>
      <c r="BD48" s="46">
        <f>IF($B48,IF(AU48="","","    &lt;itemfeedback ident=""response_1"" view=""All""&gt;&lt;flow_mat&gt;&lt;material&gt;&lt;mattext texttype=""text/html""&gt;"&amp;AU48&amp;"&lt;/mattext&gt;&lt;/material&gt;&lt;/flow_mat&gt;&lt;/itemfeedback&gt;"),"")</f>
      </c>
      <c r="BE48" s="46">
        <f>IF($B48,IF(AV48="","","    &lt;itemfeedback ident=""response_2"" view=""All""&gt;&lt;flow_mat&gt;&lt;material&gt;&lt;mattext texttype=""text/html""&gt;"&amp;AV48&amp;"&lt;/mattext&gt;&lt;/material&gt;&lt;/flow_mat&gt;&lt;/itemfeedback&gt;"),"")</f>
      </c>
      <c r="BF48" s="46">
        <f>IF($B48,IF(AW48="","","    &lt;itemfeedback ident=""response_3"" view=""All""&gt;&lt;flow_mat&gt;&lt;material&gt;&lt;mattext texttype=""text/html""&gt;"&amp;AW48&amp;"&lt;/mattext&gt;&lt;/material&gt;&lt;/flow_mat&gt;&lt;/itemfeedback&gt;"),"")</f>
      </c>
      <c r="BG48" s="46">
        <f>IF($B48,IF(AX48="","","    &lt;itemfeedback ident=""response_4"" view=""All""&gt;&lt;flow_mat&gt;&lt;material&gt;&lt;mattext texttype=""text/html""&gt;"&amp;AX48&amp;"&lt;/mattext&gt;&lt;/material&gt;&lt;/flow_mat&gt;&lt;/itemfeedback&gt;"),"")</f>
      </c>
      <c r="BH48" s="46">
        <f>IF($B48,IF(AY48="","","    &lt;itemfeedback ident=""response_5"" view=""All""&gt;&lt;flow_mat&gt;&lt;material&gt;&lt;mattext texttype=""text/html""&gt;"&amp;AY48&amp;"&lt;/mattext&gt;&lt;/material&gt;&lt;/flow_mat&gt;&lt;/itemfeedback&gt;"),"")</f>
      </c>
      <c r="BI48" s="46">
        <f>IF($B48,IF(AZ48="","","    &lt;itemfeedback ident=""response_6"" view=""All""&gt;&lt;flow_mat&gt;&lt;material&gt;&lt;mattext texttype=""text/html""&gt;"&amp;AZ48&amp;"&lt;/mattext&gt;&lt;/material&gt;&lt;/flow_mat&gt;&lt;/itemfeedback&gt;"),"")</f>
      </c>
      <c r="BJ48" s="46">
        <f>IF($B48,IF(BA48="","","    &lt;itemfeedback ident=""response_7"" view=""All""&gt;&lt;flow_mat&gt;&lt;material&gt;&lt;mattext texttype=""text/html""&gt;"&amp;BA48&amp;"&lt;/mattext&gt;&lt;/material&gt;&lt;/flow_mat&gt;&lt;/itemfeedback&gt;"),"")</f>
      </c>
    </row>
    <row r="49" ht="18" customHeight="1" s="17">
      <c r="A49" s="46">
        <f>Saisie_Questions!A49</f>
        <v/>
      </c>
      <c r="B49" s="46">
        <f>Saisie_Questions!O49="OK"</f>
        <v/>
      </c>
      <c r="C49" s="46">
        <f>LOWER(TRIM(Saisie_Questions!B49))</f>
        <v/>
      </c>
      <c r="D49" s="46">
        <f>IF(C49="qcu","SINGLE CHOICE QUESTION","MULTIPLE CHOICE QUESTION")</f>
        <v/>
      </c>
      <c r="E49" s="46">
        <f>IF(C49="qcu","Single","Multiple")</f>
        <v/>
      </c>
      <c r="F49" s="46">
        <f>IF(A49="","",SUBSTITUTE(SUBSTITUTE(SUBSTITUTE(SUBSTITUTE(SUBSTITUTE(IF(Saisie_Questions!C49="", "Question "&amp;A49, Saisie_Questions!C49),"&amp;","&amp;amp;"),"&lt;","&amp;lt;"),"&gt;","&amp;gt;"),CHAR(34),"&amp;quot;"),"'","&amp;apos;"))</f>
        <v/>
      </c>
      <c r="G49" s="46">
        <f>IF(A49="","",SUBSTITUTE(SUBSTITUTE(SUBSTITUTE(SUBSTITUTE(SUBSTITUTE(Saisie_Questions!D49,"&amp;","&amp;amp;"),"&lt;","&amp;lt;"),"&gt;","&amp;gt;"),CHAR(34),"&amp;quot;"),"'","&amp;apos;"))</f>
        <v/>
      </c>
      <c r="H49" s="46">
        <f>Saisie_Questions!N49</f>
        <v/>
      </c>
      <c r="I49" s="46">
        <f>IF(Saisie_Questions!E49="",0,1)+IF(Saisie_Questions!F49="",0,1)+IF(Saisie_Questions!G49="",0,1)+IF(Saisie_Questions!H49="",0,1)+IF(Saisie_Questions!I49="",0,1)+IF(Saisie_Questions!J49="",0,1)+IF(Saisie_Questions!K49="",0,1)+IF(Saisie_Questions!L49="",0,1)</f>
        <v/>
      </c>
      <c r="J49" s="46">
        <f>Saisie_Questions!M49</f>
        <v/>
      </c>
      <c r="K49" s="46">
        <f>Saisie_Questions!O49</f>
        <v/>
      </c>
      <c r="L49" s="46">
        <f>IF(Saisie_Questions!E49="","",SUBSTITUTE(SUBSTITUTE(SUBSTITUTE(SUBSTITUTE(SUBSTITUTE(Saisie_Questions!E49,"&amp;","&amp;amp;"),"&lt;","&amp;lt;"),"&gt;","&amp;gt;"),CHAR(34),"&amp;quot;"),"'","&amp;apos;"))</f>
        <v/>
      </c>
      <c r="M49" s="46">
        <f>IF(Saisie_Questions!F49="","",SUBSTITUTE(SUBSTITUTE(SUBSTITUTE(SUBSTITUTE(SUBSTITUTE(Saisie_Questions!F49,"&amp;","&amp;amp;"),"&lt;","&amp;lt;"),"&gt;","&amp;gt;"),CHAR(34),"&amp;quot;"),"'","&amp;apos;"))</f>
        <v/>
      </c>
      <c r="N49" s="46">
        <f>IF(Saisie_Questions!G49="","",SUBSTITUTE(SUBSTITUTE(SUBSTITUTE(SUBSTITUTE(SUBSTITUTE(Saisie_Questions!G49,"&amp;","&amp;amp;"),"&lt;","&amp;lt;"),"&gt;","&amp;gt;"),CHAR(34),"&amp;quot;"),"'","&amp;apos;"))</f>
        <v/>
      </c>
      <c r="O49" s="46">
        <f>IF(Saisie_Questions!H49="","",SUBSTITUTE(SUBSTITUTE(SUBSTITUTE(SUBSTITUTE(SUBSTITUTE(Saisie_Questions!H49,"&amp;","&amp;amp;"),"&lt;","&amp;lt;"),"&gt;","&amp;gt;"),CHAR(34),"&amp;quot;"),"'","&amp;apos;"))</f>
        <v/>
      </c>
      <c r="P49" s="46">
        <f>IF(Saisie_Questions!I49="","",SUBSTITUTE(SUBSTITUTE(SUBSTITUTE(SUBSTITUTE(SUBSTITUTE(Saisie_Questions!I49,"&amp;","&amp;amp;"),"&lt;","&amp;lt;"),"&gt;","&amp;gt;"),CHAR(34),"&amp;quot;"),"'","&amp;apos;"))</f>
        <v/>
      </c>
      <c r="Q49" s="46">
        <f>IF(Saisie_Questions!J49="","",SUBSTITUTE(SUBSTITUTE(SUBSTITUTE(SUBSTITUTE(SUBSTITUTE(Saisie_Questions!J49,"&amp;","&amp;amp;"),"&lt;","&amp;lt;"),"&gt;","&amp;gt;"),CHAR(34),"&amp;quot;"),"'","&amp;apos;"))</f>
        <v/>
      </c>
      <c r="R49" s="46">
        <f>IF(Saisie_Questions!K49="","",SUBSTITUTE(SUBSTITUTE(SUBSTITUTE(SUBSTITUTE(SUBSTITUTE(Saisie_Questions!K49,"&amp;","&amp;amp;"),"&lt;","&amp;lt;"),"&gt;","&amp;gt;"),CHAR(34),"&amp;quot;"),"'","&amp;apos;"))</f>
        <v/>
      </c>
      <c r="S49" s="46">
        <f>IF(Saisie_Questions!L49="","",SUBSTITUTE(SUBSTITUTE(SUBSTITUTE(SUBSTITUTE(SUBSTITUTE(Saisie_Questions!L49,"&amp;","&amp;amp;"),"&lt;","&amp;lt;"),"&gt;","&amp;gt;"),CHAR(34),"&amp;quot;"),"'","&amp;apos;"))</f>
        <v/>
      </c>
      <c r="T49" s="46">
        <f>ISNUMBER(SEARCH(";"&amp;1&amp;";",";"&amp;$J49&amp;";"))</f>
        <v/>
      </c>
      <c r="U49" s="46">
        <f>ISNUMBER(SEARCH(";"&amp;2&amp;";",";"&amp;$J49&amp;";"))</f>
        <v/>
      </c>
      <c r="V49" s="46">
        <f>ISNUMBER(SEARCH(";"&amp;3&amp;";",";"&amp;$J49&amp;";"))</f>
        <v/>
      </c>
      <c r="W49" s="46">
        <f>ISNUMBER(SEARCH(";"&amp;4&amp;";",";"&amp;$J49&amp;";"))</f>
        <v/>
      </c>
      <c r="X49" s="46">
        <f>ISNUMBER(SEARCH(";"&amp;5&amp;";",";"&amp;$J49&amp;";"))</f>
        <v/>
      </c>
      <c r="Y49" s="46">
        <f>ISNUMBER(SEARCH(";"&amp;6&amp;";",";"&amp;$J49&amp;";"))</f>
        <v/>
      </c>
      <c r="Z49" s="46">
        <f>ISNUMBER(SEARCH(";"&amp;7&amp;";",";"&amp;$J49&amp;";"))</f>
        <v/>
      </c>
      <c r="AA49" s="46">
        <f>ISNUMBER(SEARCH(";"&amp;8&amp;";",";"&amp;$J49&amp;";"))</f>
        <v/>
      </c>
      <c r="AB49" s="46">
        <f>IF($B49,IF(L49="","","        &lt;response_label ident=""0""&gt;&lt;material&gt;&lt;mattext texttype=""text/html""&gt;"&amp;L49&amp;"&lt;/mattext&gt;&lt;/material&gt;&lt;/response_label&gt;"),"")</f>
        <v/>
      </c>
      <c r="AC49" s="46">
        <f>IF($B49,IF(M49="","","        &lt;response_label ident=""1""&gt;&lt;material&gt;&lt;mattext texttype=""text/html""&gt;"&amp;M49&amp;"&lt;/mattext&gt;&lt;/material&gt;&lt;/response_label&gt;"),"")</f>
        <v/>
      </c>
      <c r="AD49" s="46">
        <f>IF($B49,IF(N49="","","        &lt;response_label ident=""2""&gt;&lt;material&gt;&lt;mattext texttype=""text/html""&gt;"&amp;N49&amp;"&lt;/mattext&gt;&lt;/material&gt;&lt;/response_label&gt;"),"")</f>
        <v/>
      </c>
      <c r="AE49" s="46">
        <f>IF($B49,IF(O49="","","        &lt;response_label ident=""3""&gt;&lt;material&gt;&lt;mattext texttype=""text/html""&gt;"&amp;O49&amp;"&lt;/mattext&gt;&lt;/material&gt;&lt;/response_label&gt;"),"")</f>
        <v/>
      </c>
      <c r="AF49" s="46">
        <f>IF($B49,IF(P49="","","        &lt;response_label ident=""4""&gt;&lt;material&gt;&lt;mattext texttype=""text/html""&gt;"&amp;P49&amp;"&lt;/mattext&gt;&lt;/material&gt;&lt;/response_label&gt;"),"")</f>
        <v/>
      </c>
      <c r="AG49" s="46">
        <f>IF($B49,IF(Q49="","","        &lt;response_label ident=""5""&gt;&lt;material&gt;&lt;mattext texttype=""text/html""&gt;"&amp;Q49&amp;"&lt;/mattext&gt;&lt;/material&gt;&lt;/response_label&gt;"),"")</f>
        <v/>
      </c>
      <c r="AH49" s="46">
        <f>IF($B49,IF(R49="","","        &lt;response_label ident=""6""&gt;&lt;material&gt;&lt;mattext texttype=""text/html""&gt;"&amp;R49&amp;"&lt;/mattext&gt;&lt;/material&gt;&lt;/response_label&gt;"),"")</f>
        <v/>
      </c>
      <c r="AI49" s="46">
        <f>IF($B49,IF(S49="","","        &lt;response_label ident=""7""&gt;&lt;material&gt;&lt;mattext texttype=""text/html""&gt;"&amp;S49&amp;"&lt;/mattext&gt;&lt;/material&gt;&lt;/response_label&gt;"),"")</f>
        <v/>
      </c>
      <c r="AJ49" s="46">
        <f>IF($B49,IF(L49="","",IF($C49="qcu",IF(OR(T49,AT49&lt;&gt;"",$AS49&lt;&gt;""),"      &lt;respcondition continue=""Yes""&gt;&lt;conditionvar&gt;&lt;varequal respident=""RESPONSE""&gt;0&lt;/varequal&gt;&lt;/conditionvar&gt;"&amp;"&lt;setvar action=""Add""&gt;"&amp;IF(T49,$H49,0)&amp;"&lt;/setvar&gt;"&amp;IF(AT49&lt;&gt;"","&lt;displayfeedback feedbacktype=""Response"" linkrefid=""response_0""/&gt;",IF($AS49&lt;&gt;"","&lt;displayfeedback feedbacktype=""Response"" linkrefid=""qti_feedback_trigger""/&gt;",""))&amp;"&lt;/respcondition&gt;",""),IF(OR(T49,AT49&lt;&gt;"",$AS49&lt;&gt;""),"      &lt;respcondition continue=""Yes""&gt;&lt;conditionvar&gt;"&amp;IF(T49,"&lt;varequal respident=""RESPONSE""&gt;0&lt;/varequal&gt;","&lt;not&gt;&lt;varequal respident=""RESPONSE""&gt;0&lt;/varequal&gt;&lt;/not&gt;")&amp;"&lt;/conditionvar&gt;&lt;setvar action=""Add""&gt;"&amp;(Saisie_Questions!$N49/$I49)&amp;"&lt;/setvar&gt;"&amp;IF(AT49&lt;&gt;"","&lt;displayfeedback feedbacktype=""Response"" linkrefid=""response_0""/&gt;",IF($AS49&lt;&gt;"","&lt;displayfeedback feedbacktype=""Response"" linkrefid=""qti_feedback_trigger""/&gt;",""))&amp;"&lt;/respcondition&gt;",""))),"")</f>
      </c>
      <c r="AK49" s="46">
        <f>IF($B49,IF(M49="","",IF($C49="qcu",IF(OR(U49,AU49&lt;&gt;"",$AS49&lt;&gt;""),"      &lt;respcondition continue=""Yes""&gt;&lt;conditionvar&gt;&lt;varequal respident=""RESPONSE""&gt;1&lt;/varequal&gt;&lt;/conditionvar&gt;"&amp;"&lt;setvar action=""Add""&gt;"&amp;IF(U49,$H49,0)&amp;"&lt;/setvar&gt;"&amp;IF(AU49&lt;&gt;"","&lt;displayfeedback feedbacktype=""Response"" linkrefid=""response_1""/&gt;",IF($AS49&lt;&gt;"","&lt;displayfeedback feedbacktype=""Response"" linkrefid=""qti_feedback_trigger""/&gt;",""))&amp;"&lt;/respcondition&gt;",""),IF(OR(U49,AU49&lt;&gt;"",$AS49&lt;&gt;""),"      &lt;respcondition continue=""Yes""&gt;&lt;conditionvar&gt;"&amp;IF(U49,"&lt;varequal respident=""RESPONSE""&gt;1&lt;/varequal&gt;","&lt;not&gt;&lt;varequal respident=""RESPONSE""&gt;1&lt;/varequal&gt;&lt;/not&gt;")&amp;"&lt;/conditionvar&gt;&lt;setvar action=""Add""&gt;"&amp;(Saisie_Questions!$N49/$I49)&amp;"&lt;/setvar&gt;"&amp;IF(AU49&lt;&gt;"","&lt;displayfeedback feedbacktype=""Response"" linkrefid=""response_1""/&gt;",IF($AS49&lt;&gt;"","&lt;displayfeedback feedbacktype=""Response"" linkrefid=""qti_feedback_trigger""/&gt;",""))&amp;"&lt;/respcondition&gt;",""))),"")</f>
      </c>
      <c r="AL49" s="46">
        <f>IF($B49,IF(N49="","",IF($C49="qcu",IF(OR(V49,AV49&lt;&gt;"",$AS49&lt;&gt;""),"      &lt;respcondition continue=""Yes""&gt;&lt;conditionvar&gt;&lt;varequal respident=""RESPONSE""&gt;2&lt;/varequal&gt;&lt;/conditionvar&gt;"&amp;"&lt;setvar action=""Add""&gt;"&amp;IF(V49,$H49,0)&amp;"&lt;/setvar&gt;"&amp;IF(AV49&lt;&gt;"","&lt;displayfeedback feedbacktype=""Response"" linkrefid=""response_2""/&gt;",IF($AS49&lt;&gt;"","&lt;displayfeedback feedbacktype=""Response"" linkrefid=""qti_feedback_trigger""/&gt;",""))&amp;"&lt;/respcondition&gt;",""),IF(OR(V49,AV49&lt;&gt;"",$AS49&lt;&gt;""),"      &lt;respcondition continue=""Yes""&gt;&lt;conditionvar&gt;"&amp;IF(V49,"&lt;varequal respident=""RESPONSE""&gt;2&lt;/varequal&gt;","&lt;not&gt;&lt;varequal respident=""RESPONSE""&gt;2&lt;/varequal&gt;&lt;/not&gt;")&amp;"&lt;/conditionvar&gt;&lt;setvar action=""Add""&gt;"&amp;(Saisie_Questions!$N49/$I49)&amp;"&lt;/setvar&gt;"&amp;IF(AV49&lt;&gt;"","&lt;displayfeedback feedbacktype=""Response"" linkrefid=""response_2""/&gt;",IF($AS49&lt;&gt;"","&lt;displayfeedback feedbacktype=""Response"" linkrefid=""qti_feedback_trigger""/&gt;",""))&amp;"&lt;/respcondition&gt;",""))),"")</f>
      </c>
      <c r="AM49" s="46">
        <f>IF($B49,IF(O49="","",IF($C49="qcu",IF(OR(W49,AW49&lt;&gt;"",$AS49&lt;&gt;""),"      &lt;respcondition continue=""Yes""&gt;&lt;conditionvar&gt;&lt;varequal respident=""RESPONSE""&gt;3&lt;/varequal&gt;&lt;/conditionvar&gt;"&amp;"&lt;setvar action=""Add""&gt;"&amp;IF(W49,$H49,0)&amp;"&lt;/setvar&gt;"&amp;IF(AW49&lt;&gt;"","&lt;displayfeedback feedbacktype=""Response"" linkrefid=""response_3""/&gt;",IF($AS49&lt;&gt;"","&lt;displayfeedback feedbacktype=""Response"" linkrefid=""qti_feedback_trigger""/&gt;",""))&amp;"&lt;/respcondition&gt;",""),IF(OR(W49,AW49&lt;&gt;"",$AS49&lt;&gt;""),"      &lt;respcondition continue=""Yes""&gt;&lt;conditionvar&gt;"&amp;IF(W49,"&lt;varequal respident=""RESPONSE""&gt;3&lt;/varequal&gt;","&lt;not&gt;&lt;varequal respident=""RESPONSE""&gt;3&lt;/varequal&gt;&lt;/not&gt;")&amp;"&lt;/conditionvar&gt;&lt;setvar action=""Add""&gt;"&amp;(Saisie_Questions!$N49/$I49)&amp;"&lt;/setvar&gt;"&amp;IF(AW49&lt;&gt;"","&lt;displayfeedback feedbacktype=""Response"" linkrefid=""response_3""/&gt;",IF($AS49&lt;&gt;"","&lt;displayfeedback feedbacktype=""Response"" linkrefid=""qti_feedback_trigger""/&gt;",""))&amp;"&lt;/respcondition&gt;",""))),"")</f>
      </c>
      <c r="AN49" s="46">
        <f>IF($B49,IF(P49="","",IF($C49="qcu",IF(OR(X49,AX49&lt;&gt;"",$AS49&lt;&gt;""),"      &lt;respcondition continue=""Yes""&gt;&lt;conditionvar&gt;&lt;varequal respident=""RESPONSE""&gt;4&lt;/varequal&gt;&lt;/conditionvar&gt;"&amp;"&lt;setvar action=""Add""&gt;"&amp;IF(X49,$H49,0)&amp;"&lt;/setvar&gt;"&amp;IF(AX49&lt;&gt;"","&lt;displayfeedback feedbacktype=""Response"" linkrefid=""response_4""/&gt;",IF($AS49&lt;&gt;"","&lt;displayfeedback feedbacktype=""Response"" linkrefid=""qti_feedback_trigger""/&gt;",""))&amp;"&lt;/respcondition&gt;",""),IF(OR(X49,AX49&lt;&gt;"",$AS49&lt;&gt;""),"      &lt;respcondition continue=""Yes""&gt;&lt;conditionvar&gt;"&amp;IF(X49,"&lt;varequal respident=""RESPONSE""&gt;4&lt;/varequal&gt;","&lt;not&gt;&lt;varequal respident=""RESPONSE""&gt;4&lt;/varequal&gt;&lt;/not&gt;")&amp;"&lt;/conditionvar&gt;&lt;setvar action=""Add""&gt;"&amp;(Saisie_Questions!$N49/$I49)&amp;"&lt;/setvar&gt;"&amp;IF(AX49&lt;&gt;"","&lt;displayfeedback feedbacktype=""Response"" linkrefid=""response_4""/&gt;",IF($AS49&lt;&gt;"","&lt;displayfeedback feedbacktype=""Response"" linkrefid=""qti_feedback_trigger""/&gt;",""))&amp;"&lt;/respcondition&gt;",""))),"")</f>
      </c>
      <c r="AO49" s="46">
        <f>IF($B49,IF(Q49="","",IF($C49="qcu",IF(OR(Y49,AY49&lt;&gt;"",$AS49&lt;&gt;""),"      &lt;respcondition continue=""Yes""&gt;&lt;conditionvar&gt;&lt;varequal respident=""RESPONSE""&gt;5&lt;/varequal&gt;&lt;/conditionvar&gt;"&amp;"&lt;setvar action=""Add""&gt;"&amp;IF(Y49,$H49,0)&amp;"&lt;/setvar&gt;"&amp;IF(AY49&lt;&gt;"","&lt;displayfeedback feedbacktype=""Response"" linkrefid=""response_5""/&gt;",IF($AS49&lt;&gt;"","&lt;displayfeedback feedbacktype=""Response"" linkrefid=""qti_feedback_trigger""/&gt;",""))&amp;"&lt;/respcondition&gt;",""),IF(OR(Y49,AY49&lt;&gt;"",$AS49&lt;&gt;""),"      &lt;respcondition continue=""Yes""&gt;&lt;conditionvar&gt;"&amp;IF(Y49,"&lt;varequal respident=""RESPONSE""&gt;5&lt;/varequal&gt;","&lt;not&gt;&lt;varequal respident=""RESPONSE""&gt;5&lt;/varequal&gt;&lt;/not&gt;")&amp;"&lt;/conditionvar&gt;&lt;setvar action=""Add""&gt;"&amp;(Saisie_Questions!$N49/$I49)&amp;"&lt;/setvar&gt;"&amp;IF(AY49&lt;&gt;"","&lt;displayfeedback feedbacktype=""Response"" linkrefid=""response_5""/&gt;",IF($AS49&lt;&gt;"","&lt;displayfeedback feedbacktype=""Response"" linkrefid=""qti_feedback_trigger""/&gt;",""))&amp;"&lt;/respcondition&gt;",""))),"")</f>
      </c>
      <c r="AP49" s="46">
        <f>IF($B49,IF(R49="","",IF($C49="qcu",IF(OR(Z49,AZ49&lt;&gt;"",$AS49&lt;&gt;""),"      &lt;respcondition continue=""Yes""&gt;&lt;conditionvar&gt;&lt;varequal respident=""RESPONSE""&gt;6&lt;/varequal&gt;&lt;/conditionvar&gt;"&amp;"&lt;setvar action=""Add""&gt;"&amp;IF(Z49,$H49,0)&amp;"&lt;/setvar&gt;"&amp;IF(AZ49&lt;&gt;"","&lt;displayfeedback feedbacktype=""Response"" linkrefid=""response_6""/&gt;",IF($AS49&lt;&gt;"","&lt;displayfeedback feedbacktype=""Response"" linkrefid=""qti_feedback_trigger""/&gt;",""))&amp;"&lt;/respcondition&gt;",""),IF(OR(Z49,AZ49&lt;&gt;"",$AS49&lt;&gt;""),"      &lt;respcondition continue=""Yes""&gt;&lt;conditionvar&gt;"&amp;IF(Z49,"&lt;varequal respident=""RESPONSE""&gt;6&lt;/varequal&gt;","&lt;not&gt;&lt;varequal respident=""RESPONSE""&gt;6&lt;/varequal&gt;&lt;/not&gt;")&amp;"&lt;/conditionvar&gt;&lt;setvar action=""Add""&gt;"&amp;(Saisie_Questions!$N49/$I49)&amp;"&lt;/setvar&gt;"&amp;IF(AZ49&lt;&gt;"","&lt;displayfeedback feedbacktype=""Response"" linkrefid=""response_6""/&gt;",IF($AS49&lt;&gt;"","&lt;displayfeedback feedbacktype=""Response"" linkrefid=""qti_feedback_trigger""/&gt;",""))&amp;"&lt;/respcondition&gt;",""))),"")</f>
      </c>
      <c r="AQ49" s="46">
        <f>IF($B49,IF(S49="","",IF($C49="qcu",IF(OR(AA49,BA49&lt;&gt;"",$AS49&lt;&gt;""),"      &lt;respcondition continue=""Yes""&gt;&lt;conditionvar&gt;&lt;varequal respident=""RESPONSE""&gt;7&lt;/varequal&gt;&lt;/conditionvar&gt;"&amp;"&lt;setvar action=""Add""&gt;"&amp;IF(AA49,$H49,0)&amp;"&lt;/setvar&gt;"&amp;IF(BA49&lt;&gt;"","&lt;displayfeedback feedbacktype=""Response"" linkrefid=""response_7""/&gt;",IF($AS49&lt;&gt;"","&lt;displayfeedback feedbacktype=""Response"" linkrefid=""qti_feedback_trigger""/&gt;",""))&amp;"&lt;/respcondition&gt;",""),IF(OR(AA49,BA49&lt;&gt;"",$AS49&lt;&gt;""),"      &lt;respcondition continue=""Yes""&gt;&lt;conditionvar&gt;"&amp;IF(AA49,"&lt;varequal respident=""RESPONSE""&gt;7&lt;/varequal&gt;","&lt;not&gt;&lt;varequal respident=""RESPONSE""&gt;7&lt;/varequal&gt;&lt;/not&gt;")&amp;"&lt;/conditionvar&gt;&lt;setvar action=""Add""&gt;"&amp;(Saisie_Questions!$N49/$I49)&amp;"&lt;/setvar&gt;"&amp;IF(BA49&lt;&gt;"","&lt;displayfeedback feedbacktype=""Response"" linkrefid=""response_7""/&gt;",IF($AS49&lt;&gt;"","&lt;displayfeedback feedbacktype=""Response"" linkrefid=""qti_feedback_trigger""/&gt;",""))&amp;"&lt;/respcondition&gt;",""))),"")</f>
      </c>
      <c r="AR49" s="46">
        <f>IF(A49="","",SUBSTITUTE(SUBSTITUTE(SUBSTITUTE(SUBSTITUTE(SUBSTITUTE(IF(Saisie_Questions!P49&lt;&gt;"",Saisie_Questions!P49,Interface_Generation!$B$5),"&amp;","&amp;amp;"),"&lt;","&amp;lt;"),"&gt;","&amp;gt;"),CHAR(34),"&amp;quot;"),"'","&amp;apos;"))</f>
        <v/>
      </c>
      <c r="AS49" s="46">
        <f>IF(Saisie_Questions!Q49="","",SUBSTITUTE(SUBSTITUTE(SUBSTITUTE(SUBSTITUTE(SUBSTITUTE(Saisie_Questions!Q49,"&amp;","&amp;amp;"),"&lt;","&amp;lt;"),"&gt;","&amp;gt;"),CHAR(34),"&amp;quot;"),"'","&amp;apos;"))</f>
        <v/>
      </c>
      <c r="AT49" s="46">
        <f>IF(Saisie_Questions!R49="","",SUBSTITUTE(SUBSTITUTE(SUBSTITUTE(SUBSTITUTE(SUBSTITUTE(Saisie_Questions!R49,"&amp;","&amp;amp;"),"&lt;","&amp;lt;"),"&gt;","&amp;gt;"),CHAR(34),"&amp;quot;"),"'","&amp;apos;"))</f>
        <v/>
      </c>
      <c r="AU49" s="46">
        <f>IF(Saisie_Questions!S49="","",SUBSTITUTE(SUBSTITUTE(SUBSTITUTE(SUBSTITUTE(SUBSTITUTE(Saisie_Questions!S49,"&amp;","&amp;amp;"),"&lt;","&amp;lt;"),"&gt;","&amp;gt;"),CHAR(34),"&amp;quot;"),"'","&amp;apos;"))</f>
        <v/>
      </c>
      <c r="AV49" s="46">
        <f>IF(Saisie_Questions!T49="","",SUBSTITUTE(SUBSTITUTE(SUBSTITUTE(SUBSTITUTE(SUBSTITUTE(Saisie_Questions!T49,"&amp;","&amp;amp;"),"&lt;","&amp;lt;"),"&gt;","&amp;gt;"),CHAR(34),"&amp;quot;"),"'","&amp;apos;"))</f>
        <v/>
      </c>
      <c r="AW49" s="46">
        <f>IF(Saisie_Questions!U49="","",SUBSTITUTE(SUBSTITUTE(SUBSTITUTE(SUBSTITUTE(SUBSTITUTE(Saisie_Questions!U49,"&amp;","&amp;amp;"),"&lt;","&amp;lt;"),"&gt;","&amp;gt;"),CHAR(34),"&amp;quot;"),"'","&amp;apos;"))</f>
        <v/>
      </c>
      <c r="AX49" s="46">
        <f>IF(Saisie_Questions!V49="","",SUBSTITUTE(SUBSTITUTE(SUBSTITUTE(SUBSTITUTE(SUBSTITUTE(Saisie_Questions!V49,"&amp;","&amp;amp;"),"&lt;","&amp;lt;"),"&gt;","&amp;gt;"),CHAR(34),"&amp;quot;"),"'","&amp;apos;"))</f>
        <v/>
      </c>
      <c r="AY49" s="46">
        <f>IF(Saisie_Questions!W49="","",SUBSTITUTE(SUBSTITUTE(SUBSTITUTE(SUBSTITUTE(SUBSTITUTE(Saisie_Questions!W49,"&amp;","&amp;amp;"),"&lt;","&amp;lt;"),"&gt;","&amp;gt;"),CHAR(34),"&amp;quot;"),"'","&amp;apos;"))</f>
        <v/>
      </c>
      <c r="AZ49" s="46">
        <f>IF(Saisie_Questions!X49="","",SUBSTITUTE(SUBSTITUTE(SUBSTITUTE(SUBSTITUTE(SUBSTITUTE(Saisie_Questions!X49,"&amp;","&amp;amp;"),"&lt;","&amp;lt;"),"&gt;","&amp;gt;"),CHAR(34),"&amp;quot;"),"'","&amp;apos;"))</f>
        <v/>
      </c>
      <c r="BA49" s="46">
        <f>IF(Saisie_Questions!Y49="","",SUBSTITUTE(SUBSTITUTE(SUBSTITUTE(SUBSTITUTE(SUBSTITUTE(Saisie_Questions!Y49,"&amp;","&amp;amp;"),"&lt;","&amp;lt;"),"&gt;","&amp;gt;"),CHAR(34),"&amp;quot;"),"'","&amp;apos;"))</f>
        <v/>
      </c>
      <c r="BB49" s="46">
        <f>IF($B49,IF($AS49="","","    &lt;itemfeedback ident=""response_allcorrect"" view=""All""&gt;&lt;flow_mat&gt;&lt;material&gt;&lt;mattext texttype=""text/html""&gt;"&amp;$AS49&amp;"&lt;/mattext&gt;&lt;/material&gt;&lt;/flow_mat&gt;&lt;/itemfeedback&gt;"&amp;"    &lt;itemfeedback ident=""response_onenotcorrect"" view=""All""&gt;&lt;flow_mat&gt;&lt;material&gt;&lt;mattext texttype=""text/html""&gt;"&amp;$AS49&amp;"&lt;/mattext&gt;&lt;/material&gt;&lt;/flow_mat&gt;&lt;/itemfeedback&gt;"),"")</f>
      </c>
      <c r="BC49" s="46">
        <f>IF($B49,IF(AT49="","","    &lt;itemfeedback ident=""response_0"" view=""All""&gt;&lt;flow_mat&gt;&lt;material&gt;&lt;mattext texttype=""text/html""&gt;"&amp;AT49&amp;"&lt;/mattext&gt;&lt;/material&gt;&lt;/flow_mat&gt;&lt;/itemfeedback&gt;"),"")</f>
      </c>
      <c r="BD49" s="46">
        <f>IF($B49,IF(AU49="","","    &lt;itemfeedback ident=""response_1"" view=""All""&gt;&lt;flow_mat&gt;&lt;material&gt;&lt;mattext texttype=""text/html""&gt;"&amp;AU49&amp;"&lt;/mattext&gt;&lt;/material&gt;&lt;/flow_mat&gt;&lt;/itemfeedback&gt;"),"")</f>
      </c>
      <c r="BE49" s="46">
        <f>IF($B49,IF(AV49="","","    &lt;itemfeedback ident=""response_2"" view=""All""&gt;&lt;flow_mat&gt;&lt;material&gt;&lt;mattext texttype=""text/html""&gt;"&amp;AV49&amp;"&lt;/mattext&gt;&lt;/material&gt;&lt;/flow_mat&gt;&lt;/itemfeedback&gt;"),"")</f>
      </c>
      <c r="BF49" s="46">
        <f>IF($B49,IF(AW49="","","    &lt;itemfeedback ident=""response_3"" view=""All""&gt;&lt;flow_mat&gt;&lt;material&gt;&lt;mattext texttype=""text/html""&gt;"&amp;AW49&amp;"&lt;/mattext&gt;&lt;/material&gt;&lt;/flow_mat&gt;&lt;/itemfeedback&gt;"),"")</f>
      </c>
      <c r="BG49" s="46">
        <f>IF($B49,IF(AX49="","","    &lt;itemfeedback ident=""response_4"" view=""All""&gt;&lt;flow_mat&gt;&lt;material&gt;&lt;mattext texttype=""text/html""&gt;"&amp;AX49&amp;"&lt;/mattext&gt;&lt;/material&gt;&lt;/flow_mat&gt;&lt;/itemfeedback&gt;"),"")</f>
      </c>
      <c r="BH49" s="46">
        <f>IF($B49,IF(AY49="","","    &lt;itemfeedback ident=""response_5"" view=""All""&gt;&lt;flow_mat&gt;&lt;material&gt;&lt;mattext texttype=""text/html""&gt;"&amp;AY49&amp;"&lt;/mattext&gt;&lt;/material&gt;&lt;/flow_mat&gt;&lt;/itemfeedback&gt;"),"")</f>
      </c>
      <c r="BI49" s="46">
        <f>IF($B49,IF(AZ49="","","    &lt;itemfeedback ident=""response_6"" view=""All""&gt;&lt;flow_mat&gt;&lt;material&gt;&lt;mattext texttype=""text/html""&gt;"&amp;AZ49&amp;"&lt;/mattext&gt;&lt;/material&gt;&lt;/flow_mat&gt;&lt;/itemfeedback&gt;"),"")</f>
      </c>
      <c r="BJ49" s="46">
        <f>IF($B49,IF(BA49="","","    &lt;itemfeedback ident=""response_7"" view=""All""&gt;&lt;flow_mat&gt;&lt;material&gt;&lt;mattext texttype=""text/html""&gt;"&amp;BA49&amp;"&lt;/mattext&gt;&lt;/material&gt;&lt;/flow_mat&gt;&lt;/itemfeedback&gt;"),"")</f>
      </c>
    </row>
    <row r="50" ht="18" customHeight="1" s="17">
      <c r="A50" s="46">
        <f>Saisie_Questions!A50</f>
        <v/>
      </c>
      <c r="B50" s="46">
        <f>Saisie_Questions!O50="OK"</f>
        <v/>
      </c>
      <c r="C50" s="46">
        <f>LOWER(TRIM(Saisie_Questions!B50))</f>
        <v/>
      </c>
      <c r="D50" s="46">
        <f>IF(C50="qcu","SINGLE CHOICE QUESTION","MULTIPLE CHOICE QUESTION")</f>
        <v/>
      </c>
      <c r="E50" s="46">
        <f>IF(C50="qcu","Single","Multiple")</f>
        <v/>
      </c>
      <c r="F50" s="46">
        <f>IF(A50="","",SUBSTITUTE(SUBSTITUTE(SUBSTITUTE(SUBSTITUTE(SUBSTITUTE(IF(Saisie_Questions!C50="", "Question "&amp;A50, Saisie_Questions!C50),"&amp;","&amp;amp;"),"&lt;","&amp;lt;"),"&gt;","&amp;gt;"),CHAR(34),"&amp;quot;"),"'","&amp;apos;"))</f>
        <v/>
      </c>
      <c r="G50" s="46">
        <f>IF(A50="","",SUBSTITUTE(SUBSTITUTE(SUBSTITUTE(SUBSTITUTE(SUBSTITUTE(Saisie_Questions!D50,"&amp;","&amp;amp;"),"&lt;","&amp;lt;"),"&gt;","&amp;gt;"),CHAR(34),"&amp;quot;"),"'","&amp;apos;"))</f>
        <v/>
      </c>
      <c r="H50" s="46">
        <f>Saisie_Questions!N50</f>
        <v/>
      </c>
      <c r="I50" s="46">
        <f>IF(Saisie_Questions!E50="",0,1)+IF(Saisie_Questions!F50="",0,1)+IF(Saisie_Questions!G50="",0,1)+IF(Saisie_Questions!H50="",0,1)+IF(Saisie_Questions!I50="",0,1)+IF(Saisie_Questions!J50="",0,1)+IF(Saisie_Questions!K50="",0,1)+IF(Saisie_Questions!L50="",0,1)</f>
        <v/>
      </c>
      <c r="J50" s="46">
        <f>Saisie_Questions!M50</f>
        <v/>
      </c>
      <c r="K50" s="46">
        <f>Saisie_Questions!O50</f>
        <v/>
      </c>
      <c r="L50" s="46">
        <f>IF(Saisie_Questions!E50="","",SUBSTITUTE(SUBSTITUTE(SUBSTITUTE(SUBSTITUTE(SUBSTITUTE(Saisie_Questions!E50,"&amp;","&amp;amp;"),"&lt;","&amp;lt;"),"&gt;","&amp;gt;"),CHAR(34),"&amp;quot;"),"'","&amp;apos;"))</f>
        <v/>
      </c>
      <c r="M50" s="46">
        <f>IF(Saisie_Questions!F50="","",SUBSTITUTE(SUBSTITUTE(SUBSTITUTE(SUBSTITUTE(SUBSTITUTE(Saisie_Questions!F50,"&amp;","&amp;amp;"),"&lt;","&amp;lt;"),"&gt;","&amp;gt;"),CHAR(34),"&amp;quot;"),"'","&amp;apos;"))</f>
        <v/>
      </c>
      <c r="N50" s="46">
        <f>IF(Saisie_Questions!G50="","",SUBSTITUTE(SUBSTITUTE(SUBSTITUTE(SUBSTITUTE(SUBSTITUTE(Saisie_Questions!G50,"&amp;","&amp;amp;"),"&lt;","&amp;lt;"),"&gt;","&amp;gt;"),CHAR(34),"&amp;quot;"),"'","&amp;apos;"))</f>
        <v/>
      </c>
      <c r="O50" s="46">
        <f>IF(Saisie_Questions!H50="","",SUBSTITUTE(SUBSTITUTE(SUBSTITUTE(SUBSTITUTE(SUBSTITUTE(Saisie_Questions!H50,"&amp;","&amp;amp;"),"&lt;","&amp;lt;"),"&gt;","&amp;gt;"),CHAR(34),"&amp;quot;"),"'","&amp;apos;"))</f>
        <v/>
      </c>
      <c r="P50" s="46">
        <f>IF(Saisie_Questions!I50="","",SUBSTITUTE(SUBSTITUTE(SUBSTITUTE(SUBSTITUTE(SUBSTITUTE(Saisie_Questions!I50,"&amp;","&amp;amp;"),"&lt;","&amp;lt;"),"&gt;","&amp;gt;"),CHAR(34),"&amp;quot;"),"'","&amp;apos;"))</f>
        <v/>
      </c>
      <c r="Q50" s="46">
        <f>IF(Saisie_Questions!J50="","",SUBSTITUTE(SUBSTITUTE(SUBSTITUTE(SUBSTITUTE(SUBSTITUTE(Saisie_Questions!J50,"&amp;","&amp;amp;"),"&lt;","&amp;lt;"),"&gt;","&amp;gt;"),CHAR(34),"&amp;quot;"),"'","&amp;apos;"))</f>
        <v/>
      </c>
      <c r="R50" s="46">
        <f>IF(Saisie_Questions!K50="","",SUBSTITUTE(SUBSTITUTE(SUBSTITUTE(SUBSTITUTE(SUBSTITUTE(Saisie_Questions!K50,"&amp;","&amp;amp;"),"&lt;","&amp;lt;"),"&gt;","&amp;gt;"),CHAR(34),"&amp;quot;"),"'","&amp;apos;"))</f>
        <v/>
      </c>
      <c r="S50" s="46">
        <f>IF(Saisie_Questions!L50="","",SUBSTITUTE(SUBSTITUTE(SUBSTITUTE(SUBSTITUTE(SUBSTITUTE(Saisie_Questions!L50,"&amp;","&amp;amp;"),"&lt;","&amp;lt;"),"&gt;","&amp;gt;"),CHAR(34),"&amp;quot;"),"'","&amp;apos;"))</f>
        <v/>
      </c>
      <c r="T50" s="46">
        <f>ISNUMBER(SEARCH(";"&amp;1&amp;";",";"&amp;$J50&amp;";"))</f>
        <v/>
      </c>
      <c r="U50" s="46">
        <f>ISNUMBER(SEARCH(";"&amp;2&amp;";",";"&amp;$J50&amp;";"))</f>
        <v/>
      </c>
      <c r="V50" s="46">
        <f>ISNUMBER(SEARCH(";"&amp;3&amp;";",";"&amp;$J50&amp;";"))</f>
        <v/>
      </c>
      <c r="W50" s="46">
        <f>ISNUMBER(SEARCH(";"&amp;4&amp;";",";"&amp;$J50&amp;";"))</f>
        <v/>
      </c>
      <c r="X50" s="46">
        <f>ISNUMBER(SEARCH(";"&amp;5&amp;";",";"&amp;$J50&amp;";"))</f>
        <v/>
      </c>
      <c r="Y50" s="46">
        <f>ISNUMBER(SEARCH(";"&amp;6&amp;";",";"&amp;$J50&amp;";"))</f>
        <v/>
      </c>
      <c r="Z50" s="46">
        <f>ISNUMBER(SEARCH(";"&amp;7&amp;";",";"&amp;$J50&amp;";"))</f>
        <v/>
      </c>
      <c r="AA50" s="46">
        <f>ISNUMBER(SEARCH(";"&amp;8&amp;";",";"&amp;$J50&amp;";"))</f>
        <v/>
      </c>
      <c r="AB50" s="46">
        <f>IF($B50,IF(L50="","","        &lt;response_label ident=""0""&gt;&lt;material&gt;&lt;mattext texttype=""text/html""&gt;"&amp;L50&amp;"&lt;/mattext&gt;&lt;/material&gt;&lt;/response_label&gt;"),"")</f>
        <v/>
      </c>
      <c r="AC50" s="46">
        <f>IF($B50,IF(M50="","","        &lt;response_label ident=""1""&gt;&lt;material&gt;&lt;mattext texttype=""text/html""&gt;"&amp;M50&amp;"&lt;/mattext&gt;&lt;/material&gt;&lt;/response_label&gt;"),"")</f>
        <v/>
      </c>
      <c r="AD50" s="46">
        <f>IF($B50,IF(N50="","","        &lt;response_label ident=""2""&gt;&lt;material&gt;&lt;mattext texttype=""text/html""&gt;"&amp;N50&amp;"&lt;/mattext&gt;&lt;/material&gt;&lt;/response_label&gt;"),"")</f>
        <v/>
      </c>
      <c r="AE50" s="46">
        <f>IF($B50,IF(O50="","","        &lt;response_label ident=""3""&gt;&lt;material&gt;&lt;mattext texttype=""text/html""&gt;"&amp;O50&amp;"&lt;/mattext&gt;&lt;/material&gt;&lt;/response_label&gt;"),"")</f>
        <v/>
      </c>
      <c r="AF50" s="46">
        <f>IF($B50,IF(P50="","","        &lt;response_label ident=""4""&gt;&lt;material&gt;&lt;mattext texttype=""text/html""&gt;"&amp;P50&amp;"&lt;/mattext&gt;&lt;/material&gt;&lt;/response_label&gt;"),"")</f>
        <v/>
      </c>
      <c r="AG50" s="46">
        <f>IF($B50,IF(Q50="","","        &lt;response_label ident=""5""&gt;&lt;material&gt;&lt;mattext texttype=""text/html""&gt;"&amp;Q50&amp;"&lt;/mattext&gt;&lt;/material&gt;&lt;/response_label&gt;"),"")</f>
        <v/>
      </c>
      <c r="AH50" s="46">
        <f>IF($B50,IF(R50="","","        &lt;response_label ident=""6""&gt;&lt;material&gt;&lt;mattext texttype=""text/html""&gt;"&amp;R50&amp;"&lt;/mattext&gt;&lt;/material&gt;&lt;/response_label&gt;"),"")</f>
        <v/>
      </c>
      <c r="AI50" s="46">
        <f>IF($B50,IF(S50="","","        &lt;response_label ident=""7""&gt;&lt;material&gt;&lt;mattext texttype=""text/html""&gt;"&amp;S50&amp;"&lt;/mattext&gt;&lt;/material&gt;&lt;/response_label&gt;"),"")</f>
        <v/>
      </c>
      <c r="AJ50" s="46">
        <f>IF($B50,IF(L50="","",IF($C50="qcu",IF(OR(T50,AT50&lt;&gt;"",$AS50&lt;&gt;""),"      &lt;respcondition continue=""Yes""&gt;&lt;conditionvar&gt;&lt;varequal respident=""RESPONSE""&gt;0&lt;/varequal&gt;&lt;/conditionvar&gt;"&amp;"&lt;setvar action=""Add""&gt;"&amp;IF(T50,$H50,0)&amp;"&lt;/setvar&gt;"&amp;IF(AT50&lt;&gt;"","&lt;displayfeedback feedbacktype=""Response"" linkrefid=""response_0""/&gt;",IF($AS50&lt;&gt;"","&lt;displayfeedback feedbacktype=""Response"" linkrefid=""qti_feedback_trigger""/&gt;",""))&amp;"&lt;/respcondition&gt;",""),IF(OR(T50,AT50&lt;&gt;"",$AS50&lt;&gt;""),"      &lt;respcondition continue=""Yes""&gt;&lt;conditionvar&gt;"&amp;IF(T50,"&lt;varequal respident=""RESPONSE""&gt;0&lt;/varequal&gt;","&lt;not&gt;&lt;varequal respident=""RESPONSE""&gt;0&lt;/varequal&gt;&lt;/not&gt;")&amp;"&lt;/conditionvar&gt;&lt;setvar action=""Add""&gt;"&amp;(Saisie_Questions!$N50/$I50)&amp;"&lt;/setvar&gt;"&amp;IF(AT50&lt;&gt;"","&lt;displayfeedback feedbacktype=""Response"" linkrefid=""response_0""/&gt;",IF($AS50&lt;&gt;"","&lt;displayfeedback feedbacktype=""Response"" linkrefid=""qti_feedback_trigger""/&gt;",""))&amp;"&lt;/respcondition&gt;",""))),"")</f>
      </c>
      <c r="AK50" s="46">
        <f>IF($B50,IF(M50="","",IF($C50="qcu",IF(OR(U50,AU50&lt;&gt;"",$AS50&lt;&gt;""),"      &lt;respcondition continue=""Yes""&gt;&lt;conditionvar&gt;&lt;varequal respident=""RESPONSE""&gt;1&lt;/varequal&gt;&lt;/conditionvar&gt;"&amp;"&lt;setvar action=""Add""&gt;"&amp;IF(U50,$H50,0)&amp;"&lt;/setvar&gt;"&amp;IF(AU50&lt;&gt;"","&lt;displayfeedback feedbacktype=""Response"" linkrefid=""response_1""/&gt;",IF($AS50&lt;&gt;"","&lt;displayfeedback feedbacktype=""Response"" linkrefid=""qti_feedback_trigger""/&gt;",""))&amp;"&lt;/respcondition&gt;",""),IF(OR(U50,AU50&lt;&gt;"",$AS50&lt;&gt;""),"      &lt;respcondition continue=""Yes""&gt;&lt;conditionvar&gt;"&amp;IF(U50,"&lt;varequal respident=""RESPONSE""&gt;1&lt;/varequal&gt;","&lt;not&gt;&lt;varequal respident=""RESPONSE""&gt;1&lt;/varequal&gt;&lt;/not&gt;")&amp;"&lt;/conditionvar&gt;&lt;setvar action=""Add""&gt;"&amp;(Saisie_Questions!$N50/$I50)&amp;"&lt;/setvar&gt;"&amp;IF(AU50&lt;&gt;"","&lt;displayfeedback feedbacktype=""Response"" linkrefid=""response_1""/&gt;",IF($AS50&lt;&gt;"","&lt;displayfeedback feedbacktype=""Response"" linkrefid=""qti_feedback_trigger""/&gt;",""))&amp;"&lt;/respcondition&gt;",""))),"")</f>
      </c>
      <c r="AL50" s="46">
        <f>IF($B50,IF(N50="","",IF($C50="qcu",IF(OR(V50,AV50&lt;&gt;"",$AS50&lt;&gt;""),"      &lt;respcondition continue=""Yes""&gt;&lt;conditionvar&gt;&lt;varequal respident=""RESPONSE""&gt;2&lt;/varequal&gt;&lt;/conditionvar&gt;"&amp;"&lt;setvar action=""Add""&gt;"&amp;IF(V50,$H50,0)&amp;"&lt;/setvar&gt;"&amp;IF(AV50&lt;&gt;"","&lt;displayfeedback feedbacktype=""Response"" linkrefid=""response_2""/&gt;",IF($AS50&lt;&gt;"","&lt;displayfeedback feedbacktype=""Response"" linkrefid=""qti_feedback_trigger""/&gt;",""))&amp;"&lt;/respcondition&gt;",""),IF(OR(V50,AV50&lt;&gt;"",$AS50&lt;&gt;""),"      &lt;respcondition continue=""Yes""&gt;&lt;conditionvar&gt;"&amp;IF(V50,"&lt;varequal respident=""RESPONSE""&gt;2&lt;/varequal&gt;","&lt;not&gt;&lt;varequal respident=""RESPONSE""&gt;2&lt;/varequal&gt;&lt;/not&gt;")&amp;"&lt;/conditionvar&gt;&lt;setvar action=""Add""&gt;"&amp;(Saisie_Questions!$N50/$I50)&amp;"&lt;/setvar&gt;"&amp;IF(AV50&lt;&gt;"","&lt;displayfeedback feedbacktype=""Response"" linkrefid=""response_2""/&gt;",IF($AS50&lt;&gt;"","&lt;displayfeedback feedbacktype=""Response"" linkrefid=""qti_feedback_trigger""/&gt;",""))&amp;"&lt;/respcondition&gt;",""))),"")</f>
      </c>
      <c r="AM50" s="46">
        <f>IF($B50,IF(O50="","",IF($C50="qcu",IF(OR(W50,AW50&lt;&gt;"",$AS50&lt;&gt;""),"      &lt;respcondition continue=""Yes""&gt;&lt;conditionvar&gt;&lt;varequal respident=""RESPONSE""&gt;3&lt;/varequal&gt;&lt;/conditionvar&gt;"&amp;"&lt;setvar action=""Add""&gt;"&amp;IF(W50,$H50,0)&amp;"&lt;/setvar&gt;"&amp;IF(AW50&lt;&gt;"","&lt;displayfeedback feedbacktype=""Response"" linkrefid=""response_3""/&gt;",IF($AS50&lt;&gt;"","&lt;displayfeedback feedbacktype=""Response"" linkrefid=""qti_feedback_trigger""/&gt;",""))&amp;"&lt;/respcondition&gt;",""),IF(OR(W50,AW50&lt;&gt;"",$AS50&lt;&gt;""),"      &lt;respcondition continue=""Yes""&gt;&lt;conditionvar&gt;"&amp;IF(W50,"&lt;varequal respident=""RESPONSE""&gt;3&lt;/varequal&gt;","&lt;not&gt;&lt;varequal respident=""RESPONSE""&gt;3&lt;/varequal&gt;&lt;/not&gt;")&amp;"&lt;/conditionvar&gt;&lt;setvar action=""Add""&gt;"&amp;(Saisie_Questions!$N50/$I50)&amp;"&lt;/setvar&gt;"&amp;IF(AW50&lt;&gt;"","&lt;displayfeedback feedbacktype=""Response"" linkrefid=""response_3""/&gt;",IF($AS50&lt;&gt;"","&lt;displayfeedback feedbacktype=""Response"" linkrefid=""qti_feedback_trigger""/&gt;",""))&amp;"&lt;/respcondition&gt;",""))),"")</f>
      </c>
      <c r="AN50" s="46">
        <f>IF($B50,IF(P50="","",IF($C50="qcu",IF(OR(X50,AX50&lt;&gt;"",$AS50&lt;&gt;""),"      &lt;respcondition continue=""Yes""&gt;&lt;conditionvar&gt;&lt;varequal respident=""RESPONSE""&gt;4&lt;/varequal&gt;&lt;/conditionvar&gt;"&amp;"&lt;setvar action=""Add""&gt;"&amp;IF(X50,$H50,0)&amp;"&lt;/setvar&gt;"&amp;IF(AX50&lt;&gt;"","&lt;displayfeedback feedbacktype=""Response"" linkrefid=""response_4""/&gt;",IF($AS50&lt;&gt;"","&lt;displayfeedback feedbacktype=""Response"" linkrefid=""qti_feedback_trigger""/&gt;",""))&amp;"&lt;/respcondition&gt;",""),IF(OR(X50,AX50&lt;&gt;"",$AS50&lt;&gt;""),"      &lt;respcondition continue=""Yes""&gt;&lt;conditionvar&gt;"&amp;IF(X50,"&lt;varequal respident=""RESPONSE""&gt;4&lt;/varequal&gt;","&lt;not&gt;&lt;varequal respident=""RESPONSE""&gt;4&lt;/varequal&gt;&lt;/not&gt;")&amp;"&lt;/conditionvar&gt;&lt;setvar action=""Add""&gt;"&amp;(Saisie_Questions!$N50/$I50)&amp;"&lt;/setvar&gt;"&amp;IF(AX50&lt;&gt;"","&lt;displayfeedback feedbacktype=""Response"" linkrefid=""response_4""/&gt;",IF($AS50&lt;&gt;"","&lt;displayfeedback feedbacktype=""Response"" linkrefid=""qti_feedback_trigger""/&gt;",""))&amp;"&lt;/respcondition&gt;",""))),"")</f>
      </c>
      <c r="AO50" s="46">
        <f>IF($B50,IF(Q50="","",IF($C50="qcu",IF(OR(Y50,AY50&lt;&gt;"",$AS50&lt;&gt;""),"      &lt;respcondition continue=""Yes""&gt;&lt;conditionvar&gt;&lt;varequal respident=""RESPONSE""&gt;5&lt;/varequal&gt;&lt;/conditionvar&gt;"&amp;"&lt;setvar action=""Add""&gt;"&amp;IF(Y50,$H50,0)&amp;"&lt;/setvar&gt;"&amp;IF(AY50&lt;&gt;"","&lt;displayfeedback feedbacktype=""Response"" linkrefid=""response_5""/&gt;",IF($AS50&lt;&gt;"","&lt;displayfeedback feedbacktype=""Response"" linkrefid=""qti_feedback_trigger""/&gt;",""))&amp;"&lt;/respcondition&gt;",""),IF(OR(Y50,AY50&lt;&gt;"",$AS50&lt;&gt;""),"      &lt;respcondition continue=""Yes""&gt;&lt;conditionvar&gt;"&amp;IF(Y50,"&lt;varequal respident=""RESPONSE""&gt;5&lt;/varequal&gt;","&lt;not&gt;&lt;varequal respident=""RESPONSE""&gt;5&lt;/varequal&gt;&lt;/not&gt;")&amp;"&lt;/conditionvar&gt;&lt;setvar action=""Add""&gt;"&amp;(Saisie_Questions!$N50/$I50)&amp;"&lt;/setvar&gt;"&amp;IF(AY50&lt;&gt;"","&lt;displayfeedback feedbacktype=""Response"" linkrefid=""response_5""/&gt;",IF($AS50&lt;&gt;"","&lt;displayfeedback feedbacktype=""Response"" linkrefid=""qti_feedback_trigger""/&gt;",""))&amp;"&lt;/respcondition&gt;",""))),"")</f>
      </c>
      <c r="AP50" s="46">
        <f>IF($B50,IF(R50="","",IF($C50="qcu",IF(OR(Z50,AZ50&lt;&gt;"",$AS50&lt;&gt;""),"      &lt;respcondition continue=""Yes""&gt;&lt;conditionvar&gt;&lt;varequal respident=""RESPONSE""&gt;6&lt;/varequal&gt;&lt;/conditionvar&gt;"&amp;"&lt;setvar action=""Add""&gt;"&amp;IF(Z50,$H50,0)&amp;"&lt;/setvar&gt;"&amp;IF(AZ50&lt;&gt;"","&lt;displayfeedback feedbacktype=""Response"" linkrefid=""response_6""/&gt;",IF($AS50&lt;&gt;"","&lt;displayfeedback feedbacktype=""Response"" linkrefid=""qti_feedback_trigger""/&gt;",""))&amp;"&lt;/respcondition&gt;",""),IF(OR(Z50,AZ50&lt;&gt;"",$AS50&lt;&gt;""),"      &lt;respcondition continue=""Yes""&gt;&lt;conditionvar&gt;"&amp;IF(Z50,"&lt;varequal respident=""RESPONSE""&gt;6&lt;/varequal&gt;","&lt;not&gt;&lt;varequal respident=""RESPONSE""&gt;6&lt;/varequal&gt;&lt;/not&gt;")&amp;"&lt;/conditionvar&gt;&lt;setvar action=""Add""&gt;"&amp;(Saisie_Questions!$N50/$I50)&amp;"&lt;/setvar&gt;"&amp;IF(AZ50&lt;&gt;"","&lt;displayfeedback feedbacktype=""Response"" linkrefid=""response_6""/&gt;",IF($AS50&lt;&gt;"","&lt;displayfeedback feedbacktype=""Response"" linkrefid=""qti_feedback_trigger""/&gt;",""))&amp;"&lt;/respcondition&gt;",""))),"")</f>
      </c>
      <c r="AQ50" s="46">
        <f>IF($B50,IF(S50="","",IF($C50="qcu",IF(OR(AA50,BA50&lt;&gt;"",$AS50&lt;&gt;""),"      &lt;respcondition continue=""Yes""&gt;&lt;conditionvar&gt;&lt;varequal respident=""RESPONSE""&gt;7&lt;/varequal&gt;&lt;/conditionvar&gt;"&amp;"&lt;setvar action=""Add""&gt;"&amp;IF(AA50,$H50,0)&amp;"&lt;/setvar&gt;"&amp;IF(BA50&lt;&gt;"","&lt;displayfeedback feedbacktype=""Response"" linkrefid=""response_7""/&gt;",IF($AS50&lt;&gt;"","&lt;displayfeedback feedbacktype=""Response"" linkrefid=""qti_feedback_trigger""/&gt;",""))&amp;"&lt;/respcondition&gt;",""),IF(OR(AA50,BA50&lt;&gt;"",$AS50&lt;&gt;""),"      &lt;respcondition continue=""Yes""&gt;&lt;conditionvar&gt;"&amp;IF(AA50,"&lt;varequal respident=""RESPONSE""&gt;7&lt;/varequal&gt;","&lt;not&gt;&lt;varequal respident=""RESPONSE""&gt;7&lt;/varequal&gt;&lt;/not&gt;")&amp;"&lt;/conditionvar&gt;&lt;setvar action=""Add""&gt;"&amp;(Saisie_Questions!$N50/$I50)&amp;"&lt;/setvar&gt;"&amp;IF(BA50&lt;&gt;"","&lt;displayfeedback feedbacktype=""Response"" linkrefid=""response_7""/&gt;",IF($AS50&lt;&gt;"","&lt;displayfeedback feedbacktype=""Response"" linkrefid=""qti_feedback_trigger""/&gt;",""))&amp;"&lt;/respcondition&gt;",""))),"")</f>
      </c>
      <c r="AR50" s="46">
        <f>IF(A50="","",SUBSTITUTE(SUBSTITUTE(SUBSTITUTE(SUBSTITUTE(SUBSTITUTE(IF(Saisie_Questions!P50&lt;&gt;"",Saisie_Questions!P50,Interface_Generation!$B$5),"&amp;","&amp;amp;"),"&lt;","&amp;lt;"),"&gt;","&amp;gt;"),CHAR(34),"&amp;quot;"),"'","&amp;apos;"))</f>
        <v/>
      </c>
      <c r="AS50" s="46">
        <f>IF(Saisie_Questions!Q50="","",SUBSTITUTE(SUBSTITUTE(SUBSTITUTE(SUBSTITUTE(SUBSTITUTE(Saisie_Questions!Q50,"&amp;","&amp;amp;"),"&lt;","&amp;lt;"),"&gt;","&amp;gt;"),CHAR(34),"&amp;quot;"),"'","&amp;apos;"))</f>
        <v/>
      </c>
      <c r="AT50" s="46">
        <f>IF(Saisie_Questions!R50="","",SUBSTITUTE(SUBSTITUTE(SUBSTITUTE(SUBSTITUTE(SUBSTITUTE(Saisie_Questions!R50,"&amp;","&amp;amp;"),"&lt;","&amp;lt;"),"&gt;","&amp;gt;"),CHAR(34),"&amp;quot;"),"'","&amp;apos;"))</f>
        <v/>
      </c>
      <c r="AU50" s="46">
        <f>IF(Saisie_Questions!S50="","",SUBSTITUTE(SUBSTITUTE(SUBSTITUTE(SUBSTITUTE(SUBSTITUTE(Saisie_Questions!S50,"&amp;","&amp;amp;"),"&lt;","&amp;lt;"),"&gt;","&amp;gt;"),CHAR(34),"&amp;quot;"),"'","&amp;apos;"))</f>
        <v/>
      </c>
      <c r="AV50" s="46">
        <f>IF(Saisie_Questions!T50="","",SUBSTITUTE(SUBSTITUTE(SUBSTITUTE(SUBSTITUTE(SUBSTITUTE(Saisie_Questions!T50,"&amp;","&amp;amp;"),"&lt;","&amp;lt;"),"&gt;","&amp;gt;"),CHAR(34),"&amp;quot;"),"'","&amp;apos;"))</f>
        <v/>
      </c>
      <c r="AW50" s="46">
        <f>IF(Saisie_Questions!U50="","",SUBSTITUTE(SUBSTITUTE(SUBSTITUTE(SUBSTITUTE(SUBSTITUTE(Saisie_Questions!U50,"&amp;","&amp;amp;"),"&lt;","&amp;lt;"),"&gt;","&amp;gt;"),CHAR(34),"&amp;quot;"),"'","&amp;apos;"))</f>
        <v/>
      </c>
      <c r="AX50" s="46">
        <f>IF(Saisie_Questions!V50="","",SUBSTITUTE(SUBSTITUTE(SUBSTITUTE(SUBSTITUTE(SUBSTITUTE(Saisie_Questions!V50,"&amp;","&amp;amp;"),"&lt;","&amp;lt;"),"&gt;","&amp;gt;"),CHAR(34),"&amp;quot;"),"'","&amp;apos;"))</f>
        <v/>
      </c>
      <c r="AY50" s="46">
        <f>IF(Saisie_Questions!W50="","",SUBSTITUTE(SUBSTITUTE(SUBSTITUTE(SUBSTITUTE(SUBSTITUTE(Saisie_Questions!W50,"&amp;","&amp;amp;"),"&lt;","&amp;lt;"),"&gt;","&amp;gt;"),CHAR(34),"&amp;quot;"),"'","&amp;apos;"))</f>
        <v/>
      </c>
      <c r="AZ50" s="46">
        <f>IF(Saisie_Questions!X50="","",SUBSTITUTE(SUBSTITUTE(SUBSTITUTE(SUBSTITUTE(SUBSTITUTE(Saisie_Questions!X50,"&amp;","&amp;amp;"),"&lt;","&amp;lt;"),"&gt;","&amp;gt;"),CHAR(34),"&amp;quot;"),"'","&amp;apos;"))</f>
        <v/>
      </c>
      <c r="BA50" s="46">
        <f>IF(Saisie_Questions!Y50="","",SUBSTITUTE(SUBSTITUTE(SUBSTITUTE(SUBSTITUTE(SUBSTITUTE(Saisie_Questions!Y50,"&amp;","&amp;amp;"),"&lt;","&amp;lt;"),"&gt;","&amp;gt;"),CHAR(34),"&amp;quot;"),"'","&amp;apos;"))</f>
        <v/>
      </c>
      <c r="BB50" s="46">
        <f>IF($B50,IF($AS50="","","    &lt;itemfeedback ident=""response_allcorrect"" view=""All""&gt;&lt;flow_mat&gt;&lt;material&gt;&lt;mattext texttype=""text/html""&gt;"&amp;$AS50&amp;"&lt;/mattext&gt;&lt;/material&gt;&lt;/flow_mat&gt;&lt;/itemfeedback&gt;"&amp;"    &lt;itemfeedback ident=""response_onenotcorrect"" view=""All""&gt;&lt;flow_mat&gt;&lt;material&gt;&lt;mattext texttype=""text/html""&gt;"&amp;$AS50&amp;"&lt;/mattext&gt;&lt;/material&gt;&lt;/flow_mat&gt;&lt;/itemfeedback&gt;"),"")</f>
      </c>
      <c r="BC50" s="46">
        <f>IF($B50,IF(AT50="","","    &lt;itemfeedback ident=""response_0"" view=""All""&gt;&lt;flow_mat&gt;&lt;material&gt;&lt;mattext texttype=""text/html""&gt;"&amp;AT50&amp;"&lt;/mattext&gt;&lt;/material&gt;&lt;/flow_mat&gt;&lt;/itemfeedback&gt;"),"")</f>
      </c>
      <c r="BD50" s="46">
        <f>IF($B50,IF(AU50="","","    &lt;itemfeedback ident=""response_1"" view=""All""&gt;&lt;flow_mat&gt;&lt;material&gt;&lt;mattext texttype=""text/html""&gt;"&amp;AU50&amp;"&lt;/mattext&gt;&lt;/material&gt;&lt;/flow_mat&gt;&lt;/itemfeedback&gt;"),"")</f>
      </c>
      <c r="BE50" s="46">
        <f>IF($B50,IF(AV50="","","    &lt;itemfeedback ident=""response_2"" view=""All""&gt;&lt;flow_mat&gt;&lt;material&gt;&lt;mattext texttype=""text/html""&gt;"&amp;AV50&amp;"&lt;/mattext&gt;&lt;/material&gt;&lt;/flow_mat&gt;&lt;/itemfeedback&gt;"),"")</f>
      </c>
      <c r="BF50" s="46">
        <f>IF($B50,IF(AW50="","","    &lt;itemfeedback ident=""response_3"" view=""All""&gt;&lt;flow_mat&gt;&lt;material&gt;&lt;mattext texttype=""text/html""&gt;"&amp;AW50&amp;"&lt;/mattext&gt;&lt;/material&gt;&lt;/flow_mat&gt;&lt;/itemfeedback&gt;"),"")</f>
      </c>
      <c r="BG50" s="46">
        <f>IF($B50,IF(AX50="","","    &lt;itemfeedback ident=""response_4"" view=""All""&gt;&lt;flow_mat&gt;&lt;material&gt;&lt;mattext texttype=""text/html""&gt;"&amp;AX50&amp;"&lt;/mattext&gt;&lt;/material&gt;&lt;/flow_mat&gt;&lt;/itemfeedback&gt;"),"")</f>
      </c>
      <c r="BH50" s="46">
        <f>IF($B50,IF(AY50="","","    &lt;itemfeedback ident=""response_5"" view=""All""&gt;&lt;flow_mat&gt;&lt;material&gt;&lt;mattext texttype=""text/html""&gt;"&amp;AY50&amp;"&lt;/mattext&gt;&lt;/material&gt;&lt;/flow_mat&gt;&lt;/itemfeedback&gt;"),"")</f>
      </c>
      <c r="BI50" s="46">
        <f>IF($B50,IF(AZ50="","","    &lt;itemfeedback ident=""response_6"" view=""All""&gt;&lt;flow_mat&gt;&lt;material&gt;&lt;mattext texttype=""text/html""&gt;"&amp;AZ50&amp;"&lt;/mattext&gt;&lt;/material&gt;&lt;/flow_mat&gt;&lt;/itemfeedback&gt;"),"")</f>
      </c>
      <c r="BJ50" s="46">
        <f>IF($B50,IF(BA50="","","    &lt;itemfeedback ident=""response_7"" view=""All""&gt;&lt;flow_mat&gt;&lt;material&gt;&lt;mattext texttype=""text/html""&gt;"&amp;BA50&amp;"&lt;/mattext&gt;&lt;/material&gt;&lt;/flow_mat&gt;&lt;/itemfeedback&gt;"),"")</f>
      </c>
    </row>
    <row r="51" ht="18" customHeight="1" s="17">
      <c r="A51" s="46">
        <f>Saisie_Questions!A51</f>
        <v/>
      </c>
      <c r="B51" s="46">
        <f>Saisie_Questions!O51="OK"</f>
        <v/>
      </c>
      <c r="C51" s="46">
        <f>LOWER(TRIM(Saisie_Questions!B51))</f>
        <v/>
      </c>
      <c r="D51" s="46">
        <f>IF(C51="qcu","SINGLE CHOICE QUESTION","MULTIPLE CHOICE QUESTION")</f>
        <v/>
      </c>
      <c r="E51" s="46">
        <f>IF(C51="qcu","Single","Multiple")</f>
        <v/>
      </c>
      <c r="F51" s="46">
        <f>IF(A51="","",SUBSTITUTE(SUBSTITUTE(SUBSTITUTE(SUBSTITUTE(SUBSTITUTE(IF(Saisie_Questions!C51="", "Question "&amp;A51, Saisie_Questions!C51),"&amp;","&amp;amp;"),"&lt;","&amp;lt;"),"&gt;","&amp;gt;"),CHAR(34),"&amp;quot;"),"'","&amp;apos;"))</f>
        <v/>
      </c>
      <c r="G51" s="46">
        <f>IF(A51="","",SUBSTITUTE(SUBSTITUTE(SUBSTITUTE(SUBSTITUTE(SUBSTITUTE(Saisie_Questions!D51,"&amp;","&amp;amp;"),"&lt;","&amp;lt;"),"&gt;","&amp;gt;"),CHAR(34),"&amp;quot;"),"'","&amp;apos;"))</f>
        <v/>
      </c>
      <c r="H51" s="46">
        <f>Saisie_Questions!N51</f>
        <v/>
      </c>
      <c r="I51" s="46">
        <f>IF(Saisie_Questions!E51="",0,1)+IF(Saisie_Questions!F51="",0,1)+IF(Saisie_Questions!G51="",0,1)+IF(Saisie_Questions!H51="",0,1)+IF(Saisie_Questions!I51="",0,1)+IF(Saisie_Questions!J51="",0,1)+IF(Saisie_Questions!K51="",0,1)+IF(Saisie_Questions!L51="",0,1)</f>
        <v/>
      </c>
      <c r="J51" s="46">
        <f>Saisie_Questions!M51</f>
        <v/>
      </c>
      <c r="K51" s="46">
        <f>Saisie_Questions!O51</f>
        <v/>
      </c>
      <c r="L51" s="46">
        <f>IF(Saisie_Questions!E51="","",SUBSTITUTE(SUBSTITUTE(SUBSTITUTE(SUBSTITUTE(SUBSTITUTE(Saisie_Questions!E51,"&amp;","&amp;amp;"),"&lt;","&amp;lt;"),"&gt;","&amp;gt;"),CHAR(34),"&amp;quot;"),"'","&amp;apos;"))</f>
        <v/>
      </c>
      <c r="M51" s="46">
        <f>IF(Saisie_Questions!F51="","",SUBSTITUTE(SUBSTITUTE(SUBSTITUTE(SUBSTITUTE(SUBSTITUTE(Saisie_Questions!F51,"&amp;","&amp;amp;"),"&lt;","&amp;lt;"),"&gt;","&amp;gt;"),CHAR(34),"&amp;quot;"),"'","&amp;apos;"))</f>
        <v/>
      </c>
      <c r="N51" s="46">
        <f>IF(Saisie_Questions!G51="","",SUBSTITUTE(SUBSTITUTE(SUBSTITUTE(SUBSTITUTE(SUBSTITUTE(Saisie_Questions!G51,"&amp;","&amp;amp;"),"&lt;","&amp;lt;"),"&gt;","&amp;gt;"),CHAR(34),"&amp;quot;"),"'","&amp;apos;"))</f>
        <v/>
      </c>
      <c r="O51" s="46">
        <f>IF(Saisie_Questions!H51="","",SUBSTITUTE(SUBSTITUTE(SUBSTITUTE(SUBSTITUTE(SUBSTITUTE(Saisie_Questions!H51,"&amp;","&amp;amp;"),"&lt;","&amp;lt;"),"&gt;","&amp;gt;"),CHAR(34),"&amp;quot;"),"'","&amp;apos;"))</f>
        <v/>
      </c>
      <c r="P51" s="46">
        <f>IF(Saisie_Questions!I51="","",SUBSTITUTE(SUBSTITUTE(SUBSTITUTE(SUBSTITUTE(SUBSTITUTE(Saisie_Questions!I51,"&amp;","&amp;amp;"),"&lt;","&amp;lt;"),"&gt;","&amp;gt;"),CHAR(34),"&amp;quot;"),"'","&amp;apos;"))</f>
        <v/>
      </c>
      <c r="Q51" s="46">
        <f>IF(Saisie_Questions!J51="","",SUBSTITUTE(SUBSTITUTE(SUBSTITUTE(SUBSTITUTE(SUBSTITUTE(Saisie_Questions!J51,"&amp;","&amp;amp;"),"&lt;","&amp;lt;"),"&gt;","&amp;gt;"),CHAR(34),"&amp;quot;"),"'","&amp;apos;"))</f>
        <v/>
      </c>
      <c r="R51" s="46">
        <f>IF(Saisie_Questions!K51="","",SUBSTITUTE(SUBSTITUTE(SUBSTITUTE(SUBSTITUTE(SUBSTITUTE(Saisie_Questions!K51,"&amp;","&amp;amp;"),"&lt;","&amp;lt;"),"&gt;","&amp;gt;"),CHAR(34),"&amp;quot;"),"'","&amp;apos;"))</f>
        <v/>
      </c>
      <c r="S51" s="46">
        <f>IF(Saisie_Questions!L51="","",SUBSTITUTE(SUBSTITUTE(SUBSTITUTE(SUBSTITUTE(SUBSTITUTE(Saisie_Questions!L51,"&amp;","&amp;amp;"),"&lt;","&amp;lt;"),"&gt;","&amp;gt;"),CHAR(34),"&amp;quot;"),"'","&amp;apos;"))</f>
        <v/>
      </c>
      <c r="T51" s="46">
        <f>ISNUMBER(SEARCH(";"&amp;1&amp;";",";"&amp;$J51&amp;";"))</f>
        <v/>
      </c>
      <c r="U51" s="46">
        <f>ISNUMBER(SEARCH(";"&amp;2&amp;";",";"&amp;$J51&amp;";"))</f>
        <v/>
      </c>
      <c r="V51" s="46">
        <f>ISNUMBER(SEARCH(";"&amp;3&amp;";",";"&amp;$J51&amp;";"))</f>
        <v/>
      </c>
      <c r="W51" s="46">
        <f>ISNUMBER(SEARCH(";"&amp;4&amp;";",";"&amp;$J51&amp;";"))</f>
        <v/>
      </c>
      <c r="X51" s="46">
        <f>ISNUMBER(SEARCH(";"&amp;5&amp;";",";"&amp;$J51&amp;";"))</f>
        <v/>
      </c>
      <c r="Y51" s="46">
        <f>ISNUMBER(SEARCH(";"&amp;6&amp;";",";"&amp;$J51&amp;";"))</f>
        <v/>
      </c>
      <c r="Z51" s="46">
        <f>ISNUMBER(SEARCH(";"&amp;7&amp;";",";"&amp;$J51&amp;";"))</f>
        <v/>
      </c>
      <c r="AA51" s="46">
        <f>ISNUMBER(SEARCH(";"&amp;8&amp;";",";"&amp;$J51&amp;";"))</f>
        <v/>
      </c>
      <c r="AB51" s="46">
        <f>IF($B51,IF(L51="","","        &lt;response_label ident=""0""&gt;&lt;material&gt;&lt;mattext texttype=""text/html""&gt;"&amp;L51&amp;"&lt;/mattext&gt;&lt;/material&gt;&lt;/response_label&gt;"),"")</f>
        <v/>
      </c>
      <c r="AC51" s="46">
        <f>IF($B51,IF(M51="","","        &lt;response_label ident=""1""&gt;&lt;material&gt;&lt;mattext texttype=""text/html""&gt;"&amp;M51&amp;"&lt;/mattext&gt;&lt;/material&gt;&lt;/response_label&gt;"),"")</f>
        <v/>
      </c>
      <c r="AD51" s="46">
        <f>IF($B51,IF(N51="","","        &lt;response_label ident=""2""&gt;&lt;material&gt;&lt;mattext texttype=""text/html""&gt;"&amp;N51&amp;"&lt;/mattext&gt;&lt;/material&gt;&lt;/response_label&gt;"),"")</f>
        <v/>
      </c>
      <c r="AE51" s="46">
        <f>IF($B51,IF(O51="","","        &lt;response_label ident=""3""&gt;&lt;material&gt;&lt;mattext texttype=""text/html""&gt;"&amp;O51&amp;"&lt;/mattext&gt;&lt;/material&gt;&lt;/response_label&gt;"),"")</f>
        <v/>
      </c>
      <c r="AF51" s="46">
        <f>IF($B51,IF(P51="","","        &lt;response_label ident=""4""&gt;&lt;material&gt;&lt;mattext texttype=""text/html""&gt;"&amp;P51&amp;"&lt;/mattext&gt;&lt;/material&gt;&lt;/response_label&gt;"),"")</f>
        <v/>
      </c>
      <c r="AG51" s="46">
        <f>IF($B51,IF(Q51="","","        &lt;response_label ident=""5""&gt;&lt;material&gt;&lt;mattext texttype=""text/html""&gt;"&amp;Q51&amp;"&lt;/mattext&gt;&lt;/material&gt;&lt;/response_label&gt;"),"")</f>
        <v/>
      </c>
      <c r="AH51" s="46">
        <f>IF($B51,IF(R51="","","        &lt;response_label ident=""6""&gt;&lt;material&gt;&lt;mattext texttype=""text/html""&gt;"&amp;R51&amp;"&lt;/mattext&gt;&lt;/material&gt;&lt;/response_label&gt;"),"")</f>
        <v/>
      </c>
      <c r="AI51" s="46">
        <f>IF($B51,IF(S51="","","        &lt;response_label ident=""7""&gt;&lt;material&gt;&lt;mattext texttype=""text/html""&gt;"&amp;S51&amp;"&lt;/mattext&gt;&lt;/material&gt;&lt;/response_label&gt;"),"")</f>
        <v/>
      </c>
      <c r="AJ51" s="46">
        <f>IF($B51,IF(L51="","",IF($C51="qcu",IF(OR(T51,AT51&lt;&gt;"",$AS51&lt;&gt;""),"      &lt;respcondition continue=""Yes""&gt;&lt;conditionvar&gt;&lt;varequal respident=""RESPONSE""&gt;0&lt;/varequal&gt;&lt;/conditionvar&gt;"&amp;"&lt;setvar action=""Add""&gt;"&amp;IF(T51,$H51,0)&amp;"&lt;/setvar&gt;"&amp;IF(AT51&lt;&gt;"","&lt;displayfeedback feedbacktype=""Response"" linkrefid=""response_0""/&gt;",IF($AS51&lt;&gt;"","&lt;displayfeedback feedbacktype=""Response"" linkrefid=""qti_feedback_trigger""/&gt;",""))&amp;"&lt;/respcondition&gt;",""),IF(OR(T51,AT51&lt;&gt;"",$AS51&lt;&gt;""),"      &lt;respcondition continue=""Yes""&gt;&lt;conditionvar&gt;"&amp;IF(T51,"&lt;varequal respident=""RESPONSE""&gt;0&lt;/varequal&gt;","&lt;not&gt;&lt;varequal respident=""RESPONSE""&gt;0&lt;/varequal&gt;&lt;/not&gt;")&amp;"&lt;/conditionvar&gt;&lt;setvar action=""Add""&gt;"&amp;(Saisie_Questions!$N51/$I51)&amp;"&lt;/setvar&gt;"&amp;IF(AT51&lt;&gt;"","&lt;displayfeedback feedbacktype=""Response"" linkrefid=""response_0""/&gt;",IF($AS51&lt;&gt;"","&lt;displayfeedback feedbacktype=""Response"" linkrefid=""qti_feedback_trigger""/&gt;",""))&amp;"&lt;/respcondition&gt;",""))),"")</f>
      </c>
      <c r="AK51" s="46">
        <f>IF($B51,IF(M51="","",IF($C51="qcu",IF(OR(U51,AU51&lt;&gt;"",$AS51&lt;&gt;""),"      &lt;respcondition continue=""Yes""&gt;&lt;conditionvar&gt;&lt;varequal respident=""RESPONSE""&gt;1&lt;/varequal&gt;&lt;/conditionvar&gt;"&amp;"&lt;setvar action=""Add""&gt;"&amp;IF(U51,$H51,0)&amp;"&lt;/setvar&gt;"&amp;IF(AU51&lt;&gt;"","&lt;displayfeedback feedbacktype=""Response"" linkrefid=""response_1""/&gt;",IF($AS51&lt;&gt;"","&lt;displayfeedback feedbacktype=""Response"" linkrefid=""qti_feedback_trigger""/&gt;",""))&amp;"&lt;/respcondition&gt;",""),IF(OR(U51,AU51&lt;&gt;"",$AS51&lt;&gt;""),"      &lt;respcondition continue=""Yes""&gt;&lt;conditionvar&gt;"&amp;IF(U51,"&lt;varequal respident=""RESPONSE""&gt;1&lt;/varequal&gt;","&lt;not&gt;&lt;varequal respident=""RESPONSE""&gt;1&lt;/varequal&gt;&lt;/not&gt;")&amp;"&lt;/conditionvar&gt;&lt;setvar action=""Add""&gt;"&amp;(Saisie_Questions!$N51/$I51)&amp;"&lt;/setvar&gt;"&amp;IF(AU51&lt;&gt;"","&lt;displayfeedback feedbacktype=""Response"" linkrefid=""response_1""/&gt;",IF($AS51&lt;&gt;"","&lt;displayfeedback feedbacktype=""Response"" linkrefid=""qti_feedback_trigger""/&gt;",""))&amp;"&lt;/respcondition&gt;",""))),"")</f>
      </c>
      <c r="AL51" s="46">
        <f>IF($B51,IF(N51="","",IF($C51="qcu",IF(OR(V51,AV51&lt;&gt;"",$AS51&lt;&gt;""),"      &lt;respcondition continue=""Yes""&gt;&lt;conditionvar&gt;&lt;varequal respident=""RESPONSE""&gt;2&lt;/varequal&gt;&lt;/conditionvar&gt;"&amp;"&lt;setvar action=""Add""&gt;"&amp;IF(V51,$H51,0)&amp;"&lt;/setvar&gt;"&amp;IF(AV51&lt;&gt;"","&lt;displayfeedback feedbacktype=""Response"" linkrefid=""response_2""/&gt;",IF($AS51&lt;&gt;"","&lt;displayfeedback feedbacktype=""Response"" linkrefid=""qti_feedback_trigger""/&gt;",""))&amp;"&lt;/respcondition&gt;",""),IF(OR(V51,AV51&lt;&gt;"",$AS51&lt;&gt;""),"      &lt;respcondition continue=""Yes""&gt;&lt;conditionvar&gt;"&amp;IF(V51,"&lt;varequal respident=""RESPONSE""&gt;2&lt;/varequal&gt;","&lt;not&gt;&lt;varequal respident=""RESPONSE""&gt;2&lt;/varequal&gt;&lt;/not&gt;")&amp;"&lt;/conditionvar&gt;&lt;setvar action=""Add""&gt;"&amp;(Saisie_Questions!$N51/$I51)&amp;"&lt;/setvar&gt;"&amp;IF(AV51&lt;&gt;"","&lt;displayfeedback feedbacktype=""Response"" linkrefid=""response_2""/&gt;",IF($AS51&lt;&gt;"","&lt;displayfeedback feedbacktype=""Response"" linkrefid=""qti_feedback_trigger""/&gt;",""))&amp;"&lt;/respcondition&gt;",""))),"")</f>
      </c>
      <c r="AM51" s="46">
        <f>IF($B51,IF(O51="","",IF($C51="qcu",IF(OR(W51,AW51&lt;&gt;"",$AS51&lt;&gt;""),"      &lt;respcondition continue=""Yes""&gt;&lt;conditionvar&gt;&lt;varequal respident=""RESPONSE""&gt;3&lt;/varequal&gt;&lt;/conditionvar&gt;"&amp;"&lt;setvar action=""Add""&gt;"&amp;IF(W51,$H51,0)&amp;"&lt;/setvar&gt;"&amp;IF(AW51&lt;&gt;"","&lt;displayfeedback feedbacktype=""Response"" linkrefid=""response_3""/&gt;",IF($AS51&lt;&gt;"","&lt;displayfeedback feedbacktype=""Response"" linkrefid=""qti_feedback_trigger""/&gt;",""))&amp;"&lt;/respcondition&gt;",""),IF(OR(W51,AW51&lt;&gt;"",$AS51&lt;&gt;""),"      &lt;respcondition continue=""Yes""&gt;&lt;conditionvar&gt;"&amp;IF(W51,"&lt;varequal respident=""RESPONSE""&gt;3&lt;/varequal&gt;","&lt;not&gt;&lt;varequal respident=""RESPONSE""&gt;3&lt;/varequal&gt;&lt;/not&gt;")&amp;"&lt;/conditionvar&gt;&lt;setvar action=""Add""&gt;"&amp;(Saisie_Questions!$N51/$I51)&amp;"&lt;/setvar&gt;"&amp;IF(AW51&lt;&gt;"","&lt;displayfeedback feedbacktype=""Response"" linkrefid=""response_3""/&gt;",IF($AS51&lt;&gt;"","&lt;displayfeedback feedbacktype=""Response"" linkrefid=""qti_feedback_trigger""/&gt;",""))&amp;"&lt;/respcondition&gt;",""))),"")</f>
      </c>
      <c r="AN51" s="46">
        <f>IF($B51,IF(P51="","",IF($C51="qcu",IF(OR(X51,AX51&lt;&gt;"",$AS51&lt;&gt;""),"      &lt;respcondition continue=""Yes""&gt;&lt;conditionvar&gt;&lt;varequal respident=""RESPONSE""&gt;4&lt;/varequal&gt;&lt;/conditionvar&gt;"&amp;"&lt;setvar action=""Add""&gt;"&amp;IF(X51,$H51,0)&amp;"&lt;/setvar&gt;"&amp;IF(AX51&lt;&gt;"","&lt;displayfeedback feedbacktype=""Response"" linkrefid=""response_4""/&gt;",IF($AS51&lt;&gt;"","&lt;displayfeedback feedbacktype=""Response"" linkrefid=""qti_feedback_trigger""/&gt;",""))&amp;"&lt;/respcondition&gt;",""),IF(OR(X51,AX51&lt;&gt;"",$AS51&lt;&gt;""),"      &lt;respcondition continue=""Yes""&gt;&lt;conditionvar&gt;"&amp;IF(X51,"&lt;varequal respident=""RESPONSE""&gt;4&lt;/varequal&gt;","&lt;not&gt;&lt;varequal respident=""RESPONSE""&gt;4&lt;/varequal&gt;&lt;/not&gt;")&amp;"&lt;/conditionvar&gt;&lt;setvar action=""Add""&gt;"&amp;(Saisie_Questions!$N51/$I51)&amp;"&lt;/setvar&gt;"&amp;IF(AX51&lt;&gt;"","&lt;displayfeedback feedbacktype=""Response"" linkrefid=""response_4""/&gt;",IF($AS51&lt;&gt;"","&lt;displayfeedback feedbacktype=""Response"" linkrefid=""qti_feedback_trigger""/&gt;",""))&amp;"&lt;/respcondition&gt;",""))),"")</f>
      </c>
      <c r="AO51" s="46">
        <f>IF($B51,IF(Q51="","",IF($C51="qcu",IF(OR(Y51,AY51&lt;&gt;"",$AS51&lt;&gt;""),"      &lt;respcondition continue=""Yes""&gt;&lt;conditionvar&gt;&lt;varequal respident=""RESPONSE""&gt;5&lt;/varequal&gt;&lt;/conditionvar&gt;"&amp;"&lt;setvar action=""Add""&gt;"&amp;IF(Y51,$H51,0)&amp;"&lt;/setvar&gt;"&amp;IF(AY51&lt;&gt;"","&lt;displayfeedback feedbacktype=""Response"" linkrefid=""response_5""/&gt;",IF($AS51&lt;&gt;"","&lt;displayfeedback feedbacktype=""Response"" linkrefid=""qti_feedback_trigger""/&gt;",""))&amp;"&lt;/respcondition&gt;",""),IF(OR(Y51,AY51&lt;&gt;"",$AS51&lt;&gt;""),"      &lt;respcondition continue=""Yes""&gt;&lt;conditionvar&gt;"&amp;IF(Y51,"&lt;varequal respident=""RESPONSE""&gt;5&lt;/varequal&gt;","&lt;not&gt;&lt;varequal respident=""RESPONSE""&gt;5&lt;/varequal&gt;&lt;/not&gt;")&amp;"&lt;/conditionvar&gt;&lt;setvar action=""Add""&gt;"&amp;(Saisie_Questions!$N51/$I51)&amp;"&lt;/setvar&gt;"&amp;IF(AY51&lt;&gt;"","&lt;displayfeedback feedbacktype=""Response"" linkrefid=""response_5""/&gt;",IF($AS51&lt;&gt;"","&lt;displayfeedback feedbacktype=""Response"" linkrefid=""qti_feedback_trigger""/&gt;",""))&amp;"&lt;/respcondition&gt;",""))),"")</f>
      </c>
      <c r="AP51" s="46">
        <f>IF($B51,IF(R51="","",IF($C51="qcu",IF(OR(Z51,AZ51&lt;&gt;"",$AS51&lt;&gt;""),"      &lt;respcondition continue=""Yes""&gt;&lt;conditionvar&gt;&lt;varequal respident=""RESPONSE""&gt;6&lt;/varequal&gt;&lt;/conditionvar&gt;"&amp;"&lt;setvar action=""Add""&gt;"&amp;IF(Z51,$H51,0)&amp;"&lt;/setvar&gt;"&amp;IF(AZ51&lt;&gt;"","&lt;displayfeedback feedbacktype=""Response"" linkrefid=""response_6""/&gt;",IF($AS51&lt;&gt;"","&lt;displayfeedback feedbacktype=""Response"" linkrefid=""qti_feedback_trigger""/&gt;",""))&amp;"&lt;/respcondition&gt;",""),IF(OR(Z51,AZ51&lt;&gt;"",$AS51&lt;&gt;""),"      &lt;respcondition continue=""Yes""&gt;&lt;conditionvar&gt;"&amp;IF(Z51,"&lt;varequal respident=""RESPONSE""&gt;6&lt;/varequal&gt;","&lt;not&gt;&lt;varequal respident=""RESPONSE""&gt;6&lt;/varequal&gt;&lt;/not&gt;")&amp;"&lt;/conditionvar&gt;&lt;setvar action=""Add""&gt;"&amp;(Saisie_Questions!$N51/$I51)&amp;"&lt;/setvar&gt;"&amp;IF(AZ51&lt;&gt;"","&lt;displayfeedback feedbacktype=""Response"" linkrefid=""response_6""/&gt;",IF($AS51&lt;&gt;"","&lt;displayfeedback feedbacktype=""Response"" linkrefid=""qti_feedback_trigger""/&gt;",""))&amp;"&lt;/respcondition&gt;",""))),"")</f>
      </c>
      <c r="AQ51" s="46">
        <f>IF($B51,IF(S51="","",IF($C51="qcu",IF(OR(AA51,BA51&lt;&gt;"",$AS51&lt;&gt;""),"      &lt;respcondition continue=""Yes""&gt;&lt;conditionvar&gt;&lt;varequal respident=""RESPONSE""&gt;7&lt;/varequal&gt;&lt;/conditionvar&gt;"&amp;"&lt;setvar action=""Add""&gt;"&amp;IF(AA51,$H51,0)&amp;"&lt;/setvar&gt;"&amp;IF(BA51&lt;&gt;"","&lt;displayfeedback feedbacktype=""Response"" linkrefid=""response_7""/&gt;",IF($AS51&lt;&gt;"","&lt;displayfeedback feedbacktype=""Response"" linkrefid=""qti_feedback_trigger""/&gt;",""))&amp;"&lt;/respcondition&gt;",""),IF(OR(AA51,BA51&lt;&gt;"",$AS51&lt;&gt;""),"      &lt;respcondition continue=""Yes""&gt;&lt;conditionvar&gt;"&amp;IF(AA51,"&lt;varequal respident=""RESPONSE""&gt;7&lt;/varequal&gt;","&lt;not&gt;&lt;varequal respident=""RESPONSE""&gt;7&lt;/varequal&gt;&lt;/not&gt;")&amp;"&lt;/conditionvar&gt;&lt;setvar action=""Add""&gt;"&amp;(Saisie_Questions!$N51/$I51)&amp;"&lt;/setvar&gt;"&amp;IF(BA51&lt;&gt;"","&lt;displayfeedback feedbacktype=""Response"" linkrefid=""response_7""/&gt;",IF($AS51&lt;&gt;"","&lt;displayfeedback feedbacktype=""Response"" linkrefid=""qti_feedback_trigger""/&gt;",""))&amp;"&lt;/respcondition&gt;",""))),"")</f>
      </c>
      <c r="AR51" s="46">
        <f>IF(A51="","",SUBSTITUTE(SUBSTITUTE(SUBSTITUTE(SUBSTITUTE(SUBSTITUTE(IF(Saisie_Questions!P51&lt;&gt;"",Saisie_Questions!P51,Interface_Generation!$B$5),"&amp;","&amp;amp;"),"&lt;","&amp;lt;"),"&gt;","&amp;gt;"),CHAR(34),"&amp;quot;"),"'","&amp;apos;"))</f>
        <v/>
      </c>
      <c r="AS51" s="46">
        <f>IF(Saisie_Questions!Q51="","",SUBSTITUTE(SUBSTITUTE(SUBSTITUTE(SUBSTITUTE(SUBSTITUTE(Saisie_Questions!Q51,"&amp;","&amp;amp;"),"&lt;","&amp;lt;"),"&gt;","&amp;gt;"),CHAR(34),"&amp;quot;"),"'","&amp;apos;"))</f>
        <v/>
      </c>
      <c r="AT51" s="46">
        <f>IF(Saisie_Questions!R51="","",SUBSTITUTE(SUBSTITUTE(SUBSTITUTE(SUBSTITUTE(SUBSTITUTE(Saisie_Questions!R51,"&amp;","&amp;amp;"),"&lt;","&amp;lt;"),"&gt;","&amp;gt;"),CHAR(34),"&amp;quot;"),"'","&amp;apos;"))</f>
        <v/>
      </c>
      <c r="AU51" s="46">
        <f>IF(Saisie_Questions!S51="","",SUBSTITUTE(SUBSTITUTE(SUBSTITUTE(SUBSTITUTE(SUBSTITUTE(Saisie_Questions!S51,"&amp;","&amp;amp;"),"&lt;","&amp;lt;"),"&gt;","&amp;gt;"),CHAR(34),"&amp;quot;"),"'","&amp;apos;"))</f>
        <v/>
      </c>
      <c r="AV51" s="46">
        <f>IF(Saisie_Questions!T51="","",SUBSTITUTE(SUBSTITUTE(SUBSTITUTE(SUBSTITUTE(SUBSTITUTE(Saisie_Questions!T51,"&amp;","&amp;amp;"),"&lt;","&amp;lt;"),"&gt;","&amp;gt;"),CHAR(34),"&amp;quot;"),"'","&amp;apos;"))</f>
        <v/>
      </c>
      <c r="AW51" s="46">
        <f>IF(Saisie_Questions!U51="","",SUBSTITUTE(SUBSTITUTE(SUBSTITUTE(SUBSTITUTE(SUBSTITUTE(Saisie_Questions!U51,"&amp;","&amp;amp;"),"&lt;","&amp;lt;"),"&gt;","&amp;gt;"),CHAR(34),"&amp;quot;"),"'","&amp;apos;"))</f>
        <v/>
      </c>
      <c r="AX51" s="46">
        <f>IF(Saisie_Questions!V51="","",SUBSTITUTE(SUBSTITUTE(SUBSTITUTE(SUBSTITUTE(SUBSTITUTE(Saisie_Questions!V51,"&amp;","&amp;amp;"),"&lt;","&amp;lt;"),"&gt;","&amp;gt;"),CHAR(34),"&amp;quot;"),"'","&amp;apos;"))</f>
        <v/>
      </c>
      <c r="AY51" s="46">
        <f>IF(Saisie_Questions!W51="","",SUBSTITUTE(SUBSTITUTE(SUBSTITUTE(SUBSTITUTE(SUBSTITUTE(Saisie_Questions!W51,"&amp;","&amp;amp;"),"&lt;","&amp;lt;"),"&gt;","&amp;gt;"),CHAR(34),"&amp;quot;"),"'","&amp;apos;"))</f>
        <v/>
      </c>
      <c r="AZ51" s="46">
        <f>IF(Saisie_Questions!X51="","",SUBSTITUTE(SUBSTITUTE(SUBSTITUTE(SUBSTITUTE(SUBSTITUTE(Saisie_Questions!X51,"&amp;","&amp;amp;"),"&lt;","&amp;lt;"),"&gt;","&amp;gt;"),CHAR(34),"&amp;quot;"),"'","&amp;apos;"))</f>
        <v/>
      </c>
      <c r="BA51" s="46">
        <f>IF(Saisie_Questions!Y51="","",SUBSTITUTE(SUBSTITUTE(SUBSTITUTE(SUBSTITUTE(SUBSTITUTE(Saisie_Questions!Y51,"&amp;","&amp;amp;"),"&lt;","&amp;lt;"),"&gt;","&amp;gt;"),CHAR(34),"&amp;quot;"),"'","&amp;apos;"))</f>
        <v/>
      </c>
      <c r="BB51" s="46">
        <f>IF($B51,IF($AS51="","","    &lt;itemfeedback ident=""response_allcorrect"" view=""All""&gt;&lt;flow_mat&gt;&lt;material&gt;&lt;mattext texttype=""text/html""&gt;"&amp;$AS51&amp;"&lt;/mattext&gt;&lt;/material&gt;&lt;/flow_mat&gt;&lt;/itemfeedback&gt;"&amp;"    &lt;itemfeedback ident=""response_onenotcorrect"" view=""All""&gt;&lt;flow_mat&gt;&lt;material&gt;&lt;mattext texttype=""text/html""&gt;"&amp;$AS51&amp;"&lt;/mattext&gt;&lt;/material&gt;&lt;/flow_mat&gt;&lt;/itemfeedback&gt;"),"")</f>
      </c>
      <c r="BC51" s="46">
        <f>IF($B51,IF(AT51="","","    &lt;itemfeedback ident=""response_0"" view=""All""&gt;&lt;flow_mat&gt;&lt;material&gt;&lt;mattext texttype=""text/html""&gt;"&amp;AT51&amp;"&lt;/mattext&gt;&lt;/material&gt;&lt;/flow_mat&gt;&lt;/itemfeedback&gt;"),"")</f>
      </c>
      <c r="BD51" s="46">
        <f>IF($B51,IF(AU51="","","    &lt;itemfeedback ident=""response_1"" view=""All""&gt;&lt;flow_mat&gt;&lt;material&gt;&lt;mattext texttype=""text/html""&gt;"&amp;AU51&amp;"&lt;/mattext&gt;&lt;/material&gt;&lt;/flow_mat&gt;&lt;/itemfeedback&gt;"),"")</f>
      </c>
      <c r="BE51" s="46">
        <f>IF($B51,IF(AV51="","","    &lt;itemfeedback ident=""response_2"" view=""All""&gt;&lt;flow_mat&gt;&lt;material&gt;&lt;mattext texttype=""text/html""&gt;"&amp;AV51&amp;"&lt;/mattext&gt;&lt;/material&gt;&lt;/flow_mat&gt;&lt;/itemfeedback&gt;"),"")</f>
      </c>
      <c r="BF51" s="46">
        <f>IF($B51,IF(AW51="","","    &lt;itemfeedback ident=""response_3"" view=""All""&gt;&lt;flow_mat&gt;&lt;material&gt;&lt;mattext texttype=""text/html""&gt;"&amp;AW51&amp;"&lt;/mattext&gt;&lt;/material&gt;&lt;/flow_mat&gt;&lt;/itemfeedback&gt;"),"")</f>
      </c>
      <c r="BG51" s="46">
        <f>IF($B51,IF(AX51="","","    &lt;itemfeedback ident=""response_4"" view=""All""&gt;&lt;flow_mat&gt;&lt;material&gt;&lt;mattext texttype=""text/html""&gt;"&amp;AX51&amp;"&lt;/mattext&gt;&lt;/material&gt;&lt;/flow_mat&gt;&lt;/itemfeedback&gt;"),"")</f>
      </c>
      <c r="BH51" s="46">
        <f>IF($B51,IF(AY51="","","    &lt;itemfeedback ident=""response_5"" view=""All""&gt;&lt;flow_mat&gt;&lt;material&gt;&lt;mattext texttype=""text/html""&gt;"&amp;AY51&amp;"&lt;/mattext&gt;&lt;/material&gt;&lt;/flow_mat&gt;&lt;/itemfeedback&gt;"),"")</f>
      </c>
      <c r="BI51" s="46">
        <f>IF($B51,IF(AZ51="","","    &lt;itemfeedback ident=""response_6"" view=""All""&gt;&lt;flow_mat&gt;&lt;material&gt;&lt;mattext texttype=""text/html""&gt;"&amp;AZ51&amp;"&lt;/mattext&gt;&lt;/material&gt;&lt;/flow_mat&gt;&lt;/itemfeedback&gt;"),"")</f>
      </c>
      <c r="BJ51" s="46">
        <f>IF($B51,IF(BA51="","","    &lt;itemfeedback ident=""response_7"" view=""All""&gt;&lt;flow_mat&gt;&lt;material&gt;&lt;mattext texttype=""text/html""&gt;"&amp;BA51&amp;"&lt;/mattext&gt;&lt;/material&gt;&lt;/flow_mat&gt;&lt;/itemfeedback&gt;"),"")</f>
      </c>
    </row>
    <row r="52" ht="18" customHeight="1" s="17">
      <c r="A52" s="46">
        <f>Saisie_Questions!A52</f>
        <v/>
      </c>
      <c r="B52" s="46">
        <f>Saisie_Questions!O52="OK"</f>
        <v/>
      </c>
      <c r="C52" s="46">
        <f>LOWER(TRIM(Saisie_Questions!B52))</f>
        <v/>
      </c>
      <c r="D52" s="46">
        <f>IF(C52="qcu","SINGLE CHOICE QUESTION","MULTIPLE CHOICE QUESTION")</f>
        <v/>
      </c>
      <c r="E52" s="46">
        <f>IF(C52="qcu","Single","Multiple")</f>
        <v/>
      </c>
      <c r="F52" s="46">
        <f>IF(A52="","",SUBSTITUTE(SUBSTITUTE(SUBSTITUTE(SUBSTITUTE(SUBSTITUTE(IF(Saisie_Questions!C52="", "Question "&amp;A52, Saisie_Questions!C52),"&amp;","&amp;amp;"),"&lt;","&amp;lt;"),"&gt;","&amp;gt;"),CHAR(34),"&amp;quot;"),"'","&amp;apos;"))</f>
        <v/>
      </c>
      <c r="G52" s="46">
        <f>IF(A52="","",SUBSTITUTE(SUBSTITUTE(SUBSTITUTE(SUBSTITUTE(SUBSTITUTE(Saisie_Questions!D52,"&amp;","&amp;amp;"),"&lt;","&amp;lt;"),"&gt;","&amp;gt;"),CHAR(34),"&amp;quot;"),"'","&amp;apos;"))</f>
        <v/>
      </c>
      <c r="H52" s="46">
        <f>Saisie_Questions!N52</f>
        <v/>
      </c>
      <c r="I52" s="46">
        <f>IF(Saisie_Questions!E52="",0,1)+IF(Saisie_Questions!F52="",0,1)+IF(Saisie_Questions!G52="",0,1)+IF(Saisie_Questions!H52="",0,1)+IF(Saisie_Questions!I52="",0,1)+IF(Saisie_Questions!J52="",0,1)+IF(Saisie_Questions!K52="",0,1)+IF(Saisie_Questions!L52="",0,1)</f>
        <v/>
      </c>
      <c r="J52" s="46">
        <f>Saisie_Questions!M52</f>
        <v/>
      </c>
      <c r="K52" s="46">
        <f>Saisie_Questions!O52</f>
        <v/>
      </c>
      <c r="L52" s="46">
        <f>IF(Saisie_Questions!E52="","",SUBSTITUTE(SUBSTITUTE(SUBSTITUTE(SUBSTITUTE(SUBSTITUTE(Saisie_Questions!E52,"&amp;","&amp;amp;"),"&lt;","&amp;lt;"),"&gt;","&amp;gt;"),CHAR(34),"&amp;quot;"),"'","&amp;apos;"))</f>
        <v/>
      </c>
      <c r="M52" s="46">
        <f>IF(Saisie_Questions!F52="","",SUBSTITUTE(SUBSTITUTE(SUBSTITUTE(SUBSTITUTE(SUBSTITUTE(Saisie_Questions!F52,"&amp;","&amp;amp;"),"&lt;","&amp;lt;"),"&gt;","&amp;gt;"),CHAR(34),"&amp;quot;"),"'","&amp;apos;"))</f>
        <v/>
      </c>
      <c r="N52" s="46">
        <f>IF(Saisie_Questions!G52="","",SUBSTITUTE(SUBSTITUTE(SUBSTITUTE(SUBSTITUTE(SUBSTITUTE(Saisie_Questions!G52,"&amp;","&amp;amp;"),"&lt;","&amp;lt;"),"&gt;","&amp;gt;"),CHAR(34),"&amp;quot;"),"'","&amp;apos;"))</f>
        <v/>
      </c>
      <c r="O52" s="46">
        <f>IF(Saisie_Questions!H52="","",SUBSTITUTE(SUBSTITUTE(SUBSTITUTE(SUBSTITUTE(SUBSTITUTE(Saisie_Questions!H52,"&amp;","&amp;amp;"),"&lt;","&amp;lt;"),"&gt;","&amp;gt;"),CHAR(34),"&amp;quot;"),"'","&amp;apos;"))</f>
        <v/>
      </c>
      <c r="P52" s="46">
        <f>IF(Saisie_Questions!I52="","",SUBSTITUTE(SUBSTITUTE(SUBSTITUTE(SUBSTITUTE(SUBSTITUTE(Saisie_Questions!I52,"&amp;","&amp;amp;"),"&lt;","&amp;lt;"),"&gt;","&amp;gt;"),CHAR(34),"&amp;quot;"),"'","&amp;apos;"))</f>
        <v/>
      </c>
      <c r="Q52" s="46">
        <f>IF(Saisie_Questions!J52="","",SUBSTITUTE(SUBSTITUTE(SUBSTITUTE(SUBSTITUTE(SUBSTITUTE(Saisie_Questions!J52,"&amp;","&amp;amp;"),"&lt;","&amp;lt;"),"&gt;","&amp;gt;"),CHAR(34),"&amp;quot;"),"'","&amp;apos;"))</f>
        <v/>
      </c>
      <c r="R52" s="46">
        <f>IF(Saisie_Questions!K52="","",SUBSTITUTE(SUBSTITUTE(SUBSTITUTE(SUBSTITUTE(SUBSTITUTE(Saisie_Questions!K52,"&amp;","&amp;amp;"),"&lt;","&amp;lt;"),"&gt;","&amp;gt;"),CHAR(34),"&amp;quot;"),"'","&amp;apos;"))</f>
        <v/>
      </c>
      <c r="S52" s="46">
        <f>IF(Saisie_Questions!L52="","",SUBSTITUTE(SUBSTITUTE(SUBSTITUTE(SUBSTITUTE(SUBSTITUTE(Saisie_Questions!L52,"&amp;","&amp;amp;"),"&lt;","&amp;lt;"),"&gt;","&amp;gt;"),CHAR(34),"&amp;quot;"),"'","&amp;apos;"))</f>
        <v/>
      </c>
      <c r="T52" s="46">
        <f>ISNUMBER(SEARCH(";"&amp;1&amp;";",";"&amp;$J52&amp;";"))</f>
        <v/>
      </c>
      <c r="U52" s="46">
        <f>ISNUMBER(SEARCH(";"&amp;2&amp;";",";"&amp;$J52&amp;";"))</f>
        <v/>
      </c>
      <c r="V52" s="46">
        <f>ISNUMBER(SEARCH(";"&amp;3&amp;";",";"&amp;$J52&amp;";"))</f>
        <v/>
      </c>
      <c r="W52" s="46">
        <f>ISNUMBER(SEARCH(";"&amp;4&amp;";",";"&amp;$J52&amp;";"))</f>
        <v/>
      </c>
      <c r="X52" s="46">
        <f>ISNUMBER(SEARCH(";"&amp;5&amp;";",";"&amp;$J52&amp;";"))</f>
        <v/>
      </c>
      <c r="Y52" s="46">
        <f>ISNUMBER(SEARCH(";"&amp;6&amp;";",";"&amp;$J52&amp;";"))</f>
        <v/>
      </c>
      <c r="Z52" s="46">
        <f>ISNUMBER(SEARCH(";"&amp;7&amp;";",";"&amp;$J52&amp;";"))</f>
        <v/>
      </c>
      <c r="AA52" s="46">
        <f>ISNUMBER(SEARCH(";"&amp;8&amp;";",";"&amp;$J52&amp;";"))</f>
        <v/>
      </c>
      <c r="AB52" s="46">
        <f>IF($B52,IF(L52="","","        &lt;response_label ident=""0""&gt;&lt;material&gt;&lt;mattext texttype=""text/html""&gt;"&amp;L52&amp;"&lt;/mattext&gt;&lt;/material&gt;&lt;/response_label&gt;"),"")</f>
        <v/>
      </c>
      <c r="AC52" s="46">
        <f>IF($B52,IF(M52="","","        &lt;response_label ident=""1""&gt;&lt;material&gt;&lt;mattext texttype=""text/html""&gt;"&amp;M52&amp;"&lt;/mattext&gt;&lt;/material&gt;&lt;/response_label&gt;"),"")</f>
        <v/>
      </c>
      <c r="AD52" s="46">
        <f>IF($B52,IF(N52="","","        &lt;response_label ident=""2""&gt;&lt;material&gt;&lt;mattext texttype=""text/html""&gt;"&amp;N52&amp;"&lt;/mattext&gt;&lt;/material&gt;&lt;/response_label&gt;"),"")</f>
        <v/>
      </c>
      <c r="AE52" s="46">
        <f>IF($B52,IF(O52="","","        &lt;response_label ident=""3""&gt;&lt;material&gt;&lt;mattext texttype=""text/html""&gt;"&amp;O52&amp;"&lt;/mattext&gt;&lt;/material&gt;&lt;/response_label&gt;"),"")</f>
        <v/>
      </c>
      <c r="AF52" s="46">
        <f>IF($B52,IF(P52="","","        &lt;response_label ident=""4""&gt;&lt;material&gt;&lt;mattext texttype=""text/html""&gt;"&amp;P52&amp;"&lt;/mattext&gt;&lt;/material&gt;&lt;/response_label&gt;"),"")</f>
        <v/>
      </c>
      <c r="AG52" s="46">
        <f>IF($B52,IF(Q52="","","        &lt;response_label ident=""5""&gt;&lt;material&gt;&lt;mattext texttype=""text/html""&gt;"&amp;Q52&amp;"&lt;/mattext&gt;&lt;/material&gt;&lt;/response_label&gt;"),"")</f>
        <v/>
      </c>
      <c r="AH52" s="46">
        <f>IF($B52,IF(R52="","","        &lt;response_label ident=""6""&gt;&lt;material&gt;&lt;mattext texttype=""text/html""&gt;"&amp;R52&amp;"&lt;/mattext&gt;&lt;/material&gt;&lt;/response_label&gt;"),"")</f>
        <v/>
      </c>
      <c r="AI52" s="46">
        <f>IF($B52,IF(S52="","","        &lt;response_label ident=""7""&gt;&lt;material&gt;&lt;mattext texttype=""text/html""&gt;"&amp;S52&amp;"&lt;/mattext&gt;&lt;/material&gt;&lt;/response_label&gt;"),"")</f>
        <v/>
      </c>
      <c r="AJ52" s="46">
        <f>IF($B52,IF(L52="","",IF($C52="qcu",IF(OR(T52,AT52&lt;&gt;"",$AS52&lt;&gt;""),"      &lt;respcondition continue=""Yes""&gt;&lt;conditionvar&gt;&lt;varequal respident=""RESPONSE""&gt;0&lt;/varequal&gt;&lt;/conditionvar&gt;"&amp;"&lt;setvar action=""Add""&gt;"&amp;IF(T52,$H52,0)&amp;"&lt;/setvar&gt;"&amp;IF(AT52&lt;&gt;"","&lt;displayfeedback feedbacktype=""Response"" linkrefid=""response_0""/&gt;",IF($AS52&lt;&gt;"","&lt;displayfeedback feedbacktype=""Response"" linkrefid=""qti_feedback_trigger""/&gt;",""))&amp;"&lt;/respcondition&gt;",""),IF(OR(T52,AT52&lt;&gt;"",$AS52&lt;&gt;""),"      &lt;respcondition continue=""Yes""&gt;&lt;conditionvar&gt;"&amp;IF(T52,"&lt;varequal respident=""RESPONSE""&gt;0&lt;/varequal&gt;","&lt;not&gt;&lt;varequal respident=""RESPONSE""&gt;0&lt;/varequal&gt;&lt;/not&gt;")&amp;"&lt;/conditionvar&gt;&lt;setvar action=""Add""&gt;"&amp;(Saisie_Questions!$N52/$I52)&amp;"&lt;/setvar&gt;"&amp;IF(AT52&lt;&gt;"","&lt;displayfeedback feedbacktype=""Response"" linkrefid=""response_0""/&gt;",IF($AS52&lt;&gt;"","&lt;displayfeedback feedbacktype=""Response"" linkrefid=""qti_feedback_trigger""/&gt;",""))&amp;"&lt;/respcondition&gt;",""))),"")</f>
      </c>
      <c r="AK52" s="46">
        <f>IF($B52,IF(M52="","",IF($C52="qcu",IF(OR(U52,AU52&lt;&gt;"",$AS52&lt;&gt;""),"      &lt;respcondition continue=""Yes""&gt;&lt;conditionvar&gt;&lt;varequal respident=""RESPONSE""&gt;1&lt;/varequal&gt;&lt;/conditionvar&gt;"&amp;"&lt;setvar action=""Add""&gt;"&amp;IF(U52,$H52,0)&amp;"&lt;/setvar&gt;"&amp;IF(AU52&lt;&gt;"","&lt;displayfeedback feedbacktype=""Response"" linkrefid=""response_1""/&gt;",IF($AS52&lt;&gt;"","&lt;displayfeedback feedbacktype=""Response"" linkrefid=""qti_feedback_trigger""/&gt;",""))&amp;"&lt;/respcondition&gt;",""),IF(OR(U52,AU52&lt;&gt;"",$AS52&lt;&gt;""),"      &lt;respcondition continue=""Yes""&gt;&lt;conditionvar&gt;"&amp;IF(U52,"&lt;varequal respident=""RESPONSE""&gt;1&lt;/varequal&gt;","&lt;not&gt;&lt;varequal respident=""RESPONSE""&gt;1&lt;/varequal&gt;&lt;/not&gt;")&amp;"&lt;/conditionvar&gt;&lt;setvar action=""Add""&gt;"&amp;(Saisie_Questions!$N52/$I52)&amp;"&lt;/setvar&gt;"&amp;IF(AU52&lt;&gt;"","&lt;displayfeedback feedbacktype=""Response"" linkrefid=""response_1""/&gt;",IF($AS52&lt;&gt;"","&lt;displayfeedback feedbacktype=""Response"" linkrefid=""qti_feedback_trigger""/&gt;",""))&amp;"&lt;/respcondition&gt;",""))),"")</f>
      </c>
      <c r="AL52" s="46">
        <f>IF($B52,IF(N52="","",IF($C52="qcu",IF(OR(V52,AV52&lt;&gt;"",$AS52&lt;&gt;""),"      &lt;respcondition continue=""Yes""&gt;&lt;conditionvar&gt;&lt;varequal respident=""RESPONSE""&gt;2&lt;/varequal&gt;&lt;/conditionvar&gt;"&amp;"&lt;setvar action=""Add""&gt;"&amp;IF(V52,$H52,0)&amp;"&lt;/setvar&gt;"&amp;IF(AV52&lt;&gt;"","&lt;displayfeedback feedbacktype=""Response"" linkrefid=""response_2""/&gt;",IF($AS52&lt;&gt;"","&lt;displayfeedback feedbacktype=""Response"" linkrefid=""qti_feedback_trigger""/&gt;",""))&amp;"&lt;/respcondition&gt;",""),IF(OR(V52,AV52&lt;&gt;"",$AS52&lt;&gt;""),"      &lt;respcondition continue=""Yes""&gt;&lt;conditionvar&gt;"&amp;IF(V52,"&lt;varequal respident=""RESPONSE""&gt;2&lt;/varequal&gt;","&lt;not&gt;&lt;varequal respident=""RESPONSE""&gt;2&lt;/varequal&gt;&lt;/not&gt;")&amp;"&lt;/conditionvar&gt;&lt;setvar action=""Add""&gt;"&amp;(Saisie_Questions!$N52/$I52)&amp;"&lt;/setvar&gt;"&amp;IF(AV52&lt;&gt;"","&lt;displayfeedback feedbacktype=""Response"" linkrefid=""response_2""/&gt;",IF($AS52&lt;&gt;"","&lt;displayfeedback feedbacktype=""Response"" linkrefid=""qti_feedback_trigger""/&gt;",""))&amp;"&lt;/respcondition&gt;",""))),"")</f>
      </c>
      <c r="AM52" s="46">
        <f>IF($B52,IF(O52="","",IF($C52="qcu",IF(OR(W52,AW52&lt;&gt;"",$AS52&lt;&gt;""),"      &lt;respcondition continue=""Yes""&gt;&lt;conditionvar&gt;&lt;varequal respident=""RESPONSE""&gt;3&lt;/varequal&gt;&lt;/conditionvar&gt;"&amp;"&lt;setvar action=""Add""&gt;"&amp;IF(W52,$H52,0)&amp;"&lt;/setvar&gt;"&amp;IF(AW52&lt;&gt;"","&lt;displayfeedback feedbacktype=""Response"" linkrefid=""response_3""/&gt;",IF($AS52&lt;&gt;"","&lt;displayfeedback feedbacktype=""Response"" linkrefid=""qti_feedback_trigger""/&gt;",""))&amp;"&lt;/respcondition&gt;",""),IF(OR(W52,AW52&lt;&gt;"",$AS52&lt;&gt;""),"      &lt;respcondition continue=""Yes""&gt;&lt;conditionvar&gt;"&amp;IF(W52,"&lt;varequal respident=""RESPONSE""&gt;3&lt;/varequal&gt;","&lt;not&gt;&lt;varequal respident=""RESPONSE""&gt;3&lt;/varequal&gt;&lt;/not&gt;")&amp;"&lt;/conditionvar&gt;&lt;setvar action=""Add""&gt;"&amp;(Saisie_Questions!$N52/$I52)&amp;"&lt;/setvar&gt;"&amp;IF(AW52&lt;&gt;"","&lt;displayfeedback feedbacktype=""Response"" linkrefid=""response_3""/&gt;",IF($AS52&lt;&gt;"","&lt;displayfeedback feedbacktype=""Response"" linkrefid=""qti_feedback_trigger""/&gt;",""))&amp;"&lt;/respcondition&gt;",""))),"")</f>
      </c>
      <c r="AN52" s="46">
        <f>IF($B52,IF(P52="","",IF($C52="qcu",IF(OR(X52,AX52&lt;&gt;"",$AS52&lt;&gt;""),"      &lt;respcondition continue=""Yes""&gt;&lt;conditionvar&gt;&lt;varequal respident=""RESPONSE""&gt;4&lt;/varequal&gt;&lt;/conditionvar&gt;"&amp;"&lt;setvar action=""Add""&gt;"&amp;IF(X52,$H52,0)&amp;"&lt;/setvar&gt;"&amp;IF(AX52&lt;&gt;"","&lt;displayfeedback feedbacktype=""Response"" linkrefid=""response_4""/&gt;",IF($AS52&lt;&gt;"","&lt;displayfeedback feedbacktype=""Response"" linkrefid=""qti_feedback_trigger""/&gt;",""))&amp;"&lt;/respcondition&gt;",""),IF(OR(X52,AX52&lt;&gt;"",$AS52&lt;&gt;""),"      &lt;respcondition continue=""Yes""&gt;&lt;conditionvar&gt;"&amp;IF(X52,"&lt;varequal respident=""RESPONSE""&gt;4&lt;/varequal&gt;","&lt;not&gt;&lt;varequal respident=""RESPONSE""&gt;4&lt;/varequal&gt;&lt;/not&gt;")&amp;"&lt;/conditionvar&gt;&lt;setvar action=""Add""&gt;"&amp;(Saisie_Questions!$N52/$I52)&amp;"&lt;/setvar&gt;"&amp;IF(AX52&lt;&gt;"","&lt;displayfeedback feedbacktype=""Response"" linkrefid=""response_4""/&gt;",IF($AS52&lt;&gt;"","&lt;displayfeedback feedbacktype=""Response"" linkrefid=""qti_feedback_trigger""/&gt;",""))&amp;"&lt;/respcondition&gt;",""))),"")</f>
      </c>
      <c r="AO52" s="46">
        <f>IF($B52,IF(Q52="","",IF($C52="qcu",IF(OR(Y52,AY52&lt;&gt;"",$AS52&lt;&gt;""),"      &lt;respcondition continue=""Yes""&gt;&lt;conditionvar&gt;&lt;varequal respident=""RESPONSE""&gt;5&lt;/varequal&gt;&lt;/conditionvar&gt;"&amp;"&lt;setvar action=""Add""&gt;"&amp;IF(Y52,$H52,0)&amp;"&lt;/setvar&gt;"&amp;IF(AY52&lt;&gt;"","&lt;displayfeedback feedbacktype=""Response"" linkrefid=""response_5""/&gt;",IF($AS52&lt;&gt;"","&lt;displayfeedback feedbacktype=""Response"" linkrefid=""qti_feedback_trigger""/&gt;",""))&amp;"&lt;/respcondition&gt;",""),IF(OR(Y52,AY52&lt;&gt;"",$AS52&lt;&gt;""),"      &lt;respcondition continue=""Yes""&gt;&lt;conditionvar&gt;"&amp;IF(Y52,"&lt;varequal respident=""RESPONSE""&gt;5&lt;/varequal&gt;","&lt;not&gt;&lt;varequal respident=""RESPONSE""&gt;5&lt;/varequal&gt;&lt;/not&gt;")&amp;"&lt;/conditionvar&gt;&lt;setvar action=""Add""&gt;"&amp;(Saisie_Questions!$N52/$I52)&amp;"&lt;/setvar&gt;"&amp;IF(AY52&lt;&gt;"","&lt;displayfeedback feedbacktype=""Response"" linkrefid=""response_5""/&gt;",IF($AS52&lt;&gt;"","&lt;displayfeedback feedbacktype=""Response"" linkrefid=""qti_feedback_trigger""/&gt;",""))&amp;"&lt;/respcondition&gt;",""))),"")</f>
      </c>
      <c r="AP52" s="46">
        <f>IF($B52,IF(R52="","",IF($C52="qcu",IF(OR(Z52,AZ52&lt;&gt;"",$AS52&lt;&gt;""),"      &lt;respcondition continue=""Yes""&gt;&lt;conditionvar&gt;&lt;varequal respident=""RESPONSE""&gt;6&lt;/varequal&gt;&lt;/conditionvar&gt;"&amp;"&lt;setvar action=""Add""&gt;"&amp;IF(Z52,$H52,0)&amp;"&lt;/setvar&gt;"&amp;IF(AZ52&lt;&gt;"","&lt;displayfeedback feedbacktype=""Response"" linkrefid=""response_6""/&gt;",IF($AS52&lt;&gt;"","&lt;displayfeedback feedbacktype=""Response"" linkrefid=""qti_feedback_trigger""/&gt;",""))&amp;"&lt;/respcondition&gt;",""),IF(OR(Z52,AZ52&lt;&gt;"",$AS52&lt;&gt;""),"      &lt;respcondition continue=""Yes""&gt;&lt;conditionvar&gt;"&amp;IF(Z52,"&lt;varequal respident=""RESPONSE""&gt;6&lt;/varequal&gt;","&lt;not&gt;&lt;varequal respident=""RESPONSE""&gt;6&lt;/varequal&gt;&lt;/not&gt;")&amp;"&lt;/conditionvar&gt;&lt;setvar action=""Add""&gt;"&amp;(Saisie_Questions!$N52/$I52)&amp;"&lt;/setvar&gt;"&amp;IF(AZ52&lt;&gt;"","&lt;displayfeedback feedbacktype=""Response"" linkrefid=""response_6""/&gt;",IF($AS52&lt;&gt;"","&lt;displayfeedback feedbacktype=""Response"" linkrefid=""qti_feedback_trigger""/&gt;",""))&amp;"&lt;/respcondition&gt;",""))),"")</f>
      </c>
      <c r="AQ52" s="46">
        <f>IF($B52,IF(S52="","",IF($C52="qcu",IF(OR(AA52,BA52&lt;&gt;"",$AS52&lt;&gt;""),"      &lt;respcondition continue=""Yes""&gt;&lt;conditionvar&gt;&lt;varequal respident=""RESPONSE""&gt;7&lt;/varequal&gt;&lt;/conditionvar&gt;"&amp;"&lt;setvar action=""Add""&gt;"&amp;IF(AA52,$H52,0)&amp;"&lt;/setvar&gt;"&amp;IF(BA52&lt;&gt;"","&lt;displayfeedback feedbacktype=""Response"" linkrefid=""response_7""/&gt;",IF($AS52&lt;&gt;"","&lt;displayfeedback feedbacktype=""Response"" linkrefid=""qti_feedback_trigger""/&gt;",""))&amp;"&lt;/respcondition&gt;",""),IF(OR(AA52,BA52&lt;&gt;"",$AS52&lt;&gt;""),"      &lt;respcondition continue=""Yes""&gt;&lt;conditionvar&gt;"&amp;IF(AA52,"&lt;varequal respident=""RESPONSE""&gt;7&lt;/varequal&gt;","&lt;not&gt;&lt;varequal respident=""RESPONSE""&gt;7&lt;/varequal&gt;&lt;/not&gt;")&amp;"&lt;/conditionvar&gt;&lt;setvar action=""Add""&gt;"&amp;(Saisie_Questions!$N52/$I52)&amp;"&lt;/setvar&gt;"&amp;IF(BA52&lt;&gt;"","&lt;displayfeedback feedbacktype=""Response"" linkrefid=""response_7""/&gt;",IF($AS52&lt;&gt;"","&lt;displayfeedback feedbacktype=""Response"" linkrefid=""qti_feedback_trigger""/&gt;",""))&amp;"&lt;/respcondition&gt;",""))),"")</f>
      </c>
      <c r="AR52" s="46">
        <f>IF(A52="","",SUBSTITUTE(SUBSTITUTE(SUBSTITUTE(SUBSTITUTE(SUBSTITUTE(IF(Saisie_Questions!P52&lt;&gt;"",Saisie_Questions!P52,Interface_Generation!$B$5),"&amp;","&amp;amp;"),"&lt;","&amp;lt;"),"&gt;","&amp;gt;"),CHAR(34),"&amp;quot;"),"'","&amp;apos;"))</f>
        <v/>
      </c>
      <c r="AS52" s="46">
        <f>IF(Saisie_Questions!Q52="","",SUBSTITUTE(SUBSTITUTE(SUBSTITUTE(SUBSTITUTE(SUBSTITUTE(Saisie_Questions!Q52,"&amp;","&amp;amp;"),"&lt;","&amp;lt;"),"&gt;","&amp;gt;"),CHAR(34),"&amp;quot;"),"'","&amp;apos;"))</f>
        <v/>
      </c>
      <c r="AT52" s="46">
        <f>IF(Saisie_Questions!R52="","",SUBSTITUTE(SUBSTITUTE(SUBSTITUTE(SUBSTITUTE(SUBSTITUTE(Saisie_Questions!R52,"&amp;","&amp;amp;"),"&lt;","&amp;lt;"),"&gt;","&amp;gt;"),CHAR(34),"&amp;quot;"),"'","&amp;apos;"))</f>
        <v/>
      </c>
      <c r="AU52" s="46">
        <f>IF(Saisie_Questions!S52="","",SUBSTITUTE(SUBSTITUTE(SUBSTITUTE(SUBSTITUTE(SUBSTITUTE(Saisie_Questions!S52,"&amp;","&amp;amp;"),"&lt;","&amp;lt;"),"&gt;","&amp;gt;"),CHAR(34),"&amp;quot;"),"'","&amp;apos;"))</f>
        <v/>
      </c>
      <c r="AV52" s="46">
        <f>IF(Saisie_Questions!T52="","",SUBSTITUTE(SUBSTITUTE(SUBSTITUTE(SUBSTITUTE(SUBSTITUTE(Saisie_Questions!T52,"&amp;","&amp;amp;"),"&lt;","&amp;lt;"),"&gt;","&amp;gt;"),CHAR(34),"&amp;quot;"),"'","&amp;apos;"))</f>
        <v/>
      </c>
      <c r="AW52" s="46">
        <f>IF(Saisie_Questions!U52="","",SUBSTITUTE(SUBSTITUTE(SUBSTITUTE(SUBSTITUTE(SUBSTITUTE(Saisie_Questions!U52,"&amp;","&amp;amp;"),"&lt;","&amp;lt;"),"&gt;","&amp;gt;"),CHAR(34),"&amp;quot;"),"'","&amp;apos;"))</f>
        <v/>
      </c>
      <c r="AX52" s="46">
        <f>IF(Saisie_Questions!V52="","",SUBSTITUTE(SUBSTITUTE(SUBSTITUTE(SUBSTITUTE(SUBSTITUTE(Saisie_Questions!V52,"&amp;","&amp;amp;"),"&lt;","&amp;lt;"),"&gt;","&amp;gt;"),CHAR(34),"&amp;quot;"),"'","&amp;apos;"))</f>
        <v/>
      </c>
      <c r="AY52" s="46">
        <f>IF(Saisie_Questions!W52="","",SUBSTITUTE(SUBSTITUTE(SUBSTITUTE(SUBSTITUTE(SUBSTITUTE(Saisie_Questions!W52,"&amp;","&amp;amp;"),"&lt;","&amp;lt;"),"&gt;","&amp;gt;"),CHAR(34),"&amp;quot;"),"'","&amp;apos;"))</f>
        <v/>
      </c>
      <c r="AZ52" s="46">
        <f>IF(Saisie_Questions!X52="","",SUBSTITUTE(SUBSTITUTE(SUBSTITUTE(SUBSTITUTE(SUBSTITUTE(Saisie_Questions!X52,"&amp;","&amp;amp;"),"&lt;","&amp;lt;"),"&gt;","&amp;gt;"),CHAR(34),"&amp;quot;"),"'","&amp;apos;"))</f>
        <v/>
      </c>
      <c r="BA52" s="46">
        <f>IF(Saisie_Questions!Y52="","",SUBSTITUTE(SUBSTITUTE(SUBSTITUTE(SUBSTITUTE(SUBSTITUTE(Saisie_Questions!Y52,"&amp;","&amp;amp;"),"&lt;","&amp;lt;"),"&gt;","&amp;gt;"),CHAR(34),"&amp;quot;"),"'","&amp;apos;"))</f>
        <v/>
      </c>
      <c r="BB52" s="46">
        <f>IF($B52,IF($AS52="","","    &lt;itemfeedback ident=""response_allcorrect"" view=""All""&gt;&lt;flow_mat&gt;&lt;material&gt;&lt;mattext texttype=""text/html""&gt;"&amp;$AS52&amp;"&lt;/mattext&gt;&lt;/material&gt;&lt;/flow_mat&gt;&lt;/itemfeedback&gt;"&amp;"    &lt;itemfeedback ident=""response_onenotcorrect"" view=""All""&gt;&lt;flow_mat&gt;&lt;material&gt;&lt;mattext texttype=""text/html""&gt;"&amp;$AS52&amp;"&lt;/mattext&gt;&lt;/material&gt;&lt;/flow_mat&gt;&lt;/itemfeedback&gt;"),"")</f>
      </c>
      <c r="BC52" s="46">
        <f>IF($B52,IF(AT52="","","    &lt;itemfeedback ident=""response_0"" view=""All""&gt;&lt;flow_mat&gt;&lt;material&gt;&lt;mattext texttype=""text/html""&gt;"&amp;AT52&amp;"&lt;/mattext&gt;&lt;/material&gt;&lt;/flow_mat&gt;&lt;/itemfeedback&gt;"),"")</f>
      </c>
      <c r="BD52" s="46">
        <f>IF($B52,IF(AU52="","","    &lt;itemfeedback ident=""response_1"" view=""All""&gt;&lt;flow_mat&gt;&lt;material&gt;&lt;mattext texttype=""text/html""&gt;"&amp;AU52&amp;"&lt;/mattext&gt;&lt;/material&gt;&lt;/flow_mat&gt;&lt;/itemfeedback&gt;"),"")</f>
      </c>
      <c r="BE52" s="46">
        <f>IF($B52,IF(AV52="","","    &lt;itemfeedback ident=""response_2"" view=""All""&gt;&lt;flow_mat&gt;&lt;material&gt;&lt;mattext texttype=""text/html""&gt;"&amp;AV52&amp;"&lt;/mattext&gt;&lt;/material&gt;&lt;/flow_mat&gt;&lt;/itemfeedback&gt;"),"")</f>
      </c>
      <c r="BF52" s="46">
        <f>IF($B52,IF(AW52="","","    &lt;itemfeedback ident=""response_3"" view=""All""&gt;&lt;flow_mat&gt;&lt;material&gt;&lt;mattext texttype=""text/html""&gt;"&amp;AW52&amp;"&lt;/mattext&gt;&lt;/material&gt;&lt;/flow_mat&gt;&lt;/itemfeedback&gt;"),"")</f>
      </c>
      <c r="BG52" s="46">
        <f>IF($B52,IF(AX52="","","    &lt;itemfeedback ident=""response_4"" view=""All""&gt;&lt;flow_mat&gt;&lt;material&gt;&lt;mattext texttype=""text/html""&gt;"&amp;AX52&amp;"&lt;/mattext&gt;&lt;/material&gt;&lt;/flow_mat&gt;&lt;/itemfeedback&gt;"),"")</f>
      </c>
      <c r="BH52" s="46">
        <f>IF($B52,IF(AY52="","","    &lt;itemfeedback ident=""response_5"" view=""All""&gt;&lt;flow_mat&gt;&lt;material&gt;&lt;mattext texttype=""text/html""&gt;"&amp;AY52&amp;"&lt;/mattext&gt;&lt;/material&gt;&lt;/flow_mat&gt;&lt;/itemfeedback&gt;"),"")</f>
      </c>
      <c r="BI52" s="46">
        <f>IF($B52,IF(AZ52="","","    &lt;itemfeedback ident=""response_6"" view=""All""&gt;&lt;flow_mat&gt;&lt;material&gt;&lt;mattext texttype=""text/html""&gt;"&amp;AZ52&amp;"&lt;/mattext&gt;&lt;/material&gt;&lt;/flow_mat&gt;&lt;/itemfeedback&gt;"),"")</f>
      </c>
      <c r="BJ52" s="46">
        <f>IF($B52,IF(BA52="","","    &lt;itemfeedback ident=""response_7"" view=""All""&gt;&lt;flow_mat&gt;&lt;material&gt;&lt;mattext texttype=""text/html""&gt;"&amp;BA52&amp;"&lt;/mattext&gt;&lt;/material&gt;&lt;/flow_mat&gt;&lt;/itemfeedback&gt;"),"")</f>
      </c>
    </row>
    <row r="53" ht="18" customHeight="1" s="17">
      <c r="A53" s="46">
        <f>Saisie_Questions!A53</f>
        <v/>
      </c>
      <c r="B53" s="46">
        <f>Saisie_Questions!O53="OK"</f>
        <v/>
      </c>
      <c r="C53" s="46">
        <f>LOWER(TRIM(Saisie_Questions!B53))</f>
        <v/>
      </c>
      <c r="D53" s="46">
        <f>IF(C53="qcu","SINGLE CHOICE QUESTION","MULTIPLE CHOICE QUESTION")</f>
        <v/>
      </c>
      <c r="E53" s="46">
        <f>IF(C53="qcu","Single","Multiple")</f>
        <v/>
      </c>
      <c r="F53" s="46">
        <f>IF(A53="","",SUBSTITUTE(SUBSTITUTE(SUBSTITUTE(SUBSTITUTE(SUBSTITUTE(IF(Saisie_Questions!C53="", "Question "&amp;A53, Saisie_Questions!C53),"&amp;","&amp;amp;"),"&lt;","&amp;lt;"),"&gt;","&amp;gt;"),CHAR(34),"&amp;quot;"),"'","&amp;apos;"))</f>
        <v/>
      </c>
      <c r="G53" s="46">
        <f>IF(A53="","",SUBSTITUTE(SUBSTITUTE(SUBSTITUTE(SUBSTITUTE(SUBSTITUTE(Saisie_Questions!D53,"&amp;","&amp;amp;"),"&lt;","&amp;lt;"),"&gt;","&amp;gt;"),CHAR(34),"&amp;quot;"),"'","&amp;apos;"))</f>
        <v/>
      </c>
      <c r="H53" s="46">
        <f>Saisie_Questions!N53</f>
        <v/>
      </c>
      <c r="I53" s="46">
        <f>IF(Saisie_Questions!E53="",0,1)+IF(Saisie_Questions!F53="",0,1)+IF(Saisie_Questions!G53="",0,1)+IF(Saisie_Questions!H53="",0,1)+IF(Saisie_Questions!I53="",0,1)+IF(Saisie_Questions!J53="",0,1)+IF(Saisie_Questions!K53="",0,1)+IF(Saisie_Questions!L53="",0,1)</f>
        <v/>
      </c>
      <c r="J53" s="46">
        <f>Saisie_Questions!M53</f>
        <v/>
      </c>
      <c r="K53" s="46">
        <f>Saisie_Questions!O53</f>
        <v/>
      </c>
      <c r="L53" s="46">
        <f>IF(Saisie_Questions!E53="","",SUBSTITUTE(SUBSTITUTE(SUBSTITUTE(SUBSTITUTE(SUBSTITUTE(Saisie_Questions!E53,"&amp;","&amp;amp;"),"&lt;","&amp;lt;"),"&gt;","&amp;gt;"),CHAR(34),"&amp;quot;"),"'","&amp;apos;"))</f>
        <v/>
      </c>
      <c r="M53" s="46">
        <f>IF(Saisie_Questions!F53="","",SUBSTITUTE(SUBSTITUTE(SUBSTITUTE(SUBSTITUTE(SUBSTITUTE(Saisie_Questions!F53,"&amp;","&amp;amp;"),"&lt;","&amp;lt;"),"&gt;","&amp;gt;"),CHAR(34),"&amp;quot;"),"'","&amp;apos;"))</f>
        <v/>
      </c>
      <c r="N53" s="46">
        <f>IF(Saisie_Questions!G53="","",SUBSTITUTE(SUBSTITUTE(SUBSTITUTE(SUBSTITUTE(SUBSTITUTE(Saisie_Questions!G53,"&amp;","&amp;amp;"),"&lt;","&amp;lt;"),"&gt;","&amp;gt;"),CHAR(34),"&amp;quot;"),"'","&amp;apos;"))</f>
        <v/>
      </c>
      <c r="O53" s="46">
        <f>IF(Saisie_Questions!H53="","",SUBSTITUTE(SUBSTITUTE(SUBSTITUTE(SUBSTITUTE(SUBSTITUTE(Saisie_Questions!H53,"&amp;","&amp;amp;"),"&lt;","&amp;lt;"),"&gt;","&amp;gt;"),CHAR(34),"&amp;quot;"),"'","&amp;apos;"))</f>
        <v/>
      </c>
      <c r="P53" s="46">
        <f>IF(Saisie_Questions!I53="","",SUBSTITUTE(SUBSTITUTE(SUBSTITUTE(SUBSTITUTE(SUBSTITUTE(Saisie_Questions!I53,"&amp;","&amp;amp;"),"&lt;","&amp;lt;"),"&gt;","&amp;gt;"),CHAR(34),"&amp;quot;"),"'","&amp;apos;"))</f>
        <v/>
      </c>
      <c r="Q53" s="46">
        <f>IF(Saisie_Questions!J53="","",SUBSTITUTE(SUBSTITUTE(SUBSTITUTE(SUBSTITUTE(SUBSTITUTE(Saisie_Questions!J53,"&amp;","&amp;amp;"),"&lt;","&amp;lt;"),"&gt;","&amp;gt;"),CHAR(34),"&amp;quot;"),"'","&amp;apos;"))</f>
        <v/>
      </c>
      <c r="R53" s="46">
        <f>IF(Saisie_Questions!K53="","",SUBSTITUTE(SUBSTITUTE(SUBSTITUTE(SUBSTITUTE(SUBSTITUTE(Saisie_Questions!K53,"&amp;","&amp;amp;"),"&lt;","&amp;lt;"),"&gt;","&amp;gt;"),CHAR(34),"&amp;quot;"),"'","&amp;apos;"))</f>
        <v/>
      </c>
      <c r="S53" s="46">
        <f>IF(Saisie_Questions!L53="","",SUBSTITUTE(SUBSTITUTE(SUBSTITUTE(SUBSTITUTE(SUBSTITUTE(Saisie_Questions!L53,"&amp;","&amp;amp;"),"&lt;","&amp;lt;"),"&gt;","&amp;gt;"),CHAR(34),"&amp;quot;"),"'","&amp;apos;"))</f>
        <v/>
      </c>
      <c r="T53" s="46">
        <f>ISNUMBER(SEARCH(";"&amp;1&amp;";",";"&amp;$J53&amp;";"))</f>
        <v/>
      </c>
      <c r="U53" s="46">
        <f>ISNUMBER(SEARCH(";"&amp;2&amp;";",";"&amp;$J53&amp;";"))</f>
        <v/>
      </c>
      <c r="V53" s="46">
        <f>ISNUMBER(SEARCH(";"&amp;3&amp;";",";"&amp;$J53&amp;";"))</f>
        <v/>
      </c>
      <c r="W53" s="46">
        <f>ISNUMBER(SEARCH(";"&amp;4&amp;";",";"&amp;$J53&amp;";"))</f>
        <v/>
      </c>
      <c r="X53" s="46">
        <f>ISNUMBER(SEARCH(";"&amp;5&amp;";",";"&amp;$J53&amp;";"))</f>
        <v/>
      </c>
      <c r="Y53" s="46">
        <f>ISNUMBER(SEARCH(";"&amp;6&amp;";",";"&amp;$J53&amp;";"))</f>
        <v/>
      </c>
      <c r="Z53" s="46">
        <f>ISNUMBER(SEARCH(";"&amp;7&amp;";",";"&amp;$J53&amp;";"))</f>
        <v/>
      </c>
      <c r="AA53" s="46">
        <f>ISNUMBER(SEARCH(";"&amp;8&amp;";",";"&amp;$J53&amp;";"))</f>
        <v/>
      </c>
      <c r="AB53" s="46">
        <f>IF($B53,IF(L53="","","        &lt;response_label ident=""0""&gt;&lt;material&gt;&lt;mattext texttype=""text/html""&gt;"&amp;L53&amp;"&lt;/mattext&gt;&lt;/material&gt;&lt;/response_label&gt;"),"")</f>
        <v/>
      </c>
      <c r="AC53" s="46">
        <f>IF($B53,IF(M53="","","        &lt;response_label ident=""1""&gt;&lt;material&gt;&lt;mattext texttype=""text/html""&gt;"&amp;M53&amp;"&lt;/mattext&gt;&lt;/material&gt;&lt;/response_label&gt;"),"")</f>
        <v/>
      </c>
      <c r="AD53" s="46">
        <f>IF($B53,IF(N53="","","        &lt;response_label ident=""2""&gt;&lt;material&gt;&lt;mattext texttype=""text/html""&gt;"&amp;N53&amp;"&lt;/mattext&gt;&lt;/material&gt;&lt;/response_label&gt;"),"")</f>
        <v/>
      </c>
      <c r="AE53" s="46">
        <f>IF($B53,IF(O53="","","        &lt;response_label ident=""3""&gt;&lt;material&gt;&lt;mattext texttype=""text/html""&gt;"&amp;O53&amp;"&lt;/mattext&gt;&lt;/material&gt;&lt;/response_label&gt;"),"")</f>
        <v/>
      </c>
      <c r="AF53" s="46">
        <f>IF($B53,IF(P53="","","        &lt;response_label ident=""4""&gt;&lt;material&gt;&lt;mattext texttype=""text/html""&gt;"&amp;P53&amp;"&lt;/mattext&gt;&lt;/material&gt;&lt;/response_label&gt;"),"")</f>
        <v/>
      </c>
      <c r="AG53" s="46">
        <f>IF($B53,IF(Q53="","","        &lt;response_label ident=""5""&gt;&lt;material&gt;&lt;mattext texttype=""text/html""&gt;"&amp;Q53&amp;"&lt;/mattext&gt;&lt;/material&gt;&lt;/response_label&gt;"),"")</f>
        <v/>
      </c>
      <c r="AH53" s="46">
        <f>IF($B53,IF(R53="","","        &lt;response_label ident=""6""&gt;&lt;material&gt;&lt;mattext texttype=""text/html""&gt;"&amp;R53&amp;"&lt;/mattext&gt;&lt;/material&gt;&lt;/response_label&gt;"),"")</f>
        <v/>
      </c>
      <c r="AI53" s="46">
        <f>IF($B53,IF(S53="","","        &lt;response_label ident=""7""&gt;&lt;material&gt;&lt;mattext texttype=""text/html""&gt;"&amp;S53&amp;"&lt;/mattext&gt;&lt;/material&gt;&lt;/response_label&gt;"),"")</f>
        <v/>
      </c>
      <c r="AJ53" s="46">
        <f>IF($B53,IF(L53="","",IF($C53="qcu",IF(OR(T53,AT53&lt;&gt;"",$AS53&lt;&gt;""),"      &lt;respcondition continue=""Yes""&gt;&lt;conditionvar&gt;&lt;varequal respident=""RESPONSE""&gt;0&lt;/varequal&gt;&lt;/conditionvar&gt;"&amp;"&lt;setvar action=""Add""&gt;"&amp;IF(T53,$H53,0)&amp;"&lt;/setvar&gt;"&amp;IF(AT53&lt;&gt;"","&lt;displayfeedback feedbacktype=""Response"" linkrefid=""response_0""/&gt;",IF($AS53&lt;&gt;"","&lt;displayfeedback feedbacktype=""Response"" linkrefid=""qti_feedback_trigger""/&gt;",""))&amp;"&lt;/respcondition&gt;",""),IF(OR(T53,AT53&lt;&gt;"",$AS53&lt;&gt;""),"      &lt;respcondition continue=""Yes""&gt;&lt;conditionvar&gt;"&amp;IF(T53,"&lt;varequal respident=""RESPONSE""&gt;0&lt;/varequal&gt;","&lt;not&gt;&lt;varequal respident=""RESPONSE""&gt;0&lt;/varequal&gt;&lt;/not&gt;")&amp;"&lt;/conditionvar&gt;&lt;setvar action=""Add""&gt;"&amp;(Saisie_Questions!$N53/$I53)&amp;"&lt;/setvar&gt;"&amp;IF(AT53&lt;&gt;"","&lt;displayfeedback feedbacktype=""Response"" linkrefid=""response_0""/&gt;",IF($AS53&lt;&gt;"","&lt;displayfeedback feedbacktype=""Response"" linkrefid=""qti_feedback_trigger""/&gt;",""))&amp;"&lt;/respcondition&gt;",""))),"")</f>
      </c>
      <c r="AK53" s="46">
        <f>IF($B53,IF(M53="","",IF($C53="qcu",IF(OR(U53,AU53&lt;&gt;"",$AS53&lt;&gt;""),"      &lt;respcondition continue=""Yes""&gt;&lt;conditionvar&gt;&lt;varequal respident=""RESPONSE""&gt;1&lt;/varequal&gt;&lt;/conditionvar&gt;"&amp;"&lt;setvar action=""Add""&gt;"&amp;IF(U53,$H53,0)&amp;"&lt;/setvar&gt;"&amp;IF(AU53&lt;&gt;"","&lt;displayfeedback feedbacktype=""Response"" linkrefid=""response_1""/&gt;",IF($AS53&lt;&gt;"","&lt;displayfeedback feedbacktype=""Response"" linkrefid=""qti_feedback_trigger""/&gt;",""))&amp;"&lt;/respcondition&gt;",""),IF(OR(U53,AU53&lt;&gt;"",$AS53&lt;&gt;""),"      &lt;respcondition continue=""Yes""&gt;&lt;conditionvar&gt;"&amp;IF(U53,"&lt;varequal respident=""RESPONSE""&gt;1&lt;/varequal&gt;","&lt;not&gt;&lt;varequal respident=""RESPONSE""&gt;1&lt;/varequal&gt;&lt;/not&gt;")&amp;"&lt;/conditionvar&gt;&lt;setvar action=""Add""&gt;"&amp;(Saisie_Questions!$N53/$I53)&amp;"&lt;/setvar&gt;"&amp;IF(AU53&lt;&gt;"","&lt;displayfeedback feedbacktype=""Response"" linkrefid=""response_1""/&gt;",IF($AS53&lt;&gt;"","&lt;displayfeedback feedbacktype=""Response"" linkrefid=""qti_feedback_trigger""/&gt;",""))&amp;"&lt;/respcondition&gt;",""))),"")</f>
      </c>
      <c r="AL53" s="46">
        <f>IF($B53,IF(N53="","",IF($C53="qcu",IF(OR(V53,AV53&lt;&gt;"",$AS53&lt;&gt;""),"      &lt;respcondition continue=""Yes""&gt;&lt;conditionvar&gt;&lt;varequal respident=""RESPONSE""&gt;2&lt;/varequal&gt;&lt;/conditionvar&gt;"&amp;"&lt;setvar action=""Add""&gt;"&amp;IF(V53,$H53,0)&amp;"&lt;/setvar&gt;"&amp;IF(AV53&lt;&gt;"","&lt;displayfeedback feedbacktype=""Response"" linkrefid=""response_2""/&gt;",IF($AS53&lt;&gt;"","&lt;displayfeedback feedbacktype=""Response"" linkrefid=""qti_feedback_trigger""/&gt;",""))&amp;"&lt;/respcondition&gt;",""),IF(OR(V53,AV53&lt;&gt;"",$AS53&lt;&gt;""),"      &lt;respcondition continue=""Yes""&gt;&lt;conditionvar&gt;"&amp;IF(V53,"&lt;varequal respident=""RESPONSE""&gt;2&lt;/varequal&gt;","&lt;not&gt;&lt;varequal respident=""RESPONSE""&gt;2&lt;/varequal&gt;&lt;/not&gt;")&amp;"&lt;/conditionvar&gt;&lt;setvar action=""Add""&gt;"&amp;(Saisie_Questions!$N53/$I53)&amp;"&lt;/setvar&gt;"&amp;IF(AV53&lt;&gt;"","&lt;displayfeedback feedbacktype=""Response"" linkrefid=""response_2""/&gt;",IF($AS53&lt;&gt;"","&lt;displayfeedback feedbacktype=""Response"" linkrefid=""qti_feedback_trigger""/&gt;",""))&amp;"&lt;/respcondition&gt;",""))),"")</f>
      </c>
      <c r="AM53" s="46">
        <f>IF($B53,IF(O53="","",IF($C53="qcu",IF(OR(W53,AW53&lt;&gt;"",$AS53&lt;&gt;""),"      &lt;respcondition continue=""Yes""&gt;&lt;conditionvar&gt;&lt;varequal respident=""RESPONSE""&gt;3&lt;/varequal&gt;&lt;/conditionvar&gt;"&amp;"&lt;setvar action=""Add""&gt;"&amp;IF(W53,$H53,0)&amp;"&lt;/setvar&gt;"&amp;IF(AW53&lt;&gt;"","&lt;displayfeedback feedbacktype=""Response"" linkrefid=""response_3""/&gt;",IF($AS53&lt;&gt;"","&lt;displayfeedback feedbacktype=""Response"" linkrefid=""qti_feedback_trigger""/&gt;",""))&amp;"&lt;/respcondition&gt;",""),IF(OR(W53,AW53&lt;&gt;"",$AS53&lt;&gt;""),"      &lt;respcondition continue=""Yes""&gt;&lt;conditionvar&gt;"&amp;IF(W53,"&lt;varequal respident=""RESPONSE""&gt;3&lt;/varequal&gt;","&lt;not&gt;&lt;varequal respident=""RESPONSE""&gt;3&lt;/varequal&gt;&lt;/not&gt;")&amp;"&lt;/conditionvar&gt;&lt;setvar action=""Add""&gt;"&amp;(Saisie_Questions!$N53/$I53)&amp;"&lt;/setvar&gt;"&amp;IF(AW53&lt;&gt;"","&lt;displayfeedback feedbacktype=""Response"" linkrefid=""response_3""/&gt;",IF($AS53&lt;&gt;"","&lt;displayfeedback feedbacktype=""Response"" linkrefid=""qti_feedback_trigger""/&gt;",""))&amp;"&lt;/respcondition&gt;",""))),"")</f>
      </c>
      <c r="AN53" s="46">
        <f>IF($B53,IF(P53="","",IF($C53="qcu",IF(OR(X53,AX53&lt;&gt;"",$AS53&lt;&gt;""),"      &lt;respcondition continue=""Yes""&gt;&lt;conditionvar&gt;&lt;varequal respident=""RESPONSE""&gt;4&lt;/varequal&gt;&lt;/conditionvar&gt;"&amp;"&lt;setvar action=""Add""&gt;"&amp;IF(X53,$H53,0)&amp;"&lt;/setvar&gt;"&amp;IF(AX53&lt;&gt;"","&lt;displayfeedback feedbacktype=""Response"" linkrefid=""response_4""/&gt;",IF($AS53&lt;&gt;"","&lt;displayfeedback feedbacktype=""Response"" linkrefid=""qti_feedback_trigger""/&gt;",""))&amp;"&lt;/respcondition&gt;",""),IF(OR(X53,AX53&lt;&gt;"",$AS53&lt;&gt;""),"      &lt;respcondition continue=""Yes""&gt;&lt;conditionvar&gt;"&amp;IF(X53,"&lt;varequal respident=""RESPONSE""&gt;4&lt;/varequal&gt;","&lt;not&gt;&lt;varequal respident=""RESPONSE""&gt;4&lt;/varequal&gt;&lt;/not&gt;")&amp;"&lt;/conditionvar&gt;&lt;setvar action=""Add""&gt;"&amp;(Saisie_Questions!$N53/$I53)&amp;"&lt;/setvar&gt;"&amp;IF(AX53&lt;&gt;"","&lt;displayfeedback feedbacktype=""Response"" linkrefid=""response_4""/&gt;",IF($AS53&lt;&gt;"","&lt;displayfeedback feedbacktype=""Response"" linkrefid=""qti_feedback_trigger""/&gt;",""))&amp;"&lt;/respcondition&gt;",""))),"")</f>
      </c>
      <c r="AO53" s="46">
        <f>IF($B53,IF(Q53="","",IF($C53="qcu",IF(OR(Y53,AY53&lt;&gt;"",$AS53&lt;&gt;""),"      &lt;respcondition continue=""Yes""&gt;&lt;conditionvar&gt;&lt;varequal respident=""RESPONSE""&gt;5&lt;/varequal&gt;&lt;/conditionvar&gt;"&amp;"&lt;setvar action=""Add""&gt;"&amp;IF(Y53,$H53,0)&amp;"&lt;/setvar&gt;"&amp;IF(AY53&lt;&gt;"","&lt;displayfeedback feedbacktype=""Response"" linkrefid=""response_5""/&gt;",IF($AS53&lt;&gt;"","&lt;displayfeedback feedbacktype=""Response"" linkrefid=""qti_feedback_trigger""/&gt;",""))&amp;"&lt;/respcondition&gt;",""),IF(OR(Y53,AY53&lt;&gt;"",$AS53&lt;&gt;""),"      &lt;respcondition continue=""Yes""&gt;&lt;conditionvar&gt;"&amp;IF(Y53,"&lt;varequal respident=""RESPONSE""&gt;5&lt;/varequal&gt;","&lt;not&gt;&lt;varequal respident=""RESPONSE""&gt;5&lt;/varequal&gt;&lt;/not&gt;")&amp;"&lt;/conditionvar&gt;&lt;setvar action=""Add""&gt;"&amp;(Saisie_Questions!$N53/$I53)&amp;"&lt;/setvar&gt;"&amp;IF(AY53&lt;&gt;"","&lt;displayfeedback feedbacktype=""Response"" linkrefid=""response_5""/&gt;",IF($AS53&lt;&gt;"","&lt;displayfeedback feedbacktype=""Response"" linkrefid=""qti_feedback_trigger""/&gt;",""))&amp;"&lt;/respcondition&gt;",""))),"")</f>
      </c>
      <c r="AP53" s="46">
        <f>IF($B53,IF(R53="","",IF($C53="qcu",IF(OR(Z53,AZ53&lt;&gt;"",$AS53&lt;&gt;""),"      &lt;respcondition continue=""Yes""&gt;&lt;conditionvar&gt;&lt;varequal respident=""RESPONSE""&gt;6&lt;/varequal&gt;&lt;/conditionvar&gt;"&amp;"&lt;setvar action=""Add""&gt;"&amp;IF(Z53,$H53,0)&amp;"&lt;/setvar&gt;"&amp;IF(AZ53&lt;&gt;"","&lt;displayfeedback feedbacktype=""Response"" linkrefid=""response_6""/&gt;",IF($AS53&lt;&gt;"","&lt;displayfeedback feedbacktype=""Response"" linkrefid=""qti_feedback_trigger""/&gt;",""))&amp;"&lt;/respcondition&gt;",""),IF(OR(Z53,AZ53&lt;&gt;"",$AS53&lt;&gt;""),"      &lt;respcondition continue=""Yes""&gt;&lt;conditionvar&gt;"&amp;IF(Z53,"&lt;varequal respident=""RESPONSE""&gt;6&lt;/varequal&gt;","&lt;not&gt;&lt;varequal respident=""RESPONSE""&gt;6&lt;/varequal&gt;&lt;/not&gt;")&amp;"&lt;/conditionvar&gt;&lt;setvar action=""Add""&gt;"&amp;(Saisie_Questions!$N53/$I53)&amp;"&lt;/setvar&gt;"&amp;IF(AZ53&lt;&gt;"","&lt;displayfeedback feedbacktype=""Response"" linkrefid=""response_6""/&gt;",IF($AS53&lt;&gt;"","&lt;displayfeedback feedbacktype=""Response"" linkrefid=""qti_feedback_trigger""/&gt;",""))&amp;"&lt;/respcondition&gt;",""))),"")</f>
      </c>
      <c r="AQ53" s="46">
        <f>IF($B53,IF(S53="","",IF($C53="qcu",IF(OR(AA53,BA53&lt;&gt;"",$AS53&lt;&gt;""),"      &lt;respcondition continue=""Yes""&gt;&lt;conditionvar&gt;&lt;varequal respident=""RESPONSE""&gt;7&lt;/varequal&gt;&lt;/conditionvar&gt;"&amp;"&lt;setvar action=""Add""&gt;"&amp;IF(AA53,$H53,0)&amp;"&lt;/setvar&gt;"&amp;IF(BA53&lt;&gt;"","&lt;displayfeedback feedbacktype=""Response"" linkrefid=""response_7""/&gt;",IF($AS53&lt;&gt;"","&lt;displayfeedback feedbacktype=""Response"" linkrefid=""qti_feedback_trigger""/&gt;",""))&amp;"&lt;/respcondition&gt;",""),IF(OR(AA53,BA53&lt;&gt;"",$AS53&lt;&gt;""),"      &lt;respcondition continue=""Yes""&gt;&lt;conditionvar&gt;"&amp;IF(AA53,"&lt;varequal respident=""RESPONSE""&gt;7&lt;/varequal&gt;","&lt;not&gt;&lt;varequal respident=""RESPONSE""&gt;7&lt;/varequal&gt;&lt;/not&gt;")&amp;"&lt;/conditionvar&gt;&lt;setvar action=""Add""&gt;"&amp;(Saisie_Questions!$N53/$I53)&amp;"&lt;/setvar&gt;"&amp;IF(BA53&lt;&gt;"","&lt;displayfeedback feedbacktype=""Response"" linkrefid=""response_7""/&gt;",IF($AS53&lt;&gt;"","&lt;displayfeedback feedbacktype=""Response"" linkrefid=""qti_feedback_trigger""/&gt;",""))&amp;"&lt;/respcondition&gt;",""))),"")</f>
      </c>
      <c r="AR53" s="46">
        <f>IF(A53="","",SUBSTITUTE(SUBSTITUTE(SUBSTITUTE(SUBSTITUTE(SUBSTITUTE(IF(Saisie_Questions!P53&lt;&gt;"",Saisie_Questions!P53,Interface_Generation!$B$5),"&amp;","&amp;amp;"),"&lt;","&amp;lt;"),"&gt;","&amp;gt;"),CHAR(34),"&amp;quot;"),"'","&amp;apos;"))</f>
        <v/>
      </c>
      <c r="AS53" s="46">
        <f>IF(Saisie_Questions!Q53="","",SUBSTITUTE(SUBSTITUTE(SUBSTITUTE(SUBSTITUTE(SUBSTITUTE(Saisie_Questions!Q53,"&amp;","&amp;amp;"),"&lt;","&amp;lt;"),"&gt;","&amp;gt;"),CHAR(34),"&amp;quot;"),"'","&amp;apos;"))</f>
        <v/>
      </c>
      <c r="AT53" s="46">
        <f>IF(Saisie_Questions!R53="","",SUBSTITUTE(SUBSTITUTE(SUBSTITUTE(SUBSTITUTE(SUBSTITUTE(Saisie_Questions!R53,"&amp;","&amp;amp;"),"&lt;","&amp;lt;"),"&gt;","&amp;gt;"),CHAR(34),"&amp;quot;"),"'","&amp;apos;"))</f>
        <v/>
      </c>
      <c r="AU53" s="46">
        <f>IF(Saisie_Questions!S53="","",SUBSTITUTE(SUBSTITUTE(SUBSTITUTE(SUBSTITUTE(SUBSTITUTE(Saisie_Questions!S53,"&amp;","&amp;amp;"),"&lt;","&amp;lt;"),"&gt;","&amp;gt;"),CHAR(34),"&amp;quot;"),"'","&amp;apos;"))</f>
        <v/>
      </c>
      <c r="AV53" s="46">
        <f>IF(Saisie_Questions!T53="","",SUBSTITUTE(SUBSTITUTE(SUBSTITUTE(SUBSTITUTE(SUBSTITUTE(Saisie_Questions!T53,"&amp;","&amp;amp;"),"&lt;","&amp;lt;"),"&gt;","&amp;gt;"),CHAR(34),"&amp;quot;"),"'","&amp;apos;"))</f>
        <v/>
      </c>
      <c r="AW53" s="46">
        <f>IF(Saisie_Questions!U53="","",SUBSTITUTE(SUBSTITUTE(SUBSTITUTE(SUBSTITUTE(SUBSTITUTE(Saisie_Questions!U53,"&amp;","&amp;amp;"),"&lt;","&amp;lt;"),"&gt;","&amp;gt;"),CHAR(34),"&amp;quot;"),"'","&amp;apos;"))</f>
        <v/>
      </c>
      <c r="AX53" s="46">
        <f>IF(Saisie_Questions!V53="","",SUBSTITUTE(SUBSTITUTE(SUBSTITUTE(SUBSTITUTE(SUBSTITUTE(Saisie_Questions!V53,"&amp;","&amp;amp;"),"&lt;","&amp;lt;"),"&gt;","&amp;gt;"),CHAR(34),"&amp;quot;"),"'","&amp;apos;"))</f>
        <v/>
      </c>
      <c r="AY53" s="46">
        <f>IF(Saisie_Questions!W53="","",SUBSTITUTE(SUBSTITUTE(SUBSTITUTE(SUBSTITUTE(SUBSTITUTE(Saisie_Questions!W53,"&amp;","&amp;amp;"),"&lt;","&amp;lt;"),"&gt;","&amp;gt;"),CHAR(34),"&amp;quot;"),"'","&amp;apos;"))</f>
        <v/>
      </c>
      <c r="AZ53" s="46">
        <f>IF(Saisie_Questions!X53="","",SUBSTITUTE(SUBSTITUTE(SUBSTITUTE(SUBSTITUTE(SUBSTITUTE(Saisie_Questions!X53,"&amp;","&amp;amp;"),"&lt;","&amp;lt;"),"&gt;","&amp;gt;"),CHAR(34),"&amp;quot;"),"'","&amp;apos;"))</f>
        <v/>
      </c>
      <c r="BA53" s="46">
        <f>IF(Saisie_Questions!Y53="","",SUBSTITUTE(SUBSTITUTE(SUBSTITUTE(SUBSTITUTE(SUBSTITUTE(Saisie_Questions!Y53,"&amp;","&amp;amp;"),"&lt;","&amp;lt;"),"&gt;","&amp;gt;"),CHAR(34),"&amp;quot;"),"'","&amp;apos;"))</f>
        <v/>
      </c>
      <c r="BB53" s="46">
        <f>IF($B53,IF($AS53="","","    &lt;itemfeedback ident=""response_allcorrect"" view=""All""&gt;&lt;flow_mat&gt;&lt;material&gt;&lt;mattext texttype=""text/html""&gt;"&amp;$AS53&amp;"&lt;/mattext&gt;&lt;/material&gt;&lt;/flow_mat&gt;&lt;/itemfeedback&gt;"&amp;"    &lt;itemfeedback ident=""response_onenotcorrect"" view=""All""&gt;&lt;flow_mat&gt;&lt;material&gt;&lt;mattext texttype=""text/html""&gt;"&amp;$AS53&amp;"&lt;/mattext&gt;&lt;/material&gt;&lt;/flow_mat&gt;&lt;/itemfeedback&gt;"),"")</f>
      </c>
      <c r="BC53" s="46">
        <f>IF($B53,IF(AT53="","","    &lt;itemfeedback ident=""response_0"" view=""All""&gt;&lt;flow_mat&gt;&lt;material&gt;&lt;mattext texttype=""text/html""&gt;"&amp;AT53&amp;"&lt;/mattext&gt;&lt;/material&gt;&lt;/flow_mat&gt;&lt;/itemfeedback&gt;"),"")</f>
      </c>
      <c r="BD53" s="46">
        <f>IF($B53,IF(AU53="","","    &lt;itemfeedback ident=""response_1"" view=""All""&gt;&lt;flow_mat&gt;&lt;material&gt;&lt;mattext texttype=""text/html""&gt;"&amp;AU53&amp;"&lt;/mattext&gt;&lt;/material&gt;&lt;/flow_mat&gt;&lt;/itemfeedback&gt;"),"")</f>
      </c>
      <c r="BE53" s="46">
        <f>IF($B53,IF(AV53="","","    &lt;itemfeedback ident=""response_2"" view=""All""&gt;&lt;flow_mat&gt;&lt;material&gt;&lt;mattext texttype=""text/html""&gt;"&amp;AV53&amp;"&lt;/mattext&gt;&lt;/material&gt;&lt;/flow_mat&gt;&lt;/itemfeedback&gt;"),"")</f>
      </c>
      <c r="BF53" s="46">
        <f>IF($B53,IF(AW53="","","    &lt;itemfeedback ident=""response_3"" view=""All""&gt;&lt;flow_mat&gt;&lt;material&gt;&lt;mattext texttype=""text/html""&gt;"&amp;AW53&amp;"&lt;/mattext&gt;&lt;/material&gt;&lt;/flow_mat&gt;&lt;/itemfeedback&gt;"),"")</f>
      </c>
      <c r="BG53" s="46">
        <f>IF($B53,IF(AX53="","","    &lt;itemfeedback ident=""response_4"" view=""All""&gt;&lt;flow_mat&gt;&lt;material&gt;&lt;mattext texttype=""text/html""&gt;"&amp;AX53&amp;"&lt;/mattext&gt;&lt;/material&gt;&lt;/flow_mat&gt;&lt;/itemfeedback&gt;"),"")</f>
      </c>
      <c r="BH53" s="46">
        <f>IF($B53,IF(AY53="","","    &lt;itemfeedback ident=""response_5"" view=""All""&gt;&lt;flow_mat&gt;&lt;material&gt;&lt;mattext texttype=""text/html""&gt;"&amp;AY53&amp;"&lt;/mattext&gt;&lt;/material&gt;&lt;/flow_mat&gt;&lt;/itemfeedback&gt;"),"")</f>
      </c>
      <c r="BI53" s="46">
        <f>IF($B53,IF(AZ53="","","    &lt;itemfeedback ident=""response_6"" view=""All""&gt;&lt;flow_mat&gt;&lt;material&gt;&lt;mattext texttype=""text/html""&gt;"&amp;AZ53&amp;"&lt;/mattext&gt;&lt;/material&gt;&lt;/flow_mat&gt;&lt;/itemfeedback&gt;"),"")</f>
      </c>
      <c r="BJ53" s="46">
        <f>IF($B53,IF(BA53="","","    &lt;itemfeedback ident=""response_7"" view=""All""&gt;&lt;flow_mat&gt;&lt;material&gt;&lt;mattext texttype=""text/html""&gt;"&amp;BA53&amp;"&lt;/mattext&gt;&lt;/material&gt;&lt;/flow_mat&gt;&lt;/itemfeedback&gt;"),"")</f>
      </c>
    </row>
    <row r="54" ht="18" customHeight="1" s="17">
      <c r="A54" s="46">
        <f>Saisie_Questions!A54</f>
        <v/>
      </c>
      <c r="B54" s="46">
        <f>Saisie_Questions!O54="OK"</f>
        <v/>
      </c>
      <c r="C54" s="46">
        <f>LOWER(TRIM(Saisie_Questions!B54))</f>
        <v/>
      </c>
      <c r="D54" s="46">
        <f>IF(C54="qcu","SINGLE CHOICE QUESTION","MULTIPLE CHOICE QUESTION")</f>
        <v/>
      </c>
      <c r="E54" s="46">
        <f>IF(C54="qcu","Single","Multiple")</f>
        <v/>
      </c>
      <c r="F54" s="46">
        <f>IF(A54="","",SUBSTITUTE(SUBSTITUTE(SUBSTITUTE(SUBSTITUTE(SUBSTITUTE(IF(Saisie_Questions!C54="", "Question "&amp;A54, Saisie_Questions!C54),"&amp;","&amp;amp;"),"&lt;","&amp;lt;"),"&gt;","&amp;gt;"),CHAR(34),"&amp;quot;"),"'","&amp;apos;"))</f>
        <v/>
      </c>
      <c r="G54" s="46">
        <f>IF(A54="","",SUBSTITUTE(SUBSTITUTE(SUBSTITUTE(SUBSTITUTE(SUBSTITUTE(Saisie_Questions!D54,"&amp;","&amp;amp;"),"&lt;","&amp;lt;"),"&gt;","&amp;gt;"),CHAR(34),"&amp;quot;"),"'","&amp;apos;"))</f>
        <v/>
      </c>
      <c r="H54" s="46">
        <f>Saisie_Questions!N54</f>
        <v/>
      </c>
      <c r="I54" s="46">
        <f>IF(Saisie_Questions!E54="",0,1)+IF(Saisie_Questions!F54="",0,1)+IF(Saisie_Questions!G54="",0,1)+IF(Saisie_Questions!H54="",0,1)+IF(Saisie_Questions!I54="",0,1)+IF(Saisie_Questions!J54="",0,1)+IF(Saisie_Questions!K54="",0,1)+IF(Saisie_Questions!L54="",0,1)</f>
        <v/>
      </c>
      <c r="J54" s="46">
        <f>Saisie_Questions!M54</f>
        <v/>
      </c>
      <c r="K54" s="46">
        <f>Saisie_Questions!O54</f>
        <v/>
      </c>
      <c r="L54" s="46">
        <f>IF(Saisie_Questions!E54="","",SUBSTITUTE(SUBSTITUTE(SUBSTITUTE(SUBSTITUTE(SUBSTITUTE(Saisie_Questions!E54,"&amp;","&amp;amp;"),"&lt;","&amp;lt;"),"&gt;","&amp;gt;"),CHAR(34),"&amp;quot;"),"'","&amp;apos;"))</f>
        <v/>
      </c>
      <c r="M54" s="46">
        <f>IF(Saisie_Questions!F54="","",SUBSTITUTE(SUBSTITUTE(SUBSTITUTE(SUBSTITUTE(SUBSTITUTE(Saisie_Questions!F54,"&amp;","&amp;amp;"),"&lt;","&amp;lt;"),"&gt;","&amp;gt;"),CHAR(34),"&amp;quot;"),"'","&amp;apos;"))</f>
        <v/>
      </c>
      <c r="N54" s="46">
        <f>IF(Saisie_Questions!G54="","",SUBSTITUTE(SUBSTITUTE(SUBSTITUTE(SUBSTITUTE(SUBSTITUTE(Saisie_Questions!G54,"&amp;","&amp;amp;"),"&lt;","&amp;lt;"),"&gt;","&amp;gt;"),CHAR(34),"&amp;quot;"),"'","&amp;apos;"))</f>
        <v/>
      </c>
      <c r="O54" s="46">
        <f>IF(Saisie_Questions!H54="","",SUBSTITUTE(SUBSTITUTE(SUBSTITUTE(SUBSTITUTE(SUBSTITUTE(Saisie_Questions!H54,"&amp;","&amp;amp;"),"&lt;","&amp;lt;"),"&gt;","&amp;gt;"),CHAR(34),"&amp;quot;"),"'","&amp;apos;"))</f>
        <v/>
      </c>
      <c r="P54" s="46">
        <f>IF(Saisie_Questions!I54="","",SUBSTITUTE(SUBSTITUTE(SUBSTITUTE(SUBSTITUTE(SUBSTITUTE(Saisie_Questions!I54,"&amp;","&amp;amp;"),"&lt;","&amp;lt;"),"&gt;","&amp;gt;"),CHAR(34),"&amp;quot;"),"'","&amp;apos;"))</f>
        <v/>
      </c>
      <c r="Q54" s="46">
        <f>IF(Saisie_Questions!J54="","",SUBSTITUTE(SUBSTITUTE(SUBSTITUTE(SUBSTITUTE(SUBSTITUTE(Saisie_Questions!J54,"&amp;","&amp;amp;"),"&lt;","&amp;lt;"),"&gt;","&amp;gt;"),CHAR(34),"&amp;quot;"),"'","&amp;apos;"))</f>
        <v/>
      </c>
      <c r="R54" s="46">
        <f>IF(Saisie_Questions!K54="","",SUBSTITUTE(SUBSTITUTE(SUBSTITUTE(SUBSTITUTE(SUBSTITUTE(Saisie_Questions!K54,"&amp;","&amp;amp;"),"&lt;","&amp;lt;"),"&gt;","&amp;gt;"),CHAR(34),"&amp;quot;"),"'","&amp;apos;"))</f>
        <v/>
      </c>
      <c r="S54" s="46">
        <f>IF(Saisie_Questions!L54="","",SUBSTITUTE(SUBSTITUTE(SUBSTITUTE(SUBSTITUTE(SUBSTITUTE(Saisie_Questions!L54,"&amp;","&amp;amp;"),"&lt;","&amp;lt;"),"&gt;","&amp;gt;"),CHAR(34),"&amp;quot;"),"'","&amp;apos;"))</f>
        <v/>
      </c>
      <c r="T54" s="46">
        <f>ISNUMBER(SEARCH(";"&amp;1&amp;";",";"&amp;$J54&amp;";"))</f>
        <v/>
      </c>
      <c r="U54" s="46">
        <f>ISNUMBER(SEARCH(";"&amp;2&amp;";",";"&amp;$J54&amp;";"))</f>
        <v/>
      </c>
      <c r="V54" s="46">
        <f>ISNUMBER(SEARCH(";"&amp;3&amp;";",";"&amp;$J54&amp;";"))</f>
        <v/>
      </c>
      <c r="W54" s="46">
        <f>ISNUMBER(SEARCH(";"&amp;4&amp;";",";"&amp;$J54&amp;";"))</f>
        <v/>
      </c>
      <c r="X54" s="46">
        <f>ISNUMBER(SEARCH(";"&amp;5&amp;";",";"&amp;$J54&amp;";"))</f>
        <v/>
      </c>
      <c r="Y54" s="46">
        <f>ISNUMBER(SEARCH(";"&amp;6&amp;";",";"&amp;$J54&amp;";"))</f>
        <v/>
      </c>
      <c r="Z54" s="46">
        <f>ISNUMBER(SEARCH(";"&amp;7&amp;";",";"&amp;$J54&amp;";"))</f>
        <v/>
      </c>
      <c r="AA54" s="46">
        <f>ISNUMBER(SEARCH(";"&amp;8&amp;";",";"&amp;$J54&amp;";"))</f>
        <v/>
      </c>
      <c r="AB54" s="46">
        <f>IF($B54,IF(L54="","","        &lt;response_label ident=""0""&gt;&lt;material&gt;&lt;mattext texttype=""text/html""&gt;"&amp;L54&amp;"&lt;/mattext&gt;&lt;/material&gt;&lt;/response_label&gt;"),"")</f>
        <v/>
      </c>
      <c r="AC54" s="46">
        <f>IF($B54,IF(M54="","","        &lt;response_label ident=""1""&gt;&lt;material&gt;&lt;mattext texttype=""text/html""&gt;"&amp;M54&amp;"&lt;/mattext&gt;&lt;/material&gt;&lt;/response_label&gt;"),"")</f>
        <v/>
      </c>
      <c r="AD54" s="46">
        <f>IF($B54,IF(N54="","","        &lt;response_label ident=""2""&gt;&lt;material&gt;&lt;mattext texttype=""text/html""&gt;"&amp;N54&amp;"&lt;/mattext&gt;&lt;/material&gt;&lt;/response_label&gt;"),"")</f>
        <v/>
      </c>
      <c r="AE54" s="46">
        <f>IF($B54,IF(O54="","","        &lt;response_label ident=""3""&gt;&lt;material&gt;&lt;mattext texttype=""text/html""&gt;"&amp;O54&amp;"&lt;/mattext&gt;&lt;/material&gt;&lt;/response_label&gt;"),"")</f>
        <v/>
      </c>
      <c r="AF54" s="46">
        <f>IF($B54,IF(P54="","","        &lt;response_label ident=""4""&gt;&lt;material&gt;&lt;mattext texttype=""text/html""&gt;"&amp;P54&amp;"&lt;/mattext&gt;&lt;/material&gt;&lt;/response_label&gt;"),"")</f>
        <v/>
      </c>
      <c r="AG54" s="46">
        <f>IF($B54,IF(Q54="","","        &lt;response_label ident=""5""&gt;&lt;material&gt;&lt;mattext texttype=""text/html""&gt;"&amp;Q54&amp;"&lt;/mattext&gt;&lt;/material&gt;&lt;/response_label&gt;"),"")</f>
        <v/>
      </c>
      <c r="AH54" s="46">
        <f>IF($B54,IF(R54="","","        &lt;response_label ident=""6""&gt;&lt;material&gt;&lt;mattext texttype=""text/html""&gt;"&amp;R54&amp;"&lt;/mattext&gt;&lt;/material&gt;&lt;/response_label&gt;"),"")</f>
        <v/>
      </c>
      <c r="AI54" s="46">
        <f>IF($B54,IF(S54="","","        &lt;response_label ident=""7""&gt;&lt;material&gt;&lt;mattext texttype=""text/html""&gt;"&amp;S54&amp;"&lt;/mattext&gt;&lt;/material&gt;&lt;/response_label&gt;"),"")</f>
        <v/>
      </c>
      <c r="AJ54" s="46">
        <f>IF($B54,IF(L54="","",IF($C54="qcu",IF(OR(T54,AT54&lt;&gt;"",$AS54&lt;&gt;""),"      &lt;respcondition continue=""Yes""&gt;&lt;conditionvar&gt;&lt;varequal respident=""RESPONSE""&gt;0&lt;/varequal&gt;&lt;/conditionvar&gt;"&amp;"&lt;setvar action=""Add""&gt;"&amp;IF(T54,$H54,0)&amp;"&lt;/setvar&gt;"&amp;IF(AT54&lt;&gt;"","&lt;displayfeedback feedbacktype=""Response"" linkrefid=""response_0""/&gt;",IF($AS54&lt;&gt;"","&lt;displayfeedback feedbacktype=""Response"" linkrefid=""qti_feedback_trigger""/&gt;",""))&amp;"&lt;/respcondition&gt;",""),IF(OR(T54,AT54&lt;&gt;"",$AS54&lt;&gt;""),"      &lt;respcondition continue=""Yes""&gt;&lt;conditionvar&gt;"&amp;IF(T54,"&lt;varequal respident=""RESPONSE""&gt;0&lt;/varequal&gt;","&lt;not&gt;&lt;varequal respident=""RESPONSE""&gt;0&lt;/varequal&gt;&lt;/not&gt;")&amp;"&lt;/conditionvar&gt;&lt;setvar action=""Add""&gt;"&amp;(Saisie_Questions!$N54/$I54)&amp;"&lt;/setvar&gt;"&amp;IF(AT54&lt;&gt;"","&lt;displayfeedback feedbacktype=""Response"" linkrefid=""response_0""/&gt;",IF($AS54&lt;&gt;"","&lt;displayfeedback feedbacktype=""Response"" linkrefid=""qti_feedback_trigger""/&gt;",""))&amp;"&lt;/respcondition&gt;",""))),"")</f>
      </c>
      <c r="AK54" s="46">
        <f>IF($B54,IF(M54="","",IF($C54="qcu",IF(OR(U54,AU54&lt;&gt;"",$AS54&lt;&gt;""),"      &lt;respcondition continue=""Yes""&gt;&lt;conditionvar&gt;&lt;varequal respident=""RESPONSE""&gt;1&lt;/varequal&gt;&lt;/conditionvar&gt;"&amp;"&lt;setvar action=""Add""&gt;"&amp;IF(U54,$H54,0)&amp;"&lt;/setvar&gt;"&amp;IF(AU54&lt;&gt;"","&lt;displayfeedback feedbacktype=""Response"" linkrefid=""response_1""/&gt;",IF($AS54&lt;&gt;"","&lt;displayfeedback feedbacktype=""Response"" linkrefid=""qti_feedback_trigger""/&gt;",""))&amp;"&lt;/respcondition&gt;",""),IF(OR(U54,AU54&lt;&gt;"",$AS54&lt;&gt;""),"      &lt;respcondition continue=""Yes""&gt;&lt;conditionvar&gt;"&amp;IF(U54,"&lt;varequal respident=""RESPONSE""&gt;1&lt;/varequal&gt;","&lt;not&gt;&lt;varequal respident=""RESPONSE""&gt;1&lt;/varequal&gt;&lt;/not&gt;")&amp;"&lt;/conditionvar&gt;&lt;setvar action=""Add""&gt;"&amp;(Saisie_Questions!$N54/$I54)&amp;"&lt;/setvar&gt;"&amp;IF(AU54&lt;&gt;"","&lt;displayfeedback feedbacktype=""Response"" linkrefid=""response_1""/&gt;",IF($AS54&lt;&gt;"","&lt;displayfeedback feedbacktype=""Response"" linkrefid=""qti_feedback_trigger""/&gt;",""))&amp;"&lt;/respcondition&gt;",""))),"")</f>
      </c>
      <c r="AL54" s="46">
        <f>IF($B54,IF(N54="","",IF($C54="qcu",IF(OR(V54,AV54&lt;&gt;"",$AS54&lt;&gt;""),"      &lt;respcondition continue=""Yes""&gt;&lt;conditionvar&gt;&lt;varequal respident=""RESPONSE""&gt;2&lt;/varequal&gt;&lt;/conditionvar&gt;"&amp;"&lt;setvar action=""Add""&gt;"&amp;IF(V54,$H54,0)&amp;"&lt;/setvar&gt;"&amp;IF(AV54&lt;&gt;"","&lt;displayfeedback feedbacktype=""Response"" linkrefid=""response_2""/&gt;",IF($AS54&lt;&gt;"","&lt;displayfeedback feedbacktype=""Response"" linkrefid=""qti_feedback_trigger""/&gt;",""))&amp;"&lt;/respcondition&gt;",""),IF(OR(V54,AV54&lt;&gt;"",$AS54&lt;&gt;""),"      &lt;respcondition continue=""Yes""&gt;&lt;conditionvar&gt;"&amp;IF(V54,"&lt;varequal respident=""RESPONSE""&gt;2&lt;/varequal&gt;","&lt;not&gt;&lt;varequal respident=""RESPONSE""&gt;2&lt;/varequal&gt;&lt;/not&gt;")&amp;"&lt;/conditionvar&gt;&lt;setvar action=""Add""&gt;"&amp;(Saisie_Questions!$N54/$I54)&amp;"&lt;/setvar&gt;"&amp;IF(AV54&lt;&gt;"","&lt;displayfeedback feedbacktype=""Response"" linkrefid=""response_2""/&gt;",IF($AS54&lt;&gt;"","&lt;displayfeedback feedbacktype=""Response"" linkrefid=""qti_feedback_trigger""/&gt;",""))&amp;"&lt;/respcondition&gt;",""))),"")</f>
      </c>
      <c r="AM54" s="46">
        <f>IF($B54,IF(O54="","",IF($C54="qcu",IF(OR(W54,AW54&lt;&gt;"",$AS54&lt;&gt;""),"      &lt;respcondition continue=""Yes""&gt;&lt;conditionvar&gt;&lt;varequal respident=""RESPONSE""&gt;3&lt;/varequal&gt;&lt;/conditionvar&gt;"&amp;"&lt;setvar action=""Add""&gt;"&amp;IF(W54,$H54,0)&amp;"&lt;/setvar&gt;"&amp;IF(AW54&lt;&gt;"","&lt;displayfeedback feedbacktype=""Response"" linkrefid=""response_3""/&gt;",IF($AS54&lt;&gt;"","&lt;displayfeedback feedbacktype=""Response"" linkrefid=""qti_feedback_trigger""/&gt;",""))&amp;"&lt;/respcondition&gt;",""),IF(OR(W54,AW54&lt;&gt;"",$AS54&lt;&gt;""),"      &lt;respcondition continue=""Yes""&gt;&lt;conditionvar&gt;"&amp;IF(W54,"&lt;varequal respident=""RESPONSE""&gt;3&lt;/varequal&gt;","&lt;not&gt;&lt;varequal respident=""RESPONSE""&gt;3&lt;/varequal&gt;&lt;/not&gt;")&amp;"&lt;/conditionvar&gt;&lt;setvar action=""Add""&gt;"&amp;(Saisie_Questions!$N54/$I54)&amp;"&lt;/setvar&gt;"&amp;IF(AW54&lt;&gt;"","&lt;displayfeedback feedbacktype=""Response"" linkrefid=""response_3""/&gt;",IF($AS54&lt;&gt;"","&lt;displayfeedback feedbacktype=""Response"" linkrefid=""qti_feedback_trigger""/&gt;",""))&amp;"&lt;/respcondition&gt;",""))),"")</f>
      </c>
      <c r="AN54" s="46">
        <f>IF($B54,IF(P54="","",IF($C54="qcu",IF(OR(X54,AX54&lt;&gt;"",$AS54&lt;&gt;""),"      &lt;respcondition continue=""Yes""&gt;&lt;conditionvar&gt;&lt;varequal respident=""RESPONSE""&gt;4&lt;/varequal&gt;&lt;/conditionvar&gt;"&amp;"&lt;setvar action=""Add""&gt;"&amp;IF(X54,$H54,0)&amp;"&lt;/setvar&gt;"&amp;IF(AX54&lt;&gt;"","&lt;displayfeedback feedbacktype=""Response"" linkrefid=""response_4""/&gt;",IF($AS54&lt;&gt;"","&lt;displayfeedback feedbacktype=""Response"" linkrefid=""qti_feedback_trigger""/&gt;",""))&amp;"&lt;/respcondition&gt;",""),IF(OR(X54,AX54&lt;&gt;"",$AS54&lt;&gt;""),"      &lt;respcondition continue=""Yes""&gt;&lt;conditionvar&gt;"&amp;IF(X54,"&lt;varequal respident=""RESPONSE""&gt;4&lt;/varequal&gt;","&lt;not&gt;&lt;varequal respident=""RESPONSE""&gt;4&lt;/varequal&gt;&lt;/not&gt;")&amp;"&lt;/conditionvar&gt;&lt;setvar action=""Add""&gt;"&amp;(Saisie_Questions!$N54/$I54)&amp;"&lt;/setvar&gt;"&amp;IF(AX54&lt;&gt;"","&lt;displayfeedback feedbacktype=""Response"" linkrefid=""response_4""/&gt;",IF($AS54&lt;&gt;"","&lt;displayfeedback feedbacktype=""Response"" linkrefid=""qti_feedback_trigger""/&gt;",""))&amp;"&lt;/respcondition&gt;",""))),"")</f>
      </c>
      <c r="AO54" s="46">
        <f>IF($B54,IF(Q54="","",IF($C54="qcu",IF(OR(Y54,AY54&lt;&gt;"",$AS54&lt;&gt;""),"      &lt;respcondition continue=""Yes""&gt;&lt;conditionvar&gt;&lt;varequal respident=""RESPONSE""&gt;5&lt;/varequal&gt;&lt;/conditionvar&gt;"&amp;"&lt;setvar action=""Add""&gt;"&amp;IF(Y54,$H54,0)&amp;"&lt;/setvar&gt;"&amp;IF(AY54&lt;&gt;"","&lt;displayfeedback feedbacktype=""Response"" linkrefid=""response_5""/&gt;",IF($AS54&lt;&gt;"","&lt;displayfeedback feedbacktype=""Response"" linkrefid=""qti_feedback_trigger""/&gt;",""))&amp;"&lt;/respcondition&gt;",""),IF(OR(Y54,AY54&lt;&gt;"",$AS54&lt;&gt;""),"      &lt;respcondition continue=""Yes""&gt;&lt;conditionvar&gt;"&amp;IF(Y54,"&lt;varequal respident=""RESPONSE""&gt;5&lt;/varequal&gt;","&lt;not&gt;&lt;varequal respident=""RESPONSE""&gt;5&lt;/varequal&gt;&lt;/not&gt;")&amp;"&lt;/conditionvar&gt;&lt;setvar action=""Add""&gt;"&amp;(Saisie_Questions!$N54/$I54)&amp;"&lt;/setvar&gt;"&amp;IF(AY54&lt;&gt;"","&lt;displayfeedback feedbacktype=""Response"" linkrefid=""response_5""/&gt;",IF($AS54&lt;&gt;"","&lt;displayfeedback feedbacktype=""Response"" linkrefid=""qti_feedback_trigger""/&gt;",""))&amp;"&lt;/respcondition&gt;",""))),"")</f>
      </c>
      <c r="AP54" s="46">
        <f>IF($B54,IF(R54="","",IF($C54="qcu",IF(OR(Z54,AZ54&lt;&gt;"",$AS54&lt;&gt;""),"      &lt;respcondition continue=""Yes""&gt;&lt;conditionvar&gt;&lt;varequal respident=""RESPONSE""&gt;6&lt;/varequal&gt;&lt;/conditionvar&gt;"&amp;"&lt;setvar action=""Add""&gt;"&amp;IF(Z54,$H54,0)&amp;"&lt;/setvar&gt;"&amp;IF(AZ54&lt;&gt;"","&lt;displayfeedback feedbacktype=""Response"" linkrefid=""response_6""/&gt;",IF($AS54&lt;&gt;"","&lt;displayfeedback feedbacktype=""Response"" linkrefid=""qti_feedback_trigger""/&gt;",""))&amp;"&lt;/respcondition&gt;",""),IF(OR(Z54,AZ54&lt;&gt;"",$AS54&lt;&gt;""),"      &lt;respcondition continue=""Yes""&gt;&lt;conditionvar&gt;"&amp;IF(Z54,"&lt;varequal respident=""RESPONSE""&gt;6&lt;/varequal&gt;","&lt;not&gt;&lt;varequal respident=""RESPONSE""&gt;6&lt;/varequal&gt;&lt;/not&gt;")&amp;"&lt;/conditionvar&gt;&lt;setvar action=""Add""&gt;"&amp;(Saisie_Questions!$N54/$I54)&amp;"&lt;/setvar&gt;"&amp;IF(AZ54&lt;&gt;"","&lt;displayfeedback feedbacktype=""Response"" linkrefid=""response_6""/&gt;",IF($AS54&lt;&gt;"","&lt;displayfeedback feedbacktype=""Response"" linkrefid=""qti_feedback_trigger""/&gt;",""))&amp;"&lt;/respcondition&gt;",""))),"")</f>
      </c>
      <c r="AQ54" s="46">
        <f>IF($B54,IF(S54="","",IF($C54="qcu",IF(OR(AA54,BA54&lt;&gt;"",$AS54&lt;&gt;""),"      &lt;respcondition continue=""Yes""&gt;&lt;conditionvar&gt;&lt;varequal respident=""RESPONSE""&gt;7&lt;/varequal&gt;&lt;/conditionvar&gt;"&amp;"&lt;setvar action=""Add""&gt;"&amp;IF(AA54,$H54,0)&amp;"&lt;/setvar&gt;"&amp;IF(BA54&lt;&gt;"","&lt;displayfeedback feedbacktype=""Response"" linkrefid=""response_7""/&gt;",IF($AS54&lt;&gt;"","&lt;displayfeedback feedbacktype=""Response"" linkrefid=""qti_feedback_trigger""/&gt;",""))&amp;"&lt;/respcondition&gt;",""),IF(OR(AA54,BA54&lt;&gt;"",$AS54&lt;&gt;""),"      &lt;respcondition continue=""Yes""&gt;&lt;conditionvar&gt;"&amp;IF(AA54,"&lt;varequal respident=""RESPONSE""&gt;7&lt;/varequal&gt;","&lt;not&gt;&lt;varequal respident=""RESPONSE""&gt;7&lt;/varequal&gt;&lt;/not&gt;")&amp;"&lt;/conditionvar&gt;&lt;setvar action=""Add""&gt;"&amp;(Saisie_Questions!$N54/$I54)&amp;"&lt;/setvar&gt;"&amp;IF(BA54&lt;&gt;"","&lt;displayfeedback feedbacktype=""Response"" linkrefid=""response_7""/&gt;",IF($AS54&lt;&gt;"","&lt;displayfeedback feedbacktype=""Response"" linkrefid=""qti_feedback_trigger""/&gt;",""))&amp;"&lt;/respcondition&gt;",""))),"")</f>
      </c>
      <c r="AR54" s="46">
        <f>IF(A54="","",SUBSTITUTE(SUBSTITUTE(SUBSTITUTE(SUBSTITUTE(SUBSTITUTE(IF(Saisie_Questions!P54&lt;&gt;"",Saisie_Questions!P54,Interface_Generation!$B$5),"&amp;","&amp;amp;"),"&lt;","&amp;lt;"),"&gt;","&amp;gt;"),CHAR(34),"&amp;quot;"),"'","&amp;apos;"))</f>
        <v/>
      </c>
      <c r="AS54" s="46">
        <f>IF(Saisie_Questions!Q54="","",SUBSTITUTE(SUBSTITUTE(SUBSTITUTE(SUBSTITUTE(SUBSTITUTE(Saisie_Questions!Q54,"&amp;","&amp;amp;"),"&lt;","&amp;lt;"),"&gt;","&amp;gt;"),CHAR(34),"&amp;quot;"),"'","&amp;apos;"))</f>
        <v/>
      </c>
      <c r="AT54" s="46">
        <f>IF(Saisie_Questions!R54="","",SUBSTITUTE(SUBSTITUTE(SUBSTITUTE(SUBSTITUTE(SUBSTITUTE(Saisie_Questions!R54,"&amp;","&amp;amp;"),"&lt;","&amp;lt;"),"&gt;","&amp;gt;"),CHAR(34),"&amp;quot;"),"'","&amp;apos;"))</f>
        <v/>
      </c>
      <c r="AU54" s="46">
        <f>IF(Saisie_Questions!S54="","",SUBSTITUTE(SUBSTITUTE(SUBSTITUTE(SUBSTITUTE(SUBSTITUTE(Saisie_Questions!S54,"&amp;","&amp;amp;"),"&lt;","&amp;lt;"),"&gt;","&amp;gt;"),CHAR(34),"&amp;quot;"),"'","&amp;apos;"))</f>
        <v/>
      </c>
      <c r="AV54" s="46">
        <f>IF(Saisie_Questions!T54="","",SUBSTITUTE(SUBSTITUTE(SUBSTITUTE(SUBSTITUTE(SUBSTITUTE(Saisie_Questions!T54,"&amp;","&amp;amp;"),"&lt;","&amp;lt;"),"&gt;","&amp;gt;"),CHAR(34),"&amp;quot;"),"'","&amp;apos;"))</f>
        <v/>
      </c>
      <c r="AW54" s="46">
        <f>IF(Saisie_Questions!U54="","",SUBSTITUTE(SUBSTITUTE(SUBSTITUTE(SUBSTITUTE(SUBSTITUTE(Saisie_Questions!U54,"&amp;","&amp;amp;"),"&lt;","&amp;lt;"),"&gt;","&amp;gt;"),CHAR(34),"&amp;quot;"),"'","&amp;apos;"))</f>
        <v/>
      </c>
      <c r="AX54" s="46">
        <f>IF(Saisie_Questions!V54="","",SUBSTITUTE(SUBSTITUTE(SUBSTITUTE(SUBSTITUTE(SUBSTITUTE(Saisie_Questions!V54,"&amp;","&amp;amp;"),"&lt;","&amp;lt;"),"&gt;","&amp;gt;"),CHAR(34),"&amp;quot;"),"'","&amp;apos;"))</f>
        <v/>
      </c>
      <c r="AY54" s="46">
        <f>IF(Saisie_Questions!W54="","",SUBSTITUTE(SUBSTITUTE(SUBSTITUTE(SUBSTITUTE(SUBSTITUTE(Saisie_Questions!W54,"&amp;","&amp;amp;"),"&lt;","&amp;lt;"),"&gt;","&amp;gt;"),CHAR(34),"&amp;quot;"),"'","&amp;apos;"))</f>
        <v/>
      </c>
      <c r="AZ54" s="46">
        <f>IF(Saisie_Questions!X54="","",SUBSTITUTE(SUBSTITUTE(SUBSTITUTE(SUBSTITUTE(SUBSTITUTE(Saisie_Questions!X54,"&amp;","&amp;amp;"),"&lt;","&amp;lt;"),"&gt;","&amp;gt;"),CHAR(34),"&amp;quot;"),"'","&amp;apos;"))</f>
        <v/>
      </c>
      <c r="BA54" s="46">
        <f>IF(Saisie_Questions!Y54="","",SUBSTITUTE(SUBSTITUTE(SUBSTITUTE(SUBSTITUTE(SUBSTITUTE(Saisie_Questions!Y54,"&amp;","&amp;amp;"),"&lt;","&amp;lt;"),"&gt;","&amp;gt;"),CHAR(34),"&amp;quot;"),"'","&amp;apos;"))</f>
        <v/>
      </c>
      <c r="BB54" s="46">
        <f>IF($B54,IF($AS54="","","    &lt;itemfeedback ident=""response_allcorrect"" view=""All""&gt;&lt;flow_mat&gt;&lt;material&gt;&lt;mattext texttype=""text/html""&gt;"&amp;$AS54&amp;"&lt;/mattext&gt;&lt;/material&gt;&lt;/flow_mat&gt;&lt;/itemfeedback&gt;"&amp;"    &lt;itemfeedback ident=""response_onenotcorrect"" view=""All""&gt;&lt;flow_mat&gt;&lt;material&gt;&lt;mattext texttype=""text/html""&gt;"&amp;$AS54&amp;"&lt;/mattext&gt;&lt;/material&gt;&lt;/flow_mat&gt;&lt;/itemfeedback&gt;"),"")</f>
      </c>
      <c r="BC54" s="46">
        <f>IF($B54,IF(AT54="","","    &lt;itemfeedback ident=""response_0"" view=""All""&gt;&lt;flow_mat&gt;&lt;material&gt;&lt;mattext texttype=""text/html""&gt;"&amp;AT54&amp;"&lt;/mattext&gt;&lt;/material&gt;&lt;/flow_mat&gt;&lt;/itemfeedback&gt;"),"")</f>
      </c>
      <c r="BD54" s="46">
        <f>IF($B54,IF(AU54="","","    &lt;itemfeedback ident=""response_1"" view=""All""&gt;&lt;flow_mat&gt;&lt;material&gt;&lt;mattext texttype=""text/html""&gt;"&amp;AU54&amp;"&lt;/mattext&gt;&lt;/material&gt;&lt;/flow_mat&gt;&lt;/itemfeedback&gt;"),"")</f>
      </c>
      <c r="BE54" s="46">
        <f>IF($B54,IF(AV54="","","    &lt;itemfeedback ident=""response_2"" view=""All""&gt;&lt;flow_mat&gt;&lt;material&gt;&lt;mattext texttype=""text/html""&gt;"&amp;AV54&amp;"&lt;/mattext&gt;&lt;/material&gt;&lt;/flow_mat&gt;&lt;/itemfeedback&gt;"),"")</f>
      </c>
      <c r="BF54" s="46">
        <f>IF($B54,IF(AW54="","","    &lt;itemfeedback ident=""response_3"" view=""All""&gt;&lt;flow_mat&gt;&lt;material&gt;&lt;mattext texttype=""text/html""&gt;"&amp;AW54&amp;"&lt;/mattext&gt;&lt;/material&gt;&lt;/flow_mat&gt;&lt;/itemfeedback&gt;"),"")</f>
      </c>
      <c r="BG54" s="46">
        <f>IF($B54,IF(AX54="","","    &lt;itemfeedback ident=""response_4"" view=""All""&gt;&lt;flow_mat&gt;&lt;material&gt;&lt;mattext texttype=""text/html""&gt;"&amp;AX54&amp;"&lt;/mattext&gt;&lt;/material&gt;&lt;/flow_mat&gt;&lt;/itemfeedback&gt;"),"")</f>
      </c>
      <c r="BH54" s="46">
        <f>IF($B54,IF(AY54="","","    &lt;itemfeedback ident=""response_5"" view=""All""&gt;&lt;flow_mat&gt;&lt;material&gt;&lt;mattext texttype=""text/html""&gt;"&amp;AY54&amp;"&lt;/mattext&gt;&lt;/material&gt;&lt;/flow_mat&gt;&lt;/itemfeedback&gt;"),"")</f>
      </c>
      <c r="BI54" s="46">
        <f>IF($B54,IF(AZ54="","","    &lt;itemfeedback ident=""response_6"" view=""All""&gt;&lt;flow_mat&gt;&lt;material&gt;&lt;mattext texttype=""text/html""&gt;"&amp;AZ54&amp;"&lt;/mattext&gt;&lt;/material&gt;&lt;/flow_mat&gt;&lt;/itemfeedback&gt;"),"")</f>
      </c>
      <c r="BJ54" s="46">
        <f>IF($B54,IF(BA54="","","    &lt;itemfeedback ident=""response_7"" view=""All""&gt;&lt;flow_mat&gt;&lt;material&gt;&lt;mattext texttype=""text/html""&gt;"&amp;BA54&amp;"&lt;/mattext&gt;&lt;/material&gt;&lt;/flow_mat&gt;&lt;/itemfeedback&gt;"),"")</f>
      </c>
    </row>
    <row r="55" ht="18" customHeight="1" s="17">
      <c r="A55" s="46">
        <f>Saisie_Questions!A55</f>
        <v/>
      </c>
      <c r="B55" s="46">
        <f>Saisie_Questions!O55="OK"</f>
        <v/>
      </c>
      <c r="C55" s="46">
        <f>LOWER(TRIM(Saisie_Questions!B55))</f>
        <v/>
      </c>
      <c r="D55" s="46">
        <f>IF(C55="qcu","SINGLE CHOICE QUESTION","MULTIPLE CHOICE QUESTION")</f>
        <v/>
      </c>
      <c r="E55" s="46">
        <f>IF(C55="qcu","Single","Multiple")</f>
        <v/>
      </c>
      <c r="F55" s="46">
        <f>IF(A55="","",SUBSTITUTE(SUBSTITUTE(SUBSTITUTE(SUBSTITUTE(SUBSTITUTE(IF(Saisie_Questions!C55="", "Question "&amp;A55, Saisie_Questions!C55),"&amp;","&amp;amp;"),"&lt;","&amp;lt;"),"&gt;","&amp;gt;"),CHAR(34),"&amp;quot;"),"'","&amp;apos;"))</f>
        <v/>
      </c>
      <c r="G55" s="46">
        <f>IF(A55="","",SUBSTITUTE(SUBSTITUTE(SUBSTITUTE(SUBSTITUTE(SUBSTITUTE(Saisie_Questions!D55,"&amp;","&amp;amp;"),"&lt;","&amp;lt;"),"&gt;","&amp;gt;"),CHAR(34),"&amp;quot;"),"'","&amp;apos;"))</f>
        <v/>
      </c>
      <c r="H55" s="46">
        <f>Saisie_Questions!N55</f>
        <v/>
      </c>
      <c r="I55" s="46">
        <f>IF(Saisie_Questions!E55="",0,1)+IF(Saisie_Questions!F55="",0,1)+IF(Saisie_Questions!G55="",0,1)+IF(Saisie_Questions!H55="",0,1)+IF(Saisie_Questions!I55="",0,1)+IF(Saisie_Questions!J55="",0,1)+IF(Saisie_Questions!K55="",0,1)+IF(Saisie_Questions!L55="",0,1)</f>
        <v/>
      </c>
      <c r="J55" s="46">
        <f>Saisie_Questions!M55</f>
        <v/>
      </c>
      <c r="K55" s="46">
        <f>Saisie_Questions!O55</f>
        <v/>
      </c>
      <c r="L55" s="46">
        <f>IF(Saisie_Questions!E55="","",SUBSTITUTE(SUBSTITUTE(SUBSTITUTE(SUBSTITUTE(SUBSTITUTE(Saisie_Questions!E55,"&amp;","&amp;amp;"),"&lt;","&amp;lt;"),"&gt;","&amp;gt;"),CHAR(34),"&amp;quot;"),"'","&amp;apos;"))</f>
        <v/>
      </c>
      <c r="M55" s="46">
        <f>IF(Saisie_Questions!F55="","",SUBSTITUTE(SUBSTITUTE(SUBSTITUTE(SUBSTITUTE(SUBSTITUTE(Saisie_Questions!F55,"&amp;","&amp;amp;"),"&lt;","&amp;lt;"),"&gt;","&amp;gt;"),CHAR(34),"&amp;quot;"),"'","&amp;apos;"))</f>
        <v/>
      </c>
      <c r="N55" s="46">
        <f>IF(Saisie_Questions!G55="","",SUBSTITUTE(SUBSTITUTE(SUBSTITUTE(SUBSTITUTE(SUBSTITUTE(Saisie_Questions!G55,"&amp;","&amp;amp;"),"&lt;","&amp;lt;"),"&gt;","&amp;gt;"),CHAR(34),"&amp;quot;"),"'","&amp;apos;"))</f>
        <v/>
      </c>
      <c r="O55" s="46">
        <f>IF(Saisie_Questions!H55="","",SUBSTITUTE(SUBSTITUTE(SUBSTITUTE(SUBSTITUTE(SUBSTITUTE(Saisie_Questions!H55,"&amp;","&amp;amp;"),"&lt;","&amp;lt;"),"&gt;","&amp;gt;"),CHAR(34),"&amp;quot;"),"'","&amp;apos;"))</f>
        <v/>
      </c>
      <c r="P55" s="46">
        <f>IF(Saisie_Questions!I55="","",SUBSTITUTE(SUBSTITUTE(SUBSTITUTE(SUBSTITUTE(SUBSTITUTE(Saisie_Questions!I55,"&amp;","&amp;amp;"),"&lt;","&amp;lt;"),"&gt;","&amp;gt;"),CHAR(34),"&amp;quot;"),"'","&amp;apos;"))</f>
        <v/>
      </c>
      <c r="Q55" s="46">
        <f>IF(Saisie_Questions!J55="","",SUBSTITUTE(SUBSTITUTE(SUBSTITUTE(SUBSTITUTE(SUBSTITUTE(Saisie_Questions!J55,"&amp;","&amp;amp;"),"&lt;","&amp;lt;"),"&gt;","&amp;gt;"),CHAR(34),"&amp;quot;"),"'","&amp;apos;"))</f>
        <v/>
      </c>
      <c r="R55" s="46">
        <f>IF(Saisie_Questions!K55="","",SUBSTITUTE(SUBSTITUTE(SUBSTITUTE(SUBSTITUTE(SUBSTITUTE(Saisie_Questions!K55,"&amp;","&amp;amp;"),"&lt;","&amp;lt;"),"&gt;","&amp;gt;"),CHAR(34),"&amp;quot;"),"'","&amp;apos;"))</f>
        <v/>
      </c>
      <c r="S55" s="46">
        <f>IF(Saisie_Questions!L55="","",SUBSTITUTE(SUBSTITUTE(SUBSTITUTE(SUBSTITUTE(SUBSTITUTE(Saisie_Questions!L55,"&amp;","&amp;amp;"),"&lt;","&amp;lt;"),"&gt;","&amp;gt;"),CHAR(34),"&amp;quot;"),"'","&amp;apos;"))</f>
        <v/>
      </c>
      <c r="T55" s="46">
        <f>ISNUMBER(SEARCH(";"&amp;1&amp;";",";"&amp;$J55&amp;";"))</f>
        <v/>
      </c>
      <c r="U55" s="46">
        <f>ISNUMBER(SEARCH(";"&amp;2&amp;";",";"&amp;$J55&amp;";"))</f>
        <v/>
      </c>
      <c r="V55" s="46">
        <f>ISNUMBER(SEARCH(";"&amp;3&amp;";",";"&amp;$J55&amp;";"))</f>
        <v/>
      </c>
      <c r="W55" s="46">
        <f>ISNUMBER(SEARCH(";"&amp;4&amp;";",";"&amp;$J55&amp;";"))</f>
        <v/>
      </c>
      <c r="X55" s="46">
        <f>ISNUMBER(SEARCH(";"&amp;5&amp;";",";"&amp;$J55&amp;";"))</f>
        <v/>
      </c>
      <c r="Y55" s="46">
        <f>ISNUMBER(SEARCH(";"&amp;6&amp;";",";"&amp;$J55&amp;";"))</f>
        <v/>
      </c>
      <c r="Z55" s="46">
        <f>ISNUMBER(SEARCH(";"&amp;7&amp;";",";"&amp;$J55&amp;";"))</f>
        <v/>
      </c>
      <c r="AA55" s="46">
        <f>ISNUMBER(SEARCH(";"&amp;8&amp;";",";"&amp;$J55&amp;";"))</f>
        <v/>
      </c>
      <c r="AB55" s="46">
        <f>IF($B55,IF(L55="","","        &lt;response_label ident=""0""&gt;&lt;material&gt;&lt;mattext texttype=""text/html""&gt;"&amp;L55&amp;"&lt;/mattext&gt;&lt;/material&gt;&lt;/response_label&gt;"),"")</f>
        <v/>
      </c>
      <c r="AC55" s="46">
        <f>IF($B55,IF(M55="","","        &lt;response_label ident=""1""&gt;&lt;material&gt;&lt;mattext texttype=""text/html""&gt;"&amp;M55&amp;"&lt;/mattext&gt;&lt;/material&gt;&lt;/response_label&gt;"),"")</f>
        <v/>
      </c>
      <c r="AD55" s="46">
        <f>IF($B55,IF(N55="","","        &lt;response_label ident=""2""&gt;&lt;material&gt;&lt;mattext texttype=""text/html""&gt;"&amp;N55&amp;"&lt;/mattext&gt;&lt;/material&gt;&lt;/response_label&gt;"),"")</f>
        <v/>
      </c>
      <c r="AE55" s="46">
        <f>IF($B55,IF(O55="","","        &lt;response_label ident=""3""&gt;&lt;material&gt;&lt;mattext texttype=""text/html""&gt;"&amp;O55&amp;"&lt;/mattext&gt;&lt;/material&gt;&lt;/response_label&gt;"),"")</f>
        <v/>
      </c>
      <c r="AF55" s="46">
        <f>IF($B55,IF(P55="","","        &lt;response_label ident=""4""&gt;&lt;material&gt;&lt;mattext texttype=""text/html""&gt;"&amp;P55&amp;"&lt;/mattext&gt;&lt;/material&gt;&lt;/response_label&gt;"),"")</f>
        <v/>
      </c>
      <c r="AG55" s="46">
        <f>IF($B55,IF(Q55="","","        &lt;response_label ident=""5""&gt;&lt;material&gt;&lt;mattext texttype=""text/html""&gt;"&amp;Q55&amp;"&lt;/mattext&gt;&lt;/material&gt;&lt;/response_label&gt;"),"")</f>
        <v/>
      </c>
      <c r="AH55" s="46">
        <f>IF($B55,IF(R55="","","        &lt;response_label ident=""6""&gt;&lt;material&gt;&lt;mattext texttype=""text/html""&gt;"&amp;R55&amp;"&lt;/mattext&gt;&lt;/material&gt;&lt;/response_label&gt;"),"")</f>
        <v/>
      </c>
      <c r="AI55" s="46">
        <f>IF($B55,IF(S55="","","        &lt;response_label ident=""7""&gt;&lt;material&gt;&lt;mattext texttype=""text/html""&gt;"&amp;S55&amp;"&lt;/mattext&gt;&lt;/material&gt;&lt;/response_label&gt;"),"")</f>
        <v/>
      </c>
      <c r="AJ55" s="46">
        <f>IF($B55,IF(L55="","",IF($C55="qcu",IF(OR(T55,AT55&lt;&gt;"",$AS55&lt;&gt;""),"      &lt;respcondition continue=""Yes""&gt;&lt;conditionvar&gt;&lt;varequal respident=""RESPONSE""&gt;0&lt;/varequal&gt;&lt;/conditionvar&gt;"&amp;"&lt;setvar action=""Add""&gt;"&amp;IF(T55,$H55,0)&amp;"&lt;/setvar&gt;"&amp;IF(AT55&lt;&gt;"","&lt;displayfeedback feedbacktype=""Response"" linkrefid=""response_0""/&gt;",IF($AS55&lt;&gt;"","&lt;displayfeedback feedbacktype=""Response"" linkrefid=""qti_feedback_trigger""/&gt;",""))&amp;"&lt;/respcondition&gt;",""),IF(OR(T55,AT55&lt;&gt;"",$AS55&lt;&gt;""),"      &lt;respcondition continue=""Yes""&gt;&lt;conditionvar&gt;"&amp;IF(T55,"&lt;varequal respident=""RESPONSE""&gt;0&lt;/varequal&gt;","&lt;not&gt;&lt;varequal respident=""RESPONSE""&gt;0&lt;/varequal&gt;&lt;/not&gt;")&amp;"&lt;/conditionvar&gt;&lt;setvar action=""Add""&gt;"&amp;(Saisie_Questions!$N55/$I55)&amp;"&lt;/setvar&gt;"&amp;IF(AT55&lt;&gt;"","&lt;displayfeedback feedbacktype=""Response"" linkrefid=""response_0""/&gt;",IF($AS55&lt;&gt;"","&lt;displayfeedback feedbacktype=""Response"" linkrefid=""qti_feedback_trigger""/&gt;",""))&amp;"&lt;/respcondition&gt;",""))),"")</f>
      </c>
      <c r="AK55" s="46">
        <f>IF($B55,IF(M55="","",IF($C55="qcu",IF(OR(U55,AU55&lt;&gt;"",$AS55&lt;&gt;""),"      &lt;respcondition continue=""Yes""&gt;&lt;conditionvar&gt;&lt;varequal respident=""RESPONSE""&gt;1&lt;/varequal&gt;&lt;/conditionvar&gt;"&amp;"&lt;setvar action=""Add""&gt;"&amp;IF(U55,$H55,0)&amp;"&lt;/setvar&gt;"&amp;IF(AU55&lt;&gt;"","&lt;displayfeedback feedbacktype=""Response"" linkrefid=""response_1""/&gt;",IF($AS55&lt;&gt;"","&lt;displayfeedback feedbacktype=""Response"" linkrefid=""qti_feedback_trigger""/&gt;",""))&amp;"&lt;/respcondition&gt;",""),IF(OR(U55,AU55&lt;&gt;"",$AS55&lt;&gt;""),"      &lt;respcondition continue=""Yes""&gt;&lt;conditionvar&gt;"&amp;IF(U55,"&lt;varequal respident=""RESPONSE""&gt;1&lt;/varequal&gt;","&lt;not&gt;&lt;varequal respident=""RESPONSE""&gt;1&lt;/varequal&gt;&lt;/not&gt;")&amp;"&lt;/conditionvar&gt;&lt;setvar action=""Add""&gt;"&amp;(Saisie_Questions!$N55/$I55)&amp;"&lt;/setvar&gt;"&amp;IF(AU55&lt;&gt;"","&lt;displayfeedback feedbacktype=""Response"" linkrefid=""response_1""/&gt;",IF($AS55&lt;&gt;"","&lt;displayfeedback feedbacktype=""Response"" linkrefid=""qti_feedback_trigger""/&gt;",""))&amp;"&lt;/respcondition&gt;",""))),"")</f>
      </c>
      <c r="AL55" s="46">
        <f>IF($B55,IF(N55="","",IF($C55="qcu",IF(OR(V55,AV55&lt;&gt;"",$AS55&lt;&gt;""),"      &lt;respcondition continue=""Yes""&gt;&lt;conditionvar&gt;&lt;varequal respident=""RESPONSE""&gt;2&lt;/varequal&gt;&lt;/conditionvar&gt;"&amp;"&lt;setvar action=""Add""&gt;"&amp;IF(V55,$H55,0)&amp;"&lt;/setvar&gt;"&amp;IF(AV55&lt;&gt;"","&lt;displayfeedback feedbacktype=""Response"" linkrefid=""response_2""/&gt;",IF($AS55&lt;&gt;"","&lt;displayfeedback feedbacktype=""Response"" linkrefid=""qti_feedback_trigger""/&gt;",""))&amp;"&lt;/respcondition&gt;",""),IF(OR(V55,AV55&lt;&gt;"",$AS55&lt;&gt;""),"      &lt;respcondition continue=""Yes""&gt;&lt;conditionvar&gt;"&amp;IF(V55,"&lt;varequal respident=""RESPONSE""&gt;2&lt;/varequal&gt;","&lt;not&gt;&lt;varequal respident=""RESPONSE""&gt;2&lt;/varequal&gt;&lt;/not&gt;")&amp;"&lt;/conditionvar&gt;&lt;setvar action=""Add""&gt;"&amp;(Saisie_Questions!$N55/$I55)&amp;"&lt;/setvar&gt;"&amp;IF(AV55&lt;&gt;"","&lt;displayfeedback feedbacktype=""Response"" linkrefid=""response_2""/&gt;",IF($AS55&lt;&gt;"","&lt;displayfeedback feedbacktype=""Response"" linkrefid=""qti_feedback_trigger""/&gt;",""))&amp;"&lt;/respcondition&gt;",""))),"")</f>
      </c>
      <c r="AM55" s="46">
        <f>IF($B55,IF(O55="","",IF($C55="qcu",IF(OR(W55,AW55&lt;&gt;"",$AS55&lt;&gt;""),"      &lt;respcondition continue=""Yes""&gt;&lt;conditionvar&gt;&lt;varequal respident=""RESPONSE""&gt;3&lt;/varequal&gt;&lt;/conditionvar&gt;"&amp;"&lt;setvar action=""Add""&gt;"&amp;IF(W55,$H55,0)&amp;"&lt;/setvar&gt;"&amp;IF(AW55&lt;&gt;"","&lt;displayfeedback feedbacktype=""Response"" linkrefid=""response_3""/&gt;",IF($AS55&lt;&gt;"","&lt;displayfeedback feedbacktype=""Response"" linkrefid=""qti_feedback_trigger""/&gt;",""))&amp;"&lt;/respcondition&gt;",""),IF(OR(W55,AW55&lt;&gt;"",$AS55&lt;&gt;""),"      &lt;respcondition continue=""Yes""&gt;&lt;conditionvar&gt;"&amp;IF(W55,"&lt;varequal respident=""RESPONSE""&gt;3&lt;/varequal&gt;","&lt;not&gt;&lt;varequal respident=""RESPONSE""&gt;3&lt;/varequal&gt;&lt;/not&gt;")&amp;"&lt;/conditionvar&gt;&lt;setvar action=""Add""&gt;"&amp;(Saisie_Questions!$N55/$I55)&amp;"&lt;/setvar&gt;"&amp;IF(AW55&lt;&gt;"","&lt;displayfeedback feedbacktype=""Response"" linkrefid=""response_3""/&gt;",IF($AS55&lt;&gt;"","&lt;displayfeedback feedbacktype=""Response"" linkrefid=""qti_feedback_trigger""/&gt;",""))&amp;"&lt;/respcondition&gt;",""))),"")</f>
      </c>
      <c r="AN55" s="46">
        <f>IF($B55,IF(P55="","",IF($C55="qcu",IF(OR(X55,AX55&lt;&gt;"",$AS55&lt;&gt;""),"      &lt;respcondition continue=""Yes""&gt;&lt;conditionvar&gt;&lt;varequal respident=""RESPONSE""&gt;4&lt;/varequal&gt;&lt;/conditionvar&gt;"&amp;"&lt;setvar action=""Add""&gt;"&amp;IF(X55,$H55,0)&amp;"&lt;/setvar&gt;"&amp;IF(AX55&lt;&gt;"","&lt;displayfeedback feedbacktype=""Response"" linkrefid=""response_4""/&gt;",IF($AS55&lt;&gt;"","&lt;displayfeedback feedbacktype=""Response"" linkrefid=""qti_feedback_trigger""/&gt;",""))&amp;"&lt;/respcondition&gt;",""),IF(OR(X55,AX55&lt;&gt;"",$AS55&lt;&gt;""),"      &lt;respcondition continue=""Yes""&gt;&lt;conditionvar&gt;"&amp;IF(X55,"&lt;varequal respident=""RESPONSE""&gt;4&lt;/varequal&gt;","&lt;not&gt;&lt;varequal respident=""RESPONSE""&gt;4&lt;/varequal&gt;&lt;/not&gt;")&amp;"&lt;/conditionvar&gt;&lt;setvar action=""Add""&gt;"&amp;(Saisie_Questions!$N55/$I55)&amp;"&lt;/setvar&gt;"&amp;IF(AX55&lt;&gt;"","&lt;displayfeedback feedbacktype=""Response"" linkrefid=""response_4""/&gt;",IF($AS55&lt;&gt;"","&lt;displayfeedback feedbacktype=""Response"" linkrefid=""qti_feedback_trigger""/&gt;",""))&amp;"&lt;/respcondition&gt;",""))),"")</f>
      </c>
      <c r="AO55" s="46">
        <f>IF($B55,IF(Q55="","",IF($C55="qcu",IF(OR(Y55,AY55&lt;&gt;"",$AS55&lt;&gt;""),"      &lt;respcondition continue=""Yes""&gt;&lt;conditionvar&gt;&lt;varequal respident=""RESPONSE""&gt;5&lt;/varequal&gt;&lt;/conditionvar&gt;"&amp;"&lt;setvar action=""Add""&gt;"&amp;IF(Y55,$H55,0)&amp;"&lt;/setvar&gt;"&amp;IF(AY55&lt;&gt;"","&lt;displayfeedback feedbacktype=""Response"" linkrefid=""response_5""/&gt;",IF($AS55&lt;&gt;"","&lt;displayfeedback feedbacktype=""Response"" linkrefid=""qti_feedback_trigger""/&gt;",""))&amp;"&lt;/respcondition&gt;",""),IF(OR(Y55,AY55&lt;&gt;"",$AS55&lt;&gt;""),"      &lt;respcondition continue=""Yes""&gt;&lt;conditionvar&gt;"&amp;IF(Y55,"&lt;varequal respident=""RESPONSE""&gt;5&lt;/varequal&gt;","&lt;not&gt;&lt;varequal respident=""RESPONSE""&gt;5&lt;/varequal&gt;&lt;/not&gt;")&amp;"&lt;/conditionvar&gt;&lt;setvar action=""Add""&gt;"&amp;(Saisie_Questions!$N55/$I55)&amp;"&lt;/setvar&gt;"&amp;IF(AY55&lt;&gt;"","&lt;displayfeedback feedbacktype=""Response"" linkrefid=""response_5""/&gt;",IF($AS55&lt;&gt;"","&lt;displayfeedback feedbacktype=""Response"" linkrefid=""qti_feedback_trigger""/&gt;",""))&amp;"&lt;/respcondition&gt;",""))),"")</f>
      </c>
      <c r="AP55" s="46">
        <f>IF($B55,IF(R55="","",IF($C55="qcu",IF(OR(Z55,AZ55&lt;&gt;"",$AS55&lt;&gt;""),"      &lt;respcondition continue=""Yes""&gt;&lt;conditionvar&gt;&lt;varequal respident=""RESPONSE""&gt;6&lt;/varequal&gt;&lt;/conditionvar&gt;"&amp;"&lt;setvar action=""Add""&gt;"&amp;IF(Z55,$H55,0)&amp;"&lt;/setvar&gt;"&amp;IF(AZ55&lt;&gt;"","&lt;displayfeedback feedbacktype=""Response"" linkrefid=""response_6""/&gt;",IF($AS55&lt;&gt;"","&lt;displayfeedback feedbacktype=""Response"" linkrefid=""qti_feedback_trigger""/&gt;",""))&amp;"&lt;/respcondition&gt;",""),IF(OR(Z55,AZ55&lt;&gt;"",$AS55&lt;&gt;""),"      &lt;respcondition continue=""Yes""&gt;&lt;conditionvar&gt;"&amp;IF(Z55,"&lt;varequal respident=""RESPONSE""&gt;6&lt;/varequal&gt;","&lt;not&gt;&lt;varequal respident=""RESPONSE""&gt;6&lt;/varequal&gt;&lt;/not&gt;")&amp;"&lt;/conditionvar&gt;&lt;setvar action=""Add""&gt;"&amp;(Saisie_Questions!$N55/$I55)&amp;"&lt;/setvar&gt;"&amp;IF(AZ55&lt;&gt;"","&lt;displayfeedback feedbacktype=""Response"" linkrefid=""response_6""/&gt;",IF($AS55&lt;&gt;"","&lt;displayfeedback feedbacktype=""Response"" linkrefid=""qti_feedback_trigger""/&gt;",""))&amp;"&lt;/respcondition&gt;",""))),"")</f>
      </c>
      <c r="AQ55" s="46">
        <f>IF($B55,IF(S55="","",IF($C55="qcu",IF(OR(AA55,BA55&lt;&gt;"",$AS55&lt;&gt;""),"      &lt;respcondition continue=""Yes""&gt;&lt;conditionvar&gt;&lt;varequal respident=""RESPONSE""&gt;7&lt;/varequal&gt;&lt;/conditionvar&gt;"&amp;"&lt;setvar action=""Add""&gt;"&amp;IF(AA55,$H55,0)&amp;"&lt;/setvar&gt;"&amp;IF(BA55&lt;&gt;"","&lt;displayfeedback feedbacktype=""Response"" linkrefid=""response_7""/&gt;",IF($AS55&lt;&gt;"","&lt;displayfeedback feedbacktype=""Response"" linkrefid=""qti_feedback_trigger""/&gt;",""))&amp;"&lt;/respcondition&gt;",""),IF(OR(AA55,BA55&lt;&gt;"",$AS55&lt;&gt;""),"      &lt;respcondition continue=""Yes""&gt;&lt;conditionvar&gt;"&amp;IF(AA55,"&lt;varequal respident=""RESPONSE""&gt;7&lt;/varequal&gt;","&lt;not&gt;&lt;varequal respident=""RESPONSE""&gt;7&lt;/varequal&gt;&lt;/not&gt;")&amp;"&lt;/conditionvar&gt;&lt;setvar action=""Add""&gt;"&amp;(Saisie_Questions!$N55/$I55)&amp;"&lt;/setvar&gt;"&amp;IF(BA55&lt;&gt;"","&lt;displayfeedback feedbacktype=""Response"" linkrefid=""response_7""/&gt;",IF($AS55&lt;&gt;"","&lt;displayfeedback feedbacktype=""Response"" linkrefid=""qti_feedback_trigger""/&gt;",""))&amp;"&lt;/respcondition&gt;",""))),"")</f>
      </c>
      <c r="AR55" s="46">
        <f>IF(A55="","",SUBSTITUTE(SUBSTITUTE(SUBSTITUTE(SUBSTITUTE(SUBSTITUTE(IF(Saisie_Questions!P55&lt;&gt;"",Saisie_Questions!P55,Interface_Generation!$B$5),"&amp;","&amp;amp;"),"&lt;","&amp;lt;"),"&gt;","&amp;gt;"),CHAR(34),"&amp;quot;"),"'","&amp;apos;"))</f>
        <v/>
      </c>
      <c r="AS55" s="46">
        <f>IF(Saisie_Questions!Q55="","",SUBSTITUTE(SUBSTITUTE(SUBSTITUTE(SUBSTITUTE(SUBSTITUTE(Saisie_Questions!Q55,"&amp;","&amp;amp;"),"&lt;","&amp;lt;"),"&gt;","&amp;gt;"),CHAR(34),"&amp;quot;"),"'","&amp;apos;"))</f>
        <v/>
      </c>
      <c r="AT55" s="46">
        <f>IF(Saisie_Questions!R55="","",SUBSTITUTE(SUBSTITUTE(SUBSTITUTE(SUBSTITUTE(SUBSTITUTE(Saisie_Questions!R55,"&amp;","&amp;amp;"),"&lt;","&amp;lt;"),"&gt;","&amp;gt;"),CHAR(34),"&amp;quot;"),"'","&amp;apos;"))</f>
        <v/>
      </c>
      <c r="AU55" s="46">
        <f>IF(Saisie_Questions!S55="","",SUBSTITUTE(SUBSTITUTE(SUBSTITUTE(SUBSTITUTE(SUBSTITUTE(Saisie_Questions!S55,"&amp;","&amp;amp;"),"&lt;","&amp;lt;"),"&gt;","&amp;gt;"),CHAR(34),"&amp;quot;"),"'","&amp;apos;"))</f>
        <v/>
      </c>
      <c r="AV55" s="46">
        <f>IF(Saisie_Questions!T55="","",SUBSTITUTE(SUBSTITUTE(SUBSTITUTE(SUBSTITUTE(SUBSTITUTE(Saisie_Questions!T55,"&amp;","&amp;amp;"),"&lt;","&amp;lt;"),"&gt;","&amp;gt;"),CHAR(34),"&amp;quot;"),"'","&amp;apos;"))</f>
        <v/>
      </c>
      <c r="AW55" s="46">
        <f>IF(Saisie_Questions!U55="","",SUBSTITUTE(SUBSTITUTE(SUBSTITUTE(SUBSTITUTE(SUBSTITUTE(Saisie_Questions!U55,"&amp;","&amp;amp;"),"&lt;","&amp;lt;"),"&gt;","&amp;gt;"),CHAR(34),"&amp;quot;"),"'","&amp;apos;"))</f>
        <v/>
      </c>
      <c r="AX55" s="46">
        <f>IF(Saisie_Questions!V55="","",SUBSTITUTE(SUBSTITUTE(SUBSTITUTE(SUBSTITUTE(SUBSTITUTE(Saisie_Questions!V55,"&amp;","&amp;amp;"),"&lt;","&amp;lt;"),"&gt;","&amp;gt;"),CHAR(34),"&amp;quot;"),"'","&amp;apos;"))</f>
        <v/>
      </c>
      <c r="AY55" s="46">
        <f>IF(Saisie_Questions!W55="","",SUBSTITUTE(SUBSTITUTE(SUBSTITUTE(SUBSTITUTE(SUBSTITUTE(Saisie_Questions!W55,"&amp;","&amp;amp;"),"&lt;","&amp;lt;"),"&gt;","&amp;gt;"),CHAR(34),"&amp;quot;"),"'","&amp;apos;"))</f>
        <v/>
      </c>
      <c r="AZ55" s="46">
        <f>IF(Saisie_Questions!X55="","",SUBSTITUTE(SUBSTITUTE(SUBSTITUTE(SUBSTITUTE(SUBSTITUTE(Saisie_Questions!X55,"&amp;","&amp;amp;"),"&lt;","&amp;lt;"),"&gt;","&amp;gt;"),CHAR(34),"&amp;quot;"),"'","&amp;apos;"))</f>
        <v/>
      </c>
      <c r="BA55" s="46">
        <f>IF(Saisie_Questions!Y55="","",SUBSTITUTE(SUBSTITUTE(SUBSTITUTE(SUBSTITUTE(SUBSTITUTE(Saisie_Questions!Y55,"&amp;","&amp;amp;"),"&lt;","&amp;lt;"),"&gt;","&amp;gt;"),CHAR(34),"&amp;quot;"),"'","&amp;apos;"))</f>
        <v/>
      </c>
      <c r="BB55" s="46">
        <f>IF($B55,IF($AS55="","","    &lt;itemfeedback ident=""response_allcorrect"" view=""All""&gt;&lt;flow_mat&gt;&lt;material&gt;&lt;mattext texttype=""text/html""&gt;"&amp;$AS55&amp;"&lt;/mattext&gt;&lt;/material&gt;&lt;/flow_mat&gt;&lt;/itemfeedback&gt;"&amp;"    &lt;itemfeedback ident=""response_onenotcorrect"" view=""All""&gt;&lt;flow_mat&gt;&lt;material&gt;&lt;mattext texttype=""text/html""&gt;"&amp;$AS55&amp;"&lt;/mattext&gt;&lt;/material&gt;&lt;/flow_mat&gt;&lt;/itemfeedback&gt;"),"")</f>
      </c>
      <c r="BC55" s="46">
        <f>IF($B55,IF(AT55="","","    &lt;itemfeedback ident=""response_0"" view=""All""&gt;&lt;flow_mat&gt;&lt;material&gt;&lt;mattext texttype=""text/html""&gt;"&amp;AT55&amp;"&lt;/mattext&gt;&lt;/material&gt;&lt;/flow_mat&gt;&lt;/itemfeedback&gt;"),"")</f>
      </c>
      <c r="BD55" s="46">
        <f>IF($B55,IF(AU55="","","    &lt;itemfeedback ident=""response_1"" view=""All""&gt;&lt;flow_mat&gt;&lt;material&gt;&lt;mattext texttype=""text/html""&gt;"&amp;AU55&amp;"&lt;/mattext&gt;&lt;/material&gt;&lt;/flow_mat&gt;&lt;/itemfeedback&gt;"),"")</f>
      </c>
      <c r="BE55" s="46">
        <f>IF($B55,IF(AV55="","","    &lt;itemfeedback ident=""response_2"" view=""All""&gt;&lt;flow_mat&gt;&lt;material&gt;&lt;mattext texttype=""text/html""&gt;"&amp;AV55&amp;"&lt;/mattext&gt;&lt;/material&gt;&lt;/flow_mat&gt;&lt;/itemfeedback&gt;"),"")</f>
      </c>
      <c r="BF55" s="46">
        <f>IF($B55,IF(AW55="","","    &lt;itemfeedback ident=""response_3"" view=""All""&gt;&lt;flow_mat&gt;&lt;material&gt;&lt;mattext texttype=""text/html""&gt;"&amp;AW55&amp;"&lt;/mattext&gt;&lt;/material&gt;&lt;/flow_mat&gt;&lt;/itemfeedback&gt;"),"")</f>
      </c>
      <c r="BG55" s="46">
        <f>IF($B55,IF(AX55="","","    &lt;itemfeedback ident=""response_4"" view=""All""&gt;&lt;flow_mat&gt;&lt;material&gt;&lt;mattext texttype=""text/html""&gt;"&amp;AX55&amp;"&lt;/mattext&gt;&lt;/material&gt;&lt;/flow_mat&gt;&lt;/itemfeedback&gt;"),"")</f>
      </c>
      <c r="BH55" s="46">
        <f>IF($B55,IF(AY55="","","    &lt;itemfeedback ident=""response_5"" view=""All""&gt;&lt;flow_mat&gt;&lt;material&gt;&lt;mattext texttype=""text/html""&gt;"&amp;AY55&amp;"&lt;/mattext&gt;&lt;/material&gt;&lt;/flow_mat&gt;&lt;/itemfeedback&gt;"),"")</f>
      </c>
      <c r="BI55" s="46">
        <f>IF($B55,IF(AZ55="","","    &lt;itemfeedback ident=""response_6"" view=""All""&gt;&lt;flow_mat&gt;&lt;material&gt;&lt;mattext texttype=""text/html""&gt;"&amp;AZ55&amp;"&lt;/mattext&gt;&lt;/material&gt;&lt;/flow_mat&gt;&lt;/itemfeedback&gt;"),"")</f>
      </c>
      <c r="BJ55" s="46">
        <f>IF($B55,IF(BA55="","","    &lt;itemfeedback ident=""response_7"" view=""All""&gt;&lt;flow_mat&gt;&lt;material&gt;&lt;mattext texttype=""text/html""&gt;"&amp;BA55&amp;"&lt;/mattext&gt;&lt;/material&gt;&lt;/flow_mat&gt;&lt;/itemfeedback&gt;"),"")</f>
      </c>
    </row>
    <row r="56" ht="18" customHeight="1" s="17">
      <c r="A56" s="46">
        <f>Saisie_Questions!A56</f>
        <v/>
      </c>
      <c r="B56" s="46">
        <f>Saisie_Questions!O56="OK"</f>
        <v/>
      </c>
      <c r="C56" s="46">
        <f>LOWER(TRIM(Saisie_Questions!B56))</f>
        <v/>
      </c>
      <c r="D56" s="46">
        <f>IF(C56="qcu","SINGLE CHOICE QUESTION","MULTIPLE CHOICE QUESTION")</f>
        <v/>
      </c>
      <c r="E56" s="46">
        <f>IF(C56="qcu","Single","Multiple")</f>
        <v/>
      </c>
      <c r="F56" s="46">
        <f>IF(A56="","",SUBSTITUTE(SUBSTITUTE(SUBSTITUTE(SUBSTITUTE(SUBSTITUTE(IF(Saisie_Questions!C56="", "Question "&amp;A56, Saisie_Questions!C56),"&amp;","&amp;amp;"),"&lt;","&amp;lt;"),"&gt;","&amp;gt;"),CHAR(34),"&amp;quot;"),"'","&amp;apos;"))</f>
        <v/>
      </c>
      <c r="G56" s="46">
        <f>IF(A56="","",SUBSTITUTE(SUBSTITUTE(SUBSTITUTE(SUBSTITUTE(SUBSTITUTE(Saisie_Questions!D56,"&amp;","&amp;amp;"),"&lt;","&amp;lt;"),"&gt;","&amp;gt;"),CHAR(34),"&amp;quot;"),"'","&amp;apos;"))</f>
        <v/>
      </c>
      <c r="H56" s="46">
        <f>Saisie_Questions!N56</f>
        <v/>
      </c>
      <c r="I56" s="46">
        <f>IF(Saisie_Questions!E56="",0,1)+IF(Saisie_Questions!F56="",0,1)+IF(Saisie_Questions!G56="",0,1)+IF(Saisie_Questions!H56="",0,1)+IF(Saisie_Questions!I56="",0,1)+IF(Saisie_Questions!J56="",0,1)+IF(Saisie_Questions!K56="",0,1)+IF(Saisie_Questions!L56="",0,1)</f>
        <v/>
      </c>
      <c r="J56" s="46">
        <f>Saisie_Questions!M56</f>
        <v/>
      </c>
      <c r="K56" s="46">
        <f>Saisie_Questions!O56</f>
        <v/>
      </c>
      <c r="L56" s="46">
        <f>IF(Saisie_Questions!E56="","",SUBSTITUTE(SUBSTITUTE(SUBSTITUTE(SUBSTITUTE(SUBSTITUTE(Saisie_Questions!E56,"&amp;","&amp;amp;"),"&lt;","&amp;lt;"),"&gt;","&amp;gt;"),CHAR(34),"&amp;quot;"),"'","&amp;apos;"))</f>
        <v/>
      </c>
      <c r="M56" s="46">
        <f>IF(Saisie_Questions!F56="","",SUBSTITUTE(SUBSTITUTE(SUBSTITUTE(SUBSTITUTE(SUBSTITUTE(Saisie_Questions!F56,"&amp;","&amp;amp;"),"&lt;","&amp;lt;"),"&gt;","&amp;gt;"),CHAR(34),"&amp;quot;"),"'","&amp;apos;"))</f>
        <v/>
      </c>
      <c r="N56" s="46">
        <f>IF(Saisie_Questions!G56="","",SUBSTITUTE(SUBSTITUTE(SUBSTITUTE(SUBSTITUTE(SUBSTITUTE(Saisie_Questions!G56,"&amp;","&amp;amp;"),"&lt;","&amp;lt;"),"&gt;","&amp;gt;"),CHAR(34),"&amp;quot;"),"'","&amp;apos;"))</f>
        <v/>
      </c>
      <c r="O56" s="46">
        <f>IF(Saisie_Questions!H56="","",SUBSTITUTE(SUBSTITUTE(SUBSTITUTE(SUBSTITUTE(SUBSTITUTE(Saisie_Questions!H56,"&amp;","&amp;amp;"),"&lt;","&amp;lt;"),"&gt;","&amp;gt;"),CHAR(34),"&amp;quot;"),"'","&amp;apos;"))</f>
        <v/>
      </c>
      <c r="P56" s="46">
        <f>IF(Saisie_Questions!I56="","",SUBSTITUTE(SUBSTITUTE(SUBSTITUTE(SUBSTITUTE(SUBSTITUTE(Saisie_Questions!I56,"&amp;","&amp;amp;"),"&lt;","&amp;lt;"),"&gt;","&amp;gt;"),CHAR(34),"&amp;quot;"),"'","&amp;apos;"))</f>
        <v/>
      </c>
      <c r="Q56" s="46">
        <f>IF(Saisie_Questions!J56="","",SUBSTITUTE(SUBSTITUTE(SUBSTITUTE(SUBSTITUTE(SUBSTITUTE(Saisie_Questions!J56,"&amp;","&amp;amp;"),"&lt;","&amp;lt;"),"&gt;","&amp;gt;"),CHAR(34),"&amp;quot;"),"'","&amp;apos;"))</f>
        <v/>
      </c>
      <c r="R56" s="46">
        <f>IF(Saisie_Questions!K56="","",SUBSTITUTE(SUBSTITUTE(SUBSTITUTE(SUBSTITUTE(SUBSTITUTE(Saisie_Questions!K56,"&amp;","&amp;amp;"),"&lt;","&amp;lt;"),"&gt;","&amp;gt;"),CHAR(34),"&amp;quot;"),"'","&amp;apos;"))</f>
        <v/>
      </c>
      <c r="S56" s="46">
        <f>IF(Saisie_Questions!L56="","",SUBSTITUTE(SUBSTITUTE(SUBSTITUTE(SUBSTITUTE(SUBSTITUTE(Saisie_Questions!L56,"&amp;","&amp;amp;"),"&lt;","&amp;lt;"),"&gt;","&amp;gt;"),CHAR(34),"&amp;quot;"),"'","&amp;apos;"))</f>
        <v/>
      </c>
      <c r="T56" s="46">
        <f>ISNUMBER(SEARCH(";"&amp;1&amp;";",";"&amp;$J56&amp;";"))</f>
        <v/>
      </c>
      <c r="U56" s="46">
        <f>ISNUMBER(SEARCH(";"&amp;2&amp;";",";"&amp;$J56&amp;";"))</f>
        <v/>
      </c>
      <c r="V56" s="46">
        <f>ISNUMBER(SEARCH(";"&amp;3&amp;";",";"&amp;$J56&amp;";"))</f>
        <v/>
      </c>
      <c r="W56" s="46">
        <f>ISNUMBER(SEARCH(";"&amp;4&amp;";",";"&amp;$J56&amp;";"))</f>
        <v/>
      </c>
      <c r="X56" s="46">
        <f>ISNUMBER(SEARCH(";"&amp;5&amp;";",";"&amp;$J56&amp;";"))</f>
        <v/>
      </c>
      <c r="Y56" s="46">
        <f>ISNUMBER(SEARCH(";"&amp;6&amp;";",";"&amp;$J56&amp;";"))</f>
        <v/>
      </c>
      <c r="Z56" s="46">
        <f>ISNUMBER(SEARCH(";"&amp;7&amp;";",";"&amp;$J56&amp;";"))</f>
        <v/>
      </c>
      <c r="AA56" s="46">
        <f>ISNUMBER(SEARCH(";"&amp;8&amp;";",";"&amp;$J56&amp;";"))</f>
        <v/>
      </c>
      <c r="AB56" s="46">
        <f>IF($B56,IF(L56="","","        &lt;response_label ident=""0""&gt;&lt;material&gt;&lt;mattext texttype=""text/html""&gt;"&amp;L56&amp;"&lt;/mattext&gt;&lt;/material&gt;&lt;/response_label&gt;"),"")</f>
        <v/>
      </c>
      <c r="AC56" s="46">
        <f>IF($B56,IF(M56="","","        &lt;response_label ident=""1""&gt;&lt;material&gt;&lt;mattext texttype=""text/html""&gt;"&amp;M56&amp;"&lt;/mattext&gt;&lt;/material&gt;&lt;/response_label&gt;"),"")</f>
        <v/>
      </c>
      <c r="AD56" s="46">
        <f>IF($B56,IF(N56="","","        &lt;response_label ident=""2""&gt;&lt;material&gt;&lt;mattext texttype=""text/html""&gt;"&amp;N56&amp;"&lt;/mattext&gt;&lt;/material&gt;&lt;/response_label&gt;"),"")</f>
        <v/>
      </c>
      <c r="AE56" s="46">
        <f>IF($B56,IF(O56="","","        &lt;response_label ident=""3""&gt;&lt;material&gt;&lt;mattext texttype=""text/html""&gt;"&amp;O56&amp;"&lt;/mattext&gt;&lt;/material&gt;&lt;/response_label&gt;"),"")</f>
        <v/>
      </c>
      <c r="AF56" s="46">
        <f>IF($B56,IF(P56="","","        &lt;response_label ident=""4""&gt;&lt;material&gt;&lt;mattext texttype=""text/html""&gt;"&amp;P56&amp;"&lt;/mattext&gt;&lt;/material&gt;&lt;/response_label&gt;"),"")</f>
        <v/>
      </c>
      <c r="AG56" s="46">
        <f>IF($B56,IF(Q56="","","        &lt;response_label ident=""5""&gt;&lt;material&gt;&lt;mattext texttype=""text/html""&gt;"&amp;Q56&amp;"&lt;/mattext&gt;&lt;/material&gt;&lt;/response_label&gt;"),"")</f>
        <v/>
      </c>
      <c r="AH56" s="46">
        <f>IF($B56,IF(R56="","","        &lt;response_label ident=""6""&gt;&lt;material&gt;&lt;mattext texttype=""text/html""&gt;"&amp;R56&amp;"&lt;/mattext&gt;&lt;/material&gt;&lt;/response_label&gt;"),"")</f>
        <v/>
      </c>
      <c r="AI56" s="46">
        <f>IF($B56,IF(S56="","","        &lt;response_label ident=""7""&gt;&lt;material&gt;&lt;mattext texttype=""text/html""&gt;"&amp;S56&amp;"&lt;/mattext&gt;&lt;/material&gt;&lt;/response_label&gt;"),"")</f>
        <v/>
      </c>
      <c r="AJ56" s="46">
        <f>IF($B56,IF(L56="","",IF($C56="qcu",IF(OR(T56,AT56&lt;&gt;"",$AS56&lt;&gt;""),"      &lt;respcondition continue=""Yes""&gt;&lt;conditionvar&gt;&lt;varequal respident=""RESPONSE""&gt;0&lt;/varequal&gt;&lt;/conditionvar&gt;"&amp;"&lt;setvar action=""Add""&gt;"&amp;IF(T56,$H56,0)&amp;"&lt;/setvar&gt;"&amp;IF(AT56&lt;&gt;"","&lt;displayfeedback feedbacktype=""Response"" linkrefid=""response_0""/&gt;",IF($AS56&lt;&gt;"","&lt;displayfeedback feedbacktype=""Response"" linkrefid=""qti_feedback_trigger""/&gt;",""))&amp;"&lt;/respcondition&gt;",""),IF(OR(T56,AT56&lt;&gt;"",$AS56&lt;&gt;""),"      &lt;respcondition continue=""Yes""&gt;&lt;conditionvar&gt;"&amp;IF(T56,"&lt;varequal respident=""RESPONSE""&gt;0&lt;/varequal&gt;","&lt;not&gt;&lt;varequal respident=""RESPONSE""&gt;0&lt;/varequal&gt;&lt;/not&gt;")&amp;"&lt;/conditionvar&gt;&lt;setvar action=""Add""&gt;"&amp;(Saisie_Questions!$N56/$I56)&amp;"&lt;/setvar&gt;"&amp;IF(AT56&lt;&gt;"","&lt;displayfeedback feedbacktype=""Response"" linkrefid=""response_0""/&gt;",IF($AS56&lt;&gt;"","&lt;displayfeedback feedbacktype=""Response"" linkrefid=""qti_feedback_trigger""/&gt;",""))&amp;"&lt;/respcondition&gt;",""))),"")</f>
      </c>
      <c r="AK56" s="46">
        <f>IF($B56,IF(M56="","",IF($C56="qcu",IF(OR(U56,AU56&lt;&gt;"",$AS56&lt;&gt;""),"      &lt;respcondition continue=""Yes""&gt;&lt;conditionvar&gt;&lt;varequal respident=""RESPONSE""&gt;1&lt;/varequal&gt;&lt;/conditionvar&gt;"&amp;"&lt;setvar action=""Add""&gt;"&amp;IF(U56,$H56,0)&amp;"&lt;/setvar&gt;"&amp;IF(AU56&lt;&gt;"","&lt;displayfeedback feedbacktype=""Response"" linkrefid=""response_1""/&gt;",IF($AS56&lt;&gt;"","&lt;displayfeedback feedbacktype=""Response"" linkrefid=""qti_feedback_trigger""/&gt;",""))&amp;"&lt;/respcondition&gt;",""),IF(OR(U56,AU56&lt;&gt;"",$AS56&lt;&gt;""),"      &lt;respcondition continue=""Yes""&gt;&lt;conditionvar&gt;"&amp;IF(U56,"&lt;varequal respident=""RESPONSE""&gt;1&lt;/varequal&gt;","&lt;not&gt;&lt;varequal respident=""RESPONSE""&gt;1&lt;/varequal&gt;&lt;/not&gt;")&amp;"&lt;/conditionvar&gt;&lt;setvar action=""Add""&gt;"&amp;(Saisie_Questions!$N56/$I56)&amp;"&lt;/setvar&gt;"&amp;IF(AU56&lt;&gt;"","&lt;displayfeedback feedbacktype=""Response"" linkrefid=""response_1""/&gt;",IF($AS56&lt;&gt;"","&lt;displayfeedback feedbacktype=""Response"" linkrefid=""qti_feedback_trigger""/&gt;",""))&amp;"&lt;/respcondition&gt;",""))),"")</f>
      </c>
      <c r="AL56" s="46">
        <f>IF($B56,IF(N56="","",IF($C56="qcu",IF(OR(V56,AV56&lt;&gt;"",$AS56&lt;&gt;""),"      &lt;respcondition continue=""Yes""&gt;&lt;conditionvar&gt;&lt;varequal respident=""RESPONSE""&gt;2&lt;/varequal&gt;&lt;/conditionvar&gt;"&amp;"&lt;setvar action=""Add""&gt;"&amp;IF(V56,$H56,0)&amp;"&lt;/setvar&gt;"&amp;IF(AV56&lt;&gt;"","&lt;displayfeedback feedbacktype=""Response"" linkrefid=""response_2""/&gt;",IF($AS56&lt;&gt;"","&lt;displayfeedback feedbacktype=""Response"" linkrefid=""qti_feedback_trigger""/&gt;",""))&amp;"&lt;/respcondition&gt;",""),IF(OR(V56,AV56&lt;&gt;"",$AS56&lt;&gt;""),"      &lt;respcondition continue=""Yes""&gt;&lt;conditionvar&gt;"&amp;IF(V56,"&lt;varequal respident=""RESPONSE""&gt;2&lt;/varequal&gt;","&lt;not&gt;&lt;varequal respident=""RESPONSE""&gt;2&lt;/varequal&gt;&lt;/not&gt;")&amp;"&lt;/conditionvar&gt;&lt;setvar action=""Add""&gt;"&amp;(Saisie_Questions!$N56/$I56)&amp;"&lt;/setvar&gt;"&amp;IF(AV56&lt;&gt;"","&lt;displayfeedback feedbacktype=""Response"" linkrefid=""response_2""/&gt;",IF($AS56&lt;&gt;"","&lt;displayfeedback feedbacktype=""Response"" linkrefid=""qti_feedback_trigger""/&gt;",""))&amp;"&lt;/respcondition&gt;",""))),"")</f>
      </c>
      <c r="AM56" s="46">
        <f>IF($B56,IF(O56="","",IF($C56="qcu",IF(OR(W56,AW56&lt;&gt;"",$AS56&lt;&gt;""),"      &lt;respcondition continue=""Yes""&gt;&lt;conditionvar&gt;&lt;varequal respident=""RESPONSE""&gt;3&lt;/varequal&gt;&lt;/conditionvar&gt;"&amp;"&lt;setvar action=""Add""&gt;"&amp;IF(W56,$H56,0)&amp;"&lt;/setvar&gt;"&amp;IF(AW56&lt;&gt;"","&lt;displayfeedback feedbacktype=""Response"" linkrefid=""response_3""/&gt;",IF($AS56&lt;&gt;"","&lt;displayfeedback feedbacktype=""Response"" linkrefid=""qti_feedback_trigger""/&gt;",""))&amp;"&lt;/respcondition&gt;",""),IF(OR(W56,AW56&lt;&gt;"",$AS56&lt;&gt;""),"      &lt;respcondition continue=""Yes""&gt;&lt;conditionvar&gt;"&amp;IF(W56,"&lt;varequal respident=""RESPONSE""&gt;3&lt;/varequal&gt;","&lt;not&gt;&lt;varequal respident=""RESPONSE""&gt;3&lt;/varequal&gt;&lt;/not&gt;")&amp;"&lt;/conditionvar&gt;&lt;setvar action=""Add""&gt;"&amp;(Saisie_Questions!$N56/$I56)&amp;"&lt;/setvar&gt;"&amp;IF(AW56&lt;&gt;"","&lt;displayfeedback feedbacktype=""Response"" linkrefid=""response_3""/&gt;",IF($AS56&lt;&gt;"","&lt;displayfeedback feedbacktype=""Response"" linkrefid=""qti_feedback_trigger""/&gt;",""))&amp;"&lt;/respcondition&gt;",""))),"")</f>
      </c>
      <c r="AN56" s="46">
        <f>IF($B56,IF(P56="","",IF($C56="qcu",IF(OR(X56,AX56&lt;&gt;"",$AS56&lt;&gt;""),"      &lt;respcondition continue=""Yes""&gt;&lt;conditionvar&gt;&lt;varequal respident=""RESPONSE""&gt;4&lt;/varequal&gt;&lt;/conditionvar&gt;"&amp;"&lt;setvar action=""Add""&gt;"&amp;IF(X56,$H56,0)&amp;"&lt;/setvar&gt;"&amp;IF(AX56&lt;&gt;"","&lt;displayfeedback feedbacktype=""Response"" linkrefid=""response_4""/&gt;",IF($AS56&lt;&gt;"","&lt;displayfeedback feedbacktype=""Response"" linkrefid=""qti_feedback_trigger""/&gt;",""))&amp;"&lt;/respcondition&gt;",""),IF(OR(X56,AX56&lt;&gt;"",$AS56&lt;&gt;""),"      &lt;respcondition continue=""Yes""&gt;&lt;conditionvar&gt;"&amp;IF(X56,"&lt;varequal respident=""RESPONSE""&gt;4&lt;/varequal&gt;","&lt;not&gt;&lt;varequal respident=""RESPONSE""&gt;4&lt;/varequal&gt;&lt;/not&gt;")&amp;"&lt;/conditionvar&gt;&lt;setvar action=""Add""&gt;"&amp;(Saisie_Questions!$N56/$I56)&amp;"&lt;/setvar&gt;"&amp;IF(AX56&lt;&gt;"","&lt;displayfeedback feedbacktype=""Response"" linkrefid=""response_4""/&gt;",IF($AS56&lt;&gt;"","&lt;displayfeedback feedbacktype=""Response"" linkrefid=""qti_feedback_trigger""/&gt;",""))&amp;"&lt;/respcondition&gt;",""))),"")</f>
      </c>
      <c r="AO56" s="46">
        <f>IF($B56,IF(Q56="","",IF($C56="qcu",IF(OR(Y56,AY56&lt;&gt;"",$AS56&lt;&gt;""),"      &lt;respcondition continue=""Yes""&gt;&lt;conditionvar&gt;&lt;varequal respident=""RESPONSE""&gt;5&lt;/varequal&gt;&lt;/conditionvar&gt;"&amp;"&lt;setvar action=""Add""&gt;"&amp;IF(Y56,$H56,0)&amp;"&lt;/setvar&gt;"&amp;IF(AY56&lt;&gt;"","&lt;displayfeedback feedbacktype=""Response"" linkrefid=""response_5""/&gt;",IF($AS56&lt;&gt;"","&lt;displayfeedback feedbacktype=""Response"" linkrefid=""qti_feedback_trigger""/&gt;",""))&amp;"&lt;/respcondition&gt;",""),IF(OR(Y56,AY56&lt;&gt;"",$AS56&lt;&gt;""),"      &lt;respcondition continue=""Yes""&gt;&lt;conditionvar&gt;"&amp;IF(Y56,"&lt;varequal respident=""RESPONSE""&gt;5&lt;/varequal&gt;","&lt;not&gt;&lt;varequal respident=""RESPONSE""&gt;5&lt;/varequal&gt;&lt;/not&gt;")&amp;"&lt;/conditionvar&gt;&lt;setvar action=""Add""&gt;"&amp;(Saisie_Questions!$N56/$I56)&amp;"&lt;/setvar&gt;"&amp;IF(AY56&lt;&gt;"","&lt;displayfeedback feedbacktype=""Response"" linkrefid=""response_5""/&gt;",IF($AS56&lt;&gt;"","&lt;displayfeedback feedbacktype=""Response"" linkrefid=""qti_feedback_trigger""/&gt;",""))&amp;"&lt;/respcondition&gt;",""))),"")</f>
      </c>
      <c r="AP56" s="46">
        <f>IF($B56,IF(R56="","",IF($C56="qcu",IF(OR(Z56,AZ56&lt;&gt;"",$AS56&lt;&gt;""),"      &lt;respcondition continue=""Yes""&gt;&lt;conditionvar&gt;&lt;varequal respident=""RESPONSE""&gt;6&lt;/varequal&gt;&lt;/conditionvar&gt;"&amp;"&lt;setvar action=""Add""&gt;"&amp;IF(Z56,$H56,0)&amp;"&lt;/setvar&gt;"&amp;IF(AZ56&lt;&gt;"","&lt;displayfeedback feedbacktype=""Response"" linkrefid=""response_6""/&gt;",IF($AS56&lt;&gt;"","&lt;displayfeedback feedbacktype=""Response"" linkrefid=""qti_feedback_trigger""/&gt;",""))&amp;"&lt;/respcondition&gt;",""),IF(OR(Z56,AZ56&lt;&gt;"",$AS56&lt;&gt;""),"      &lt;respcondition continue=""Yes""&gt;&lt;conditionvar&gt;"&amp;IF(Z56,"&lt;varequal respident=""RESPONSE""&gt;6&lt;/varequal&gt;","&lt;not&gt;&lt;varequal respident=""RESPONSE""&gt;6&lt;/varequal&gt;&lt;/not&gt;")&amp;"&lt;/conditionvar&gt;&lt;setvar action=""Add""&gt;"&amp;(Saisie_Questions!$N56/$I56)&amp;"&lt;/setvar&gt;"&amp;IF(AZ56&lt;&gt;"","&lt;displayfeedback feedbacktype=""Response"" linkrefid=""response_6""/&gt;",IF($AS56&lt;&gt;"","&lt;displayfeedback feedbacktype=""Response"" linkrefid=""qti_feedback_trigger""/&gt;",""))&amp;"&lt;/respcondition&gt;",""))),"")</f>
      </c>
      <c r="AQ56" s="46">
        <f>IF($B56,IF(S56="","",IF($C56="qcu",IF(OR(AA56,BA56&lt;&gt;"",$AS56&lt;&gt;""),"      &lt;respcondition continue=""Yes""&gt;&lt;conditionvar&gt;&lt;varequal respident=""RESPONSE""&gt;7&lt;/varequal&gt;&lt;/conditionvar&gt;"&amp;"&lt;setvar action=""Add""&gt;"&amp;IF(AA56,$H56,0)&amp;"&lt;/setvar&gt;"&amp;IF(BA56&lt;&gt;"","&lt;displayfeedback feedbacktype=""Response"" linkrefid=""response_7""/&gt;",IF($AS56&lt;&gt;"","&lt;displayfeedback feedbacktype=""Response"" linkrefid=""qti_feedback_trigger""/&gt;",""))&amp;"&lt;/respcondition&gt;",""),IF(OR(AA56,BA56&lt;&gt;"",$AS56&lt;&gt;""),"      &lt;respcondition continue=""Yes""&gt;&lt;conditionvar&gt;"&amp;IF(AA56,"&lt;varequal respident=""RESPONSE""&gt;7&lt;/varequal&gt;","&lt;not&gt;&lt;varequal respident=""RESPONSE""&gt;7&lt;/varequal&gt;&lt;/not&gt;")&amp;"&lt;/conditionvar&gt;&lt;setvar action=""Add""&gt;"&amp;(Saisie_Questions!$N56/$I56)&amp;"&lt;/setvar&gt;"&amp;IF(BA56&lt;&gt;"","&lt;displayfeedback feedbacktype=""Response"" linkrefid=""response_7""/&gt;",IF($AS56&lt;&gt;"","&lt;displayfeedback feedbacktype=""Response"" linkrefid=""qti_feedback_trigger""/&gt;",""))&amp;"&lt;/respcondition&gt;",""))),"")</f>
      </c>
      <c r="AR56" s="46">
        <f>IF(A56="","",SUBSTITUTE(SUBSTITUTE(SUBSTITUTE(SUBSTITUTE(SUBSTITUTE(IF(Saisie_Questions!P56&lt;&gt;"",Saisie_Questions!P56,Interface_Generation!$B$5),"&amp;","&amp;amp;"),"&lt;","&amp;lt;"),"&gt;","&amp;gt;"),CHAR(34),"&amp;quot;"),"'","&amp;apos;"))</f>
        <v/>
      </c>
      <c r="AS56" s="46">
        <f>IF(Saisie_Questions!Q56="","",SUBSTITUTE(SUBSTITUTE(SUBSTITUTE(SUBSTITUTE(SUBSTITUTE(Saisie_Questions!Q56,"&amp;","&amp;amp;"),"&lt;","&amp;lt;"),"&gt;","&amp;gt;"),CHAR(34),"&amp;quot;"),"'","&amp;apos;"))</f>
        <v/>
      </c>
      <c r="AT56" s="46">
        <f>IF(Saisie_Questions!R56="","",SUBSTITUTE(SUBSTITUTE(SUBSTITUTE(SUBSTITUTE(SUBSTITUTE(Saisie_Questions!R56,"&amp;","&amp;amp;"),"&lt;","&amp;lt;"),"&gt;","&amp;gt;"),CHAR(34),"&amp;quot;"),"'","&amp;apos;"))</f>
        <v/>
      </c>
      <c r="AU56" s="46">
        <f>IF(Saisie_Questions!S56="","",SUBSTITUTE(SUBSTITUTE(SUBSTITUTE(SUBSTITUTE(SUBSTITUTE(Saisie_Questions!S56,"&amp;","&amp;amp;"),"&lt;","&amp;lt;"),"&gt;","&amp;gt;"),CHAR(34),"&amp;quot;"),"'","&amp;apos;"))</f>
        <v/>
      </c>
      <c r="AV56" s="46">
        <f>IF(Saisie_Questions!T56="","",SUBSTITUTE(SUBSTITUTE(SUBSTITUTE(SUBSTITUTE(SUBSTITUTE(Saisie_Questions!T56,"&amp;","&amp;amp;"),"&lt;","&amp;lt;"),"&gt;","&amp;gt;"),CHAR(34),"&amp;quot;"),"'","&amp;apos;"))</f>
        <v/>
      </c>
      <c r="AW56" s="46">
        <f>IF(Saisie_Questions!U56="","",SUBSTITUTE(SUBSTITUTE(SUBSTITUTE(SUBSTITUTE(SUBSTITUTE(Saisie_Questions!U56,"&amp;","&amp;amp;"),"&lt;","&amp;lt;"),"&gt;","&amp;gt;"),CHAR(34),"&amp;quot;"),"'","&amp;apos;"))</f>
        <v/>
      </c>
      <c r="AX56" s="46">
        <f>IF(Saisie_Questions!V56="","",SUBSTITUTE(SUBSTITUTE(SUBSTITUTE(SUBSTITUTE(SUBSTITUTE(Saisie_Questions!V56,"&amp;","&amp;amp;"),"&lt;","&amp;lt;"),"&gt;","&amp;gt;"),CHAR(34),"&amp;quot;"),"'","&amp;apos;"))</f>
        <v/>
      </c>
      <c r="AY56" s="46">
        <f>IF(Saisie_Questions!W56="","",SUBSTITUTE(SUBSTITUTE(SUBSTITUTE(SUBSTITUTE(SUBSTITUTE(Saisie_Questions!W56,"&amp;","&amp;amp;"),"&lt;","&amp;lt;"),"&gt;","&amp;gt;"),CHAR(34),"&amp;quot;"),"'","&amp;apos;"))</f>
        <v/>
      </c>
      <c r="AZ56" s="46">
        <f>IF(Saisie_Questions!X56="","",SUBSTITUTE(SUBSTITUTE(SUBSTITUTE(SUBSTITUTE(SUBSTITUTE(Saisie_Questions!X56,"&amp;","&amp;amp;"),"&lt;","&amp;lt;"),"&gt;","&amp;gt;"),CHAR(34),"&amp;quot;"),"'","&amp;apos;"))</f>
        <v/>
      </c>
      <c r="BA56" s="46">
        <f>IF(Saisie_Questions!Y56="","",SUBSTITUTE(SUBSTITUTE(SUBSTITUTE(SUBSTITUTE(SUBSTITUTE(Saisie_Questions!Y56,"&amp;","&amp;amp;"),"&lt;","&amp;lt;"),"&gt;","&amp;gt;"),CHAR(34),"&amp;quot;"),"'","&amp;apos;"))</f>
        <v/>
      </c>
      <c r="BB56" s="46">
        <f>IF($B56,IF($AS56="","","    &lt;itemfeedback ident=""response_allcorrect"" view=""All""&gt;&lt;flow_mat&gt;&lt;material&gt;&lt;mattext texttype=""text/html""&gt;"&amp;$AS56&amp;"&lt;/mattext&gt;&lt;/material&gt;&lt;/flow_mat&gt;&lt;/itemfeedback&gt;"&amp;"    &lt;itemfeedback ident=""response_onenotcorrect"" view=""All""&gt;&lt;flow_mat&gt;&lt;material&gt;&lt;mattext texttype=""text/html""&gt;"&amp;$AS56&amp;"&lt;/mattext&gt;&lt;/material&gt;&lt;/flow_mat&gt;&lt;/itemfeedback&gt;"),"")</f>
      </c>
      <c r="BC56" s="46">
        <f>IF($B56,IF(AT56="","","    &lt;itemfeedback ident=""response_0"" view=""All""&gt;&lt;flow_mat&gt;&lt;material&gt;&lt;mattext texttype=""text/html""&gt;"&amp;AT56&amp;"&lt;/mattext&gt;&lt;/material&gt;&lt;/flow_mat&gt;&lt;/itemfeedback&gt;"),"")</f>
      </c>
      <c r="BD56" s="46">
        <f>IF($B56,IF(AU56="","","    &lt;itemfeedback ident=""response_1"" view=""All""&gt;&lt;flow_mat&gt;&lt;material&gt;&lt;mattext texttype=""text/html""&gt;"&amp;AU56&amp;"&lt;/mattext&gt;&lt;/material&gt;&lt;/flow_mat&gt;&lt;/itemfeedback&gt;"),"")</f>
      </c>
      <c r="BE56" s="46">
        <f>IF($B56,IF(AV56="","","    &lt;itemfeedback ident=""response_2"" view=""All""&gt;&lt;flow_mat&gt;&lt;material&gt;&lt;mattext texttype=""text/html""&gt;"&amp;AV56&amp;"&lt;/mattext&gt;&lt;/material&gt;&lt;/flow_mat&gt;&lt;/itemfeedback&gt;"),"")</f>
      </c>
      <c r="BF56" s="46">
        <f>IF($B56,IF(AW56="","","    &lt;itemfeedback ident=""response_3"" view=""All""&gt;&lt;flow_mat&gt;&lt;material&gt;&lt;mattext texttype=""text/html""&gt;"&amp;AW56&amp;"&lt;/mattext&gt;&lt;/material&gt;&lt;/flow_mat&gt;&lt;/itemfeedback&gt;"),"")</f>
      </c>
      <c r="BG56" s="46">
        <f>IF($B56,IF(AX56="","","    &lt;itemfeedback ident=""response_4"" view=""All""&gt;&lt;flow_mat&gt;&lt;material&gt;&lt;mattext texttype=""text/html""&gt;"&amp;AX56&amp;"&lt;/mattext&gt;&lt;/material&gt;&lt;/flow_mat&gt;&lt;/itemfeedback&gt;"),"")</f>
      </c>
      <c r="BH56" s="46">
        <f>IF($B56,IF(AY56="","","    &lt;itemfeedback ident=""response_5"" view=""All""&gt;&lt;flow_mat&gt;&lt;material&gt;&lt;mattext texttype=""text/html""&gt;"&amp;AY56&amp;"&lt;/mattext&gt;&lt;/material&gt;&lt;/flow_mat&gt;&lt;/itemfeedback&gt;"),"")</f>
      </c>
      <c r="BI56" s="46">
        <f>IF($B56,IF(AZ56="","","    &lt;itemfeedback ident=""response_6"" view=""All""&gt;&lt;flow_mat&gt;&lt;material&gt;&lt;mattext texttype=""text/html""&gt;"&amp;AZ56&amp;"&lt;/mattext&gt;&lt;/material&gt;&lt;/flow_mat&gt;&lt;/itemfeedback&gt;"),"")</f>
      </c>
      <c r="BJ56" s="46">
        <f>IF($B56,IF(BA56="","","    &lt;itemfeedback ident=""response_7"" view=""All""&gt;&lt;flow_mat&gt;&lt;material&gt;&lt;mattext texttype=""text/html""&gt;"&amp;BA56&amp;"&lt;/mattext&gt;&lt;/material&gt;&lt;/flow_mat&gt;&lt;/itemfeedback&gt;"),"")</f>
      </c>
    </row>
    <row r="57" ht="18" customHeight="1" s="17">
      <c r="A57" s="46">
        <f>Saisie_Questions!A57</f>
        <v/>
      </c>
      <c r="B57" s="46">
        <f>Saisie_Questions!O57="OK"</f>
        <v/>
      </c>
      <c r="C57" s="46">
        <f>LOWER(TRIM(Saisie_Questions!B57))</f>
        <v/>
      </c>
      <c r="D57" s="46">
        <f>IF(C57="qcu","SINGLE CHOICE QUESTION","MULTIPLE CHOICE QUESTION")</f>
        <v/>
      </c>
      <c r="E57" s="46">
        <f>IF(C57="qcu","Single","Multiple")</f>
        <v/>
      </c>
      <c r="F57" s="46">
        <f>IF(A57="","",SUBSTITUTE(SUBSTITUTE(SUBSTITUTE(SUBSTITUTE(SUBSTITUTE(IF(Saisie_Questions!C57="", "Question "&amp;A57, Saisie_Questions!C57),"&amp;","&amp;amp;"),"&lt;","&amp;lt;"),"&gt;","&amp;gt;"),CHAR(34),"&amp;quot;"),"'","&amp;apos;"))</f>
        <v/>
      </c>
      <c r="G57" s="46">
        <f>IF(A57="","",SUBSTITUTE(SUBSTITUTE(SUBSTITUTE(SUBSTITUTE(SUBSTITUTE(Saisie_Questions!D57,"&amp;","&amp;amp;"),"&lt;","&amp;lt;"),"&gt;","&amp;gt;"),CHAR(34),"&amp;quot;"),"'","&amp;apos;"))</f>
        <v/>
      </c>
      <c r="H57" s="46">
        <f>Saisie_Questions!N57</f>
        <v/>
      </c>
      <c r="I57" s="46">
        <f>IF(Saisie_Questions!E57="",0,1)+IF(Saisie_Questions!F57="",0,1)+IF(Saisie_Questions!G57="",0,1)+IF(Saisie_Questions!H57="",0,1)+IF(Saisie_Questions!I57="",0,1)+IF(Saisie_Questions!J57="",0,1)+IF(Saisie_Questions!K57="",0,1)+IF(Saisie_Questions!L57="",0,1)</f>
        <v/>
      </c>
      <c r="J57" s="46">
        <f>Saisie_Questions!M57</f>
        <v/>
      </c>
      <c r="K57" s="46">
        <f>Saisie_Questions!O57</f>
        <v/>
      </c>
      <c r="L57" s="46">
        <f>IF(Saisie_Questions!E57="","",SUBSTITUTE(SUBSTITUTE(SUBSTITUTE(SUBSTITUTE(SUBSTITUTE(Saisie_Questions!E57,"&amp;","&amp;amp;"),"&lt;","&amp;lt;"),"&gt;","&amp;gt;"),CHAR(34),"&amp;quot;"),"'","&amp;apos;"))</f>
        <v/>
      </c>
      <c r="M57" s="46">
        <f>IF(Saisie_Questions!F57="","",SUBSTITUTE(SUBSTITUTE(SUBSTITUTE(SUBSTITUTE(SUBSTITUTE(Saisie_Questions!F57,"&amp;","&amp;amp;"),"&lt;","&amp;lt;"),"&gt;","&amp;gt;"),CHAR(34),"&amp;quot;"),"'","&amp;apos;"))</f>
        <v/>
      </c>
      <c r="N57" s="46">
        <f>IF(Saisie_Questions!G57="","",SUBSTITUTE(SUBSTITUTE(SUBSTITUTE(SUBSTITUTE(SUBSTITUTE(Saisie_Questions!G57,"&amp;","&amp;amp;"),"&lt;","&amp;lt;"),"&gt;","&amp;gt;"),CHAR(34),"&amp;quot;"),"'","&amp;apos;"))</f>
        <v/>
      </c>
      <c r="O57" s="46">
        <f>IF(Saisie_Questions!H57="","",SUBSTITUTE(SUBSTITUTE(SUBSTITUTE(SUBSTITUTE(SUBSTITUTE(Saisie_Questions!H57,"&amp;","&amp;amp;"),"&lt;","&amp;lt;"),"&gt;","&amp;gt;"),CHAR(34),"&amp;quot;"),"'","&amp;apos;"))</f>
        <v/>
      </c>
      <c r="P57" s="46">
        <f>IF(Saisie_Questions!I57="","",SUBSTITUTE(SUBSTITUTE(SUBSTITUTE(SUBSTITUTE(SUBSTITUTE(Saisie_Questions!I57,"&amp;","&amp;amp;"),"&lt;","&amp;lt;"),"&gt;","&amp;gt;"),CHAR(34),"&amp;quot;"),"'","&amp;apos;"))</f>
        <v/>
      </c>
      <c r="Q57" s="46">
        <f>IF(Saisie_Questions!J57="","",SUBSTITUTE(SUBSTITUTE(SUBSTITUTE(SUBSTITUTE(SUBSTITUTE(Saisie_Questions!J57,"&amp;","&amp;amp;"),"&lt;","&amp;lt;"),"&gt;","&amp;gt;"),CHAR(34),"&amp;quot;"),"'","&amp;apos;"))</f>
        <v/>
      </c>
      <c r="R57" s="46">
        <f>IF(Saisie_Questions!K57="","",SUBSTITUTE(SUBSTITUTE(SUBSTITUTE(SUBSTITUTE(SUBSTITUTE(Saisie_Questions!K57,"&amp;","&amp;amp;"),"&lt;","&amp;lt;"),"&gt;","&amp;gt;"),CHAR(34),"&amp;quot;"),"'","&amp;apos;"))</f>
        <v/>
      </c>
      <c r="S57" s="46">
        <f>IF(Saisie_Questions!L57="","",SUBSTITUTE(SUBSTITUTE(SUBSTITUTE(SUBSTITUTE(SUBSTITUTE(Saisie_Questions!L57,"&amp;","&amp;amp;"),"&lt;","&amp;lt;"),"&gt;","&amp;gt;"),CHAR(34),"&amp;quot;"),"'","&amp;apos;"))</f>
        <v/>
      </c>
      <c r="T57" s="46">
        <f>ISNUMBER(SEARCH(";"&amp;1&amp;";",";"&amp;$J57&amp;";"))</f>
        <v/>
      </c>
      <c r="U57" s="46">
        <f>ISNUMBER(SEARCH(";"&amp;2&amp;";",";"&amp;$J57&amp;";"))</f>
        <v/>
      </c>
      <c r="V57" s="46">
        <f>ISNUMBER(SEARCH(";"&amp;3&amp;";",";"&amp;$J57&amp;";"))</f>
        <v/>
      </c>
      <c r="W57" s="46">
        <f>ISNUMBER(SEARCH(";"&amp;4&amp;";",";"&amp;$J57&amp;";"))</f>
        <v/>
      </c>
      <c r="X57" s="46">
        <f>ISNUMBER(SEARCH(";"&amp;5&amp;";",";"&amp;$J57&amp;";"))</f>
        <v/>
      </c>
      <c r="Y57" s="46">
        <f>ISNUMBER(SEARCH(";"&amp;6&amp;";",";"&amp;$J57&amp;";"))</f>
        <v/>
      </c>
      <c r="Z57" s="46">
        <f>ISNUMBER(SEARCH(";"&amp;7&amp;";",";"&amp;$J57&amp;";"))</f>
        <v/>
      </c>
      <c r="AA57" s="46">
        <f>ISNUMBER(SEARCH(";"&amp;8&amp;";",";"&amp;$J57&amp;";"))</f>
        <v/>
      </c>
      <c r="AB57" s="46">
        <f>IF($B57,IF(L57="","","        &lt;response_label ident=""0""&gt;&lt;material&gt;&lt;mattext texttype=""text/html""&gt;"&amp;L57&amp;"&lt;/mattext&gt;&lt;/material&gt;&lt;/response_label&gt;"),"")</f>
        <v/>
      </c>
      <c r="AC57" s="46">
        <f>IF($B57,IF(M57="","","        &lt;response_label ident=""1""&gt;&lt;material&gt;&lt;mattext texttype=""text/html""&gt;"&amp;M57&amp;"&lt;/mattext&gt;&lt;/material&gt;&lt;/response_label&gt;"),"")</f>
        <v/>
      </c>
      <c r="AD57" s="46">
        <f>IF($B57,IF(N57="","","        &lt;response_label ident=""2""&gt;&lt;material&gt;&lt;mattext texttype=""text/html""&gt;"&amp;N57&amp;"&lt;/mattext&gt;&lt;/material&gt;&lt;/response_label&gt;"),"")</f>
        <v/>
      </c>
      <c r="AE57" s="46">
        <f>IF($B57,IF(O57="","","        &lt;response_label ident=""3""&gt;&lt;material&gt;&lt;mattext texttype=""text/html""&gt;"&amp;O57&amp;"&lt;/mattext&gt;&lt;/material&gt;&lt;/response_label&gt;"),"")</f>
        <v/>
      </c>
      <c r="AF57" s="46">
        <f>IF($B57,IF(P57="","","        &lt;response_label ident=""4""&gt;&lt;material&gt;&lt;mattext texttype=""text/html""&gt;"&amp;P57&amp;"&lt;/mattext&gt;&lt;/material&gt;&lt;/response_label&gt;"),"")</f>
        <v/>
      </c>
      <c r="AG57" s="46">
        <f>IF($B57,IF(Q57="","","        &lt;response_label ident=""5""&gt;&lt;material&gt;&lt;mattext texttype=""text/html""&gt;"&amp;Q57&amp;"&lt;/mattext&gt;&lt;/material&gt;&lt;/response_label&gt;"),"")</f>
        <v/>
      </c>
      <c r="AH57" s="46">
        <f>IF($B57,IF(R57="","","        &lt;response_label ident=""6""&gt;&lt;material&gt;&lt;mattext texttype=""text/html""&gt;"&amp;R57&amp;"&lt;/mattext&gt;&lt;/material&gt;&lt;/response_label&gt;"),"")</f>
        <v/>
      </c>
      <c r="AI57" s="46">
        <f>IF($B57,IF(S57="","","        &lt;response_label ident=""7""&gt;&lt;material&gt;&lt;mattext texttype=""text/html""&gt;"&amp;S57&amp;"&lt;/mattext&gt;&lt;/material&gt;&lt;/response_label&gt;"),"")</f>
        <v/>
      </c>
      <c r="AJ57" s="46">
        <f>IF($B57,IF(L57="","",IF($C57="qcu",IF(OR(T57,AT57&lt;&gt;"",$AS57&lt;&gt;""),"      &lt;respcondition continue=""Yes""&gt;&lt;conditionvar&gt;&lt;varequal respident=""RESPONSE""&gt;0&lt;/varequal&gt;&lt;/conditionvar&gt;"&amp;"&lt;setvar action=""Add""&gt;"&amp;IF(T57,$H57,0)&amp;"&lt;/setvar&gt;"&amp;IF(AT57&lt;&gt;"","&lt;displayfeedback feedbacktype=""Response"" linkrefid=""response_0""/&gt;",IF($AS57&lt;&gt;"","&lt;displayfeedback feedbacktype=""Response"" linkrefid=""qti_feedback_trigger""/&gt;",""))&amp;"&lt;/respcondition&gt;",""),IF(OR(T57,AT57&lt;&gt;"",$AS57&lt;&gt;""),"      &lt;respcondition continue=""Yes""&gt;&lt;conditionvar&gt;"&amp;IF(T57,"&lt;varequal respident=""RESPONSE""&gt;0&lt;/varequal&gt;","&lt;not&gt;&lt;varequal respident=""RESPONSE""&gt;0&lt;/varequal&gt;&lt;/not&gt;")&amp;"&lt;/conditionvar&gt;&lt;setvar action=""Add""&gt;"&amp;(Saisie_Questions!$N57/$I57)&amp;"&lt;/setvar&gt;"&amp;IF(AT57&lt;&gt;"","&lt;displayfeedback feedbacktype=""Response"" linkrefid=""response_0""/&gt;",IF($AS57&lt;&gt;"","&lt;displayfeedback feedbacktype=""Response"" linkrefid=""qti_feedback_trigger""/&gt;",""))&amp;"&lt;/respcondition&gt;",""))),"")</f>
      </c>
      <c r="AK57" s="46">
        <f>IF($B57,IF(M57="","",IF($C57="qcu",IF(OR(U57,AU57&lt;&gt;"",$AS57&lt;&gt;""),"      &lt;respcondition continue=""Yes""&gt;&lt;conditionvar&gt;&lt;varequal respident=""RESPONSE""&gt;1&lt;/varequal&gt;&lt;/conditionvar&gt;"&amp;"&lt;setvar action=""Add""&gt;"&amp;IF(U57,$H57,0)&amp;"&lt;/setvar&gt;"&amp;IF(AU57&lt;&gt;"","&lt;displayfeedback feedbacktype=""Response"" linkrefid=""response_1""/&gt;",IF($AS57&lt;&gt;"","&lt;displayfeedback feedbacktype=""Response"" linkrefid=""qti_feedback_trigger""/&gt;",""))&amp;"&lt;/respcondition&gt;",""),IF(OR(U57,AU57&lt;&gt;"",$AS57&lt;&gt;""),"      &lt;respcondition continue=""Yes""&gt;&lt;conditionvar&gt;"&amp;IF(U57,"&lt;varequal respident=""RESPONSE""&gt;1&lt;/varequal&gt;","&lt;not&gt;&lt;varequal respident=""RESPONSE""&gt;1&lt;/varequal&gt;&lt;/not&gt;")&amp;"&lt;/conditionvar&gt;&lt;setvar action=""Add""&gt;"&amp;(Saisie_Questions!$N57/$I57)&amp;"&lt;/setvar&gt;"&amp;IF(AU57&lt;&gt;"","&lt;displayfeedback feedbacktype=""Response"" linkrefid=""response_1""/&gt;",IF($AS57&lt;&gt;"","&lt;displayfeedback feedbacktype=""Response"" linkrefid=""qti_feedback_trigger""/&gt;",""))&amp;"&lt;/respcondition&gt;",""))),"")</f>
      </c>
      <c r="AL57" s="46">
        <f>IF($B57,IF(N57="","",IF($C57="qcu",IF(OR(V57,AV57&lt;&gt;"",$AS57&lt;&gt;""),"      &lt;respcondition continue=""Yes""&gt;&lt;conditionvar&gt;&lt;varequal respident=""RESPONSE""&gt;2&lt;/varequal&gt;&lt;/conditionvar&gt;"&amp;"&lt;setvar action=""Add""&gt;"&amp;IF(V57,$H57,0)&amp;"&lt;/setvar&gt;"&amp;IF(AV57&lt;&gt;"","&lt;displayfeedback feedbacktype=""Response"" linkrefid=""response_2""/&gt;",IF($AS57&lt;&gt;"","&lt;displayfeedback feedbacktype=""Response"" linkrefid=""qti_feedback_trigger""/&gt;",""))&amp;"&lt;/respcondition&gt;",""),IF(OR(V57,AV57&lt;&gt;"",$AS57&lt;&gt;""),"      &lt;respcondition continue=""Yes""&gt;&lt;conditionvar&gt;"&amp;IF(V57,"&lt;varequal respident=""RESPONSE""&gt;2&lt;/varequal&gt;","&lt;not&gt;&lt;varequal respident=""RESPONSE""&gt;2&lt;/varequal&gt;&lt;/not&gt;")&amp;"&lt;/conditionvar&gt;&lt;setvar action=""Add""&gt;"&amp;(Saisie_Questions!$N57/$I57)&amp;"&lt;/setvar&gt;"&amp;IF(AV57&lt;&gt;"","&lt;displayfeedback feedbacktype=""Response"" linkrefid=""response_2""/&gt;",IF($AS57&lt;&gt;"","&lt;displayfeedback feedbacktype=""Response"" linkrefid=""qti_feedback_trigger""/&gt;",""))&amp;"&lt;/respcondition&gt;",""))),"")</f>
      </c>
      <c r="AM57" s="46">
        <f>IF($B57,IF(O57="","",IF($C57="qcu",IF(OR(W57,AW57&lt;&gt;"",$AS57&lt;&gt;""),"      &lt;respcondition continue=""Yes""&gt;&lt;conditionvar&gt;&lt;varequal respident=""RESPONSE""&gt;3&lt;/varequal&gt;&lt;/conditionvar&gt;"&amp;"&lt;setvar action=""Add""&gt;"&amp;IF(W57,$H57,0)&amp;"&lt;/setvar&gt;"&amp;IF(AW57&lt;&gt;"","&lt;displayfeedback feedbacktype=""Response"" linkrefid=""response_3""/&gt;",IF($AS57&lt;&gt;"","&lt;displayfeedback feedbacktype=""Response"" linkrefid=""qti_feedback_trigger""/&gt;",""))&amp;"&lt;/respcondition&gt;",""),IF(OR(W57,AW57&lt;&gt;"",$AS57&lt;&gt;""),"      &lt;respcondition continue=""Yes""&gt;&lt;conditionvar&gt;"&amp;IF(W57,"&lt;varequal respident=""RESPONSE""&gt;3&lt;/varequal&gt;","&lt;not&gt;&lt;varequal respident=""RESPONSE""&gt;3&lt;/varequal&gt;&lt;/not&gt;")&amp;"&lt;/conditionvar&gt;&lt;setvar action=""Add""&gt;"&amp;(Saisie_Questions!$N57/$I57)&amp;"&lt;/setvar&gt;"&amp;IF(AW57&lt;&gt;"","&lt;displayfeedback feedbacktype=""Response"" linkrefid=""response_3""/&gt;",IF($AS57&lt;&gt;"","&lt;displayfeedback feedbacktype=""Response"" linkrefid=""qti_feedback_trigger""/&gt;",""))&amp;"&lt;/respcondition&gt;",""))),"")</f>
      </c>
      <c r="AN57" s="46">
        <f>IF($B57,IF(P57="","",IF($C57="qcu",IF(OR(X57,AX57&lt;&gt;"",$AS57&lt;&gt;""),"      &lt;respcondition continue=""Yes""&gt;&lt;conditionvar&gt;&lt;varequal respident=""RESPONSE""&gt;4&lt;/varequal&gt;&lt;/conditionvar&gt;"&amp;"&lt;setvar action=""Add""&gt;"&amp;IF(X57,$H57,0)&amp;"&lt;/setvar&gt;"&amp;IF(AX57&lt;&gt;"","&lt;displayfeedback feedbacktype=""Response"" linkrefid=""response_4""/&gt;",IF($AS57&lt;&gt;"","&lt;displayfeedback feedbacktype=""Response"" linkrefid=""qti_feedback_trigger""/&gt;",""))&amp;"&lt;/respcondition&gt;",""),IF(OR(X57,AX57&lt;&gt;"",$AS57&lt;&gt;""),"      &lt;respcondition continue=""Yes""&gt;&lt;conditionvar&gt;"&amp;IF(X57,"&lt;varequal respident=""RESPONSE""&gt;4&lt;/varequal&gt;","&lt;not&gt;&lt;varequal respident=""RESPONSE""&gt;4&lt;/varequal&gt;&lt;/not&gt;")&amp;"&lt;/conditionvar&gt;&lt;setvar action=""Add""&gt;"&amp;(Saisie_Questions!$N57/$I57)&amp;"&lt;/setvar&gt;"&amp;IF(AX57&lt;&gt;"","&lt;displayfeedback feedbacktype=""Response"" linkrefid=""response_4""/&gt;",IF($AS57&lt;&gt;"","&lt;displayfeedback feedbacktype=""Response"" linkrefid=""qti_feedback_trigger""/&gt;",""))&amp;"&lt;/respcondition&gt;",""))),"")</f>
      </c>
      <c r="AO57" s="46">
        <f>IF($B57,IF(Q57="","",IF($C57="qcu",IF(OR(Y57,AY57&lt;&gt;"",$AS57&lt;&gt;""),"      &lt;respcondition continue=""Yes""&gt;&lt;conditionvar&gt;&lt;varequal respident=""RESPONSE""&gt;5&lt;/varequal&gt;&lt;/conditionvar&gt;"&amp;"&lt;setvar action=""Add""&gt;"&amp;IF(Y57,$H57,0)&amp;"&lt;/setvar&gt;"&amp;IF(AY57&lt;&gt;"","&lt;displayfeedback feedbacktype=""Response"" linkrefid=""response_5""/&gt;",IF($AS57&lt;&gt;"","&lt;displayfeedback feedbacktype=""Response"" linkrefid=""qti_feedback_trigger""/&gt;",""))&amp;"&lt;/respcondition&gt;",""),IF(OR(Y57,AY57&lt;&gt;"",$AS57&lt;&gt;""),"      &lt;respcondition continue=""Yes""&gt;&lt;conditionvar&gt;"&amp;IF(Y57,"&lt;varequal respident=""RESPONSE""&gt;5&lt;/varequal&gt;","&lt;not&gt;&lt;varequal respident=""RESPONSE""&gt;5&lt;/varequal&gt;&lt;/not&gt;")&amp;"&lt;/conditionvar&gt;&lt;setvar action=""Add""&gt;"&amp;(Saisie_Questions!$N57/$I57)&amp;"&lt;/setvar&gt;"&amp;IF(AY57&lt;&gt;"","&lt;displayfeedback feedbacktype=""Response"" linkrefid=""response_5""/&gt;",IF($AS57&lt;&gt;"","&lt;displayfeedback feedbacktype=""Response"" linkrefid=""qti_feedback_trigger""/&gt;",""))&amp;"&lt;/respcondition&gt;",""))),"")</f>
      </c>
      <c r="AP57" s="46">
        <f>IF($B57,IF(R57="","",IF($C57="qcu",IF(OR(Z57,AZ57&lt;&gt;"",$AS57&lt;&gt;""),"      &lt;respcondition continue=""Yes""&gt;&lt;conditionvar&gt;&lt;varequal respident=""RESPONSE""&gt;6&lt;/varequal&gt;&lt;/conditionvar&gt;"&amp;"&lt;setvar action=""Add""&gt;"&amp;IF(Z57,$H57,0)&amp;"&lt;/setvar&gt;"&amp;IF(AZ57&lt;&gt;"","&lt;displayfeedback feedbacktype=""Response"" linkrefid=""response_6""/&gt;",IF($AS57&lt;&gt;"","&lt;displayfeedback feedbacktype=""Response"" linkrefid=""qti_feedback_trigger""/&gt;",""))&amp;"&lt;/respcondition&gt;",""),IF(OR(Z57,AZ57&lt;&gt;"",$AS57&lt;&gt;""),"      &lt;respcondition continue=""Yes""&gt;&lt;conditionvar&gt;"&amp;IF(Z57,"&lt;varequal respident=""RESPONSE""&gt;6&lt;/varequal&gt;","&lt;not&gt;&lt;varequal respident=""RESPONSE""&gt;6&lt;/varequal&gt;&lt;/not&gt;")&amp;"&lt;/conditionvar&gt;&lt;setvar action=""Add""&gt;"&amp;(Saisie_Questions!$N57/$I57)&amp;"&lt;/setvar&gt;"&amp;IF(AZ57&lt;&gt;"","&lt;displayfeedback feedbacktype=""Response"" linkrefid=""response_6""/&gt;",IF($AS57&lt;&gt;"","&lt;displayfeedback feedbacktype=""Response"" linkrefid=""qti_feedback_trigger""/&gt;",""))&amp;"&lt;/respcondition&gt;",""))),"")</f>
      </c>
      <c r="AQ57" s="46">
        <f>IF($B57,IF(S57="","",IF($C57="qcu",IF(OR(AA57,BA57&lt;&gt;"",$AS57&lt;&gt;""),"      &lt;respcondition continue=""Yes""&gt;&lt;conditionvar&gt;&lt;varequal respident=""RESPONSE""&gt;7&lt;/varequal&gt;&lt;/conditionvar&gt;"&amp;"&lt;setvar action=""Add""&gt;"&amp;IF(AA57,$H57,0)&amp;"&lt;/setvar&gt;"&amp;IF(BA57&lt;&gt;"","&lt;displayfeedback feedbacktype=""Response"" linkrefid=""response_7""/&gt;",IF($AS57&lt;&gt;"","&lt;displayfeedback feedbacktype=""Response"" linkrefid=""qti_feedback_trigger""/&gt;",""))&amp;"&lt;/respcondition&gt;",""),IF(OR(AA57,BA57&lt;&gt;"",$AS57&lt;&gt;""),"      &lt;respcondition continue=""Yes""&gt;&lt;conditionvar&gt;"&amp;IF(AA57,"&lt;varequal respident=""RESPONSE""&gt;7&lt;/varequal&gt;","&lt;not&gt;&lt;varequal respident=""RESPONSE""&gt;7&lt;/varequal&gt;&lt;/not&gt;")&amp;"&lt;/conditionvar&gt;&lt;setvar action=""Add""&gt;"&amp;(Saisie_Questions!$N57/$I57)&amp;"&lt;/setvar&gt;"&amp;IF(BA57&lt;&gt;"","&lt;displayfeedback feedbacktype=""Response"" linkrefid=""response_7""/&gt;",IF($AS57&lt;&gt;"","&lt;displayfeedback feedbacktype=""Response"" linkrefid=""qti_feedback_trigger""/&gt;",""))&amp;"&lt;/respcondition&gt;",""))),"")</f>
      </c>
      <c r="AR57" s="46">
        <f>IF(A57="","",SUBSTITUTE(SUBSTITUTE(SUBSTITUTE(SUBSTITUTE(SUBSTITUTE(IF(Saisie_Questions!P57&lt;&gt;"",Saisie_Questions!P57,Interface_Generation!$B$5),"&amp;","&amp;amp;"),"&lt;","&amp;lt;"),"&gt;","&amp;gt;"),CHAR(34),"&amp;quot;"),"'","&amp;apos;"))</f>
        <v/>
      </c>
      <c r="AS57" s="46">
        <f>IF(Saisie_Questions!Q57="","",SUBSTITUTE(SUBSTITUTE(SUBSTITUTE(SUBSTITUTE(SUBSTITUTE(Saisie_Questions!Q57,"&amp;","&amp;amp;"),"&lt;","&amp;lt;"),"&gt;","&amp;gt;"),CHAR(34),"&amp;quot;"),"'","&amp;apos;"))</f>
        <v/>
      </c>
      <c r="AT57" s="46">
        <f>IF(Saisie_Questions!R57="","",SUBSTITUTE(SUBSTITUTE(SUBSTITUTE(SUBSTITUTE(SUBSTITUTE(Saisie_Questions!R57,"&amp;","&amp;amp;"),"&lt;","&amp;lt;"),"&gt;","&amp;gt;"),CHAR(34),"&amp;quot;"),"'","&amp;apos;"))</f>
        <v/>
      </c>
      <c r="AU57" s="46">
        <f>IF(Saisie_Questions!S57="","",SUBSTITUTE(SUBSTITUTE(SUBSTITUTE(SUBSTITUTE(SUBSTITUTE(Saisie_Questions!S57,"&amp;","&amp;amp;"),"&lt;","&amp;lt;"),"&gt;","&amp;gt;"),CHAR(34),"&amp;quot;"),"'","&amp;apos;"))</f>
        <v/>
      </c>
      <c r="AV57" s="46">
        <f>IF(Saisie_Questions!T57="","",SUBSTITUTE(SUBSTITUTE(SUBSTITUTE(SUBSTITUTE(SUBSTITUTE(Saisie_Questions!T57,"&amp;","&amp;amp;"),"&lt;","&amp;lt;"),"&gt;","&amp;gt;"),CHAR(34),"&amp;quot;"),"'","&amp;apos;"))</f>
        <v/>
      </c>
      <c r="AW57" s="46">
        <f>IF(Saisie_Questions!U57="","",SUBSTITUTE(SUBSTITUTE(SUBSTITUTE(SUBSTITUTE(SUBSTITUTE(Saisie_Questions!U57,"&amp;","&amp;amp;"),"&lt;","&amp;lt;"),"&gt;","&amp;gt;"),CHAR(34),"&amp;quot;"),"'","&amp;apos;"))</f>
        <v/>
      </c>
      <c r="AX57" s="46">
        <f>IF(Saisie_Questions!V57="","",SUBSTITUTE(SUBSTITUTE(SUBSTITUTE(SUBSTITUTE(SUBSTITUTE(Saisie_Questions!V57,"&amp;","&amp;amp;"),"&lt;","&amp;lt;"),"&gt;","&amp;gt;"),CHAR(34),"&amp;quot;"),"'","&amp;apos;"))</f>
        <v/>
      </c>
      <c r="AY57" s="46">
        <f>IF(Saisie_Questions!W57="","",SUBSTITUTE(SUBSTITUTE(SUBSTITUTE(SUBSTITUTE(SUBSTITUTE(Saisie_Questions!W57,"&amp;","&amp;amp;"),"&lt;","&amp;lt;"),"&gt;","&amp;gt;"),CHAR(34),"&amp;quot;"),"'","&amp;apos;"))</f>
        <v/>
      </c>
      <c r="AZ57" s="46">
        <f>IF(Saisie_Questions!X57="","",SUBSTITUTE(SUBSTITUTE(SUBSTITUTE(SUBSTITUTE(SUBSTITUTE(Saisie_Questions!X57,"&amp;","&amp;amp;"),"&lt;","&amp;lt;"),"&gt;","&amp;gt;"),CHAR(34),"&amp;quot;"),"'","&amp;apos;"))</f>
        <v/>
      </c>
      <c r="BA57" s="46">
        <f>IF(Saisie_Questions!Y57="","",SUBSTITUTE(SUBSTITUTE(SUBSTITUTE(SUBSTITUTE(SUBSTITUTE(Saisie_Questions!Y57,"&amp;","&amp;amp;"),"&lt;","&amp;lt;"),"&gt;","&amp;gt;"),CHAR(34),"&amp;quot;"),"'","&amp;apos;"))</f>
        <v/>
      </c>
      <c r="BB57" s="46">
        <f>IF($B57,IF($AS57="","","    &lt;itemfeedback ident=""response_allcorrect"" view=""All""&gt;&lt;flow_mat&gt;&lt;material&gt;&lt;mattext texttype=""text/html""&gt;"&amp;$AS57&amp;"&lt;/mattext&gt;&lt;/material&gt;&lt;/flow_mat&gt;&lt;/itemfeedback&gt;"&amp;"    &lt;itemfeedback ident=""response_onenotcorrect"" view=""All""&gt;&lt;flow_mat&gt;&lt;material&gt;&lt;mattext texttype=""text/html""&gt;"&amp;$AS57&amp;"&lt;/mattext&gt;&lt;/material&gt;&lt;/flow_mat&gt;&lt;/itemfeedback&gt;"),"")</f>
      </c>
      <c r="BC57" s="46">
        <f>IF($B57,IF(AT57="","","    &lt;itemfeedback ident=""response_0"" view=""All""&gt;&lt;flow_mat&gt;&lt;material&gt;&lt;mattext texttype=""text/html""&gt;"&amp;AT57&amp;"&lt;/mattext&gt;&lt;/material&gt;&lt;/flow_mat&gt;&lt;/itemfeedback&gt;"),"")</f>
      </c>
      <c r="BD57" s="46">
        <f>IF($B57,IF(AU57="","","    &lt;itemfeedback ident=""response_1"" view=""All""&gt;&lt;flow_mat&gt;&lt;material&gt;&lt;mattext texttype=""text/html""&gt;"&amp;AU57&amp;"&lt;/mattext&gt;&lt;/material&gt;&lt;/flow_mat&gt;&lt;/itemfeedback&gt;"),"")</f>
      </c>
      <c r="BE57" s="46">
        <f>IF($B57,IF(AV57="","","    &lt;itemfeedback ident=""response_2"" view=""All""&gt;&lt;flow_mat&gt;&lt;material&gt;&lt;mattext texttype=""text/html""&gt;"&amp;AV57&amp;"&lt;/mattext&gt;&lt;/material&gt;&lt;/flow_mat&gt;&lt;/itemfeedback&gt;"),"")</f>
      </c>
      <c r="BF57" s="46">
        <f>IF($B57,IF(AW57="","","    &lt;itemfeedback ident=""response_3"" view=""All""&gt;&lt;flow_mat&gt;&lt;material&gt;&lt;mattext texttype=""text/html""&gt;"&amp;AW57&amp;"&lt;/mattext&gt;&lt;/material&gt;&lt;/flow_mat&gt;&lt;/itemfeedback&gt;"),"")</f>
      </c>
      <c r="BG57" s="46">
        <f>IF($B57,IF(AX57="","","    &lt;itemfeedback ident=""response_4"" view=""All""&gt;&lt;flow_mat&gt;&lt;material&gt;&lt;mattext texttype=""text/html""&gt;"&amp;AX57&amp;"&lt;/mattext&gt;&lt;/material&gt;&lt;/flow_mat&gt;&lt;/itemfeedback&gt;"),"")</f>
      </c>
      <c r="BH57" s="46">
        <f>IF($B57,IF(AY57="","","    &lt;itemfeedback ident=""response_5"" view=""All""&gt;&lt;flow_mat&gt;&lt;material&gt;&lt;mattext texttype=""text/html""&gt;"&amp;AY57&amp;"&lt;/mattext&gt;&lt;/material&gt;&lt;/flow_mat&gt;&lt;/itemfeedback&gt;"),"")</f>
      </c>
      <c r="BI57" s="46">
        <f>IF($B57,IF(AZ57="","","    &lt;itemfeedback ident=""response_6"" view=""All""&gt;&lt;flow_mat&gt;&lt;material&gt;&lt;mattext texttype=""text/html""&gt;"&amp;AZ57&amp;"&lt;/mattext&gt;&lt;/material&gt;&lt;/flow_mat&gt;&lt;/itemfeedback&gt;"),"")</f>
      </c>
      <c r="BJ57" s="46">
        <f>IF($B57,IF(BA57="","","    &lt;itemfeedback ident=""response_7"" view=""All""&gt;&lt;flow_mat&gt;&lt;material&gt;&lt;mattext texttype=""text/html""&gt;"&amp;BA57&amp;"&lt;/mattext&gt;&lt;/material&gt;&lt;/flow_mat&gt;&lt;/itemfeedback&gt;"),"")</f>
      </c>
    </row>
    <row r="58" ht="18" customHeight="1" s="17">
      <c r="A58" s="46">
        <f>Saisie_Questions!A58</f>
        <v/>
      </c>
      <c r="B58" s="46">
        <f>Saisie_Questions!O58="OK"</f>
        <v/>
      </c>
      <c r="C58" s="46">
        <f>LOWER(TRIM(Saisie_Questions!B58))</f>
        <v/>
      </c>
      <c r="D58" s="46">
        <f>IF(C58="qcu","SINGLE CHOICE QUESTION","MULTIPLE CHOICE QUESTION")</f>
        <v/>
      </c>
      <c r="E58" s="46">
        <f>IF(C58="qcu","Single","Multiple")</f>
        <v/>
      </c>
      <c r="F58" s="46">
        <f>IF(A58="","",SUBSTITUTE(SUBSTITUTE(SUBSTITUTE(SUBSTITUTE(SUBSTITUTE(IF(Saisie_Questions!C58="", "Question "&amp;A58, Saisie_Questions!C58),"&amp;","&amp;amp;"),"&lt;","&amp;lt;"),"&gt;","&amp;gt;"),CHAR(34),"&amp;quot;"),"'","&amp;apos;"))</f>
        <v/>
      </c>
      <c r="G58" s="46">
        <f>IF(A58="","",SUBSTITUTE(SUBSTITUTE(SUBSTITUTE(SUBSTITUTE(SUBSTITUTE(Saisie_Questions!D58,"&amp;","&amp;amp;"),"&lt;","&amp;lt;"),"&gt;","&amp;gt;"),CHAR(34),"&amp;quot;"),"'","&amp;apos;"))</f>
        <v/>
      </c>
      <c r="H58" s="46">
        <f>Saisie_Questions!N58</f>
        <v/>
      </c>
      <c r="I58" s="46">
        <f>IF(Saisie_Questions!E58="",0,1)+IF(Saisie_Questions!F58="",0,1)+IF(Saisie_Questions!G58="",0,1)+IF(Saisie_Questions!H58="",0,1)+IF(Saisie_Questions!I58="",0,1)+IF(Saisie_Questions!J58="",0,1)+IF(Saisie_Questions!K58="",0,1)+IF(Saisie_Questions!L58="",0,1)</f>
        <v/>
      </c>
      <c r="J58" s="46">
        <f>Saisie_Questions!M58</f>
        <v/>
      </c>
      <c r="K58" s="46">
        <f>Saisie_Questions!O58</f>
        <v/>
      </c>
      <c r="L58" s="46">
        <f>IF(Saisie_Questions!E58="","",SUBSTITUTE(SUBSTITUTE(SUBSTITUTE(SUBSTITUTE(SUBSTITUTE(Saisie_Questions!E58,"&amp;","&amp;amp;"),"&lt;","&amp;lt;"),"&gt;","&amp;gt;"),CHAR(34),"&amp;quot;"),"'","&amp;apos;"))</f>
        <v/>
      </c>
      <c r="M58" s="46">
        <f>IF(Saisie_Questions!F58="","",SUBSTITUTE(SUBSTITUTE(SUBSTITUTE(SUBSTITUTE(SUBSTITUTE(Saisie_Questions!F58,"&amp;","&amp;amp;"),"&lt;","&amp;lt;"),"&gt;","&amp;gt;"),CHAR(34),"&amp;quot;"),"'","&amp;apos;"))</f>
        <v/>
      </c>
      <c r="N58" s="46">
        <f>IF(Saisie_Questions!G58="","",SUBSTITUTE(SUBSTITUTE(SUBSTITUTE(SUBSTITUTE(SUBSTITUTE(Saisie_Questions!G58,"&amp;","&amp;amp;"),"&lt;","&amp;lt;"),"&gt;","&amp;gt;"),CHAR(34),"&amp;quot;"),"'","&amp;apos;"))</f>
        <v/>
      </c>
      <c r="O58" s="46">
        <f>IF(Saisie_Questions!H58="","",SUBSTITUTE(SUBSTITUTE(SUBSTITUTE(SUBSTITUTE(SUBSTITUTE(Saisie_Questions!H58,"&amp;","&amp;amp;"),"&lt;","&amp;lt;"),"&gt;","&amp;gt;"),CHAR(34),"&amp;quot;"),"'","&amp;apos;"))</f>
        <v/>
      </c>
      <c r="P58" s="46">
        <f>IF(Saisie_Questions!I58="","",SUBSTITUTE(SUBSTITUTE(SUBSTITUTE(SUBSTITUTE(SUBSTITUTE(Saisie_Questions!I58,"&amp;","&amp;amp;"),"&lt;","&amp;lt;"),"&gt;","&amp;gt;"),CHAR(34),"&amp;quot;"),"'","&amp;apos;"))</f>
        <v/>
      </c>
      <c r="Q58" s="46">
        <f>IF(Saisie_Questions!J58="","",SUBSTITUTE(SUBSTITUTE(SUBSTITUTE(SUBSTITUTE(SUBSTITUTE(Saisie_Questions!J58,"&amp;","&amp;amp;"),"&lt;","&amp;lt;"),"&gt;","&amp;gt;"),CHAR(34),"&amp;quot;"),"'","&amp;apos;"))</f>
        <v/>
      </c>
      <c r="R58" s="46">
        <f>IF(Saisie_Questions!K58="","",SUBSTITUTE(SUBSTITUTE(SUBSTITUTE(SUBSTITUTE(SUBSTITUTE(Saisie_Questions!K58,"&amp;","&amp;amp;"),"&lt;","&amp;lt;"),"&gt;","&amp;gt;"),CHAR(34),"&amp;quot;"),"'","&amp;apos;"))</f>
        <v/>
      </c>
      <c r="S58" s="46">
        <f>IF(Saisie_Questions!L58="","",SUBSTITUTE(SUBSTITUTE(SUBSTITUTE(SUBSTITUTE(SUBSTITUTE(Saisie_Questions!L58,"&amp;","&amp;amp;"),"&lt;","&amp;lt;"),"&gt;","&amp;gt;"),CHAR(34),"&amp;quot;"),"'","&amp;apos;"))</f>
        <v/>
      </c>
      <c r="T58" s="46">
        <f>ISNUMBER(SEARCH(";"&amp;1&amp;";",";"&amp;$J58&amp;";"))</f>
        <v/>
      </c>
      <c r="U58" s="46">
        <f>ISNUMBER(SEARCH(";"&amp;2&amp;";",";"&amp;$J58&amp;";"))</f>
        <v/>
      </c>
      <c r="V58" s="46">
        <f>ISNUMBER(SEARCH(";"&amp;3&amp;";",";"&amp;$J58&amp;";"))</f>
        <v/>
      </c>
      <c r="W58" s="46">
        <f>ISNUMBER(SEARCH(";"&amp;4&amp;";",";"&amp;$J58&amp;";"))</f>
        <v/>
      </c>
      <c r="X58" s="46">
        <f>ISNUMBER(SEARCH(";"&amp;5&amp;";",";"&amp;$J58&amp;";"))</f>
        <v/>
      </c>
      <c r="Y58" s="46">
        <f>ISNUMBER(SEARCH(";"&amp;6&amp;";",";"&amp;$J58&amp;";"))</f>
        <v/>
      </c>
      <c r="Z58" s="46">
        <f>ISNUMBER(SEARCH(";"&amp;7&amp;";",";"&amp;$J58&amp;";"))</f>
        <v/>
      </c>
      <c r="AA58" s="46">
        <f>ISNUMBER(SEARCH(";"&amp;8&amp;";",";"&amp;$J58&amp;";"))</f>
        <v/>
      </c>
      <c r="AB58" s="46">
        <f>IF($B58,IF(L58="","","        &lt;response_label ident=""0""&gt;&lt;material&gt;&lt;mattext texttype=""text/html""&gt;"&amp;L58&amp;"&lt;/mattext&gt;&lt;/material&gt;&lt;/response_label&gt;"),"")</f>
        <v/>
      </c>
      <c r="AC58" s="46">
        <f>IF($B58,IF(M58="","","        &lt;response_label ident=""1""&gt;&lt;material&gt;&lt;mattext texttype=""text/html""&gt;"&amp;M58&amp;"&lt;/mattext&gt;&lt;/material&gt;&lt;/response_label&gt;"),"")</f>
        <v/>
      </c>
      <c r="AD58" s="46">
        <f>IF($B58,IF(N58="","","        &lt;response_label ident=""2""&gt;&lt;material&gt;&lt;mattext texttype=""text/html""&gt;"&amp;N58&amp;"&lt;/mattext&gt;&lt;/material&gt;&lt;/response_label&gt;"),"")</f>
        <v/>
      </c>
      <c r="AE58" s="46">
        <f>IF($B58,IF(O58="","","        &lt;response_label ident=""3""&gt;&lt;material&gt;&lt;mattext texttype=""text/html""&gt;"&amp;O58&amp;"&lt;/mattext&gt;&lt;/material&gt;&lt;/response_label&gt;"),"")</f>
        <v/>
      </c>
      <c r="AF58" s="46">
        <f>IF($B58,IF(P58="","","        &lt;response_label ident=""4""&gt;&lt;material&gt;&lt;mattext texttype=""text/html""&gt;"&amp;P58&amp;"&lt;/mattext&gt;&lt;/material&gt;&lt;/response_label&gt;"),"")</f>
        <v/>
      </c>
      <c r="AG58" s="46">
        <f>IF($B58,IF(Q58="","","        &lt;response_label ident=""5""&gt;&lt;material&gt;&lt;mattext texttype=""text/html""&gt;"&amp;Q58&amp;"&lt;/mattext&gt;&lt;/material&gt;&lt;/response_label&gt;"),"")</f>
        <v/>
      </c>
      <c r="AH58" s="46">
        <f>IF($B58,IF(R58="","","        &lt;response_label ident=""6""&gt;&lt;material&gt;&lt;mattext texttype=""text/html""&gt;"&amp;R58&amp;"&lt;/mattext&gt;&lt;/material&gt;&lt;/response_label&gt;"),"")</f>
        <v/>
      </c>
      <c r="AI58" s="46">
        <f>IF($B58,IF(S58="","","        &lt;response_label ident=""7""&gt;&lt;material&gt;&lt;mattext texttype=""text/html""&gt;"&amp;S58&amp;"&lt;/mattext&gt;&lt;/material&gt;&lt;/response_label&gt;"),"")</f>
        <v/>
      </c>
      <c r="AJ58" s="46">
        <f>IF($B58,IF(L58="","",IF($C58="qcu",IF(OR(T58,AT58&lt;&gt;"",$AS58&lt;&gt;""),"      &lt;respcondition continue=""Yes""&gt;&lt;conditionvar&gt;&lt;varequal respident=""RESPONSE""&gt;0&lt;/varequal&gt;&lt;/conditionvar&gt;"&amp;"&lt;setvar action=""Add""&gt;"&amp;IF(T58,$H58,0)&amp;"&lt;/setvar&gt;"&amp;IF(AT58&lt;&gt;"","&lt;displayfeedback feedbacktype=""Response"" linkrefid=""response_0""/&gt;",IF($AS58&lt;&gt;"","&lt;displayfeedback feedbacktype=""Response"" linkrefid=""qti_feedback_trigger""/&gt;",""))&amp;"&lt;/respcondition&gt;",""),IF(OR(T58,AT58&lt;&gt;"",$AS58&lt;&gt;""),"      &lt;respcondition continue=""Yes""&gt;&lt;conditionvar&gt;"&amp;IF(T58,"&lt;varequal respident=""RESPONSE""&gt;0&lt;/varequal&gt;","&lt;not&gt;&lt;varequal respident=""RESPONSE""&gt;0&lt;/varequal&gt;&lt;/not&gt;")&amp;"&lt;/conditionvar&gt;&lt;setvar action=""Add""&gt;"&amp;(Saisie_Questions!$N58/$I58)&amp;"&lt;/setvar&gt;"&amp;IF(AT58&lt;&gt;"","&lt;displayfeedback feedbacktype=""Response"" linkrefid=""response_0""/&gt;",IF($AS58&lt;&gt;"","&lt;displayfeedback feedbacktype=""Response"" linkrefid=""qti_feedback_trigger""/&gt;",""))&amp;"&lt;/respcondition&gt;",""))),"")</f>
      </c>
      <c r="AK58" s="46">
        <f>IF($B58,IF(M58="","",IF($C58="qcu",IF(OR(U58,AU58&lt;&gt;"",$AS58&lt;&gt;""),"      &lt;respcondition continue=""Yes""&gt;&lt;conditionvar&gt;&lt;varequal respident=""RESPONSE""&gt;1&lt;/varequal&gt;&lt;/conditionvar&gt;"&amp;"&lt;setvar action=""Add""&gt;"&amp;IF(U58,$H58,0)&amp;"&lt;/setvar&gt;"&amp;IF(AU58&lt;&gt;"","&lt;displayfeedback feedbacktype=""Response"" linkrefid=""response_1""/&gt;",IF($AS58&lt;&gt;"","&lt;displayfeedback feedbacktype=""Response"" linkrefid=""qti_feedback_trigger""/&gt;",""))&amp;"&lt;/respcondition&gt;",""),IF(OR(U58,AU58&lt;&gt;"",$AS58&lt;&gt;""),"      &lt;respcondition continue=""Yes""&gt;&lt;conditionvar&gt;"&amp;IF(U58,"&lt;varequal respident=""RESPONSE""&gt;1&lt;/varequal&gt;","&lt;not&gt;&lt;varequal respident=""RESPONSE""&gt;1&lt;/varequal&gt;&lt;/not&gt;")&amp;"&lt;/conditionvar&gt;&lt;setvar action=""Add""&gt;"&amp;(Saisie_Questions!$N58/$I58)&amp;"&lt;/setvar&gt;"&amp;IF(AU58&lt;&gt;"","&lt;displayfeedback feedbacktype=""Response"" linkrefid=""response_1""/&gt;",IF($AS58&lt;&gt;"","&lt;displayfeedback feedbacktype=""Response"" linkrefid=""qti_feedback_trigger""/&gt;",""))&amp;"&lt;/respcondition&gt;",""))),"")</f>
      </c>
      <c r="AL58" s="46">
        <f>IF($B58,IF(N58="","",IF($C58="qcu",IF(OR(V58,AV58&lt;&gt;"",$AS58&lt;&gt;""),"      &lt;respcondition continue=""Yes""&gt;&lt;conditionvar&gt;&lt;varequal respident=""RESPONSE""&gt;2&lt;/varequal&gt;&lt;/conditionvar&gt;"&amp;"&lt;setvar action=""Add""&gt;"&amp;IF(V58,$H58,0)&amp;"&lt;/setvar&gt;"&amp;IF(AV58&lt;&gt;"","&lt;displayfeedback feedbacktype=""Response"" linkrefid=""response_2""/&gt;",IF($AS58&lt;&gt;"","&lt;displayfeedback feedbacktype=""Response"" linkrefid=""qti_feedback_trigger""/&gt;",""))&amp;"&lt;/respcondition&gt;",""),IF(OR(V58,AV58&lt;&gt;"",$AS58&lt;&gt;""),"      &lt;respcondition continue=""Yes""&gt;&lt;conditionvar&gt;"&amp;IF(V58,"&lt;varequal respident=""RESPONSE""&gt;2&lt;/varequal&gt;","&lt;not&gt;&lt;varequal respident=""RESPONSE""&gt;2&lt;/varequal&gt;&lt;/not&gt;")&amp;"&lt;/conditionvar&gt;&lt;setvar action=""Add""&gt;"&amp;(Saisie_Questions!$N58/$I58)&amp;"&lt;/setvar&gt;"&amp;IF(AV58&lt;&gt;"","&lt;displayfeedback feedbacktype=""Response"" linkrefid=""response_2""/&gt;",IF($AS58&lt;&gt;"","&lt;displayfeedback feedbacktype=""Response"" linkrefid=""qti_feedback_trigger""/&gt;",""))&amp;"&lt;/respcondition&gt;",""))),"")</f>
      </c>
      <c r="AM58" s="46">
        <f>IF($B58,IF(O58="","",IF($C58="qcu",IF(OR(W58,AW58&lt;&gt;"",$AS58&lt;&gt;""),"      &lt;respcondition continue=""Yes""&gt;&lt;conditionvar&gt;&lt;varequal respident=""RESPONSE""&gt;3&lt;/varequal&gt;&lt;/conditionvar&gt;"&amp;"&lt;setvar action=""Add""&gt;"&amp;IF(W58,$H58,0)&amp;"&lt;/setvar&gt;"&amp;IF(AW58&lt;&gt;"","&lt;displayfeedback feedbacktype=""Response"" linkrefid=""response_3""/&gt;",IF($AS58&lt;&gt;"","&lt;displayfeedback feedbacktype=""Response"" linkrefid=""qti_feedback_trigger""/&gt;",""))&amp;"&lt;/respcondition&gt;",""),IF(OR(W58,AW58&lt;&gt;"",$AS58&lt;&gt;""),"      &lt;respcondition continue=""Yes""&gt;&lt;conditionvar&gt;"&amp;IF(W58,"&lt;varequal respident=""RESPONSE""&gt;3&lt;/varequal&gt;","&lt;not&gt;&lt;varequal respident=""RESPONSE""&gt;3&lt;/varequal&gt;&lt;/not&gt;")&amp;"&lt;/conditionvar&gt;&lt;setvar action=""Add""&gt;"&amp;(Saisie_Questions!$N58/$I58)&amp;"&lt;/setvar&gt;"&amp;IF(AW58&lt;&gt;"","&lt;displayfeedback feedbacktype=""Response"" linkrefid=""response_3""/&gt;",IF($AS58&lt;&gt;"","&lt;displayfeedback feedbacktype=""Response"" linkrefid=""qti_feedback_trigger""/&gt;",""))&amp;"&lt;/respcondition&gt;",""))),"")</f>
      </c>
      <c r="AN58" s="46">
        <f>IF($B58,IF(P58="","",IF($C58="qcu",IF(OR(X58,AX58&lt;&gt;"",$AS58&lt;&gt;""),"      &lt;respcondition continue=""Yes""&gt;&lt;conditionvar&gt;&lt;varequal respident=""RESPONSE""&gt;4&lt;/varequal&gt;&lt;/conditionvar&gt;"&amp;"&lt;setvar action=""Add""&gt;"&amp;IF(X58,$H58,0)&amp;"&lt;/setvar&gt;"&amp;IF(AX58&lt;&gt;"","&lt;displayfeedback feedbacktype=""Response"" linkrefid=""response_4""/&gt;",IF($AS58&lt;&gt;"","&lt;displayfeedback feedbacktype=""Response"" linkrefid=""qti_feedback_trigger""/&gt;",""))&amp;"&lt;/respcondition&gt;",""),IF(OR(X58,AX58&lt;&gt;"",$AS58&lt;&gt;""),"      &lt;respcondition continue=""Yes""&gt;&lt;conditionvar&gt;"&amp;IF(X58,"&lt;varequal respident=""RESPONSE""&gt;4&lt;/varequal&gt;","&lt;not&gt;&lt;varequal respident=""RESPONSE""&gt;4&lt;/varequal&gt;&lt;/not&gt;")&amp;"&lt;/conditionvar&gt;&lt;setvar action=""Add""&gt;"&amp;(Saisie_Questions!$N58/$I58)&amp;"&lt;/setvar&gt;"&amp;IF(AX58&lt;&gt;"","&lt;displayfeedback feedbacktype=""Response"" linkrefid=""response_4""/&gt;",IF($AS58&lt;&gt;"","&lt;displayfeedback feedbacktype=""Response"" linkrefid=""qti_feedback_trigger""/&gt;",""))&amp;"&lt;/respcondition&gt;",""))),"")</f>
      </c>
      <c r="AO58" s="46">
        <f>IF($B58,IF(Q58="","",IF($C58="qcu",IF(OR(Y58,AY58&lt;&gt;"",$AS58&lt;&gt;""),"      &lt;respcondition continue=""Yes""&gt;&lt;conditionvar&gt;&lt;varequal respident=""RESPONSE""&gt;5&lt;/varequal&gt;&lt;/conditionvar&gt;"&amp;"&lt;setvar action=""Add""&gt;"&amp;IF(Y58,$H58,0)&amp;"&lt;/setvar&gt;"&amp;IF(AY58&lt;&gt;"","&lt;displayfeedback feedbacktype=""Response"" linkrefid=""response_5""/&gt;",IF($AS58&lt;&gt;"","&lt;displayfeedback feedbacktype=""Response"" linkrefid=""qti_feedback_trigger""/&gt;",""))&amp;"&lt;/respcondition&gt;",""),IF(OR(Y58,AY58&lt;&gt;"",$AS58&lt;&gt;""),"      &lt;respcondition continue=""Yes""&gt;&lt;conditionvar&gt;"&amp;IF(Y58,"&lt;varequal respident=""RESPONSE""&gt;5&lt;/varequal&gt;","&lt;not&gt;&lt;varequal respident=""RESPONSE""&gt;5&lt;/varequal&gt;&lt;/not&gt;")&amp;"&lt;/conditionvar&gt;&lt;setvar action=""Add""&gt;"&amp;(Saisie_Questions!$N58/$I58)&amp;"&lt;/setvar&gt;"&amp;IF(AY58&lt;&gt;"","&lt;displayfeedback feedbacktype=""Response"" linkrefid=""response_5""/&gt;",IF($AS58&lt;&gt;"","&lt;displayfeedback feedbacktype=""Response"" linkrefid=""qti_feedback_trigger""/&gt;",""))&amp;"&lt;/respcondition&gt;",""))),"")</f>
      </c>
      <c r="AP58" s="46">
        <f>IF($B58,IF(R58="","",IF($C58="qcu",IF(OR(Z58,AZ58&lt;&gt;"",$AS58&lt;&gt;""),"      &lt;respcondition continue=""Yes""&gt;&lt;conditionvar&gt;&lt;varequal respident=""RESPONSE""&gt;6&lt;/varequal&gt;&lt;/conditionvar&gt;"&amp;"&lt;setvar action=""Add""&gt;"&amp;IF(Z58,$H58,0)&amp;"&lt;/setvar&gt;"&amp;IF(AZ58&lt;&gt;"","&lt;displayfeedback feedbacktype=""Response"" linkrefid=""response_6""/&gt;",IF($AS58&lt;&gt;"","&lt;displayfeedback feedbacktype=""Response"" linkrefid=""qti_feedback_trigger""/&gt;",""))&amp;"&lt;/respcondition&gt;",""),IF(OR(Z58,AZ58&lt;&gt;"",$AS58&lt;&gt;""),"      &lt;respcondition continue=""Yes""&gt;&lt;conditionvar&gt;"&amp;IF(Z58,"&lt;varequal respident=""RESPONSE""&gt;6&lt;/varequal&gt;","&lt;not&gt;&lt;varequal respident=""RESPONSE""&gt;6&lt;/varequal&gt;&lt;/not&gt;")&amp;"&lt;/conditionvar&gt;&lt;setvar action=""Add""&gt;"&amp;(Saisie_Questions!$N58/$I58)&amp;"&lt;/setvar&gt;"&amp;IF(AZ58&lt;&gt;"","&lt;displayfeedback feedbacktype=""Response"" linkrefid=""response_6""/&gt;",IF($AS58&lt;&gt;"","&lt;displayfeedback feedbacktype=""Response"" linkrefid=""qti_feedback_trigger""/&gt;",""))&amp;"&lt;/respcondition&gt;",""))),"")</f>
      </c>
      <c r="AQ58" s="46">
        <f>IF($B58,IF(S58="","",IF($C58="qcu",IF(OR(AA58,BA58&lt;&gt;"",$AS58&lt;&gt;""),"      &lt;respcondition continue=""Yes""&gt;&lt;conditionvar&gt;&lt;varequal respident=""RESPONSE""&gt;7&lt;/varequal&gt;&lt;/conditionvar&gt;"&amp;"&lt;setvar action=""Add""&gt;"&amp;IF(AA58,$H58,0)&amp;"&lt;/setvar&gt;"&amp;IF(BA58&lt;&gt;"","&lt;displayfeedback feedbacktype=""Response"" linkrefid=""response_7""/&gt;",IF($AS58&lt;&gt;"","&lt;displayfeedback feedbacktype=""Response"" linkrefid=""qti_feedback_trigger""/&gt;",""))&amp;"&lt;/respcondition&gt;",""),IF(OR(AA58,BA58&lt;&gt;"",$AS58&lt;&gt;""),"      &lt;respcondition continue=""Yes""&gt;&lt;conditionvar&gt;"&amp;IF(AA58,"&lt;varequal respident=""RESPONSE""&gt;7&lt;/varequal&gt;","&lt;not&gt;&lt;varequal respident=""RESPONSE""&gt;7&lt;/varequal&gt;&lt;/not&gt;")&amp;"&lt;/conditionvar&gt;&lt;setvar action=""Add""&gt;"&amp;(Saisie_Questions!$N58/$I58)&amp;"&lt;/setvar&gt;"&amp;IF(BA58&lt;&gt;"","&lt;displayfeedback feedbacktype=""Response"" linkrefid=""response_7""/&gt;",IF($AS58&lt;&gt;"","&lt;displayfeedback feedbacktype=""Response"" linkrefid=""qti_feedback_trigger""/&gt;",""))&amp;"&lt;/respcondition&gt;",""))),"")</f>
      </c>
      <c r="AR58" s="46">
        <f>IF(A58="","",SUBSTITUTE(SUBSTITUTE(SUBSTITUTE(SUBSTITUTE(SUBSTITUTE(IF(Saisie_Questions!P58&lt;&gt;"",Saisie_Questions!P58,Interface_Generation!$B$5),"&amp;","&amp;amp;"),"&lt;","&amp;lt;"),"&gt;","&amp;gt;"),CHAR(34),"&amp;quot;"),"'","&amp;apos;"))</f>
        <v/>
      </c>
      <c r="AS58" s="46">
        <f>IF(Saisie_Questions!Q58="","",SUBSTITUTE(SUBSTITUTE(SUBSTITUTE(SUBSTITUTE(SUBSTITUTE(Saisie_Questions!Q58,"&amp;","&amp;amp;"),"&lt;","&amp;lt;"),"&gt;","&amp;gt;"),CHAR(34),"&amp;quot;"),"'","&amp;apos;"))</f>
        <v/>
      </c>
      <c r="AT58" s="46">
        <f>IF(Saisie_Questions!R58="","",SUBSTITUTE(SUBSTITUTE(SUBSTITUTE(SUBSTITUTE(SUBSTITUTE(Saisie_Questions!R58,"&amp;","&amp;amp;"),"&lt;","&amp;lt;"),"&gt;","&amp;gt;"),CHAR(34),"&amp;quot;"),"'","&amp;apos;"))</f>
        <v/>
      </c>
      <c r="AU58" s="46">
        <f>IF(Saisie_Questions!S58="","",SUBSTITUTE(SUBSTITUTE(SUBSTITUTE(SUBSTITUTE(SUBSTITUTE(Saisie_Questions!S58,"&amp;","&amp;amp;"),"&lt;","&amp;lt;"),"&gt;","&amp;gt;"),CHAR(34),"&amp;quot;"),"'","&amp;apos;"))</f>
        <v/>
      </c>
      <c r="AV58" s="46">
        <f>IF(Saisie_Questions!T58="","",SUBSTITUTE(SUBSTITUTE(SUBSTITUTE(SUBSTITUTE(SUBSTITUTE(Saisie_Questions!T58,"&amp;","&amp;amp;"),"&lt;","&amp;lt;"),"&gt;","&amp;gt;"),CHAR(34),"&amp;quot;"),"'","&amp;apos;"))</f>
        <v/>
      </c>
      <c r="AW58" s="46">
        <f>IF(Saisie_Questions!U58="","",SUBSTITUTE(SUBSTITUTE(SUBSTITUTE(SUBSTITUTE(SUBSTITUTE(Saisie_Questions!U58,"&amp;","&amp;amp;"),"&lt;","&amp;lt;"),"&gt;","&amp;gt;"),CHAR(34),"&amp;quot;"),"'","&amp;apos;"))</f>
        <v/>
      </c>
      <c r="AX58" s="46">
        <f>IF(Saisie_Questions!V58="","",SUBSTITUTE(SUBSTITUTE(SUBSTITUTE(SUBSTITUTE(SUBSTITUTE(Saisie_Questions!V58,"&amp;","&amp;amp;"),"&lt;","&amp;lt;"),"&gt;","&amp;gt;"),CHAR(34),"&amp;quot;"),"'","&amp;apos;"))</f>
        <v/>
      </c>
      <c r="AY58" s="46">
        <f>IF(Saisie_Questions!W58="","",SUBSTITUTE(SUBSTITUTE(SUBSTITUTE(SUBSTITUTE(SUBSTITUTE(Saisie_Questions!W58,"&amp;","&amp;amp;"),"&lt;","&amp;lt;"),"&gt;","&amp;gt;"),CHAR(34),"&amp;quot;"),"'","&amp;apos;"))</f>
        <v/>
      </c>
      <c r="AZ58" s="46">
        <f>IF(Saisie_Questions!X58="","",SUBSTITUTE(SUBSTITUTE(SUBSTITUTE(SUBSTITUTE(SUBSTITUTE(Saisie_Questions!X58,"&amp;","&amp;amp;"),"&lt;","&amp;lt;"),"&gt;","&amp;gt;"),CHAR(34),"&amp;quot;"),"'","&amp;apos;"))</f>
        <v/>
      </c>
      <c r="BA58" s="46">
        <f>IF(Saisie_Questions!Y58="","",SUBSTITUTE(SUBSTITUTE(SUBSTITUTE(SUBSTITUTE(SUBSTITUTE(Saisie_Questions!Y58,"&amp;","&amp;amp;"),"&lt;","&amp;lt;"),"&gt;","&amp;gt;"),CHAR(34),"&amp;quot;"),"'","&amp;apos;"))</f>
        <v/>
      </c>
      <c r="BB58" s="46">
        <f>IF($B58,IF($AS58="","","    &lt;itemfeedback ident=""response_allcorrect"" view=""All""&gt;&lt;flow_mat&gt;&lt;material&gt;&lt;mattext texttype=""text/html""&gt;"&amp;$AS58&amp;"&lt;/mattext&gt;&lt;/material&gt;&lt;/flow_mat&gt;&lt;/itemfeedback&gt;"&amp;"    &lt;itemfeedback ident=""response_onenotcorrect"" view=""All""&gt;&lt;flow_mat&gt;&lt;material&gt;&lt;mattext texttype=""text/html""&gt;"&amp;$AS58&amp;"&lt;/mattext&gt;&lt;/material&gt;&lt;/flow_mat&gt;&lt;/itemfeedback&gt;"),"")</f>
      </c>
      <c r="BC58" s="46">
        <f>IF($B58,IF(AT58="","","    &lt;itemfeedback ident=""response_0"" view=""All""&gt;&lt;flow_mat&gt;&lt;material&gt;&lt;mattext texttype=""text/html""&gt;"&amp;AT58&amp;"&lt;/mattext&gt;&lt;/material&gt;&lt;/flow_mat&gt;&lt;/itemfeedback&gt;"),"")</f>
      </c>
      <c r="BD58" s="46">
        <f>IF($B58,IF(AU58="","","    &lt;itemfeedback ident=""response_1"" view=""All""&gt;&lt;flow_mat&gt;&lt;material&gt;&lt;mattext texttype=""text/html""&gt;"&amp;AU58&amp;"&lt;/mattext&gt;&lt;/material&gt;&lt;/flow_mat&gt;&lt;/itemfeedback&gt;"),"")</f>
      </c>
      <c r="BE58" s="46">
        <f>IF($B58,IF(AV58="","","    &lt;itemfeedback ident=""response_2"" view=""All""&gt;&lt;flow_mat&gt;&lt;material&gt;&lt;mattext texttype=""text/html""&gt;"&amp;AV58&amp;"&lt;/mattext&gt;&lt;/material&gt;&lt;/flow_mat&gt;&lt;/itemfeedback&gt;"),"")</f>
      </c>
      <c r="BF58" s="46">
        <f>IF($B58,IF(AW58="","","    &lt;itemfeedback ident=""response_3"" view=""All""&gt;&lt;flow_mat&gt;&lt;material&gt;&lt;mattext texttype=""text/html""&gt;"&amp;AW58&amp;"&lt;/mattext&gt;&lt;/material&gt;&lt;/flow_mat&gt;&lt;/itemfeedback&gt;"),"")</f>
      </c>
      <c r="BG58" s="46">
        <f>IF($B58,IF(AX58="","","    &lt;itemfeedback ident=""response_4"" view=""All""&gt;&lt;flow_mat&gt;&lt;material&gt;&lt;mattext texttype=""text/html""&gt;"&amp;AX58&amp;"&lt;/mattext&gt;&lt;/material&gt;&lt;/flow_mat&gt;&lt;/itemfeedback&gt;"),"")</f>
      </c>
      <c r="BH58" s="46">
        <f>IF($B58,IF(AY58="","","    &lt;itemfeedback ident=""response_5"" view=""All""&gt;&lt;flow_mat&gt;&lt;material&gt;&lt;mattext texttype=""text/html""&gt;"&amp;AY58&amp;"&lt;/mattext&gt;&lt;/material&gt;&lt;/flow_mat&gt;&lt;/itemfeedback&gt;"),"")</f>
      </c>
      <c r="BI58" s="46">
        <f>IF($B58,IF(AZ58="","","    &lt;itemfeedback ident=""response_6"" view=""All""&gt;&lt;flow_mat&gt;&lt;material&gt;&lt;mattext texttype=""text/html""&gt;"&amp;AZ58&amp;"&lt;/mattext&gt;&lt;/material&gt;&lt;/flow_mat&gt;&lt;/itemfeedback&gt;"),"")</f>
      </c>
      <c r="BJ58" s="46">
        <f>IF($B58,IF(BA58="","","    &lt;itemfeedback ident=""response_7"" view=""All""&gt;&lt;flow_mat&gt;&lt;material&gt;&lt;mattext texttype=""text/html""&gt;"&amp;BA58&amp;"&lt;/mattext&gt;&lt;/material&gt;&lt;/flow_mat&gt;&lt;/itemfeedback&gt;"),"")</f>
      </c>
    </row>
    <row r="59" ht="18" customHeight="1" s="17">
      <c r="A59" s="46">
        <f>Saisie_Questions!A59</f>
        <v/>
      </c>
      <c r="B59" s="46">
        <f>Saisie_Questions!O59="OK"</f>
        <v/>
      </c>
      <c r="C59" s="46">
        <f>LOWER(TRIM(Saisie_Questions!B59))</f>
        <v/>
      </c>
      <c r="D59" s="46">
        <f>IF(C59="qcu","SINGLE CHOICE QUESTION","MULTIPLE CHOICE QUESTION")</f>
        <v/>
      </c>
      <c r="E59" s="46">
        <f>IF(C59="qcu","Single","Multiple")</f>
        <v/>
      </c>
      <c r="F59" s="46">
        <f>IF(A59="","",SUBSTITUTE(SUBSTITUTE(SUBSTITUTE(SUBSTITUTE(SUBSTITUTE(IF(Saisie_Questions!C59="", "Question "&amp;A59, Saisie_Questions!C59),"&amp;","&amp;amp;"),"&lt;","&amp;lt;"),"&gt;","&amp;gt;"),CHAR(34),"&amp;quot;"),"'","&amp;apos;"))</f>
        <v/>
      </c>
      <c r="G59" s="46">
        <f>IF(A59="","",SUBSTITUTE(SUBSTITUTE(SUBSTITUTE(SUBSTITUTE(SUBSTITUTE(Saisie_Questions!D59,"&amp;","&amp;amp;"),"&lt;","&amp;lt;"),"&gt;","&amp;gt;"),CHAR(34),"&amp;quot;"),"'","&amp;apos;"))</f>
        <v/>
      </c>
      <c r="H59" s="46">
        <f>Saisie_Questions!N59</f>
        <v/>
      </c>
      <c r="I59" s="46">
        <f>IF(Saisie_Questions!E59="",0,1)+IF(Saisie_Questions!F59="",0,1)+IF(Saisie_Questions!G59="",0,1)+IF(Saisie_Questions!H59="",0,1)+IF(Saisie_Questions!I59="",0,1)+IF(Saisie_Questions!J59="",0,1)+IF(Saisie_Questions!K59="",0,1)+IF(Saisie_Questions!L59="",0,1)</f>
        <v/>
      </c>
      <c r="J59" s="46">
        <f>Saisie_Questions!M59</f>
        <v/>
      </c>
      <c r="K59" s="46">
        <f>Saisie_Questions!O59</f>
        <v/>
      </c>
      <c r="L59" s="46">
        <f>IF(Saisie_Questions!E59="","",SUBSTITUTE(SUBSTITUTE(SUBSTITUTE(SUBSTITUTE(SUBSTITUTE(Saisie_Questions!E59,"&amp;","&amp;amp;"),"&lt;","&amp;lt;"),"&gt;","&amp;gt;"),CHAR(34),"&amp;quot;"),"'","&amp;apos;"))</f>
        <v/>
      </c>
      <c r="M59" s="46">
        <f>IF(Saisie_Questions!F59="","",SUBSTITUTE(SUBSTITUTE(SUBSTITUTE(SUBSTITUTE(SUBSTITUTE(Saisie_Questions!F59,"&amp;","&amp;amp;"),"&lt;","&amp;lt;"),"&gt;","&amp;gt;"),CHAR(34),"&amp;quot;"),"'","&amp;apos;"))</f>
        <v/>
      </c>
      <c r="N59" s="46">
        <f>IF(Saisie_Questions!G59="","",SUBSTITUTE(SUBSTITUTE(SUBSTITUTE(SUBSTITUTE(SUBSTITUTE(Saisie_Questions!G59,"&amp;","&amp;amp;"),"&lt;","&amp;lt;"),"&gt;","&amp;gt;"),CHAR(34),"&amp;quot;"),"'","&amp;apos;"))</f>
        <v/>
      </c>
      <c r="O59" s="46">
        <f>IF(Saisie_Questions!H59="","",SUBSTITUTE(SUBSTITUTE(SUBSTITUTE(SUBSTITUTE(SUBSTITUTE(Saisie_Questions!H59,"&amp;","&amp;amp;"),"&lt;","&amp;lt;"),"&gt;","&amp;gt;"),CHAR(34),"&amp;quot;"),"'","&amp;apos;"))</f>
        <v/>
      </c>
      <c r="P59" s="46">
        <f>IF(Saisie_Questions!I59="","",SUBSTITUTE(SUBSTITUTE(SUBSTITUTE(SUBSTITUTE(SUBSTITUTE(Saisie_Questions!I59,"&amp;","&amp;amp;"),"&lt;","&amp;lt;"),"&gt;","&amp;gt;"),CHAR(34),"&amp;quot;"),"'","&amp;apos;"))</f>
        <v/>
      </c>
      <c r="Q59" s="46">
        <f>IF(Saisie_Questions!J59="","",SUBSTITUTE(SUBSTITUTE(SUBSTITUTE(SUBSTITUTE(SUBSTITUTE(Saisie_Questions!J59,"&amp;","&amp;amp;"),"&lt;","&amp;lt;"),"&gt;","&amp;gt;"),CHAR(34),"&amp;quot;"),"'","&amp;apos;"))</f>
        <v/>
      </c>
      <c r="R59" s="46">
        <f>IF(Saisie_Questions!K59="","",SUBSTITUTE(SUBSTITUTE(SUBSTITUTE(SUBSTITUTE(SUBSTITUTE(Saisie_Questions!K59,"&amp;","&amp;amp;"),"&lt;","&amp;lt;"),"&gt;","&amp;gt;"),CHAR(34),"&amp;quot;"),"'","&amp;apos;"))</f>
        <v/>
      </c>
      <c r="S59" s="46">
        <f>IF(Saisie_Questions!L59="","",SUBSTITUTE(SUBSTITUTE(SUBSTITUTE(SUBSTITUTE(SUBSTITUTE(Saisie_Questions!L59,"&amp;","&amp;amp;"),"&lt;","&amp;lt;"),"&gt;","&amp;gt;"),CHAR(34),"&amp;quot;"),"'","&amp;apos;"))</f>
        <v/>
      </c>
      <c r="T59" s="46">
        <f>ISNUMBER(SEARCH(";"&amp;1&amp;";",";"&amp;$J59&amp;";"))</f>
        <v/>
      </c>
      <c r="U59" s="46">
        <f>ISNUMBER(SEARCH(";"&amp;2&amp;";",";"&amp;$J59&amp;";"))</f>
        <v/>
      </c>
      <c r="V59" s="46">
        <f>ISNUMBER(SEARCH(";"&amp;3&amp;";",";"&amp;$J59&amp;";"))</f>
        <v/>
      </c>
      <c r="W59" s="46">
        <f>ISNUMBER(SEARCH(";"&amp;4&amp;";",";"&amp;$J59&amp;";"))</f>
        <v/>
      </c>
      <c r="X59" s="46">
        <f>ISNUMBER(SEARCH(";"&amp;5&amp;";",";"&amp;$J59&amp;";"))</f>
        <v/>
      </c>
      <c r="Y59" s="46">
        <f>ISNUMBER(SEARCH(";"&amp;6&amp;";",";"&amp;$J59&amp;";"))</f>
        <v/>
      </c>
      <c r="Z59" s="46">
        <f>ISNUMBER(SEARCH(";"&amp;7&amp;";",";"&amp;$J59&amp;";"))</f>
        <v/>
      </c>
      <c r="AA59" s="46">
        <f>ISNUMBER(SEARCH(";"&amp;8&amp;";",";"&amp;$J59&amp;";"))</f>
        <v/>
      </c>
      <c r="AB59" s="46">
        <f>IF($B59,IF(L59="","","        &lt;response_label ident=""0""&gt;&lt;material&gt;&lt;mattext texttype=""text/html""&gt;"&amp;L59&amp;"&lt;/mattext&gt;&lt;/material&gt;&lt;/response_label&gt;"),"")</f>
        <v/>
      </c>
      <c r="AC59" s="46">
        <f>IF($B59,IF(M59="","","        &lt;response_label ident=""1""&gt;&lt;material&gt;&lt;mattext texttype=""text/html""&gt;"&amp;M59&amp;"&lt;/mattext&gt;&lt;/material&gt;&lt;/response_label&gt;"),"")</f>
        <v/>
      </c>
      <c r="AD59" s="46">
        <f>IF($B59,IF(N59="","","        &lt;response_label ident=""2""&gt;&lt;material&gt;&lt;mattext texttype=""text/html""&gt;"&amp;N59&amp;"&lt;/mattext&gt;&lt;/material&gt;&lt;/response_label&gt;"),"")</f>
        <v/>
      </c>
      <c r="AE59" s="46">
        <f>IF($B59,IF(O59="","","        &lt;response_label ident=""3""&gt;&lt;material&gt;&lt;mattext texttype=""text/html""&gt;"&amp;O59&amp;"&lt;/mattext&gt;&lt;/material&gt;&lt;/response_label&gt;"),"")</f>
        <v/>
      </c>
      <c r="AF59" s="46">
        <f>IF($B59,IF(P59="","","        &lt;response_label ident=""4""&gt;&lt;material&gt;&lt;mattext texttype=""text/html""&gt;"&amp;P59&amp;"&lt;/mattext&gt;&lt;/material&gt;&lt;/response_label&gt;"),"")</f>
        <v/>
      </c>
      <c r="AG59" s="46">
        <f>IF($B59,IF(Q59="","","        &lt;response_label ident=""5""&gt;&lt;material&gt;&lt;mattext texttype=""text/html""&gt;"&amp;Q59&amp;"&lt;/mattext&gt;&lt;/material&gt;&lt;/response_label&gt;"),"")</f>
        <v/>
      </c>
      <c r="AH59" s="46">
        <f>IF($B59,IF(R59="","","        &lt;response_label ident=""6""&gt;&lt;material&gt;&lt;mattext texttype=""text/html""&gt;"&amp;R59&amp;"&lt;/mattext&gt;&lt;/material&gt;&lt;/response_label&gt;"),"")</f>
        <v/>
      </c>
      <c r="AI59" s="46">
        <f>IF($B59,IF(S59="","","        &lt;response_label ident=""7""&gt;&lt;material&gt;&lt;mattext texttype=""text/html""&gt;"&amp;S59&amp;"&lt;/mattext&gt;&lt;/material&gt;&lt;/response_label&gt;"),"")</f>
        <v/>
      </c>
      <c r="AJ59" s="46">
        <f>IF($B59,IF(L59="","",IF($C59="qcu",IF(OR(T59,AT59&lt;&gt;"",$AS59&lt;&gt;""),"      &lt;respcondition continue=""Yes""&gt;&lt;conditionvar&gt;&lt;varequal respident=""RESPONSE""&gt;0&lt;/varequal&gt;&lt;/conditionvar&gt;"&amp;"&lt;setvar action=""Add""&gt;"&amp;IF(T59,$H59,0)&amp;"&lt;/setvar&gt;"&amp;IF(AT59&lt;&gt;"","&lt;displayfeedback feedbacktype=""Response"" linkrefid=""response_0""/&gt;",IF($AS59&lt;&gt;"","&lt;displayfeedback feedbacktype=""Response"" linkrefid=""qti_feedback_trigger""/&gt;",""))&amp;"&lt;/respcondition&gt;",""),IF(OR(T59,AT59&lt;&gt;"",$AS59&lt;&gt;""),"      &lt;respcondition continue=""Yes""&gt;&lt;conditionvar&gt;"&amp;IF(T59,"&lt;varequal respident=""RESPONSE""&gt;0&lt;/varequal&gt;","&lt;not&gt;&lt;varequal respident=""RESPONSE""&gt;0&lt;/varequal&gt;&lt;/not&gt;")&amp;"&lt;/conditionvar&gt;&lt;setvar action=""Add""&gt;"&amp;(Saisie_Questions!$N59/$I59)&amp;"&lt;/setvar&gt;"&amp;IF(AT59&lt;&gt;"","&lt;displayfeedback feedbacktype=""Response"" linkrefid=""response_0""/&gt;",IF($AS59&lt;&gt;"","&lt;displayfeedback feedbacktype=""Response"" linkrefid=""qti_feedback_trigger""/&gt;",""))&amp;"&lt;/respcondition&gt;",""))),"")</f>
      </c>
      <c r="AK59" s="46">
        <f>IF($B59,IF(M59="","",IF($C59="qcu",IF(OR(U59,AU59&lt;&gt;"",$AS59&lt;&gt;""),"      &lt;respcondition continue=""Yes""&gt;&lt;conditionvar&gt;&lt;varequal respident=""RESPONSE""&gt;1&lt;/varequal&gt;&lt;/conditionvar&gt;"&amp;"&lt;setvar action=""Add""&gt;"&amp;IF(U59,$H59,0)&amp;"&lt;/setvar&gt;"&amp;IF(AU59&lt;&gt;"","&lt;displayfeedback feedbacktype=""Response"" linkrefid=""response_1""/&gt;",IF($AS59&lt;&gt;"","&lt;displayfeedback feedbacktype=""Response"" linkrefid=""qti_feedback_trigger""/&gt;",""))&amp;"&lt;/respcondition&gt;",""),IF(OR(U59,AU59&lt;&gt;"",$AS59&lt;&gt;""),"      &lt;respcondition continue=""Yes""&gt;&lt;conditionvar&gt;"&amp;IF(U59,"&lt;varequal respident=""RESPONSE""&gt;1&lt;/varequal&gt;","&lt;not&gt;&lt;varequal respident=""RESPONSE""&gt;1&lt;/varequal&gt;&lt;/not&gt;")&amp;"&lt;/conditionvar&gt;&lt;setvar action=""Add""&gt;"&amp;(Saisie_Questions!$N59/$I59)&amp;"&lt;/setvar&gt;"&amp;IF(AU59&lt;&gt;"","&lt;displayfeedback feedbacktype=""Response"" linkrefid=""response_1""/&gt;",IF($AS59&lt;&gt;"","&lt;displayfeedback feedbacktype=""Response"" linkrefid=""qti_feedback_trigger""/&gt;",""))&amp;"&lt;/respcondition&gt;",""))),"")</f>
      </c>
      <c r="AL59" s="46">
        <f>IF($B59,IF(N59="","",IF($C59="qcu",IF(OR(V59,AV59&lt;&gt;"",$AS59&lt;&gt;""),"      &lt;respcondition continue=""Yes""&gt;&lt;conditionvar&gt;&lt;varequal respident=""RESPONSE""&gt;2&lt;/varequal&gt;&lt;/conditionvar&gt;"&amp;"&lt;setvar action=""Add""&gt;"&amp;IF(V59,$H59,0)&amp;"&lt;/setvar&gt;"&amp;IF(AV59&lt;&gt;"","&lt;displayfeedback feedbacktype=""Response"" linkrefid=""response_2""/&gt;",IF($AS59&lt;&gt;"","&lt;displayfeedback feedbacktype=""Response"" linkrefid=""qti_feedback_trigger""/&gt;",""))&amp;"&lt;/respcondition&gt;",""),IF(OR(V59,AV59&lt;&gt;"",$AS59&lt;&gt;""),"      &lt;respcondition continue=""Yes""&gt;&lt;conditionvar&gt;"&amp;IF(V59,"&lt;varequal respident=""RESPONSE""&gt;2&lt;/varequal&gt;","&lt;not&gt;&lt;varequal respident=""RESPONSE""&gt;2&lt;/varequal&gt;&lt;/not&gt;")&amp;"&lt;/conditionvar&gt;&lt;setvar action=""Add""&gt;"&amp;(Saisie_Questions!$N59/$I59)&amp;"&lt;/setvar&gt;"&amp;IF(AV59&lt;&gt;"","&lt;displayfeedback feedbacktype=""Response"" linkrefid=""response_2""/&gt;",IF($AS59&lt;&gt;"","&lt;displayfeedback feedbacktype=""Response"" linkrefid=""qti_feedback_trigger""/&gt;",""))&amp;"&lt;/respcondition&gt;",""))),"")</f>
      </c>
      <c r="AM59" s="46">
        <f>IF($B59,IF(O59="","",IF($C59="qcu",IF(OR(W59,AW59&lt;&gt;"",$AS59&lt;&gt;""),"      &lt;respcondition continue=""Yes""&gt;&lt;conditionvar&gt;&lt;varequal respident=""RESPONSE""&gt;3&lt;/varequal&gt;&lt;/conditionvar&gt;"&amp;"&lt;setvar action=""Add""&gt;"&amp;IF(W59,$H59,0)&amp;"&lt;/setvar&gt;"&amp;IF(AW59&lt;&gt;"","&lt;displayfeedback feedbacktype=""Response"" linkrefid=""response_3""/&gt;",IF($AS59&lt;&gt;"","&lt;displayfeedback feedbacktype=""Response"" linkrefid=""qti_feedback_trigger""/&gt;",""))&amp;"&lt;/respcondition&gt;",""),IF(OR(W59,AW59&lt;&gt;"",$AS59&lt;&gt;""),"      &lt;respcondition continue=""Yes""&gt;&lt;conditionvar&gt;"&amp;IF(W59,"&lt;varequal respident=""RESPONSE""&gt;3&lt;/varequal&gt;","&lt;not&gt;&lt;varequal respident=""RESPONSE""&gt;3&lt;/varequal&gt;&lt;/not&gt;")&amp;"&lt;/conditionvar&gt;&lt;setvar action=""Add""&gt;"&amp;(Saisie_Questions!$N59/$I59)&amp;"&lt;/setvar&gt;"&amp;IF(AW59&lt;&gt;"","&lt;displayfeedback feedbacktype=""Response"" linkrefid=""response_3""/&gt;",IF($AS59&lt;&gt;"","&lt;displayfeedback feedbacktype=""Response"" linkrefid=""qti_feedback_trigger""/&gt;",""))&amp;"&lt;/respcondition&gt;",""))),"")</f>
      </c>
      <c r="AN59" s="46">
        <f>IF($B59,IF(P59="","",IF($C59="qcu",IF(OR(X59,AX59&lt;&gt;"",$AS59&lt;&gt;""),"      &lt;respcondition continue=""Yes""&gt;&lt;conditionvar&gt;&lt;varequal respident=""RESPONSE""&gt;4&lt;/varequal&gt;&lt;/conditionvar&gt;"&amp;"&lt;setvar action=""Add""&gt;"&amp;IF(X59,$H59,0)&amp;"&lt;/setvar&gt;"&amp;IF(AX59&lt;&gt;"","&lt;displayfeedback feedbacktype=""Response"" linkrefid=""response_4""/&gt;",IF($AS59&lt;&gt;"","&lt;displayfeedback feedbacktype=""Response"" linkrefid=""qti_feedback_trigger""/&gt;",""))&amp;"&lt;/respcondition&gt;",""),IF(OR(X59,AX59&lt;&gt;"",$AS59&lt;&gt;""),"      &lt;respcondition continue=""Yes""&gt;&lt;conditionvar&gt;"&amp;IF(X59,"&lt;varequal respident=""RESPONSE""&gt;4&lt;/varequal&gt;","&lt;not&gt;&lt;varequal respident=""RESPONSE""&gt;4&lt;/varequal&gt;&lt;/not&gt;")&amp;"&lt;/conditionvar&gt;&lt;setvar action=""Add""&gt;"&amp;(Saisie_Questions!$N59/$I59)&amp;"&lt;/setvar&gt;"&amp;IF(AX59&lt;&gt;"","&lt;displayfeedback feedbacktype=""Response"" linkrefid=""response_4""/&gt;",IF($AS59&lt;&gt;"","&lt;displayfeedback feedbacktype=""Response"" linkrefid=""qti_feedback_trigger""/&gt;",""))&amp;"&lt;/respcondition&gt;",""))),"")</f>
      </c>
      <c r="AO59" s="46">
        <f>IF($B59,IF(Q59="","",IF($C59="qcu",IF(OR(Y59,AY59&lt;&gt;"",$AS59&lt;&gt;""),"      &lt;respcondition continue=""Yes""&gt;&lt;conditionvar&gt;&lt;varequal respident=""RESPONSE""&gt;5&lt;/varequal&gt;&lt;/conditionvar&gt;"&amp;"&lt;setvar action=""Add""&gt;"&amp;IF(Y59,$H59,0)&amp;"&lt;/setvar&gt;"&amp;IF(AY59&lt;&gt;"","&lt;displayfeedback feedbacktype=""Response"" linkrefid=""response_5""/&gt;",IF($AS59&lt;&gt;"","&lt;displayfeedback feedbacktype=""Response"" linkrefid=""qti_feedback_trigger""/&gt;",""))&amp;"&lt;/respcondition&gt;",""),IF(OR(Y59,AY59&lt;&gt;"",$AS59&lt;&gt;""),"      &lt;respcondition continue=""Yes""&gt;&lt;conditionvar&gt;"&amp;IF(Y59,"&lt;varequal respident=""RESPONSE""&gt;5&lt;/varequal&gt;","&lt;not&gt;&lt;varequal respident=""RESPONSE""&gt;5&lt;/varequal&gt;&lt;/not&gt;")&amp;"&lt;/conditionvar&gt;&lt;setvar action=""Add""&gt;"&amp;(Saisie_Questions!$N59/$I59)&amp;"&lt;/setvar&gt;"&amp;IF(AY59&lt;&gt;"","&lt;displayfeedback feedbacktype=""Response"" linkrefid=""response_5""/&gt;",IF($AS59&lt;&gt;"","&lt;displayfeedback feedbacktype=""Response"" linkrefid=""qti_feedback_trigger""/&gt;",""))&amp;"&lt;/respcondition&gt;",""))),"")</f>
      </c>
      <c r="AP59" s="46">
        <f>IF($B59,IF(R59="","",IF($C59="qcu",IF(OR(Z59,AZ59&lt;&gt;"",$AS59&lt;&gt;""),"      &lt;respcondition continue=""Yes""&gt;&lt;conditionvar&gt;&lt;varequal respident=""RESPONSE""&gt;6&lt;/varequal&gt;&lt;/conditionvar&gt;"&amp;"&lt;setvar action=""Add""&gt;"&amp;IF(Z59,$H59,0)&amp;"&lt;/setvar&gt;"&amp;IF(AZ59&lt;&gt;"","&lt;displayfeedback feedbacktype=""Response"" linkrefid=""response_6""/&gt;",IF($AS59&lt;&gt;"","&lt;displayfeedback feedbacktype=""Response"" linkrefid=""qti_feedback_trigger""/&gt;",""))&amp;"&lt;/respcondition&gt;",""),IF(OR(Z59,AZ59&lt;&gt;"",$AS59&lt;&gt;""),"      &lt;respcondition continue=""Yes""&gt;&lt;conditionvar&gt;"&amp;IF(Z59,"&lt;varequal respident=""RESPONSE""&gt;6&lt;/varequal&gt;","&lt;not&gt;&lt;varequal respident=""RESPONSE""&gt;6&lt;/varequal&gt;&lt;/not&gt;")&amp;"&lt;/conditionvar&gt;&lt;setvar action=""Add""&gt;"&amp;(Saisie_Questions!$N59/$I59)&amp;"&lt;/setvar&gt;"&amp;IF(AZ59&lt;&gt;"","&lt;displayfeedback feedbacktype=""Response"" linkrefid=""response_6""/&gt;",IF($AS59&lt;&gt;"","&lt;displayfeedback feedbacktype=""Response"" linkrefid=""qti_feedback_trigger""/&gt;",""))&amp;"&lt;/respcondition&gt;",""))),"")</f>
      </c>
      <c r="AQ59" s="46">
        <f>IF($B59,IF(S59="","",IF($C59="qcu",IF(OR(AA59,BA59&lt;&gt;"",$AS59&lt;&gt;""),"      &lt;respcondition continue=""Yes""&gt;&lt;conditionvar&gt;&lt;varequal respident=""RESPONSE""&gt;7&lt;/varequal&gt;&lt;/conditionvar&gt;"&amp;"&lt;setvar action=""Add""&gt;"&amp;IF(AA59,$H59,0)&amp;"&lt;/setvar&gt;"&amp;IF(BA59&lt;&gt;"","&lt;displayfeedback feedbacktype=""Response"" linkrefid=""response_7""/&gt;",IF($AS59&lt;&gt;"","&lt;displayfeedback feedbacktype=""Response"" linkrefid=""qti_feedback_trigger""/&gt;",""))&amp;"&lt;/respcondition&gt;",""),IF(OR(AA59,BA59&lt;&gt;"",$AS59&lt;&gt;""),"      &lt;respcondition continue=""Yes""&gt;&lt;conditionvar&gt;"&amp;IF(AA59,"&lt;varequal respident=""RESPONSE""&gt;7&lt;/varequal&gt;","&lt;not&gt;&lt;varequal respident=""RESPONSE""&gt;7&lt;/varequal&gt;&lt;/not&gt;")&amp;"&lt;/conditionvar&gt;&lt;setvar action=""Add""&gt;"&amp;(Saisie_Questions!$N59/$I59)&amp;"&lt;/setvar&gt;"&amp;IF(BA59&lt;&gt;"","&lt;displayfeedback feedbacktype=""Response"" linkrefid=""response_7""/&gt;",IF($AS59&lt;&gt;"","&lt;displayfeedback feedbacktype=""Response"" linkrefid=""qti_feedback_trigger""/&gt;",""))&amp;"&lt;/respcondition&gt;",""))),"")</f>
      </c>
      <c r="AR59" s="46">
        <f>IF(A59="","",SUBSTITUTE(SUBSTITUTE(SUBSTITUTE(SUBSTITUTE(SUBSTITUTE(IF(Saisie_Questions!P59&lt;&gt;"",Saisie_Questions!P59,Interface_Generation!$B$5),"&amp;","&amp;amp;"),"&lt;","&amp;lt;"),"&gt;","&amp;gt;"),CHAR(34),"&amp;quot;"),"'","&amp;apos;"))</f>
        <v/>
      </c>
      <c r="AS59" s="46">
        <f>IF(Saisie_Questions!Q59="","",SUBSTITUTE(SUBSTITUTE(SUBSTITUTE(SUBSTITUTE(SUBSTITUTE(Saisie_Questions!Q59,"&amp;","&amp;amp;"),"&lt;","&amp;lt;"),"&gt;","&amp;gt;"),CHAR(34),"&amp;quot;"),"'","&amp;apos;"))</f>
        <v/>
      </c>
      <c r="AT59" s="46">
        <f>IF(Saisie_Questions!R59="","",SUBSTITUTE(SUBSTITUTE(SUBSTITUTE(SUBSTITUTE(SUBSTITUTE(Saisie_Questions!R59,"&amp;","&amp;amp;"),"&lt;","&amp;lt;"),"&gt;","&amp;gt;"),CHAR(34),"&amp;quot;"),"'","&amp;apos;"))</f>
        <v/>
      </c>
      <c r="AU59" s="46">
        <f>IF(Saisie_Questions!S59="","",SUBSTITUTE(SUBSTITUTE(SUBSTITUTE(SUBSTITUTE(SUBSTITUTE(Saisie_Questions!S59,"&amp;","&amp;amp;"),"&lt;","&amp;lt;"),"&gt;","&amp;gt;"),CHAR(34),"&amp;quot;"),"'","&amp;apos;"))</f>
        <v/>
      </c>
      <c r="AV59" s="46">
        <f>IF(Saisie_Questions!T59="","",SUBSTITUTE(SUBSTITUTE(SUBSTITUTE(SUBSTITUTE(SUBSTITUTE(Saisie_Questions!T59,"&amp;","&amp;amp;"),"&lt;","&amp;lt;"),"&gt;","&amp;gt;"),CHAR(34),"&amp;quot;"),"'","&amp;apos;"))</f>
        <v/>
      </c>
      <c r="AW59" s="46">
        <f>IF(Saisie_Questions!U59="","",SUBSTITUTE(SUBSTITUTE(SUBSTITUTE(SUBSTITUTE(SUBSTITUTE(Saisie_Questions!U59,"&amp;","&amp;amp;"),"&lt;","&amp;lt;"),"&gt;","&amp;gt;"),CHAR(34),"&amp;quot;"),"'","&amp;apos;"))</f>
        <v/>
      </c>
      <c r="AX59" s="46">
        <f>IF(Saisie_Questions!V59="","",SUBSTITUTE(SUBSTITUTE(SUBSTITUTE(SUBSTITUTE(SUBSTITUTE(Saisie_Questions!V59,"&amp;","&amp;amp;"),"&lt;","&amp;lt;"),"&gt;","&amp;gt;"),CHAR(34),"&amp;quot;"),"'","&amp;apos;"))</f>
        <v/>
      </c>
      <c r="AY59" s="46">
        <f>IF(Saisie_Questions!W59="","",SUBSTITUTE(SUBSTITUTE(SUBSTITUTE(SUBSTITUTE(SUBSTITUTE(Saisie_Questions!W59,"&amp;","&amp;amp;"),"&lt;","&amp;lt;"),"&gt;","&amp;gt;"),CHAR(34),"&amp;quot;"),"'","&amp;apos;"))</f>
        <v/>
      </c>
      <c r="AZ59" s="46">
        <f>IF(Saisie_Questions!X59="","",SUBSTITUTE(SUBSTITUTE(SUBSTITUTE(SUBSTITUTE(SUBSTITUTE(Saisie_Questions!X59,"&amp;","&amp;amp;"),"&lt;","&amp;lt;"),"&gt;","&amp;gt;"),CHAR(34),"&amp;quot;"),"'","&amp;apos;"))</f>
        <v/>
      </c>
      <c r="BA59" s="46">
        <f>IF(Saisie_Questions!Y59="","",SUBSTITUTE(SUBSTITUTE(SUBSTITUTE(SUBSTITUTE(SUBSTITUTE(Saisie_Questions!Y59,"&amp;","&amp;amp;"),"&lt;","&amp;lt;"),"&gt;","&amp;gt;"),CHAR(34),"&amp;quot;"),"'","&amp;apos;"))</f>
        <v/>
      </c>
      <c r="BB59" s="46">
        <f>IF($B59,IF($AS59="","","    &lt;itemfeedback ident=""response_allcorrect"" view=""All""&gt;&lt;flow_mat&gt;&lt;material&gt;&lt;mattext texttype=""text/html""&gt;"&amp;$AS59&amp;"&lt;/mattext&gt;&lt;/material&gt;&lt;/flow_mat&gt;&lt;/itemfeedback&gt;"&amp;"    &lt;itemfeedback ident=""response_onenotcorrect"" view=""All""&gt;&lt;flow_mat&gt;&lt;material&gt;&lt;mattext texttype=""text/html""&gt;"&amp;$AS59&amp;"&lt;/mattext&gt;&lt;/material&gt;&lt;/flow_mat&gt;&lt;/itemfeedback&gt;"),"")</f>
      </c>
      <c r="BC59" s="46">
        <f>IF($B59,IF(AT59="","","    &lt;itemfeedback ident=""response_0"" view=""All""&gt;&lt;flow_mat&gt;&lt;material&gt;&lt;mattext texttype=""text/html""&gt;"&amp;AT59&amp;"&lt;/mattext&gt;&lt;/material&gt;&lt;/flow_mat&gt;&lt;/itemfeedback&gt;"),"")</f>
      </c>
      <c r="BD59" s="46">
        <f>IF($B59,IF(AU59="","","    &lt;itemfeedback ident=""response_1"" view=""All""&gt;&lt;flow_mat&gt;&lt;material&gt;&lt;mattext texttype=""text/html""&gt;"&amp;AU59&amp;"&lt;/mattext&gt;&lt;/material&gt;&lt;/flow_mat&gt;&lt;/itemfeedback&gt;"),"")</f>
      </c>
      <c r="BE59" s="46">
        <f>IF($B59,IF(AV59="","","    &lt;itemfeedback ident=""response_2"" view=""All""&gt;&lt;flow_mat&gt;&lt;material&gt;&lt;mattext texttype=""text/html""&gt;"&amp;AV59&amp;"&lt;/mattext&gt;&lt;/material&gt;&lt;/flow_mat&gt;&lt;/itemfeedback&gt;"),"")</f>
      </c>
      <c r="BF59" s="46">
        <f>IF($B59,IF(AW59="","","    &lt;itemfeedback ident=""response_3"" view=""All""&gt;&lt;flow_mat&gt;&lt;material&gt;&lt;mattext texttype=""text/html""&gt;"&amp;AW59&amp;"&lt;/mattext&gt;&lt;/material&gt;&lt;/flow_mat&gt;&lt;/itemfeedback&gt;"),"")</f>
      </c>
      <c r="BG59" s="46">
        <f>IF($B59,IF(AX59="","","    &lt;itemfeedback ident=""response_4"" view=""All""&gt;&lt;flow_mat&gt;&lt;material&gt;&lt;mattext texttype=""text/html""&gt;"&amp;AX59&amp;"&lt;/mattext&gt;&lt;/material&gt;&lt;/flow_mat&gt;&lt;/itemfeedback&gt;"),"")</f>
      </c>
      <c r="BH59" s="46">
        <f>IF($B59,IF(AY59="","","    &lt;itemfeedback ident=""response_5"" view=""All""&gt;&lt;flow_mat&gt;&lt;material&gt;&lt;mattext texttype=""text/html""&gt;"&amp;AY59&amp;"&lt;/mattext&gt;&lt;/material&gt;&lt;/flow_mat&gt;&lt;/itemfeedback&gt;"),"")</f>
      </c>
      <c r="BI59" s="46">
        <f>IF($B59,IF(AZ59="","","    &lt;itemfeedback ident=""response_6"" view=""All""&gt;&lt;flow_mat&gt;&lt;material&gt;&lt;mattext texttype=""text/html""&gt;"&amp;AZ59&amp;"&lt;/mattext&gt;&lt;/material&gt;&lt;/flow_mat&gt;&lt;/itemfeedback&gt;"),"")</f>
      </c>
      <c r="BJ59" s="46">
        <f>IF($B59,IF(BA59="","","    &lt;itemfeedback ident=""response_7"" view=""All""&gt;&lt;flow_mat&gt;&lt;material&gt;&lt;mattext texttype=""text/html""&gt;"&amp;BA59&amp;"&lt;/mattext&gt;&lt;/material&gt;&lt;/flow_mat&gt;&lt;/itemfeedback&gt;"),"")</f>
      </c>
    </row>
    <row r="60" ht="18" customHeight="1" s="17">
      <c r="A60" s="46">
        <f>Saisie_Questions!A60</f>
        <v/>
      </c>
      <c r="B60" s="46">
        <f>Saisie_Questions!O60="OK"</f>
        <v/>
      </c>
      <c r="C60" s="46">
        <f>LOWER(TRIM(Saisie_Questions!B60))</f>
        <v/>
      </c>
      <c r="D60" s="46">
        <f>IF(C60="qcu","SINGLE CHOICE QUESTION","MULTIPLE CHOICE QUESTION")</f>
        <v/>
      </c>
      <c r="E60" s="46">
        <f>IF(C60="qcu","Single","Multiple")</f>
        <v/>
      </c>
      <c r="F60" s="46">
        <f>IF(A60="","",SUBSTITUTE(SUBSTITUTE(SUBSTITUTE(SUBSTITUTE(SUBSTITUTE(IF(Saisie_Questions!C60="", "Question "&amp;A60, Saisie_Questions!C60),"&amp;","&amp;amp;"),"&lt;","&amp;lt;"),"&gt;","&amp;gt;"),CHAR(34),"&amp;quot;"),"'","&amp;apos;"))</f>
        <v/>
      </c>
      <c r="G60" s="46">
        <f>IF(A60="","",SUBSTITUTE(SUBSTITUTE(SUBSTITUTE(SUBSTITUTE(SUBSTITUTE(Saisie_Questions!D60,"&amp;","&amp;amp;"),"&lt;","&amp;lt;"),"&gt;","&amp;gt;"),CHAR(34),"&amp;quot;"),"'","&amp;apos;"))</f>
        <v/>
      </c>
      <c r="H60" s="46">
        <f>Saisie_Questions!N60</f>
        <v/>
      </c>
      <c r="I60" s="46">
        <f>IF(Saisie_Questions!E60="",0,1)+IF(Saisie_Questions!F60="",0,1)+IF(Saisie_Questions!G60="",0,1)+IF(Saisie_Questions!H60="",0,1)+IF(Saisie_Questions!I60="",0,1)+IF(Saisie_Questions!J60="",0,1)+IF(Saisie_Questions!K60="",0,1)+IF(Saisie_Questions!L60="",0,1)</f>
        <v/>
      </c>
      <c r="J60" s="46">
        <f>Saisie_Questions!M60</f>
        <v/>
      </c>
      <c r="K60" s="46">
        <f>Saisie_Questions!O60</f>
        <v/>
      </c>
      <c r="L60" s="46">
        <f>IF(Saisie_Questions!E60="","",SUBSTITUTE(SUBSTITUTE(SUBSTITUTE(SUBSTITUTE(SUBSTITUTE(Saisie_Questions!E60,"&amp;","&amp;amp;"),"&lt;","&amp;lt;"),"&gt;","&amp;gt;"),CHAR(34),"&amp;quot;"),"'","&amp;apos;"))</f>
        <v/>
      </c>
      <c r="M60" s="46">
        <f>IF(Saisie_Questions!F60="","",SUBSTITUTE(SUBSTITUTE(SUBSTITUTE(SUBSTITUTE(SUBSTITUTE(Saisie_Questions!F60,"&amp;","&amp;amp;"),"&lt;","&amp;lt;"),"&gt;","&amp;gt;"),CHAR(34),"&amp;quot;"),"'","&amp;apos;"))</f>
        <v/>
      </c>
      <c r="N60" s="46">
        <f>IF(Saisie_Questions!G60="","",SUBSTITUTE(SUBSTITUTE(SUBSTITUTE(SUBSTITUTE(SUBSTITUTE(Saisie_Questions!G60,"&amp;","&amp;amp;"),"&lt;","&amp;lt;"),"&gt;","&amp;gt;"),CHAR(34),"&amp;quot;"),"'","&amp;apos;"))</f>
        <v/>
      </c>
      <c r="O60" s="46">
        <f>IF(Saisie_Questions!H60="","",SUBSTITUTE(SUBSTITUTE(SUBSTITUTE(SUBSTITUTE(SUBSTITUTE(Saisie_Questions!H60,"&amp;","&amp;amp;"),"&lt;","&amp;lt;"),"&gt;","&amp;gt;"),CHAR(34),"&amp;quot;"),"'","&amp;apos;"))</f>
        <v/>
      </c>
      <c r="P60" s="46">
        <f>IF(Saisie_Questions!I60="","",SUBSTITUTE(SUBSTITUTE(SUBSTITUTE(SUBSTITUTE(SUBSTITUTE(Saisie_Questions!I60,"&amp;","&amp;amp;"),"&lt;","&amp;lt;"),"&gt;","&amp;gt;"),CHAR(34),"&amp;quot;"),"'","&amp;apos;"))</f>
        <v/>
      </c>
      <c r="Q60" s="46">
        <f>IF(Saisie_Questions!J60="","",SUBSTITUTE(SUBSTITUTE(SUBSTITUTE(SUBSTITUTE(SUBSTITUTE(Saisie_Questions!J60,"&amp;","&amp;amp;"),"&lt;","&amp;lt;"),"&gt;","&amp;gt;"),CHAR(34),"&amp;quot;"),"'","&amp;apos;"))</f>
        <v/>
      </c>
      <c r="R60" s="46">
        <f>IF(Saisie_Questions!K60="","",SUBSTITUTE(SUBSTITUTE(SUBSTITUTE(SUBSTITUTE(SUBSTITUTE(Saisie_Questions!K60,"&amp;","&amp;amp;"),"&lt;","&amp;lt;"),"&gt;","&amp;gt;"),CHAR(34),"&amp;quot;"),"'","&amp;apos;"))</f>
        <v/>
      </c>
      <c r="S60" s="46">
        <f>IF(Saisie_Questions!L60="","",SUBSTITUTE(SUBSTITUTE(SUBSTITUTE(SUBSTITUTE(SUBSTITUTE(Saisie_Questions!L60,"&amp;","&amp;amp;"),"&lt;","&amp;lt;"),"&gt;","&amp;gt;"),CHAR(34),"&amp;quot;"),"'","&amp;apos;"))</f>
        <v/>
      </c>
      <c r="T60" s="46">
        <f>ISNUMBER(SEARCH(";"&amp;1&amp;";",";"&amp;$J60&amp;";"))</f>
        <v/>
      </c>
      <c r="U60" s="46">
        <f>ISNUMBER(SEARCH(";"&amp;2&amp;";",";"&amp;$J60&amp;";"))</f>
        <v/>
      </c>
      <c r="V60" s="46">
        <f>ISNUMBER(SEARCH(";"&amp;3&amp;";",";"&amp;$J60&amp;";"))</f>
        <v/>
      </c>
      <c r="W60" s="46">
        <f>ISNUMBER(SEARCH(";"&amp;4&amp;";",";"&amp;$J60&amp;";"))</f>
        <v/>
      </c>
      <c r="X60" s="46">
        <f>ISNUMBER(SEARCH(";"&amp;5&amp;";",";"&amp;$J60&amp;";"))</f>
        <v/>
      </c>
      <c r="Y60" s="46">
        <f>ISNUMBER(SEARCH(";"&amp;6&amp;";",";"&amp;$J60&amp;";"))</f>
        <v/>
      </c>
      <c r="Z60" s="46">
        <f>ISNUMBER(SEARCH(";"&amp;7&amp;";",";"&amp;$J60&amp;";"))</f>
        <v/>
      </c>
      <c r="AA60" s="46">
        <f>ISNUMBER(SEARCH(";"&amp;8&amp;";",";"&amp;$J60&amp;";"))</f>
        <v/>
      </c>
      <c r="AB60" s="46">
        <f>IF($B60,IF(L60="","","        &lt;response_label ident=""0""&gt;&lt;material&gt;&lt;mattext texttype=""text/html""&gt;"&amp;L60&amp;"&lt;/mattext&gt;&lt;/material&gt;&lt;/response_label&gt;"),"")</f>
        <v/>
      </c>
      <c r="AC60" s="46">
        <f>IF($B60,IF(M60="","","        &lt;response_label ident=""1""&gt;&lt;material&gt;&lt;mattext texttype=""text/html""&gt;"&amp;M60&amp;"&lt;/mattext&gt;&lt;/material&gt;&lt;/response_label&gt;"),"")</f>
        <v/>
      </c>
      <c r="AD60" s="46">
        <f>IF($B60,IF(N60="","","        &lt;response_label ident=""2""&gt;&lt;material&gt;&lt;mattext texttype=""text/html""&gt;"&amp;N60&amp;"&lt;/mattext&gt;&lt;/material&gt;&lt;/response_label&gt;"),"")</f>
        <v/>
      </c>
      <c r="AE60" s="46">
        <f>IF($B60,IF(O60="","","        &lt;response_label ident=""3""&gt;&lt;material&gt;&lt;mattext texttype=""text/html""&gt;"&amp;O60&amp;"&lt;/mattext&gt;&lt;/material&gt;&lt;/response_label&gt;"),"")</f>
        <v/>
      </c>
      <c r="AF60" s="46">
        <f>IF($B60,IF(P60="","","        &lt;response_label ident=""4""&gt;&lt;material&gt;&lt;mattext texttype=""text/html""&gt;"&amp;P60&amp;"&lt;/mattext&gt;&lt;/material&gt;&lt;/response_label&gt;"),"")</f>
        <v/>
      </c>
      <c r="AG60" s="46">
        <f>IF($B60,IF(Q60="","","        &lt;response_label ident=""5""&gt;&lt;material&gt;&lt;mattext texttype=""text/html""&gt;"&amp;Q60&amp;"&lt;/mattext&gt;&lt;/material&gt;&lt;/response_label&gt;"),"")</f>
        <v/>
      </c>
      <c r="AH60" s="46">
        <f>IF($B60,IF(R60="","","        &lt;response_label ident=""6""&gt;&lt;material&gt;&lt;mattext texttype=""text/html""&gt;"&amp;R60&amp;"&lt;/mattext&gt;&lt;/material&gt;&lt;/response_label&gt;"),"")</f>
        <v/>
      </c>
      <c r="AI60" s="46">
        <f>IF($B60,IF(S60="","","        &lt;response_label ident=""7""&gt;&lt;material&gt;&lt;mattext texttype=""text/html""&gt;"&amp;S60&amp;"&lt;/mattext&gt;&lt;/material&gt;&lt;/response_label&gt;"),"")</f>
        <v/>
      </c>
      <c r="AJ60" s="46">
        <f>IF($B60,IF(L60="","",IF($C60="qcu",IF(OR(T60,AT60&lt;&gt;"",$AS60&lt;&gt;""),"      &lt;respcondition continue=""Yes""&gt;&lt;conditionvar&gt;&lt;varequal respident=""RESPONSE""&gt;0&lt;/varequal&gt;&lt;/conditionvar&gt;"&amp;"&lt;setvar action=""Add""&gt;"&amp;IF(T60,$H60,0)&amp;"&lt;/setvar&gt;"&amp;IF(AT60&lt;&gt;"","&lt;displayfeedback feedbacktype=""Response"" linkrefid=""response_0""/&gt;",IF($AS60&lt;&gt;"","&lt;displayfeedback feedbacktype=""Response"" linkrefid=""qti_feedback_trigger""/&gt;",""))&amp;"&lt;/respcondition&gt;",""),IF(OR(T60,AT60&lt;&gt;"",$AS60&lt;&gt;""),"      &lt;respcondition continue=""Yes""&gt;&lt;conditionvar&gt;"&amp;IF(T60,"&lt;varequal respident=""RESPONSE""&gt;0&lt;/varequal&gt;","&lt;not&gt;&lt;varequal respident=""RESPONSE""&gt;0&lt;/varequal&gt;&lt;/not&gt;")&amp;"&lt;/conditionvar&gt;&lt;setvar action=""Add""&gt;"&amp;(Saisie_Questions!$N60/$I60)&amp;"&lt;/setvar&gt;"&amp;IF(AT60&lt;&gt;"","&lt;displayfeedback feedbacktype=""Response"" linkrefid=""response_0""/&gt;",IF($AS60&lt;&gt;"","&lt;displayfeedback feedbacktype=""Response"" linkrefid=""qti_feedback_trigger""/&gt;",""))&amp;"&lt;/respcondition&gt;",""))),"")</f>
      </c>
      <c r="AK60" s="46">
        <f>IF($B60,IF(M60="","",IF($C60="qcu",IF(OR(U60,AU60&lt;&gt;"",$AS60&lt;&gt;""),"      &lt;respcondition continue=""Yes""&gt;&lt;conditionvar&gt;&lt;varequal respident=""RESPONSE""&gt;1&lt;/varequal&gt;&lt;/conditionvar&gt;"&amp;"&lt;setvar action=""Add""&gt;"&amp;IF(U60,$H60,0)&amp;"&lt;/setvar&gt;"&amp;IF(AU60&lt;&gt;"","&lt;displayfeedback feedbacktype=""Response"" linkrefid=""response_1""/&gt;",IF($AS60&lt;&gt;"","&lt;displayfeedback feedbacktype=""Response"" linkrefid=""qti_feedback_trigger""/&gt;",""))&amp;"&lt;/respcondition&gt;",""),IF(OR(U60,AU60&lt;&gt;"",$AS60&lt;&gt;""),"      &lt;respcondition continue=""Yes""&gt;&lt;conditionvar&gt;"&amp;IF(U60,"&lt;varequal respident=""RESPONSE""&gt;1&lt;/varequal&gt;","&lt;not&gt;&lt;varequal respident=""RESPONSE""&gt;1&lt;/varequal&gt;&lt;/not&gt;")&amp;"&lt;/conditionvar&gt;&lt;setvar action=""Add""&gt;"&amp;(Saisie_Questions!$N60/$I60)&amp;"&lt;/setvar&gt;"&amp;IF(AU60&lt;&gt;"","&lt;displayfeedback feedbacktype=""Response"" linkrefid=""response_1""/&gt;",IF($AS60&lt;&gt;"","&lt;displayfeedback feedbacktype=""Response"" linkrefid=""qti_feedback_trigger""/&gt;",""))&amp;"&lt;/respcondition&gt;",""))),"")</f>
      </c>
      <c r="AL60" s="46">
        <f>IF($B60,IF(N60="","",IF($C60="qcu",IF(OR(V60,AV60&lt;&gt;"",$AS60&lt;&gt;""),"      &lt;respcondition continue=""Yes""&gt;&lt;conditionvar&gt;&lt;varequal respident=""RESPONSE""&gt;2&lt;/varequal&gt;&lt;/conditionvar&gt;"&amp;"&lt;setvar action=""Add""&gt;"&amp;IF(V60,$H60,0)&amp;"&lt;/setvar&gt;"&amp;IF(AV60&lt;&gt;"","&lt;displayfeedback feedbacktype=""Response"" linkrefid=""response_2""/&gt;",IF($AS60&lt;&gt;"","&lt;displayfeedback feedbacktype=""Response"" linkrefid=""qti_feedback_trigger""/&gt;",""))&amp;"&lt;/respcondition&gt;",""),IF(OR(V60,AV60&lt;&gt;"",$AS60&lt;&gt;""),"      &lt;respcondition continue=""Yes""&gt;&lt;conditionvar&gt;"&amp;IF(V60,"&lt;varequal respident=""RESPONSE""&gt;2&lt;/varequal&gt;","&lt;not&gt;&lt;varequal respident=""RESPONSE""&gt;2&lt;/varequal&gt;&lt;/not&gt;")&amp;"&lt;/conditionvar&gt;&lt;setvar action=""Add""&gt;"&amp;(Saisie_Questions!$N60/$I60)&amp;"&lt;/setvar&gt;"&amp;IF(AV60&lt;&gt;"","&lt;displayfeedback feedbacktype=""Response"" linkrefid=""response_2""/&gt;",IF($AS60&lt;&gt;"","&lt;displayfeedback feedbacktype=""Response"" linkrefid=""qti_feedback_trigger""/&gt;",""))&amp;"&lt;/respcondition&gt;",""))),"")</f>
      </c>
      <c r="AM60" s="46">
        <f>IF($B60,IF(O60="","",IF($C60="qcu",IF(OR(W60,AW60&lt;&gt;"",$AS60&lt;&gt;""),"      &lt;respcondition continue=""Yes""&gt;&lt;conditionvar&gt;&lt;varequal respident=""RESPONSE""&gt;3&lt;/varequal&gt;&lt;/conditionvar&gt;"&amp;"&lt;setvar action=""Add""&gt;"&amp;IF(W60,$H60,0)&amp;"&lt;/setvar&gt;"&amp;IF(AW60&lt;&gt;"","&lt;displayfeedback feedbacktype=""Response"" linkrefid=""response_3""/&gt;",IF($AS60&lt;&gt;"","&lt;displayfeedback feedbacktype=""Response"" linkrefid=""qti_feedback_trigger""/&gt;",""))&amp;"&lt;/respcondition&gt;",""),IF(OR(W60,AW60&lt;&gt;"",$AS60&lt;&gt;""),"      &lt;respcondition continue=""Yes""&gt;&lt;conditionvar&gt;"&amp;IF(W60,"&lt;varequal respident=""RESPONSE""&gt;3&lt;/varequal&gt;","&lt;not&gt;&lt;varequal respident=""RESPONSE""&gt;3&lt;/varequal&gt;&lt;/not&gt;")&amp;"&lt;/conditionvar&gt;&lt;setvar action=""Add""&gt;"&amp;(Saisie_Questions!$N60/$I60)&amp;"&lt;/setvar&gt;"&amp;IF(AW60&lt;&gt;"","&lt;displayfeedback feedbacktype=""Response"" linkrefid=""response_3""/&gt;",IF($AS60&lt;&gt;"","&lt;displayfeedback feedbacktype=""Response"" linkrefid=""qti_feedback_trigger""/&gt;",""))&amp;"&lt;/respcondition&gt;",""))),"")</f>
      </c>
      <c r="AN60" s="46">
        <f>IF($B60,IF(P60="","",IF($C60="qcu",IF(OR(X60,AX60&lt;&gt;"",$AS60&lt;&gt;""),"      &lt;respcondition continue=""Yes""&gt;&lt;conditionvar&gt;&lt;varequal respident=""RESPONSE""&gt;4&lt;/varequal&gt;&lt;/conditionvar&gt;"&amp;"&lt;setvar action=""Add""&gt;"&amp;IF(X60,$H60,0)&amp;"&lt;/setvar&gt;"&amp;IF(AX60&lt;&gt;"","&lt;displayfeedback feedbacktype=""Response"" linkrefid=""response_4""/&gt;",IF($AS60&lt;&gt;"","&lt;displayfeedback feedbacktype=""Response"" linkrefid=""qti_feedback_trigger""/&gt;",""))&amp;"&lt;/respcondition&gt;",""),IF(OR(X60,AX60&lt;&gt;"",$AS60&lt;&gt;""),"      &lt;respcondition continue=""Yes""&gt;&lt;conditionvar&gt;"&amp;IF(X60,"&lt;varequal respident=""RESPONSE""&gt;4&lt;/varequal&gt;","&lt;not&gt;&lt;varequal respident=""RESPONSE""&gt;4&lt;/varequal&gt;&lt;/not&gt;")&amp;"&lt;/conditionvar&gt;&lt;setvar action=""Add""&gt;"&amp;(Saisie_Questions!$N60/$I60)&amp;"&lt;/setvar&gt;"&amp;IF(AX60&lt;&gt;"","&lt;displayfeedback feedbacktype=""Response"" linkrefid=""response_4""/&gt;",IF($AS60&lt;&gt;"","&lt;displayfeedback feedbacktype=""Response"" linkrefid=""qti_feedback_trigger""/&gt;",""))&amp;"&lt;/respcondition&gt;",""))),"")</f>
      </c>
      <c r="AO60" s="46">
        <f>IF($B60,IF(Q60="","",IF($C60="qcu",IF(OR(Y60,AY60&lt;&gt;"",$AS60&lt;&gt;""),"      &lt;respcondition continue=""Yes""&gt;&lt;conditionvar&gt;&lt;varequal respident=""RESPONSE""&gt;5&lt;/varequal&gt;&lt;/conditionvar&gt;"&amp;"&lt;setvar action=""Add""&gt;"&amp;IF(Y60,$H60,0)&amp;"&lt;/setvar&gt;"&amp;IF(AY60&lt;&gt;"","&lt;displayfeedback feedbacktype=""Response"" linkrefid=""response_5""/&gt;",IF($AS60&lt;&gt;"","&lt;displayfeedback feedbacktype=""Response"" linkrefid=""qti_feedback_trigger""/&gt;",""))&amp;"&lt;/respcondition&gt;",""),IF(OR(Y60,AY60&lt;&gt;"",$AS60&lt;&gt;""),"      &lt;respcondition continue=""Yes""&gt;&lt;conditionvar&gt;"&amp;IF(Y60,"&lt;varequal respident=""RESPONSE""&gt;5&lt;/varequal&gt;","&lt;not&gt;&lt;varequal respident=""RESPONSE""&gt;5&lt;/varequal&gt;&lt;/not&gt;")&amp;"&lt;/conditionvar&gt;&lt;setvar action=""Add""&gt;"&amp;(Saisie_Questions!$N60/$I60)&amp;"&lt;/setvar&gt;"&amp;IF(AY60&lt;&gt;"","&lt;displayfeedback feedbacktype=""Response"" linkrefid=""response_5""/&gt;",IF($AS60&lt;&gt;"","&lt;displayfeedback feedbacktype=""Response"" linkrefid=""qti_feedback_trigger""/&gt;",""))&amp;"&lt;/respcondition&gt;",""))),"")</f>
      </c>
      <c r="AP60" s="46">
        <f>IF($B60,IF(R60="","",IF($C60="qcu",IF(OR(Z60,AZ60&lt;&gt;"",$AS60&lt;&gt;""),"      &lt;respcondition continue=""Yes""&gt;&lt;conditionvar&gt;&lt;varequal respident=""RESPONSE""&gt;6&lt;/varequal&gt;&lt;/conditionvar&gt;"&amp;"&lt;setvar action=""Add""&gt;"&amp;IF(Z60,$H60,0)&amp;"&lt;/setvar&gt;"&amp;IF(AZ60&lt;&gt;"","&lt;displayfeedback feedbacktype=""Response"" linkrefid=""response_6""/&gt;",IF($AS60&lt;&gt;"","&lt;displayfeedback feedbacktype=""Response"" linkrefid=""qti_feedback_trigger""/&gt;",""))&amp;"&lt;/respcondition&gt;",""),IF(OR(Z60,AZ60&lt;&gt;"",$AS60&lt;&gt;""),"      &lt;respcondition continue=""Yes""&gt;&lt;conditionvar&gt;"&amp;IF(Z60,"&lt;varequal respident=""RESPONSE""&gt;6&lt;/varequal&gt;","&lt;not&gt;&lt;varequal respident=""RESPONSE""&gt;6&lt;/varequal&gt;&lt;/not&gt;")&amp;"&lt;/conditionvar&gt;&lt;setvar action=""Add""&gt;"&amp;(Saisie_Questions!$N60/$I60)&amp;"&lt;/setvar&gt;"&amp;IF(AZ60&lt;&gt;"","&lt;displayfeedback feedbacktype=""Response"" linkrefid=""response_6""/&gt;",IF($AS60&lt;&gt;"","&lt;displayfeedback feedbacktype=""Response"" linkrefid=""qti_feedback_trigger""/&gt;",""))&amp;"&lt;/respcondition&gt;",""))),"")</f>
      </c>
      <c r="AQ60" s="46">
        <f>IF($B60,IF(S60="","",IF($C60="qcu",IF(OR(AA60,BA60&lt;&gt;"",$AS60&lt;&gt;""),"      &lt;respcondition continue=""Yes""&gt;&lt;conditionvar&gt;&lt;varequal respident=""RESPONSE""&gt;7&lt;/varequal&gt;&lt;/conditionvar&gt;"&amp;"&lt;setvar action=""Add""&gt;"&amp;IF(AA60,$H60,0)&amp;"&lt;/setvar&gt;"&amp;IF(BA60&lt;&gt;"","&lt;displayfeedback feedbacktype=""Response"" linkrefid=""response_7""/&gt;",IF($AS60&lt;&gt;"","&lt;displayfeedback feedbacktype=""Response"" linkrefid=""qti_feedback_trigger""/&gt;",""))&amp;"&lt;/respcondition&gt;",""),IF(OR(AA60,BA60&lt;&gt;"",$AS60&lt;&gt;""),"      &lt;respcondition continue=""Yes""&gt;&lt;conditionvar&gt;"&amp;IF(AA60,"&lt;varequal respident=""RESPONSE""&gt;7&lt;/varequal&gt;","&lt;not&gt;&lt;varequal respident=""RESPONSE""&gt;7&lt;/varequal&gt;&lt;/not&gt;")&amp;"&lt;/conditionvar&gt;&lt;setvar action=""Add""&gt;"&amp;(Saisie_Questions!$N60/$I60)&amp;"&lt;/setvar&gt;"&amp;IF(BA60&lt;&gt;"","&lt;displayfeedback feedbacktype=""Response"" linkrefid=""response_7""/&gt;",IF($AS60&lt;&gt;"","&lt;displayfeedback feedbacktype=""Response"" linkrefid=""qti_feedback_trigger""/&gt;",""))&amp;"&lt;/respcondition&gt;",""))),"")</f>
      </c>
      <c r="AR60" s="46">
        <f>IF(A60="","",SUBSTITUTE(SUBSTITUTE(SUBSTITUTE(SUBSTITUTE(SUBSTITUTE(IF(Saisie_Questions!P60&lt;&gt;"",Saisie_Questions!P60,Interface_Generation!$B$5),"&amp;","&amp;amp;"),"&lt;","&amp;lt;"),"&gt;","&amp;gt;"),CHAR(34),"&amp;quot;"),"'","&amp;apos;"))</f>
        <v/>
      </c>
      <c r="AS60" s="46">
        <f>IF(Saisie_Questions!Q60="","",SUBSTITUTE(SUBSTITUTE(SUBSTITUTE(SUBSTITUTE(SUBSTITUTE(Saisie_Questions!Q60,"&amp;","&amp;amp;"),"&lt;","&amp;lt;"),"&gt;","&amp;gt;"),CHAR(34),"&amp;quot;"),"'","&amp;apos;"))</f>
        <v/>
      </c>
      <c r="AT60" s="46">
        <f>IF(Saisie_Questions!R60="","",SUBSTITUTE(SUBSTITUTE(SUBSTITUTE(SUBSTITUTE(SUBSTITUTE(Saisie_Questions!R60,"&amp;","&amp;amp;"),"&lt;","&amp;lt;"),"&gt;","&amp;gt;"),CHAR(34),"&amp;quot;"),"'","&amp;apos;"))</f>
        <v/>
      </c>
      <c r="AU60" s="46">
        <f>IF(Saisie_Questions!S60="","",SUBSTITUTE(SUBSTITUTE(SUBSTITUTE(SUBSTITUTE(SUBSTITUTE(Saisie_Questions!S60,"&amp;","&amp;amp;"),"&lt;","&amp;lt;"),"&gt;","&amp;gt;"),CHAR(34),"&amp;quot;"),"'","&amp;apos;"))</f>
        <v/>
      </c>
      <c r="AV60" s="46">
        <f>IF(Saisie_Questions!T60="","",SUBSTITUTE(SUBSTITUTE(SUBSTITUTE(SUBSTITUTE(SUBSTITUTE(Saisie_Questions!T60,"&amp;","&amp;amp;"),"&lt;","&amp;lt;"),"&gt;","&amp;gt;"),CHAR(34),"&amp;quot;"),"'","&amp;apos;"))</f>
        <v/>
      </c>
      <c r="AW60" s="46">
        <f>IF(Saisie_Questions!U60="","",SUBSTITUTE(SUBSTITUTE(SUBSTITUTE(SUBSTITUTE(SUBSTITUTE(Saisie_Questions!U60,"&amp;","&amp;amp;"),"&lt;","&amp;lt;"),"&gt;","&amp;gt;"),CHAR(34),"&amp;quot;"),"'","&amp;apos;"))</f>
        <v/>
      </c>
      <c r="AX60" s="46">
        <f>IF(Saisie_Questions!V60="","",SUBSTITUTE(SUBSTITUTE(SUBSTITUTE(SUBSTITUTE(SUBSTITUTE(Saisie_Questions!V60,"&amp;","&amp;amp;"),"&lt;","&amp;lt;"),"&gt;","&amp;gt;"),CHAR(34),"&amp;quot;"),"'","&amp;apos;"))</f>
        <v/>
      </c>
      <c r="AY60" s="46">
        <f>IF(Saisie_Questions!W60="","",SUBSTITUTE(SUBSTITUTE(SUBSTITUTE(SUBSTITUTE(SUBSTITUTE(Saisie_Questions!W60,"&amp;","&amp;amp;"),"&lt;","&amp;lt;"),"&gt;","&amp;gt;"),CHAR(34),"&amp;quot;"),"'","&amp;apos;"))</f>
        <v/>
      </c>
      <c r="AZ60" s="46">
        <f>IF(Saisie_Questions!X60="","",SUBSTITUTE(SUBSTITUTE(SUBSTITUTE(SUBSTITUTE(SUBSTITUTE(Saisie_Questions!X60,"&amp;","&amp;amp;"),"&lt;","&amp;lt;"),"&gt;","&amp;gt;"),CHAR(34),"&amp;quot;"),"'","&amp;apos;"))</f>
        <v/>
      </c>
      <c r="BA60" s="46">
        <f>IF(Saisie_Questions!Y60="","",SUBSTITUTE(SUBSTITUTE(SUBSTITUTE(SUBSTITUTE(SUBSTITUTE(Saisie_Questions!Y60,"&amp;","&amp;amp;"),"&lt;","&amp;lt;"),"&gt;","&amp;gt;"),CHAR(34),"&amp;quot;"),"'","&amp;apos;"))</f>
        <v/>
      </c>
      <c r="BB60" s="46">
        <f>IF($B60,IF($AS60="","","    &lt;itemfeedback ident=""response_allcorrect"" view=""All""&gt;&lt;flow_mat&gt;&lt;material&gt;&lt;mattext texttype=""text/html""&gt;"&amp;$AS60&amp;"&lt;/mattext&gt;&lt;/material&gt;&lt;/flow_mat&gt;&lt;/itemfeedback&gt;"&amp;"    &lt;itemfeedback ident=""response_onenotcorrect"" view=""All""&gt;&lt;flow_mat&gt;&lt;material&gt;&lt;mattext texttype=""text/html""&gt;"&amp;$AS60&amp;"&lt;/mattext&gt;&lt;/material&gt;&lt;/flow_mat&gt;&lt;/itemfeedback&gt;"),"")</f>
      </c>
      <c r="BC60" s="46">
        <f>IF($B60,IF(AT60="","","    &lt;itemfeedback ident=""response_0"" view=""All""&gt;&lt;flow_mat&gt;&lt;material&gt;&lt;mattext texttype=""text/html""&gt;"&amp;AT60&amp;"&lt;/mattext&gt;&lt;/material&gt;&lt;/flow_mat&gt;&lt;/itemfeedback&gt;"),"")</f>
      </c>
      <c r="BD60" s="46">
        <f>IF($B60,IF(AU60="","","    &lt;itemfeedback ident=""response_1"" view=""All""&gt;&lt;flow_mat&gt;&lt;material&gt;&lt;mattext texttype=""text/html""&gt;"&amp;AU60&amp;"&lt;/mattext&gt;&lt;/material&gt;&lt;/flow_mat&gt;&lt;/itemfeedback&gt;"),"")</f>
      </c>
      <c r="BE60" s="46">
        <f>IF($B60,IF(AV60="","","    &lt;itemfeedback ident=""response_2"" view=""All""&gt;&lt;flow_mat&gt;&lt;material&gt;&lt;mattext texttype=""text/html""&gt;"&amp;AV60&amp;"&lt;/mattext&gt;&lt;/material&gt;&lt;/flow_mat&gt;&lt;/itemfeedback&gt;"),"")</f>
      </c>
      <c r="BF60" s="46">
        <f>IF($B60,IF(AW60="","","    &lt;itemfeedback ident=""response_3"" view=""All""&gt;&lt;flow_mat&gt;&lt;material&gt;&lt;mattext texttype=""text/html""&gt;"&amp;AW60&amp;"&lt;/mattext&gt;&lt;/material&gt;&lt;/flow_mat&gt;&lt;/itemfeedback&gt;"),"")</f>
      </c>
      <c r="BG60" s="46">
        <f>IF($B60,IF(AX60="","","    &lt;itemfeedback ident=""response_4"" view=""All""&gt;&lt;flow_mat&gt;&lt;material&gt;&lt;mattext texttype=""text/html""&gt;"&amp;AX60&amp;"&lt;/mattext&gt;&lt;/material&gt;&lt;/flow_mat&gt;&lt;/itemfeedback&gt;"),"")</f>
      </c>
      <c r="BH60" s="46">
        <f>IF($B60,IF(AY60="","","    &lt;itemfeedback ident=""response_5"" view=""All""&gt;&lt;flow_mat&gt;&lt;material&gt;&lt;mattext texttype=""text/html""&gt;"&amp;AY60&amp;"&lt;/mattext&gt;&lt;/material&gt;&lt;/flow_mat&gt;&lt;/itemfeedback&gt;"),"")</f>
      </c>
      <c r="BI60" s="46">
        <f>IF($B60,IF(AZ60="","","    &lt;itemfeedback ident=""response_6"" view=""All""&gt;&lt;flow_mat&gt;&lt;material&gt;&lt;mattext texttype=""text/html""&gt;"&amp;AZ60&amp;"&lt;/mattext&gt;&lt;/material&gt;&lt;/flow_mat&gt;&lt;/itemfeedback&gt;"),"")</f>
      </c>
      <c r="BJ60" s="46">
        <f>IF($B60,IF(BA60="","","    &lt;itemfeedback ident=""response_7"" view=""All""&gt;&lt;flow_mat&gt;&lt;material&gt;&lt;mattext texttype=""text/html""&gt;"&amp;BA60&amp;"&lt;/mattext&gt;&lt;/material&gt;&lt;/flow_mat&gt;&lt;/itemfeedback&gt;"),"")</f>
      </c>
    </row>
    <row r="61" ht="18" customHeight="1" s="17">
      <c r="A61" s="46">
        <f>Saisie_Questions!A61</f>
        <v/>
      </c>
      <c r="B61" s="46">
        <f>Saisie_Questions!O61="OK"</f>
        <v/>
      </c>
      <c r="C61" s="46">
        <f>LOWER(TRIM(Saisie_Questions!B61))</f>
        <v/>
      </c>
      <c r="D61" s="46">
        <f>IF(C61="qcu","SINGLE CHOICE QUESTION","MULTIPLE CHOICE QUESTION")</f>
        <v/>
      </c>
      <c r="E61" s="46">
        <f>IF(C61="qcu","Single","Multiple")</f>
        <v/>
      </c>
      <c r="F61" s="46">
        <f>IF(A61="","",SUBSTITUTE(SUBSTITUTE(SUBSTITUTE(SUBSTITUTE(SUBSTITUTE(IF(Saisie_Questions!C61="", "Question "&amp;A61, Saisie_Questions!C61),"&amp;","&amp;amp;"),"&lt;","&amp;lt;"),"&gt;","&amp;gt;"),CHAR(34),"&amp;quot;"),"'","&amp;apos;"))</f>
        <v/>
      </c>
      <c r="G61" s="46">
        <f>IF(A61="","",SUBSTITUTE(SUBSTITUTE(SUBSTITUTE(SUBSTITUTE(SUBSTITUTE(Saisie_Questions!D61,"&amp;","&amp;amp;"),"&lt;","&amp;lt;"),"&gt;","&amp;gt;"),CHAR(34),"&amp;quot;"),"'","&amp;apos;"))</f>
        <v/>
      </c>
      <c r="H61" s="46">
        <f>Saisie_Questions!N61</f>
        <v/>
      </c>
      <c r="I61" s="46">
        <f>IF(Saisie_Questions!E61="",0,1)+IF(Saisie_Questions!F61="",0,1)+IF(Saisie_Questions!G61="",0,1)+IF(Saisie_Questions!H61="",0,1)+IF(Saisie_Questions!I61="",0,1)+IF(Saisie_Questions!J61="",0,1)+IF(Saisie_Questions!K61="",0,1)+IF(Saisie_Questions!L61="",0,1)</f>
        <v/>
      </c>
      <c r="J61" s="46">
        <f>Saisie_Questions!M61</f>
        <v/>
      </c>
      <c r="K61" s="46">
        <f>Saisie_Questions!O61</f>
        <v/>
      </c>
      <c r="L61" s="46">
        <f>IF(Saisie_Questions!E61="","",SUBSTITUTE(SUBSTITUTE(SUBSTITUTE(SUBSTITUTE(SUBSTITUTE(Saisie_Questions!E61,"&amp;","&amp;amp;"),"&lt;","&amp;lt;"),"&gt;","&amp;gt;"),CHAR(34),"&amp;quot;"),"'","&amp;apos;"))</f>
        <v/>
      </c>
      <c r="M61" s="46">
        <f>IF(Saisie_Questions!F61="","",SUBSTITUTE(SUBSTITUTE(SUBSTITUTE(SUBSTITUTE(SUBSTITUTE(Saisie_Questions!F61,"&amp;","&amp;amp;"),"&lt;","&amp;lt;"),"&gt;","&amp;gt;"),CHAR(34),"&amp;quot;"),"'","&amp;apos;"))</f>
        <v/>
      </c>
      <c r="N61" s="46">
        <f>IF(Saisie_Questions!G61="","",SUBSTITUTE(SUBSTITUTE(SUBSTITUTE(SUBSTITUTE(SUBSTITUTE(Saisie_Questions!G61,"&amp;","&amp;amp;"),"&lt;","&amp;lt;"),"&gt;","&amp;gt;"),CHAR(34),"&amp;quot;"),"'","&amp;apos;"))</f>
        <v/>
      </c>
      <c r="O61" s="46">
        <f>IF(Saisie_Questions!H61="","",SUBSTITUTE(SUBSTITUTE(SUBSTITUTE(SUBSTITUTE(SUBSTITUTE(Saisie_Questions!H61,"&amp;","&amp;amp;"),"&lt;","&amp;lt;"),"&gt;","&amp;gt;"),CHAR(34),"&amp;quot;"),"'","&amp;apos;"))</f>
        <v/>
      </c>
      <c r="P61" s="46">
        <f>IF(Saisie_Questions!I61="","",SUBSTITUTE(SUBSTITUTE(SUBSTITUTE(SUBSTITUTE(SUBSTITUTE(Saisie_Questions!I61,"&amp;","&amp;amp;"),"&lt;","&amp;lt;"),"&gt;","&amp;gt;"),CHAR(34),"&amp;quot;"),"'","&amp;apos;"))</f>
        <v/>
      </c>
      <c r="Q61" s="46">
        <f>IF(Saisie_Questions!J61="","",SUBSTITUTE(SUBSTITUTE(SUBSTITUTE(SUBSTITUTE(SUBSTITUTE(Saisie_Questions!J61,"&amp;","&amp;amp;"),"&lt;","&amp;lt;"),"&gt;","&amp;gt;"),CHAR(34),"&amp;quot;"),"'","&amp;apos;"))</f>
        <v/>
      </c>
      <c r="R61" s="46">
        <f>IF(Saisie_Questions!K61="","",SUBSTITUTE(SUBSTITUTE(SUBSTITUTE(SUBSTITUTE(SUBSTITUTE(Saisie_Questions!K61,"&amp;","&amp;amp;"),"&lt;","&amp;lt;"),"&gt;","&amp;gt;"),CHAR(34),"&amp;quot;"),"'","&amp;apos;"))</f>
        <v/>
      </c>
      <c r="S61" s="46">
        <f>IF(Saisie_Questions!L61="","",SUBSTITUTE(SUBSTITUTE(SUBSTITUTE(SUBSTITUTE(SUBSTITUTE(Saisie_Questions!L61,"&amp;","&amp;amp;"),"&lt;","&amp;lt;"),"&gt;","&amp;gt;"),CHAR(34),"&amp;quot;"),"'","&amp;apos;"))</f>
        <v/>
      </c>
      <c r="T61" s="46">
        <f>ISNUMBER(SEARCH(";"&amp;1&amp;";",";"&amp;$J61&amp;";"))</f>
        <v/>
      </c>
      <c r="U61" s="46">
        <f>ISNUMBER(SEARCH(";"&amp;2&amp;";",";"&amp;$J61&amp;";"))</f>
        <v/>
      </c>
      <c r="V61" s="46">
        <f>ISNUMBER(SEARCH(";"&amp;3&amp;";",";"&amp;$J61&amp;";"))</f>
        <v/>
      </c>
      <c r="W61" s="46">
        <f>ISNUMBER(SEARCH(";"&amp;4&amp;";",";"&amp;$J61&amp;";"))</f>
        <v/>
      </c>
      <c r="X61" s="46">
        <f>ISNUMBER(SEARCH(";"&amp;5&amp;";",";"&amp;$J61&amp;";"))</f>
        <v/>
      </c>
      <c r="Y61" s="46">
        <f>ISNUMBER(SEARCH(";"&amp;6&amp;";",";"&amp;$J61&amp;";"))</f>
        <v/>
      </c>
      <c r="Z61" s="46">
        <f>ISNUMBER(SEARCH(";"&amp;7&amp;";",";"&amp;$J61&amp;";"))</f>
        <v/>
      </c>
      <c r="AA61" s="46">
        <f>ISNUMBER(SEARCH(";"&amp;8&amp;";",";"&amp;$J61&amp;";"))</f>
        <v/>
      </c>
      <c r="AB61" s="46">
        <f>IF($B61,IF(L61="","","        &lt;response_label ident=""0""&gt;&lt;material&gt;&lt;mattext texttype=""text/html""&gt;"&amp;L61&amp;"&lt;/mattext&gt;&lt;/material&gt;&lt;/response_label&gt;"),"")</f>
        <v/>
      </c>
      <c r="AC61" s="46">
        <f>IF($B61,IF(M61="","","        &lt;response_label ident=""1""&gt;&lt;material&gt;&lt;mattext texttype=""text/html""&gt;"&amp;M61&amp;"&lt;/mattext&gt;&lt;/material&gt;&lt;/response_label&gt;"),"")</f>
        <v/>
      </c>
      <c r="AD61" s="46">
        <f>IF($B61,IF(N61="","","        &lt;response_label ident=""2""&gt;&lt;material&gt;&lt;mattext texttype=""text/html""&gt;"&amp;N61&amp;"&lt;/mattext&gt;&lt;/material&gt;&lt;/response_label&gt;"),"")</f>
        <v/>
      </c>
      <c r="AE61" s="46">
        <f>IF($B61,IF(O61="","","        &lt;response_label ident=""3""&gt;&lt;material&gt;&lt;mattext texttype=""text/html""&gt;"&amp;O61&amp;"&lt;/mattext&gt;&lt;/material&gt;&lt;/response_label&gt;"),"")</f>
        <v/>
      </c>
      <c r="AF61" s="46">
        <f>IF($B61,IF(P61="","","        &lt;response_label ident=""4""&gt;&lt;material&gt;&lt;mattext texttype=""text/html""&gt;"&amp;P61&amp;"&lt;/mattext&gt;&lt;/material&gt;&lt;/response_label&gt;"),"")</f>
        <v/>
      </c>
      <c r="AG61" s="46">
        <f>IF($B61,IF(Q61="","","        &lt;response_label ident=""5""&gt;&lt;material&gt;&lt;mattext texttype=""text/html""&gt;"&amp;Q61&amp;"&lt;/mattext&gt;&lt;/material&gt;&lt;/response_label&gt;"),"")</f>
        <v/>
      </c>
      <c r="AH61" s="46">
        <f>IF($B61,IF(R61="","","        &lt;response_label ident=""6""&gt;&lt;material&gt;&lt;mattext texttype=""text/html""&gt;"&amp;R61&amp;"&lt;/mattext&gt;&lt;/material&gt;&lt;/response_label&gt;"),"")</f>
        <v/>
      </c>
      <c r="AI61" s="46">
        <f>IF($B61,IF(S61="","","        &lt;response_label ident=""7""&gt;&lt;material&gt;&lt;mattext texttype=""text/html""&gt;"&amp;S61&amp;"&lt;/mattext&gt;&lt;/material&gt;&lt;/response_label&gt;"),"")</f>
        <v/>
      </c>
      <c r="AJ61" s="46">
        <f>IF($B61,IF(L61="","",IF($C61="qcu",IF(OR(T61,AT61&lt;&gt;"",$AS61&lt;&gt;""),"      &lt;respcondition continue=""Yes""&gt;&lt;conditionvar&gt;&lt;varequal respident=""RESPONSE""&gt;0&lt;/varequal&gt;&lt;/conditionvar&gt;"&amp;"&lt;setvar action=""Add""&gt;"&amp;IF(T61,$H61,0)&amp;"&lt;/setvar&gt;"&amp;IF(AT61&lt;&gt;"","&lt;displayfeedback feedbacktype=""Response"" linkrefid=""response_0""/&gt;",IF($AS61&lt;&gt;"","&lt;displayfeedback feedbacktype=""Response"" linkrefid=""qti_feedback_trigger""/&gt;",""))&amp;"&lt;/respcondition&gt;",""),IF(OR(T61,AT61&lt;&gt;"",$AS61&lt;&gt;""),"      &lt;respcondition continue=""Yes""&gt;&lt;conditionvar&gt;"&amp;IF(T61,"&lt;varequal respident=""RESPONSE""&gt;0&lt;/varequal&gt;","&lt;not&gt;&lt;varequal respident=""RESPONSE""&gt;0&lt;/varequal&gt;&lt;/not&gt;")&amp;"&lt;/conditionvar&gt;&lt;setvar action=""Add""&gt;"&amp;(Saisie_Questions!$N61/$I61)&amp;"&lt;/setvar&gt;"&amp;IF(AT61&lt;&gt;"","&lt;displayfeedback feedbacktype=""Response"" linkrefid=""response_0""/&gt;",IF($AS61&lt;&gt;"","&lt;displayfeedback feedbacktype=""Response"" linkrefid=""qti_feedback_trigger""/&gt;",""))&amp;"&lt;/respcondition&gt;",""))),"")</f>
      </c>
      <c r="AK61" s="46">
        <f>IF($B61,IF(M61="","",IF($C61="qcu",IF(OR(U61,AU61&lt;&gt;"",$AS61&lt;&gt;""),"      &lt;respcondition continue=""Yes""&gt;&lt;conditionvar&gt;&lt;varequal respident=""RESPONSE""&gt;1&lt;/varequal&gt;&lt;/conditionvar&gt;"&amp;"&lt;setvar action=""Add""&gt;"&amp;IF(U61,$H61,0)&amp;"&lt;/setvar&gt;"&amp;IF(AU61&lt;&gt;"","&lt;displayfeedback feedbacktype=""Response"" linkrefid=""response_1""/&gt;",IF($AS61&lt;&gt;"","&lt;displayfeedback feedbacktype=""Response"" linkrefid=""qti_feedback_trigger""/&gt;",""))&amp;"&lt;/respcondition&gt;",""),IF(OR(U61,AU61&lt;&gt;"",$AS61&lt;&gt;""),"      &lt;respcondition continue=""Yes""&gt;&lt;conditionvar&gt;"&amp;IF(U61,"&lt;varequal respident=""RESPONSE""&gt;1&lt;/varequal&gt;","&lt;not&gt;&lt;varequal respident=""RESPONSE""&gt;1&lt;/varequal&gt;&lt;/not&gt;")&amp;"&lt;/conditionvar&gt;&lt;setvar action=""Add""&gt;"&amp;(Saisie_Questions!$N61/$I61)&amp;"&lt;/setvar&gt;"&amp;IF(AU61&lt;&gt;"","&lt;displayfeedback feedbacktype=""Response"" linkrefid=""response_1""/&gt;",IF($AS61&lt;&gt;"","&lt;displayfeedback feedbacktype=""Response"" linkrefid=""qti_feedback_trigger""/&gt;",""))&amp;"&lt;/respcondition&gt;",""))),"")</f>
      </c>
      <c r="AL61" s="46">
        <f>IF($B61,IF(N61="","",IF($C61="qcu",IF(OR(V61,AV61&lt;&gt;"",$AS61&lt;&gt;""),"      &lt;respcondition continue=""Yes""&gt;&lt;conditionvar&gt;&lt;varequal respident=""RESPONSE""&gt;2&lt;/varequal&gt;&lt;/conditionvar&gt;"&amp;"&lt;setvar action=""Add""&gt;"&amp;IF(V61,$H61,0)&amp;"&lt;/setvar&gt;"&amp;IF(AV61&lt;&gt;"","&lt;displayfeedback feedbacktype=""Response"" linkrefid=""response_2""/&gt;",IF($AS61&lt;&gt;"","&lt;displayfeedback feedbacktype=""Response"" linkrefid=""qti_feedback_trigger""/&gt;",""))&amp;"&lt;/respcondition&gt;",""),IF(OR(V61,AV61&lt;&gt;"",$AS61&lt;&gt;""),"      &lt;respcondition continue=""Yes""&gt;&lt;conditionvar&gt;"&amp;IF(V61,"&lt;varequal respident=""RESPONSE""&gt;2&lt;/varequal&gt;","&lt;not&gt;&lt;varequal respident=""RESPONSE""&gt;2&lt;/varequal&gt;&lt;/not&gt;")&amp;"&lt;/conditionvar&gt;&lt;setvar action=""Add""&gt;"&amp;(Saisie_Questions!$N61/$I61)&amp;"&lt;/setvar&gt;"&amp;IF(AV61&lt;&gt;"","&lt;displayfeedback feedbacktype=""Response"" linkrefid=""response_2""/&gt;",IF($AS61&lt;&gt;"","&lt;displayfeedback feedbacktype=""Response"" linkrefid=""qti_feedback_trigger""/&gt;",""))&amp;"&lt;/respcondition&gt;",""))),"")</f>
      </c>
      <c r="AM61" s="46">
        <f>IF($B61,IF(O61="","",IF($C61="qcu",IF(OR(W61,AW61&lt;&gt;"",$AS61&lt;&gt;""),"      &lt;respcondition continue=""Yes""&gt;&lt;conditionvar&gt;&lt;varequal respident=""RESPONSE""&gt;3&lt;/varequal&gt;&lt;/conditionvar&gt;"&amp;"&lt;setvar action=""Add""&gt;"&amp;IF(W61,$H61,0)&amp;"&lt;/setvar&gt;"&amp;IF(AW61&lt;&gt;"","&lt;displayfeedback feedbacktype=""Response"" linkrefid=""response_3""/&gt;",IF($AS61&lt;&gt;"","&lt;displayfeedback feedbacktype=""Response"" linkrefid=""qti_feedback_trigger""/&gt;",""))&amp;"&lt;/respcondition&gt;",""),IF(OR(W61,AW61&lt;&gt;"",$AS61&lt;&gt;""),"      &lt;respcondition continue=""Yes""&gt;&lt;conditionvar&gt;"&amp;IF(W61,"&lt;varequal respident=""RESPONSE""&gt;3&lt;/varequal&gt;","&lt;not&gt;&lt;varequal respident=""RESPONSE""&gt;3&lt;/varequal&gt;&lt;/not&gt;")&amp;"&lt;/conditionvar&gt;&lt;setvar action=""Add""&gt;"&amp;(Saisie_Questions!$N61/$I61)&amp;"&lt;/setvar&gt;"&amp;IF(AW61&lt;&gt;"","&lt;displayfeedback feedbacktype=""Response"" linkrefid=""response_3""/&gt;",IF($AS61&lt;&gt;"","&lt;displayfeedback feedbacktype=""Response"" linkrefid=""qti_feedback_trigger""/&gt;",""))&amp;"&lt;/respcondition&gt;",""))),"")</f>
      </c>
      <c r="AN61" s="46">
        <f>IF($B61,IF(P61="","",IF($C61="qcu",IF(OR(X61,AX61&lt;&gt;"",$AS61&lt;&gt;""),"      &lt;respcondition continue=""Yes""&gt;&lt;conditionvar&gt;&lt;varequal respident=""RESPONSE""&gt;4&lt;/varequal&gt;&lt;/conditionvar&gt;"&amp;"&lt;setvar action=""Add""&gt;"&amp;IF(X61,$H61,0)&amp;"&lt;/setvar&gt;"&amp;IF(AX61&lt;&gt;"","&lt;displayfeedback feedbacktype=""Response"" linkrefid=""response_4""/&gt;",IF($AS61&lt;&gt;"","&lt;displayfeedback feedbacktype=""Response"" linkrefid=""qti_feedback_trigger""/&gt;",""))&amp;"&lt;/respcondition&gt;",""),IF(OR(X61,AX61&lt;&gt;"",$AS61&lt;&gt;""),"      &lt;respcondition continue=""Yes""&gt;&lt;conditionvar&gt;"&amp;IF(X61,"&lt;varequal respident=""RESPONSE""&gt;4&lt;/varequal&gt;","&lt;not&gt;&lt;varequal respident=""RESPONSE""&gt;4&lt;/varequal&gt;&lt;/not&gt;")&amp;"&lt;/conditionvar&gt;&lt;setvar action=""Add""&gt;"&amp;(Saisie_Questions!$N61/$I61)&amp;"&lt;/setvar&gt;"&amp;IF(AX61&lt;&gt;"","&lt;displayfeedback feedbacktype=""Response"" linkrefid=""response_4""/&gt;",IF($AS61&lt;&gt;"","&lt;displayfeedback feedbacktype=""Response"" linkrefid=""qti_feedback_trigger""/&gt;",""))&amp;"&lt;/respcondition&gt;",""))),"")</f>
      </c>
      <c r="AO61" s="46">
        <f>IF($B61,IF(Q61="","",IF($C61="qcu",IF(OR(Y61,AY61&lt;&gt;"",$AS61&lt;&gt;""),"      &lt;respcondition continue=""Yes""&gt;&lt;conditionvar&gt;&lt;varequal respident=""RESPONSE""&gt;5&lt;/varequal&gt;&lt;/conditionvar&gt;"&amp;"&lt;setvar action=""Add""&gt;"&amp;IF(Y61,$H61,0)&amp;"&lt;/setvar&gt;"&amp;IF(AY61&lt;&gt;"","&lt;displayfeedback feedbacktype=""Response"" linkrefid=""response_5""/&gt;",IF($AS61&lt;&gt;"","&lt;displayfeedback feedbacktype=""Response"" linkrefid=""qti_feedback_trigger""/&gt;",""))&amp;"&lt;/respcondition&gt;",""),IF(OR(Y61,AY61&lt;&gt;"",$AS61&lt;&gt;""),"      &lt;respcondition continue=""Yes""&gt;&lt;conditionvar&gt;"&amp;IF(Y61,"&lt;varequal respident=""RESPONSE""&gt;5&lt;/varequal&gt;","&lt;not&gt;&lt;varequal respident=""RESPONSE""&gt;5&lt;/varequal&gt;&lt;/not&gt;")&amp;"&lt;/conditionvar&gt;&lt;setvar action=""Add""&gt;"&amp;(Saisie_Questions!$N61/$I61)&amp;"&lt;/setvar&gt;"&amp;IF(AY61&lt;&gt;"","&lt;displayfeedback feedbacktype=""Response"" linkrefid=""response_5""/&gt;",IF($AS61&lt;&gt;"","&lt;displayfeedback feedbacktype=""Response"" linkrefid=""qti_feedback_trigger""/&gt;",""))&amp;"&lt;/respcondition&gt;",""))),"")</f>
      </c>
      <c r="AP61" s="46">
        <f>IF($B61,IF(R61="","",IF($C61="qcu",IF(OR(Z61,AZ61&lt;&gt;"",$AS61&lt;&gt;""),"      &lt;respcondition continue=""Yes""&gt;&lt;conditionvar&gt;&lt;varequal respident=""RESPONSE""&gt;6&lt;/varequal&gt;&lt;/conditionvar&gt;"&amp;"&lt;setvar action=""Add""&gt;"&amp;IF(Z61,$H61,0)&amp;"&lt;/setvar&gt;"&amp;IF(AZ61&lt;&gt;"","&lt;displayfeedback feedbacktype=""Response"" linkrefid=""response_6""/&gt;",IF($AS61&lt;&gt;"","&lt;displayfeedback feedbacktype=""Response"" linkrefid=""qti_feedback_trigger""/&gt;",""))&amp;"&lt;/respcondition&gt;",""),IF(OR(Z61,AZ61&lt;&gt;"",$AS61&lt;&gt;""),"      &lt;respcondition continue=""Yes""&gt;&lt;conditionvar&gt;"&amp;IF(Z61,"&lt;varequal respident=""RESPONSE""&gt;6&lt;/varequal&gt;","&lt;not&gt;&lt;varequal respident=""RESPONSE""&gt;6&lt;/varequal&gt;&lt;/not&gt;")&amp;"&lt;/conditionvar&gt;&lt;setvar action=""Add""&gt;"&amp;(Saisie_Questions!$N61/$I61)&amp;"&lt;/setvar&gt;"&amp;IF(AZ61&lt;&gt;"","&lt;displayfeedback feedbacktype=""Response"" linkrefid=""response_6""/&gt;",IF($AS61&lt;&gt;"","&lt;displayfeedback feedbacktype=""Response"" linkrefid=""qti_feedback_trigger""/&gt;",""))&amp;"&lt;/respcondition&gt;",""))),"")</f>
      </c>
      <c r="AQ61" s="46">
        <f>IF($B61,IF(S61="","",IF($C61="qcu",IF(OR(AA61,BA61&lt;&gt;"",$AS61&lt;&gt;""),"      &lt;respcondition continue=""Yes""&gt;&lt;conditionvar&gt;&lt;varequal respident=""RESPONSE""&gt;7&lt;/varequal&gt;&lt;/conditionvar&gt;"&amp;"&lt;setvar action=""Add""&gt;"&amp;IF(AA61,$H61,0)&amp;"&lt;/setvar&gt;"&amp;IF(BA61&lt;&gt;"","&lt;displayfeedback feedbacktype=""Response"" linkrefid=""response_7""/&gt;",IF($AS61&lt;&gt;"","&lt;displayfeedback feedbacktype=""Response"" linkrefid=""qti_feedback_trigger""/&gt;",""))&amp;"&lt;/respcondition&gt;",""),IF(OR(AA61,BA61&lt;&gt;"",$AS61&lt;&gt;""),"      &lt;respcondition continue=""Yes""&gt;&lt;conditionvar&gt;"&amp;IF(AA61,"&lt;varequal respident=""RESPONSE""&gt;7&lt;/varequal&gt;","&lt;not&gt;&lt;varequal respident=""RESPONSE""&gt;7&lt;/varequal&gt;&lt;/not&gt;")&amp;"&lt;/conditionvar&gt;&lt;setvar action=""Add""&gt;"&amp;(Saisie_Questions!$N61/$I61)&amp;"&lt;/setvar&gt;"&amp;IF(BA61&lt;&gt;"","&lt;displayfeedback feedbacktype=""Response"" linkrefid=""response_7""/&gt;",IF($AS61&lt;&gt;"","&lt;displayfeedback feedbacktype=""Response"" linkrefid=""qti_feedback_trigger""/&gt;",""))&amp;"&lt;/respcondition&gt;",""))),"")</f>
      </c>
      <c r="AR61" s="46">
        <f>IF(A61="","",SUBSTITUTE(SUBSTITUTE(SUBSTITUTE(SUBSTITUTE(SUBSTITUTE(IF(Saisie_Questions!P61&lt;&gt;"",Saisie_Questions!P61,Interface_Generation!$B$5),"&amp;","&amp;amp;"),"&lt;","&amp;lt;"),"&gt;","&amp;gt;"),CHAR(34),"&amp;quot;"),"'","&amp;apos;"))</f>
        <v/>
      </c>
      <c r="AS61" s="46">
        <f>IF(Saisie_Questions!Q61="","",SUBSTITUTE(SUBSTITUTE(SUBSTITUTE(SUBSTITUTE(SUBSTITUTE(Saisie_Questions!Q61,"&amp;","&amp;amp;"),"&lt;","&amp;lt;"),"&gt;","&amp;gt;"),CHAR(34),"&amp;quot;"),"'","&amp;apos;"))</f>
        <v/>
      </c>
      <c r="AT61" s="46">
        <f>IF(Saisie_Questions!R61="","",SUBSTITUTE(SUBSTITUTE(SUBSTITUTE(SUBSTITUTE(SUBSTITUTE(Saisie_Questions!R61,"&amp;","&amp;amp;"),"&lt;","&amp;lt;"),"&gt;","&amp;gt;"),CHAR(34),"&amp;quot;"),"'","&amp;apos;"))</f>
        <v/>
      </c>
      <c r="AU61" s="46">
        <f>IF(Saisie_Questions!S61="","",SUBSTITUTE(SUBSTITUTE(SUBSTITUTE(SUBSTITUTE(SUBSTITUTE(Saisie_Questions!S61,"&amp;","&amp;amp;"),"&lt;","&amp;lt;"),"&gt;","&amp;gt;"),CHAR(34),"&amp;quot;"),"'","&amp;apos;"))</f>
        <v/>
      </c>
      <c r="AV61" s="46">
        <f>IF(Saisie_Questions!T61="","",SUBSTITUTE(SUBSTITUTE(SUBSTITUTE(SUBSTITUTE(SUBSTITUTE(Saisie_Questions!T61,"&amp;","&amp;amp;"),"&lt;","&amp;lt;"),"&gt;","&amp;gt;"),CHAR(34),"&amp;quot;"),"'","&amp;apos;"))</f>
        <v/>
      </c>
      <c r="AW61" s="46">
        <f>IF(Saisie_Questions!U61="","",SUBSTITUTE(SUBSTITUTE(SUBSTITUTE(SUBSTITUTE(SUBSTITUTE(Saisie_Questions!U61,"&amp;","&amp;amp;"),"&lt;","&amp;lt;"),"&gt;","&amp;gt;"),CHAR(34),"&amp;quot;"),"'","&amp;apos;"))</f>
        <v/>
      </c>
      <c r="AX61" s="46">
        <f>IF(Saisie_Questions!V61="","",SUBSTITUTE(SUBSTITUTE(SUBSTITUTE(SUBSTITUTE(SUBSTITUTE(Saisie_Questions!V61,"&amp;","&amp;amp;"),"&lt;","&amp;lt;"),"&gt;","&amp;gt;"),CHAR(34),"&amp;quot;"),"'","&amp;apos;"))</f>
        <v/>
      </c>
      <c r="AY61" s="46">
        <f>IF(Saisie_Questions!W61="","",SUBSTITUTE(SUBSTITUTE(SUBSTITUTE(SUBSTITUTE(SUBSTITUTE(Saisie_Questions!W61,"&amp;","&amp;amp;"),"&lt;","&amp;lt;"),"&gt;","&amp;gt;"),CHAR(34),"&amp;quot;"),"'","&amp;apos;"))</f>
        <v/>
      </c>
      <c r="AZ61" s="46">
        <f>IF(Saisie_Questions!X61="","",SUBSTITUTE(SUBSTITUTE(SUBSTITUTE(SUBSTITUTE(SUBSTITUTE(Saisie_Questions!X61,"&amp;","&amp;amp;"),"&lt;","&amp;lt;"),"&gt;","&amp;gt;"),CHAR(34),"&amp;quot;"),"'","&amp;apos;"))</f>
        <v/>
      </c>
      <c r="BA61" s="46">
        <f>IF(Saisie_Questions!Y61="","",SUBSTITUTE(SUBSTITUTE(SUBSTITUTE(SUBSTITUTE(SUBSTITUTE(Saisie_Questions!Y61,"&amp;","&amp;amp;"),"&lt;","&amp;lt;"),"&gt;","&amp;gt;"),CHAR(34),"&amp;quot;"),"'","&amp;apos;"))</f>
        <v/>
      </c>
      <c r="BB61" s="46">
        <f>IF($B61,IF($AS61="","","    &lt;itemfeedback ident=""response_allcorrect"" view=""All""&gt;&lt;flow_mat&gt;&lt;material&gt;&lt;mattext texttype=""text/html""&gt;"&amp;$AS61&amp;"&lt;/mattext&gt;&lt;/material&gt;&lt;/flow_mat&gt;&lt;/itemfeedback&gt;"&amp;"    &lt;itemfeedback ident=""response_onenotcorrect"" view=""All""&gt;&lt;flow_mat&gt;&lt;material&gt;&lt;mattext texttype=""text/html""&gt;"&amp;$AS61&amp;"&lt;/mattext&gt;&lt;/material&gt;&lt;/flow_mat&gt;&lt;/itemfeedback&gt;"),"")</f>
      </c>
      <c r="BC61" s="46">
        <f>IF($B61,IF(AT61="","","    &lt;itemfeedback ident=""response_0"" view=""All""&gt;&lt;flow_mat&gt;&lt;material&gt;&lt;mattext texttype=""text/html""&gt;"&amp;AT61&amp;"&lt;/mattext&gt;&lt;/material&gt;&lt;/flow_mat&gt;&lt;/itemfeedback&gt;"),"")</f>
      </c>
      <c r="BD61" s="46">
        <f>IF($B61,IF(AU61="","","    &lt;itemfeedback ident=""response_1"" view=""All""&gt;&lt;flow_mat&gt;&lt;material&gt;&lt;mattext texttype=""text/html""&gt;"&amp;AU61&amp;"&lt;/mattext&gt;&lt;/material&gt;&lt;/flow_mat&gt;&lt;/itemfeedback&gt;"),"")</f>
      </c>
      <c r="BE61" s="46">
        <f>IF($B61,IF(AV61="","","    &lt;itemfeedback ident=""response_2"" view=""All""&gt;&lt;flow_mat&gt;&lt;material&gt;&lt;mattext texttype=""text/html""&gt;"&amp;AV61&amp;"&lt;/mattext&gt;&lt;/material&gt;&lt;/flow_mat&gt;&lt;/itemfeedback&gt;"),"")</f>
      </c>
      <c r="BF61" s="46">
        <f>IF($B61,IF(AW61="","","    &lt;itemfeedback ident=""response_3"" view=""All""&gt;&lt;flow_mat&gt;&lt;material&gt;&lt;mattext texttype=""text/html""&gt;"&amp;AW61&amp;"&lt;/mattext&gt;&lt;/material&gt;&lt;/flow_mat&gt;&lt;/itemfeedback&gt;"),"")</f>
      </c>
      <c r="BG61" s="46">
        <f>IF($B61,IF(AX61="","","    &lt;itemfeedback ident=""response_4"" view=""All""&gt;&lt;flow_mat&gt;&lt;material&gt;&lt;mattext texttype=""text/html""&gt;"&amp;AX61&amp;"&lt;/mattext&gt;&lt;/material&gt;&lt;/flow_mat&gt;&lt;/itemfeedback&gt;"),"")</f>
      </c>
      <c r="BH61" s="46">
        <f>IF($B61,IF(AY61="","","    &lt;itemfeedback ident=""response_5"" view=""All""&gt;&lt;flow_mat&gt;&lt;material&gt;&lt;mattext texttype=""text/html""&gt;"&amp;AY61&amp;"&lt;/mattext&gt;&lt;/material&gt;&lt;/flow_mat&gt;&lt;/itemfeedback&gt;"),"")</f>
      </c>
      <c r="BI61" s="46">
        <f>IF($B61,IF(AZ61="","","    &lt;itemfeedback ident=""response_6"" view=""All""&gt;&lt;flow_mat&gt;&lt;material&gt;&lt;mattext texttype=""text/html""&gt;"&amp;AZ61&amp;"&lt;/mattext&gt;&lt;/material&gt;&lt;/flow_mat&gt;&lt;/itemfeedback&gt;"),"")</f>
      </c>
      <c r="BJ61" s="46">
        <f>IF($B61,IF(BA61="","","    &lt;itemfeedback ident=""response_7"" view=""All""&gt;&lt;flow_mat&gt;&lt;material&gt;&lt;mattext texttype=""text/html""&gt;"&amp;BA61&amp;"&lt;/mattext&gt;&lt;/material&gt;&lt;/flow_mat&gt;&lt;/itemfeedback&gt;"),"")</f>
      </c>
    </row>
    <row r="62" ht="18" customHeight="1" s="17">
      <c r="A62" s="46">
        <f>Saisie_Questions!A62</f>
        <v/>
      </c>
      <c r="B62" s="46">
        <f>Saisie_Questions!O62="OK"</f>
        <v/>
      </c>
      <c r="C62" s="46">
        <f>LOWER(TRIM(Saisie_Questions!B62))</f>
        <v/>
      </c>
      <c r="D62" s="46">
        <f>IF(C62="qcu","SINGLE CHOICE QUESTION","MULTIPLE CHOICE QUESTION")</f>
        <v/>
      </c>
      <c r="E62" s="46">
        <f>IF(C62="qcu","Single","Multiple")</f>
        <v/>
      </c>
      <c r="F62" s="46">
        <f>IF(A62="","",SUBSTITUTE(SUBSTITUTE(SUBSTITUTE(SUBSTITUTE(SUBSTITUTE(IF(Saisie_Questions!C62="", "Question "&amp;A62, Saisie_Questions!C62),"&amp;","&amp;amp;"),"&lt;","&amp;lt;"),"&gt;","&amp;gt;"),CHAR(34),"&amp;quot;"),"'","&amp;apos;"))</f>
        <v/>
      </c>
      <c r="G62" s="46">
        <f>IF(A62="","",SUBSTITUTE(SUBSTITUTE(SUBSTITUTE(SUBSTITUTE(SUBSTITUTE(Saisie_Questions!D62,"&amp;","&amp;amp;"),"&lt;","&amp;lt;"),"&gt;","&amp;gt;"),CHAR(34),"&amp;quot;"),"'","&amp;apos;"))</f>
        <v/>
      </c>
      <c r="H62" s="46">
        <f>Saisie_Questions!N62</f>
        <v/>
      </c>
      <c r="I62" s="46">
        <f>IF(Saisie_Questions!E62="",0,1)+IF(Saisie_Questions!F62="",0,1)+IF(Saisie_Questions!G62="",0,1)+IF(Saisie_Questions!H62="",0,1)+IF(Saisie_Questions!I62="",0,1)+IF(Saisie_Questions!J62="",0,1)+IF(Saisie_Questions!K62="",0,1)+IF(Saisie_Questions!L62="",0,1)</f>
        <v/>
      </c>
      <c r="J62" s="46">
        <f>Saisie_Questions!M62</f>
        <v/>
      </c>
      <c r="K62" s="46">
        <f>Saisie_Questions!O62</f>
        <v/>
      </c>
      <c r="L62" s="46">
        <f>IF(Saisie_Questions!E62="","",SUBSTITUTE(SUBSTITUTE(SUBSTITUTE(SUBSTITUTE(SUBSTITUTE(Saisie_Questions!E62,"&amp;","&amp;amp;"),"&lt;","&amp;lt;"),"&gt;","&amp;gt;"),CHAR(34),"&amp;quot;"),"'","&amp;apos;"))</f>
        <v/>
      </c>
      <c r="M62" s="46">
        <f>IF(Saisie_Questions!F62="","",SUBSTITUTE(SUBSTITUTE(SUBSTITUTE(SUBSTITUTE(SUBSTITUTE(Saisie_Questions!F62,"&amp;","&amp;amp;"),"&lt;","&amp;lt;"),"&gt;","&amp;gt;"),CHAR(34),"&amp;quot;"),"'","&amp;apos;"))</f>
        <v/>
      </c>
      <c r="N62" s="46">
        <f>IF(Saisie_Questions!G62="","",SUBSTITUTE(SUBSTITUTE(SUBSTITUTE(SUBSTITUTE(SUBSTITUTE(Saisie_Questions!G62,"&amp;","&amp;amp;"),"&lt;","&amp;lt;"),"&gt;","&amp;gt;"),CHAR(34),"&amp;quot;"),"'","&amp;apos;"))</f>
        <v/>
      </c>
      <c r="O62" s="46">
        <f>IF(Saisie_Questions!H62="","",SUBSTITUTE(SUBSTITUTE(SUBSTITUTE(SUBSTITUTE(SUBSTITUTE(Saisie_Questions!H62,"&amp;","&amp;amp;"),"&lt;","&amp;lt;"),"&gt;","&amp;gt;"),CHAR(34),"&amp;quot;"),"'","&amp;apos;"))</f>
        <v/>
      </c>
      <c r="P62" s="46">
        <f>IF(Saisie_Questions!I62="","",SUBSTITUTE(SUBSTITUTE(SUBSTITUTE(SUBSTITUTE(SUBSTITUTE(Saisie_Questions!I62,"&amp;","&amp;amp;"),"&lt;","&amp;lt;"),"&gt;","&amp;gt;"),CHAR(34),"&amp;quot;"),"'","&amp;apos;"))</f>
        <v/>
      </c>
      <c r="Q62" s="46">
        <f>IF(Saisie_Questions!J62="","",SUBSTITUTE(SUBSTITUTE(SUBSTITUTE(SUBSTITUTE(SUBSTITUTE(Saisie_Questions!J62,"&amp;","&amp;amp;"),"&lt;","&amp;lt;"),"&gt;","&amp;gt;"),CHAR(34),"&amp;quot;"),"'","&amp;apos;"))</f>
        <v/>
      </c>
      <c r="R62" s="46">
        <f>IF(Saisie_Questions!K62="","",SUBSTITUTE(SUBSTITUTE(SUBSTITUTE(SUBSTITUTE(SUBSTITUTE(Saisie_Questions!K62,"&amp;","&amp;amp;"),"&lt;","&amp;lt;"),"&gt;","&amp;gt;"),CHAR(34),"&amp;quot;"),"'","&amp;apos;"))</f>
        <v/>
      </c>
      <c r="S62" s="46">
        <f>IF(Saisie_Questions!L62="","",SUBSTITUTE(SUBSTITUTE(SUBSTITUTE(SUBSTITUTE(SUBSTITUTE(Saisie_Questions!L62,"&amp;","&amp;amp;"),"&lt;","&amp;lt;"),"&gt;","&amp;gt;"),CHAR(34),"&amp;quot;"),"'","&amp;apos;"))</f>
        <v/>
      </c>
      <c r="T62" s="46">
        <f>ISNUMBER(SEARCH(";"&amp;1&amp;";",";"&amp;$J62&amp;";"))</f>
        <v/>
      </c>
      <c r="U62" s="46">
        <f>ISNUMBER(SEARCH(";"&amp;2&amp;";",";"&amp;$J62&amp;";"))</f>
        <v/>
      </c>
      <c r="V62" s="46">
        <f>ISNUMBER(SEARCH(";"&amp;3&amp;";",";"&amp;$J62&amp;";"))</f>
        <v/>
      </c>
      <c r="W62" s="46">
        <f>ISNUMBER(SEARCH(";"&amp;4&amp;";",";"&amp;$J62&amp;";"))</f>
        <v/>
      </c>
      <c r="X62" s="46">
        <f>ISNUMBER(SEARCH(";"&amp;5&amp;";",";"&amp;$J62&amp;";"))</f>
        <v/>
      </c>
      <c r="Y62" s="46">
        <f>ISNUMBER(SEARCH(";"&amp;6&amp;";",";"&amp;$J62&amp;";"))</f>
        <v/>
      </c>
      <c r="Z62" s="46">
        <f>ISNUMBER(SEARCH(";"&amp;7&amp;";",";"&amp;$J62&amp;";"))</f>
        <v/>
      </c>
      <c r="AA62" s="46">
        <f>ISNUMBER(SEARCH(";"&amp;8&amp;";",";"&amp;$J62&amp;";"))</f>
        <v/>
      </c>
      <c r="AB62" s="46">
        <f>IF($B62,IF(L62="","","        &lt;response_label ident=""0""&gt;&lt;material&gt;&lt;mattext texttype=""text/html""&gt;"&amp;L62&amp;"&lt;/mattext&gt;&lt;/material&gt;&lt;/response_label&gt;"),"")</f>
        <v/>
      </c>
      <c r="AC62" s="46">
        <f>IF($B62,IF(M62="","","        &lt;response_label ident=""1""&gt;&lt;material&gt;&lt;mattext texttype=""text/html""&gt;"&amp;M62&amp;"&lt;/mattext&gt;&lt;/material&gt;&lt;/response_label&gt;"),"")</f>
        <v/>
      </c>
      <c r="AD62" s="46">
        <f>IF($B62,IF(N62="","","        &lt;response_label ident=""2""&gt;&lt;material&gt;&lt;mattext texttype=""text/html""&gt;"&amp;N62&amp;"&lt;/mattext&gt;&lt;/material&gt;&lt;/response_label&gt;"),"")</f>
        <v/>
      </c>
      <c r="AE62" s="46">
        <f>IF($B62,IF(O62="","","        &lt;response_label ident=""3""&gt;&lt;material&gt;&lt;mattext texttype=""text/html""&gt;"&amp;O62&amp;"&lt;/mattext&gt;&lt;/material&gt;&lt;/response_label&gt;"),"")</f>
        <v/>
      </c>
      <c r="AF62" s="46">
        <f>IF($B62,IF(P62="","","        &lt;response_label ident=""4""&gt;&lt;material&gt;&lt;mattext texttype=""text/html""&gt;"&amp;P62&amp;"&lt;/mattext&gt;&lt;/material&gt;&lt;/response_label&gt;"),"")</f>
        <v/>
      </c>
      <c r="AG62" s="46">
        <f>IF($B62,IF(Q62="","","        &lt;response_label ident=""5""&gt;&lt;material&gt;&lt;mattext texttype=""text/html""&gt;"&amp;Q62&amp;"&lt;/mattext&gt;&lt;/material&gt;&lt;/response_label&gt;"),"")</f>
        <v/>
      </c>
      <c r="AH62" s="46">
        <f>IF($B62,IF(R62="","","        &lt;response_label ident=""6""&gt;&lt;material&gt;&lt;mattext texttype=""text/html""&gt;"&amp;R62&amp;"&lt;/mattext&gt;&lt;/material&gt;&lt;/response_label&gt;"),"")</f>
        <v/>
      </c>
      <c r="AI62" s="46">
        <f>IF($B62,IF(S62="","","        &lt;response_label ident=""7""&gt;&lt;material&gt;&lt;mattext texttype=""text/html""&gt;"&amp;S62&amp;"&lt;/mattext&gt;&lt;/material&gt;&lt;/response_label&gt;"),"")</f>
        <v/>
      </c>
      <c r="AJ62" s="46">
        <f>IF($B62,IF(L62="","",IF($C62="qcu",IF(OR(T62,AT62&lt;&gt;"",$AS62&lt;&gt;""),"      &lt;respcondition continue=""Yes""&gt;&lt;conditionvar&gt;&lt;varequal respident=""RESPONSE""&gt;0&lt;/varequal&gt;&lt;/conditionvar&gt;"&amp;"&lt;setvar action=""Add""&gt;"&amp;IF(T62,$H62,0)&amp;"&lt;/setvar&gt;"&amp;IF(AT62&lt;&gt;"","&lt;displayfeedback feedbacktype=""Response"" linkrefid=""response_0""/&gt;",IF($AS62&lt;&gt;"","&lt;displayfeedback feedbacktype=""Response"" linkrefid=""qti_feedback_trigger""/&gt;",""))&amp;"&lt;/respcondition&gt;",""),IF(OR(T62,AT62&lt;&gt;"",$AS62&lt;&gt;""),"      &lt;respcondition continue=""Yes""&gt;&lt;conditionvar&gt;"&amp;IF(T62,"&lt;varequal respident=""RESPONSE""&gt;0&lt;/varequal&gt;","&lt;not&gt;&lt;varequal respident=""RESPONSE""&gt;0&lt;/varequal&gt;&lt;/not&gt;")&amp;"&lt;/conditionvar&gt;&lt;setvar action=""Add""&gt;"&amp;(Saisie_Questions!$N62/$I62)&amp;"&lt;/setvar&gt;"&amp;IF(AT62&lt;&gt;"","&lt;displayfeedback feedbacktype=""Response"" linkrefid=""response_0""/&gt;",IF($AS62&lt;&gt;"","&lt;displayfeedback feedbacktype=""Response"" linkrefid=""qti_feedback_trigger""/&gt;",""))&amp;"&lt;/respcondition&gt;",""))),"")</f>
      </c>
      <c r="AK62" s="46">
        <f>IF($B62,IF(M62="","",IF($C62="qcu",IF(OR(U62,AU62&lt;&gt;"",$AS62&lt;&gt;""),"      &lt;respcondition continue=""Yes""&gt;&lt;conditionvar&gt;&lt;varequal respident=""RESPONSE""&gt;1&lt;/varequal&gt;&lt;/conditionvar&gt;"&amp;"&lt;setvar action=""Add""&gt;"&amp;IF(U62,$H62,0)&amp;"&lt;/setvar&gt;"&amp;IF(AU62&lt;&gt;"","&lt;displayfeedback feedbacktype=""Response"" linkrefid=""response_1""/&gt;",IF($AS62&lt;&gt;"","&lt;displayfeedback feedbacktype=""Response"" linkrefid=""qti_feedback_trigger""/&gt;",""))&amp;"&lt;/respcondition&gt;",""),IF(OR(U62,AU62&lt;&gt;"",$AS62&lt;&gt;""),"      &lt;respcondition continue=""Yes""&gt;&lt;conditionvar&gt;"&amp;IF(U62,"&lt;varequal respident=""RESPONSE""&gt;1&lt;/varequal&gt;","&lt;not&gt;&lt;varequal respident=""RESPONSE""&gt;1&lt;/varequal&gt;&lt;/not&gt;")&amp;"&lt;/conditionvar&gt;&lt;setvar action=""Add""&gt;"&amp;(Saisie_Questions!$N62/$I62)&amp;"&lt;/setvar&gt;"&amp;IF(AU62&lt;&gt;"","&lt;displayfeedback feedbacktype=""Response"" linkrefid=""response_1""/&gt;",IF($AS62&lt;&gt;"","&lt;displayfeedback feedbacktype=""Response"" linkrefid=""qti_feedback_trigger""/&gt;",""))&amp;"&lt;/respcondition&gt;",""))),"")</f>
      </c>
      <c r="AL62" s="46">
        <f>IF($B62,IF(N62="","",IF($C62="qcu",IF(OR(V62,AV62&lt;&gt;"",$AS62&lt;&gt;""),"      &lt;respcondition continue=""Yes""&gt;&lt;conditionvar&gt;&lt;varequal respident=""RESPONSE""&gt;2&lt;/varequal&gt;&lt;/conditionvar&gt;"&amp;"&lt;setvar action=""Add""&gt;"&amp;IF(V62,$H62,0)&amp;"&lt;/setvar&gt;"&amp;IF(AV62&lt;&gt;"","&lt;displayfeedback feedbacktype=""Response"" linkrefid=""response_2""/&gt;",IF($AS62&lt;&gt;"","&lt;displayfeedback feedbacktype=""Response"" linkrefid=""qti_feedback_trigger""/&gt;",""))&amp;"&lt;/respcondition&gt;",""),IF(OR(V62,AV62&lt;&gt;"",$AS62&lt;&gt;""),"      &lt;respcondition continue=""Yes""&gt;&lt;conditionvar&gt;"&amp;IF(V62,"&lt;varequal respident=""RESPONSE""&gt;2&lt;/varequal&gt;","&lt;not&gt;&lt;varequal respident=""RESPONSE""&gt;2&lt;/varequal&gt;&lt;/not&gt;")&amp;"&lt;/conditionvar&gt;&lt;setvar action=""Add""&gt;"&amp;(Saisie_Questions!$N62/$I62)&amp;"&lt;/setvar&gt;"&amp;IF(AV62&lt;&gt;"","&lt;displayfeedback feedbacktype=""Response"" linkrefid=""response_2""/&gt;",IF($AS62&lt;&gt;"","&lt;displayfeedback feedbacktype=""Response"" linkrefid=""qti_feedback_trigger""/&gt;",""))&amp;"&lt;/respcondition&gt;",""))),"")</f>
      </c>
      <c r="AM62" s="46">
        <f>IF($B62,IF(O62="","",IF($C62="qcu",IF(OR(W62,AW62&lt;&gt;"",$AS62&lt;&gt;""),"      &lt;respcondition continue=""Yes""&gt;&lt;conditionvar&gt;&lt;varequal respident=""RESPONSE""&gt;3&lt;/varequal&gt;&lt;/conditionvar&gt;"&amp;"&lt;setvar action=""Add""&gt;"&amp;IF(W62,$H62,0)&amp;"&lt;/setvar&gt;"&amp;IF(AW62&lt;&gt;"","&lt;displayfeedback feedbacktype=""Response"" linkrefid=""response_3""/&gt;",IF($AS62&lt;&gt;"","&lt;displayfeedback feedbacktype=""Response"" linkrefid=""qti_feedback_trigger""/&gt;",""))&amp;"&lt;/respcondition&gt;",""),IF(OR(W62,AW62&lt;&gt;"",$AS62&lt;&gt;""),"      &lt;respcondition continue=""Yes""&gt;&lt;conditionvar&gt;"&amp;IF(W62,"&lt;varequal respident=""RESPONSE""&gt;3&lt;/varequal&gt;","&lt;not&gt;&lt;varequal respident=""RESPONSE""&gt;3&lt;/varequal&gt;&lt;/not&gt;")&amp;"&lt;/conditionvar&gt;&lt;setvar action=""Add""&gt;"&amp;(Saisie_Questions!$N62/$I62)&amp;"&lt;/setvar&gt;"&amp;IF(AW62&lt;&gt;"","&lt;displayfeedback feedbacktype=""Response"" linkrefid=""response_3""/&gt;",IF($AS62&lt;&gt;"","&lt;displayfeedback feedbacktype=""Response"" linkrefid=""qti_feedback_trigger""/&gt;",""))&amp;"&lt;/respcondition&gt;",""))),"")</f>
      </c>
      <c r="AN62" s="46">
        <f>IF($B62,IF(P62="","",IF($C62="qcu",IF(OR(X62,AX62&lt;&gt;"",$AS62&lt;&gt;""),"      &lt;respcondition continue=""Yes""&gt;&lt;conditionvar&gt;&lt;varequal respident=""RESPONSE""&gt;4&lt;/varequal&gt;&lt;/conditionvar&gt;"&amp;"&lt;setvar action=""Add""&gt;"&amp;IF(X62,$H62,0)&amp;"&lt;/setvar&gt;"&amp;IF(AX62&lt;&gt;"","&lt;displayfeedback feedbacktype=""Response"" linkrefid=""response_4""/&gt;",IF($AS62&lt;&gt;"","&lt;displayfeedback feedbacktype=""Response"" linkrefid=""qti_feedback_trigger""/&gt;",""))&amp;"&lt;/respcondition&gt;",""),IF(OR(X62,AX62&lt;&gt;"",$AS62&lt;&gt;""),"      &lt;respcondition continue=""Yes""&gt;&lt;conditionvar&gt;"&amp;IF(X62,"&lt;varequal respident=""RESPONSE""&gt;4&lt;/varequal&gt;","&lt;not&gt;&lt;varequal respident=""RESPONSE""&gt;4&lt;/varequal&gt;&lt;/not&gt;")&amp;"&lt;/conditionvar&gt;&lt;setvar action=""Add""&gt;"&amp;(Saisie_Questions!$N62/$I62)&amp;"&lt;/setvar&gt;"&amp;IF(AX62&lt;&gt;"","&lt;displayfeedback feedbacktype=""Response"" linkrefid=""response_4""/&gt;",IF($AS62&lt;&gt;"","&lt;displayfeedback feedbacktype=""Response"" linkrefid=""qti_feedback_trigger""/&gt;",""))&amp;"&lt;/respcondition&gt;",""))),"")</f>
      </c>
      <c r="AO62" s="46">
        <f>IF($B62,IF(Q62="","",IF($C62="qcu",IF(OR(Y62,AY62&lt;&gt;"",$AS62&lt;&gt;""),"      &lt;respcondition continue=""Yes""&gt;&lt;conditionvar&gt;&lt;varequal respident=""RESPONSE""&gt;5&lt;/varequal&gt;&lt;/conditionvar&gt;"&amp;"&lt;setvar action=""Add""&gt;"&amp;IF(Y62,$H62,0)&amp;"&lt;/setvar&gt;"&amp;IF(AY62&lt;&gt;"","&lt;displayfeedback feedbacktype=""Response"" linkrefid=""response_5""/&gt;",IF($AS62&lt;&gt;"","&lt;displayfeedback feedbacktype=""Response"" linkrefid=""qti_feedback_trigger""/&gt;",""))&amp;"&lt;/respcondition&gt;",""),IF(OR(Y62,AY62&lt;&gt;"",$AS62&lt;&gt;""),"      &lt;respcondition continue=""Yes""&gt;&lt;conditionvar&gt;"&amp;IF(Y62,"&lt;varequal respident=""RESPONSE""&gt;5&lt;/varequal&gt;","&lt;not&gt;&lt;varequal respident=""RESPONSE""&gt;5&lt;/varequal&gt;&lt;/not&gt;")&amp;"&lt;/conditionvar&gt;&lt;setvar action=""Add""&gt;"&amp;(Saisie_Questions!$N62/$I62)&amp;"&lt;/setvar&gt;"&amp;IF(AY62&lt;&gt;"","&lt;displayfeedback feedbacktype=""Response"" linkrefid=""response_5""/&gt;",IF($AS62&lt;&gt;"","&lt;displayfeedback feedbacktype=""Response"" linkrefid=""qti_feedback_trigger""/&gt;",""))&amp;"&lt;/respcondition&gt;",""))),"")</f>
      </c>
      <c r="AP62" s="46">
        <f>IF($B62,IF(R62="","",IF($C62="qcu",IF(OR(Z62,AZ62&lt;&gt;"",$AS62&lt;&gt;""),"      &lt;respcondition continue=""Yes""&gt;&lt;conditionvar&gt;&lt;varequal respident=""RESPONSE""&gt;6&lt;/varequal&gt;&lt;/conditionvar&gt;"&amp;"&lt;setvar action=""Add""&gt;"&amp;IF(Z62,$H62,0)&amp;"&lt;/setvar&gt;"&amp;IF(AZ62&lt;&gt;"","&lt;displayfeedback feedbacktype=""Response"" linkrefid=""response_6""/&gt;",IF($AS62&lt;&gt;"","&lt;displayfeedback feedbacktype=""Response"" linkrefid=""qti_feedback_trigger""/&gt;",""))&amp;"&lt;/respcondition&gt;",""),IF(OR(Z62,AZ62&lt;&gt;"",$AS62&lt;&gt;""),"      &lt;respcondition continue=""Yes""&gt;&lt;conditionvar&gt;"&amp;IF(Z62,"&lt;varequal respident=""RESPONSE""&gt;6&lt;/varequal&gt;","&lt;not&gt;&lt;varequal respident=""RESPONSE""&gt;6&lt;/varequal&gt;&lt;/not&gt;")&amp;"&lt;/conditionvar&gt;&lt;setvar action=""Add""&gt;"&amp;(Saisie_Questions!$N62/$I62)&amp;"&lt;/setvar&gt;"&amp;IF(AZ62&lt;&gt;"","&lt;displayfeedback feedbacktype=""Response"" linkrefid=""response_6""/&gt;",IF($AS62&lt;&gt;"","&lt;displayfeedback feedbacktype=""Response"" linkrefid=""qti_feedback_trigger""/&gt;",""))&amp;"&lt;/respcondition&gt;",""))),"")</f>
      </c>
      <c r="AQ62" s="46">
        <f>IF($B62,IF(S62="","",IF($C62="qcu",IF(OR(AA62,BA62&lt;&gt;"",$AS62&lt;&gt;""),"      &lt;respcondition continue=""Yes""&gt;&lt;conditionvar&gt;&lt;varequal respident=""RESPONSE""&gt;7&lt;/varequal&gt;&lt;/conditionvar&gt;"&amp;"&lt;setvar action=""Add""&gt;"&amp;IF(AA62,$H62,0)&amp;"&lt;/setvar&gt;"&amp;IF(BA62&lt;&gt;"","&lt;displayfeedback feedbacktype=""Response"" linkrefid=""response_7""/&gt;",IF($AS62&lt;&gt;"","&lt;displayfeedback feedbacktype=""Response"" linkrefid=""qti_feedback_trigger""/&gt;",""))&amp;"&lt;/respcondition&gt;",""),IF(OR(AA62,BA62&lt;&gt;"",$AS62&lt;&gt;""),"      &lt;respcondition continue=""Yes""&gt;&lt;conditionvar&gt;"&amp;IF(AA62,"&lt;varequal respident=""RESPONSE""&gt;7&lt;/varequal&gt;","&lt;not&gt;&lt;varequal respident=""RESPONSE""&gt;7&lt;/varequal&gt;&lt;/not&gt;")&amp;"&lt;/conditionvar&gt;&lt;setvar action=""Add""&gt;"&amp;(Saisie_Questions!$N62/$I62)&amp;"&lt;/setvar&gt;"&amp;IF(BA62&lt;&gt;"","&lt;displayfeedback feedbacktype=""Response"" linkrefid=""response_7""/&gt;",IF($AS62&lt;&gt;"","&lt;displayfeedback feedbacktype=""Response"" linkrefid=""qti_feedback_trigger""/&gt;",""))&amp;"&lt;/respcondition&gt;",""))),"")</f>
      </c>
      <c r="AR62" s="46">
        <f>IF(A62="","",SUBSTITUTE(SUBSTITUTE(SUBSTITUTE(SUBSTITUTE(SUBSTITUTE(IF(Saisie_Questions!P62&lt;&gt;"",Saisie_Questions!P62,Interface_Generation!$B$5),"&amp;","&amp;amp;"),"&lt;","&amp;lt;"),"&gt;","&amp;gt;"),CHAR(34),"&amp;quot;"),"'","&amp;apos;"))</f>
        <v/>
      </c>
      <c r="AS62" s="46">
        <f>IF(Saisie_Questions!Q62="","",SUBSTITUTE(SUBSTITUTE(SUBSTITUTE(SUBSTITUTE(SUBSTITUTE(Saisie_Questions!Q62,"&amp;","&amp;amp;"),"&lt;","&amp;lt;"),"&gt;","&amp;gt;"),CHAR(34),"&amp;quot;"),"'","&amp;apos;"))</f>
        <v/>
      </c>
      <c r="AT62" s="46">
        <f>IF(Saisie_Questions!R62="","",SUBSTITUTE(SUBSTITUTE(SUBSTITUTE(SUBSTITUTE(SUBSTITUTE(Saisie_Questions!R62,"&amp;","&amp;amp;"),"&lt;","&amp;lt;"),"&gt;","&amp;gt;"),CHAR(34),"&amp;quot;"),"'","&amp;apos;"))</f>
        <v/>
      </c>
      <c r="AU62" s="46">
        <f>IF(Saisie_Questions!S62="","",SUBSTITUTE(SUBSTITUTE(SUBSTITUTE(SUBSTITUTE(SUBSTITUTE(Saisie_Questions!S62,"&amp;","&amp;amp;"),"&lt;","&amp;lt;"),"&gt;","&amp;gt;"),CHAR(34),"&amp;quot;"),"'","&amp;apos;"))</f>
        <v/>
      </c>
      <c r="AV62" s="46">
        <f>IF(Saisie_Questions!T62="","",SUBSTITUTE(SUBSTITUTE(SUBSTITUTE(SUBSTITUTE(SUBSTITUTE(Saisie_Questions!T62,"&amp;","&amp;amp;"),"&lt;","&amp;lt;"),"&gt;","&amp;gt;"),CHAR(34),"&amp;quot;"),"'","&amp;apos;"))</f>
        <v/>
      </c>
      <c r="AW62" s="46">
        <f>IF(Saisie_Questions!U62="","",SUBSTITUTE(SUBSTITUTE(SUBSTITUTE(SUBSTITUTE(SUBSTITUTE(Saisie_Questions!U62,"&amp;","&amp;amp;"),"&lt;","&amp;lt;"),"&gt;","&amp;gt;"),CHAR(34),"&amp;quot;"),"'","&amp;apos;"))</f>
        <v/>
      </c>
      <c r="AX62" s="46">
        <f>IF(Saisie_Questions!V62="","",SUBSTITUTE(SUBSTITUTE(SUBSTITUTE(SUBSTITUTE(SUBSTITUTE(Saisie_Questions!V62,"&amp;","&amp;amp;"),"&lt;","&amp;lt;"),"&gt;","&amp;gt;"),CHAR(34),"&amp;quot;"),"'","&amp;apos;"))</f>
        <v/>
      </c>
      <c r="AY62" s="46">
        <f>IF(Saisie_Questions!W62="","",SUBSTITUTE(SUBSTITUTE(SUBSTITUTE(SUBSTITUTE(SUBSTITUTE(Saisie_Questions!W62,"&amp;","&amp;amp;"),"&lt;","&amp;lt;"),"&gt;","&amp;gt;"),CHAR(34),"&amp;quot;"),"'","&amp;apos;"))</f>
        <v/>
      </c>
      <c r="AZ62" s="46">
        <f>IF(Saisie_Questions!X62="","",SUBSTITUTE(SUBSTITUTE(SUBSTITUTE(SUBSTITUTE(SUBSTITUTE(Saisie_Questions!X62,"&amp;","&amp;amp;"),"&lt;","&amp;lt;"),"&gt;","&amp;gt;"),CHAR(34),"&amp;quot;"),"'","&amp;apos;"))</f>
        <v/>
      </c>
      <c r="BA62" s="46">
        <f>IF(Saisie_Questions!Y62="","",SUBSTITUTE(SUBSTITUTE(SUBSTITUTE(SUBSTITUTE(SUBSTITUTE(Saisie_Questions!Y62,"&amp;","&amp;amp;"),"&lt;","&amp;lt;"),"&gt;","&amp;gt;"),CHAR(34),"&amp;quot;"),"'","&amp;apos;"))</f>
        <v/>
      </c>
      <c r="BB62" s="46">
        <f>IF($B62,IF($AS62="","","    &lt;itemfeedback ident=""response_allcorrect"" view=""All""&gt;&lt;flow_mat&gt;&lt;material&gt;&lt;mattext texttype=""text/html""&gt;"&amp;$AS62&amp;"&lt;/mattext&gt;&lt;/material&gt;&lt;/flow_mat&gt;&lt;/itemfeedback&gt;"&amp;"    &lt;itemfeedback ident=""response_onenotcorrect"" view=""All""&gt;&lt;flow_mat&gt;&lt;material&gt;&lt;mattext texttype=""text/html""&gt;"&amp;$AS62&amp;"&lt;/mattext&gt;&lt;/material&gt;&lt;/flow_mat&gt;&lt;/itemfeedback&gt;"),"")</f>
      </c>
      <c r="BC62" s="46">
        <f>IF($B62,IF(AT62="","","    &lt;itemfeedback ident=""response_0"" view=""All""&gt;&lt;flow_mat&gt;&lt;material&gt;&lt;mattext texttype=""text/html""&gt;"&amp;AT62&amp;"&lt;/mattext&gt;&lt;/material&gt;&lt;/flow_mat&gt;&lt;/itemfeedback&gt;"),"")</f>
      </c>
      <c r="BD62" s="46">
        <f>IF($B62,IF(AU62="","","    &lt;itemfeedback ident=""response_1"" view=""All""&gt;&lt;flow_mat&gt;&lt;material&gt;&lt;mattext texttype=""text/html""&gt;"&amp;AU62&amp;"&lt;/mattext&gt;&lt;/material&gt;&lt;/flow_mat&gt;&lt;/itemfeedback&gt;"),"")</f>
      </c>
      <c r="BE62" s="46">
        <f>IF($B62,IF(AV62="","","    &lt;itemfeedback ident=""response_2"" view=""All""&gt;&lt;flow_mat&gt;&lt;material&gt;&lt;mattext texttype=""text/html""&gt;"&amp;AV62&amp;"&lt;/mattext&gt;&lt;/material&gt;&lt;/flow_mat&gt;&lt;/itemfeedback&gt;"),"")</f>
      </c>
      <c r="BF62" s="46">
        <f>IF($B62,IF(AW62="","","    &lt;itemfeedback ident=""response_3"" view=""All""&gt;&lt;flow_mat&gt;&lt;material&gt;&lt;mattext texttype=""text/html""&gt;"&amp;AW62&amp;"&lt;/mattext&gt;&lt;/material&gt;&lt;/flow_mat&gt;&lt;/itemfeedback&gt;"),"")</f>
      </c>
      <c r="BG62" s="46">
        <f>IF($B62,IF(AX62="","","    &lt;itemfeedback ident=""response_4"" view=""All""&gt;&lt;flow_mat&gt;&lt;material&gt;&lt;mattext texttype=""text/html""&gt;"&amp;AX62&amp;"&lt;/mattext&gt;&lt;/material&gt;&lt;/flow_mat&gt;&lt;/itemfeedback&gt;"),"")</f>
      </c>
      <c r="BH62" s="46">
        <f>IF($B62,IF(AY62="","","    &lt;itemfeedback ident=""response_5"" view=""All""&gt;&lt;flow_mat&gt;&lt;material&gt;&lt;mattext texttype=""text/html""&gt;"&amp;AY62&amp;"&lt;/mattext&gt;&lt;/material&gt;&lt;/flow_mat&gt;&lt;/itemfeedback&gt;"),"")</f>
      </c>
      <c r="BI62" s="46">
        <f>IF($B62,IF(AZ62="","","    &lt;itemfeedback ident=""response_6"" view=""All""&gt;&lt;flow_mat&gt;&lt;material&gt;&lt;mattext texttype=""text/html""&gt;"&amp;AZ62&amp;"&lt;/mattext&gt;&lt;/material&gt;&lt;/flow_mat&gt;&lt;/itemfeedback&gt;"),"")</f>
      </c>
      <c r="BJ62" s="46">
        <f>IF($B62,IF(BA62="","","    &lt;itemfeedback ident=""response_7"" view=""All""&gt;&lt;flow_mat&gt;&lt;material&gt;&lt;mattext texttype=""text/html""&gt;"&amp;BA62&amp;"&lt;/mattext&gt;&lt;/material&gt;&lt;/flow_mat&gt;&lt;/itemfeedback&gt;"),"")</f>
      </c>
    </row>
    <row r="63" ht="18" customHeight="1" s="17">
      <c r="A63" s="46">
        <f>Saisie_Questions!A63</f>
        <v/>
      </c>
      <c r="B63" s="46">
        <f>Saisie_Questions!O63="OK"</f>
        <v/>
      </c>
      <c r="C63" s="46">
        <f>LOWER(TRIM(Saisie_Questions!B63))</f>
        <v/>
      </c>
      <c r="D63" s="46">
        <f>IF(C63="qcu","SINGLE CHOICE QUESTION","MULTIPLE CHOICE QUESTION")</f>
        <v/>
      </c>
      <c r="E63" s="46">
        <f>IF(C63="qcu","Single","Multiple")</f>
        <v/>
      </c>
      <c r="F63" s="46">
        <f>IF(A63="","",SUBSTITUTE(SUBSTITUTE(SUBSTITUTE(SUBSTITUTE(SUBSTITUTE(IF(Saisie_Questions!C63="", "Question "&amp;A63, Saisie_Questions!C63),"&amp;","&amp;amp;"),"&lt;","&amp;lt;"),"&gt;","&amp;gt;"),CHAR(34),"&amp;quot;"),"'","&amp;apos;"))</f>
        <v/>
      </c>
      <c r="G63" s="46">
        <f>IF(A63="","",SUBSTITUTE(SUBSTITUTE(SUBSTITUTE(SUBSTITUTE(SUBSTITUTE(Saisie_Questions!D63,"&amp;","&amp;amp;"),"&lt;","&amp;lt;"),"&gt;","&amp;gt;"),CHAR(34),"&amp;quot;"),"'","&amp;apos;"))</f>
        <v/>
      </c>
      <c r="H63" s="46">
        <f>Saisie_Questions!N63</f>
        <v/>
      </c>
      <c r="I63" s="46">
        <f>IF(Saisie_Questions!E63="",0,1)+IF(Saisie_Questions!F63="",0,1)+IF(Saisie_Questions!G63="",0,1)+IF(Saisie_Questions!H63="",0,1)+IF(Saisie_Questions!I63="",0,1)+IF(Saisie_Questions!J63="",0,1)+IF(Saisie_Questions!K63="",0,1)+IF(Saisie_Questions!L63="",0,1)</f>
        <v/>
      </c>
      <c r="J63" s="46">
        <f>Saisie_Questions!M63</f>
        <v/>
      </c>
      <c r="K63" s="46">
        <f>Saisie_Questions!O63</f>
        <v/>
      </c>
      <c r="L63" s="46">
        <f>IF(Saisie_Questions!E63="","",SUBSTITUTE(SUBSTITUTE(SUBSTITUTE(SUBSTITUTE(SUBSTITUTE(Saisie_Questions!E63,"&amp;","&amp;amp;"),"&lt;","&amp;lt;"),"&gt;","&amp;gt;"),CHAR(34),"&amp;quot;"),"'","&amp;apos;"))</f>
        <v/>
      </c>
      <c r="M63" s="46">
        <f>IF(Saisie_Questions!F63="","",SUBSTITUTE(SUBSTITUTE(SUBSTITUTE(SUBSTITUTE(SUBSTITUTE(Saisie_Questions!F63,"&amp;","&amp;amp;"),"&lt;","&amp;lt;"),"&gt;","&amp;gt;"),CHAR(34),"&amp;quot;"),"'","&amp;apos;"))</f>
        <v/>
      </c>
      <c r="N63" s="46">
        <f>IF(Saisie_Questions!G63="","",SUBSTITUTE(SUBSTITUTE(SUBSTITUTE(SUBSTITUTE(SUBSTITUTE(Saisie_Questions!G63,"&amp;","&amp;amp;"),"&lt;","&amp;lt;"),"&gt;","&amp;gt;"),CHAR(34),"&amp;quot;"),"'","&amp;apos;"))</f>
        <v/>
      </c>
      <c r="O63" s="46">
        <f>IF(Saisie_Questions!H63="","",SUBSTITUTE(SUBSTITUTE(SUBSTITUTE(SUBSTITUTE(SUBSTITUTE(Saisie_Questions!H63,"&amp;","&amp;amp;"),"&lt;","&amp;lt;"),"&gt;","&amp;gt;"),CHAR(34),"&amp;quot;"),"'","&amp;apos;"))</f>
        <v/>
      </c>
      <c r="P63" s="46">
        <f>IF(Saisie_Questions!I63="","",SUBSTITUTE(SUBSTITUTE(SUBSTITUTE(SUBSTITUTE(SUBSTITUTE(Saisie_Questions!I63,"&amp;","&amp;amp;"),"&lt;","&amp;lt;"),"&gt;","&amp;gt;"),CHAR(34),"&amp;quot;"),"'","&amp;apos;"))</f>
        <v/>
      </c>
      <c r="Q63" s="46">
        <f>IF(Saisie_Questions!J63="","",SUBSTITUTE(SUBSTITUTE(SUBSTITUTE(SUBSTITUTE(SUBSTITUTE(Saisie_Questions!J63,"&amp;","&amp;amp;"),"&lt;","&amp;lt;"),"&gt;","&amp;gt;"),CHAR(34),"&amp;quot;"),"'","&amp;apos;"))</f>
        <v/>
      </c>
      <c r="R63" s="46">
        <f>IF(Saisie_Questions!K63="","",SUBSTITUTE(SUBSTITUTE(SUBSTITUTE(SUBSTITUTE(SUBSTITUTE(Saisie_Questions!K63,"&amp;","&amp;amp;"),"&lt;","&amp;lt;"),"&gt;","&amp;gt;"),CHAR(34),"&amp;quot;"),"'","&amp;apos;"))</f>
        <v/>
      </c>
      <c r="S63" s="46">
        <f>IF(Saisie_Questions!L63="","",SUBSTITUTE(SUBSTITUTE(SUBSTITUTE(SUBSTITUTE(SUBSTITUTE(Saisie_Questions!L63,"&amp;","&amp;amp;"),"&lt;","&amp;lt;"),"&gt;","&amp;gt;"),CHAR(34),"&amp;quot;"),"'","&amp;apos;"))</f>
        <v/>
      </c>
      <c r="T63" s="46">
        <f>ISNUMBER(SEARCH(";"&amp;1&amp;";",";"&amp;$J63&amp;";"))</f>
        <v/>
      </c>
      <c r="U63" s="46">
        <f>ISNUMBER(SEARCH(";"&amp;2&amp;";",";"&amp;$J63&amp;";"))</f>
        <v/>
      </c>
      <c r="V63" s="46">
        <f>ISNUMBER(SEARCH(";"&amp;3&amp;";",";"&amp;$J63&amp;";"))</f>
        <v/>
      </c>
      <c r="W63" s="46">
        <f>ISNUMBER(SEARCH(";"&amp;4&amp;";",";"&amp;$J63&amp;";"))</f>
        <v/>
      </c>
      <c r="X63" s="46">
        <f>ISNUMBER(SEARCH(";"&amp;5&amp;";",";"&amp;$J63&amp;";"))</f>
        <v/>
      </c>
      <c r="Y63" s="46">
        <f>ISNUMBER(SEARCH(";"&amp;6&amp;";",";"&amp;$J63&amp;";"))</f>
        <v/>
      </c>
      <c r="Z63" s="46">
        <f>ISNUMBER(SEARCH(";"&amp;7&amp;";",";"&amp;$J63&amp;";"))</f>
        <v/>
      </c>
      <c r="AA63" s="46">
        <f>ISNUMBER(SEARCH(";"&amp;8&amp;";",";"&amp;$J63&amp;";"))</f>
        <v/>
      </c>
      <c r="AB63" s="46">
        <f>IF($B63,IF(L63="","","        &lt;response_label ident=""0""&gt;&lt;material&gt;&lt;mattext texttype=""text/html""&gt;"&amp;L63&amp;"&lt;/mattext&gt;&lt;/material&gt;&lt;/response_label&gt;"),"")</f>
        <v/>
      </c>
      <c r="AC63" s="46">
        <f>IF($B63,IF(M63="","","        &lt;response_label ident=""1""&gt;&lt;material&gt;&lt;mattext texttype=""text/html""&gt;"&amp;M63&amp;"&lt;/mattext&gt;&lt;/material&gt;&lt;/response_label&gt;"),"")</f>
        <v/>
      </c>
      <c r="AD63" s="46">
        <f>IF($B63,IF(N63="","","        &lt;response_label ident=""2""&gt;&lt;material&gt;&lt;mattext texttype=""text/html""&gt;"&amp;N63&amp;"&lt;/mattext&gt;&lt;/material&gt;&lt;/response_label&gt;"),"")</f>
        <v/>
      </c>
      <c r="AE63" s="46">
        <f>IF($B63,IF(O63="","","        &lt;response_label ident=""3""&gt;&lt;material&gt;&lt;mattext texttype=""text/html""&gt;"&amp;O63&amp;"&lt;/mattext&gt;&lt;/material&gt;&lt;/response_label&gt;"),"")</f>
        <v/>
      </c>
      <c r="AF63" s="46">
        <f>IF($B63,IF(P63="","","        &lt;response_label ident=""4""&gt;&lt;material&gt;&lt;mattext texttype=""text/html""&gt;"&amp;P63&amp;"&lt;/mattext&gt;&lt;/material&gt;&lt;/response_label&gt;"),"")</f>
        <v/>
      </c>
      <c r="AG63" s="46">
        <f>IF($B63,IF(Q63="","","        &lt;response_label ident=""5""&gt;&lt;material&gt;&lt;mattext texttype=""text/html""&gt;"&amp;Q63&amp;"&lt;/mattext&gt;&lt;/material&gt;&lt;/response_label&gt;"),"")</f>
        <v/>
      </c>
      <c r="AH63" s="46">
        <f>IF($B63,IF(R63="","","        &lt;response_label ident=""6""&gt;&lt;material&gt;&lt;mattext texttype=""text/html""&gt;"&amp;R63&amp;"&lt;/mattext&gt;&lt;/material&gt;&lt;/response_label&gt;"),"")</f>
        <v/>
      </c>
      <c r="AI63" s="46">
        <f>IF($B63,IF(S63="","","        &lt;response_label ident=""7""&gt;&lt;material&gt;&lt;mattext texttype=""text/html""&gt;"&amp;S63&amp;"&lt;/mattext&gt;&lt;/material&gt;&lt;/response_label&gt;"),"")</f>
        <v/>
      </c>
      <c r="AJ63" s="46">
        <f>IF($B63,IF(L63="","",IF($C63="qcu",IF(OR(T63,AT63&lt;&gt;"",$AS63&lt;&gt;""),"      &lt;respcondition continue=""Yes""&gt;&lt;conditionvar&gt;&lt;varequal respident=""RESPONSE""&gt;0&lt;/varequal&gt;&lt;/conditionvar&gt;"&amp;"&lt;setvar action=""Add""&gt;"&amp;IF(T63,$H63,0)&amp;"&lt;/setvar&gt;"&amp;IF(AT63&lt;&gt;"","&lt;displayfeedback feedbacktype=""Response"" linkrefid=""response_0""/&gt;",IF($AS63&lt;&gt;"","&lt;displayfeedback feedbacktype=""Response"" linkrefid=""qti_feedback_trigger""/&gt;",""))&amp;"&lt;/respcondition&gt;",""),IF(OR(T63,AT63&lt;&gt;"",$AS63&lt;&gt;""),"      &lt;respcondition continue=""Yes""&gt;&lt;conditionvar&gt;"&amp;IF(T63,"&lt;varequal respident=""RESPONSE""&gt;0&lt;/varequal&gt;","&lt;not&gt;&lt;varequal respident=""RESPONSE""&gt;0&lt;/varequal&gt;&lt;/not&gt;")&amp;"&lt;/conditionvar&gt;&lt;setvar action=""Add""&gt;"&amp;(Saisie_Questions!$N63/$I63)&amp;"&lt;/setvar&gt;"&amp;IF(AT63&lt;&gt;"","&lt;displayfeedback feedbacktype=""Response"" linkrefid=""response_0""/&gt;",IF($AS63&lt;&gt;"","&lt;displayfeedback feedbacktype=""Response"" linkrefid=""qti_feedback_trigger""/&gt;",""))&amp;"&lt;/respcondition&gt;",""))),"")</f>
      </c>
      <c r="AK63" s="46">
        <f>IF($B63,IF(M63="","",IF($C63="qcu",IF(OR(U63,AU63&lt;&gt;"",$AS63&lt;&gt;""),"      &lt;respcondition continue=""Yes""&gt;&lt;conditionvar&gt;&lt;varequal respident=""RESPONSE""&gt;1&lt;/varequal&gt;&lt;/conditionvar&gt;"&amp;"&lt;setvar action=""Add""&gt;"&amp;IF(U63,$H63,0)&amp;"&lt;/setvar&gt;"&amp;IF(AU63&lt;&gt;"","&lt;displayfeedback feedbacktype=""Response"" linkrefid=""response_1""/&gt;",IF($AS63&lt;&gt;"","&lt;displayfeedback feedbacktype=""Response"" linkrefid=""qti_feedback_trigger""/&gt;",""))&amp;"&lt;/respcondition&gt;",""),IF(OR(U63,AU63&lt;&gt;"",$AS63&lt;&gt;""),"      &lt;respcondition continue=""Yes""&gt;&lt;conditionvar&gt;"&amp;IF(U63,"&lt;varequal respident=""RESPONSE""&gt;1&lt;/varequal&gt;","&lt;not&gt;&lt;varequal respident=""RESPONSE""&gt;1&lt;/varequal&gt;&lt;/not&gt;")&amp;"&lt;/conditionvar&gt;&lt;setvar action=""Add""&gt;"&amp;(Saisie_Questions!$N63/$I63)&amp;"&lt;/setvar&gt;"&amp;IF(AU63&lt;&gt;"","&lt;displayfeedback feedbacktype=""Response"" linkrefid=""response_1""/&gt;",IF($AS63&lt;&gt;"","&lt;displayfeedback feedbacktype=""Response"" linkrefid=""qti_feedback_trigger""/&gt;",""))&amp;"&lt;/respcondition&gt;",""))),"")</f>
      </c>
      <c r="AL63" s="46">
        <f>IF($B63,IF(N63="","",IF($C63="qcu",IF(OR(V63,AV63&lt;&gt;"",$AS63&lt;&gt;""),"      &lt;respcondition continue=""Yes""&gt;&lt;conditionvar&gt;&lt;varequal respident=""RESPONSE""&gt;2&lt;/varequal&gt;&lt;/conditionvar&gt;"&amp;"&lt;setvar action=""Add""&gt;"&amp;IF(V63,$H63,0)&amp;"&lt;/setvar&gt;"&amp;IF(AV63&lt;&gt;"","&lt;displayfeedback feedbacktype=""Response"" linkrefid=""response_2""/&gt;",IF($AS63&lt;&gt;"","&lt;displayfeedback feedbacktype=""Response"" linkrefid=""qti_feedback_trigger""/&gt;",""))&amp;"&lt;/respcondition&gt;",""),IF(OR(V63,AV63&lt;&gt;"",$AS63&lt;&gt;""),"      &lt;respcondition continue=""Yes""&gt;&lt;conditionvar&gt;"&amp;IF(V63,"&lt;varequal respident=""RESPONSE""&gt;2&lt;/varequal&gt;","&lt;not&gt;&lt;varequal respident=""RESPONSE""&gt;2&lt;/varequal&gt;&lt;/not&gt;")&amp;"&lt;/conditionvar&gt;&lt;setvar action=""Add""&gt;"&amp;(Saisie_Questions!$N63/$I63)&amp;"&lt;/setvar&gt;"&amp;IF(AV63&lt;&gt;"","&lt;displayfeedback feedbacktype=""Response"" linkrefid=""response_2""/&gt;",IF($AS63&lt;&gt;"","&lt;displayfeedback feedbacktype=""Response"" linkrefid=""qti_feedback_trigger""/&gt;",""))&amp;"&lt;/respcondition&gt;",""))),"")</f>
      </c>
      <c r="AM63" s="46">
        <f>IF($B63,IF(O63="","",IF($C63="qcu",IF(OR(W63,AW63&lt;&gt;"",$AS63&lt;&gt;""),"      &lt;respcondition continue=""Yes""&gt;&lt;conditionvar&gt;&lt;varequal respident=""RESPONSE""&gt;3&lt;/varequal&gt;&lt;/conditionvar&gt;"&amp;"&lt;setvar action=""Add""&gt;"&amp;IF(W63,$H63,0)&amp;"&lt;/setvar&gt;"&amp;IF(AW63&lt;&gt;"","&lt;displayfeedback feedbacktype=""Response"" linkrefid=""response_3""/&gt;",IF($AS63&lt;&gt;"","&lt;displayfeedback feedbacktype=""Response"" linkrefid=""qti_feedback_trigger""/&gt;",""))&amp;"&lt;/respcondition&gt;",""),IF(OR(W63,AW63&lt;&gt;"",$AS63&lt;&gt;""),"      &lt;respcondition continue=""Yes""&gt;&lt;conditionvar&gt;"&amp;IF(W63,"&lt;varequal respident=""RESPONSE""&gt;3&lt;/varequal&gt;","&lt;not&gt;&lt;varequal respident=""RESPONSE""&gt;3&lt;/varequal&gt;&lt;/not&gt;")&amp;"&lt;/conditionvar&gt;&lt;setvar action=""Add""&gt;"&amp;(Saisie_Questions!$N63/$I63)&amp;"&lt;/setvar&gt;"&amp;IF(AW63&lt;&gt;"","&lt;displayfeedback feedbacktype=""Response"" linkrefid=""response_3""/&gt;",IF($AS63&lt;&gt;"","&lt;displayfeedback feedbacktype=""Response"" linkrefid=""qti_feedback_trigger""/&gt;",""))&amp;"&lt;/respcondition&gt;",""))),"")</f>
      </c>
      <c r="AN63" s="46">
        <f>IF($B63,IF(P63="","",IF($C63="qcu",IF(OR(X63,AX63&lt;&gt;"",$AS63&lt;&gt;""),"      &lt;respcondition continue=""Yes""&gt;&lt;conditionvar&gt;&lt;varequal respident=""RESPONSE""&gt;4&lt;/varequal&gt;&lt;/conditionvar&gt;"&amp;"&lt;setvar action=""Add""&gt;"&amp;IF(X63,$H63,0)&amp;"&lt;/setvar&gt;"&amp;IF(AX63&lt;&gt;"","&lt;displayfeedback feedbacktype=""Response"" linkrefid=""response_4""/&gt;",IF($AS63&lt;&gt;"","&lt;displayfeedback feedbacktype=""Response"" linkrefid=""qti_feedback_trigger""/&gt;",""))&amp;"&lt;/respcondition&gt;",""),IF(OR(X63,AX63&lt;&gt;"",$AS63&lt;&gt;""),"      &lt;respcondition continue=""Yes""&gt;&lt;conditionvar&gt;"&amp;IF(X63,"&lt;varequal respident=""RESPONSE""&gt;4&lt;/varequal&gt;","&lt;not&gt;&lt;varequal respident=""RESPONSE""&gt;4&lt;/varequal&gt;&lt;/not&gt;")&amp;"&lt;/conditionvar&gt;&lt;setvar action=""Add""&gt;"&amp;(Saisie_Questions!$N63/$I63)&amp;"&lt;/setvar&gt;"&amp;IF(AX63&lt;&gt;"","&lt;displayfeedback feedbacktype=""Response"" linkrefid=""response_4""/&gt;",IF($AS63&lt;&gt;"","&lt;displayfeedback feedbacktype=""Response"" linkrefid=""qti_feedback_trigger""/&gt;",""))&amp;"&lt;/respcondition&gt;",""))),"")</f>
      </c>
      <c r="AO63" s="46">
        <f>IF($B63,IF(Q63="","",IF($C63="qcu",IF(OR(Y63,AY63&lt;&gt;"",$AS63&lt;&gt;""),"      &lt;respcondition continue=""Yes""&gt;&lt;conditionvar&gt;&lt;varequal respident=""RESPONSE""&gt;5&lt;/varequal&gt;&lt;/conditionvar&gt;"&amp;"&lt;setvar action=""Add""&gt;"&amp;IF(Y63,$H63,0)&amp;"&lt;/setvar&gt;"&amp;IF(AY63&lt;&gt;"","&lt;displayfeedback feedbacktype=""Response"" linkrefid=""response_5""/&gt;",IF($AS63&lt;&gt;"","&lt;displayfeedback feedbacktype=""Response"" linkrefid=""qti_feedback_trigger""/&gt;",""))&amp;"&lt;/respcondition&gt;",""),IF(OR(Y63,AY63&lt;&gt;"",$AS63&lt;&gt;""),"      &lt;respcondition continue=""Yes""&gt;&lt;conditionvar&gt;"&amp;IF(Y63,"&lt;varequal respident=""RESPONSE""&gt;5&lt;/varequal&gt;","&lt;not&gt;&lt;varequal respident=""RESPONSE""&gt;5&lt;/varequal&gt;&lt;/not&gt;")&amp;"&lt;/conditionvar&gt;&lt;setvar action=""Add""&gt;"&amp;(Saisie_Questions!$N63/$I63)&amp;"&lt;/setvar&gt;"&amp;IF(AY63&lt;&gt;"","&lt;displayfeedback feedbacktype=""Response"" linkrefid=""response_5""/&gt;",IF($AS63&lt;&gt;"","&lt;displayfeedback feedbacktype=""Response"" linkrefid=""qti_feedback_trigger""/&gt;",""))&amp;"&lt;/respcondition&gt;",""))),"")</f>
      </c>
      <c r="AP63" s="46">
        <f>IF($B63,IF(R63="","",IF($C63="qcu",IF(OR(Z63,AZ63&lt;&gt;"",$AS63&lt;&gt;""),"      &lt;respcondition continue=""Yes""&gt;&lt;conditionvar&gt;&lt;varequal respident=""RESPONSE""&gt;6&lt;/varequal&gt;&lt;/conditionvar&gt;"&amp;"&lt;setvar action=""Add""&gt;"&amp;IF(Z63,$H63,0)&amp;"&lt;/setvar&gt;"&amp;IF(AZ63&lt;&gt;"","&lt;displayfeedback feedbacktype=""Response"" linkrefid=""response_6""/&gt;",IF($AS63&lt;&gt;"","&lt;displayfeedback feedbacktype=""Response"" linkrefid=""qti_feedback_trigger""/&gt;",""))&amp;"&lt;/respcondition&gt;",""),IF(OR(Z63,AZ63&lt;&gt;"",$AS63&lt;&gt;""),"      &lt;respcondition continue=""Yes""&gt;&lt;conditionvar&gt;"&amp;IF(Z63,"&lt;varequal respident=""RESPONSE""&gt;6&lt;/varequal&gt;","&lt;not&gt;&lt;varequal respident=""RESPONSE""&gt;6&lt;/varequal&gt;&lt;/not&gt;")&amp;"&lt;/conditionvar&gt;&lt;setvar action=""Add""&gt;"&amp;(Saisie_Questions!$N63/$I63)&amp;"&lt;/setvar&gt;"&amp;IF(AZ63&lt;&gt;"","&lt;displayfeedback feedbacktype=""Response"" linkrefid=""response_6""/&gt;",IF($AS63&lt;&gt;"","&lt;displayfeedback feedbacktype=""Response"" linkrefid=""qti_feedback_trigger""/&gt;",""))&amp;"&lt;/respcondition&gt;",""))),"")</f>
      </c>
      <c r="AQ63" s="46">
        <f>IF($B63,IF(S63="","",IF($C63="qcu",IF(OR(AA63,BA63&lt;&gt;"",$AS63&lt;&gt;""),"      &lt;respcondition continue=""Yes""&gt;&lt;conditionvar&gt;&lt;varequal respident=""RESPONSE""&gt;7&lt;/varequal&gt;&lt;/conditionvar&gt;"&amp;"&lt;setvar action=""Add""&gt;"&amp;IF(AA63,$H63,0)&amp;"&lt;/setvar&gt;"&amp;IF(BA63&lt;&gt;"","&lt;displayfeedback feedbacktype=""Response"" linkrefid=""response_7""/&gt;",IF($AS63&lt;&gt;"","&lt;displayfeedback feedbacktype=""Response"" linkrefid=""qti_feedback_trigger""/&gt;",""))&amp;"&lt;/respcondition&gt;",""),IF(OR(AA63,BA63&lt;&gt;"",$AS63&lt;&gt;""),"      &lt;respcondition continue=""Yes""&gt;&lt;conditionvar&gt;"&amp;IF(AA63,"&lt;varequal respident=""RESPONSE""&gt;7&lt;/varequal&gt;","&lt;not&gt;&lt;varequal respident=""RESPONSE""&gt;7&lt;/varequal&gt;&lt;/not&gt;")&amp;"&lt;/conditionvar&gt;&lt;setvar action=""Add""&gt;"&amp;(Saisie_Questions!$N63/$I63)&amp;"&lt;/setvar&gt;"&amp;IF(BA63&lt;&gt;"","&lt;displayfeedback feedbacktype=""Response"" linkrefid=""response_7""/&gt;",IF($AS63&lt;&gt;"","&lt;displayfeedback feedbacktype=""Response"" linkrefid=""qti_feedback_trigger""/&gt;",""))&amp;"&lt;/respcondition&gt;",""))),"")</f>
      </c>
      <c r="AR63" s="46">
        <f>IF(A63="","",SUBSTITUTE(SUBSTITUTE(SUBSTITUTE(SUBSTITUTE(SUBSTITUTE(IF(Saisie_Questions!P63&lt;&gt;"",Saisie_Questions!P63,Interface_Generation!$B$5),"&amp;","&amp;amp;"),"&lt;","&amp;lt;"),"&gt;","&amp;gt;"),CHAR(34),"&amp;quot;"),"'","&amp;apos;"))</f>
        <v/>
      </c>
      <c r="AS63" s="46">
        <f>IF(Saisie_Questions!Q63="","",SUBSTITUTE(SUBSTITUTE(SUBSTITUTE(SUBSTITUTE(SUBSTITUTE(Saisie_Questions!Q63,"&amp;","&amp;amp;"),"&lt;","&amp;lt;"),"&gt;","&amp;gt;"),CHAR(34),"&amp;quot;"),"'","&amp;apos;"))</f>
        <v/>
      </c>
      <c r="AT63" s="46">
        <f>IF(Saisie_Questions!R63="","",SUBSTITUTE(SUBSTITUTE(SUBSTITUTE(SUBSTITUTE(SUBSTITUTE(Saisie_Questions!R63,"&amp;","&amp;amp;"),"&lt;","&amp;lt;"),"&gt;","&amp;gt;"),CHAR(34),"&amp;quot;"),"'","&amp;apos;"))</f>
        <v/>
      </c>
      <c r="AU63" s="46">
        <f>IF(Saisie_Questions!S63="","",SUBSTITUTE(SUBSTITUTE(SUBSTITUTE(SUBSTITUTE(SUBSTITUTE(Saisie_Questions!S63,"&amp;","&amp;amp;"),"&lt;","&amp;lt;"),"&gt;","&amp;gt;"),CHAR(34),"&amp;quot;"),"'","&amp;apos;"))</f>
        <v/>
      </c>
      <c r="AV63" s="46">
        <f>IF(Saisie_Questions!T63="","",SUBSTITUTE(SUBSTITUTE(SUBSTITUTE(SUBSTITUTE(SUBSTITUTE(Saisie_Questions!T63,"&amp;","&amp;amp;"),"&lt;","&amp;lt;"),"&gt;","&amp;gt;"),CHAR(34),"&amp;quot;"),"'","&amp;apos;"))</f>
        <v/>
      </c>
      <c r="AW63" s="46">
        <f>IF(Saisie_Questions!U63="","",SUBSTITUTE(SUBSTITUTE(SUBSTITUTE(SUBSTITUTE(SUBSTITUTE(Saisie_Questions!U63,"&amp;","&amp;amp;"),"&lt;","&amp;lt;"),"&gt;","&amp;gt;"),CHAR(34),"&amp;quot;"),"'","&amp;apos;"))</f>
        <v/>
      </c>
      <c r="AX63" s="46">
        <f>IF(Saisie_Questions!V63="","",SUBSTITUTE(SUBSTITUTE(SUBSTITUTE(SUBSTITUTE(SUBSTITUTE(Saisie_Questions!V63,"&amp;","&amp;amp;"),"&lt;","&amp;lt;"),"&gt;","&amp;gt;"),CHAR(34),"&amp;quot;"),"'","&amp;apos;"))</f>
        <v/>
      </c>
      <c r="AY63" s="46">
        <f>IF(Saisie_Questions!W63="","",SUBSTITUTE(SUBSTITUTE(SUBSTITUTE(SUBSTITUTE(SUBSTITUTE(Saisie_Questions!W63,"&amp;","&amp;amp;"),"&lt;","&amp;lt;"),"&gt;","&amp;gt;"),CHAR(34),"&amp;quot;"),"'","&amp;apos;"))</f>
        <v/>
      </c>
      <c r="AZ63" s="46">
        <f>IF(Saisie_Questions!X63="","",SUBSTITUTE(SUBSTITUTE(SUBSTITUTE(SUBSTITUTE(SUBSTITUTE(Saisie_Questions!X63,"&amp;","&amp;amp;"),"&lt;","&amp;lt;"),"&gt;","&amp;gt;"),CHAR(34),"&amp;quot;"),"'","&amp;apos;"))</f>
        <v/>
      </c>
      <c r="BA63" s="46">
        <f>IF(Saisie_Questions!Y63="","",SUBSTITUTE(SUBSTITUTE(SUBSTITUTE(SUBSTITUTE(SUBSTITUTE(Saisie_Questions!Y63,"&amp;","&amp;amp;"),"&lt;","&amp;lt;"),"&gt;","&amp;gt;"),CHAR(34),"&amp;quot;"),"'","&amp;apos;"))</f>
        <v/>
      </c>
      <c r="BB63" s="46">
        <f>IF($B63,IF($AS63="","","    &lt;itemfeedback ident=""response_allcorrect"" view=""All""&gt;&lt;flow_mat&gt;&lt;material&gt;&lt;mattext texttype=""text/html""&gt;"&amp;$AS63&amp;"&lt;/mattext&gt;&lt;/material&gt;&lt;/flow_mat&gt;&lt;/itemfeedback&gt;"&amp;"    &lt;itemfeedback ident=""response_onenotcorrect"" view=""All""&gt;&lt;flow_mat&gt;&lt;material&gt;&lt;mattext texttype=""text/html""&gt;"&amp;$AS63&amp;"&lt;/mattext&gt;&lt;/material&gt;&lt;/flow_mat&gt;&lt;/itemfeedback&gt;"),"")</f>
      </c>
      <c r="BC63" s="46">
        <f>IF($B63,IF(AT63="","","    &lt;itemfeedback ident=""response_0"" view=""All""&gt;&lt;flow_mat&gt;&lt;material&gt;&lt;mattext texttype=""text/html""&gt;"&amp;AT63&amp;"&lt;/mattext&gt;&lt;/material&gt;&lt;/flow_mat&gt;&lt;/itemfeedback&gt;"),"")</f>
      </c>
      <c r="BD63" s="46">
        <f>IF($B63,IF(AU63="","","    &lt;itemfeedback ident=""response_1"" view=""All""&gt;&lt;flow_mat&gt;&lt;material&gt;&lt;mattext texttype=""text/html""&gt;"&amp;AU63&amp;"&lt;/mattext&gt;&lt;/material&gt;&lt;/flow_mat&gt;&lt;/itemfeedback&gt;"),"")</f>
      </c>
      <c r="BE63" s="46">
        <f>IF($B63,IF(AV63="","","    &lt;itemfeedback ident=""response_2"" view=""All""&gt;&lt;flow_mat&gt;&lt;material&gt;&lt;mattext texttype=""text/html""&gt;"&amp;AV63&amp;"&lt;/mattext&gt;&lt;/material&gt;&lt;/flow_mat&gt;&lt;/itemfeedback&gt;"),"")</f>
      </c>
      <c r="BF63" s="46">
        <f>IF($B63,IF(AW63="","","    &lt;itemfeedback ident=""response_3"" view=""All""&gt;&lt;flow_mat&gt;&lt;material&gt;&lt;mattext texttype=""text/html""&gt;"&amp;AW63&amp;"&lt;/mattext&gt;&lt;/material&gt;&lt;/flow_mat&gt;&lt;/itemfeedback&gt;"),"")</f>
      </c>
      <c r="BG63" s="46">
        <f>IF($B63,IF(AX63="","","    &lt;itemfeedback ident=""response_4"" view=""All""&gt;&lt;flow_mat&gt;&lt;material&gt;&lt;mattext texttype=""text/html""&gt;"&amp;AX63&amp;"&lt;/mattext&gt;&lt;/material&gt;&lt;/flow_mat&gt;&lt;/itemfeedback&gt;"),"")</f>
      </c>
      <c r="BH63" s="46">
        <f>IF($B63,IF(AY63="","","    &lt;itemfeedback ident=""response_5"" view=""All""&gt;&lt;flow_mat&gt;&lt;material&gt;&lt;mattext texttype=""text/html""&gt;"&amp;AY63&amp;"&lt;/mattext&gt;&lt;/material&gt;&lt;/flow_mat&gt;&lt;/itemfeedback&gt;"),"")</f>
      </c>
      <c r="BI63" s="46">
        <f>IF($B63,IF(AZ63="","","    &lt;itemfeedback ident=""response_6"" view=""All""&gt;&lt;flow_mat&gt;&lt;material&gt;&lt;mattext texttype=""text/html""&gt;"&amp;AZ63&amp;"&lt;/mattext&gt;&lt;/material&gt;&lt;/flow_mat&gt;&lt;/itemfeedback&gt;"),"")</f>
      </c>
      <c r="BJ63" s="46">
        <f>IF($B63,IF(BA63="","","    &lt;itemfeedback ident=""response_7"" view=""All""&gt;&lt;flow_mat&gt;&lt;material&gt;&lt;mattext texttype=""text/html""&gt;"&amp;BA63&amp;"&lt;/mattext&gt;&lt;/material&gt;&lt;/flow_mat&gt;&lt;/itemfeedback&gt;"),"")</f>
      </c>
    </row>
    <row r="64" ht="18" customHeight="1" s="17">
      <c r="A64" s="46">
        <f>Saisie_Questions!A64</f>
        <v/>
      </c>
      <c r="B64" s="46">
        <f>Saisie_Questions!O64="OK"</f>
        <v/>
      </c>
      <c r="C64" s="46">
        <f>LOWER(TRIM(Saisie_Questions!B64))</f>
        <v/>
      </c>
      <c r="D64" s="46">
        <f>IF(C64="qcu","SINGLE CHOICE QUESTION","MULTIPLE CHOICE QUESTION")</f>
        <v/>
      </c>
      <c r="E64" s="46">
        <f>IF(C64="qcu","Single","Multiple")</f>
        <v/>
      </c>
      <c r="F64" s="46">
        <f>IF(A64="","",SUBSTITUTE(SUBSTITUTE(SUBSTITUTE(SUBSTITUTE(SUBSTITUTE(IF(Saisie_Questions!C64="", "Question "&amp;A64, Saisie_Questions!C64),"&amp;","&amp;amp;"),"&lt;","&amp;lt;"),"&gt;","&amp;gt;"),CHAR(34),"&amp;quot;"),"'","&amp;apos;"))</f>
        <v/>
      </c>
      <c r="G64" s="46">
        <f>IF(A64="","",SUBSTITUTE(SUBSTITUTE(SUBSTITUTE(SUBSTITUTE(SUBSTITUTE(Saisie_Questions!D64,"&amp;","&amp;amp;"),"&lt;","&amp;lt;"),"&gt;","&amp;gt;"),CHAR(34),"&amp;quot;"),"'","&amp;apos;"))</f>
        <v/>
      </c>
      <c r="H64" s="46">
        <f>Saisie_Questions!N64</f>
        <v/>
      </c>
      <c r="I64" s="46">
        <f>IF(Saisie_Questions!E64="",0,1)+IF(Saisie_Questions!F64="",0,1)+IF(Saisie_Questions!G64="",0,1)+IF(Saisie_Questions!H64="",0,1)+IF(Saisie_Questions!I64="",0,1)+IF(Saisie_Questions!J64="",0,1)+IF(Saisie_Questions!K64="",0,1)+IF(Saisie_Questions!L64="",0,1)</f>
        <v/>
      </c>
      <c r="J64" s="46">
        <f>Saisie_Questions!M64</f>
        <v/>
      </c>
      <c r="K64" s="46">
        <f>Saisie_Questions!O64</f>
        <v/>
      </c>
      <c r="L64" s="46">
        <f>IF(Saisie_Questions!E64="","",SUBSTITUTE(SUBSTITUTE(SUBSTITUTE(SUBSTITUTE(SUBSTITUTE(Saisie_Questions!E64,"&amp;","&amp;amp;"),"&lt;","&amp;lt;"),"&gt;","&amp;gt;"),CHAR(34),"&amp;quot;"),"'","&amp;apos;"))</f>
        <v/>
      </c>
      <c r="M64" s="46">
        <f>IF(Saisie_Questions!F64="","",SUBSTITUTE(SUBSTITUTE(SUBSTITUTE(SUBSTITUTE(SUBSTITUTE(Saisie_Questions!F64,"&amp;","&amp;amp;"),"&lt;","&amp;lt;"),"&gt;","&amp;gt;"),CHAR(34),"&amp;quot;"),"'","&amp;apos;"))</f>
        <v/>
      </c>
      <c r="N64" s="46">
        <f>IF(Saisie_Questions!G64="","",SUBSTITUTE(SUBSTITUTE(SUBSTITUTE(SUBSTITUTE(SUBSTITUTE(Saisie_Questions!G64,"&amp;","&amp;amp;"),"&lt;","&amp;lt;"),"&gt;","&amp;gt;"),CHAR(34),"&amp;quot;"),"'","&amp;apos;"))</f>
        <v/>
      </c>
      <c r="O64" s="46">
        <f>IF(Saisie_Questions!H64="","",SUBSTITUTE(SUBSTITUTE(SUBSTITUTE(SUBSTITUTE(SUBSTITUTE(Saisie_Questions!H64,"&amp;","&amp;amp;"),"&lt;","&amp;lt;"),"&gt;","&amp;gt;"),CHAR(34),"&amp;quot;"),"'","&amp;apos;"))</f>
        <v/>
      </c>
      <c r="P64" s="46">
        <f>IF(Saisie_Questions!I64="","",SUBSTITUTE(SUBSTITUTE(SUBSTITUTE(SUBSTITUTE(SUBSTITUTE(Saisie_Questions!I64,"&amp;","&amp;amp;"),"&lt;","&amp;lt;"),"&gt;","&amp;gt;"),CHAR(34),"&amp;quot;"),"'","&amp;apos;"))</f>
        <v/>
      </c>
      <c r="Q64" s="46">
        <f>IF(Saisie_Questions!J64="","",SUBSTITUTE(SUBSTITUTE(SUBSTITUTE(SUBSTITUTE(SUBSTITUTE(Saisie_Questions!J64,"&amp;","&amp;amp;"),"&lt;","&amp;lt;"),"&gt;","&amp;gt;"),CHAR(34),"&amp;quot;"),"'","&amp;apos;"))</f>
        <v/>
      </c>
      <c r="R64" s="46">
        <f>IF(Saisie_Questions!K64="","",SUBSTITUTE(SUBSTITUTE(SUBSTITUTE(SUBSTITUTE(SUBSTITUTE(Saisie_Questions!K64,"&amp;","&amp;amp;"),"&lt;","&amp;lt;"),"&gt;","&amp;gt;"),CHAR(34),"&amp;quot;"),"'","&amp;apos;"))</f>
        <v/>
      </c>
      <c r="S64" s="46">
        <f>IF(Saisie_Questions!L64="","",SUBSTITUTE(SUBSTITUTE(SUBSTITUTE(SUBSTITUTE(SUBSTITUTE(Saisie_Questions!L64,"&amp;","&amp;amp;"),"&lt;","&amp;lt;"),"&gt;","&amp;gt;"),CHAR(34),"&amp;quot;"),"'","&amp;apos;"))</f>
        <v/>
      </c>
      <c r="T64" s="46">
        <f>ISNUMBER(SEARCH(";"&amp;1&amp;";",";"&amp;$J64&amp;";"))</f>
        <v/>
      </c>
      <c r="U64" s="46">
        <f>ISNUMBER(SEARCH(";"&amp;2&amp;";",";"&amp;$J64&amp;";"))</f>
        <v/>
      </c>
      <c r="V64" s="46">
        <f>ISNUMBER(SEARCH(";"&amp;3&amp;";",";"&amp;$J64&amp;";"))</f>
        <v/>
      </c>
      <c r="W64" s="46">
        <f>ISNUMBER(SEARCH(";"&amp;4&amp;";",";"&amp;$J64&amp;";"))</f>
        <v/>
      </c>
      <c r="X64" s="46">
        <f>ISNUMBER(SEARCH(";"&amp;5&amp;";",";"&amp;$J64&amp;";"))</f>
        <v/>
      </c>
      <c r="Y64" s="46">
        <f>ISNUMBER(SEARCH(";"&amp;6&amp;";",";"&amp;$J64&amp;";"))</f>
        <v/>
      </c>
      <c r="Z64" s="46">
        <f>ISNUMBER(SEARCH(";"&amp;7&amp;";",";"&amp;$J64&amp;";"))</f>
        <v/>
      </c>
      <c r="AA64" s="46">
        <f>ISNUMBER(SEARCH(";"&amp;8&amp;";",";"&amp;$J64&amp;";"))</f>
        <v/>
      </c>
      <c r="AB64" s="46">
        <f>IF($B64,IF(L64="","","        &lt;response_label ident=""0""&gt;&lt;material&gt;&lt;mattext texttype=""text/html""&gt;"&amp;L64&amp;"&lt;/mattext&gt;&lt;/material&gt;&lt;/response_label&gt;"),"")</f>
        <v/>
      </c>
      <c r="AC64" s="46">
        <f>IF($B64,IF(M64="","","        &lt;response_label ident=""1""&gt;&lt;material&gt;&lt;mattext texttype=""text/html""&gt;"&amp;M64&amp;"&lt;/mattext&gt;&lt;/material&gt;&lt;/response_label&gt;"),"")</f>
        <v/>
      </c>
      <c r="AD64" s="46">
        <f>IF($B64,IF(N64="","","        &lt;response_label ident=""2""&gt;&lt;material&gt;&lt;mattext texttype=""text/html""&gt;"&amp;N64&amp;"&lt;/mattext&gt;&lt;/material&gt;&lt;/response_label&gt;"),"")</f>
        <v/>
      </c>
      <c r="AE64" s="46">
        <f>IF($B64,IF(O64="","","        &lt;response_label ident=""3""&gt;&lt;material&gt;&lt;mattext texttype=""text/html""&gt;"&amp;O64&amp;"&lt;/mattext&gt;&lt;/material&gt;&lt;/response_label&gt;"),"")</f>
        <v/>
      </c>
      <c r="AF64" s="46">
        <f>IF($B64,IF(P64="","","        &lt;response_label ident=""4""&gt;&lt;material&gt;&lt;mattext texttype=""text/html""&gt;"&amp;P64&amp;"&lt;/mattext&gt;&lt;/material&gt;&lt;/response_label&gt;"),"")</f>
        <v/>
      </c>
      <c r="AG64" s="46">
        <f>IF($B64,IF(Q64="","","        &lt;response_label ident=""5""&gt;&lt;material&gt;&lt;mattext texttype=""text/html""&gt;"&amp;Q64&amp;"&lt;/mattext&gt;&lt;/material&gt;&lt;/response_label&gt;"),"")</f>
        <v/>
      </c>
      <c r="AH64" s="46">
        <f>IF($B64,IF(R64="","","        &lt;response_label ident=""6""&gt;&lt;material&gt;&lt;mattext texttype=""text/html""&gt;"&amp;R64&amp;"&lt;/mattext&gt;&lt;/material&gt;&lt;/response_label&gt;"),"")</f>
        <v/>
      </c>
      <c r="AI64" s="46">
        <f>IF($B64,IF(S64="","","        &lt;response_label ident=""7""&gt;&lt;material&gt;&lt;mattext texttype=""text/html""&gt;"&amp;S64&amp;"&lt;/mattext&gt;&lt;/material&gt;&lt;/response_label&gt;"),"")</f>
        <v/>
      </c>
      <c r="AJ64" s="46">
        <f>IF($B64,IF(L64="","",IF($C64="qcu",IF(OR(T64,AT64&lt;&gt;"",$AS64&lt;&gt;""),"      &lt;respcondition continue=""Yes""&gt;&lt;conditionvar&gt;&lt;varequal respident=""RESPONSE""&gt;0&lt;/varequal&gt;&lt;/conditionvar&gt;"&amp;"&lt;setvar action=""Add""&gt;"&amp;IF(T64,$H64,0)&amp;"&lt;/setvar&gt;"&amp;IF(AT64&lt;&gt;"","&lt;displayfeedback feedbacktype=""Response"" linkrefid=""response_0""/&gt;",IF($AS64&lt;&gt;"","&lt;displayfeedback feedbacktype=""Response"" linkrefid=""qti_feedback_trigger""/&gt;",""))&amp;"&lt;/respcondition&gt;",""),IF(OR(T64,AT64&lt;&gt;"",$AS64&lt;&gt;""),"      &lt;respcondition continue=""Yes""&gt;&lt;conditionvar&gt;"&amp;IF(T64,"&lt;varequal respident=""RESPONSE""&gt;0&lt;/varequal&gt;","&lt;not&gt;&lt;varequal respident=""RESPONSE""&gt;0&lt;/varequal&gt;&lt;/not&gt;")&amp;"&lt;/conditionvar&gt;&lt;setvar action=""Add""&gt;"&amp;(Saisie_Questions!$N64/$I64)&amp;"&lt;/setvar&gt;"&amp;IF(AT64&lt;&gt;"","&lt;displayfeedback feedbacktype=""Response"" linkrefid=""response_0""/&gt;",IF($AS64&lt;&gt;"","&lt;displayfeedback feedbacktype=""Response"" linkrefid=""qti_feedback_trigger""/&gt;",""))&amp;"&lt;/respcondition&gt;",""))),"")</f>
      </c>
      <c r="AK64" s="46">
        <f>IF($B64,IF(M64="","",IF($C64="qcu",IF(OR(U64,AU64&lt;&gt;"",$AS64&lt;&gt;""),"      &lt;respcondition continue=""Yes""&gt;&lt;conditionvar&gt;&lt;varequal respident=""RESPONSE""&gt;1&lt;/varequal&gt;&lt;/conditionvar&gt;"&amp;"&lt;setvar action=""Add""&gt;"&amp;IF(U64,$H64,0)&amp;"&lt;/setvar&gt;"&amp;IF(AU64&lt;&gt;"","&lt;displayfeedback feedbacktype=""Response"" linkrefid=""response_1""/&gt;",IF($AS64&lt;&gt;"","&lt;displayfeedback feedbacktype=""Response"" linkrefid=""qti_feedback_trigger""/&gt;",""))&amp;"&lt;/respcondition&gt;",""),IF(OR(U64,AU64&lt;&gt;"",$AS64&lt;&gt;""),"      &lt;respcondition continue=""Yes""&gt;&lt;conditionvar&gt;"&amp;IF(U64,"&lt;varequal respident=""RESPONSE""&gt;1&lt;/varequal&gt;","&lt;not&gt;&lt;varequal respident=""RESPONSE""&gt;1&lt;/varequal&gt;&lt;/not&gt;")&amp;"&lt;/conditionvar&gt;&lt;setvar action=""Add""&gt;"&amp;(Saisie_Questions!$N64/$I64)&amp;"&lt;/setvar&gt;"&amp;IF(AU64&lt;&gt;"","&lt;displayfeedback feedbacktype=""Response"" linkrefid=""response_1""/&gt;",IF($AS64&lt;&gt;"","&lt;displayfeedback feedbacktype=""Response"" linkrefid=""qti_feedback_trigger""/&gt;",""))&amp;"&lt;/respcondition&gt;",""))),"")</f>
      </c>
      <c r="AL64" s="46">
        <f>IF($B64,IF(N64="","",IF($C64="qcu",IF(OR(V64,AV64&lt;&gt;"",$AS64&lt;&gt;""),"      &lt;respcondition continue=""Yes""&gt;&lt;conditionvar&gt;&lt;varequal respident=""RESPONSE""&gt;2&lt;/varequal&gt;&lt;/conditionvar&gt;"&amp;"&lt;setvar action=""Add""&gt;"&amp;IF(V64,$H64,0)&amp;"&lt;/setvar&gt;"&amp;IF(AV64&lt;&gt;"","&lt;displayfeedback feedbacktype=""Response"" linkrefid=""response_2""/&gt;",IF($AS64&lt;&gt;"","&lt;displayfeedback feedbacktype=""Response"" linkrefid=""qti_feedback_trigger""/&gt;",""))&amp;"&lt;/respcondition&gt;",""),IF(OR(V64,AV64&lt;&gt;"",$AS64&lt;&gt;""),"      &lt;respcondition continue=""Yes""&gt;&lt;conditionvar&gt;"&amp;IF(V64,"&lt;varequal respident=""RESPONSE""&gt;2&lt;/varequal&gt;","&lt;not&gt;&lt;varequal respident=""RESPONSE""&gt;2&lt;/varequal&gt;&lt;/not&gt;")&amp;"&lt;/conditionvar&gt;&lt;setvar action=""Add""&gt;"&amp;(Saisie_Questions!$N64/$I64)&amp;"&lt;/setvar&gt;"&amp;IF(AV64&lt;&gt;"","&lt;displayfeedback feedbacktype=""Response"" linkrefid=""response_2""/&gt;",IF($AS64&lt;&gt;"","&lt;displayfeedback feedbacktype=""Response"" linkrefid=""qti_feedback_trigger""/&gt;",""))&amp;"&lt;/respcondition&gt;",""))),"")</f>
      </c>
      <c r="AM64" s="46">
        <f>IF($B64,IF(O64="","",IF($C64="qcu",IF(OR(W64,AW64&lt;&gt;"",$AS64&lt;&gt;""),"      &lt;respcondition continue=""Yes""&gt;&lt;conditionvar&gt;&lt;varequal respident=""RESPONSE""&gt;3&lt;/varequal&gt;&lt;/conditionvar&gt;"&amp;"&lt;setvar action=""Add""&gt;"&amp;IF(W64,$H64,0)&amp;"&lt;/setvar&gt;"&amp;IF(AW64&lt;&gt;"","&lt;displayfeedback feedbacktype=""Response"" linkrefid=""response_3""/&gt;",IF($AS64&lt;&gt;"","&lt;displayfeedback feedbacktype=""Response"" linkrefid=""qti_feedback_trigger""/&gt;",""))&amp;"&lt;/respcondition&gt;",""),IF(OR(W64,AW64&lt;&gt;"",$AS64&lt;&gt;""),"      &lt;respcondition continue=""Yes""&gt;&lt;conditionvar&gt;"&amp;IF(W64,"&lt;varequal respident=""RESPONSE""&gt;3&lt;/varequal&gt;","&lt;not&gt;&lt;varequal respident=""RESPONSE""&gt;3&lt;/varequal&gt;&lt;/not&gt;")&amp;"&lt;/conditionvar&gt;&lt;setvar action=""Add""&gt;"&amp;(Saisie_Questions!$N64/$I64)&amp;"&lt;/setvar&gt;"&amp;IF(AW64&lt;&gt;"","&lt;displayfeedback feedbacktype=""Response"" linkrefid=""response_3""/&gt;",IF($AS64&lt;&gt;"","&lt;displayfeedback feedbacktype=""Response"" linkrefid=""qti_feedback_trigger""/&gt;",""))&amp;"&lt;/respcondition&gt;",""))),"")</f>
      </c>
      <c r="AN64" s="46">
        <f>IF($B64,IF(P64="","",IF($C64="qcu",IF(OR(X64,AX64&lt;&gt;"",$AS64&lt;&gt;""),"      &lt;respcondition continue=""Yes""&gt;&lt;conditionvar&gt;&lt;varequal respident=""RESPONSE""&gt;4&lt;/varequal&gt;&lt;/conditionvar&gt;"&amp;"&lt;setvar action=""Add""&gt;"&amp;IF(X64,$H64,0)&amp;"&lt;/setvar&gt;"&amp;IF(AX64&lt;&gt;"","&lt;displayfeedback feedbacktype=""Response"" linkrefid=""response_4""/&gt;",IF($AS64&lt;&gt;"","&lt;displayfeedback feedbacktype=""Response"" linkrefid=""qti_feedback_trigger""/&gt;",""))&amp;"&lt;/respcondition&gt;",""),IF(OR(X64,AX64&lt;&gt;"",$AS64&lt;&gt;""),"      &lt;respcondition continue=""Yes""&gt;&lt;conditionvar&gt;"&amp;IF(X64,"&lt;varequal respident=""RESPONSE""&gt;4&lt;/varequal&gt;","&lt;not&gt;&lt;varequal respident=""RESPONSE""&gt;4&lt;/varequal&gt;&lt;/not&gt;")&amp;"&lt;/conditionvar&gt;&lt;setvar action=""Add""&gt;"&amp;(Saisie_Questions!$N64/$I64)&amp;"&lt;/setvar&gt;"&amp;IF(AX64&lt;&gt;"","&lt;displayfeedback feedbacktype=""Response"" linkrefid=""response_4""/&gt;",IF($AS64&lt;&gt;"","&lt;displayfeedback feedbacktype=""Response"" linkrefid=""qti_feedback_trigger""/&gt;",""))&amp;"&lt;/respcondition&gt;",""))),"")</f>
      </c>
      <c r="AO64" s="46">
        <f>IF($B64,IF(Q64="","",IF($C64="qcu",IF(OR(Y64,AY64&lt;&gt;"",$AS64&lt;&gt;""),"      &lt;respcondition continue=""Yes""&gt;&lt;conditionvar&gt;&lt;varequal respident=""RESPONSE""&gt;5&lt;/varequal&gt;&lt;/conditionvar&gt;"&amp;"&lt;setvar action=""Add""&gt;"&amp;IF(Y64,$H64,0)&amp;"&lt;/setvar&gt;"&amp;IF(AY64&lt;&gt;"","&lt;displayfeedback feedbacktype=""Response"" linkrefid=""response_5""/&gt;",IF($AS64&lt;&gt;"","&lt;displayfeedback feedbacktype=""Response"" linkrefid=""qti_feedback_trigger""/&gt;",""))&amp;"&lt;/respcondition&gt;",""),IF(OR(Y64,AY64&lt;&gt;"",$AS64&lt;&gt;""),"      &lt;respcondition continue=""Yes""&gt;&lt;conditionvar&gt;"&amp;IF(Y64,"&lt;varequal respident=""RESPONSE""&gt;5&lt;/varequal&gt;","&lt;not&gt;&lt;varequal respident=""RESPONSE""&gt;5&lt;/varequal&gt;&lt;/not&gt;")&amp;"&lt;/conditionvar&gt;&lt;setvar action=""Add""&gt;"&amp;(Saisie_Questions!$N64/$I64)&amp;"&lt;/setvar&gt;"&amp;IF(AY64&lt;&gt;"","&lt;displayfeedback feedbacktype=""Response"" linkrefid=""response_5""/&gt;",IF($AS64&lt;&gt;"","&lt;displayfeedback feedbacktype=""Response"" linkrefid=""qti_feedback_trigger""/&gt;",""))&amp;"&lt;/respcondition&gt;",""))),"")</f>
      </c>
      <c r="AP64" s="46">
        <f>IF($B64,IF(R64="","",IF($C64="qcu",IF(OR(Z64,AZ64&lt;&gt;"",$AS64&lt;&gt;""),"      &lt;respcondition continue=""Yes""&gt;&lt;conditionvar&gt;&lt;varequal respident=""RESPONSE""&gt;6&lt;/varequal&gt;&lt;/conditionvar&gt;"&amp;"&lt;setvar action=""Add""&gt;"&amp;IF(Z64,$H64,0)&amp;"&lt;/setvar&gt;"&amp;IF(AZ64&lt;&gt;"","&lt;displayfeedback feedbacktype=""Response"" linkrefid=""response_6""/&gt;",IF($AS64&lt;&gt;"","&lt;displayfeedback feedbacktype=""Response"" linkrefid=""qti_feedback_trigger""/&gt;",""))&amp;"&lt;/respcondition&gt;",""),IF(OR(Z64,AZ64&lt;&gt;"",$AS64&lt;&gt;""),"      &lt;respcondition continue=""Yes""&gt;&lt;conditionvar&gt;"&amp;IF(Z64,"&lt;varequal respident=""RESPONSE""&gt;6&lt;/varequal&gt;","&lt;not&gt;&lt;varequal respident=""RESPONSE""&gt;6&lt;/varequal&gt;&lt;/not&gt;")&amp;"&lt;/conditionvar&gt;&lt;setvar action=""Add""&gt;"&amp;(Saisie_Questions!$N64/$I64)&amp;"&lt;/setvar&gt;"&amp;IF(AZ64&lt;&gt;"","&lt;displayfeedback feedbacktype=""Response"" linkrefid=""response_6""/&gt;",IF($AS64&lt;&gt;"","&lt;displayfeedback feedbacktype=""Response"" linkrefid=""qti_feedback_trigger""/&gt;",""))&amp;"&lt;/respcondition&gt;",""))),"")</f>
      </c>
      <c r="AQ64" s="46">
        <f>IF($B64,IF(S64="","",IF($C64="qcu",IF(OR(AA64,BA64&lt;&gt;"",$AS64&lt;&gt;""),"      &lt;respcondition continue=""Yes""&gt;&lt;conditionvar&gt;&lt;varequal respident=""RESPONSE""&gt;7&lt;/varequal&gt;&lt;/conditionvar&gt;"&amp;"&lt;setvar action=""Add""&gt;"&amp;IF(AA64,$H64,0)&amp;"&lt;/setvar&gt;"&amp;IF(BA64&lt;&gt;"","&lt;displayfeedback feedbacktype=""Response"" linkrefid=""response_7""/&gt;",IF($AS64&lt;&gt;"","&lt;displayfeedback feedbacktype=""Response"" linkrefid=""qti_feedback_trigger""/&gt;",""))&amp;"&lt;/respcondition&gt;",""),IF(OR(AA64,BA64&lt;&gt;"",$AS64&lt;&gt;""),"      &lt;respcondition continue=""Yes""&gt;&lt;conditionvar&gt;"&amp;IF(AA64,"&lt;varequal respident=""RESPONSE""&gt;7&lt;/varequal&gt;","&lt;not&gt;&lt;varequal respident=""RESPONSE""&gt;7&lt;/varequal&gt;&lt;/not&gt;")&amp;"&lt;/conditionvar&gt;&lt;setvar action=""Add""&gt;"&amp;(Saisie_Questions!$N64/$I64)&amp;"&lt;/setvar&gt;"&amp;IF(BA64&lt;&gt;"","&lt;displayfeedback feedbacktype=""Response"" linkrefid=""response_7""/&gt;",IF($AS64&lt;&gt;"","&lt;displayfeedback feedbacktype=""Response"" linkrefid=""qti_feedback_trigger""/&gt;",""))&amp;"&lt;/respcondition&gt;",""))),"")</f>
      </c>
      <c r="AR64" s="46">
        <f>IF(A64="","",SUBSTITUTE(SUBSTITUTE(SUBSTITUTE(SUBSTITUTE(SUBSTITUTE(IF(Saisie_Questions!P64&lt;&gt;"",Saisie_Questions!P64,Interface_Generation!$B$5),"&amp;","&amp;amp;"),"&lt;","&amp;lt;"),"&gt;","&amp;gt;"),CHAR(34),"&amp;quot;"),"'","&amp;apos;"))</f>
        <v/>
      </c>
      <c r="AS64" s="46">
        <f>IF(Saisie_Questions!Q64="","",SUBSTITUTE(SUBSTITUTE(SUBSTITUTE(SUBSTITUTE(SUBSTITUTE(Saisie_Questions!Q64,"&amp;","&amp;amp;"),"&lt;","&amp;lt;"),"&gt;","&amp;gt;"),CHAR(34),"&amp;quot;"),"'","&amp;apos;"))</f>
        <v/>
      </c>
      <c r="AT64" s="46">
        <f>IF(Saisie_Questions!R64="","",SUBSTITUTE(SUBSTITUTE(SUBSTITUTE(SUBSTITUTE(SUBSTITUTE(Saisie_Questions!R64,"&amp;","&amp;amp;"),"&lt;","&amp;lt;"),"&gt;","&amp;gt;"),CHAR(34),"&amp;quot;"),"'","&amp;apos;"))</f>
        <v/>
      </c>
      <c r="AU64" s="46">
        <f>IF(Saisie_Questions!S64="","",SUBSTITUTE(SUBSTITUTE(SUBSTITUTE(SUBSTITUTE(SUBSTITUTE(Saisie_Questions!S64,"&amp;","&amp;amp;"),"&lt;","&amp;lt;"),"&gt;","&amp;gt;"),CHAR(34),"&amp;quot;"),"'","&amp;apos;"))</f>
        <v/>
      </c>
      <c r="AV64" s="46">
        <f>IF(Saisie_Questions!T64="","",SUBSTITUTE(SUBSTITUTE(SUBSTITUTE(SUBSTITUTE(SUBSTITUTE(Saisie_Questions!T64,"&amp;","&amp;amp;"),"&lt;","&amp;lt;"),"&gt;","&amp;gt;"),CHAR(34),"&amp;quot;"),"'","&amp;apos;"))</f>
        <v/>
      </c>
      <c r="AW64" s="46">
        <f>IF(Saisie_Questions!U64="","",SUBSTITUTE(SUBSTITUTE(SUBSTITUTE(SUBSTITUTE(SUBSTITUTE(Saisie_Questions!U64,"&amp;","&amp;amp;"),"&lt;","&amp;lt;"),"&gt;","&amp;gt;"),CHAR(34),"&amp;quot;"),"'","&amp;apos;"))</f>
        <v/>
      </c>
      <c r="AX64" s="46">
        <f>IF(Saisie_Questions!V64="","",SUBSTITUTE(SUBSTITUTE(SUBSTITUTE(SUBSTITUTE(SUBSTITUTE(Saisie_Questions!V64,"&amp;","&amp;amp;"),"&lt;","&amp;lt;"),"&gt;","&amp;gt;"),CHAR(34),"&amp;quot;"),"'","&amp;apos;"))</f>
        <v/>
      </c>
      <c r="AY64" s="46">
        <f>IF(Saisie_Questions!W64="","",SUBSTITUTE(SUBSTITUTE(SUBSTITUTE(SUBSTITUTE(SUBSTITUTE(Saisie_Questions!W64,"&amp;","&amp;amp;"),"&lt;","&amp;lt;"),"&gt;","&amp;gt;"),CHAR(34),"&amp;quot;"),"'","&amp;apos;"))</f>
        <v/>
      </c>
      <c r="AZ64" s="46">
        <f>IF(Saisie_Questions!X64="","",SUBSTITUTE(SUBSTITUTE(SUBSTITUTE(SUBSTITUTE(SUBSTITUTE(Saisie_Questions!X64,"&amp;","&amp;amp;"),"&lt;","&amp;lt;"),"&gt;","&amp;gt;"),CHAR(34),"&amp;quot;"),"'","&amp;apos;"))</f>
        <v/>
      </c>
      <c r="BA64" s="46">
        <f>IF(Saisie_Questions!Y64="","",SUBSTITUTE(SUBSTITUTE(SUBSTITUTE(SUBSTITUTE(SUBSTITUTE(Saisie_Questions!Y64,"&amp;","&amp;amp;"),"&lt;","&amp;lt;"),"&gt;","&amp;gt;"),CHAR(34),"&amp;quot;"),"'","&amp;apos;"))</f>
        <v/>
      </c>
      <c r="BB64" s="46">
        <f>IF($B64,IF($AS64="","","    &lt;itemfeedback ident=""response_allcorrect"" view=""All""&gt;&lt;flow_mat&gt;&lt;material&gt;&lt;mattext texttype=""text/html""&gt;"&amp;$AS64&amp;"&lt;/mattext&gt;&lt;/material&gt;&lt;/flow_mat&gt;&lt;/itemfeedback&gt;"&amp;"    &lt;itemfeedback ident=""response_onenotcorrect"" view=""All""&gt;&lt;flow_mat&gt;&lt;material&gt;&lt;mattext texttype=""text/html""&gt;"&amp;$AS64&amp;"&lt;/mattext&gt;&lt;/material&gt;&lt;/flow_mat&gt;&lt;/itemfeedback&gt;"),"")</f>
      </c>
      <c r="BC64" s="46">
        <f>IF($B64,IF(AT64="","","    &lt;itemfeedback ident=""response_0"" view=""All""&gt;&lt;flow_mat&gt;&lt;material&gt;&lt;mattext texttype=""text/html""&gt;"&amp;AT64&amp;"&lt;/mattext&gt;&lt;/material&gt;&lt;/flow_mat&gt;&lt;/itemfeedback&gt;"),"")</f>
      </c>
      <c r="BD64" s="46">
        <f>IF($B64,IF(AU64="","","    &lt;itemfeedback ident=""response_1"" view=""All""&gt;&lt;flow_mat&gt;&lt;material&gt;&lt;mattext texttype=""text/html""&gt;"&amp;AU64&amp;"&lt;/mattext&gt;&lt;/material&gt;&lt;/flow_mat&gt;&lt;/itemfeedback&gt;"),"")</f>
      </c>
      <c r="BE64" s="46">
        <f>IF($B64,IF(AV64="","","    &lt;itemfeedback ident=""response_2"" view=""All""&gt;&lt;flow_mat&gt;&lt;material&gt;&lt;mattext texttype=""text/html""&gt;"&amp;AV64&amp;"&lt;/mattext&gt;&lt;/material&gt;&lt;/flow_mat&gt;&lt;/itemfeedback&gt;"),"")</f>
      </c>
      <c r="BF64" s="46">
        <f>IF($B64,IF(AW64="","","    &lt;itemfeedback ident=""response_3"" view=""All""&gt;&lt;flow_mat&gt;&lt;material&gt;&lt;mattext texttype=""text/html""&gt;"&amp;AW64&amp;"&lt;/mattext&gt;&lt;/material&gt;&lt;/flow_mat&gt;&lt;/itemfeedback&gt;"),"")</f>
      </c>
      <c r="BG64" s="46">
        <f>IF($B64,IF(AX64="","","    &lt;itemfeedback ident=""response_4"" view=""All""&gt;&lt;flow_mat&gt;&lt;material&gt;&lt;mattext texttype=""text/html""&gt;"&amp;AX64&amp;"&lt;/mattext&gt;&lt;/material&gt;&lt;/flow_mat&gt;&lt;/itemfeedback&gt;"),"")</f>
      </c>
      <c r="BH64" s="46">
        <f>IF($B64,IF(AY64="","","    &lt;itemfeedback ident=""response_5"" view=""All""&gt;&lt;flow_mat&gt;&lt;material&gt;&lt;mattext texttype=""text/html""&gt;"&amp;AY64&amp;"&lt;/mattext&gt;&lt;/material&gt;&lt;/flow_mat&gt;&lt;/itemfeedback&gt;"),"")</f>
      </c>
      <c r="BI64" s="46">
        <f>IF($B64,IF(AZ64="","","    &lt;itemfeedback ident=""response_6"" view=""All""&gt;&lt;flow_mat&gt;&lt;material&gt;&lt;mattext texttype=""text/html""&gt;"&amp;AZ64&amp;"&lt;/mattext&gt;&lt;/material&gt;&lt;/flow_mat&gt;&lt;/itemfeedback&gt;"),"")</f>
      </c>
      <c r="BJ64" s="46">
        <f>IF($B64,IF(BA64="","","    &lt;itemfeedback ident=""response_7"" view=""All""&gt;&lt;flow_mat&gt;&lt;material&gt;&lt;mattext texttype=""text/html""&gt;"&amp;BA64&amp;"&lt;/mattext&gt;&lt;/material&gt;&lt;/flow_mat&gt;&lt;/itemfeedback&gt;"),"")</f>
      </c>
    </row>
    <row r="65" ht="18" customHeight="1" s="17">
      <c r="A65" s="46">
        <f>Saisie_Questions!A65</f>
        <v/>
      </c>
      <c r="B65" s="46">
        <f>Saisie_Questions!O65="OK"</f>
        <v/>
      </c>
      <c r="C65" s="46">
        <f>LOWER(TRIM(Saisie_Questions!B65))</f>
        <v/>
      </c>
      <c r="D65" s="46">
        <f>IF(C65="qcu","SINGLE CHOICE QUESTION","MULTIPLE CHOICE QUESTION")</f>
        <v/>
      </c>
      <c r="E65" s="46">
        <f>IF(C65="qcu","Single","Multiple")</f>
        <v/>
      </c>
      <c r="F65" s="46">
        <f>IF(A65="","",SUBSTITUTE(SUBSTITUTE(SUBSTITUTE(SUBSTITUTE(SUBSTITUTE(IF(Saisie_Questions!C65="", "Question "&amp;A65, Saisie_Questions!C65),"&amp;","&amp;amp;"),"&lt;","&amp;lt;"),"&gt;","&amp;gt;"),CHAR(34),"&amp;quot;"),"'","&amp;apos;"))</f>
        <v/>
      </c>
      <c r="G65" s="46">
        <f>IF(A65="","",SUBSTITUTE(SUBSTITUTE(SUBSTITUTE(SUBSTITUTE(SUBSTITUTE(Saisie_Questions!D65,"&amp;","&amp;amp;"),"&lt;","&amp;lt;"),"&gt;","&amp;gt;"),CHAR(34),"&amp;quot;"),"'","&amp;apos;"))</f>
        <v/>
      </c>
      <c r="H65" s="46">
        <f>Saisie_Questions!N65</f>
        <v/>
      </c>
      <c r="I65" s="46">
        <f>IF(Saisie_Questions!E65="",0,1)+IF(Saisie_Questions!F65="",0,1)+IF(Saisie_Questions!G65="",0,1)+IF(Saisie_Questions!H65="",0,1)+IF(Saisie_Questions!I65="",0,1)+IF(Saisie_Questions!J65="",0,1)+IF(Saisie_Questions!K65="",0,1)+IF(Saisie_Questions!L65="",0,1)</f>
        <v/>
      </c>
      <c r="J65" s="46">
        <f>Saisie_Questions!M65</f>
        <v/>
      </c>
      <c r="K65" s="46">
        <f>Saisie_Questions!O65</f>
        <v/>
      </c>
      <c r="L65" s="46">
        <f>IF(Saisie_Questions!E65="","",SUBSTITUTE(SUBSTITUTE(SUBSTITUTE(SUBSTITUTE(SUBSTITUTE(Saisie_Questions!E65,"&amp;","&amp;amp;"),"&lt;","&amp;lt;"),"&gt;","&amp;gt;"),CHAR(34),"&amp;quot;"),"'","&amp;apos;"))</f>
        <v/>
      </c>
      <c r="M65" s="46">
        <f>IF(Saisie_Questions!F65="","",SUBSTITUTE(SUBSTITUTE(SUBSTITUTE(SUBSTITUTE(SUBSTITUTE(Saisie_Questions!F65,"&amp;","&amp;amp;"),"&lt;","&amp;lt;"),"&gt;","&amp;gt;"),CHAR(34),"&amp;quot;"),"'","&amp;apos;"))</f>
        <v/>
      </c>
      <c r="N65" s="46">
        <f>IF(Saisie_Questions!G65="","",SUBSTITUTE(SUBSTITUTE(SUBSTITUTE(SUBSTITUTE(SUBSTITUTE(Saisie_Questions!G65,"&amp;","&amp;amp;"),"&lt;","&amp;lt;"),"&gt;","&amp;gt;"),CHAR(34),"&amp;quot;"),"'","&amp;apos;"))</f>
        <v/>
      </c>
      <c r="O65" s="46">
        <f>IF(Saisie_Questions!H65="","",SUBSTITUTE(SUBSTITUTE(SUBSTITUTE(SUBSTITUTE(SUBSTITUTE(Saisie_Questions!H65,"&amp;","&amp;amp;"),"&lt;","&amp;lt;"),"&gt;","&amp;gt;"),CHAR(34),"&amp;quot;"),"'","&amp;apos;"))</f>
        <v/>
      </c>
      <c r="P65" s="46">
        <f>IF(Saisie_Questions!I65="","",SUBSTITUTE(SUBSTITUTE(SUBSTITUTE(SUBSTITUTE(SUBSTITUTE(Saisie_Questions!I65,"&amp;","&amp;amp;"),"&lt;","&amp;lt;"),"&gt;","&amp;gt;"),CHAR(34),"&amp;quot;"),"'","&amp;apos;"))</f>
        <v/>
      </c>
      <c r="Q65" s="46">
        <f>IF(Saisie_Questions!J65="","",SUBSTITUTE(SUBSTITUTE(SUBSTITUTE(SUBSTITUTE(SUBSTITUTE(Saisie_Questions!J65,"&amp;","&amp;amp;"),"&lt;","&amp;lt;"),"&gt;","&amp;gt;"),CHAR(34),"&amp;quot;"),"'","&amp;apos;"))</f>
        <v/>
      </c>
      <c r="R65" s="46">
        <f>IF(Saisie_Questions!K65="","",SUBSTITUTE(SUBSTITUTE(SUBSTITUTE(SUBSTITUTE(SUBSTITUTE(Saisie_Questions!K65,"&amp;","&amp;amp;"),"&lt;","&amp;lt;"),"&gt;","&amp;gt;"),CHAR(34),"&amp;quot;"),"'","&amp;apos;"))</f>
        <v/>
      </c>
      <c r="S65" s="46">
        <f>IF(Saisie_Questions!L65="","",SUBSTITUTE(SUBSTITUTE(SUBSTITUTE(SUBSTITUTE(SUBSTITUTE(Saisie_Questions!L65,"&amp;","&amp;amp;"),"&lt;","&amp;lt;"),"&gt;","&amp;gt;"),CHAR(34),"&amp;quot;"),"'","&amp;apos;"))</f>
        <v/>
      </c>
      <c r="T65" s="46">
        <f>ISNUMBER(SEARCH(";"&amp;1&amp;";",";"&amp;$J65&amp;";"))</f>
        <v/>
      </c>
      <c r="U65" s="46">
        <f>ISNUMBER(SEARCH(";"&amp;2&amp;";",";"&amp;$J65&amp;";"))</f>
        <v/>
      </c>
      <c r="V65" s="46">
        <f>ISNUMBER(SEARCH(";"&amp;3&amp;";",";"&amp;$J65&amp;";"))</f>
        <v/>
      </c>
      <c r="W65" s="46">
        <f>ISNUMBER(SEARCH(";"&amp;4&amp;";",";"&amp;$J65&amp;";"))</f>
        <v/>
      </c>
      <c r="X65" s="46">
        <f>ISNUMBER(SEARCH(";"&amp;5&amp;";",";"&amp;$J65&amp;";"))</f>
        <v/>
      </c>
      <c r="Y65" s="46">
        <f>ISNUMBER(SEARCH(";"&amp;6&amp;";",";"&amp;$J65&amp;";"))</f>
        <v/>
      </c>
      <c r="Z65" s="46">
        <f>ISNUMBER(SEARCH(";"&amp;7&amp;";",";"&amp;$J65&amp;";"))</f>
        <v/>
      </c>
      <c r="AA65" s="46">
        <f>ISNUMBER(SEARCH(";"&amp;8&amp;";",";"&amp;$J65&amp;";"))</f>
        <v/>
      </c>
      <c r="AB65" s="46">
        <f>IF($B65,IF(L65="","","        &lt;response_label ident=""0""&gt;&lt;material&gt;&lt;mattext texttype=""text/html""&gt;"&amp;L65&amp;"&lt;/mattext&gt;&lt;/material&gt;&lt;/response_label&gt;"),"")</f>
        <v/>
      </c>
      <c r="AC65" s="46">
        <f>IF($B65,IF(M65="","","        &lt;response_label ident=""1""&gt;&lt;material&gt;&lt;mattext texttype=""text/html""&gt;"&amp;M65&amp;"&lt;/mattext&gt;&lt;/material&gt;&lt;/response_label&gt;"),"")</f>
        <v/>
      </c>
      <c r="AD65" s="46">
        <f>IF($B65,IF(N65="","","        &lt;response_label ident=""2""&gt;&lt;material&gt;&lt;mattext texttype=""text/html""&gt;"&amp;N65&amp;"&lt;/mattext&gt;&lt;/material&gt;&lt;/response_label&gt;"),"")</f>
        <v/>
      </c>
      <c r="AE65" s="46">
        <f>IF($B65,IF(O65="","","        &lt;response_label ident=""3""&gt;&lt;material&gt;&lt;mattext texttype=""text/html""&gt;"&amp;O65&amp;"&lt;/mattext&gt;&lt;/material&gt;&lt;/response_label&gt;"),"")</f>
        <v/>
      </c>
      <c r="AF65" s="46">
        <f>IF($B65,IF(P65="","","        &lt;response_label ident=""4""&gt;&lt;material&gt;&lt;mattext texttype=""text/html""&gt;"&amp;P65&amp;"&lt;/mattext&gt;&lt;/material&gt;&lt;/response_label&gt;"),"")</f>
        <v/>
      </c>
      <c r="AG65" s="46">
        <f>IF($B65,IF(Q65="","","        &lt;response_label ident=""5""&gt;&lt;material&gt;&lt;mattext texttype=""text/html""&gt;"&amp;Q65&amp;"&lt;/mattext&gt;&lt;/material&gt;&lt;/response_label&gt;"),"")</f>
        <v/>
      </c>
      <c r="AH65" s="46">
        <f>IF($B65,IF(R65="","","        &lt;response_label ident=""6""&gt;&lt;material&gt;&lt;mattext texttype=""text/html""&gt;"&amp;R65&amp;"&lt;/mattext&gt;&lt;/material&gt;&lt;/response_label&gt;"),"")</f>
        <v/>
      </c>
      <c r="AI65" s="46">
        <f>IF($B65,IF(S65="","","        &lt;response_label ident=""7""&gt;&lt;material&gt;&lt;mattext texttype=""text/html""&gt;"&amp;S65&amp;"&lt;/mattext&gt;&lt;/material&gt;&lt;/response_label&gt;"),"")</f>
        <v/>
      </c>
      <c r="AJ65" s="46">
        <f>IF($B65,IF(L65="","",IF($C65="qcu",IF(OR(T65,AT65&lt;&gt;"",$AS65&lt;&gt;""),"      &lt;respcondition continue=""Yes""&gt;&lt;conditionvar&gt;&lt;varequal respident=""RESPONSE""&gt;0&lt;/varequal&gt;&lt;/conditionvar&gt;"&amp;"&lt;setvar action=""Add""&gt;"&amp;IF(T65,$H65,0)&amp;"&lt;/setvar&gt;"&amp;IF(AT65&lt;&gt;"","&lt;displayfeedback feedbacktype=""Response"" linkrefid=""response_0""/&gt;",IF($AS65&lt;&gt;"","&lt;displayfeedback feedbacktype=""Response"" linkrefid=""qti_feedback_trigger""/&gt;",""))&amp;"&lt;/respcondition&gt;",""),IF(OR(T65,AT65&lt;&gt;"",$AS65&lt;&gt;""),"      &lt;respcondition continue=""Yes""&gt;&lt;conditionvar&gt;"&amp;IF(T65,"&lt;varequal respident=""RESPONSE""&gt;0&lt;/varequal&gt;","&lt;not&gt;&lt;varequal respident=""RESPONSE""&gt;0&lt;/varequal&gt;&lt;/not&gt;")&amp;"&lt;/conditionvar&gt;&lt;setvar action=""Add""&gt;"&amp;(Saisie_Questions!$N65/$I65)&amp;"&lt;/setvar&gt;"&amp;IF(AT65&lt;&gt;"","&lt;displayfeedback feedbacktype=""Response"" linkrefid=""response_0""/&gt;",IF($AS65&lt;&gt;"","&lt;displayfeedback feedbacktype=""Response"" linkrefid=""qti_feedback_trigger""/&gt;",""))&amp;"&lt;/respcondition&gt;",""))),"")</f>
      </c>
      <c r="AK65" s="46">
        <f>IF($B65,IF(M65="","",IF($C65="qcu",IF(OR(U65,AU65&lt;&gt;"",$AS65&lt;&gt;""),"      &lt;respcondition continue=""Yes""&gt;&lt;conditionvar&gt;&lt;varequal respident=""RESPONSE""&gt;1&lt;/varequal&gt;&lt;/conditionvar&gt;"&amp;"&lt;setvar action=""Add""&gt;"&amp;IF(U65,$H65,0)&amp;"&lt;/setvar&gt;"&amp;IF(AU65&lt;&gt;"","&lt;displayfeedback feedbacktype=""Response"" linkrefid=""response_1""/&gt;",IF($AS65&lt;&gt;"","&lt;displayfeedback feedbacktype=""Response"" linkrefid=""qti_feedback_trigger""/&gt;",""))&amp;"&lt;/respcondition&gt;",""),IF(OR(U65,AU65&lt;&gt;"",$AS65&lt;&gt;""),"      &lt;respcondition continue=""Yes""&gt;&lt;conditionvar&gt;"&amp;IF(U65,"&lt;varequal respident=""RESPONSE""&gt;1&lt;/varequal&gt;","&lt;not&gt;&lt;varequal respident=""RESPONSE""&gt;1&lt;/varequal&gt;&lt;/not&gt;")&amp;"&lt;/conditionvar&gt;&lt;setvar action=""Add""&gt;"&amp;(Saisie_Questions!$N65/$I65)&amp;"&lt;/setvar&gt;"&amp;IF(AU65&lt;&gt;"","&lt;displayfeedback feedbacktype=""Response"" linkrefid=""response_1""/&gt;",IF($AS65&lt;&gt;"","&lt;displayfeedback feedbacktype=""Response"" linkrefid=""qti_feedback_trigger""/&gt;",""))&amp;"&lt;/respcondition&gt;",""))),"")</f>
      </c>
      <c r="AL65" s="46">
        <f>IF($B65,IF(N65="","",IF($C65="qcu",IF(OR(V65,AV65&lt;&gt;"",$AS65&lt;&gt;""),"      &lt;respcondition continue=""Yes""&gt;&lt;conditionvar&gt;&lt;varequal respident=""RESPONSE""&gt;2&lt;/varequal&gt;&lt;/conditionvar&gt;"&amp;"&lt;setvar action=""Add""&gt;"&amp;IF(V65,$H65,0)&amp;"&lt;/setvar&gt;"&amp;IF(AV65&lt;&gt;"","&lt;displayfeedback feedbacktype=""Response"" linkrefid=""response_2""/&gt;",IF($AS65&lt;&gt;"","&lt;displayfeedback feedbacktype=""Response"" linkrefid=""qti_feedback_trigger""/&gt;",""))&amp;"&lt;/respcondition&gt;",""),IF(OR(V65,AV65&lt;&gt;"",$AS65&lt;&gt;""),"      &lt;respcondition continue=""Yes""&gt;&lt;conditionvar&gt;"&amp;IF(V65,"&lt;varequal respident=""RESPONSE""&gt;2&lt;/varequal&gt;","&lt;not&gt;&lt;varequal respident=""RESPONSE""&gt;2&lt;/varequal&gt;&lt;/not&gt;")&amp;"&lt;/conditionvar&gt;&lt;setvar action=""Add""&gt;"&amp;(Saisie_Questions!$N65/$I65)&amp;"&lt;/setvar&gt;"&amp;IF(AV65&lt;&gt;"","&lt;displayfeedback feedbacktype=""Response"" linkrefid=""response_2""/&gt;",IF($AS65&lt;&gt;"","&lt;displayfeedback feedbacktype=""Response"" linkrefid=""qti_feedback_trigger""/&gt;",""))&amp;"&lt;/respcondition&gt;",""))),"")</f>
      </c>
      <c r="AM65" s="46">
        <f>IF($B65,IF(O65="","",IF($C65="qcu",IF(OR(W65,AW65&lt;&gt;"",$AS65&lt;&gt;""),"      &lt;respcondition continue=""Yes""&gt;&lt;conditionvar&gt;&lt;varequal respident=""RESPONSE""&gt;3&lt;/varequal&gt;&lt;/conditionvar&gt;"&amp;"&lt;setvar action=""Add""&gt;"&amp;IF(W65,$H65,0)&amp;"&lt;/setvar&gt;"&amp;IF(AW65&lt;&gt;"","&lt;displayfeedback feedbacktype=""Response"" linkrefid=""response_3""/&gt;",IF($AS65&lt;&gt;"","&lt;displayfeedback feedbacktype=""Response"" linkrefid=""qti_feedback_trigger""/&gt;",""))&amp;"&lt;/respcondition&gt;",""),IF(OR(W65,AW65&lt;&gt;"",$AS65&lt;&gt;""),"      &lt;respcondition continue=""Yes""&gt;&lt;conditionvar&gt;"&amp;IF(W65,"&lt;varequal respident=""RESPONSE""&gt;3&lt;/varequal&gt;","&lt;not&gt;&lt;varequal respident=""RESPONSE""&gt;3&lt;/varequal&gt;&lt;/not&gt;")&amp;"&lt;/conditionvar&gt;&lt;setvar action=""Add""&gt;"&amp;(Saisie_Questions!$N65/$I65)&amp;"&lt;/setvar&gt;"&amp;IF(AW65&lt;&gt;"","&lt;displayfeedback feedbacktype=""Response"" linkrefid=""response_3""/&gt;",IF($AS65&lt;&gt;"","&lt;displayfeedback feedbacktype=""Response"" linkrefid=""qti_feedback_trigger""/&gt;",""))&amp;"&lt;/respcondition&gt;",""))),"")</f>
      </c>
      <c r="AN65" s="46">
        <f>IF($B65,IF(P65="","",IF($C65="qcu",IF(OR(X65,AX65&lt;&gt;"",$AS65&lt;&gt;""),"      &lt;respcondition continue=""Yes""&gt;&lt;conditionvar&gt;&lt;varequal respident=""RESPONSE""&gt;4&lt;/varequal&gt;&lt;/conditionvar&gt;"&amp;"&lt;setvar action=""Add""&gt;"&amp;IF(X65,$H65,0)&amp;"&lt;/setvar&gt;"&amp;IF(AX65&lt;&gt;"","&lt;displayfeedback feedbacktype=""Response"" linkrefid=""response_4""/&gt;",IF($AS65&lt;&gt;"","&lt;displayfeedback feedbacktype=""Response"" linkrefid=""qti_feedback_trigger""/&gt;",""))&amp;"&lt;/respcondition&gt;",""),IF(OR(X65,AX65&lt;&gt;"",$AS65&lt;&gt;""),"      &lt;respcondition continue=""Yes""&gt;&lt;conditionvar&gt;"&amp;IF(X65,"&lt;varequal respident=""RESPONSE""&gt;4&lt;/varequal&gt;","&lt;not&gt;&lt;varequal respident=""RESPONSE""&gt;4&lt;/varequal&gt;&lt;/not&gt;")&amp;"&lt;/conditionvar&gt;&lt;setvar action=""Add""&gt;"&amp;(Saisie_Questions!$N65/$I65)&amp;"&lt;/setvar&gt;"&amp;IF(AX65&lt;&gt;"","&lt;displayfeedback feedbacktype=""Response"" linkrefid=""response_4""/&gt;",IF($AS65&lt;&gt;"","&lt;displayfeedback feedbacktype=""Response"" linkrefid=""qti_feedback_trigger""/&gt;",""))&amp;"&lt;/respcondition&gt;",""))),"")</f>
      </c>
      <c r="AO65" s="46">
        <f>IF($B65,IF(Q65="","",IF($C65="qcu",IF(OR(Y65,AY65&lt;&gt;"",$AS65&lt;&gt;""),"      &lt;respcondition continue=""Yes""&gt;&lt;conditionvar&gt;&lt;varequal respident=""RESPONSE""&gt;5&lt;/varequal&gt;&lt;/conditionvar&gt;"&amp;"&lt;setvar action=""Add""&gt;"&amp;IF(Y65,$H65,0)&amp;"&lt;/setvar&gt;"&amp;IF(AY65&lt;&gt;"","&lt;displayfeedback feedbacktype=""Response"" linkrefid=""response_5""/&gt;",IF($AS65&lt;&gt;"","&lt;displayfeedback feedbacktype=""Response"" linkrefid=""qti_feedback_trigger""/&gt;",""))&amp;"&lt;/respcondition&gt;",""),IF(OR(Y65,AY65&lt;&gt;"",$AS65&lt;&gt;""),"      &lt;respcondition continue=""Yes""&gt;&lt;conditionvar&gt;"&amp;IF(Y65,"&lt;varequal respident=""RESPONSE""&gt;5&lt;/varequal&gt;","&lt;not&gt;&lt;varequal respident=""RESPONSE""&gt;5&lt;/varequal&gt;&lt;/not&gt;")&amp;"&lt;/conditionvar&gt;&lt;setvar action=""Add""&gt;"&amp;(Saisie_Questions!$N65/$I65)&amp;"&lt;/setvar&gt;"&amp;IF(AY65&lt;&gt;"","&lt;displayfeedback feedbacktype=""Response"" linkrefid=""response_5""/&gt;",IF($AS65&lt;&gt;"","&lt;displayfeedback feedbacktype=""Response"" linkrefid=""qti_feedback_trigger""/&gt;",""))&amp;"&lt;/respcondition&gt;",""))),"")</f>
      </c>
      <c r="AP65" s="46">
        <f>IF($B65,IF(R65="","",IF($C65="qcu",IF(OR(Z65,AZ65&lt;&gt;"",$AS65&lt;&gt;""),"      &lt;respcondition continue=""Yes""&gt;&lt;conditionvar&gt;&lt;varequal respident=""RESPONSE""&gt;6&lt;/varequal&gt;&lt;/conditionvar&gt;"&amp;"&lt;setvar action=""Add""&gt;"&amp;IF(Z65,$H65,0)&amp;"&lt;/setvar&gt;"&amp;IF(AZ65&lt;&gt;"","&lt;displayfeedback feedbacktype=""Response"" linkrefid=""response_6""/&gt;",IF($AS65&lt;&gt;"","&lt;displayfeedback feedbacktype=""Response"" linkrefid=""qti_feedback_trigger""/&gt;",""))&amp;"&lt;/respcondition&gt;",""),IF(OR(Z65,AZ65&lt;&gt;"",$AS65&lt;&gt;""),"      &lt;respcondition continue=""Yes""&gt;&lt;conditionvar&gt;"&amp;IF(Z65,"&lt;varequal respident=""RESPONSE""&gt;6&lt;/varequal&gt;","&lt;not&gt;&lt;varequal respident=""RESPONSE""&gt;6&lt;/varequal&gt;&lt;/not&gt;")&amp;"&lt;/conditionvar&gt;&lt;setvar action=""Add""&gt;"&amp;(Saisie_Questions!$N65/$I65)&amp;"&lt;/setvar&gt;"&amp;IF(AZ65&lt;&gt;"","&lt;displayfeedback feedbacktype=""Response"" linkrefid=""response_6""/&gt;",IF($AS65&lt;&gt;"","&lt;displayfeedback feedbacktype=""Response"" linkrefid=""qti_feedback_trigger""/&gt;",""))&amp;"&lt;/respcondition&gt;",""))),"")</f>
      </c>
      <c r="AQ65" s="46">
        <f>IF($B65,IF(S65="","",IF($C65="qcu",IF(OR(AA65,BA65&lt;&gt;"",$AS65&lt;&gt;""),"      &lt;respcondition continue=""Yes""&gt;&lt;conditionvar&gt;&lt;varequal respident=""RESPONSE""&gt;7&lt;/varequal&gt;&lt;/conditionvar&gt;"&amp;"&lt;setvar action=""Add""&gt;"&amp;IF(AA65,$H65,0)&amp;"&lt;/setvar&gt;"&amp;IF(BA65&lt;&gt;"","&lt;displayfeedback feedbacktype=""Response"" linkrefid=""response_7""/&gt;",IF($AS65&lt;&gt;"","&lt;displayfeedback feedbacktype=""Response"" linkrefid=""qti_feedback_trigger""/&gt;",""))&amp;"&lt;/respcondition&gt;",""),IF(OR(AA65,BA65&lt;&gt;"",$AS65&lt;&gt;""),"      &lt;respcondition continue=""Yes""&gt;&lt;conditionvar&gt;"&amp;IF(AA65,"&lt;varequal respident=""RESPONSE""&gt;7&lt;/varequal&gt;","&lt;not&gt;&lt;varequal respident=""RESPONSE""&gt;7&lt;/varequal&gt;&lt;/not&gt;")&amp;"&lt;/conditionvar&gt;&lt;setvar action=""Add""&gt;"&amp;(Saisie_Questions!$N65/$I65)&amp;"&lt;/setvar&gt;"&amp;IF(BA65&lt;&gt;"","&lt;displayfeedback feedbacktype=""Response"" linkrefid=""response_7""/&gt;",IF($AS65&lt;&gt;"","&lt;displayfeedback feedbacktype=""Response"" linkrefid=""qti_feedback_trigger""/&gt;",""))&amp;"&lt;/respcondition&gt;",""))),"")</f>
      </c>
      <c r="AR65" s="46">
        <f>IF(A65="","",SUBSTITUTE(SUBSTITUTE(SUBSTITUTE(SUBSTITUTE(SUBSTITUTE(IF(Saisie_Questions!P65&lt;&gt;"",Saisie_Questions!P65,Interface_Generation!$B$5),"&amp;","&amp;amp;"),"&lt;","&amp;lt;"),"&gt;","&amp;gt;"),CHAR(34),"&amp;quot;"),"'","&amp;apos;"))</f>
        <v/>
      </c>
      <c r="AS65" s="46">
        <f>IF(Saisie_Questions!Q65="","",SUBSTITUTE(SUBSTITUTE(SUBSTITUTE(SUBSTITUTE(SUBSTITUTE(Saisie_Questions!Q65,"&amp;","&amp;amp;"),"&lt;","&amp;lt;"),"&gt;","&amp;gt;"),CHAR(34),"&amp;quot;"),"'","&amp;apos;"))</f>
        <v/>
      </c>
      <c r="AT65" s="46">
        <f>IF(Saisie_Questions!R65="","",SUBSTITUTE(SUBSTITUTE(SUBSTITUTE(SUBSTITUTE(SUBSTITUTE(Saisie_Questions!R65,"&amp;","&amp;amp;"),"&lt;","&amp;lt;"),"&gt;","&amp;gt;"),CHAR(34),"&amp;quot;"),"'","&amp;apos;"))</f>
        <v/>
      </c>
      <c r="AU65" s="46">
        <f>IF(Saisie_Questions!S65="","",SUBSTITUTE(SUBSTITUTE(SUBSTITUTE(SUBSTITUTE(SUBSTITUTE(Saisie_Questions!S65,"&amp;","&amp;amp;"),"&lt;","&amp;lt;"),"&gt;","&amp;gt;"),CHAR(34),"&amp;quot;"),"'","&amp;apos;"))</f>
        <v/>
      </c>
      <c r="AV65" s="46">
        <f>IF(Saisie_Questions!T65="","",SUBSTITUTE(SUBSTITUTE(SUBSTITUTE(SUBSTITUTE(SUBSTITUTE(Saisie_Questions!T65,"&amp;","&amp;amp;"),"&lt;","&amp;lt;"),"&gt;","&amp;gt;"),CHAR(34),"&amp;quot;"),"'","&amp;apos;"))</f>
        <v/>
      </c>
      <c r="AW65" s="46">
        <f>IF(Saisie_Questions!U65="","",SUBSTITUTE(SUBSTITUTE(SUBSTITUTE(SUBSTITUTE(SUBSTITUTE(Saisie_Questions!U65,"&amp;","&amp;amp;"),"&lt;","&amp;lt;"),"&gt;","&amp;gt;"),CHAR(34),"&amp;quot;"),"'","&amp;apos;"))</f>
        <v/>
      </c>
      <c r="AX65" s="46">
        <f>IF(Saisie_Questions!V65="","",SUBSTITUTE(SUBSTITUTE(SUBSTITUTE(SUBSTITUTE(SUBSTITUTE(Saisie_Questions!V65,"&amp;","&amp;amp;"),"&lt;","&amp;lt;"),"&gt;","&amp;gt;"),CHAR(34),"&amp;quot;"),"'","&amp;apos;"))</f>
        <v/>
      </c>
      <c r="AY65" s="46">
        <f>IF(Saisie_Questions!W65="","",SUBSTITUTE(SUBSTITUTE(SUBSTITUTE(SUBSTITUTE(SUBSTITUTE(Saisie_Questions!W65,"&amp;","&amp;amp;"),"&lt;","&amp;lt;"),"&gt;","&amp;gt;"),CHAR(34),"&amp;quot;"),"'","&amp;apos;"))</f>
        <v/>
      </c>
      <c r="AZ65" s="46">
        <f>IF(Saisie_Questions!X65="","",SUBSTITUTE(SUBSTITUTE(SUBSTITUTE(SUBSTITUTE(SUBSTITUTE(Saisie_Questions!X65,"&amp;","&amp;amp;"),"&lt;","&amp;lt;"),"&gt;","&amp;gt;"),CHAR(34),"&amp;quot;"),"'","&amp;apos;"))</f>
        <v/>
      </c>
      <c r="BA65" s="46">
        <f>IF(Saisie_Questions!Y65="","",SUBSTITUTE(SUBSTITUTE(SUBSTITUTE(SUBSTITUTE(SUBSTITUTE(Saisie_Questions!Y65,"&amp;","&amp;amp;"),"&lt;","&amp;lt;"),"&gt;","&amp;gt;"),CHAR(34),"&amp;quot;"),"'","&amp;apos;"))</f>
        <v/>
      </c>
      <c r="BB65" s="46">
        <f>IF($B65,IF($AS65="","","    &lt;itemfeedback ident=""response_allcorrect"" view=""All""&gt;&lt;flow_mat&gt;&lt;material&gt;&lt;mattext texttype=""text/html""&gt;"&amp;$AS65&amp;"&lt;/mattext&gt;&lt;/material&gt;&lt;/flow_mat&gt;&lt;/itemfeedback&gt;"&amp;"    &lt;itemfeedback ident=""response_onenotcorrect"" view=""All""&gt;&lt;flow_mat&gt;&lt;material&gt;&lt;mattext texttype=""text/html""&gt;"&amp;$AS65&amp;"&lt;/mattext&gt;&lt;/material&gt;&lt;/flow_mat&gt;&lt;/itemfeedback&gt;"),"")</f>
      </c>
      <c r="BC65" s="46">
        <f>IF($B65,IF(AT65="","","    &lt;itemfeedback ident=""response_0"" view=""All""&gt;&lt;flow_mat&gt;&lt;material&gt;&lt;mattext texttype=""text/html""&gt;"&amp;AT65&amp;"&lt;/mattext&gt;&lt;/material&gt;&lt;/flow_mat&gt;&lt;/itemfeedback&gt;"),"")</f>
      </c>
      <c r="BD65" s="46">
        <f>IF($B65,IF(AU65="","","    &lt;itemfeedback ident=""response_1"" view=""All""&gt;&lt;flow_mat&gt;&lt;material&gt;&lt;mattext texttype=""text/html""&gt;"&amp;AU65&amp;"&lt;/mattext&gt;&lt;/material&gt;&lt;/flow_mat&gt;&lt;/itemfeedback&gt;"),"")</f>
      </c>
      <c r="BE65" s="46">
        <f>IF($B65,IF(AV65="","","    &lt;itemfeedback ident=""response_2"" view=""All""&gt;&lt;flow_mat&gt;&lt;material&gt;&lt;mattext texttype=""text/html""&gt;"&amp;AV65&amp;"&lt;/mattext&gt;&lt;/material&gt;&lt;/flow_mat&gt;&lt;/itemfeedback&gt;"),"")</f>
      </c>
      <c r="BF65" s="46">
        <f>IF($B65,IF(AW65="","","    &lt;itemfeedback ident=""response_3"" view=""All""&gt;&lt;flow_mat&gt;&lt;material&gt;&lt;mattext texttype=""text/html""&gt;"&amp;AW65&amp;"&lt;/mattext&gt;&lt;/material&gt;&lt;/flow_mat&gt;&lt;/itemfeedback&gt;"),"")</f>
      </c>
      <c r="BG65" s="46">
        <f>IF($B65,IF(AX65="","","    &lt;itemfeedback ident=""response_4"" view=""All""&gt;&lt;flow_mat&gt;&lt;material&gt;&lt;mattext texttype=""text/html""&gt;"&amp;AX65&amp;"&lt;/mattext&gt;&lt;/material&gt;&lt;/flow_mat&gt;&lt;/itemfeedback&gt;"),"")</f>
      </c>
      <c r="BH65" s="46">
        <f>IF($B65,IF(AY65="","","    &lt;itemfeedback ident=""response_5"" view=""All""&gt;&lt;flow_mat&gt;&lt;material&gt;&lt;mattext texttype=""text/html""&gt;"&amp;AY65&amp;"&lt;/mattext&gt;&lt;/material&gt;&lt;/flow_mat&gt;&lt;/itemfeedback&gt;"),"")</f>
      </c>
      <c r="BI65" s="46">
        <f>IF($B65,IF(AZ65="","","    &lt;itemfeedback ident=""response_6"" view=""All""&gt;&lt;flow_mat&gt;&lt;material&gt;&lt;mattext texttype=""text/html""&gt;"&amp;AZ65&amp;"&lt;/mattext&gt;&lt;/material&gt;&lt;/flow_mat&gt;&lt;/itemfeedback&gt;"),"")</f>
      </c>
      <c r="BJ65" s="46">
        <f>IF($B65,IF(BA65="","","    &lt;itemfeedback ident=""response_7"" view=""All""&gt;&lt;flow_mat&gt;&lt;material&gt;&lt;mattext texttype=""text/html""&gt;"&amp;BA65&amp;"&lt;/mattext&gt;&lt;/material&gt;&lt;/flow_mat&gt;&lt;/itemfeedback&gt;"),"")</f>
      </c>
    </row>
    <row r="66" ht="18" customHeight="1" s="17">
      <c r="A66" s="46">
        <f>Saisie_Questions!A66</f>
        <v/>
      </c>
      <c r="B66" s="46">
        <f>Saisie_Questions!O66="OK"</f>
        <v/>
      </c>
      <c r="C66" s="46">
        <f>LOWER(TRIM(Saisie_Questions!B66))</f>
        <v/>
      </c>
      <c r="D66" s="46">
        <f>IF(C66="qcu","SINGLE CHOICE QUESTION","MULTIPLE CHOICE QUESTION")</f>
        <v/>
      </c>
      <c r="E66" s="46">
        <f>IF(C66="qcu","Single","Multiple")</f>
        <v/>
      </c>
      <c r="F66" s="46">
        <f>IF(A66="","",SUBSTITUTE(SUBSTITUTE(SUBSTITUTE(SUBSTITUTE(SUBSTITUTE(IF(Saisie_Questions!C66="", "Question "&amp;A66, Saisie_Questions!C66),"&amp;","&amp;amp;"),"&lt;","&amp;lt;"),"&gt;","&amp;gt;"),CHAR(34),"&amp;quot;"),"'","&amp;apos;"))</f>
        <v/>
      </c>
      <c r="G66" s="46">
        <f>IF(A66="","",SUBSTITUTE(SUBSTITUTE(SUBSTITUTE(SUBSTITUTE(SUBSTITUTE(Saisie_Questions!D66,"&amp;","&amp;amp;"),"&lt;","&amp;lt;"),"&gt;","&amp;gt;"),CHAR(34),"&amp;quot;"),"'","&amp;apos;"))</f>
        <v/>
      </c>
      <c r="H66" s="46">
        <f>Saisie_Questions!N66</f>
        <v/>
      </c>
      <c r="I66" s="46">
        <f>IF(Saisie_Questions!E66="",0,1)+IF(Saisie_Questions!F66="",0,1)+IF(Saisie_Questions!G66="",0,1)+IF(Saisie_Questions!H66="",0,1)+IF(Saisie_Questions!I66="",0,1)+IF(Saisie_Questions!J66="",0,1)+IF(Saisie_Questions!K66="",0,1)+IF(Saisie_Questions!L66="",0,1)</f>
        <v/>
      </c>
      <c r="J66" s="46">
        <f>Saisie_Questions!M66</f>
        <v/>
      </c>
      <c r="K66" s="46">
        <f>Saisie_Questions!O66</f>
        <v/>
      </c>
      <c r="L66" s="46">
        <f>IF(Saisie_Questions!E66="","",SUBSTITUTE(SUBSTITUTE(SUBSTITUTE(SUBSTITUTE(SUBSTITUTE(Saisie_Questions!E66,"&amp;","&amp;amp;"),"&lt;","&amp;lt;"),"&gt;","&amp;gt;"),CHAR(34),"&amp;quot;"),"'","&amp;apos;"))</f>
        <v/>
      </c>
      <c r="M66" s="46">
        <f>IF(Saisie_Questions!F66="","",SUBSTITUTE(SUBSTITUTE(SUBSTITUTE(SUBSTITUTE(SUBSTITUTE(Saisie_Questions!F66,"&amp;","&amp;amp;"),"&lt;","&amp;lt;"),"&gt;","&amp;gt;"),CHAR(34),"&amp;quot;"),"'","&amp;apos;"))</f>
        <v/>
      </c>
      <c r="N66" s="46">
        <f>IF(Saisie_Questions!G66="","",SUBSTITUTE(SUBSTITUTE(SUBSTITUTE(SUBSTITUTE(SUBSTITUTE(Saisie_Questions!G66,"&amp;","&amp;amp;"),"&lt;","&amp;lt;"),"&gt;","&amp;gt;"),CHAR(34),"&amp;quot;"),"'","&amp;apos;"))</f>
        <v/>
      </c>
      <c r="O66" s="46">
        <f>IF(Saisie_Questions!H66="","",SUBSTITUTE(SUBSTITUTE(SUBSTITUTE(SUBSTITUTE(SUBSTITUTE(Saisie_Questions!H66,"&amp;","&amp;amp;"),"&lt;","&amp;lt;"),"&gt;","&amp;gt;"),CHAR(34),"&amp;quot;"),"'","&amp;apos;"))</f>
        <v/>
      </c>
      <c r="P66" s="46">
        <f>IF(Saisie_Questions!I66="","",SUBSTITUTE(SUBSTITUTE(SUBSTITUTE(SUBSTITUTE(SUBSTITUTE(Saisie_Questions!I66,"&amp;","&amp;amp;"),"&lt;","&amp;lt;"),"&gt;","&amp;gt;"),CHAR(34),"&amp;quot;"),"'","&amp;apos;"))</f>
        <v/>
      </c>
      <c r="Q66" s="46">
        <f>IF(Saisie_Questions!J66="","",SUBSTITUTE(SUBSTITUTE(SUBSTITUTE(SUBSTITUTE(SUBSTITUTE(Saisie_Questions!J66,"&amp;","&amp;amp;"),"&lt;","&amp;lt;"),"&gt;","&amp;gt;"),CHAR(34),"&amp;quot;"),"'","&amp;apos;"))</f>
        <v/>
      </c>
      <c r="R66" s="46">
        <f>IF(Saisie_Questions!K66="","",SUBSTITUTE(SUBSTITUTE(SUBSTITUTE(SUBSTITUTE(SUBSTITUTE(Saisie_Questions!K66,"&amp;","&amp;amp;"),"&lt;","&amp;lt;"),"&gt;","&amp;gt;"),CHAR(34),"&amp;quot;"),"'","&amp;apos;"))</f>
        <v/>
      </c>
      <c r="S66" s="46">
        <f>IF(Saisie_Questions!L66="","",SUBSTITUTE(SUBSTITUTE(SUBSTITUTE(SUBSTITUTE(SUBSTITUTE(Saisie_Questions!L66,"&amp;","&amp;amp;"),"&lt;","&amp;lt;"),"&gt;","&amp;gt;"),CHAR(34),"&amp;quot;"),"'","&amp;apos;"))</f>
        <v/>
      </c>
      <c r="T66" s="46">
        <f>ISNUMBER(SEARCH(";"&amp;1&amp;";",";"&amp;$J66&amp;";"))</f>
        <v/>
      </c>
      <c r="U66" s="46">
        <f>ISNUMBER(SEARCH(";"&amp;2&amp;";",";"&amp;$J66&amp;";"))</f>
        <v/>
      </c>
      <c r="V66" s="46">
        <f>ISNUMBER(SEARCH(";"&amp;3&amp;";",";"&amp;$J66&amp;";"))</f>
        <v/>
      </c>
      <c r="W66" s="46">
        <f>ISNUMBER(SEARCH(";"&amp;4&amp;";",";"&amp;$J66&amp;";"))</f>
        <v/>
      </c>
      <c r="X66" s="46">
        <f>ISNUMBER(SEARCH(";"&amp;5&amp;";",";"&amp;$J66&amp;";"))</f>
        <v/>
      </c>
      <c r="Y66" s="46">
        <f>ISNUMBER(SEARCH(";"&amp;6&amp;";",";"&amp;$J66&amp;";"))</f>
        <v/>
      </c>
      <c r="Z66" s="46">
        <f>ISNUMBER(SEARCH(";"&amp;7&amp;";",";"&amp;$J66&amp;";"))</f>
        <v/>
      </c>
      <c r="AA66" s="46">
        <f>ISNUMBER(SEARCH(";"&amp;8&amp;";",";"&amp;$J66&amp;";"))</f>
        <v/>
      </c>
      <c r="AB66" s="46">
        <f>IF($B66,IF(L66="","","        &lt;response_label ident=""0""&gt;&lt;material&gt;&lt;mattext texttype=""text/html""&gt;"&amp;L66&amp;"&lt;/mattext&gt;&lt;/material&gt;&lt;/response_label&gt;"),"")</f>
        <v/>
      </c>
      <c r="AC66" s="46">
        <f>IF($B66,IF(M66="","","        &lt;response_label ident=""1""&gt;&lt;material&gt;&lt;mattext texttype=""text/html""&gt;"&amp;M66&amp;"&lt;/mattext&gt;&lt;/material&gt;&lt;/response_label&gt;"),"")</f>
        <v/>
      </c>
      <c r="AD66" s="46">
        <f>IF($B66,IF(N66="","","        &lt;response_label ident=""2""&gt;&lt;material&gt;&lt;mattext texttype=""text/html""&gt;"&amp;N66&amp;"&lt;/mattext&gt;&lt;/material&gt;&lt;/response_label&gt;"),"")</f>
        <v/>
      </c>
      <c r="AE66" s="46">
        <f>IF($B66,IF(O66="","","        &lt;response_label ident=""3""&gt;&lt;material&gt;&lt;mattext texttype=""text/html""&gt;"&amp;O66&amp;"&lt;/mattext&gt;&lt;/material&gt;&lt;/response_label&gt;"),"")</f>
        <v/>
      </c>
      <c r="AF66" s="46">
        <f>IF($B66,IF(P66="","","        &lt;response_label ident=""4""&gt;&lt;material&gt;&lt;mattext texttype=""text/html""&gt;"&amp;P66&amp;"&lt;/mattext&gt;&lt;/material&gt;&lt;/response_label&gt;"),"")</f>
        <v/>
      </c>
      <c r="AG66" s="46">
        <f>IF($B66,IF(Q66="","","        &lt;response_label ident=""5""&gt;&lt;material&gt;&lt;mattext texttype=""text/html""&gt;"&amp;Q66&amp;"&lt;/mattext&gt;&lt;/material&gt;&lt;/response_label&gt;"),"")</f>
        <v/>
      </c>
      <c r="AH66" s="46">
        <f>IF($B66,IF(R66="","","        &lt;response_label ident=""6""&gt;&lt;material&gt;&lt;mattext texttype=""text/html""&gt;"&amp;R66&amp;"&lt;/mattext&gt;&lt;/material&gt;&lt;/response_label&gt;"),"")</f>
        <v/>
      </c>
      <c r="AI66" s="46">
        <f>IF($B66,IF(S66="","","        &lt;response_label ident=""7""&gt;&lt;material&gt;&lt;mattext texttype=""text/html""&gt;"&amp;S66&amp;"&lt;/mattext&gt;&lt;/material&gt;&lt;/response_label&gt;"),"")</f>
        <v/>
      </c>
      <c r="AJ66" s="46">
        <f>IF($B66,IF(L66="","",IF($C66="qcu",IF(OR(T66,AT66&lt;&gt;"",$AS66&lt;&gt;""),"      &lt;respcondition continue=""Yes""&gt;&lt;conditionvar&gt;&lt;varequal respident=""RESPONSE""&gt;0&lt;/varequal&gt;&lt;/conditionvar&gt;"&amp;"&lt;setvar action=""Add""&gt;"&amp;IF(T66,$H66,0)&amp;"&lt;/setvar&gt;"&amp;IF(AT66&lt;&gt;"","&lt;displayfeedback feedbacktype=""Response"" linkrefid=""response_0""/&gt;",IF($AS66&lt;&gt;"","&lt;displayfeedback feedbacktype=""Response"" linkrefid=""qti_feedback_trigger""/&gt;",""))&amp;"&lt;/respcondition&gt;",""),IF(OR(T66,AT66&lt;&gt;"",$AS66&lt;&gt;""),"      &lt;respcondition continue=""Yes""&gt;&lt;conditionvar&gt;"&amp;IF(T66,"&lt;varequal respident=""RESPONSE""&gt;0&lt;/varequal&gt;","&lt;not&gt;&lt;varequal respident=""RESPONSE""&gt;0&lt;/varequal&gt;&lt;/not&gt;")&amp;"&lt;/conditionvar&gt;&lt;setvar action=""Add""&gt;"&amp;(Saisie_Questions!$N66/$I66)&amp;"&lt;/setvar&gt;"&amp;IF(AT66&lt;&gt;"","&lt;displayfeedback feedbacktype=""Response"" linkrefid=""response_0""/&gt;",IF($AS66&lt;&gt;"","&lt;displayfeedback feedbacktype=""Response"" linkrefid=""qti_feedback_trigger""/&gt;",""))&amp;"&lt;/respcondition&gt;",""))),"")</f>
      </c>
      <c r="AK66" s="46">
        <f>IF($B66,IF(M66="","",IF($C66="qcu",IF(OR(U66,AU66&lt;&gt;"",$AS66&lt;&gt;""),"      &lt;respcondition continue=""Yes""&gt;&lt;conditionvar&gt;&lt;varequal respident=""RESPONSE""&gt;1&lt;/varequal&gt;&lt;/conditionvar&gt;"&amp;"&lt;setvar action=""Add""&gt;"&amp;IF(U66,$H66,0)&amp;"&lt;/setvar&gt;"&amp;IF(AU66&lt;&gt;"","&lt;displayfeedback feedbacktype=""Response"" linkrefid=""response_1""/&gt;",IF($AS66&lt;&gt;"","&lt;displayfeedback feedbacktype=""Response"" linkrefid=""qti_feedback_trigger""/&gt;",""))&amp;"&lt;/respcondition&gt;",""),IF(OR(U66,AU66&lt;&gt;"",$AS66&lt;&gt;""),"      &lt;respcondition continue=""Yes""&gt;&lt;conditionvar&gt;"&amp;IF(U66,"&lt;varequal respident=""RESPONSE""&gt;1&lt;/varequal&gt;","&lt;not&gt;&lt;varequal respident=""RESPONSE""&gt;1&lt;/varequal&gt;&lt;/not&gt;")&amp;"&lt;/conditionvar&gt;&lt;setvar action=""Add""&gt;"&amp;(Saisie_Questions!$N66/$I66)&amp;"&lt;/setvar&gt;"&amp;IF(AU66&lt;&gt;"","&lt;displayfeedback feedbacktype=""Response"" linkrefid=""response_1""/&gt;",IF($AS66&lt;&gt;"","&lt;displayfeedback feedbacktype=""Response"" linkrefid=""qti_feedback_trigger""/&gt;",""))&amp;"&lt;/respcondition&gt;",""))),"")</f>
      </c>
      <c r="AL66" s="46">
        <f>IF($B66,IF(N66="","",IF($C66="qcu",IF(OR(V66,AV66&lt;&gt;"",$AS66&lt;&gt;""),"      &lt;respcondition continue=""Yes""&gt;&lt;conditionvar&gt;&lt;varequal respident=""RESPONSE""&gt;2&lt;/varequal&gt;&lt;/conditionvar&gt;"&amp;"&lt;setvar action=""Add""&gt;"&amp;IF(V66,$H66,0)&amp;"&lt;/setvar&gt;"&amp;IF(AV66&lt;&gt;"","&lt;displayfeedback feedbacktype=""Response"" linkrefid=""response_2""/&gt;",IF($AS66&lt;&gt;"","&lt;displayfeedback feedbacktype=""Response"" linkrefid=""qti_feedback_trigger""/&gt;",""))&amp;"&lt;/respcondition&gt;",""),IF(OR(V66,AV66&lt;&gt;"",$AS66&lt;&gt;""),"      &lt;respcondition continue=""Yes""&gt;&lt;conditionvar&gt;"&amp;IF(V66,"&lt;varequal respident=""RESPONSE""&gt;2&lt;/varequal&gt;","&lt;not&gt;&lt;varequal respident=""RESPONSE""&gt;2&lt;/varequal&gt;&lt;/not&gt;")&amp;"&lt;/conditionvar&gt;&lt;setvar action=""Add""&gt;"&amp;(Saisie_Questions!$N66/$I66)&amp;"&lt;/setvar&gt;"&amp;IF(AV66&lt;&gt;"","&lt;displayfeedback feedbacktype=""Response"" linkrefid=""response_2""/&gt;",IF($AS66&lt;&gt;"","&lt;displayfeedback feedbacktype=""Response"" linkrefid=""qti_feedback_trigger""/&gt;",""))&amp;"&lt;/respcondition&gt;",""))),"")</f>
      </c>
      <c r="AM66" s="46">
        <f>IF($B66,IF(O66="","",IF($C66="qcu",IF(OR(W66,AW66&lt;&gt;"",$AS66&lt;&gt;""),"      &lt;respcondition continue=""Yes""&gt;&lt;conditionvar&gt;&lt;varequal respident=""RESPONSE""&gt;3&lt;/varequal&gt;&lt;/conditionvar&gt;"&amp;"&lt;setvar action=""Add""&gt;"&amp;IF(W66,$H66,0)&amp;"&lt;/setvar&gt;"&amp;IF(AW66&lt;&gt;"","&lt;displayfeedback feedbacktype=""Response"" linkrefid=""response_3""/&gt;",IF($AS66&lt;&gt;"","&lt;displayfeedback feedbacktype=""Response"" linkrefid=""qti_feedback_trigger""/&gt;",""))&amp;"&lt;/respcondition&gt;",""),IF(OR(W66,AW66&lt;&gt;"",$AS66&lt;&gt;""),"      &lt;respcondition continue=""Yes""&gt;&lt;conditionvar&gt;"&amp;IF(W66,"&lt;varequal respident=""RESPONSE""&gt;3&lt;/varequal&gt;","&lt;not&gt;&lt;varequal respident=""RESPONSE""&gt;3&lt;/varequal&gt;&lt;/not&gt;")&amp;"&lt;/conditionvar&gt;&lt;setvar action=""Add""&gt;"&amp;(Saisie_Questions!$N66/$I66)&amp;"&lt;/setvar&gt;"&amp;IF(AW66&lt;&gt;"","&lt;displayfeedback feedbacktype=""Response"" linkrefid=""response_3""/&gt;",IF($AS66&lt;&gt;"","&lt;displayfeedback feedbacktype=""Response"" linkrefid=""qti_feedback_trigger""/&gt;",""))&amp;"&lt;/respcondition&gt;",""))),"")</f>
      </c>
      <c r="AN66" s="46">
        <f>IF($B66,IF(P66="","",IF($C66="qcu",IF(OR(X66,AX66&lt;&gt;"",$AS66&lt;&gt;""),"      &lt;respcondition continue=""Yes""&gt;&lt;conditionvar&gt;&lt;varequal respident=""RESPONSE""&gt;4&lt;/varequal&gt;&lt;/conditionvar&gt;"&amp;"&lt;setvar action=""Add""&gt;"&amp;IF(X66,$H66,0)&amp;"&lt;/setvar&gt;"&amp;IF(AX66&lt;&gt;"","&lt;displayfeedback feedbacktype=""Response"" linkrefid=""response_4""/&gt;",IF($AS66&lt;&gt;"","&lt;displayfeedback feedbacktype=""Response"" linkrefid=""qti_feedback_trigger""/&gt;",""))&amp;"&lt;/respcondition&gt;",""),IF(OR(X66,AX66&lt;&gt;"",$AS66&lt;&gt;""),"      &lt;respcondition continue=""Yes""&gt;&lt;conditionvar&gt;"&amp;IF(X66,"&lt;varequal respident=""RESPONSE""&gt;4&lt;/varequal&gt;","&lt;not&gt;&lt;varequal respident=""RESPONSE""&gt;4&lt;/varequal&gt;&lt;/not&gt;")&amp;"&lt;/conditionvar&gt;&lt;setvar action=""Add""&gt;"&amp;(Saisie_Questions!$N66/$I66)&amp;"&lt;/setvar&gt;"&amp;IF(AX66&lt;&gt;"","&lt;displayfeedback feedbacktype=""Response"" linkrefid=""response_4""/&gt;",IF($AS66&lt;&gt;"","&lt;displayfeedback feedbacktype=""Response"" linkrefid=""qti_feedback_trigger""/&gt;",""))&amp;"&lt;/respcondition&gt;",""))),"")</f>
      </c>
      <c r="AO66" s="46">
        <f>IF($B66,IF(Q66="","",IF($C66="qcu",IF(OR(Y66,AY66&lt;&gt;"",$AS66&lt;&gt;""),"      &lt;respcondition continue=""Yes""&gt;&lt;conditionvar&gt;&lt;varequal respident=""RESPONSE""&gt;5&lt;/varequal&gt;&lt;/conditionvar&gt;"&amp;"&lt;setvar action=""Add""&gt;"&amp;IF(Y66,$H66,0)&amp;"&lt;/setvar&gt;"&amp;IF(AY66&lt;&gt;"","&lt;displayfeedback feedbacktype=""Response"" linkrefid=""response_5""/&gt;",IF($AS66&lt;&gt;"","&lt;displayfeedback feedbacktype=""Response"" linkrefid=""qti_feedback_trigger""/&gt;",""))&amp;"&lt;/respcondition&gt;",""),IF(OR(Y66,AY66&lt;&gt;"",$AS66&lt;&gt;""),"      &lt;respcondition continue=""Yes""&gt;&lt;conditionvar&gt;"&amp;IF(Y66,"&lt;varequal respident=""RESPONSE""&gt;5&lt;/varequal&gt;","&lt;not&gt;&lt;varequal respident=""RESPONSE""&gt;5&lt;/varequal&gt;&lt;/not&gt;")&amp;"&lt;/conditionvar&gt;&lt;setvar action=""Add""&gt;"&amp;(Saisie_Questions!$N66/$I66)&amp;"&lt;/setvar&gt;"&amp;IF(AY66&lt;&gt;"","&lt;displayfeedback feedbacktype=""Response"" linkrefid=""response_5""/&gt;",IF($AS66&lt;&gt;"","&lt;displayfeedback feedbacktype=""Response"" linkrefid=""qti_feedback_trigger""/&gt;",""))&amp;"&lt;/respcondition&gt;",""))),"")</f>
      </c>
      <c r="AP66" s="46">
        <f>IF($B66,IF(R66="","",IF($C66="qcu",IF(OR(Z66,AZ66&lt;&gt;"",$AS66&lt;&gt;""),"      &lt;respcondition continue=""Yes""&gt;&lt;conditionvar&gt;&lt;varequal respident=""RESPONSE""&gt;6&lt;/varequal&gt;&lt;/conditionvar&gt;"&amp;"&lt;setvar action=""Add""&gt;"&amp;IF(Z66,$H66,0)&amp;"&lt;/setvar&gt;"&amp;IF(AZ66&lt;&gt;"","&lt;displayfeedback feedbacktype=""Response"" linkrefid=""response_6""/&gt;",IF($AS66&lt;&gt;"","&lt;displayfeedback feedbacktype=""Response"" linkrefid=""qti_feedback_trigger""/&gt;",""))&amp;"&lt;/respcondition&gt;",""),IF(OR(Z66,AZ66&lt;&gt;"",$AS66&lt;&gt;""),"      &lt;respcondition continue=""Yes""&gt;&lt;conditionvar&gt;"&amp;IF(Z66,"&lt;varequal respident=""RESPONSE""&gt;6&lt;/varequal&gt;","&lt;not&gt;&lt;varequal respident=""RESPONSE""&gt;6&lt;/varequal&gt;&lt;/not&gt;")&amp;"&lt;/conditionvar&gt;&lt;setvar action=""Add""&gt;"&amp;(Saisie_Questions!$N66/$I66)&amp;"&lt;/setvar&gt;"&amp;IF(AZ66&lt;&gt;"","&lt;displayfeedback feedbacktype=""Response"" linkrefid=""response_6""/&gt;",IF($AS66&lt;&gt;"","&lt;displayfeedback feedbacktype=""Response"" linkrefid=""qti_feedback_trigger""/&gt;",""))&amp;"&lt;/respcondition&gt;",""))),"")</f>
      </c>
      <c r="AQ66" s="46">
        <f>IF($B66,IF(S66="","",IF($C66="qcu",IF(OR(AA66,BA66&lt;&gt;"",$AS66&lt;&gt;""),"      &lt;respcondition continue=""Yes""&gt;&lt;conditionvar&gt;&lt;varequal respident=""RESPONSE""&gt;7&lt;/varequal&gt;&lt;/conditionvar&gt;"&amp;"&lt;setvar action=""Add""&gt;"&amp;IF(AA66,$H66,0)&amp;"&lt;/setvar&gt;"&amp;IF(BA66&lt;&gt;"","&lt;displayfeedback feedbacktype=""Response"" linkrefid=""response_7""/&gt;",IF($AS66&lt;&gt;"","&lt;displayfeedback feedbacktype=""Response"" linkrefid=""qti_feedback_trigger""/&gt;",""))&amp;"&lt;/respcondition&gt;",""),IF(OR(AA66,BA66&lt;&gt;"",$AS66&lt;&gt;""),"      &lt;respcondition continue=""Yes""&gt;&lt;conditionvar&gt;"&amp;IF(AA66,"&lt;varequal respident=""RESPONSE""&gt;7&lt;/varequal&gt;","&lt;not&gt;&lt;varequal respident=""RESPONSE""&gt;7&lt;/varequal&gt;&lt;/not&gt;")&amp;"&lt;/conditionvar&gt;&lt;setvar action=""Add""&gt;"&amp;(Saisie_Questions!$N66/$I66)&amp;"&lt;/setvar&gt;"&amp;IF(BA66&lt;&gt;"","&lt;displayfeedback feedbacktype=""Response"" linkrefid=""response_7""/&gt;",IF($AS66&lt;&gt;"","&lt;displayfeedback feedbacktype=""Response"" linkrefid=""qti_feedback_trigger""/&gt;",""))&amp;"&lt;/respcondition&gt;",""))),"")</f>
      </c>
      <c r="AR66" s="46">
        <f>IF(A66="","",SUBSTITUTE(SUBSTITUTE(SUBSTITUTE(SUBSTITUTE(SUBSTITUTE(IF(Saisie_Questions!P66&lt;&gt;"",Saisie_Questions!P66,Interface_Generation!$B$5),"&amp;","&amp;amp;"),"&lt;","&amp;lt;"),"&gt;","&amp;gt;"),CHAR(34),"&amp;quot;"),"'","&amp;apos;"))</f>
        <v/>
      </c>
      <c r="AS66" s="46">
        <f>IF(Saisie_Questions!Q66="","",SUBSTITUTE(SUBSTITUTE(SUBSTITUTE(SUBSTITUTE(SUBSTITUTE(Saisie_Questions!Q66,"&amp;","&amp;amp;"),"&lt;","&amp;lt;"),"&gt;","&amp;gt;"),CHAR(34),"&amp;quot;"),"'","&amp;apos;"))</f>
        <v/>
      </c>
      <c r="AT66" s="46">
        <f>IF(Saisie_Questions!R66="","",SUBSTITUTE(SUBSTITUTE(SUBSTITUTE(SUBSTITUTE(SUBSTITUTE(Saisie_Questions!R66,"&amp;","&amp;amp;"),"&lt;","&amp;lt;"),"&gt;","&amp;gt;"),CHAR(34),"&amp;quot;"),"'","&amp;apos;"))</f>
        <v/>
      </c>
      <c r="AU66" s="46">
        <f>IF(Saisie_Questions!S66="","",SUBSTITUTE(SUBSTITUTE(SUBSTITUTE(SUBSTITUTE(SUBSTITUTE(Saisie_Questions!S66,"&amp;","&amp;amp;"),"&lt;","&amp;lt;"),"&gt;","&amp;gt;"),CHAR(34),"&amp;quot;"),"'","&amp;apos;"))</f>
        <v/>
      </c>
      <c r="AV66" s="46">
        <f>IF(Saisie_Questions!T66="","",SUBSTITUTE(SUBSTITUTE(SUBSTITUTE(SUBSTITUTE(SUBSTITUTE(Saisie_Questions!T66,"&amp;","&amp;amp;"),"&lt;","&amp;lt;"),"&gt;","&amp;gt;"),CHAR(34),"&amp;quot;"),"'","&amp;apos;"))</f>
        <v/>
      </c>
      <c r="AW66" s="46">
        <f>IF(Saisie_Questions!U66="","",SUBSTITUTE(SUBSTITUTE(SUBSTITUTE(SUBSTITUTE(SUBSTITUTE(Saisie_Questions!U66,"&amp;","&amp;amp;"),"&lt;","&amp;lt;"),"&gt;","&amp;gt;"),CHAR(34),"&amp;quot;"),"'","&amp;apos;"))</f>
        <v/>
      </c>
      <c r="AX66" s="46">
        <f>IF(Saisie_Questions!V66="","",SUBSTITUTE(SUBSTITUTE(SUBSTITUTE(SUBSTITUTE(SUBSTITUTE(Saisie_Questions!V66,"&amp;","&amp;amp;"),"&lt;","&amp;lt;"),"&gt;","&amp;gt;"),CHAR(34),"&amp;quot;"),"'","&amp;apos;"))</f>
        <v/>
      </c>
      <c r="AY66" s="46">
        <f>IF(Saisie_Questions!W66="","",SUBSTITUTE(SUBSTITUTE(SUBSTITUTE(SUBSTITUTE(SUBSTITUTE(Saisie_Questions!W66,"&amp;","&amp;amp;"),"&lt;","&amp;lt;"),"&gt;","&amp;gt;"),CHAR(34),"&amp;quot;"),"'","&amp;apos;"))</f>
        <v/>
      </c>
      <c r="AZ66" s="46">
        <f>IF(Saisie_Questions!X66="","",SUBSTITUTE(SUBSTITUTE(SUBSTITUTE(SUBSTITUTE(SUBSTITUTE(Saisie_Questions!X66,"&amp;","&amp;amp;"),"&lt;","&amp;lt;"),"&gt;","&amp;gt;"),CHAR(34),"&amp;quot;"),"'","&amp;apos;"))</f>
        <v/>
      </c>
      <c r="BA66" s="46">
        <f>IF(Saisie_Questions!Y66="","",SUBSTITUTE(SUBSTITUTE(SUBSTITUTE(SUBSTITUTE(SUBSTITUTE(Saisie_Questions!Y66,"&amp;","&amp;amp;"),"&lt;","&amp;lt;"),"&gt;","&amp;gt;"),CHAR(34),"&amp;quot;"),"'","&amp;apos;"))</f>
        <v/>
      </c>
      <c r="BB66" s="46">
        <f>IF($B66,IF($AS66="","","    &lt;itemfeedback ident=""response_allcorrect"" view=""All""&gt;&lt;flow_mat&gt;&lt;material&gt;&lt;mattext texttype=""text/html""&gt;"&amp;$AS66&amp;"&lt;/mattext&gt;&lt;/material&gt;&lt;/flow_mat&gt;&lt;/itemfeedback&gt;"&amp;"    &lt;itemfeedback ident=""response_onenotcorrect"" view=""All""&gt;&lt;flow_mat&gt;&lt;material&gt;&lt;mattext texttype=""text/html""&gt;"&amp;$AS66&amp;"&lt;/mattext&gt;&lt;/material&gt;&lt;/flow_mat&gt;&lt;/itemfeedback&gt;"),"")</f>
      </c>
      <c r="BC66" s="46">
        <f>IF($B66,IF(AT66="","","    &lt;itemfeedback ident=""response_0"" view=""All""&gt;&lt;flow_mat&gt;&lt;material&gt;&lt;mattext texttype=""text/html""&gt;"&amp;AT66&amp;"&lt;/mattext&gt;&lt;/material&gt;&lt;/flow_mat&gt;&lt;/itemfeedback&gt;"),"")</f>
      </c>
      <c r="BD66" s="46">
        <f>IF($B66,IF(AU66="","","    &lt;itemfeedback ident=""response_1"" view=""All""&gt;&lt;flow_mat&gt;&lt;material&gt;&lt;mattext texttype=""text/html""&gt;"&amp;AU66&amp;"&lt;/mattext&gt;&lt;/material&gt;&lt;/flow_mat&gt;&lt;/itemfeedback&gt;"),"")</f>
      </c>
      <c r="BE66" s="46">
        <f>IF($B66,IF(AV66="","","    &lt;itemfeedback ident=""response_2"" view=""All""&gt;&lt;flow_mat&gt;&lt;material&gt;&lt;mattext texttype=""text/html""&gt;"&amp;AV66&amp;"&lt;/mattext&gt;&lt;/material&gt;&lt;/flow_mat&gt;&lt;/itemfeedback&gt;"),"")</f>
      </c>
      <c r="BF66" s="46">
        <f>IF($B66,IF(AW66="","","    &lt;itemfeedback ident=""response_3"" view=""All""&gt;&lt;flow_mat&gt;&lt;material&gt;&lt;mattext texttype=""text/html""&gt;"&amp;AW66&amp;"&lt;/mattext&gt;&lt;/material&gt;&lt;/flow_mat&gt;&lt;/itemfeedback&gt;"),"")</f>
      </c>
      <c r="BG66" s="46">
        <f>IF($B66,IF(AX66="","","    &lt;itemfeedback ident=""response_4"" view=""All""&gt;&lt;flow_mat&gt;&lt;material&gt;&lt;mattext texttype=""text/html""&gt;"&amp;AX66&amp;"&lt;/mattext&gt;&lt;/material&gt;&lt;/flow_mat&gt;&lt;/itemfeedback&gt;"),"")</f>
      </c>
      <c r="BH66" s="46">
        <f>IF($B66,IF(AY66="","","    &lt;itemfeedback ident=""response_5"" view=""All""&gt;&lt;flow_mat&gt;&lt;material&gt;&lt;mattext texttype=""text/html""&gt;"&amp;AY66&amp;"&lt;/mattext&gt;&lt;/material&gt;&lt;/flow_mat&gt;&lt;/itemfeedback&gt;"),"")</f>
      </c>
      <c r="BI66" s="46">
        <f>IF($B66,IF(AZ66="","","    &lt;itemfeedback ident=""response_6"" view=""All""&gt;&lt;flow_mat&gt;&lt;material&gt;&lt;mattext texttype=""text/html""&gt;"&amp;AZ66&amp;"&lt;/mattext&gt;&lt;/material&gt;&lt;/flow_mat&gt;&lt;/itemfeedback&gt;"),"")</f>
      </c>
      <c r="BJ66" s="46">
        <f>IF($B66,IF(BA66="","","    &lt;itemfeedback ident=""response_7"" view=""All""&gt;&lt;flow_mat&gt;&lt;material&gt;&lt;mattext texttype=""text/html""&gt;"&amp;BA66&amp;"&lt;/mattext&gt;&lt;/material&gt;&lt;/flow_mat&gt;&lt;/itemfeedback&gt;"),"")</f>
      </c>
    </row>
    <row r="67" ht="18" customHeight="1" s="17">
      <c r="A67" s="46">
        <f>Saisie_Questions!A67</f>
        <v/>
      </c>
      <c r="B67" s="46">
        <f>Saisie_Questions!O67="OK"</f>
        <v/>
      </c>
      <c r="C67" s="46">
        <f>LOWER(TRIM(Saisie_Questions!B67))</f>
        <v/>
      </c>
      <c r="D67" s="46">
        <f>IF(C67="qcu","SINGLE CHOICE QUESTION","MULTIPLE CHOICE QUESTION")</f>
        <v/>
      </c>
      <c r="E67" s="46">
        <f>IF(C67="qcu","Single","Multiple")</f>
        <v/>
      </c>
      <c r="F67" s="46">
        <f>IF(A67="","",SUBSTITUTE(SUBSTITUTE(SUBSTITUTE(SUBSTITUTE(SUBSTITUTE(IF(Saisie_Questions!C67="", "Question "&amp;A67, Saisie_Questions!C67),"&amp;","&amp;amp;"),"&lt;","&amp;lt;"),"&gt;","&amp;gt;"),CHAR(34),"&amp;quot;"),"'","&amp;apos;"))</f>
        <v/>
      </c>
      <c r="G67" s="46">
        <f>IF(A67="","",SUBSTITUTE(SUBSTITUTE(SUBSTITUTE(SUBSTITUTE(SUBSTITUTE(Saisie_Questions!D67,"&amp;","&amp;amp;"),"&lt;","&amp;lt;"),"&gt;","&amp;gt;"),CHAR(34),"&amp;quot;"),"'","&amp;apos;"))</f>
        <v/>
      </c>
      <c r="H67" s="46">
        <f>Saisie_Questions!N67</f>
        <v/>
      </c>
      <c r="I67" s="46">
        <f>IF(Saisie_Questions!E67="",0,1)+IF(Saisie_Questions!F67="",0,1)+IF(Saisie_Questions!G67="",0,1)+IF(Saisie_Questions!H67="",0,1)+IF(Saisie_Questions!I67="",0,1)+IF(Saisie_Questions!J67="",0,1)+IF(Saisie_Questions!K67="",0,1)+IF(Saisie_Questions!L67="",0,1)</f>
        <v/>
      </c>
      <c r="J67" s="46">
        <f>Saisie_Questions!M67</f>
        <v/>
      </c>
      <c r="K67" s="46">
        <f>Saisie_Questions!O67</f>
        <v/>
      </c>
      <c r="L67" s="46">
        <f>IF(Saisie_Questions!E67="","",SUBSTITUTE(SUBSTITUTE(SUBSTITUTE(SUBSTITUTE(SUBSTITUTE(Saisie_Questions!E67,"&amp;","&amp;amp;"),"&lt;","&amp;lt;"),"&gt;","&amp;gt;"),CHAR(34),"&amp;quot;"),"'","&amp;apos;"))</f>
        <v/>
      </c>
      <c r="M67" s="46">
        <f>IF(Saisie_Questions!F67="","",SUBSTITUTE(SUBSTITUTE(SUBSTITUTE(SUBSTITUTE(SUBSTITUTE(Saisie_Questions!F67,"&amp;","&amp;amp;"),"&lt;","&amp;lt;"),"&gt;","&amp;gt;"),CHAR(34),"&amp;quot;"),"'","&amp;apos;"))</f>
        <v/>
      </c>
      <c r="N67" s="46">
        <f>IF(Saisie_Questions!G67="","",SUBSTITUTE(SUBSTITUTE(SUBSTITUTE(SUBSTITUTE(SUBSTITUTE(Saisie_Questions!G67,"&amp;","&amp;amp;"),"&lt;","&amp;lt;"),"&gt;","&amp;gt;"),CHAR(34),"&amp;quot;"),"'","&amp;apos;"))</f>
        <v/>
      </c>
      <c r="O67" s="46">
        <f>IF(Saisie_Questions!H67="","",SUBSTITUTE(SUBSTITUTE(SUBSTITUTE(SUBSTITUTE(SUBSTITUTE(Saisie_Questions!H67,"&amp;","&amp;amp;"),"&lt;","&amp;lt;"),"&gt;","&amp;gt;"),CHAR(34),"&amp;quot;"),"'","&amp;apos;"))</f>
        <v/>
      </c>
      <c r="P67" s="46">
        <f>IF(Saisie_Questions!I67="","",SUBSTITUTE(SUBSTITUTE(SUBSTITUTE(SUBSTITUTE(SUBSTITUTE(Saisie_Questions!I67,"&amp;","&amp;amp;"),"&lt;","&amp;lt;"),"&gt;","&amp;gt;"),CHAR(34),"&amp;quot;"),"'","&amp;apos;"))</f>
        <v/>
      </c>
      <c r="Q67" s="46">
        <f>IF(Saisie_Questions!J67="","",SUBSTITUTE(SUBSTITUTE(SUBSTITUTE(SUBSTITUTE(SUBSTITUTE(Saisie_Questions!J67,"&amp;","&amp;amp;"),"&lt;","&amp;lt;"),"&gt;","&amp;gt;"),CHAR(34),"&amp;quot;"),"'","&amp;apos;"))</f>
        <v/>
      </c>
      <c r="R67" s="46">
        <f>IF(Saisie_Questions!K67="","",SUBSTITUTE(SUBSTITUTE(SUBSTITUTE(SUBSTITUTE(SUBSTITUTE(Saisie_Questions!K67,"&amp;","&amp;amp;"),"&lt;","&amp;lt;"),"&gt;","&amp;gt;"),CHAR(34),"&amp;quot;"),"'","&amp;apos;"))</f>
        <v/>
      </c>
      <c r="S67" s="46">
        <f>IF(Saisie_Questions!L67="","",SUBSTITUTE(SUBSTITUTE(SUBSTITUTE(SUBSTITUTE(SUBSTITUTE(Saisie_Questions!L67,"&amp;","&amp;amp;"),"&lt;","&amp;lt;"),"&gt;","&amp;gt;"),CHAR(34),"&amp;quot;"),"'","&amp;apos;"))</f>
        <v/>
      </c>
      <c r="T67" s="46">
        <f>ISNUMBER(SEARCH(";"&amp;1&amp;";",";"&amp;$J67&amp;";"))</f>
        <v/>
      </c>
      <c r="U67" s="46">
        <f>ISNUMBER(SEARCH(";"&amp;2&amp;";",";"&amp;$J67&amp;";"))</f>
        <v/>
      </c>
      <c r="V67" s="46">
        <f>ISNUMBER(SEARCH(";"&amp;3&amp;";",";"&amp;$J67&amp;";"))</f>
        <v/>
      </c>
      <c r="W67" s="46">
        <f>ISNUMBER(SEARCH(";"&amp;4&amp;";",";"&amp;$J67&amp;";"))</f>
        <v/>
      </c>
      <c r="X67" s="46">
        <f>ISNUMBER(SEARCH(";"&amp;5&amp;";",";"&amp;$J67&amp;";"))</f>
        <v/>
      </c>
      <c r="Y67" s="46">
        <f>ISNUMBER(SEARCH(";"&amp;6&amp;";",";"&amp;$J67&amp;";"))</f>
        <v/>
      </c>
      <c r="Z67" s="46">
        <f>ISNUMBER(SEARCH(";"&amp;7&amp;";",";"&amp;$J67&amp;";"))</f>
        <v/>
      </c>
      <c r="AA67" s="46">
        <f>ISNUMBER(SEARCH(";"&amp;8&amp;";",";"&amp;$J67&amp;";"))</f>
        <v/>
      </c>
      <c r="AB67" s="46">
        <f>IF($B67,IF(L67="","","        &lt;response_label ident=""0""&gt;&lt;material&gt;&lt;mattext texttype=""text/html""&gt;"&amp;L67&amp;"&lt;/mattext&gt;&lt;/material&gt;&lt;/response_label&gt;"),"")</f>
        <v/>
      </c>
      <c r="AC67" s="46">
        <f>IF($B67,IF(M67="","","        &lt;response_label ident=""1""&gt;&lt;material&gt;&lt;mattext texttype=""text/html""&gt;"&amp;M67&amp;"&lt;/mattext&gt;&lt;/material&gt;&lt;/response_label&gt;"),"")</f>
        <v/>
      </c>
      <c r="AD67" s="46">
        <f>IF($B67,IF(N67="","","        &lt;response_label ident=""2""&gt;&lt;material&gt;&lt;mattext texttype=""text/html""&gt;"&amp;N67&amp;"&lt;/mattext&gt;&lt;/material&gt;&lt;/response_label&gt;"),"")</f>
        <v/>
      </c>
      <c r="AE67" s="46">
        <f>IF($B67,IF(O67="","","        &lt;response_label ident=""3""&gt;&lt;material&gt;&lt;mattext texttype=""text/html""&gt;"&amp;O67&amp;"&lt;/mattext&gt;&lt;/material&gt;&lt;/response_label&gt;"),"")</f>
        <v/>
      </c>
      <c r="AF67" s="46">
        <f>IF($B67,IF(P67="","","        &lt;response_label ident=""4""&gt;&lt;material&gt;&lt;mattext texttype=""text/html""&gt;"&amp;P67&amp;"&lt;/mattext&gt;&lt;/material&gt;&lt;/response_label&gt;"),"")</f>
        <v/>
      </c>
      <c r="AG67" s="46">
        <f>IF($B67,IF(Q67="","","        &lt;response_label ident=""5""&gt;&lt;material&gt;&lt;mattext texttype=""text/html""&gt;"&amp;Q67&amp;"&lt;/mattext&gt;&lt;/material&gt;&lt;/response_label&gt;"),"")</f>
        <v/>
      </c>
      <c r="AH67" s="46">
        <f>IF($B67,IF(R67="","","        &lt;response_label ident=""6""&gt;&lt;material&gt;&lt;mattext texttype=""text/html""&gt;"&amp;R67&amp;"&lt;/mattext&gt;&lt;/material&gt;&lt;/response_label&gt;"),"")</f>
        <v/>
      </c>
      <c r="AI67" s="46">
        <f>IF($B67,IF(S67="","","        &lt;response_label ident=""7""&gt;&lt;material&gt;&lt;mattext texttype=""text/html""&gt;"&amp;S67&amp;"&lt;/mattext&gt;&lt;/material&gt;&lt;/response_label&gt;"),"")</f>
        <v/>
      </c>
      <c r="AJ67" s="46">
        <f>IF($B67,IF(L67="","",IF($C67="qcu",IF(OR(T67,AT67&lt;&gt;"",$AS67&lt;&gt;""),"      &lt;respcondition continue=""Yes""&gt;&lt;conditionvar&gt;&lt;varequal respident=""RESPONSE""&gt;0&lt;/varequal&gt;&lt;/conditionvar&gt;"&amp;"&lt;setvar action=""Add""&gt;"&amp;IF(T67,$H67,0)&amp;"&lt;/setvar&gt;"&amp;IF(AT67&lt;&gt;"","&lt;displayfeedback feedbacktype=""Response"" linkrefid=""response_0""/&gt;",IF($AS67&lt;&gt;"","&lt;displayfeedback feedbacktype=""Response"" linkrefid=""qti_feedback_trigger""/&gt;",""))&amp;"&lt;/respcondition&gt;",""),IF(OR(T67,AT67&lt;&gt;"",$AS67&lt;&gt;""),"      &lt;respcondition continue=""Yes""&gt;&lt;conditionvar&gt;"&amp;IF(T67,"&lt;varequal respident=""RESPONSE""&gt;0&lt;/varequal&gt;","&lt;not&gt;&lt;varequal respident=""RESPONSE""&gt;0&lt;/varequal&gt;&lt;/not&gt;")&amp;"&lt;/conditionvar&gt;&lt;setvar action=""Add""&gt;"&amp;(Saisie_Questions!$N67/$I67)&amp;"&lt;/setvar&gt;"&amp;IF(AT67&lt;&gt;"","&lt;displayfeedback feedbacktype=""Response"" linkrefid=""response_0""/&gt;",IF($AS67&lt;&gt;"","&lt;displayfeedback feedbacktype=""Response"" linkrefid=""qti_feedback_trigger""/&gt;",""))&amp;"&lt;/respcondition&gt;",""))),"")</f>
      </c>
      <c r="AK67" s="46">
        <f>IF($B67,IF(M67="","",IF($C67="qcu",IF(OR(U67,AU67&lt;&gt;"",$AS67&lt;&gt;""),"      &lt;respcondition continue=""Yes""&gt;&lt;conditionvar&gt;&lt;varequal respident=""RESPONSE""&gt;1&lt;/varequal&gt;&lt;/conditionvar&gt;"&amp;"&lt;setvar action=""Add""&gt;"&amp;IF(U67,$H67,0)&amp;"&lt;/setvar&gt;"&amp;IF(AU67&lt;&gt;"","&lt;displayfeedback feedbacktype=""Response"" linkrefid=""response_1""/&gt;",IF($AS67&lt;&gt;"","&lt;displayfeedback feedbacktype=""Response"" linkrefid=""qti_feedback_trigger""/&gt;",""))&amp;"&lt;/respcondition&gt;",""),IF(OR(U67,AU67&lt;&gt;"",$AS67&lt;&gt;""),"      &lt;respcondition continue=""Yes""&gt;&lt;conditionvar&gt;"&amp;IF(U67,"&lt;varequal respident=""RESPONSE""&gt;1&lt;/varequal&gt;","&lt;not&gt;&lt;varequal respident=""RESPONSE""&gt;1&lt;/varequal&gt;&lt;/not&gt;")&amp;"&lt;/conditionvar&gt;&lt;setvar action=""Add""&gt;"&amp;(Saisie_Questions!$N67/$I67)&amp;"&lt;/setvar&gt;"&amp;IF(AU67&lt;&gt;"","&lt;displayfeedback feedbacktype=""Response"" linkrefid=""response_1""/&gt;",IF($AS67&lt;&gt;"","&lt;displayfeedback feedbacktype=""Response"" linkrefid=""qti_feedback_trigger""/&gt;",""))&amp;"&lt;/respcondition&gt;",""))),"")</f>
      </c>
      <c r="AL67" s="46">
        <f>IF($B67,IF(N67="","",IF($C67="qcu",IF(OR(V67,AV67&lt;&gt;"",$AS67&lt;&gt;""),"      &lt;respcondition continue=""Yes""&gt;&lt;conditionvar&gt;&lt;varequal respident=""RESPONSE""&gt;2&lt;/varequal&gt;&lt;/conditionvar&gt;"&amp;"&lt;setvar action=""Add""&gt;"&amp;IF(V67,$H67,0)&amp;"&lt;/setvar&gt;"&amp;IF(AV67&lt;&gt;"","&lt;displayfeedback feedbacktype=""Response"" linkrefid=""response_2""/&gt;",IF($AS67&lt;&gt;"","&lt;displayfeedback feedbacktype=""Response"" linkrefid=""qti_feedback_trigger""/&gt;",""))&amp;"&lt;/respcondition&gt;",""),IF(OR(V67,AV67&lt;&gt;"",$AS67&lt;&gt;""),"      &lt;respcondition continue=""Yes""&gt;&lt;conditionvar&gt;"&amp;IF(V67,"&lt;varequal respident=""RESPONSE""&gt;2&lt;/varequal&gt;","&lt;not&gt;&lt;varequal respident=""RESPONSE""&gt;2&lt;/varequal&gt;&lt;/not&gt;")&amp;"&lt;/conditionvar&gt;&lt;setvar action=""Add""&gt;"&amp;(Saisie_Questions!$N67/$I67)&amp;"&lt;/setvar&gt;"&amp;IF(AV67&lt;&gt;"","&lt;displayfeedback feedbacktype=""Response"" linkrefid=""response_2""/&gt;",IF($AS67&lt;&gt;"","&lt;displayfeedback feedbacktype=""Response"" linkrefid=""qti_feedback_trigger""/&gt;",""))&amp;"&lt;/respcondition&gt;",""))),"")</f>
      </c>
      <c r="AM67" s="46">
        <f>IF($B67,IF(O67="","",IF($C67="qcu",IF(OR(W67,AW67&lt;&gt;"",$AS67&lt;&gt;""),"      &lt;respcondition continue=""Yes""&gt;&lt;conditionvar&gt;&lt;varequal respident=""RESPONSE""&gt;3&lt;/varequal&gt;&lt;/conditionvar&gt;"&amp;"&lt;setvar action=""Add""&gt;"&amp;IF(W67,$H67,0)&amp;"&lt;/setvar&gt;"&amp;IF(AW67&lt;&gt;"","&lt;displayfeedback feedbacktype=""Response"" linkrefid=""response_3""/&gt;",IF($AS67&lt;&gt;"","&lt;displayfeedback feedbacktype=""Response"" linkrefid=""qti_feedback_trigger""/&gt;",""))&amp;"&lt;/respcondition&gt;",""),IF(OR(W67,AW67&lt;&gt;"",$AS67&lt;&gt;""),"      &lt;respcondition continue=""Yes""&gt;&lt;conditionvar&gt;"&amp;IF(W67,"&lt;varequal respident=""RESPONSE""&gt;3&lt;/varequal&gt;","&lt;not&gt;&lt;varequal respident=""RESPONSE""&gt;3&lt;/varequal&gt;&lt;/not&gt;")&amp;"&lt;/conditionvar&gt;&lt;setvar action=""Add""&gt;"&amp;(Saisie_Questions!$N67/$I67)&amp;"&lt;/setvar&gt;"&amp;IF(AW67&lt;&gt;"","&lt;displayfeedback feedbacktype=""Response"" linkrefid=""response_3""/&gt;",IF($AS67&lt;&gt;"","&lt;displayfeedback feedbacktype=""Response"" linkrefid=""qti_feedback_trigger""/&gt;",""))&amp;"&lt;/respcondition&gt;",""))),"")</f>
      </c>
      <c r="AN67" s="46">
        <f>IF($B67,IF(P67="","",IF($C67="qcu",IF(OR(X67,AX67&lt;&gt;"",$AS67&lt;&gt;""),"      &lt;respcondition continue=""Yes""&gt;&lt;conditionvar&gt;&lt;varequal respident=""RESPONSE""&gt;4&lt;/varequal&gt;&lt;/conditionvar&gt;"&amp;"&lt;setvar action=""Add""&gt;"&amp;IF(X67,$H67,0)&amp;"&lt;/setvar&gt;"&amp;IF(AX67&lt;&gt;"","&lt;displayfeedback feedbacktype=""Response"" linkrefid=""response_4""/&gt;",IF($AS67&lt;&gt;"","&lt;displayfeedback feedbacktype=""Response"" linkrefid=""qti_feedback_trigger""/&gt;",""))&amp;"&lt;/respcondition&gt;",""),IF(OR(X67,AX67&lt;&gt;"",$AS67&lt;&gt;""),"      &lt;respcondition continue=""Yes""&gt;&lt;conditionvar&gt;"&amp;IF(X67,"&lt;varequal respident=""RESPONSE""&gt;4&lt;/varequal&gt;","&lt;not&gt;&lt;varequal respident=""RESPONSE""&gt;4&lt;/varequal&gt;&lt;/not&gt;")&amp;"&lt;/conditionvar&gt;&lt;setvar action=""Add""&gt;"&amp;(Saisie_Questions!$N67/$I67)&amp;"&lt;/setvar&gt;"&amp;IF(AX67&lt;&gt;"","&lt;displayfeedback feedbacktype=""Response"" linkrefid=""response_4""/&gt;",IF($AS67&lt;&gt;"","&lt;displayfeedback feedbacktype=""Response"" linkrefid=""qti_feedback_trigger""/&gt;",""))&amp;"&lt;/respcondition&gt;",""))),"")</f>
      </c>
      <c r="AO67" s="46">
        <f>IF($B67,IF(Q67="","",IF($C67="qcu",IF(OR(Y67,AY67&lt;&gt;"",$AS67&lt;&gt;""),"      &lt;respcondition continue=""Yes""&gt;&lt;conditionvar&gt;&lt;varequal respident=""RESPONSE""&gt;5&lt;/varequal&gt;&lt;/conditionvar&gt;"&amp;"&lt;setvar action=""Add""&gt;"&amp;IF(Y67,$H67,0)&amp;"&lt;/setvar&gt;"&amp;IF(AY67&lt;&gt;"","&lt;displayfeedback feedbacktype=""Response"" linkrefid=""response_5""/&gt;",IF($AS67&lt;&gt;"","&lt;displayfeedback feedbacktype=""Response"" linkrefid=""qti_feedback_trigger""/&gt;",""))&amp;"&lt;/respcondition&gt;",""),IF(OR(Y67,AY67&lt;&gt;"",$AS67&lt;&gt;""),"      &lt;respcondition continue=""Yes""&gt;&lt;conditionvar&gt;"&amp;IF(Y67,"&lt;varequal respident=""RESPONSE""&gt;5&lt;/varequal&gt;","&lt;not&gt;&lt;varequal respident=""RESPONSE""&gt;5&lt;/varequal&gt;&lt;/not&gt;")&amp;"&lt;/conditionvar&gt;&lt;setvar action=""Add""&gt;"&amp;(Saisie_Questions!$N67/$I67)&amp;"&lt;/setvar&gt;"&amp;IF(AY67&lt;&gt;"","&lt;displayfeedback feedbacktype=""Response"" linkrefid=""response_5""/&gt;",IF($AS67&lt;&gt;"","&lt;displayfeedback feedbacktype=""Response"" linkrefid=""qti_feedback_trigger""/&gt;",""))&amp;"&lt;/respcondition&gt;",""))),"")</f>
      </c>
      <c r="AP67" s="46">
        <f>IF($B67,IF(R67="","",IF($C67="qcu",IF(OR(Z67,AZ67&lt;&gt;"",$AS67&lt;&gt;""),"      &lt;respcondition continue=""Yes""&gt;&lt;conditionvar&gt;&lt;varequal respident=""RESPONSE""&gt;6&lt;/varequal&gt;&lt;/conditionvar&gt;"&amp;"&lt;setvar action=""Add""&gt;"&amp;IF(Z67,$H67,0)&amp;"&lt;/setvar&gt;"&amp;IF(AZ67&lt;&gt;"","&lt;displayfeedback feedbacktype=""Response"" linkrefid=""response_6""/&gt;",IF($AS67&lt;&gt;"","&lt;displayfeedback feedbacktype=""Response"" linkrefid=""qti_feedback_trigger""/&gt;",""))&amp;"&lt;/respcondition&gt;",""),IF(OR(Z67,AZ67&lt;&gt;"",$AS67&lt;&gt;""),"      &lt;respcondition continue=""Yes""&gt;&lt;conditionvar&gt;"&amp;IF(Z67,"&lt;varequal respident=""RESPONSE""&gt;6&lt;/varequal&gt;","&lt;not&gt;&lt;varequal respident=""RESPONSE""&gt;6&lt;/varequal&gt;&lt;/not&gt;")&amp;"&lt;/conditionvar&gt;&lt;setvar action=""Add""&gt;"&amp;(Saisie_Questions!$N67/$I67)&amp;"&lt;/setvar&gt;"&amp;IF(AZ67&lt;&gt;"","&lt;displayfeedback feedbacktype=""Response"" linkrefid=""response_6""/&gt;",IF($AS67&lt;&gt;"","&lt;displayfeedback feedbacktype=""Response"" linkrefid=""qti_feedback_trigger""/&gt;",""))&amp;"&lt;/respcondition&gt;",""))),"")</f>
      </c>
      <c r="AQ67" s="46">
        <f>IF($B67,IF(S67="","",IF($C67="qcu",IF(OR(AA67,BA67&lt;&gt;"",$AS67&lt;&gt;""),"      &lt;respcondition continue=""Yes""&gt;&lt;conditionvar&gt;&lt;varequal respident=""RESPONSE""&gt;7&lt;/varequal&gt;&lt;/conditionvar&gt;"&amp;"&lt;setvar action=""Add""&gt;"&amp;IF(AA67,$H67,0)&amp;"&lt;/setvar&gt;"&amp;IF(BA67&lt;&gt;"","&lt;displayfeedback feedbacktype=""Response"" linkrefid=""response_7""/&gt;",IF($AS67&lt;&gt;"","&lt;displayfeedback feedbacktype=""Response"" linkrefid=""qti_feedback_trigger""/&gt;",""))&amp;"&lt;/respcondition&gt;",""),IF(OR(AA67,BA67&lt;&gt;"",$AS67&lt;&gt;""),"      &lt;respcondition continue=""Yes""&gt;&lt;conditionvar&gt;"&amp;IF(AA67,"&lt;varequal respident=""RESPONSE""&gt;7&lt;/varequal&gt;","&lt;not&gt;&lt;varequal respident=""RESPONSE""&gt;7&lt;/varequal&gt;&lt;/not&gt;")&amp;"&lt;/conditionvar&gt;&lt;setvar action=""Add""&gt;"&amp;(Saisie_Questions!$N67/$I67)&amp;"&lt;/setvar&gt;"&amp;IF(BA67&lt;&gt;"","&lt;displayfeedback feedbacktype=""Response"" linkrefid=""response_7""/&gt;",IF($AS67&lt;&gt;"","&lt;displayfeedback feedbacktype=""Response"" linkrefid=""qti_feedback_trigger""/&gt;",""))&amp;"&lt;/respcondition&gt;",""))),"")</f>
      </c>
      <c r="AR67" s="46">
        <f>IF(A67="","",SUBSTITUTE(SUBSTITUTE(SUBSTITUTE(SUBSTITUTE(SUBSTITUTE(IF(Saisie_Questions!P67&lt;&gt;"",Saisie_Questions!P67,Interface_Generation!$B$5),"&amp;","&amp;amp;"),"&lt;","&amp;lt;"),"&gt;","&amp;gt;"),CHAR(34),"&amp;quot;"),"'","&amp;apos;"))</f>
        <v/>
      </c>
      <c r="AS67" s="46">
        <f>IF(Saisie_Questions!Q67="","",SUBSTITUTE(SUBSTITUTE(SUBSTITUTE(SUBSTITUTE(SUBSTITUTE(Saisie_Questions!Q67,"&amp;","&amp;amp;"),"&lt;","&amp;lt;"),"&gt;","&amp;gt;"),CHAR(34),"&amp;quot;"),"'","&amp;apos;"))</f>
        <v/>
      </c>
      <c r="AT67" s="46">
        <f>IF(Saisie_Questions!R67="","",SUBSTITUTE(SUBSTITUTE(SUBSTITUTE(SUBSTITUTE(SUBSTITUTE(Saisie_Questions!R67,"&amp;","&amp;amp;"),"&lt;","&amp;lt;"),"&gt;","&amp;gt;"),CHAR(34),"&amp;quot;"),"'","&amp;apos;"))</f>
        <v/>
      </c>
      <c r="AU67" s="46">
        <f>IF(Saisie_Questions!S67="","",SUBSTITUTE(SUBSTITUTE(SUBSTITUTE(SUBSTITUTE(SUBSTITUTE(Saisie_Questions!S67,"&amp;","&amp;amp;"),"&lt;","&amp;lt;"),"&gt;","&amp;gt;"),CHAR(34),"&amp;quot;"),"'","&amp;apos;"))</f>
        <v/>
      </c>
      <c r="AV67" s="46">
        <f>IF(Saisie_Questions!T67="","",SUBSTITUTE(SUBSTITUTE(SUBSTITUTE(SUBSTITUTE(SUBSTITUTE(Saisie_Questions!T67,"&amp;","&amp;amp;"),"&lt;","&amp;lt;"),"&gt;","&amp;gt;"),CHAR(34),"&amp;quot;"),"'","&amp;apos;"))</f>
        <v/>
      </c>
      <c r="AW67" s="46">
        <f>IF(Saisie_Questions!U67="","",SUBSTITUTE(SUBSTITUTE(SUBSTITUTE(SUBSTITUTE(SUBSTITUTE(Saisie_Questions!U67,"&amp;","&amp;amp;"),"&lt;","&amp;lt;"),"&gt;","&amp;gt;"),CHAR(34),"&amp;quot;"),"'","&amp;apos;"))</f>
        <v/>
      </c>
      <c r="AX67" s="46">
        <f>IF(Saisie_Questions!V67="","",SUBSTITUTE(SUBSTITUTE(SUBSTITUTE(SUBSTITUTE(SUBSTITUTE(Saisie_Questions!V67,"&amp;","&amp;amp;"),"&lt;","&amp;lt;"),"&gt;","&amp;gt;"),CHAR(34),"&amp;quot;"),"'","&amp;apos;"))</f>
        <v/>
      </c>
      <c r="AY67" s="46">
        <f>IF(Saisie_Questions!W67="","",SUBSTITUTE(SUBSTITUTE(SUBSTITUTE(SUBSTITUTE(SUBSTITUTE(Saisie_Questions!W67,"&amp;","&amp;amp;"),"&lt;","&amp;lt;"),"&gt;","&amp;gt;"),CHAR(34),"&amp;quot;"),"'","&amp;apos;"))</f>
        <v/>
      </c>
      <c r="AZ67" s="46">
        <f>IF(Saisie_Questions!X67="","",SUBSTITUTE(SUBSTITUTE(SUBSTITUTE(SUBSTITUTE(SUBSTITUTE(Saisie_Questions!X67,"&amp;","&amp;amp;"),"&lt;","&amp;lt;"),"&gt;","&amp;gt;"),CHAR(34),"&amp;quot;"),"'","&amp;apos;"))</f>
        <v/>
      </c>
      <c r="BA67" s="46">
        <f>IF(Saisie_Questions!Y67="","",SUBSTITUTE(SUBSTITUTE(SUBSTITUTE(SUBSTITUTE(SUBSTITUTE(Saisie_Questions!Y67,"&amp;","&amp;amp;"),"&lt;","&amp;lt;"),"&gt;","&amp;gt;"),CHAR(34),"&amp;quot;"),"'","&amp;apos;"))</f>
        <v/>
      </c>
      <c r="BB67" s="46">
        <f>IF($B67,IF($AS67="","","    &lt;itemfeedback ident=""response_allcorrect"" view=""All""&gt;&lt;flow_mat&gt;&lt;material&gt;&lt;mattext texttype=""text/html""&gt;"&amp;$AS67&amp;"&lt;/mattext&gt;&lt;/material&gt;&lt;/flow_mat&gt;&lt;/itemfeedback&gt;"&amp;"    &lt;itemfeedback ident=""response_onenotcorrect"" view=""All""&gt;&lt;flow_mat&gt;&lt;material&gt;&lt;mattext texttype=""text/html""&gt;"&amp;$AS67&amp;"&lt;/mattext&gt;&lt;/material&gt;&lt;/flow_mat&gt;&lt;/itemfeedback&gt;"),"")</f>
      </c>
      <c r="BC67" s="46">
        <f>IF($B67,IF(AT67="","","    &lt;itemfeedback ident=""response_0"" view=""All""&gt;&lt;flow_mat&gt;&lt;material&gt;&lt;mattext texttype=""text/html""&gt;"&amp;AT67&amp;"&lt;/mattext&gt;&lt;/material&gt;&lt;/flow_mat&gt;&lt;/itemfeedback&gt;"),"")</f>
      </c>
      <c r="BD67" s="46">
        <f>IF($B67,IF(AU67="","","    &lt;itemfeedback ident=""response_1"" view=""All""&gt;&lt;flow_mat&gt;&lt;material&gt;&lt;mattext texttype=""text/html""&gt;"&amp;AU67&amp;"&lt;/mattext&gt;&lt;/material&gt;&lt;/flow_mat&gt;&lt;/itemfeedback&gt;"),"")</f>
      </c>
      <c r="BE67" s="46">
        <f>IF($B67,IF(AV67="","","    &lt;itemfeedback ident=""response_2"" view=""All""&gt;&lt;flow_mat&gt;&lt;material&gt;&lt;mattext texttype=""text/html""&gt;"&amp;AV67&amp;"&lt;/mattext&gt;&lt;/material&gt;&lt;/flow_mat&gt;&lt;/itemfeedback&gt;"),"")</f>
      </c>
      <c r="BF67" s="46">
        <f>IF($B67,IF(AW67="","","    &lt;itemfeedback ident=""response_3"" view=""All""&gt;&lt;flow_mat&gt;&lt;material&gt;&lt;mattext texttype=""text/html""&gt;"&amp;AW67&amp;"&lt;/mattext&gt;&lt;/material&gt;&lt;/flow_mat&gt;&lt;/itemfeedback&gt;"),"")</f>
      </c>
      <c r="BG67" s="46">
        <f>IF($B67,IF(AX67="","","    &lt;itemfeedback ident=""response_4"" view=""All""&gt;&lt;flow_mat&gt;&lt;material&gt;&lt;mattext texttype=""text/html""&gt;"&amp;AX67&amp;"&lt;/mattext&gt;&lt;/material&gt;&lt;/flow_mat&gt;&lt;/itemfeedback&gt;"),"")</f>
      </c>
      <c r="BH67" s="46">
        <f>IF($B67,IF(AY67="","","    &lt;itemfeedback ident=""response_5"" view=""All""&gt;&lt;flow_mat&gt;&lt;material&gt;&lt;mattext texttype=""text/html""&gt;"&amp;AY67&amp;"&lt;/mattext&gt;&lt;/material&gt;&lt;/flow_mat&gt;&lt;/itemfeedback&gt;"),"")</f>
      </c>
      <c r="BI67" s="46">
        <f>IF($B67,IF(AZ67="","","    &lt;itemfeedback ident=""response_6"" view=""All""&gt;&lt;flow_mat&gt;&lt;material&gt;&lt;mattext texttype=""text/html""&gt;"&amp;AZ67&amp;"&lt;/mattext&gt;&lt;/material&gt;&lt;/flow_mat&gt;&lt;/itemfeedback&gt;"),"")</f>
      </c>
      <c r="BJ67" s="46">
        <f>IF($B67,IF(BA67="","","    &lt;itemfeedback ident=""response_7"" view=""All""&gt;&lt;flow_mat&gt;&lt;material&gt;&lt;mattext texttype=""text/html""&gt;"&amp;BA67&amp;"&lt;/mattext&gt;&lt;/material&gt;&lt;/flow_mat&gt;&lt;/itemfeedback&gt;"),"")</f>
      </c>
    </row>
    <row r="68" ht="18" customHeight="1" s="17">
      <c r="A68" s="46">
        <f>Saisie_Questions!A68</f>
        <v/>
      </c>
      <c r="B68" s="46">
        <f>Saisie_Questions!O68="OK"</f>
        <v/>
      </c>
      <c r="C68" s="46">
        <f>LOWER(TRIM(Saisie_Questions!B68))</f>
        <v/>
      </c>
      <c r="D68" s="46">
        <f>IF(C68="qcu","SINGLE CHOICE QUESTION","MULTIPLE CHOICE QUESTION")</f>
        <v/>
      </c>
      <c r="E68" s="46">
        <f>IF(C68="qcu","Single","Multiple")</f>
        <v/>
      </c>
      <c r="F68" s="46">
        <f>IF(A68="","",SUBSTITUTE(SUBSTITUTE(SUBSTITUTE(SUBSTITUTE(SUBSTITUTE(IF(Saisie_Questions!C68="", "Question "&amp;A68, Saisie_Questions!C68),"&amp;","&amp;amp;"),"&lt;","&amp;lt;"),"&gt;","&amp;gt;"),CHAR(34),"&amp;quot;"),"'","&amp;apos;"))</f>
        <v/>
      </c>
      <c r="G68" s="46">
        <f>IF(A68="","",SUBSTITUTE(SUBSTITUTE(SUBSTITUTE(SUBSTITUTE(SUBSTITUTE(Saisie_Questions!D68,"&amp;","&amp;amp;"),"&lt;","&amp;lt;"),"&gt;","&amp;gt;"),CHAR(34),"&amp;quot;"),"'","&amp;apos;"))</f>
        <v/>
      </c>
      <c r="H68" s="46">
        <f>Saisie_Questions!N68</f>
        <v/>
      </c>
      <c r="I68" s="46">
        <f>IF(Saisie_Questions!E68="",0,1)+IF(Saisie_Questions!F68="",0,1)+IF(Saisie_Questions!G68="",0,1)+IF(Saisie_Questions!H68="",0,1)+IF(Saisie_Questions!I68="",0,1)+IF(Saisie_Questions!J68="",0,1)+IF(Saisie_Questions!K68="",0,1)+IF(Saisie_Questions!L68="",0,1)</f>
        <v/>
      </c>
      <c r="J68" s="46">
        <f>Saisie_Questions!M68</f>
        <v/>
      </c>
      <c r="K68" s="46">
        <f>Saisie_Questions!O68</f>
        <v/>
      </c>
      <c r="L68" s="46">
        <f>IF(Saisie_Questions!E68="","",SUBSTITUTE(SUBSTITUTE(SUBSTITUTE(SUBSTITUTE(SUBSTITUTE(Saisie_Questions!E68,"&amp;","&amp;amp;"),"&lt;","&amp;lt;"),"&gt;","&amp;gt;"),CHAR(34),"&amp;quot;"),"'","&amp;apos;"))</f>
        <v/>
      </c>
      <c r="M68" s="46">
        <f>IF(Saisie_Questions!F68="","",SUBSTITUTE(SUBSTITUTE(SUBSTITUTE(SUBSTITUTE(SUBSTITUTE(Saisie_Questions!F68,"&amp;","&amp;amp;"),"&lt;","&amp;lt;"),"&gt;","&amp;gt;"),CHAR(34),"&amp;quot;"),"'","&amp;apos;"))</f>
        <v/>
      </c>
      <c r="N68" s="46">
        <f>IF(Saisie_Questions!G68="","",SUBSTITUTE(SUBSTITUTE(SUBSTITUTE(SUBSTITUTE(SUBSTITUTE(Saisie_Questions!G68,"&amp;","&amp;amp;"),"&lt;","&amp;lt;"),"&gt;","&amp;gt;"),CHAR(34),"&amp;quot;"),"'","&amp;apos;"))</f>
        <v/>
      </c>
      <c r="O68" s="46">
        <f>IF(Saisie_Questions!H68="","",SUBSTITUTE(SUBSTITUTE(SUBSTITUTE(SUBSTITUTE(SUBSTITUTE(Saisie_Questions!H68,"&amp;","&amp;amp;"),"&lt;","&amp;lt;"),"&gt;","&amp;gt;"),CHAR(34),"&amp;quot;"),"'","&amp;apos;"))</f>
        <v/>
      </c>
      <c r="P68" s="46">
        <f>IF(Saisie_Questions!I68="","",SUBSTITUTE(SUBSTITUTE(SUBSTITUTE(SUBSTITUTE(SUBSTITUTE(Saisie_Questions!I68,"&amp;","&amp;amp;"),"&lt;","&amp;lt;"),"&gt;","&amp;gt;"),CHAR(34),"&amp;quot;"),"'","&amp;apos;"))</f>
        <v/>
      </c>
      <c r="Q68" s="46">
        <f>IF(Saisie_Questions!J68="","",SUBSTITUTE(SUBSTITUTE(SUBSTITUTE(SUBSTITUTE(SUBSTITUTE(Saisie_Questions!J68,"&amp;","&amp;amp;"),"&lt;","&amp;lt;"),"&gt;","&amp;gt;"),CHAR(34),"&amp;quot;"),"'","&amp;apos;"))</f>
        <v/>
      </c>
      <c r="R68" s="46">
        <f>IF(Saisie_Questions!K68="","",SUBSTITUTE(SUBSTITUTE(SUBSTITUTE(SUBSTITUTE(SUBSTITUTE(Saisie_Questions!K68,"&amp;","&amp;amp;"),"&lt;","&amp;lt;"),"&gt;","&amp;gt;"),CHAR(34),"&amp;quot;"),"'","&amp;apos;"))</f>
        <v/>
      </c>
      <c r="S68" s="46">
        <f>IF(Saisie_Questions!L68="","",SUBSTITUTE(SUBSTITUTE(SUBSTITUTE(SUBSTITUTE(SUBSTITUTE(Saisie_Questions!L68,"&amp;","&amp;amp;"),"&lt;","&amp;lt;"),"&gt;","&amp;gt;"),CHAR(34),"&amp;quot;"),"'","&amp;apos;"))</f>
        <v/>
      </c>
      <c r="T68" s="46">
        <f>ISNUMBER(SEARCH(";"&amp;1&amp;";",";"&amp;$J68&amp;";"))</f>
        <v/>
      </c>
      <c r="U68" s="46">
        <f>ISNUMBER(SEARCH(";"&amp;2&amp;";",";"&amp;$J68&amp;";"))</f>
        <v/>
      </c>
      <c r="V68" s="46">
        <f>ISNUMBER(SEARCH(";"&amp;3&amp;";",";"&amp;$J68&amp;";"))</f>
        <v/>
      </c>
      <c r="W68" s="46">
        <f>ISNUMBER(SEARCH(";"&amp;4&amp;";",";"&amp;$J68&amp;";"))</f>
        <v/>
      </c>
      <c r="X68" s="46">
        <f>ISNUMBER(SEARCH(";"&amp;5&amp;";",";"&amp;$J68&amp;";"))</f>
        <v/>
      </c>
      <c r="Y68" s="46">
        <f>ISNUMBER(SEARCH(";"&amp;6&amp;";",";"&amp;$J68&amp;";"))</f>
        <v/>
      </c>
      <c r="Z68" s="46">
        <f>ISNUMBER(SEARCH(";"&amp;7&amp;";",";"&amp;$J68&amp;";"))</f>
        <v/>
      </c>
      <c r="AA68" s="46">
        <f>ISNUMBER(SEARCH(";"&amp;8&amp;";",";"&amp;$J68&amp;";"))</f>
        <v/>
      </c>
      <c r="AB68" s="46">
        <f>IF($B68,IF(L68="","","        &lt;response_label ident=""0""&gt;&lt;material&gt;&lt;mattext texttype=""text/html""&gt;"&amp;L68&amp;"&lt;/mattext&gt;&lt;/material&gt;&lt;/response_label&gt;"),"")</f>
        <v/>
      </c>
      <c r="AC68" s="46">
        <f>IF($B68,IF(M68="","","        &lt;response_label ident=""1""&gt;&lt;material&gt;&lt;mattext texttype=""text/html""&gt;"&amp;M68&amp;"&lt;/mattext&gt;&lt;/material&gt;&lt;/response_label&gt;"),"")</f>
        <v/>
      </c>
      <c r="AD68" s="46">
        <f>IF($B68,IF(N68="","","        &lt;response_label ident=""2""&gt;&lt;material&gt;&lt;mattext texttype=""text/html""&gt;"&amp;N68&amp;"&lt;/mattext&gt;&lt;/material&gt;&lt;/response_label&gt;"),"")</f>
        <v/>
      </c>
      <c r="AE68" s="46">
        <f>IF($B68,IF(O68="","","        &lt;response_label ident=""3""&gt;&lt;material&gt;&lt;mattext texttype=""text/html""&gt;"&amp;O68&amp;"&lt;/mattext&gt;&lt;/material&gt;&lt;/response_label&gt;"),"")</f>
        <v/>
      </c>
      <c r="AF68" s="46">
        <f>IF($B68,IF(P68="","","        &lt;response_label ident=""4""&gt;&lt;material&gt;&lt;mattext texttype=""text/html""&gt;"&amp;P68&amp;"&lt;/mattext&gt;&lt;/material&gt;&lt;/response_label&gt;"),"")</f>
        <v/>
      </c>
      <c r="AG68" s="46">
        <f>IF($B68,IF(Q68="","","        &lt;response_label ident=""5""&gt;&lt;material&gt;&lt;mattext texttype=""text/html""&gt;"&amp;Q68&amp;"&lt;/mattext&gt;&lt;/material&gt;&lt;/response_label&gt;"),"")</f>
        <v/>
      </c>
      <c r="AH68" s="46">
        <f>IF($B68,IF(R68="","","        &lt;response_label ident=""6""&gt;&lt;material&gt;&lt;mattext texttype=""text/html""&gt;"&amp;R68&amp;"&lt;/mattext&gt;&lt;/material&gt;&lt;/response_label&gt;"),"")</f>
        <v/>
      </c>
      <c r="AI68" s="46">
        <f>IF($B68,IF(S68="","","        &lt;response_label ident=""7""&gt;&lt;material&gt;&lt;mattext texttype=""text/html""&gt;"&amp;S68&amp;"&lt;/mattext&gt;&lt;/material&gt;&lt;/response_label&gt;"),"")</f>
        <v/>
      </c>
      <c r="AJ68" s="46">
        <f>IF($B68,IF(L68="","",IF($C68="qcu",IF(OR(T68,AT68&lt;&gt;"",$AS68&lt;&gt;""),"      &lt;respcondition continue=""Yes""&gt;&lt;conditionvar&gt;&lt;varequal respident=""RESPONSE""&gt;0&lt;/varequal&gt;&lt;/conditionvar&gt;"&amp;"&lt;setvar action=""Add""&gt;"&amp;IF(T68,$H68,0)&amp;"&lt;/setvar&gt;"&amp;IF(AT68&lt;&gt;"","&lt;displayfeedback feedbacktype=""Response"" linkrefid=""response_0""/&gt;",IF($AS68&lt;&gt;"","&lt;displayfeedback feedbacktype=""Response"" linkrefid=""qti_feedback_trigger""/&gt;",""))&amp;"&lt;/respcondition&gt;",""),IF(OR(T68,AT68&lt;&gt;"",$AS68&lt;&gt;""),"      &lt;respcondition continue=""Yes""&gt;&lt;conditionvar&gt;"&amp;IF(T68,"&lt;varequal respident=""RESPONSE""&gt;0&lt;/varequal&gt;","&lt;not&gt;&lt;varequal respident=""RESPONSE""&gt;0&lt;/varequal&gt;&lt;/not&gt;")&amp;"&lt;/conditionvar&gt;&lt;setvar action=""Add""&gt;"&amp;(Saisie_Questions!$N68/$I68)&amp;"&lt;/setvar&gt;"&amp;IF(AT68&lt;&gt;"","&lt;displayfeedback feedbacktype=""Response"" linkrefid=""response_0""/&gt;",IF($AS68&lt;&gt;"","&lt;displayfeedback feedbacktype=""Response"" linkrefid=""qti_feedback_trigger""/&gt;",""))&amp;"&lt;/respcondition&gt;",""))),"")</f>
      </c>
      <c r="AK68" s="46">
        <f>IF($B68,IF(M68="","",IF($C68="qcu",IF(OR(U68,AU68&lt;&gt;"",$AS68&lt;&gt;""),"      &lt;respcondition continue=""Yes""&gt;&lt;conditionvar&gt;&lt;varequal respident=""RESPONSE""&gt;1&lt;/varequal&gt;&lt;/conditionvar&gt;"&amp;"&lt;setvar action=""Add""&gt;"&amp;IF(U68,$H68,0)&amp;"&lt;/setvar&gt;"&amp;IF(AU68&lt;&gt;"","&lt;displayfeedback feedbacktype=""Response"" linkrefid=""response_1""/&gt;",IF($AS68&lt;&gt;"","&lt;displayfeedback feedbacktype=""Response"" linkrefid=""qti_feedback_trigger""/&gt;",""))&amp;"&lt;/respcondition&gt;",""),IF(OR(U68,AU68&lt;&gt;"",$AS68&lt;&gt;""),"      &lt;respcondition continue=""Yes""&gt;&lt;conditionvar&gt;"&amp;IF(U68,"&lt;varequal respident=""RESPONSE""&gt;1&lt;/varequal&gt;","&lt;not&gt;&lt;varequal respident=""RESPONSE""&gt;1&lt;/varequal&gt;&lt;/not&gt;")&amp;"&lt;/conditionvar&gt;&lt;setvar action=""Add""&gt;"&amp;(Saisie_Questions!$N68/$I68)&amp;"&lt;/setvar&gt;"&amp;IF(AU68&lt;&gt;"","&lt;displayfeedback feedbacktype=""Response"" linkrefid=""response_1""/&gt;",IF($AS68&lt;&gt;"","&lt;displayfeedback feedbacktype=""Response"" linkrefid=""qti_feedback_trigger""/&gt;",""))&amp;"&lt;/respcondition&gt;",""))),"")</f>
      </c>
      <c r="AL68" s="46">
        <f>IF($B68,IF(N68="","",IF($C68="qcu",IF(OR(V68,AV68&lt;&gt;"",$AS68&lt;&gt;""),"      &lt;respcondition continue=""Yes""&gt;&lt;conditionvar&gt;&lt;varequal respident=""RESPONSE""&gt;2&lt;/varequal&gt;&lt;/conditionvar&gt;"&amp;"&lt;setvar action=""Add""&gt;"&amp;IF(V68,$H68,0)&amp;"&lt;/setvar&gt;"&amp;IF(AV68&lt;&gt;"","&lt;displayfeedback feedbacktype=""Response"" linkrefid=""response_2""/&gt;",IF($AS68&lt;&gt;"","&lt;displayfeedback feedbacktype=""Response"" linkrefid=""qti_feedback_trigger""/&gt;",""))&amp;"&lt;/respcondition&gt;",""),IF(OR(V68,AV68&lt;&gt;"",$AS68&lt;&gt;""),"      &lt;respcondition continue=""Yes""&gt;&lt;conditionvar&gt;"&amp;IF(V68,"&lt;varequal respident=""RESPONSE""&gt;2&lt;/varequal&gt;","&lt;not&gt;&lt;varequal respident=""RESPONSE""&gt;2&lt;/varequal&gt;&lt;/not&gt;")&amp;"&lt;/conditionvar&gt;&lt;setvar action=""Add""&gt;"&amp;(Saisie_Questions!$N68/$I68)&amp;"&lt;/setvar&gt;"&amp;IF(AV68&lt;&gt;"","&lt;displayfeedback feedbacktype=""Response"" linkrefid=""response_2""/&gt;",IF($AS68&lt;&gt;"","&lt;displayfeedback feedbacktype=""Response"" linkrefid=""qti_feedback_trigger""/&gt;",""))&amp;"&lt;/respcondition&gt;",""))),"")</f>
      </c>
      <c r="AM68" s="46">
        <f>IF($B68,IF(O68="","",IF($C68="qcu",IF(OR(W68,AW68&lt;&gt;"",$AS68&lt;&gt;""),"      &lt;respcondition continue=""Yes""&gt;&lt;conditionvar&gt;&lt;varequal respident=""RESPONSE""&gt;3&lt;/varequal&gt;&lt;/conditionvar&gt;"&amp;"&lt;setvar action=""Add""&gt;"&amp;IF(W68,$H68,0)&amp;"&lt;/setvar&gt;"&amp;IF(AW68&lt;&gt;"","&lt;displayfeedback feedbacktype=""Response"" linkrefid=""response_3""/&gt;",IF($AS68&lt;&gt;"","&lt;displayfeedback feedbacktype=""Response"" linkrefid=""qti_feedback_trigger""/&gt;",""))&amp;"&lt;/respcondition&gt;",""),IF(OR(W68,AW68&lt;&gt;"",$AS68&lt;&gt;""),"      &lt;respcondition continue=""Yes""&gt;&lt;conditionvar&gt;"&amp;IF(W68,"&lt;varequal respident=""RESPONSE""&gt;3&lt;/varequal&gt;","&lt;not&gt;&lt;varequal respident=""RESPONSE""&gt;3&lt;/varequal&gt;&lt;/not&gt;")&amp;"&lt;/conditionvar&gt;&lt;setvar action=""Add""&gt;"&amp;(Saisie_Questions!$N68/$I68)&amp;"&lt;/setvar&gt;"&amp;IF(AW68&lt;&gt;"","&lt;displayfeedback feedbacktype=""Response"" linkrefid=""response_3""/&gt;",IF($AS68&lt;&gt;"","&lt;displayfeedback feedbacktype=""Response"" linkrefid=""qti_feedback_trigger""/&gt;",""))&amp;"&lt;/respcondition&gt;",""))),"")</f>
      </c>
      <c r="AN68" s="46">
        <f>IF($B68,IF(P68="","",IF($C68="qcu",IF(OR(X68,AX68&lt;&gt;"",$AS68&lt;&gt;""),"      &lt;respcondition continue=""Yes""&gt;&lt;conditionvar&gt;&lt;varequal respident=""RESPONSE""&gt;4&lt;/varequal&gt;&lt;/conditionvar&gt;"&amp;"&lt;setvar action=""Add""&gt;"&amp;IF(X68,$H68,0)&amp;"&lt;/setvar&gt;"&amp;IF(AX68&lt;&gt;"","&lt;displayfeedback feedbacktype=""Response"" linkrefid=""response_4""/&gt;",IF($AS68&lt;&gt;"","&lt;displayfeedback feedbacktype=""Response"" linkrefid=""qti_feedback_trigger""/&gt;",""))&amp;"&lt;/respcondition&gt;",""),IF(OR(X68,AX68&lt;&gt;"",$AS68&lt;&gt;""),"      &lt;respcondition continue=""Yes""&gt;&lt;conditionvar&gt;"&amp;IF(X68,"&lt;varequal respident=""RESPONSE""&gt;4&lt;/varequal&gt;","&lt;not&gt;&lt;varequal respident=""RESPONSE""&gt;4&lt;/varequal&gt;&lt;/not&gt;")&amp;"&lt;/conditionvar&gt;&lt;setvar action=""Add""&gt;"&amp;(Saisie_Questions!$N68/$I68)&amp;"&lt;/setvar&gt;"&amp;IF(AX68&lt;&gt;"","&lt;displayfeedback feedbacktype=""Response"" linkrefid=""response_4""/&gt;",IF($AS68&lt;&gt;"","&lt;displayfeedback feedbacktype=""Response"" linkrefid=""qti_feedback_trigger""/&gt;",""))&amp;"&lt;/respcondition&gt;",""))),"")</f>
      </c>
      <c r="AO68" s="46">
        <f>IF($B68,IF(Q68="","",IF($C68="qcu",IF(OR(Y68,AY68&lt;&gt;"",$AS68&lt;&gt;""),"      &lt;respcondition continue=""Yes""&gt;&lt;conditionvar&gt;&lt;varequal respident=""RESPONSE""&gt;5&lt;/varequal&gt;&lt;/conditionvar&gt;"&amp;"&lt;setvar action=""Add""&gt;"&amp;IF(Y68,$H68,0)&amp;"&lt;/setvar&gt;"&amp;IF(AY68&lt;&gt;"","&lt;displayfeedback feedbacktype=""Response"" linkrefid=""response_5""/&gt;",IF($AS68&lt;&gt;"","&lt;displayfeedback feedbacktype=""Response"" linkrefid=""qti_feedback_trigger""/&gt;",""))&amp;"&lt;/respcondition&gt;",""),IF(OR(Y68,AY68&lt;&gt;"",$AS68&lt;&gt;""),"      &lt;respcondition continue=""Yes""&gt;&lt;conditionvar&gt;"&amp;IF(Y68,"&lt;varequal respident=""RESPONSE""&gt;5&lt;/varequal&gt;","&lt;not&gt;&lt;varequal respident=""RESPONSE""&gt;5&lt;/varequal&gt;&lt;/not&gt;")&amp;"&lt;/conditionvar&gt;&lt;setvar action=""Add""&gt;"&amp;(Saisie_Questions!$N68/$I68)&amp;"&lt;/setvar&gt;"&amp;IF(AY68&lt;&gt;"","&lt;displayfeedback feedbacktype=""Response"" linkrefid=""response_5""/&gt;",IF($AS68&lt;&gt;"","&lt;displayfeedback feedbacktype=""Response"" linkrefid=""qti_feedback_trigger""/&gt;",""))&amp;"&lt;/respcondition&gt;",""))),"")</f>
      </c>
      <c r="AP68" s="46">
        <f>IF($B68,IF(R68="","",IF($C68="qcu",IF(OR(Z68,AZ68&lt;&gt;"",$AS68&lt;&gt;""),"      &lt;respcondition continue=""Yes""&gt;&lt;conditionvar&gt;&lt;varequal respident=""RESPONSE""&gt;6&lt;/varequal&gt;&lt;/conditionvar&gt;"&amp;"&lt;setvar action=""Add""&gt;"&amp;IF(Z68,$H68,0)&amp;"&lt;/setvar&gt;"&amp;IF(AZ68&lt;&gt;"","&lt;displayfeedback feedbacktype=""Response"" linkrefid=""response_6""/&gt;",IF($AS68&lt;&gt;"","&lt;displayfeedback feedbacktype=""Response"" linkrefid=""qti_feedback_trigger""/&gt;",""))&amp;"&lt;/respcondition&gt;",""),IF(OR(Z68,AZ68&lt;&gt;"",$AS68&lt;&gt;""),"      &lt;respcondition continue=""Yes""&gt;&lt;conditionvar&gt;"&amp;IF(Z68,"&lt;varequal respident=""RESPONSE""&gt;6&lt;/varequal&gt;","&lt;not&gt;&lt;varequal respident=""RESPONSE""&gt;6&lt;/varequal&gt;&lt;/not&gt;")&amp;"&lt;/conditionvar&gt;&lt;setvar action=""Add""&gt;"&amp;(Saisie_Questions!$N68/$I68)&amp;"&lt;/setvar&gt;"&amp;IF(AZ68&lt;&gt;"","&lt;displayfeedback feedbacktype=""Response"" linkrefid=""response_6""/&gt;",IF($AS68&lt;&gt;"","&lt;displayfeedback feedbacktype=""Response"" linkrefid=""qti_feedback_trigger""/&gt;",""))&amp;"&lt;/respcondition&gt;",""))),"")</f>
      </c>
      <c r="AQ68" s="46">
        <f>IF($B68,IF(S68="","",IF($C68="qcu",IF(OR(AA68,BA68&lt;&gt;"",$AS68&lt;&gt;""),"      &lt;respcondition continue=""Yes""&gt;&lt;conditionvar&gt;&lt;varequal respident=""RESPONSE""&gt;7&lt;/varequal&gt;&lt;/conditionvar&gt;"&amp;"&lt;setvar action=""Add""&gt;"&amp;IF(AA68,$H68,0)&amp;"&lt;/setvar&gt;"&amp;IF(BA68&lt;&gt;"","&lt;displayfeedback feedbacktype=""Response"" linkrefid=""response_7""/&gt;",IF($AS68&lt;&gt;"","&lt;displayfeedback feedbacktype=""Response"" linkrefid=""qti_feedback_trigger""/&gt;",""))&amp;"&lt;/respcondition&gt;",""),IF(OR(AA68,BA68&lt;&gt;"",$AS68&lt;&gt;""),"      &lt;respcondition continue=""Yes""&gt;&lt;conditionvar&gt;"&amp;IF(AA68,"&lt;varequal respident=""RESPONSE""&gt;7&lt;/varequal&gt;","&lt;not&gt;&lt;varequal respident=""RESPONSE""&gt;7&lt;/varequal&gt;&lt;/not&gt;")&amp;"&lt;/conditionvar&gt;&lt;setvar action=""Add""&gt;"&amp;(Saisie_Questions!$N68/$I68)&amp;"&lt;/setvar&gt;"&amp;IF(BA68&lt;&gt;"","&lt;displayfeedback feedbacktype=""Response"" linkrefid=""response_7""/&gt;",IF($AS68&lt;&gt;"","&lt;displayfeedback feedbacktype=""Response"" linkrefid=""qti_feedback_trigger""/&gt;",""))&amp;"&lt;/respcondition&gt;",""))),"")</f>
      </c>
      <c r="AR68" s="46">
        <f>IF(A68="","",SUBSTITUTE(SUBSTITUTE(SUBSTITUTE(SUBSTITUTE(SUBSTITUTE(IF(Saisie_Questions!P68&lt;&gt;"",Saisie_Questions!P68,Interface_Generation!$B$5),"&amp;","&amp;amp;"),"&lt;","&amp;lt;"),"&gt;","&amp;gt;"),CHAR(34),"&amp;quot;"),"'","&amp;apos;"))</f>
        <v/>
      </c>
      <c r="AS68" s="46">
        <f>IF(Saisie_Questions!Q68="","",SUBSTITUTE(SUBSTITUTE(SUBSTITUTE(SUBSTITUTE(SUBSTITUTE(Saisie_Questions!Q68,"&amp;","&amp;amp;"),"&lt;","&amp;lt;"),"&gt;","&amp;gt;"),CHAR(34),"&amp;quot;"),"'","&amp;apos;"))</f>
        <v/>
      </c>
      <c r="AT68" s="46">
        <f>IF(Saisie_Questions!R68="","",SUBSTITUTE(SUBSTITUTE(SUBSTITUTE(SUBSTITUTE(SUBSTITUTE(Saisie_Questions!R68,"&amp;","&amp;amp;"),"&lt;","&amp;lt;"),"&gt;","&amp;gt;"),CHAR(34),"&amp;quot;"),"'","&amp;apos;"))</f>
        <v/>
      </c>
      <c r="AU68" s="46">
        <f>IF(Saisie_Questions!S68="","",SUBSTITUTE(SUBSTITUTE(SUBSTITUTE(SUBSTITUTE(SUBSTITUTE(Saisie_Questions!S68,"&amp;","&amp;amp;"),"&lt;","&amp;lt;"),"&gt;","&amp;gt;"),CHAR(34),"&amp;quot;"),"'","&amp;apos;"))</f>
        <v/>
      </c>
      <c r="AV68" s="46">
        <f>IF(Saisie_Questions!T68="","",SUBSTITUTE(SUBSTITUTE(SUBSTITUTE(SUBSTITUTE(SUBSTITUTE(Saisie_Questions!T68,"&amp;","&amp;amp;"),"&lt;","&amp;lt;"),"&gt;","&amp;gt;"),CHAR(34),"&amp;quot;"),"'","&amp;apos;"))</f>
        <v/>
      </c>
      <c r="AW68" s="46">
        <f>IF(Saisie_Questions!U68="","",SUBSTITUTE(SUBSTITUTE(SUBSTITUTE(SUBSTITUTE(SUBSTITUTE(Saisie_Questions!U68,"&amp;","&amp;amp;"),"&lt;","&amp;lt;"),"&gt;","&amp;gt;"),CHAR(34),"&amp;quot;"),"'","&amp;apos;"))</f>
        <v/>
      </c>
      <c r="AX68" s="46">
        <f>IF(Saisie_Questions!V68="","",SUBSTITUTE(SUBSTITUTE(SUBSTITUTE(SUBSTITUTE(SUBSTITUTE(Saisie_Questions!V68,"&amp;","&amp;amp;"),"&lt;","&amp;lt;"),"&gt;","&amp;gt;"),CHAR(34),"&amp;quot;"),"'","&amp;apos;"))</f>
        <v/>
      </c>
      <c r="AY68" s="46">
        <f>IF(Saisie_Questions!W68="","",SUBSTITUTE(SUBSTITUTE(SUBSTITUTE(SUBSTITUTE(SUBSTITUTE(Saisie_Questions!W68,"&amp;","&amp;amp;"),"&lt;","&amp;lt;"),"&gt;","&amp;gt;"),CHAR(34),"&amp;quot;"),"'","&amp;apos;"))</f>
        <v/>
      </c>
      <c r="AZ68" s="46">
        <f>IF(Saisie_Questions!X68="","",SUBSTITUTE(SUBSTITUTE(SUBSTITUTE(SUBSTITUTE(SUBSTITUTE(Saisie_Questions!X68,"&amp;","&amp;amp;"),"&lt;","&amp;lt;"),"&gt;","&amp;gt;"),CHAR(34),"&amp;quot;"),"'","&amp;apos;"))</f>
        <v/>
      </c>
      <c r="BA68" s="46">
        <f>IF(Saisie_Questions!Y68="","",SUBSTITUTE(SUBSTITUTE(SUBSTITUTE(SUBSTITUTE(SUBSTITUTE(Saisie_Questions!Y68,"&amp;","&amp;amp;"),"&lt;","&amp;lt;"),"&gt;","&amp;gt;"),CHAR(34),"&amp;quot;"),"'","&amp;apos;"))</f>
        <v/>
      </c>
      <c r="BB68" s="46">
        <f>IF($B68,IF($AS68="","","    &lt;itemfeedback ident=""response_allcorrect"" view=""All""&gt;&lt;flow_mat&gt;&lt;material&gt;&lt;mattext texttype=""text/html""&gt;"&amp;$AS68&amp;"&lt;/mattext&gt;&lt;/material&gt;&lt;/flow_mat&gt;&lt;/itemfeedback&gt;"&amp;"    &lt;itemfeedback ident=""response_onenotcorrect"" view=""All""&gt;&lt;flow_mat&gt;&lt;material&gt;&lt;mattext texttype=""text/html""&gt;"&amp;$AS68&amp;"&lt;/mattext&gt;&lt;/material&gt;&lt;/flow_mat&gt;&lt;/itemfeedback&gt;"),"")</f>
      </c>
      <c r="BC68" s="46">
        <f>IF($B68,IF(AT68="","","    &lt;itemfeedback ident=""response_0"" view=""All""&gt;&lt;flow_mat&gt;&lt;material&gt;&lt;mattext texttype=""text/html""&gt;"&amp;AT68&amp;"&lt;/mattext&gt;&lt;/material&gt;&lt;/flow_mat&gt;&lt;/itemfeedback&gt;"),"")</f>
      </c>
      <c r="BD68" s="46">
        <f>IF($B68,IF(AU68="","","    &lt;itemfeedback ident=""response_1"" view=""All""&gt;&lt;flow_mat&gt;&lt;material&gt;&lt;mattext texttype=""text/html""&gt;"&amp;AU68&amp;"&lt;/mattext&gt;&lt;/material&gt;&lt;/flow_mat&gt;&lt;/itemfeedback&gt;"),"")</f>
      </c>
      <c r="BE68" s="46">
        <f>IF($B68,IF(AV68="","","    &lt;itemfeedback ident=""response_2"" view=""All""&gt;&lt;flow_mat&gt;&lt;material&gt;&lt;mattext texttype=""text/html""&gt;"&amp;AV68&amp;"&lt;/mattext&gt;&lt;/material&gt;&lt;/flow_mat&gt;&lt;/itemfeedback&gt;"),"")</f>
      </c>
      <c r="BF68" s="46">
        <f>IF($B68,IF(AW68="","","    &lt;itemfeedback ident=""response_3"" view=""All""&gt;&lt;flow_mat&gt;&lt;material&gt;&lt;mattext texttype=""text/html""&gt;"&amp;AW68&amp;"&lt;/mattext&gt;&lt;/material&gt;&lt;/flow_mat&gt;&lt;/itemfeedback&gt;"),"")</f>
      </c>
      <c r="BG68" s="46">
        <f>IF($B68,IF(AX68="","","    &lt;itemfeedback ident=""response_4"" view=""All""&gt;&lt;flow_mat&gt;&lt;material&gt;&lt;mattext texttype=""text/html""&gt;"&amp;AX68&amp;"&lt;/mattext&gt;&lt;/material&gt;&lt;/flow_mat&gt;&lt;/itemfeedback&gt;"),"")</f>
      </c>
      <c r="BH68" s="46">
        <f>IF($B68,IF(AY68="","","    &lt;itemfeedback ident=""response_5"" view=""All""&gt;&lt;flow_mat&gt;&lt;material&gt;&lt;mattext texttype=""text/html""&gt;"&amp;AY68&amp;"&lt;/mattext&gt;&lt;/material&gt;&lt;/flow_mat&gt;&lt;/itemfeedback&gt;"),"")</f>
      </c>
      <c r="BI68" s="46">
        <f>IF($B68,IF(AZ68="","","    &lt;itemfeedback ident=""response_6"" view=""All""&gt;&lt;flow_mat&gt;&lt;material&gt;&lt;mattext texttype=""text/html""&gt;"&amp;AZ68&amp;"&lt;/mattext&gt;&lt;/material&gt;&lt;/flow_mat&gt;&lt;/itemfeedback&gt;"),"")</f>
      </c>
      <c r="BJ68" s="46">
        <f>IF($B68,IF(BA68="","","    &lt;itemfeedback ident=""response_7"" view=""All""&gt;&lt;flow_mat&gt;&lt;material&gt;&lt;mattext texttype=""text/html""&gt;"&amp;BA68&amp;"&lt;/mattext&gt;&lt;/material&gt;&lt;/flow_mat&gt;&lt;/itemfeedback&gt;"),"")</f>
      </c>
    </row>
    <row r="69" ht="18" customHeight="1" s="17">
      <c r="A69" s="46">
        <f>Saisie_Questions!A69</f>
        <v/>
      </c>
      <c r="B69" s="46">
        <f>Saisie_Questions!O69="OK"</f>
        <v/>
      </c>
      <c r="C69" s="46">
        <f>LOWER(TRIM(Saisie_Questions!B69))</f>
        <v/>
      </c>
      <c r="D69" s="46">
        <f>IF(C69="qcu","SINGLE CHOICE QUESTION","MULTIPLE CHOICE QUESTION")</f>
        <v/>
      </c>
      <c r="E69" s="46">
        <f>IF(C69="qcu","Single","Multiple")</f>
        <v/>
      </c>
      <c r="F69" s="46">
        <f>IF(A69="","",SUBSTITUTE(SUBSTITUTE(SUBSTITUTE(SUBSTITUTE(SUBSTITUTE(IF(Saisie_Questions!C69="", "Question "&amp;A69, Saisie_Questions!C69),"&amp;","&amp;amp;"),"&lt;","&amp;lt;"),"&gt;","&amp;gt;"),CHAR(34),"&amp;quot;"),"'","&amp;apos;"))</f>
        <v/>
      </c>
      <c r="G69" s="46">
        <f>IF(A69="","",SUBSTITUTE(SUBSTITUTE(SUBSTITUTE(SUBSTITUTE(SUBSTITUTE(Saisie_Questions!D69,"&amp;","&amp;amp;"),"&lt;","&amp;lt;"),"&gt;","&amp;gt;"),CHAR(34),"&amp;quot;"),"'","&amp;apos;"))</f>
        <v/>
      </c>
      <c r="H69" s="46">
        <f>Saisie_Questions!N69</f>
        <v/>
      </c>
      <c r="I69" s="46">
        <f>IF(Saisie_Questions!E69="",0,1)+IF(Saisie_Questions!F69="",0,1)+IF(Saisie_Questions!G69="",0,1)+IF(Saisie_Questions!H69="",0,1)+IF(Saisie_Questions!I69="",0,1)+IF(Saisie_Questions!J69="",0,1)+IF(Saisie_Questions!K69="",0,1)+IF(Saisie_Questions!L69="",0,1)</f>
        <v/>
      </c>
      <c r="J69" s="46">
        <f>Saisie_Questions!M69</f>
        <v/>
      </c>
      <c r="K69" s="46">
        <f>Saisie_Questions!O69</f>
        <v/>
      </c>
      <c r="L69" s="46">
        <f>IF(Saisie_Questions!E69="","",SUBSTITUTE(SUBSTITUTE(SUBSTITUTE(SUBSTITUTE(SUBSTITUTE(Saisie_Questions!E69,"&amp;","&amp;amp;"),"&lt;","&amp;lt;"),"&gt;","&amp;gt;"),CHAR(34),"&amp;quot;"),"'","&amp;apos;"))</f>
        <v/>
      </c>
      <c r="M69" s="46">
        <f>IF(Saisie_Questions!F69="","",SUBSTITUTE(SUBSTITUTE(SUBSTITUTE(SUBSTITUTE(SUBSTITUTE(Saisie_Questions!F69,"&amp;","&amp;amp;"),"&lt;","&amp;lt;"),"&gt;","&amp;gt;"),CHAR(34),"&amp;quot;"),"'","&amp;apos;"))</f>
        <v/>
      </c>
      <c r="N69" s="46">
        <f>IF(Saisie_Questions!G69="","",SUBSTITUTE(SUBSTITUTE(SUBSTITUTE(SUBSTITUTE(SUBSTITUTE(Saisie_Questions!G69,"&amp;","&amp;amp;"),"&lt;","&amp;lt;"),"&gt;","&amp;gt;"),CHAR(34),"&amp;quot;"),"'","&amp;apos;"))</f>
        <v/>
      </c>
      <c r="O69" s="46">
        <f>IF(Saisie_Questions!H69="","",SUBSTITUTE(SUBSTITUTE(SUBSTITUTE(SUBSTITUTE(SUBSTITUTE(Saisie_Questions!H69,"&amp;","&amp;amp;"),"&lt;","&amp;lt;"),"&gt;","&amp;gt;"),CHAR(34),"&amp;quot;"),"'","&amp;apos;"))</f>
        <v/>
      </c>
      <c r="P69" s="46">
        <f>IF(Saisie_Questions!I69="","",SUBSTITUTE(SUBSTITUTE(SUBSTITUTE(SUBSTITUTE(SUBSTITUTE(Saisie_Questions!I69,"&amp;","&amp;amp;"),"&lt;","&amp;lt;"),"&gt;","&amp;gt;"),CHAR(34),"&amp;quot;"),"'","&amp;apos;"))</f>
        <v/>
      </c>
      <c r="Q69" s="46">
        <f>IF(Saisie_Questions!J69="","",SUBSTITUTE(SUBSTITUTE(SUBSTITUTE(SUBSTITUTE(SUBSTITUTE(Saisie_Questions!J69,"&amp;","&amp;amp;"),"&lt;","&amp;lt;"),"&gt;","&amp;gt;"),CHAR(34),"&amp;quot;"),"'","&amp;apos;"))</f>
        <v/>
      </c>
      <c r="R69" s="46">
        <f>IF(Saisie_Questions!K69="","",SUBSTITUTE(SUBSTITUTE(SUBSTITUTE(SUBSTITUTE(SUBSTITUTE(Saisie_Questions!K69,"&amp;","&amp;amp;"),"&lt;","&amp;lt;"),"&gt;","&amp;gt;"),CHAR(34),"&amp;quot;"),"'","&amp;apos;"))</f>
        <v/>
      </c>
      <c r="S69" s="46">
        <f>IF(Saisie_Questions!L69="","",SUBSTITUTE(SUBSTITUTE(SUBSTITUTE(SUBSTITUTE(SUBSTITUTE(Saisie_Questions!L69,"&amp;","&amp;amp;"),"&lt;","&amp;lt;"),"&gt;","&amp;gt;"),CHAR(34),"&amp;quot;"),"'","&amp;apos;"))</f>
        <v/>
      </c>
      <c r="T69" s="46">
        <f>ISNUMBER(SEARCH(";"&amp;1&amp;";",";"&amp;$J69&amp;";"))</f>
        <v/>
      </c>
      <c r="U69" s="46">
        <f>ISNUMBER(SEARCH(";"&amp;2&amp;";",";"&amp;$J69&amp;";"))</f>
        <v/>
      </c>
      <c r="V69" s="46">
        <f>ISNUMBER(SEARCH(";"&amp;3&amp;";",";"&amp;$J69&amp;";"))</f>
        <v/>
      </c>
      <c r="W69" s="46">
        <f>ISNUMBER(SEARCH(";"&amp;4&amp;";",";"&amp;$J69&amp;";"))</f>
        <v/>
      </c>
      <c r="X69" s="46">
        <f>ISNUMBER(SEARCH(";"&amp;5&amp;";",";"&amp;$J69&amp;";"))</f>
        <v/>
      </c>
      <c r="Y69" s="46">
        <f>ISNUMBER(SEARCH(";"&amp;6&amp;";",";"&amp;$J69&amp;";"))</f>
        <v/>
      </c>
      <c r="Z69" s="46">
        <f>ISNUMBER(SEARCH(";"&amp;7&amp;";",";"&amp;$J69&amp;";"))</f>
        <v/>
      </c>
      <c r="AA69" s="46">
        <f>ISNUMBER(SEARCH(";"&amp;8&amp;";",";"&amp;$J69&amp;";"))</f>
        <v/>
      </c>
      <c r="AB69" s="46">
        <f>IF($B69,IF(L69="","","        &lt;response_label ident=""0""&gt;&lt;material&gt;&lt;mattext texttype=""text/html""&gt;"&amp;L69&amp;"&lt;/mattext&gt;&lt;/material&gt;&lt;/response_label&gt;"),"")</f>
        <v/>
      </c>
      <c r="AC69" s="46">
        <f>IF($B69,IF(M69="","","        &lt;response_label ident=""1""&gt;&lt;material&gt;&lt;mattext texttype=""text/html""&gt;"&amp;M69&amp;"&lt;/mattext&gt;&lt;/material&gt;&lt;/response_label&gt;"),"")</f>
        <v/>
      </c>
      <c r="AD69" s="46">
        <f>IF($B69,IF(N69="","","        &lt;response_label ident=""2""&gt;&lt;material&gt;&lt;mattext texttype=""text/html""&gt;"&amp;N69&amp;"&lt;/mattext&gt;&lt;/material&gt;&lt;/response_label&gt;"),"")</f>
        <v/>
      </c>
      <c r="AE69" s="46">
        <f>IF($B69,IF(O69="","","        &lt;response_label ident=""3""&gt;&lt;material&gt;&lt;mattext texttype=""text/html""&gt;"&amp;O69&amp;"&lt;/mattext&gt;&lt;/material&gt;&lt;/response_label&gt;"),"")</f>
        <v/>
      </c>
      <c r="AF69" s="46">
        <f>IF($B69,IF(P69="","","        &lt;response_label ident=""4""&gt;&lt;material&gt;&lt;mattext texttype=""text/html""&gt;"&amp;P69&amp;"&lt;/mattext&gt;&lt;/material&gt;&lt;/response_label&gt;"),"")</f>
        <v/>
      </c>
      <c r="AG69" s="46">
        <f>IF($B69,IF(Q69="","","        &lt;response_label ident=""5""&gt;&lt;material&gt;&lt;mattext texttype=""text/html""&gt;"&amp;Q69&amp;"&lt;/mattext&gt;&lt;/material&gt;&lt;/response_label&gt;"),"")</f>
        <v/>
      </c>
      <c r="AH69" s="46">
        <f>IF($B69,IF(R69="","","        &lt;response_label ident=""6""&gt;&lt;material&gt;&lt;mattext texttype=""text/html""&gt;"&amp;R69&amp;"&lt;/mattext&gt;&lt;/material&gt;&lt;/response_label&gt;"),"")</f>
        <v/>
      </c>
      <c r="AI69" s="46">
        <f>IF($B69,IF(S69="","","        &lt;response_label ident=""7""&gt;&lt;material&gt;&lt;mattext texttype=""text/html""&gt;"&amp;S69&amp;"&lt;/mattext&gt;&lt;/material&gt;&lt;/response_label&gt;"),"")</f>
        <v/>
      </c>
      <c r="AJ69" s="46">
        <f>IF($B69,IF(L69="","",IF($C69="qcu",IF(OR(T69,AT69&lt;&gt;"",$AS69&lt;&gt;""),"      &lt;respcondition continue=""Yes""&gt;&lt;conditionvar&gt;&lt;varequal respident=""RESPONSE""&gt;0&lt;/varequal&gt;&lt;/conditionvar&gt;"&amp;"&lt;setvar action=""Add""&gt;"&amp;IF(T69,$H69,0)&amp;"&lt;/setvar&gt;"&amp;IF(AT69&lt;&gt;"","&lt;displayfeedback feedbacktype=""Response"" linkrefid=""response_0""/&gt;",IF($AS69&lt;&gt;"","&lt;displayfeedback feedbacktype=""Response"" linkrefid=""qti_feedback_trigger""/&gt;",""))&amp;"&lt;/respcondition&gt;",""),IF(OR(T69,AT69&lt;&gt;"",$AS69&lt;&gt;""),"      &lt;respcondition continue=""Yes""&gt;&lt;conditionvar&gt;"&amp;IF(T69,"&lt;varequal respident=""RESPONSE""&gt;0&lt;/varequal&gt;","&lt;not&gt;&lt;varequal respident=""RESPONSE""&gt;0&lt;/varequal&gt;&lt;/not&gt;")&amp;"&lt;/conditionvar&gt;&lt;setvar action=""Add""&gt;"&amp;(Saisie_Questions!$N69/$I69)&amp;"&lt;/setvar&gt;"&amp;IF(AT69&lt;&gt;"","&lt;displayfeedback feedbacktype=""Response"" linkrefid=""response_0""/&gt;",IF($AS69&lt;&gt;"","&lt;displayfeedback feedbacktype=""Response"" linkrefid=""qti_feedback_trigger""/&gt;",""))&amp;"&lt;/respcondition&gt;",""))),"")</f>
      </c>
      <c r="AK69" s="46">
        <f>IF($B69,IF(M69="","",IF($C69="qcu",IF(OR(U69,AU69&lt;&gt;"",$AS69&lt;&gt;""),"      &lt;respcondition continue=""Yes""&gt;&lt;conditionvar&gt;&lt;varequal respident=""RESPONSE""&gt;1&lt;/varequal&gt;&lt;/conditionvar&gt;"&amp;"&lt;setvar action=""Add""&gt;"&amp;IF(U69,$H69,0)&amp;"&lt;/setvar&gt;"&amp;IF(AU69&lt;&gt;"","&lt;displayfeedback feedbacktype=""Response"" linkrefid=""response_1""/&gt;",IF($AS69&lt;&gt;"","&lt;displayfeedback feedbacktype=""Response"" linkrefid=""qti_feedback_trigger""/&gt;",""))&amp;"&lt;/respcondition&gt;",""),IF(OR(U69,AU69&lt;&gt;"",$AS69&lt;&gt;""),"      &lt;respcondition continue=""Yes""&gt;&lt;conditionvar&gt;"&amp;IF(U69,"&lt;varequal respident=""RESPONSE""&gt;1&lt;/varequal&gt;","&lt;not&gt;&lt;varequal respident=""RESPONSE""&gt;1&lt;/varequal&gt;&lt;/not&gt;")&amp;"&lt;/conditionvar&gt;&lt;setvar action=""Add""&gt;"&amp;(Saisie_Questions!$N69/$I69)&amp;"&lt;/setvar&gt;"&amp;IF(AU69&lt;&gt;"","&lt;displayfeedback feedbacktype=""Response"" linkrefid=""response_1""/&gt;",IF($AS69&lt;&gt;"","&lt;displayfeedback feedbacktype=""Response"" linkrefid=""qti_feedback_trigger""/&gt;",""))&amp;"&lt;/respcondition&gt;",""))),"")</f>
      </c>
      <c r="AL69" s="46">
        <f>IF($B69,IF(N69="","",IF($C69="qcu",IF(OR(V69,AV69&lt;&gt;"",$AS69&lt;&gt;""),"      &lt;respcondition continue=""Yes""&gt;&lt;conditionvar&gt;&lt;varequal respident=""RESPONSE""&gt;2&lt;/varequal&gt;&lt;/conditionvar&gt;"&amp;"&lt;setvar action=""Add""&gt;"&amp;IF(V69,$H69,0)&amp;"&lt;/setvar&gt;"&amp;IF(AV69&lt;&gt;"","&lt;displayfeedback feedbacktype=""Response"" linkrefid=""response_2""/&gt;",IF($AS69&lt;&gt;"","&lt;displayfeedback feedbacktype=""Response"" linkrefid=""qti_feedback_trigger""/&gt;",""))&amp;"&lt;/respcondition&gt;",""),IF(OR(V69,AV69&lt;&gt;"",$AS69&lt;&gt;""),"      &lt;respcondition continue=""Yes""&gt;&lt;conditionvar&gt;"&amp;IF(V69,"&lt;varequal respident=""RESPONSE""&gt;2&lt;/varequal&gt;","&lt;not&gt;&lt;varequal respident=""RESPONSE""&gt;2&lt;/varequal&gt;&lt;/not&gt;")&amp;"&lt;/conditionvar&gt;&lt;setvar action=""Add""&gt;"&amp;(Saisie_Questions!$N69/$I69)&amp;"&lt;/setvar&gt;"&amp;IF(AV69&lt;&gt;"","&lt;displayfeedback feedbacktype=""Response"" linkrefid=""response_2""/&gt;",IF($AS69&lt;&gt;"","&lt;displayfeedback feedbacktype=""Response"" linkrefid=""qti_feedback_trigger""/&gt;",""))&amp;"&lt;/respcondition&gt;",""))),"")</f>
      </c>
      <c r="AM69" s="46">
        <f>IF($B69,IF(O69="","",IF($C69="qcu",IF(OR(W69,AW69&lt;&gt;"",$AS69&lt;&gt;""),"      &lt;respcondition continue=""Yes""&gt;&lt;conditionvar&gt;&lt;varequal respident=""RESPONSE""&gt;3&lt;/varequal&gt;&lt;/conditionvar&gt;"&amp;"&lt;setvar action=""Add""&gt;"&amp;IF(W69,$H69,0)&amp;"&lt;/setvar&gt;"&amp;IF(AW69&lt;&gt;"","&lt;displayfeedback feedbacktype=""Response"" linkrefid=""response_3""/&gt;",IF($AS69&lt;&gt;"","&lt;displayfeedback feedbacktype=""Response"" linkrefid=""qti_feedback_trigger""/&gt;",""))&amp;"&lt;/respcondition&gt;",""),IF(OR(W69,AW69&lt;&gt;"",$AS69&lt;&gt;""),"      &lt;respcondition continue=""Yes""&gt;&lt;conditionvar&gt;"&amp;IF(W69,"&lt;varequal respident=""RESPONSE""&gt;3&lt;/varequal&gt;","&lt;not&gt;&lt;varequal respident=""RESPONSE""&gt;3&lt;/varequal&gt;&lt;/not&gt;")&amp;"&lt;/conditionvar&gt;&lt;setvar action=""Add""&gt;"&amp;(Saisie_Questions!$N69/$I69)&amp;"&lt;/setvar&gt;"&amp;IF(AW69&lt;&gt;"","&lt;displayfeedback feedbacktype=""Response"" linkrefid=""response_3""/&gt;",IF($AS69&lt;&gt;"","&lt;displayfeedback feedbacktype=""Response"" linkrefid=""qti_feedback_trigger""/&gt;",""))&amp;"&lt;/respcondition&gt;",""))),"")</f>
      </c>
      <c r="AN69" s="46">
        <f>IF($B69,IF(P69="","",IF($C69="qcu",IF(OR(X69,AX69&lt;&gt;"",$AS69&lt;&gt;""),"      &lt;respcondition continue=""Yes""&gt;&lt;conditionvar&gt;&lt;varequal respident=""RESPONSE""&gt;4&lt;/varequal&gt;&lt;/conditionvar&gt;"&amp;"&lt;setvar action=""Add""&gt;"&amp;IF(X69,$H69,0)&amp;"&lt;/setvar&gt;"&amp;IF(AX69&lt;&gt;"","&lt;displayfeedback feedbacktype=""Response"" linkrefid=""response_4""/&gt;",IF($AS69&lt;&gt;"","&lt;displayfeedback feedbacktype=""Response"" linkrefid=""qti_feedback_trigger""/&gt;",""))&amp;"&lt;/respcondition&gt;",""),IF(OR(X69,AX69&lt;&gt;"",$AS69&lt;&gt;""),"      &lt;respcondition continue=""Yes""&gt;&lt;conditionvar&gt;"&amp;IF(X69,"&lt;varequal respident=""RESPONSE""&gt;4&lt;/varequal&gt;","&lt;not&gt;&lt;varequal respident=""RESPONSE""&gt;4&lt;/varequal&gt;&lt;/not&gt;")&amp;"&lt;/conditionvar&gt;&lt;setvar action=""Add""&gt;"&amp;(Saisie_Questions!$N69/$I69)&amp;"&lt;/setvar&gt;"&amp;IF(AX69&lt;&gt;"","&lt;displayfeedback feedbacktype=""Response"" linkrefid=""response_4""/&gt;",IF($AS69&lt;&gt;"","&lt;displayfeedback feedbacktype=""Response"" linkrefid=""qti_feedback_trigger""/&gt;",""))&amp;"&lt;/respcondition&gt;",""))),"")</f>
      </c>
      <c r="AO69" s="46">
        <f>IF($B69,IF(Q69="","",IF($C69="qcu",IF(OR(Y69,AY69&lt;&gt;"",$AS69&lt;&gt;""),"      &lt;respcondition continue=""Yes""&gt;&lt;conditionvar&gt;&lt;varequal respident=""RESPONSE""&gt;5&lt;/varequal&gt;&lt;/conditionvar&gt;"&amp;"&lt;setvar action=""Add""&gt;"&amp;IF(Y69,$H69,0)&amp;"&lt;/setvar&gt;"&amp;IF(AY69&lt;&gt;"","&lt;displayfeedback feedbacktype=""Response"" linkrefid=""response_5""/&gt;",IF($AS69&lt;&gt;"","&lt;displayfeedback feedbacktype=""Response"" linkrefid=""qti_feedback_trigger""/&gt;",""))&amp;"&lt;/respcondition&gt;",""),IF(OR(Y69,AY69&lt;&gt;"",$AS69&lt;&gt;""),"      &lt;respcondition continue=""Yes""&gt;&lt;conditionvar&gt;"&amp;IF(Y69,"&lt;varequal respident=""RESPONSE""&gt;5&lt;/varequal&gt;","&lt;not&gt;&lt;varequal respident=""RESPONSE""&gt;5&lt;/varequal&gt;&lt;/not&gt;")&amp;"&lt;/conditionvar&gt;&lt;setvar action=""Add""&gt;"&amp;(Saisie_Questions!$N69/$I69)&amp;"&lt;/setvar&gt;"&amp;IF(AY69&lt;&gt;"","&lt;displayfeedback feedbacktype=""Response"" linkrefid=""response_5""/&gt;",IF($AS69&lt;&gt;"","&lt;displayfeedback feedbacktype=""Response"" linkrefid=""qti_feedback_trigger""/&gt;",""))&amp;"&lt;/respcondition&gt;",""))),"")</f>
      </c>
      <c r="AP69" s="46">
        <f>IF($B69,IF(R69="","",IF($C69="qcu",IF(OR(Z69,AZ69&lt;&gt;"",$AS69&lt;&gt;""),"      &lt;respcondition continue=""Yes""&gt;&lt;conditionvar&gt;&lt;varequal respident=""RESPONSE""&gt;6&lt;/varequal&gt;&lt;/conditionvar&gt;"&amp;"&lt;setvar action=""Add""&gt;"&amp;IF(Z69,$H69,0)&amp;"&lt;/setvar&gt;"&amp;IF(AZ69&lt;&gt;"","&lt;displayfeedback feedbacktype=""Response"" linkrefid=""response_6""/&gt;",IF($AS69&lt;&gt;"","&lt;displayfeedback feedbacktype=""Response"" linkrefid=""qti_feedback_trigger""/&gt;",""))&amp;"&lt;/respcondition&gt;",""),IF(OR(Z69,AZ69&lt;&gt;"",$AS69&lt;&gt;""),"      &lt;respcondition continue=""Yes""&gt;&lt;conditionvar&gt;"&amp;IF(Z69,"&lt;varequal respident=""RESPONSE""&gt;6&lt;/varequal&gt;","&lt;not&gt;&lt;varequal respident=""RESPONSE""&gt;6&lt;/varequal&gt;&lt;/not&gt;")&amp;"&lt;/conditionvar&gt;&lt;setvar action=""Add""&gt;"&amp;(Saisie_Questions!$N69/$I69)&amp;"&lt;/setvar&gt;"&amp;IF(AZ69&lt;&gt;"","&lt;displayfeedback feedbacktype=""Response"" linkrefid=""response_6""/&gt;",IF($AS69&lt;&gt;"","&lt;displayfeedback feedbacktype=""Response"" linkrefid=""qti_feedback_trigger""/&gt;",""))&amp;"&lt;/respcondition&gt;",""))),"")</f>
      </c>
      <c r="AQ69" s="46">
        <f>IF($B69,IF(S69="","",IF($C69="qcu",IF(OR(AA69,BA69&lt;&gt;"",$AS69&lt;&gt;""),"      &lt;respcondition continue=""Yes""&gt;&lt;conditionvar&gt;&lt;varequal respident=""RESPONSE""&gt;7&lt;/varequal&gt;&lt;/conditionvar&gt;"&amp;"&lt;setvar action=""Add""&gt;"&amp;IF(AA69,$H69,0)&amp;"&lt;/setvar&gt;"&amp;IF(BA69&lt;&gt;"","&lt;displayfeedback feedbacktype=""Response"" linkrefid=""response_7""/&gt;",IF($AS69&lt;&gt;"","&lt;displayfeedback feedbacktype=""Response"" linkrefid=""qti_feedback_trigger""/&gt;",""))&amp;"&lt;/respcondition&gt;",""),IF(OR(AA69,BA69&lt;&gt;"",$AS69&lt;&gt;""),"      &lt;respcondition continue=""Yes""&gt;&lt;conditionvar&gt;"&amp;IF(AA69,"&lt;varequal respident=""RESPONSE""&gt;7&lt;/varequal&gt;","&lt;not&gt;&lt;varequal respident=""RESPONSE""&gt;7&lt;/varequal&gt;&lt;/not&gt;")&amp;"&lt;/conditionvar&gt;&lt;setvar action=""Add""&gt;"&amp;(Saisie_Questions!$N69/$I69)&amp;"&lt;/setvar&gt;"&amp;IF(BA69&lt;&gt;"","&lt;displayfeedback feedbacktype=""Response"" linkrefid=""response_7""/&gt;",IF($AS69&lt;&gt;"","&lt;displayfeedback feedbacktype=""Response"" linkrefid=""qti_feedback_trigger""/&gt;",""))&amp;"&lt;/respcondition&gt;",""))),"")</f>
      </c>
      <c r="AR69" s="46">
        <f>IF(A69="","",SUBSTITUTE(SUBSTITUTE(SUBSTITUTE(SUBSTITUTE(SUBSTITUTE(IF(Saisie_Questions!P69&lt;&gt;"",Saisie_Questions!P69,Interface_Generation!$B$5),"&amp;","&amp;amp;"),"&lt;","&amp;lt;"),"&gt;","&amp;gt;"),CHAR(34),"&amp;quot;"),"'","&amp;apos;"))</f>
        <v/>
      </c>
      <c r="AS69" s="46">
        <f>IF(Saisie_Questions!Q69="","",SUBSTITUTE(SUBSTITUTE(SUBSTITUTE(SUBSTITUTE(SUBSTITUTE(Saisie_Questions!Q69,"&amp;","&amp;amp;"),"&lt;","&amp;lt;"),"&gt;","&amp;gt;"),CHAR(34),"&amp;quot;"),"'","&amp;apos;"))</f>
        <v/>
      </c>
      <c r="AT69" s="46">
        <f>IF(Saisie_Questions!R69="","",SUBSTITUTE(SUBSTITUTE(SUBSTITUTE(SUBSTITUTE(SUBSTITUTE(Saisie_Questions!R69,"&amp;","&amp;amp;"),"&lt;","&amp;lt;"),"&gt;","&amp;gt;"),CHAR(34),"&amp;quot;"),"'","&amp;apos;"))</f>
        <v/>
      </c>
      <c r="AU69" s="46">
        <f>IF(Saisie_Questions!S69="","",SUBSTITUTE(SUBSTITUTE(SUBSTITUTE(SUBSTITUTE(SUBSTITUTE(Saisie_Questions!S69,"&amp;","&amp;amp;"),"&lt;","&amp;lt;"),"&gt;","&amp;gt;"),CHAR(34),"&amp;quot;"),"'","&amp;apos;"))</f>
        <v/>
      </c>
      <c r="AV69" s="46">
        <f>IF(Saisie_Questions!T69="","",SUBSTITUTE(SUBSTITUTE(SUBSTITUTE(SUBSTITUTE(SUBSTITUTE(Saisie_Questions!T69,"&amp;","&amp;amp;"),"&lt;","&amp;lt;"),"&gt;","&amp;gt;"),CHAR(34),"&amp;quot;"),"'","&amp;apos;"))</f>
        <v/>
      </c>
      <c r="AW69" s="46">
        <f>IF(Saisie_Questions!U69="","",SUBSTITUTE(SUBSTITUTE(SUBSTITUTE(SUBSTITUTE(SUBSTITUTE(Saisie_Questions!U69,"&amp;","&amp;amp;"),"&lt;","&amp;lt;"),"&gt;","&amp;gt;"),CHAR(34),"&amp;quot;"),"'","&amp;apos;"))</f>
        <v/>
      </c>
      <c r="AX69" s="46">
        <f>IF(Saisie_Questions!V69="","",SUBSTITUTE(SUBSTITUTE(SUBSTITUTE(SUBSTITUTE(SUBSTITUTE(Saisie_Questions!V69,"&amp;","&amp;amp;"),"&lt;","&amp;lt;"),"&gt;","&amp;gt;"),CHAR(34),"&amp;quot;"),"'","&amp;apos;"))</f>
        <v/>
      </c>
      <c r="AY69" s="46">
        <f>IF(Saisie_Questions!W69="","",SUBSTITUTE(SUBSTITUTE(SUBSTITUTE(SUBSTITUTE(SUBSTITUTE(Saisie_Questions!W69,"&amp;","&amp;amp;"),"&lt;","&amp;lt;"),"&gt;","&amp;gt;"),CHAR(34),"&amp;quot;"),"'","&amp;apos;"))</f>
        <v/>
      </c>
      <c r="AZ69" s="46">
        <f>IF(Saisie_Questions!X69="","",SUBSTITUTE(SUBSTITUTE(SUBSTITUTE(SUBSTITUTE(SUBSTITUTE(Saisie_Questions!X69,"&amp;","&amp;amp;"),"&lt;","&amp;lt;"),"&gt;","&amp;gt;"),CHAR(34),"&amp;quot;"),"'","&amp;apos;"))</f>
        <v/>
      </c>
      <c r="BA69" s="46">
        <f>IF(Saisie_Questions!Y69="","",SUBSTITUTE(SUBSTITUTE(SUBSTITUTE(SUBSTITUTE(SUBSTITUTE(Saisie_Questions!Y69,"&amp;","&amp;amp;"),"&lt;","&amp;lt;"),"&gt;","&amp;gt;"),CHAR(34),"&amp;quot;"),"'","&amp;apos;"))</f>
        <v/>
      </c>
      <c r="BB69" s="46">
        <f>IF($B69,IF($AS69="","","    &lt;itemfeedback ident=""response_allcorrect"" view=""All""&gt;&lt;flow_mat&gt;&lt;material&gt;&lt;mattext texttype=""text/html""&gt;"&amp;$AS69&amp;"&lt;/mattext&gt;&lt;/material&gt;&lt;/flow_mat&gt;&lt;/itemfeedback&gt;"&amp;"    &lt;itemfeedback ident=""response_onenotcorrect"" view=""All""&gt;&lt;flow_mat&gt;&lt;material&gt;&lt;mattext texttype=""text/html""&gt;"&amp;$AS69&amp;"&lt;/mattext&gt;&lt;/material&gt;&lt;/flow_mat&gt;&lt;/itemfeedback&gt;"),"")</f>
      </c>
      <c r="BC69" s="46">
        <f>IF($B69,IF(AT69="","","    &lt;itemfeedback ident=""response_0"" view=""All""&gt;&lt;flow_mat&gt;&lt;material&gt;&lt;mattext texttype=""text/html""&gt;"&amp;AT69&amp;"&lt;/mattext&gt;&lt;/material&gt;&lt;/flow_mat&gt;&lt;/itemfeedback&gt;"),"")</f>
      </c>
      <c r="BD69" s="46">
        <f>IF($B69,IF(AU69="","","    &lt;itemfeedback ident=""response_1"" view=""All""&gt;&lt;flow_mat&gt;&lt;material&gt;&lt;mattext texttype=""text/html""&gt;"&amp;AU69&amp;"&lt;/mattext&gt;&lt;/material&gt;&lt;/flow_mat&gt;&lt;/itemfeedback&gt;"),"")</f>
      </c>
      <c r="BE69" s="46">
        <f>IF($B69,IF(AV69="","","    &lt;itemfeedback ident=""response_2"" view=""All""&gt;&lt;flow_mat&gt;&lt;material&gt;&lt;mattext texttype=""text/html""&gt;"&amp;AV69&amp;"&lt;/mattext&gt;&lt;/material&gt;&lt;/flow_mat&gt;&lt;/itemfeedback&gt;"),"")</f>
      </c>
      <c r="BF69" s="46">
        <f>IF($B69,IF(AW69="","","    &lt;itemfeedback ident=""response_3"" view=""All""&gt;&lt;flow_mat&gt;&lt;material&gt;&lt;mattext texttype=""text/html""&gt;"&amp;AW69&amp;"&lt;/mattext&gt;&lt;/material&gt;&lt;/flow_mat&gt;&lt;/itemfeedback&gt;"),"")</f>
      </c>
      <c r="BG69" s="46">
        <f>IF($B69,IF(AX69="","","    &lt;itemfeedback ident=""response_4"" view=""All""&gt;&lt;flow_mat&gt;&lt;material&gt;&lt;mattext texttype=""text/html""&gt;"&amp;AX69&amp;"&lt;/mattext&gt;&lt;/material&gt;&lt;/flow_mat&gt;&lt;/itemfeedback&gt;"),"")</f>
      </c>
      <c r="BH69" s="46">
        <f>IF($B69,IF(AY69="","","    &lt;itemfeedback ident=""response_5"" view=""All""&gt;&lt;flow_mat&gt;&lt;material&gt;&lt;mattext texttype=""text/html""&gt;"&amp;AY69&amp;"&lt;/mattext&gt;&lt;/material&gt;&lt;/flow_mat&gt;&lt;/itemfeedback&gt;"),"")</f>
      </c>
      <c r="BI69" s="46">
        <f>IF($B69,IF(AZ69="","","    &lt;itemfeedback ident=""response_6"" view=""All""&gt;&lt;flow_mat&gt;&lt;material&gt;&lt;mattext texttype=""text/html""&gt;"&amp;AZ69&amp;"&lt;/mattext&gt;&lt;/material&gt;&lt;/flow_mat&gt;&lt;/itemfeedback&gt;"),"")</f>
      </c>
      <c r="BJ69" s="46">
        <f>IF($B69,IF(BA69="","","    &lt;itemfeedback ident=""response_7"" view=""All""&gt;&lt;flow_mat&gt;&lt;material&gt;&lt;mattext texttype=""text/html""&gt;"&amp;BA69&amp;"&lt;/mattext&gt;&lt;/material&gt;&lt;/flow_mat&gt;&lt;/itemfeedback&gt;"),"")</f>
      </c>
    </row>
    <row r="70" ht="18" customHeight="1" s="17">
      <c r="A70" s="46">
        <f>Saisie_Questions!A70</f>
        <v/>
      </c>
      <c r="B70" s="46">
        <f>Saisie_Questions!O70="OK"</f>
        <v/>
      </c>
      <c r="C70" s="46">
        <f>LOWER(TRIM(Saisie_Questions!B70))</f>
        <v/>
      </c>
      <c r="D70" s="46">
        <f>IF(C70="qcu","SINGLE CHOICE QUESTION","MULTIPLE CHOICE QUESTION")</f>
        <v/>
      </c>
      <c r="E70" s="46">
        <f>IF(C70="qcu","Single","Multiple")</f>
        <v/>
      </c>
      <c r="F70" s="46">
        <f>IF(A70="","",SUBSTITUTE(SUBSTITUTE(SUBSTITUTE(SUBSTITUTE(SUBSTITUTE(IF(Saisie_Questions!C70="", "Question "&amp;A70, Saisie_Questions!C70),"&amp;","&amp;amp;"),"&lt;","&amp;lt;"),"&gt;","&amp;gt;"),CHAR(34),"&amp;quot;"),"'","&amp;apos;"))</f>
        <v/>
      </c>
      <c r="G70" s="46">
        <f>IF(A70="","",SUBSTITUTE(SUBSTITUTE(SUBSTITUTE(SUBSTITUTE(SUBSTITUTE(Saisie_Questions!D70,"&amp;","&amp;amp;"),"&lt;","&amp;lt;"),"&gt;","&amp;gt;"),CHAR(34),"&amp;quot;"),"'","&amp;apos;"))</f>
        <v/>
      </c>
      <c r="H70" s="46">
        <f>Saisie_Questions!N70</f>
        <v/>
      </c>
      <c r="I70" s="46">
        <f>IF(Saisie_Questions!E70="",0,1)+IF(Saisie_Questions!F70="",0,1)+IF(Saisie_Questions!G70="",0,1)+IF(Saisie_Questions!H70="",0,1)+IF(Saisie_Questions!I70="",0,1)+IF(Saisie_Questions!J70="",0,1)+IF(Saisie_Questions!K70="",0,1)+IF(Saisie_Questions!L70="",0,1)</f>
        <v/>
      </c>
      <c r="J70" s="46">
        <f>Saisie_Questions!M70</f>
        <v/>
      </c>
      <c r="K70" s="46">
        <f>Saisie_Questions!O70</f>
        <v/>
      </c>
      <c r="L70" s="46">
        <f>IF(Saisie_Questions!E70="","",SUBSTITUTE(SUBSTITUTE(SUBSTITUTE(SUBSTITUTE(SUBSTITUTE(Saisie_Questions!E70,"&amp;","&amp;amp;"),"&lt;","&amp;lt;"),"&gt;","&amp;gt;"),CHAR(34),"&amp;quot;"),"'","&amp;apos;"))</f>
        <v/>
      </c>
      <c r="M70" s="46">
        <f>IF(Saisie_Questions!F70="","",SUBSTITUTE(SUBSTITUTE(SUBSTITUTE(SUBSTITUTE(SUBSTITUTE(Saisie_Questions!F70,"&amp;","&amp;amp;"),"&lt;","&amp;lt;"),"&gt;","&amp;gt;"),CHAR(34),"&amp;quot;"),"'","&amp;apos;"))</f>
        <v/>
      </c>
      <c r="N70" s="46">
        <f>IF(Saisie_Questions!G70="","",SUBSTITUTE(SUBSTITUTE(SUBSTITUTE(SUBSTITUTE(SUBSTITUTE(Saisie_Questions!G70,"&amp;","&amp;amp;"),"&lt;","&amp;lt;"),"&gt;","&amp;gt;"),CHAR(34),"&amp;quot;"),"'","&amp;apos;"))</f>
        <v/>
      </c>
      <c r="O70" s="46">
        <f>IF(Saisie_Questions!H70="","",SUBSTITUTE(SUBSTITUTE(SUBSTITUTE(SUBSTITUTE(SUBSTITUTE(Saisie_Questions!H70,"&amp;","&amp;amp;"),"&lt;","&amp;lt;"),"&gt;","&amp;gt;"),CHAR(34),"&amp;quot;"),"'","&amp;apos;"))</f>
        <v/>
      </c>
      <c r="P70" s="46">
        <f>IF(Saisie_Questions!I70="","",SUBSTITUTE(SUBSTITUTE(SUBSTITUTE(SUBSTITUTE(SUBSTITUTE(Saisie_Questions!I70,"&amp;","&amp;amp;"),"&lt;","&amp;lt;"),"&gt;","&amp;gt;"),CHAR(34),"&amp;quot;"),"'","&amp;apos;"))</f>
        <v/>
      </c>
      <c r="Q70" s="46">
        <f>IF(Saisie_Questions!J70="","",SUBSTITUTE(SUBSTITUTE(SUBSTITUTE(SUBSTITUTE(SUBSTITUTE(Saisie_Questions!J70,"&amp;","&amp;amp;"),"&lt;","&amp;lt;"),"&gt;","&amp;gt;"),CHAR(34),"&amp;quot;"),"'","&amp;apos;"))</f>
        <v/>
      </c>
      <c r="R70" s="46">
        <f>IF(Saisie_Questions!K70="","",SUBSTITUTE(SUBSTITUTE(SUBSTITUTE(SUBSTITUTE(SUBSTITUTE(Saisie_Questions!K70,"&amp;","&amp;amp;"),"&lt;","&amp;lt;"),"&gt;","&amp;gt;"),CHAR(34),"&amp;quot;"),"'","&amp;apos;"))</f>
        <v/>
      </c>
      <c r="S70" s="46">
        <f>IF(Saisie_Questions!L70="","",SUBSTITUTE(SUBSTITUTE(SUBSTITUTE(SUBSTITUTE(SUBSTITUTE(Saisie_Questions!L70,"&amp;","&amp;amp;"),"&lt;","&amp;lt;"),"&gt;","&amp;gt;"),CHAR(34),"&amp;quot;"),"'","&amp;apos;"))</f>
        <v/>
      </c>
      <c r="T70" s="46">
        <f>ISNUMBER(SEARCH(";"&amp;1&amp;";",";"&amp;$J70&amp;";"))</f>
        <v/>
      </c>
      <c r="U70" s="46">
        <f>ISNUMBER(SEARCH(";"&amp;2&amp;";",";"&amp;$J70&amp;";"))</f>
        <v/>
      </c>
      <c r="V70" s="46">
        <f>ISNUMBER(SEARCH(";"&amp;3&amp;";",";"&amp;$J70&amp;";"))</f>
        <v/>
      </c>
      <c r="W70" s="46">
        <f>ISNUMBER(SEARCH(";"&amp;4&amp;";",";"&amp;$J70&amp;";"))</f>
        <v/>
      </c>
      <c r="X70" s="46">
        <f>ISNUMBER(SEARCH(";"&amp;5&amp;";",";"&amp;$J70&amp;";"))</f>
        <v/>
      </c>
      <c r="Y70" s="46">
        <f>ISNUMBER(SEARCH(";"&amp;6&amp;";",";"&amp;$J70&amp;";"))</f>
        <v/>
      </c>
      <c r="Z70" s="46">
        <f>ISNUMBER(SEARCH(";"&amp;7&amp;";",";"&amp;$J70&amp;";"))</f>
        <v/>
      </c>
      <c r="AA70" s="46">
        <f>ISNUMBER(SEARCH(";"&amp;8&amp;";",";"&amp;$J70&amp;";"))</f>
        <v/>
      </c>
      <c r="AB70" s="46">
        <f>IF($B70,IF(L70="","","        &lt;response_label ident=""0""&gt;&lt;material&gt;&lt;mattext texttype=""text/html""&gt;"&amp;L70&amp;"&lt;/mattext&gt;&lt;/material&gt;&lt;/response_label&gt;"),"")</f>
        <v/>
      </c>
      <c r="AC70" s="46">
        <f>IF($B70,IF(M70="","","        &lt;response_label ident=""1""&gt;&lt;material&gt;&lt;mattext texttype=""text/html""&gt;"&amp;M70&amp;"&lt;/mattext&gt;&lt;/material&gt;&lt;/response_label&gt;"),"")</f>
        <v/>
      </c>
      <c r="AD70" s="46">
        <f>IF($B70,IF(N70="","","        &lt;response_label ident=""2""&gt;&lt;material&gt;&lt;mattext texttype=""text/html""&gt;"&amp;N70&amp;"&lt;/mattext&gt;&lt;/material&gt;&lt;/response_label&gt;"),"")</f>
        <v/>
      </c>
      <c r="AE70" s="46">
        <f>IF($B70,IF(O70="","","        &lt;response_label ident=""3""&gt;&lt;material&gt;&lt;mattext texttype=""text/html""&gt;"&amp;O70&amp;"&lt;/mattext&gt;&lt;/material&gt;&lt;/response_label&gt;"),"")</f>
        <v/>
      </c>
      <c r="AF70" s="46">
        <f>IF($B70,IF(P70="","","        &lt;response_label ident=""4""&gt;&lt;material&gt;&lt;mattext texttype=""text/html""&gt;"&amp;P70&amp;"&lt;/mattext&gt;&lt;/material&gt;&lt;/response_label&gt;"),"")</f>
        <v/>
      </c>
      <c r="AG70" s="46">
        <f>IF($B70,IF(Q70="","","        &lt;response_label ident=""5""&gt;&lt;material&gt;&lt;mattext texttype=""text/html""&gt;"&amp;Q70&amp;"&lt;/mattext&gt;&lt;/material&gt;&lt;/response_label&gt;"),"")</f>
        <v/>
      </c>
      <c r="AH70" s="46">
        <f>IF($B70,IF(R70="","","        &lt;response_label ident=""6""&gt;&lt;material&gt;&lt;mattext texttype=""text/html""&gt;"&amp;R70&amp;"&lt;/mattext&gt;&lt;/material&gt;&lt;/response_label&gt;"),"")</f>
        <v/>
      </c>
      <c r="AI70" s="46">
        <f>IF($B70,IF(S70="","","        &lt;response_label ident=""7""&gt;&lt;material&gt;&lt;mattext texttype=""text/html""&gt;"&amp;S70&amp;"&lt;/mattext&gt;&lt;/material&gt;&lt;/response_label&gt;"),"")</f>
        <v/>
      </c>
      <c r="AJ70" s="46">
        <f>IF($B70,IF(L70="","",IF($C70="qcu",IF(OR(T70,AT70&lt;&gt;"",$AS70&lt;&gt;""),"      &lt;respcondition continue=""Yes""&gt;&lt;conditionvar&gt;&lt;varequal respident=""RESPONSE""&gt;0&lt;/varequal&gt;&lt;/conditionvar&gt;"&amp;"&lt;setvar action=""Add""&gt;"&amp;IF(T70,$H70,0)&amp;"&lt;/setvar&gt;"&amp;IF(AT70&lt;&gt;"","&lt;displayfeedback feedbacktype=""Response"" linkrefid=""response_0""/&gt;",IF($AS70&lt;&gt;"","&lt;displayfeedback feedbacktype=""Response"" linkrefid=""qti_feedback_trigger""/&gt;",""))&amp;"&lt;/respcondition&gt;",""),IF(OR(T70,AT70&lt;&gt;"",$AS70&lt;&gt;""),"      &lt;respcondition continue=""Yes""&gt;&lt;conditionvar&gt;"&amp;IF(T70,"&lt;varequal respident=""RESPONSE""&gt;0&lt;/varequal&gt;","&lt;not&gt;&lt;varequal respident=""RESPONSE""&gt;0&lt;/varequal&gt;&lt;/not&gt;")&amp;"&lt;/conditionvar&gt;&lt;setvar action=""Add""&gt;"&amp;(Saisie_Questions!$N70/$I70)&amp;"&lt;/setvar&gt;"&amp;IF(AT70&lt;&gt;"","&lt;displayfeedback feedbacktype=""Response"" linkrefid=""response_0""/&gt;",IF($AS70&lt;&gt;"","&lt;displayfeedback feedbacktype=""Response"" linkrefid=""qti_feedback_trigger""/&gt;",""))&amp;"&lt;/respcondition&gt;",""))),"")</f>
      </c>
      <c r="AK70" s="46">
        <f>IF($B70,IF(M70="","",IF($C70="qcu",IF(OR(U70,AU70&lt;&gt;"",$AS70&lt;&gt;""),"      &lt;respcondition continue=""Yes""&gt;&lt;conditionvar&gt;&lt;varequal respident=""RESPONSE""&gt;1&lt;/varequal&gt;&lt;/conditionvar&gt;"&amp;"&lt;setvar action=""Add""&gt;"&amp;IF(U70,$H70,0)&amp;"&lt;/setvar&gt;"&amp;IF(AU70&lt;&gt;"","&lt;displayfeedback feedbacktype=""Response"" linkrefid=""response_1""/&gt;",IF($AS70&lt;&gt;"","&lt;displayfeedback feedbacktype=""Response"" linkrefid=""qti_feedback_trigger""/&gt;",""))&amp;"&lt;/respcondition&gt;",""),IF(OR(U70,AU70&lt;&gt;"",$AS70&lt;&gt;""),"      &lt;respcondition continue=""Yes""&gt;&lt;conditionvar&gt;"&amp;IF(U70,"&lt;varequal respident=""RESPONSE""&gt;1&lt;/varequal&gt;","&lt;not&gt;&lt;varequal respident=""RESPONSE""&gt;1&lt;/varequal&gt;&lt;/not&gt;")&amp;"&lt;/conditionvar&gt;&lt;setvar action=""Add""&gt;"&amp;(Saisie_Questions!$N70/$I70)&amp;"&lt;/setvar&gt;"&amp;IF(AU70&lt;&gt;"","&lt;displayfeedback feedbacktype=""Response"" linkrefid=""response_1""/&gt;",IF($AS70&lt;&gt;"","&lt;displayfeedback feedbacktype=""Response"" linkrefid=""qti_feedback_trigger""/&gt;",""))&amp;"&lt;/respcondition&gt;",""))),"")</f>
      </c>
      <c r="AL70" s="46">
        <f>IF($B70,IF(N70="","",IF($C70="qcu",IF(OR(V70,AV70&lt;&gt;"",$AS70&lt;&gt;""),"      &lt;respcondition continue=""Yes""&gt;&lt;conditionvar&gt;&lt;varequal respident=""RESPONSE""&gt;2&lt;/varequal&gt;&lt;/conditionvar&gt;"&amp;"&lt;setvar action=""Add""&gt;"&amp;IF(V70,$H70,0)&amp;"&lt;/setvar&gt;"&amp;IF(AV70&lt;&gt;"","&lt;displayfeedback feedbacktype=""Response"" linkrefid=""response_2""/&gt;",IF($AS70&lt;&gt;"","&lt;displayfeedback feedbacktype=""Response"" linkrefid=""qti_feedback_trigger""/&gt;",""))&amp;"&lt;/respcondition&gt;",""),IF(OR(V70,AV70&lt;&gt;"",$AS70&lt;&gt;""),"      &lt;respcondition continue=""Yes""&gt;&lt;conditionvar&gt;"&amp;IF(V70,"&lt;varequal respident=""RESPONSE""&gt;2&lt;/varequal&gt;","&lt;not&gt;&lt;varequal respident=""RESPONSE""&gt;2&lt;/varequal&gt;&lt;/not&gt;")&amp;"&lt;/conditionvar&gt;&lt;setvar action=""Add""&gt;"&amp;(Saisie_Questions!$N70/$I70)&amp;"&lt;/setvar&gt;"&amp;IF(AV70&lt;&gt;"","&lt;displayfeedback feedbacktype=""Response"" linkrefid=""response_2""/&gt;",IF($AS70&lt;&gt;"","&lt;displayfeedback feedbacktype=""Response"" linkrefid=""qti_feedback_trigger""/&gt;",""))&amp;"&lt;/respcondition&gt;",""))),"")</f>
      </c>
      <c r="AM70" s="46">
        <f>IF($B70,IF(O70="","",IF($C70="qcu",IF(OR(W70,AW70&lt;&gt;"",$AS70&lt;&gt;""),"      &lt;respcondition continue=""Yes""&gt;&lt;conditionvar&gt;&lt;varequal respident=""RESPONSE""&gt;3&lt;/varequal&gt;&lt;/conditionvar&gt;"&amp;"&lt;setvar action=""Add""&gt;"&amp;IF(W70,$H70,0)&amp;"&lt;/setvar&gt;"&amp;IF(AW70&lt;&gt;"","&lt;displayfeedback feedbacktype=""Response"" linkrefid=""response_3""/&gt;",IF($AS70&lt;&gt;"","&lt;displayfeedback feedbacktype=""Response"" linkrefid=""qti_feedback_trigger""/&gt;",""))&amp;"&lt;/respcondition&gt;",""),IF(OR(W70,AW70&lt;&gt;"",$AS70&lt;&gt;""),"      &lt;respcondition continue=""Yes""&gt;&lt;conditionvar&gt;"&amp;IF(W70,"&lt;varequal respident=""RESPONSE""&gt;3&lt;/varequal&gt;","&lt;not&gt;&lt;varequal respident=""RESPONSE""&gt;3&lt;/varequal&gt;&lt;/not&gt;")&amp;"&lt;/conditionvar&gt;&lt;setvar action=""Add""&gt;"&amp;(Saisie_Questions!$N70/$I70)&amp;"&lt;/setvar&gt;"&amp;IF(AW70&lt;&gt;"","&lt;displayfeedback feedbacktype=""Response"" linkrefid=""response_3""/&gt;",IF($AS70&lt;&gt;"","&lt;displayfeedback feedbacktype=""Response"" linkrefid=""qti_feedback_trigger""/&gt;",""))&amp;"&lt;/respcondition&gt;",""))),"")</f>
      </c>
      <c r="AN70" s="46">
        <f>IF($B70,IF(P70="","",IF($C70="qcu",IF(OR(X70,AX70&lt;&gt;"",$AS70&lt;&gt;""),"      &lt;respcondition continue=""Yes""&gt;&lt;conditionvar&gt;&lt;varequal respident=""RESPONSE""&gt;4&lt;/varequal&gt;&lt;/conditionvar&gt;"&amp;"&lt;setvar action=""Add""&gt;"&amp;IF(X70,$H70,0)&amp;"&lt;/setvar&gt;"&amp;IF(AX70&lt;&gt;"","&lt;displayfeedback feedbacktype=""Response"" linkrefid=""response_4""/&gt;",IF($AS70&lt;&gt;"","&lt;displayfeedback feedbacktype=""Response"" linkrefid=""qti_feedback_trigger""/&gt;",""))&amp;"&lt;/respcondition&gt;",""),IF(OR(X70,AX70&lt;&gt;"",$AS70&lt;&gt;""),"      &lt;respcondition continue=""Yes""&gt;&lt;conditionvar&gt;"&amp;IF(X70,"&lt;varequal respident=""RESPONSE""&gt;4&lt;/varequal&gt;","&lt;not&gt;&lt;varequal respident=""RESPONSE""&gt;4&lt;/varequal&gt;&lt;/not&gt;")&amp;"&lt;/conditionvar&gt;&lt;setvar action=""Add""&gt;"&amp;(Saisie_Questions!$N70/$I70)&amp;"&lt;/setvar&gt;"&amp;IF(AX70&lt;&gt;"","&lt;displayfeedback feedbacktype=""Response"" linkrefid=""response_4""/&gt;",IF($AS70&lt;&gt;"","&lt;displayfeedback feedbacktype=""Response"" linkrefid=""qti_feedback_trigger""/&gt;",""))&amp;"&lt;/respcondition&gt;",""))),"")</f>
      </c>
      <c r="AO70" s="46">
        <f>IF($B70,IF(Q70="","",IF($C70="qcu",IF(OR(Y70,AY70&lt;&gt;"",$AS70&lt;&gt;""),"      &lt;respcondition continue=""Yes""&gt;&lt;conditionvar&gt;&lt;varequal respident=""RESPONSE""&gt;5&lt;/varequal&gt;&lt;/conditionvar&gt;"&amp;"&lt;setvar action=""Add""&gt;"&amp;IF(Y70,$H70,0)&amp;"&lt;/setvar&gt;"&amp;IF(AY70&lt;&gt;"","&lt;displayfeedback feedbacktype=""Response"" linkrefid=""response_5""/&gt;",IF($AS70&lt;&gt;"","&lt;displayfeedback feedbacktype=""Response"" linkrefid=""qti_feedback_trigger""/&gt;",""))&amp;"&lt;/respcondition&gt;",""),IF(OR(Y70,AY70&lt;&gt;"",$AS70&lt;&gt;""),"      &lt;respcondition continue=""Yes""&gt;&lt;conditionvar&gt;"&amp;IF(Y70,"&lt;varequal respident=""RESPONSE""&gt;5&lt;/varequal&gt;","&lt;not&gt;&lt;varequal respident=""RESPONSE""&gt;5&lt;/varequal&gt;&lt;/not&gt;")&amp;"&lt;/conditionvar&gt;&lt;setvar action=""Add""&gt;"&amp;(Saisie_Questions!$N70/$I70)&amp;"&lt;/setvar&gt;"&amp;IF(AY70&lt;&gt;"","&lt;displayfeedback feedbacktype=""Response"" linkrefid=""response_5""/&gt;",IF($AS70&lt;&gt;"","&lt;displayfeedback feedbacktype=""Response"" linkrefid=""qti_feedback_trigger""/&gt;",""))&amp;"&lt;/respcondition&gt;",""))),"")</f>
      </c>
      <c r="AP70" s="46">
        <f>IF($B70,IF(R70="","",IF($C70="qcu",IF(OR(Z70,AZ70&lt;&gt;"",$AS70&lt;&gt;""),"      &lt;respcondition continue=""Yes""&gt;&lt;conditionvar&gt;&lt;varequal respident=""RESPONSE""&gt;6&lt;/varequal&gt;&lt;/conditionvar&gt;"&amp;"&lt;setvar action=""Add""&gt;"&amp;IF(Z70,$H70,0)&amp;"&lt;/setvar&gt;"&amp;IF(AZ70&lt;&gt;"","&lt;displayfeedback feedbacktype=""Response"" linkrefid=""response_6""/&gt;",IF($AS70&lt;&gt;"","&lt;displayfeedback feedbacktype=""Response"" linkrefid=""qti_feedback_trigger""/&gt;",""))&amp;"&lt;/respcondition&gt;",""),IF(OR(Z70,AZ70&lt;&gt;"",$AS70&lt;&gt;""),"      &lt;respcondition continue=""Yes""&gt;&lt;conditionvar&gt;"&amp;IF(Z70,"&lt;varequal respident=""RESPONSE""&gt;6&lt;/varequal&gt;","&lt;not&gt;&lt;varequal respident=""RESPONSE""&gt;6&lt;/varequal&gt;&lt;/not&gt;")&amp;"&lt;/conditionvar&gt;&lt;setvar action=""Add""&gt;"&amp;(Saisie_Questions!$N70/$I70)&amp;"&lt;/setvar&gt;"&amp;IF(AZ70&lt;&gt;"","&lt;displayfeedback feedbacktype=""Response"" linkrefid=""response_6""/&gt;",IF($AS70&lt;&gt;"","&lt;displayfeedback feedbacktype=""Response"" linkrefid=""qti_feedback_trigger""/&gt;",""))&amp;"&lt;/respcondition&gt;",""))),"")</f>
      </c>
      <c r="AQ70" s="46">
        <f>IF($B70,IF(S70="","",IF($C70="qcu",IF(OR(AA70,BA70&lt;&gt;"",$AS70&lt;&gt;""),"      &lt;respcondition continue=""Yes""&gt;&lt;conditionvar&gt;&lt;varequal respident=""RESPONSE""&gt;7&lt;/varequal&gt;&lt;/conditionvar&gt;"&amp;"&lt;setvar action=""Add""&gt;"&amp;IF(AA70,$H70,0)&amp;"&lt;/setvar&gt;"&amp;IF(BA70&lt;&gt;"","&lt;displayfeedback feedbacktype=""Response"" linkrefid=""response_7""/&gt;",IF($AS70&lt;&gt;"","&lt;displayfeedback feedbacktype=""Response"" linkrefid=""qti_feedback_trigger""/&gt;",""))&amp;"&lt;/respcondition&gt;",""),IF(OR(AA70,BA70&lt;&gt;"",$AS70&lt;&gt;""),"      &lt;respcondition continue=""Yes""&gt;&lt;conditionvar&gt;"&amp;IF(AA70,"&lt;varequal respident=""RESPONSE""&gt;7&lt;/varequal&gt;","&lt;not&gt;&lt;varequal respident=""RESPONSE""&gt;7&lt;/varequal&gt;&lt;/not&gt;")&amp;"&lt;/conditionvar&gt;&lt;setvar action=""Add""&gt;"&amp;(Saisie_Questions!$N70/$I70)&amp;"&lt;/setvar&gt;"&amp;IF(BA70&lt;&gt;"","&lt;displayfeedback feedbacktype=""Response"" linkrefid=""response_7""/&gt;",IF($AS70&lt;&gt;"","&lt;displayfeedback feedbacktype=""Response"" linkrefid=""qti_feedback_trigger""/&gt;",""))&amp;"&lt;/respcondition&gt;",""))),"")</f>
      </c>
      <c r="AR70" s="46">
        <f>IF(A70="","",SUBSTITUTE(SUBSTITUTE(SUBSTITUTE(SUBSTITUTE(SUBSTITUTE(IF(Saisie_Questions!P70&lt;&gt;"",Saisie_Questions!P70,Interface_Generation!$B$5),"&amp;","&amp;amp;"),"&lt;","&amp;lt;"),"&gt;","&amp;gt;"),CHAR(34),"&amp;quot;"),"'","&amp;apos;"))</f>
        <v/>
      </c>
      <c r="AS70" s="46">
        <f>IF(Saisie_Questions!Q70="","",SUBSTITUTE(SUBSTITUTE(SUBSTITUTE(SUBSTITUTE(SUBSTITUTE(Saisie_Questions!Q70,"&amp;","&amp;amp;"),"&lt;","&amp;lt;"),"&gt;","&amp;gt;"),CHAR(34),"&amp;quot;"),"'","&amp;apos;"))</f>
        <v/>
      </c>
      <c r="AT70" s="46">
        <f>IF(Saisie_Questions!R70="","",SUBSTITUTE(SUBSTITUTE(SUBSTITUTE(SUBSTITUTE(SUBSTITUTE(Saisie_Questions!R70,"&amp;","&amp;amp;"),"&lt;","&amp;lt;"),"&gt;","&amp;gt;"),CHAR(34),"&amp;quot;"),"'","&amp;apos;"))</f>
        <v/>
      </c>
      <c r="AU70" s="46">
        <f>IF(Saisie_Questions!S70="","",SUBSTITUTE(SUBSTITUTE(SUBSTITUTE(SUBSTITUTE(SUBSTITUTE(Saisie_Questions!S70,"&amp;","&amp;amp;"),"&lt;","&amp;lt;"),"&gt;","&amp;gt;"),CHAR(34),"&amp;quot;"),"'","&amp;apos;"))</f>
        <v/>
      </c>
      <c r="AV70" s="46">
        <f>IF(Saisie_Questions!T70="","",SUBSTITUTE(SUBSTITUTE(SUBSTITUTE(SUBSTITUTE(SUBSTITUTE(Saisie_Questions!T70,"&amp;","&amp;amp;"),"&lt;","&amp;lt;"),"&gt;","&amp;gt;"),CHAR(34),"&amp;quot;"),"'","&amp;apos;"))</f>
        <v/>
      </c>
      <c r="AW70" s="46">
        <f>IF(Saisie_Questions!U70="","",SUBSTITUTE(SUBSTITUTE(SUBSTITUTE(SUBSTITUTE(SUBSTITUTE(Saisie_Questions!U70,"&amp;","&amp;amp;"),"&lt;","&amp;lt;"),"&gt;","&amp;gt;"),CHAR(34),"&amp;quot;"),"'","&amp;apos;"))</f>
        <v/>
      </c>
      <c r="AX70" s="46">
        <f>IF(Saisie_Questions!V70="","",SUBSTITUTE(SUBSTITUTE(SUBSTITUTE(SUBSTITUTE(SUBSTITUTE(Saisie_Questions!V70,"&amp;","&amp;amp;"),"&lt;","&amp;lt;"),"&gt;","&amp;gt;"),CHAR(34),"&amp;quot;"),"'","&amp;apos;"))</f>
        <v/>
      </c>
      <c r="AY70" s="46">
        <f>IF(Saisie_Questions!W70="","",SUBSTITUTE(SUBSTITUTE(SUBSTITUTE(SUBSTITUTE(SUBSTITUTE(Saisie_Questions!W70,"&amp;","&amp;amp;"),"&lt;","&amp;lt;"),"&gt;","&amp;gt;"),CHAR(34),"&amp;quot;"),"'","&amp;apos;"))</f>
        <v/>
      </c>
      <c r="AZ70" s="46">
        <f>IF(Saisie_Questions!X70="","",SUBSTITUTE(SUBSTITUTE(SUBSTITUTE(SUBSTITUTE(SUBSTITUTE(Saisie_Questions!X70,"&amp;","&amp;amp;"),"&lt;","&amp;lt;"),"&gt;","&amp;gt;"),CHAR(34),"&amp;quot;"),"'","&amp;apos;"))</f>
        <v/>
      </c>
      <c r="BA70" s="46">
        <f>IF(Saisie_Questions!Y70="","",SUBSTITUTE(SUBSTITUTE(SUBSTITUTE(SUBSTITUTE(SUBSTITUTE(Saisie_Questions!Y70,"&amp;","&amp;amp;"),"&lt;","&amp;lt;"),"&gt;","&amp;gt;"),CHAR(34),"&amp;quot;"),"'","&amp;apos;"))</f>
        <v/>
      </c>
      <c r="BB70" s="46">
        <f>IF($B70,IF($AS70="","","    &lt;itemfeedback ident=""response_allcorrect"" view=""All""&gt;&lt;flow_mat&gt;&lt;material&gt;&lt;mattext texttype=""text/html""&gt;"&amp;$AS70&amp;"&lt;/mattext&gt;&lt;/material&gt;&lt;/flow_mat&gt;&lt;/itemfeedback&gt;"&amp;"    &lt;itemfeedback ident=""response_onenotcorrect"" view=""All""&gt;&lt;flow_mat&gt;&lt;material&gt;&lt;mattext texttype=""text/html""&gt;"&amp;$AS70&amp;"&lt;/mattext&gt;&lt;/material&gt;&lt;/flow_mat&gt;&lt;/itemfeedback&gt;"),"")</f>
      </c>
      <c r="BC70" s="46">
        <f>IF($B70,IF(AT70="","","    &lt;itemfeedback ident=""response_0"" view=""All""&gt;&lt;flow_mat&gt;&lt;material&gt;&lt;mattext texttype=""text/html""&gt;"&amp;AT70&amp;"&lt;/mattext&gt;&lt;/material&gt;&lt;/flow_mat&gt;&lt;/itemfeedback&gt;"),"")</f>
      </c>
      <c r="BD70" s="46">
        <f>IF($B70,IF(AU70="","","    &lt;itemfeedback ident=""response_1"" view=""All""&gt;&lt;flow_mat&gt;&lt;material&gt;&lt;mattext texttype=""text/html""&gt;"&amp;AU70&amp;"&lt;/mattext&gt;&lt;/material&gt;&lt;/flow_mat&gt;&lt;/itemfeedback&gt;"),"")</f>
      </c>
      <c r="BE70" s="46">
        <f>IF($B70,IF(AV70="","","    &lt;itemfeedback ident=""response_2"" view=""All""&gt;&lt;flow_mat&gt;&lt;material&gt;&lt;mattext texttype=""text/html""&gt;"&amp;AV70&amp;"&lt;/mattext&gt;&lt;/material&gt;&lt;/flow_mat&gt;&lt;/itemfeedback&gt;"),"")</f>
      </c>
      <c r="BF70" s="46">
        <f>IF($B70,IF(AW70="","","    &lt;itemfeedback ident=""response_3"" view=""All""&gt;&lt;flow_mat&gt;&lt;material&gt;&lt;mattext texttype=""text/html""&gt;"&amp;AW70&amp;"&lt;/mattext&gt;&lt;/material&gt;&lt;/flow_mat&gt;&lt;/itemfeedback&gt;"),"")</f>
      </c>
      <c r="BG70" s="46">
        <f>IF($B70,IF(AX70="","","    &lt;itemfeedback ident=""response_4"" view=""All""&gt;&lt;flow_mat&gt;&lt;material&gt;&lt;mattext texttype=""text/html""&gt;"&amp;AX70&amp;"&lt;/mattext&gt;&lt;/material&gt;&lt;/flow_mat&gt;&lt;/itemfeedback&gt;"),"")</f>
      </c>
      <c r="BH70" s="46">
        <f>IF($B70,IF(AY70="","","    &lt;itemfeedback ident=""response_5"" view=""All""&gt;&lt;flow_mat&gt;&lt;material&gt;&lt;mattext texttype=""text/html""&gt;"&amp;AY70&amp;"&lt;/mattext&gt;&lt;/material&gt;&lt;/flow_mat&gt;&lt;/itemfeedback&gt;"),"")</f>
      </c>
      <c r="BI70" s="46">
        <f>IF($B70,IF(AZ70="","","    &lt;itemfeedback ident=""response_6"" view=""All""&gt;&lt;flow_mat&gt;&lt;material&gt;&lt;mattext texttype=""text/html""&gt;"&amp;AZ70&amp;"&lt;/mattext&gt;&lt;/material&gt;&lt;/flow_mat&gt;&lt;/itemfeedback&gt;"),"")</f>
      </c>
      <c r="BJ70" s="46">
        <f>IF($B70,IF(BA70="","","    &lt;itemfeedback ident=""response_7"" view=""All""&gt;&lt;flow_mat&gt;&lt;material&gt;&lt;mattext texttype=""text/html""&gt;"&amp;BA70&amp;"&lt;/mattext&gt;&lt;/material&gt;&lt;/flow_mat&gt;&lt;/itemfeedback&gt;"),"")</f>
      </c>
    </row>
    <row r="71" ht="18" customHeight="1" s="17">
      <c r="A71" s="46">
        <f>Saisie_Questions!A71</f>
        <v/>
      </c>
      <c r="B71" s="46">
        <f>Saisie_Questions!O71="OK"</f>
        <v/>
      </c>
      <c r="C71" s="46">
        <f>LOWER(TRIM(Saisie_Questions!B71))</f>
        <v/>
      </c>
      <c r="D71" s="46">
        <f>IF(C71="qcu","SINGLE CHOICE QUESTION","MULTIPLE CHOICE QUESTION")</f>
        <v/>
      </c>
      <c r="E71" s="46">
        <f>IF(C71="qcu","Single","Multiple")</f>
        <v/>
      </c>
      <c r="F71" s="46">
        <f>IF(A71="","",SUBSTITUTE(SUBSTITUTE(SUBSTITUTE(SUBSTITUTE(SUBSTITUTE(IF(Saisie_Questions!C71="", "Question "&amp;A71, Saisie_Questions!C71),"&amp;","&amp;amp;"),"&lt;","&amp;lt;"),"&gt;","&amp;gt;"),CHAR(34),"&amp;quot;"),"'","&amp;apos;"))</f>
        <v/>
      </c>
      <c r="G71" s="46">
        <f>IF(A71="","",SUBSTITUTE(SUBSTITUTE(SUBSTITUTE(SUBSTITUTE(SUBSTITUTE(Saisie_Questions!D71,"&amp;","&amp;amp;"),"&lt;","&amp;lt;"),"&gt;","&amp;gt;"),CHAR(34),"&amp;quot;"),"'","&amp;apos;"))</f>
        <v/>
      </c>
      <c r="H71" s="46">
        <f>Saisie_Questions!N71</f>
        <v/>
      </c>
      <c r="I71" s="46">
        <f>IF(Saisie_Questions!E71="",0,1)+IF(Saisie_Questions!F71="",0,1)+IF(Saisie_Questions!G71="",0,1)+IF(Saisie_Questions!H71="",0,1)+IF(Saisie_Questions!I71="",0,1)+IF(Saisie_Questions!J71="",0,1)+IF(Saisie_Questions!K71="",0,1)+IF(Saisie_Questions!L71="",0,1)</f>
        <v/>
      </c>
      <c r="J71" s="46">
        <f>Saisie_Questions!M71</f>
        <v/>
      </c>
      <c r="K71" s="46">
        <f>Saisie_Questions!O71</f>
        <v/>
      </c>
      <c r="L71" s="46">
        <f>IF(Saisie_Questions!E71="","",SUBSTITUTE(SUBSTITUTE(SUBSTITUTE(SUBSTITUTE(SUBSTITUTE(Saisie_Questions!E71,"&amp;","&amp;amp;"),"&lt;","&amp;lt;"),"&gt;","&amp;gt;"),CHAR(34),"&amp;quot;"),"'","&amp;apos;"))</f>
        <v/>
      </c>
      <c r="M71" s="46">
        <f>IF(Saisie_Questions!F71="","",SUBSTITUTE(SUBSTITUTE(SUBSTITUTE(SUBSTITUTE(SUBSTITUTE(Saisie_Questions!F71,"&amp;","&amp;amp;"),"&lt;","&amp;lt;"),"&gt;","&amp;gt;"),CHAR(34),"&amp;quot;"),"'","&amp;apos;"))</f>
        <v/>
      </c>
      <c r="N71" s="46">
        <f>IF(Saisie_Questions!G71="","",SUBSTITUTE(SUBSTITUTE(SUBSTITUTE(SUBSTITUTE(SUBSTITUTE(Saisie_Questions!G71,"&amp;","&amp;amp;"),"&lt;","&amp;lt;"),"&gt;","&amp;gt;"),CHAR(34),"&amp;quot;"),"'","&amp;apos;"))</f>
        <v/>
      </c>
      <c r="O71" s="46">
        <f>IF(Saisie_Questions!H71="","",SUBSTITUTE(SUBSTITUTE(SUBSTITUTE(SUBSTITUTE(SUBSTITUTE(Saisie_Questions!H71,"&amp;","&amp;amp;"),"&lt;","&amp;lt;"),"&gt;","&amp;gt;"),CHAR(34),"&amp;quot;"),"'","&amp;apos;"))</f>
        <v/>
      </c>
      <c r="P71" s="46">
        <f>IF(Saisie_Questions!I71="","",SUBSTITUTE(SUBSTITUTE(SUBSTITUTE(SUBSTITUTE(SUBSTITUTE(Saisie_Questions!I71,"&amp;","&amp;amp;"),"&lt;","&amp;lt;"),"&gt;","&amp;gt;"),CHAR(34),"&amp;quot;"),"'","&amp;apos;"))</f>
        <v/>
      </c>
      <c r="Q71" s="46">
        <f>IF(Saisie_Questions!J71="","",SUBSTITUTE(SUBSTITUTE(SUBSTITUTE(SUBSTITUTE(SUBSTITUTE(Saisie_Questions!J71,"&amp;","&amp;amp;"),"&lt;","&amp;lt;"),"&gt;","&amp;gt;"),CHAR(34),"&amp;quot;"),"'","&amp;apos;"))</f>
        <v/>
      </c>
      <c r="R71" s="46">
        <f>IF(Saisie_Questions!K71="","",SUBSTITUTE(SUBSTITUTE(SUBSTITUTE(SUBSTITUTE(SUBSTITUTE(Saisie_Questions!K71,"&amp;","&amp;amp;"),"&lt;","&amp;lt;"),"&gt;","&amp;gt;"),CHAR(34),"&amp;quot;"),"'","&amp;apos;"))</f>
        <v/>
      </c>
      <c r="S71" s="46">
        <f>IF(Saisie_Questions!L71="","",SUBSTITUTE(SUBSTITUTE(SUBSTITUTE(SUBSTITUTE(SUBSTITUTE(Saisie_Questions!L71,"&amp;","&amp;amp;"),"&lt;","&amp;lt;"),"&gt;","&amp;gt;"),CHAR(34),"&amp;quot;"),"'","&amp;apos;"))</f>
        <v/>
      </c>
      <c r="T71" s="46">
        <f>ISNUMBER(SEARCH(";"&amp;1&amp;";",";"&amp;$J71&amp;";"))</f>
        <v/>
      </c>
      <c r="U71" s="46">
        <f>ISNUMBER(SEARCH(";"&amp;2&amp;";",";"&amp;$J71&amp;";"))</f>
        <v/>
      </c>
      <c r="V71" s="46">
        <f>ISNUMBER(SEARCH(";"&amp;3&amp;";",";"&amp;$J71&amp;";"))</f>
        <v/>
      </c>
      <c r="W71" s="46">
        <f>ISNUMBER(SEARCH(";"&amp;4&amp;";",";"&amp;$J71&amp;";"))</f>
        <v/>
      </c>
      <c r="X71" s="46">
        <f>ISNUMBER(SEARCH(";"&amp;5&amp;";",";"&amp;$J71&amp;";"))</f>
        <v/>
      </c>
      <c r="Y71" s="46">
        <f>ISNUMBER(SEARCH(";"&amp;6&amp;";",";"&amp;$J71&amp;";"))</f>
        <v/>
      </c>
      <c r="Z71" s="46">
        <f>ISNUMBER(SEARCH(";"&amp;7&amp;";",";"&amp;$J71&amp;";"))</f>
        <v/>
      </c>
      <c r="AA71" s="46">
        <f>ISNUMBER(SEARCH(";"&amp;8&amp;";",";"&amp;$J71&amp;";"))</f>
        <v/>
      </c>
      <c r="AB71" s="46">
        <f>IF($B71,IF(L71="","","        &lt;response_label ident=""0""&gt;&lt;material&gt;&lt;mattext texttype=""text/html""&gt;"&amp;L71&amp;"&lt;/mattext&gt;&lt;/material&gt;&lt;/response_label&gt;"),"")</f>
        <v/>
      </c>
      <c r="AC71" s="46">
        <f>IF($B71,IF(M71="","","        &lt;response_label ident=""1""&gt;&lt;material&gt;&lt;mattext texttype=""text/html""&gt;"&amp;M71&amp;"&lt;/mattext&gt;&lt;/material&gt;&lt;/response_label&gt;"),"")</f>
        <v/>
      </c>
      <c r="AD71" s="46">
        <f>IF($B71,IF(N71="","","        &lt;response_label ident=""2""&gt;&lt;material&gt;&lt;mattext texttype=""text/html""&gt;"&amp;N71&amp;"&lt;/mattext&gt;&lt;/material&gt;&lt;/response_label&gt;"),"")</f>
        <v/>
      </c>
      <c r="AE71" s="46">
        <f>IF($B71,IF(O71="","","        &lt;response_label ident=""3""&gt;&lt;material&gt;&lt;mattext texttype=""text/html""&gt;"&amp;O71&amp;"&lt;/mattext&gt;&lt;/material&gt;&lt;/response_label&gt;"),"")</f>
        <v/>
      </c>
      <c r="AF71" s="46">
        <f>IF($B71,IF(P71="","","        &lt;response_label ident=""4""&gt;&lt;material&gt;&lt;mattext texttype=""text/html""&gt;"&amp;P71&amp;"&lt;/mattext&gt;&lt;/material&gt;&lt;/response_label&gt;"),"")</f>
        <v/>
      </c>
      <c r="AG71" s="46">
        <f>IF($B71,IF(Q71="","","        &lt;response_label ident=""5""&gt;&lt;material&gt;&lt;mattext texttype=""text/html""&gt;"&amp;Q71&amp;"&lt;/mattext&gt;&lt;/material&gt;&lt;/response_label&gt;"),"")</f>
        <v/>
      </c>
      <c r="AH71" s="46">
        <f>IF($B71,IF(R71="","","        &lt;response_label ident=""6""&gt;&lt;material&gt;&lt;mattext texttype=""text/html""&gt;"&amp;R71&amp;"&lt;/mattext&gt;&lt;/material&gt;&lt;/response_label&gt;"),"")</f>
        <v/>
      </c>
      <c r="AI71" s="46">
        <f>IF($B71,IF(S71="","","        &lt;response_label ident=""7""&gt;&lt;material&gt;&lt;mattext texttype=""text/html""&gt;"&amp;S71&amp;"&lt;/mattext&gt;&lt;/material&gt;&lt;/response_label&gt;"),"")</f>
        <v/>
      </c>
      <c r="AJ71" s="46">
        <f>IF($B71,IF(L71="","",IF($C71="qcu",IF(OR(T71,AT71&lt;&gt;"",$AS71&lt;&gt;""),"      &lt;respcondition continue=""Yes""&gt;&lt;conditionvar&gt;&lt;varequal respident=""RESPONSE""&gt;0&lt;/varequal&gt;&lt;/conditionvar&gt;"&amp;"&lt;setvar action=""Add""&gt;"&amp;IF(T71,$H71,0)&amp;"&lt;/setvar&gt;"&amp;IF(AT71&lt;&gt;"","&lt;displayfeedback feedbacktype=""Response"" linkrefid=""response_0""/&gt;",IF($AS71&lt;&gt;"","&lt;displayfeedback feedbacktype=""Response"" linkrefid=""qti_feedback_trigger""/&gt;",""))&amp;"&lt;/respcondition&gt;",""),IF(OR(T71,AT71&lt;&gt;"",$AS71&lt;&gt;""),"      &lt;respcondition continue=""Yes""&gt;&lt;conditionvar&gt;"&amp;IF(T71,"&lt;varequal respident=""RESPONSE""&gt;0&lt;/varequal&gt;","&lt;not&gt;&lt;varequal respident=""RESPONSE""&gt;0&lt;/varequal&gt;&lt;/not&gt;")&amp;"&lt;/conditionvar&gt;&lt;setvar action=""Add""&gt;"&amp;(Saisie_Questions!$N71/$I71)&amp;"&lt;/setvar&gt;"&amp;IF(AT71&lt;&gt;"","&lt;displayfeedback feedbacktype=""Response"" linkrefid=""response_0""/&gt;",IF($AS71&lt;&gt;"","&lt;displayfeedback feedbacktype=""Response"" linkrefid=""qti_feedback_trigger""/&gt;",""))&amp;"&lt;/respcondition&gt;",""))),"")</f>
      </c>
      <c r="AK71" s="46">
        <f>IF($B71,IF(M71="","",IF($C71="qcu",IF(OR(U71,AU71&lt;&gt;"",$AS71&lt;&gt;""),"      &lt;respcondition continue=""Yes""&gt;&lt;conditionvar&gt;&lt;varequal respident=""RESPONSE""&gt;1&lt;/varequal&gt;&lt;/conditionvar&gt;"&amp;"&lt;setvar action=""Add""&gt;"&amp;IF(U71,$H71,0)&amp;"&lt;/setvar&gt;"&amp;IF(AU71&lt;&gt;"","&lt;displayfeedback feedbacktype=""Response"" linkrefid=""response_1""/&gt;",IF($AS71&lt;&gt;"","&lt;displayfeedback feedbacktype=""Response"" linkrefid=""qti_feedback_trigger""/&gt;",""))&amp;"&lt;/respcondition&gt;",""),IF(OR(U71,AU71&lt;&gt;"",$AS71&lt;&gt;""),"      &lt;respcondition continue=""Yes""&gt;&lt;conditionvar&gt;"&amp;IF(U71,"&lt;varequal respident=""RESPONSE""&gt;1&lt;/varequal&gt;","&lt;not&gt;&lt;varequal respident=""RESPONSE""&gt;1&lt;/varequal&gt;&lt;/not&gt;")&amp;"&lt;/conditionvar&gt;&lt;setvar action=""Add""&gt;"&amp;(Saisie_Questions!$N71/$I71)&amp;"&lt;/setvar&gt;"&amp;IF(AU71&lt;&gt;"","&lt;displayfeedback feedbacktype=""Response"" linkrefid=""response_1""/&gt;",IF($AS71&lt;&gt;"","&lt;displayfeedback feedbacktype=""Response"" linkrefid=""qti_feedback_trigger""/&gt;",""))&amp;"&lt;/respcondition&gt;",""))),"")</f>
      </c>
      <c r="AL71" s="46">
        <f>IF($B71,IF(N71="","",IF($C71="qcu",IF(OR(V71,AV71&lt;&gt;"",$AS71&lt;&gt;""),"      &lt;respcondition continue=""Yes""&gt;&lt;conditionvar&gt;&lt;varequal respident=""RESPONSE""&gt;2&lt;/varequal&gt;&lt;/conditionvar&gt;"&amp;"&lt;setvar action=""Add""&gt;"&amp;IF(V71,$H71,0)&amp;"&lt;/setvar&gt;"&amp;IF(AV71&lt;&gt;"","&lt;displayfeedback feedbacktype=""Response"" linkrefid=""response_2""/&gt;",IF($AS71&lt;&gt;"","&lt;displayfeedback feedbacktype=""Response"" linkrefid=""qti_feedback_trigger""/&gt;",""))&amp;"&lt;/respcondition&gt;",""),IF(OR(V71,AV71&lt;&gt;"",$AS71&lt;&gt;""),"      &lt;respcondition continue=""Yes""&gt;&lt;conditionvar&gt;"&amp;IF(V71,"&lt;varequal respident=""RESPONSE""&gt;2&lt;/varequal&gt;","&lt;not&gt;&lt;varequal respident=""RESPONSE""&gt;2&lt;/varequal&gt;&lt;/not&gt;")&amp;"&lt;/conditionvar&gt;&lt;setvar action=""Add""&gt;"&amp;(Saisie_Questions!$N71/$I71)&amp;"&lt;/setvar&gt;"&amp;IF(AV71&lt;&gt;"","&lt;displayfeedback feedbacktype=""Response"" linkrefid=""response_2""/&gt;",IF($AS71&lt;&gt;"","&lt;displayfeedback feedbacktype=""Response"" linkrefid=""qti_feedback_trigger""/&gt;",""))&amp;"&lt;/respcondition&gt;",""))),"")</f>
      </c>
      <c r="AM71" s="46">
        <f>IF($B71,IF(O71="","",IF($C71="qcu",IF(OR(W71,AW71&lt;&gt;"",$AS71&lt;&gt;""),"      &lt;respcondition continue=""Yes""&gt;&lt;conditionvar&gt;&lt;varequal respident=""RESPONSE""&gt;3&lt;/varequal&gt;&lt;/conditionvar&gt;"&amp;"&lt;setvar action=""Add""&gt;"&amp;IF(W71,$H71,0)&amp;"&lt;/setvar&gt;"&amp;IF(AW71&lt;&gt;"","&lt;displayfeedback feedbacktype=""Response"" linkrefid=""response_3""/&gt;",IF($AS71&lt;&gt;"","&lt;displayfeedback feedbacktype=""Response"" linkrefid=""qti_feedback_trigger""/&gt;",""))&amp;"&lt;/respcondition&gt;",""),IF(OR(W71,AW71&lt;&gt;"",$AS71&lt;&gt;""),"      &lt;respcondition continue=""Yes""&gt;&lt;conditionvar&gt;"&amp;IF(W71,"&lt;varequal respident=""RESPONSE""&gt;3&lt;/varequal&gt;","&lt;not&gt;&lt;varequal respident=""RESPONSE""&gt;3&lt;/varequal&gt;&lt;/not&gt;")&amp;"&lt;/conditionvar&gt;&lt;setvar action=""Add""&gt;"&amp;(Saisie_Questions!$N71/$I71)&amp;"&lt;/setvar&gt;"&amp;IF(AW71&lt;&gt;"","&lt;displayfeedback feedbacktype=""Response"" linkrefid=""response_3""/&gt;",IF($AS71&lt;&gt;"","&lt;displayfeedback feedbacktype=""Response"" linkrefid=""qti_feedback_trigger""/&gt;",""))&amp;"&lt;/respcondition&gt;",""))),"")</f>
      </c>
      <c r="AN71" s="46">
        <f>IF($B71,IF(P71="","",IF($C71="qcu",IF(OR(X71,AX71&lt;&gt;"",$AS71&lt;&gt;""),"      &lt;respcondition continue=""Yes""&gt;&lt;conditionvar&gt;&lt;varequal respident=""RESPONSE""&gt;4&lt;/varequal&gt;&lt;/conditionvar&gt;"&amp;"&lt;setvar action=""Add""&gt;"&amp;IF(X71,$H71,0)&amp;"&lt;/setvar&gt;"&amp;IF(AX71&lt;&gt;"","&lt;displayfeedback feedbacktype=""Response"" linkrefid=""response_4""/&gt;",IF($AS71&lt;&gt;"","&lt;displayfeedback feedbacktype=""Response"" linkrefid=""qti_feedback_trigger""/&gt;",""))&amp;"&lt;/respcondition&gt;",""),IF(OR(X71,AX71&lt;&gt;"",$AS71&lt;&gt;""),"      &lt;respcondition continue=""Yes""&gt;&lt;conditionvar&gt;"&amp;IF(X71,"&lt;varequal respident=""RESPONSE""&gt;4&lt;/varequal&gt;","&lt;not&gt;&lt;varequal respident=""RESPONSE""&gt;4&lt;/varequal&gt;&lt;/not&gt;")&amp;"&lt;/conditionvar&gt;&lt;setvar action=""Add""&gt;"&amp;(Saisie_Questions!$N71/$I71)&amp;"&lt;/setvar&gt;"&amp;IF(AX71&lt;&gt;"","&lt;displayfeedback feedbacktype=""Response"" linkrefid=""response_4""/&gt;",IF($AS71&lt;&gt;"","&lt;displayfeedback feedbacktype=""Response"" linkrefid=""qti_feedback_trigger""/&gt;",""))&amp;"&lt;/respcondition&gt;",""))),"")</f>
      </c>
      <c r="AO71" s="46">
        <f>IF($B71,IF(Q71="","",IF($C71="qcu",IF(OR(Y71,AY71&lt;&gt;"",$AS71&lt;&gt;""),"      &lt;respcondition continue=""Yes""&gt;&lt;conditionvar&gt;&lt;varequal respident=""RESPONSE""&gt;5&lt;/varequal&gt;&lt;/conditionvar&gt;"&amp;"&lt;setvar action=""Add""&gt;"&amp;IF(Y71,$H71,0)&amp;"&lt;/setvar&gt;"&amp;IF(AY71&lt;&gt;"","&lt;displayfeedback feedbacktype=""Response"" linkrefid=""response_5""/&gt;",IF($AS71&lt;&gt;"","&lt;displayfeedback feedbacktype=""Response"" linkrefid=""qti_feedback_trigger""/&gt;",""))&amp;"&lt;/respcondition&gt;",""),IF(OR(Y71,AY71&lt;&gt;"",$AS71&lt;&gt;""),"      &lt;respcondition continue=""Yes""&gt;&lt;conditionvar&gt;"&amp;IF(Y71,"&lt;varequal respident=""RESPONSE""&gt;5&lt;/varequal&gt;","&lt;not&gt;&lt;varequal respident=""RESPONSE""&gt;5&lt;/varequal&gt;&lt;/not&gt;")&amp;"&lt;/conditionvar&gt;&lt;setvar action=""Add""&gt;"&amp;(Saisie_Questions!$N71/$I71)&amp;"&lt;/setvar&gt;"&amp;IF(AY71&lt;&gt;"","&lt;displayfeedback feedbacktype=""Response"" linkrefid=""response_5""/&gt;",IF($AS71&lt;&gt;"","&lt;displayfeedback feedbacktype=""Response"" linkrefid=""qti_feedback_trigger""/&gt;",""))&amp;"&lt;/respcondition&gt;",""))),"")</f>
      </c>
      <c r="AP71" s="46">
        <f>IF($B71,IF(R71="","",IF($C71="qcu",IF(OR(Z71,AZ71&lt;&gt;"",$AS71&lt;&gt;""),"      &lt;respcondition continue=""Yes""&gt;&lt;conditionvar&gt;&lt;varequal respident=""RESPONSE""&gt;6&lt;/varequal&gt;&lt;/conditionvar&gt;"&amp;"&lt;setvar action=""Add""&gt;"&amp;IF(Z71,$H71,0)&amp;"&lt;/setvar&gt;"&amp;IF(AZ71&lt;&gt;"","&lt;displayfeedback feedbacktype=""Response"" linkrefid=""response_6""/&gt;",IF($AS71&lt;&gt;"","&lt;displayfeedback feedbacktype=""Response"" linkrefid=""qti_feedback_trigger""/&gt;",""))&amp;"&lt;/respcondition&gt;",""),IF(OR(Z71,AZ71&lt;&gt;"",$AS71&lt;&gt;""),"      &lt;respcondition continue=""Yes""&gt;&lt;conditionvar&gt;"&amp;IF(Z71,"&lt;varequal respident=""RESPONSE""&gt;6&lt;/varequal&gt;","&lt;not&gt;&lt;varequal respident=""RESPONSE""&gt;6&lt;/varequal&gt;&lt;/not&gt;")&amp;"&lt;/conditionvar&gt;&lt;setvar action=""Add""&gt;"&amp;(Saisie_Questions!$N71/$I71)&amp;"&lt;/setvar&gt;"&amp;IF(AZ71&lt;&gt;"","&lt;displayfeedback feedbacktype=""Response"" linkrefid=""response_6""/&gt;",IF($AS71&lt;&gt;"","&lt;displayfeedback feedbacktype=""Response"" linkrefid=""qti_feedback_trigger""/&gt;",""))&amp;"&lt;/respcondition&gt;",""))),"")</f>
      </c>
      <c r="AQ71" s="46">
        <f>IF($B71,IF(S71="","",IF($C71="qcu",IF(OR(AA71,BA71&lt;&gt;"",$AS71&lt;&gt;""),"      &lt;respcondition continue=""Yes""&gt;&lt;conditionvar&gt;&lt;varequal respident=""RESPONSE""&gt;7&lt;/varequal&gt;&lt;/conditionvar&gt;"&amp;"&lt;setvar action=""Add""&gt;"&amp;IF(AA71,$H71,0)&amp;"&lt;/setvar&gt;"&amp;IF(BA71&lt;&gt;"","&lt;displayfeedback feedbacktype=""Response"" linkrefid=""response_7""/&gt;",IF($AS71&lt;&gt;"","&lt;displayfeedback feedbacktype=""Response"" linkrefid=""qti_feedback_trigger""/&gt;",""))&amp;"&lt;/respcondition&gt;",""),IF(OR(AA71,BA71&lt;&gt;"",$AS71&lt;&gt;""),"      &lt;respcondition continue=""Yes""&gt;&lt;conditionvar&gt;"&amp;IF(AA71,"&lt;varequal respident=""RESPONSE""&gt;7&lt;/varequal&gt;","&lt;not&gt;&lt;varequal respident=""RESPONSE""&gt;7&lt;/varequal&gt;&lt;/not&gt;")&amp;"&lt;/conditionvar&gt;&lt;setvar action=""Add""&gt;"&amp;(Saisie_Questions!$N71/$I71)&amp;"&lt;/setvar&gt;"&amp;IF(BA71&lt;&gt;"","&lt;displayfeedback feedbacktype=""Response"" linkrefid=""response_7""/&gt;",IF($AS71&lt;&gt;"","&lt;displayfeedback feedbacktype=""Response"" linkrefid=""qti_feedback_trigger""/&gt;",""))&amp;"&lt;/respcondition&gt;",""))),"")</f>
      </c>
      <c r="AR71" s="46">
        <f>IF(A71="","",SUBSTITUTE(SUBSTITUTE(SUBSTITUTE(SUBSTITUTE(SUBSTITUTE(IF(Saisie_Questions!P71&lt;&gt;"",Saisie_Questions!P71,Interface_Generation!$B$5),"&amp;","&amp;amp;"),"&lt;","&amp;lt;"),"&gt;","&amp;gt;"),CHAR(34),"&amp;quot;"),"'","&amp;apos;"))</f>
        <v/>
      </c>
      <c r="AS71" s="46">
        <f>IF(Saisie_Questions!Q71="","",SUBSTITUTE(SUBSTITUTE(SUBSTITUTE(SUBSTITUTE(SUBSTITUTE(Saisie_Questions!Q71,"&amp;","&amp;amp;"),"&lt;","&amp;lt;"),"&gt;","&amp;gt;"),CHAR(34),"&amp;quot;"),"'","&amp;apos;"))</f>
        <v/>
      </c>
      <c r="AT71" s="46">
        <f>IF(Saisie_Questions!R71="","",SUBSTITUTE(SUBSTITUTE(SUBSTITUTE(SUBSTITUTE(SUBSTITUTE(Saisie_Questions!R71,"&amp;","&amp;amp;"),"&lt;","&amp;lt;"),"&gt;","&amp;gt;"),CHAR(34),"&amp;quot;"),"'","&amp;apos;"))</f>
        <v/>
      </c>
      <c r="AU71" s="46">
        <f>IF(Saisie_Questions!S71="","",SUBSTITUTE(SUBSTITUTE(SUBSTITUTE(SUBSTITUTE(SUBSTITUTE(Saisie_Questions!S71,"&amp;","&amp;amp;"),"&lt;","&amp;lt;"),"&gt;","&amp;gt;"),CHAR(34),"&amp;quot;"),"'","&amp;apos;"))</f>
        <v/>
      </c>
      <c r="AV71" s="46">
        <f>IF(Saisie_Questions!T71="","",SUBSTITUTE(SUBSTITUTE(SUBSTITUTE(SUBSTITUTE(SUBSTITUTE(Saisie_Questions!T71,"&amp;","&amp;amp;"),"&lt;","&amp;lt;"),"&gt;","&amp;gt;"),CHAR(34),"&amp;quot;"),"'","&amp;apos;"))</f>
        <v/>
      </c>
      <c r="AW71" s="46">
        <f>IF(Saisie_Questions!U71="","",SUBSTITUTE(SUBSTITUTE(SUBSTITUTE(SUBSTITUTE(SUBSTITUTE(Saisie_Questions!U71,"&amp;","&amp;amp;"),"&lt;","&amp;lt;"),"&gt;","&amp;gt;"),CHAR(34),"&amp;quot;"),"'","&amp;apos;"))</f>
        <v/>
      </c>
      <c r="AX71" s="46">
        <f>IF(Saisie_Questions!V71="","",SUBSTITUTE(SUBSTITUTE(SUBSTITUTE(SUBSTITUTE(SUBSTITUTE(Saisie_Questions!V71,"&amp;","&amp;amp;"),"&lt;","&amp;lt;"),"&gt;","&amp;gt;"),CHAR(34),"&amp;quot;"),"'","&amp;apos;"))</f>
        <v/>
      </c>
      <c r="AY71" s="46">
        <f>IF(Saisie_Questions!W71="","",SUBSTITUTE(SUBSTITUTE(SUBSTITUTE(SUBSTITUTE(SUBSTITUTE(Saisie_Questions!W71,"&amp;","&amp;amp;"),"&lt;","&amp;lt;"),"&gt;","&amp;gt;"),CHAR(34),"&amp;quot;"),"'","&amp;apos;"))</f>
        <v/>
      </c>
      <c r="AZ71" s="46">
        <f>IF(Saisie_Questions!X71="","",SUBSTITUTE(SUBSTITUTE(SUBSTITUTE(SUBSTITUTE(SUBSTITUTE(Saisie_Questions!X71,"&amp;","&amp;amp;"),"&lt;","&amp;lt;"),"&gt;","&amp;gt;"),CHAR(34),"&amp;quot;"),"'","&amp;apos;"))</f>
        <v/>
      </c>
      <c r="BA71" s="46">
        <f>IF(Saisie_Questions!Y71="","",SUBSTITUTE(SUBSTITUTE(SUBSTITUTE(SUBSTITUTE(SUBSTITUTE(Saisie_Questions!Y71,"&amp;","&amp;amp;"),"&lt;","&amp;lt;"),"&gt;","&amp;gt;"),CHAR(34),"&amp;quot;"),"'","&amp;apos;"))</f>
        <v/>
      </c>
      <c r="BB71" s="46">
        <f>IF($B71,IF($AS71="","","    &lt;itemfeedback ident=""response_allcorrect"" view=""All""&gt;&lt;flow_mat&gt;&lt;material&gt;&lt;mattext texttype=""text/html""&gt;"&amp;$AS71&amp;"&lt;/mattext&gt;&lt;/material&gt;&lt;/flow_mat&gt;&lt;/itemfeedback&gt;"&amp;"    &lt;itemfeedback ident=""response_onenotcorrect"" view=""All""&gt;&lt;flow_mat&gt;&lt;material&gt;&lt;mattext texttype=""text/html""&gt;"&amp;$AS71&amp;"&lt;/mattext&gt;&lt;/material&gt;&lt;/flow_mat&gt;&lt;/itemfeedback&gt;"),"")</f>
      </c>
      <c r="BC71" s="46">
        <f>IF($B71,IF(AT71="","","    &lt;itemfeedback ident=""response_0"" view=""All""&gt;&lt;flow_mat&gt;&lt;material&gt;&lt;mattext texttype=""text/html""&gt;"&amp;AT71&amp;"&lt;/mattext&gt;&lt;/material&gt;&lt;/flow_mat&gt;&lt;/itemfeedback&gt;"),"")</f>
      </c>
      <c r="BD71" s="46">
        <f>IF($B71,IF(AU71="","","    &lt;itemfeedback ident=""response_1"" view=""All""&gt;&lt;flow_mat&gt;&lt;material&gt;&lt;mattext texttype=""text/html""&gt;"&amp;AU71&amp;"&lt;/mattext&gt;&lt;/material&gt;&lt;/flow_mat&gt;&lt;/itemfeedback&gt;"),"")</f>
      </c>
      <c r="BE71" s="46">
        <f>IF($B71,IF(AV71="","","    &lt;itemfeedback ident=""response_2"" view=""All""&gt;&lt;flow_mat&gt;&lt;material&gt;&lt;mattext texttype=""text/html""&gt;"&amp;AV71&amp;"&lt;/mattext&gt;&lt;/material&gt;&lt;/flow_mat&gt;&lt;/itemfeedback&gt;"),"")</f>
      </c>
      <c r="BF71" s="46">
        <f>IF($B71,IF(AW71="","","    &lt;itemfeedback ident=""response_3"" view=""All""&gt;&lt;flow_mat&gt;&lt;material&gt;&lt;mattext texttype=""text/html""&gt;"&amp;AW71&amp;"&lt;/mattext&gt;&lt;/material&gt;&lt;/flow_mat&gt;&lt;/itemfeedback&gt;"),"")</f>
      </c>
      <c r="BG71" s="46">
        <f>IF($B71,IF(AX71="","","    &lt;itemfeedback ident=""response_4"" view=""All""&gt;&lt;flow_mat&gt;&lt;material&gt;&lt;mattext texttype=""text/html""&gt;"&amp;AX71&amp;"&lt;/mattext&gt;&lt;/material&gt;&lt;/flow_mat&gt;&lt;/itemfeedback&gt;"),"")</f>
      </c>
      <c r="BH71" s="46">
        <f>IF($B71,IF(AY71="","","    &lt;itemfeedback ident=""response_5"" view=""All""&gt;&lt;flow_mat&gt;&lt;material&gt;&lt;mattext texttype=""text/html""&gt;"&amp;AY71&amp;"&lt;/mattext&gt;&lt;/material&gt;&lt;/flow_mat&gt;&lt;/itemfeedback&gt;"),"")</f>
      </c>
      <c r="BI71" s="46">
        <f>IF($B71,IF(AZ71="","","    &lt;itemfeedback ident=""response_6"" view=""All""&gt;&lt;flow_mat&gt;&lt;material&gt;&lt;mattext texttype=""text/html""&gt;"&amp;AZ71&amp;"&lt;/mattext&gt;&lt;/material&gt;&lt;/flow_mat&gt;&lt;/itemfeedback&gt;"),"")</f>
      </c>
      <c r="BJ71" s="46">
        <f>IF($B71,IF(BA71="","","    &lt;itemfeedback ident=""response_7"" view=""All""&gt;&lt;flow_mat&gt;&lt;material&gt;&lt;mattext texttype=""text/html""&gt;"&amp;BA71&amp;"&lt;/mattext&gt;&lt;/material&gt;&lt;/flow_mat&gt;&lt;/itemfeedback&gt;"),"")</f>
      </c>
    </row>
    <row r="72" ht="18" customHeight="1" s="17">
      <c r="A72" s="46">
        <f>Saisie_Questions!A72</f>
        <v/>
      </c>
      <c r="B72" s="46">
        <f>Saisie_Questions!O72="OK"</f>
        <v/>
      </c>
      <c r="C72" s="46">
        <f>LOWER(TRIM(Saisie_Questions!B72))</f>
        <v/>
      </c>
      <c r="D72" s="46">
        <f>IF(C72="qcu","SINGLE CHOICE QUESTION","MULTIPLE CHOICE QUESTION")</f>
        <v/>
      </c>
      <c r="E72" s="46">
        <f>IF(C72="qcu","Single","Multiple")</f>
        <v/>
      </c>
      <c r="F72" s="46">
        <f>IF(A72="","",SUBSTITUTE(SUBSTITUTE(SUBSTITUTE(SUBSTITUTE(SUBSTITUTE(IF(Saisie_Questions!C72="", "Question "&amp;A72, Saisie_Questions!C72),"&amp;","&amp;amp;"),"&lt;","&amp;lt;"),"&gt;","&amp;gt;"),CHAR(34),"&amp;quot;"),"'","&amp;apos;"))</f>
        <v/>
      </c>
      <c r="G72" s="46">
        <f>IF(A72="","",SUBSTITUTE(SUBSTITUTE(SUBSTITUTE(SUBSTITUTE(SUBSTITUTE(Saisie_Questions!D72,"&amp;","&amp;amp;"),"&lt;","&amp;lt;"),"&gt;","&amp;gt;"),CHAR(34),"&amp;quot;"),"'","&amp;apos;"))</f>
        <v/>
      </c>
      <c r="H72" s="46">
        <f>Saisie_Questions!N72</f>
        <v/>
      </c>
      <c r="I72" s="46">
        <f>IF(Saisie_Questions!E72="",0,1)+IF(Saisie_Questions!F72="",0,1)+IF(Saisie_Questions!G72="",0,1)+IF(Saisie_Questions!H72="",0,1)+IF(Saisie_Questions!I72="",0,1)+IF(Saisie_Questions!J72="",0,1)+IF(Saisie_Questions!K72="",0,1)+IF(Saisie_Questions!L72="",0,1)</f>
        <v/>
      </c>
      <c r="J72" s="46">
        <f>Saisie_Questions!M72</f>
        <v/>
      </c>
      <c r="K72" s="46">
        <f>Saisie_Questions!O72</f>
        <v/>
      </c>
      <c r="L72" s="46">
        <f>IF(Saisie_Questions!E72="","",SUBSTITUTE(SUBSTITUTE(SUBSTITUTE(SUBSTITUTE(SUBSTITUTE(Saisie_Questions!E72,"&amp;","&amp;amp;"),"&lt;","&amp;lt;"),"&gt;","&amp;gt;"),CHAR(34),"&amp;quot;"),"'","&amp;apos;"))</f>
        <v/>
      </c>
      <c r="M72" s="46">
        <f>IF(Saisie_Questions!F72="","",SUBSTITUTE(SUBSTITUTE(SUBSTITUTE(SUBSTITUTE(SUBSTITUTE(Saisie_Questions!F72,"&amp;","&amp;amp;"),"&lt;","&amp;lt;"),"&gt;","&amp;gt;"),CHAR(34),"&amp;quot;"),"'","&amp;apos;"))</f>
        <v/>
      </c>
      <c r="N72" s="46">
        <f>IF(Saisie_Questions!G72="","",SUBSTITUTE(SUBSTITUTE(SUBSTITUTE(SUBSTITUTE(SUBSTITUTE(Saisie_Questions!G72,"&amp;","&amp;amp;"),"&lt;","&amp;lt;"),"&gt;","&amp;gt;"),CHAR(34),"&amp;quot;"),"'","&amp;apos;"))</f>
        <v/>
      </c>
      <c r="O72" s="46">
        <f>IF(Saisie_Questions!H72="","",SUBSTITUTE(SUBSTITUTE(SUBSTITUTE(SUBSTITUTE(SUBSTITUTE(Saisie_Questions!H72,"&amp;","&amp;amp;"),"&lt;","&amp;lt;"),"&gt;","&amp;gt;"),CHAR(34),"&amp;quot;"),"'","&amp;apos;"))</f>
        <v/>
      </c>
      <c r="P72" s="46">
        <f>IF(Saisie_Questions!I72="","",SUBSTITUTE(SUBSTITUTE(SUBSTITUTE(SUBSTITUTE(SUBSTITUTE(Saisie_Questions!I72,"&amp;","&amp;amp;"),"&lt;","&amp;lt;"),"&gt;","&amp;gt;"),CHAR(34),"&amp;quot;"),"'","&amp;apos;"))</f>
        <v/>
      </c>
      <c r="Q72" s="46">
        <f>IF(Saisie_Questions!J72="","",SUBSTITUTE(SUBSTITUTE(SUBSTITUTE(SUBSTITUTE(SUBSTITUTE(Saisie_Questions!J72,"&amp;","&amp;amp;"),"&lt;","&amp;lt;"),"&gt;","&amp;gt;"),CHAR(34),"&amp;quot;"),"'","&amp;apos;"))</f>
        <v/>
      </c>
      <c r="R72" s="46">
        <f>IF(Saisie_Questions!K72="","",SUBSTITUTE(SUBSTITUTE(SUBSTITUTE(SUBSTITUTE(SUBSTITUTE(Saisie_Questions!K72,"&amp;","&amp;amp;"),"&lt;","&amp;lt;"),"&gt;","&amp;gt;"),CHAR(34),"&amp;quot;"),"'","&amp;apos;"))</f>
        <v/>
      </c>
      <c r="S72" s="46">
        <f>IF(Saisie_Questions!L72="","",SUBSTITUTE(SUBSTITUTE(SUBSTITUTE(SUBSTITUTE(SUBSTITUTE(Saisie_Questions!L72,"&amp;","&amp;amp;"),"&lt;","&amp;lt;"),"&gt;","&amp;gt;"),CHAR(34),"&amp;quot;"),"'","&amp;apos;"))</f>
        <v/>
      </c>
      <c r="T72" s="46">
        <f>ISNUMBER(SEARCH(";"&amp;1&amp;";",";"&amp;$J72&amp;";"))</f>
        <v/>
      </c>
      <c r="U72" s="46">
        <f>ISNUMBER(SEARCH(";"&amp;2&amp;";",";"&amp;$J72&amp;";"))</f>
        <v/>
      </c>
      <c r="V72" s="46">
        <f>ISNUMBER(SEARCH(";"&amp;3&amp;";",";"&amp;$J72&amp;";"))</f>
        <v/>
      </c>
      <c r="W72" s="46">
        <f>ISNUMBER(SEARCH(";"&amp;4&amp;";",";"&amp;$J72&amp;";"))</f>
        <v/>
      </c>
      <c r="X72" s="46">
        <f>ISNUMBER(SEARCH(";"&amp;5&amp;";",";"&amp;$J72&amp;";"))</f>
        <v/>
      </c>
      <c r="Y72" s="46">
        <f>ISNUMBER(SEARCH(";"&amp;6&amp;";",";"&amp;$J72&amp;";"))</f>
        <v/>
      </c>
      <c r="Z72" s="46">
        <f>ISNUMBER(SEARCH(";"&amp;7&amp;";",";"&amp;$J72&amp;";"))</f>
        <v/>
      </c>
      <c r="AA72" s="46">
        <f>ISNUMBER(SEARCH(";"&amp;8&amp;";",";"&amp;$J72&amp;";"))</f>
        <v/>
      </c>
      <c r="AB72" s="46">
        <f>IF($B72,IF(L72="","","        &lt;response_label ident=""0""&gt;&lt;material&gt;&lt;mattext texttype=""text/html""&gt;"&amp;L72&amp;"&lt;/mattext&gt;&lt;/material&gt;&lt;/response_label&gt;"),"")</f>
        <v/>
      </c>
      <c r="AC72" s="46">
        <f>IF($B72,IF(M72="","","        &lt;response_label ident=""1""&gt;&lt;material&gt;&lt;mattext texttype=""text/html""&gt;"&amp;M72&amp;"&lt;/mattext&gt;&lt;/material&gt;&lt;/response_label&gt;"),"")</f>
        <v/>
      </c>
      <c r="AD72" s="46">
        <f>IF($B72,IF(N72="","","        &lt;response_label ident=""2""&gt;&lt;material&gt;&lt;mattext texttype=""text/html""&gt;"&amp;N72&amp;"&lt;/mattext&gt;&lt;/material&gt;&lt;/response_label&gt;"),"")</f>
        <v/>
      </c>
      <c r="AE72" s="46">
        <f>IF($B72,IF(O72="","","        &lt;response_label ident=""3""&gt;&lt;material&gt;&lt;mattext texttype=""text/html""&gt;"&amp;O72&amp;"&lt;/mattext&gt;&lt;/material&gt;&lt;/response_label&gt;"),"")</f>
        <v/>
      </c>
      <c r="AF72" s="46">
        <f>IF($B72,IF(P72="","","        &lt;response_label ident=""4""&gt;&lt;material&gt;&lt;mattext texttype=""text/html""&gt;"&amp;P72&amp;"&lt;/mattext&gt;&lt;/material&gt;&lt;/response_label&gt;"),"")</f>
        <v/>
      </c>
      <c r="AG72" s="46">
        <f>IF($B72,IF(Q72="","","        &lt;response_label ident=""5""&gt;&lt;material&gt;&lt;mattext texttype=""text/html""&gt;"&amp;Q72&amp;"&lt;/mattext&gt;&lt;/material&gt;&lt;/response_label&gt;"),"")</f>
        <v/>
      </c>
      <c r="AH72" s="46">
        <f>IF($B72,IF(R72="","","        &lt;response_label ident=""6""&gt;&lt;material&gt;&lt;mattext texttype=""text/html""&gt;"&amp;R72&amp;"&lt;/mattext&gt;&lt;/material&gt;&lt;/response_label&gt;"),"")</f>
        <v/>
      </c>
      <c r="AI72" s="46">
        <f>IF($B72,IF(S72="","","        &lt;response_label ident=""7""&gt;&lt;material&gt;&lt;mattext texttype=""text/html""&gt;"&amp;S72&amp;"&lt;/mattext&gt;&lt;/material&gt;&lt;/response_label&gt;"),"")</f>
        <v/>
      </c>
      <c r="AJ72" s="46">
        <f>IF($B72,IF(L72="","",IF($C72="qcu",IF(OR(T72,AT72&lt;&gt;"",$AS72&lt;&gt;""),"      &lt;respcondition continue=""Yes""&gt;&lt;conditionvar&gt;&lt;varequal respident=""RESPONSE""&gt;0&lt;/varequal&gt;&lt;/conditionvar&gt;"&amp;"&lt;setvar action=""Add""&gt;"&amp;IF(T72,$H72,0)&amp;"&lt;/setvar&gt;"&amp;IF(AT72&lt;&gt;"","&lt;displayfeedback feedbacktype=""Response"" linkrefid=""response_0""/&gt;",IF($AS72&lt;&gt;"","&lt;displayfeedback feedbacktype=""Response"" linkrefid=""qti_feedback_trigger""/&gt;",""))&amp;"&lt;/respcondition&gt;",""),IF(OR(T72,AT72&lt;&gt;"",$AS72&lt;&gt;""),"      &lt;respcondition continue=""Yes""&gt;&lt;conditionvar&gt;"&amp;IF(T72,"&lt;varequal respident=""RESPONSE""&gt;0&lt;/varequal&gt;","&lt;not&gt;&lt;varequal respident=""RESPONSE""&gt;0&lt;/varequal&gt;&lt;/not&gt;")&amp;"&lt;/conditionvar&gt;&lt;setvar action=""Add""&gt;"&amp;(Saisie_Questions!$N72/$I72)&amp;"&lt;/setvar&gt;"&amp;IF(AT72&lt;&gt;"","&lt;displayfeedback feedbacktype=""Response"" linkrefid=""response_0""/&gt;",IF($AS72&lt;&gt;"","&lt;displayfeedback feedbacktype=""Response"" linkrefid=""qti_feedback_trigger""/&gt;",""))&amp;"&lt;/respcondition&gt;",""))),"")</f>
      </c>
      <c r="AK72" s="46">
        <f>IF($B72,IF(M72="","",IF($C72="qcu",IF(OR(U72,AU72&lt;&gt;"",$AS72&lt;&gt;""),"      &lt;respcondition continue=""Yes""&gt;&lt;conditionvar&gt;&lt;varequal respident=""RESPONSE""&gt;1&lt;/varequal&gt;&lt;/conditionvar&gt;"&amp;"&lt;setvar action=""Add""&gt;"&amp;IF(U72,$H72,0)&amp;"&lt;/setvar&gt;"&amp;IF(AU72&lt;&gt;"","&lt;displayfeedback feedbacktype=""Response"" linkrefid=""response_1""/&gt;",IF($AS72&lt;&gt;"","&lt;displayfeedback feedbacktype=""Response"" linkrefid=""qti_feedback_trigger""/&gt;",""))&amp;"&lt;/respcondition&gt;",""),IF(OR(U72,AU72&lt;&gt;"",$AS72&lt;&gt;""),"      &lt;respcondition continue=""Yes""&gt;&lt;conditionvar&gt;"&amp;IF(U72,"&lt;varequal respident=""RESPONSE""&gt;1&lt;/varequal&gt;","&lt;not&gt;&lt;varequal respident=""RESPONSE""&gt;1&lt;/varequal&gt;&lt;/not&gt;")&amp;"&lt;/conditionvar&gt;&lt;setvar action=""Add""&gt;"&amp;(Saisie_Questions!$N72/$I72)&amp;"&lt;/setvar&gt;"&amp;IF(AU72&lt;&gt;"","&lt;displayfeedback feedbacktype=""Response"" linkrefid=""response_1""/&gt;",IF($AS72&lt;&gt;"","&lt;displayfeedback feedbacktype=""Response"" linkrefid=""qti_feedback_trigger""/&gt;",""))&amp;"&lt;/respcondition&gt;",""))),"")</f>
      </c>
      <c r="AL72" s="46">
        <f>IF($B72,IF(N72="","",IF($C72="qcu",IF(OR(V72,AV72&lt;&gt;"",$AS72&lt;&gt;""),"      &lt;respcondition continue=""Yes""&gt;&lt;conditionvar&gt;&lt;varequal respident=""RESPONSE""&gt;2&lt;/varequal&gt;&lt;/conditionvar&gt;"&amp;"&lt;setvar action=""Add""&gt;"&amp;IF(V72,$H72,0)&amp;"&lt;/setvar&gt;"&amp;IF(AV72&lt;&gt;"","&lt;displayfeedback feedbacktype=""Response"" linkrefid=""response_2""/&gt;",IF($AS72&lt;&gt;"","&lt;displayfeedback feedbacktype=""Response"" linkrefid=""qti_feedback_trigger""/&gt;",""))&amp;"&lt;/respcondition&gt;",""),IF(OR(V72,AV72&lt;&gt;"",$AS72&lt;&gt;""),"      &lt;respcondition continue=""Yes""&gt;&lt;conditionvar&gt;"&amp;IF(V72,"&lt;varequal respident=""RESPONSE""&gt;2&lt;/varequal&gt;","&lt;not&gt;&lt;varequal respident=""RESPONSE""&gt;2&lt;/varequal&gt;&lt;/not&gt;")&amp;"&lt;/conditionvar&gt;&lt;setvar action=""Add""&gt;"&amp;(Saisie_Questions!$N72/$I72)&amp;"&lt;/setvar&gt;"&amp;IF(AV72&lt;&gt;"","&lt;displayfeedback feedbacktype=""Response"" linkrefid=""response_2""/&gt;",IF($AS72&lt;&gt;"","&lt;displayfeedback feedbacktype=""Response"" linkrefid=""qti_feedback_trigger""/&gt;",""))&amp;"&lt;/respcondition&gt;",""))),"")</f>
      </c>
      <c r="AM72" s="46">
        <f>IF($B72,IF(O72="","",IF($C72="qcu",IF(OR(W72,AW72&lt;&gt;"",$AS72&lt;&gt;""),"      &lt;respcondition continue=""Yes""&gt;&lt;conditionvar&gt;&lt;varequal respident=""RESPONSE""&gt;3&lt;/varequal&gt;&lt;/conditionvar&gt;"&amp;"&lt;setvar action=""Add""&gt;"&amp;IF(W72,$H72,0)&amp;"&lt;/setvar&gt;"&amp;IF(AW72&lt;&gt;"","&lt;displayfeedback feedbacktype=""Response"" linkrefid=""response_3""/&gt;",IF($AS72&lt;&gt;"","&lt;displayfeedback feedbacktype=""Response"" linkrefid=""qti_feedback_trigger""/&gt;",""))&amp;"&lt;/respcondition&gt;",""),IF(OR(W72,AW72&lt;&gt;"",$AS72&lt;&gt;""),"      &lt;respcondition continue=""Yes""&gt;&lt;conditionvar&gt;"&amp;IF(W72,"&lt;varequal respident=""RESPONSE""&gt;3&lt;/varequal&gt;","&lt;not&gt;&lt;varequal respident=""RESPONSE""&gt;3&lt;/varequal&gt;&lt;/not&gt;")&amp;"&lt;/conditionvar&gt;&lt;setvar action=""Add""&gt;"&amp;(Saisie_Questions!$N72/$I72)&amp;"&lt;/setvar&gt;"&amp;IF(AW72&lt;&gt;"","&lt;displayfeedback feedbacktype=""Response"" linkrefid=""response_3""/&gt;",IF($AS72&lt;&gt;"","&lt;displayfeedback feedbacktype=""Response"" linkrefid=""qti_feedback_trigger""/&gt;",""))&amp;"&lt;/respcondition&gt;",""))),"")</f>
      </c>
      <c r="AN72" s="46">
        <f>IF($B72,IF(P72="","",IF($C72="qcu",IF(OR(X72,AX72&lt;&gt;"",$AS72&lt;&gt;""),"      &lt;respcondition continue=""Yes""&gt;&lt;conditionvar&gt;&lt;varequal respident=""RESPONSE""&gt;4&lt;/varequal&gt;&lt;/conditionvar&gt;"&amp;"&lt;setvar action=""Add""&gt;"&amp;IF(X72,$H72,0)&amp;"&lt;/setvar&gt;"&amp;IF(AX72&lt;&gt;"","&lt;displayfeedback feedbacktype=""Response"" linkrefid=""response_4""/&gt;",IF($AS72&lt;&gt;"","&lt;displayfeedback feedbacktype=""Response"" linkrefid=""qti_feedback_trigger""/&gt;",""))&amp;"&lt;/respcondition&gt;",""),IF(OR(X72,AX72&lt;&gt;"",$AS72&lt;&gt;""),"      &lt;respcondition continue=""Yes""&gt;&lt;conditionvar&gt;"&amp;IF(X72,"&lt;varequal respident=""RESPONSE""&gt;4&lt;/varequal&gt;","&lt;not&gt;&lt;varequal respident=""RESPONSE""&gt;4&lt;/varequal&gt;&lt;/not&gt;")&amp;"&lt;/conditionvar&gt;&lt;setvar action=""Add""&gt;"&amp;(Saisie_Questions!$N72/$I72)&amp;"&lt;/setvar&gt;"&amp;IF(AX72&lt;&gt;"","&lt;displayfeedback feedbacktype=""Response"" linkrefid=""response_4""/&gt;",IF($AS72&lt;&gt;"","&lt;displayfeedback feedbacktype=""Response"" linkrefid=""qti_feedback_trigger""/&gt;",""))&amp;"&lt;/respcondition&gt;",""))),"")</f>
      </c>
      <c r="AO72" s="46">
        <f>IF($B72,IF(Q72="","",IF($C72="qcu",IF(OR(Y72,AY72&lt;&gt;"",$AS72&lt;&gt;""),"      &lt;respcondition continue=""Yes""&gt;&lt;conditionvar&gt;&lt;varequal respident=""RESPONSE""&gt;5&lt;/varequal&gt;&lt;/conditionvar&gt;"&amp;"&lt;setvar action=""Add""&gt;"&amp;IF(Y72,$H72,0)&amp;"&lt;/setvar&gt;"&amp;IF(AY72&lt;&gt;"","&lt;displayfeedback feedbacktype=""Response"" linkrefid=""response_5""/&gt;",IF($AS72&lt;&gt;"","&lt;displayfeedback feedbacktype=""Response"" linkrefid=""qti_feedback_trigger""/&gt;",""))&amp;"&lt;/respcondition&gt;",""),IF(OR(Y72,AY72&lt;&gt;"",$AS72&lt;&gt;""),"      &lt;respcondition continue=""Yes""&gt;&lt;conditionvar&gt;"&amp;IF(Y72,"&lt;varequal respident=""RESPONSE""&gt;5&lt;/varequal&gt;","&lt;not&gt;&lt;varequal respident=""RESPONSE""&gt;5&lt;/varequal&gt;&lt;/not&gt;")&amp;"&lt;/conditionvar&gt;&lt;setvar action=""Add""&gt;"&amp;(Saisie_Questions!$N72/$I72)&amp;"&lt;/setvar&gt;"&amp;IF(AY72&lt;&gt;"","&lt;displayfeedback feedbacktype=""Response"" linkrefid=""response_5""/&gt;",IF($AS72&lt;&gt;"","&lt;displayfeedback feedbacktype=""Response"" linkrefid=""qti_feedback_trigger""/&gt;",""))&amp;"&lt;/respcondition&gt;",""))),"")</f>
      </c>
      <c r="AP72" s="46">
        <f>IF($B72,IF(R72="","",IF($C72="qcu",IF(OR(Z72,AZ72&lt;&gt;"",$AS72&lt;&gt;""),"      &lt;respcondition continue=""Yes""&gt;&lt;conditionvar&gt;&lt;varequal respident=""RESPONSE""&gt;6&lt;/varequal&gt;&lt;/conditionvar&gt;"&amp;"&lt;setvar action=""Add""&gt;"&amp;IF(Z72,$H72,0)&amp;"&lt;/setvar&gt;"&amp;IF(AZ72&lt;&gt;"","&lt;displayfeedback feedbacktype=""Response"" linkrefid=""response_6""/&gt;",IF($AS72&lt;&gt;"","&lt;displayfeedback feedbacktype=""Response"" linkrefid=""qti_feedback_trigger""/&gt;",""))&amp;"&lt;/respcondition&gt;",""),IF(OR(Z72,AZ72&lt;&gt;"",$AS72&lt;&gt;""),"      &lt;respcondition continue=""Yes""&gt;&lt;conditionvar&gt;"&amp;IF(Z72,"&lt;varequal respident=""RESPONSE""&gt;6&lt;/varequal&gt;","&lt;not&gt;&lt;varequal respident=""RESPONSE""&gt;6&lt;/varequal&gt;&lt;/not&gt;")&amp;"&lt;/conditionvar&gt;&lt;setvar action=""Add""&gt;"&amp;(Saisie_Questions!$N72/$I72)&amp;"&lt;/setvar&gt;"&amp;IF(AZ72&lt;&gt;"","&lt;displayfeedback feedbacktype=""Response"" linkrefid=""response_6""/&gt;",IF($AS72&lt;&gt;"","&lt;displayfeedback feedbacktype=""Response"" linkrefid=""qti_feedback_trigger""/&gt;",""))&amp;"&lt;/respcondition&gt;",""))),"")</f>
      </c>
      <c r="AQ72" s="46">
        <f>IF($B72,IF(S72="","",IF($C72="qcu",IF(OR(AA72,BA72&lt;&gt;"",$AS72&lt;&gt;""),"      &lt;respcondition continue=""Yes""&gt;&lt;conditionvar&gt;&lt;varequal respident=""RESPONSE""&gt;7&lt;/varequal&gt;&lt;/conditionvar&gt;"&amp;"&lt;setvar action=""Add""&gt;"&amp;IF(AA72,$H72,0)&amp;"&lt;/setvar&gt;"&amp;IF(BA72&lt;&gt;"","&lt;displayfeedback feedbacktype=""Response"" linkrefid=""response_7""/&gt;",IF($AS72&lt;&gt;"","&lt;displayfeedback feedbacktype=""Response"" linkrefid=""qti_feedback_trigger""/&gt;",""))&amp;"&lt;/respcondition&gt;",""),IF(OR(AA72,BA72&lt;&gt;"",$AS72&lt;&gt;""),"      &lt;respcondition continue=""Yes""&gt;&lt;conditionvar&gt;"&amp;IF(AA72,"&lt;varequal respident=""RESPONSE""&gt;7&lt;/varequal&gt;","&lt;not&gt;&lt;varequal respident=""RESPONSE""&gt;7&lt;/varequal&gt;&lt;/not&gt;")&amp;"&lt;/conditionvar&gt;&lt;setvar action=""Add""&gt;"&amp;(Saisie_Questions!$N72/$I72)&amp;"&lt;/setvar&gt;"&amp;IF(BA72&lt;&gt;"","&lt;displayfeedback feedbacktype=""Response"" linkrefid=""response_7""/&gt;",IF($AS72&lt;&gt;"","&lt;displayfeedback feedbacktype=""Response"" linkrefid=""qti_feedback_trigger""/&gt;",""))&amp;"&lt;/respcondition&gt;",""))),"")</f>
      </c>
      <c r="AR72" s="46">
        <f>IF(A72="","",SUBSTITUTE(SUBSTITUTE(SUBSTITUTE(SUBSTITUTE(SUBSTITUTE(IF(Saisie_Questions!P72&lt;&gt;"",Saisie_Questions!P72,Interface_Generation!$B$5),"&amp;","&amp;amp;"),"&lt;","&amp;lt;"),"&gt;","&amp;gt;"),CHAR(34),"&amp;quot;"),"'","&amp;apos;"))</f>
        <v/>
      </c>
      <c r="AS72" s="46">
        <f>IF(Saisie_Questions!Q72="","",SUBSTITUTE(SUBSTITUTE(SUBSTITUTE(SUBSTITUTE(SUBSTITUTE(Saisie_Questions!Q72,"&amp;","&amp;amp;"),"&lt;","&amp;lt;"),"&gt;","&amp;gt;"),CHAR(34),"&amp;quot;"),"'","&amp;apos;"))</f>
        <v/>
      </c>
      <c r="AT72" s="46">
        <f>IF(Saisie_Questions!R72="","",SUBSTITUTE(SUBSTITUTE(SUBSTITUTE(SUBSTITUTE(SUBSTITUTE(Saisie_Questions!R72,"&amp;","&amp;amp;"),"&lt;","&amp;lt;"),"&gt;","&amp;gt;"),CHAR(34),"&amp;quot;"),"'","&amp;apos;"))</f>
        <v/>
      </c>
      <c r="AU72" s="46">
        <f>IF(Saisie_Questions!S72="","",SUBSTITUTE(SUBSTITUTE(SUBSTITUTE(SUBSTITUTE(SUBSTITUTE(Saisie_Questions!S72,"&amp;","&amp;amp;"),"&lt;","&amp;lt;"),"&gt;","&amp;gt;"),CHAR(34),"&amp;quot;"),"'","&amp;apos;"))</f>
        <v/>
      </c>
      <c r="AV72" s="46">
        <f>IF(Saisie_Questions!T72="","",SUBSTITUTE(SUBSTITUTE(SUBSTITUTE(SUBSTITUTE(SUBSTITUTE(Saisie_Questions!T72,"&amp;","&amp;amp;"),"&lt;","&amp;lt;"),"&gt;","&amp;gt;"),CHAR(34),"&amp;quot;"),"'","&amp;apos;"))</f>
        <v/>
      </c>
      <c r="AW72" s="46">
        <f>IF(Saisie_Questions!U72="","",SUBSTITUTE(SUBSTITUTE(SUBSTITUTE(SUBSTITUTE(SUBSTITUTE(Saisie_Questions!U72,"&amp;","&amp;amp;"),"&lt;","&amp;lt;"),"&gt;","&amp;gt;"),CHAR(34),"&amp;quot;"),"'","&amp;apos;"))</f>
        <v/>
      </c>
      <c r="AX72" s="46">
        <f>IF(Saisie_Questions!V72="","",SUBSTITUTE(SUBSTITUTE(SUBSTITUTE(SUBSTITUTE(SUBSTITUTE(Saisie_Questions!V72,"&amp;","&amp;amp;"),"&lt;","&amp;lt;"),"&gt;","&amp;gt;"),CHAR(34),"&amp;quot;"),"'","&amp;apos;"))</f>
        <v/>
      </c>
      <c r="AY72" s="46">
        <f>IF(Saisie_Questions!W72="","",SUBSTITUTE(SUBSTITUTE(SUBSTITUTE(SUBSTITUTE(SUBSTITUTE(Saisie_Questions!W72,"&amp;","&amp;amp;"),"&lt;","&amp;lt;"),"&gt;","&amp;gt;"),CHAR(34),"&amp;quot;"),"'","&amp;apos;"))</f>
        <v/>
      </c>
      <c r="AZ72" s="46">
        <f>IF(Saisie_Questions!X72="","",SUBSTITUTE(SUBSTITUTE(SUBSTITUTE(SUBSTITUTE(SUBSTITUTE(Saisie_Questions!X72,"&amp;","&amp;amp;"),"&lt;","&amp;lt;"),"&gt;","&amp;gt;"),CHAR(34),"&amp;quot;"),"'","&amp;apos;"))</f>
        <v/>
      </c>
      <c r="BA72" s="46">
        <f>IF(Saisie_Questions!Y72="","",SUBSTITUTE(SUBSTITUTE(SUBSTITUTE(SUBSTITUTE(SUBSTITUTE(Saisie_Questions!Y72,"&amp;","&amp;amp;"),"&lt;","&amp;lt;"),"&gt;","&amp;gt;"),CHAR(34),"&amp;quot;"),"'","&amp;apos;"))</f>
        <v/>
      </c>
      <c r="BB72" s="46">
        <f>IF($B72,IF($AS72="","","    &lt;itemfeedback ident=""response_allcorrect"" view=""All""&gt;&lt;flow_mat&gt;&lt;material&gt;&lt;mattext texttype=""text/html""&gt;"&amp;$AS72&amp;"&lt;/mattext&gt;&lt;/material&gt;&lt;/flow_mat&gt;&lt;/itemfeedback&gt;"&amp;"    &lt;itemfeedback ident=""response_onenotcorrect"" view=""All""&gt;&lt;flow_mat&gt;&lt;material&gt;&lt;mattext texttype=""text/html""&gt;"&amp;$AS72&amp;"&lt;/mattext&gt;&lt;/material&gt;&lt;/flow_mat&gt;&lt;/itemfeedback&gt;"),"")</f>
      </c>
      <c r="BC72" s="46">
        <f>IF($B72,IF(AT72="","","    &lt;itemfeedback ident=""response_0"" view=""All""&gt;&lt;flow_mat&gt;&lt;material&gt;&lt;mattext texttype=""text/html""&gt;"&amp;AT72&amp;"&lt;/mattext&gt;&lt;/material&gt;&lt;/flow_mat&gt;&lt;/itemfeedback&gt;"),"")</f>
      </c>
      <c r="BD72" s="46">
        <f>IF($B72,IF(AU72="","","    &lt;itemfeedback ident=""response_1"" view=""All""&gt;&lt;flow_mat&gt;&lt;material&gt;&lt;mattext texttype=""text/html""&gt;"&amp;AU72&amp;"&lt;/mattext&gt;&lt;/material&gt;&lt;/flow_mat&gt;&lt;/itemfeedback&gt;"),"")</f>
      </c>
      <c r="BE72" s="46">
        <f>IF($B72,IF(AV72="","","    &lt;itemfeedback ident=""response_2"" view=""All""&gt;&lt;flow_mat&gt;&lt;material&gt;&lt;mattext texttype=""text/html""&gt;"&amp;AV72&amp;"&lt;/mattext&gt;&lt;/material&gt;&lt;/flow_mat&gt;&lt;/itemfeedback&gt;"),"")</f>
      </c>
      <c r="BF72" s="46">
        <f>IF($B72,IF(AW72="","","    &lt;itemfeedback ident=""response_3"" view=""All""&gt;&lt;flow_mat&gt;&lt;material&gt;&lt;mattext texttype=""text/html""&gt;"&amp;AW72&amp;"&lt;/mattext&gt;&lt;/material&gt;&lt;/flow_mat&gt;&lt;/itemfeedback&gt;"),"")</f>
      </c>
      <c r="BG72" s="46">
        <f>IF($B72,IF(AX72="","","    &lt;itemfeedback ident=""response_4"" view=""All""&gt;&lt;flow_mat&gt;&lt;material&gt;&lt;mattext texttype=""text/html""&gt;"&amp;AX72&amp;"&lt;/mattext&gt;&lt;/material&gt;&lt;/flow_mat&gt;&lt;/itemfeedback&gt;"),"")</f>
      </c>
      <c r="BH72" s="46">
        <f>IF($B72,IF(AY72="","","    &lt;itemfeedback ident=""response_5"" view=""All""&gt;&lt;flow_mat&gt;&lt;material&gt;&lt;mattext texttype=""text/html""&gt;"&amp;AY72&amp;"&lt;/mattext&gt;&lt;/material&gt;&lt;/flow_mat&gt;&lt;/itemfeedback&gt;"),"")</f>
      </c>
      <c r="BI72" s="46">
        <f>IF($B72,IF(AZ72="","","    &lt;itemfeedback ident=""response_6"" view=""All""&gt;&lt;flow_mat&gt;&lt;material&gt;&lt;mattext texttype=""text/html""&gt;"&amp;AZ72&amp;"&lt;/mattext&gt;&lt;/material&gt;&lt;/flow_mat&gt;&lt;/itemfeedback&gt;"),"")</f>
      </c>
      <c r="BJ72" s="46">
        <f>IF($B72,IF(BA72="","","    &lt;itemfeedback ident=""response_7"" view=""All""&gt;&lt;flow_mat&gt;&lt;material&gt;&lt;mattext texttype=""text/html""&gt;"&amp;BA72&amp;"&lt;/mattext&gt;&lt;/material&gt;&lt;/flow_mat&gt;&lt;/itemfeedback&gt;"),"")</f>
      </c>
    </row>
    <row r="73" ht="18" customHeight="1" s="17">
      <c r="A73" s="46">
        <f>Saisie_Questions!A73</f>
        <v/>
      </c>
      <c r="B73" s="46">
        <f>Saisie_Questions!O73="OK"</f>
        <v/>
      </c>
      <c r="C73" s="46">
        <f>LOWER(TRIM(Saisie_Questions!B73))</f>
        <v/>
      </c>
      <c r="D73" s="46">
        <f>IF(C73="qcu","SINGLE CHOICE QUESTION","MULTIPLE CHOICE QUESTION")</f>
        <v/>
      </c>
      <c r="E73" s="46">
        <f>IF(C73="qcu","Single","Multiple")</f>
        <v/>
      </c>
      <c r="F73" s="46">
        <f>IF(A73="","",SUBSTITUTE(SUBSTITUTE(SUBSTITUTE(SUBSTITUTE(SUBSTITUTE(IF(Saisie_Questions!C73="", "Question "&amp;A73, Saisie_Questions!C73),"&amp;","&amp;amp;"),"&lt;","&amp;lt;"),"&gt;","&amp;gt;"),CHAR(34),"&amp;quot;"),"'","&amp;apos;"))</f>
        <v/>
      </c>
      <c r="G73" s="46">
        <f>IF(A73="","",SUBSTITUTE(SUBSTITUTE(SUBSTITUTE(SUBSTITUTE(SUBSTITUTE(Saisie_Questions!D73,"&amp;","&amp;amp;"),"&lt;","&amp;lt;"),"&gt;","&amp;gt;"),CHAR(34),"&amp;quot;"),"'","&amp;apos;"))</f>
        <v/>
      </c>
      <c r="H73" s="46">
        <f>Saisie_Questions!N73</f>
        <v/>
      </c>
      <c r="I73" s="46">
        <f>IF(Saisie_Questions!E73="",0,1)+IF(Saisie_Questions!F73="",0,1)+IF(Saisie_Questions!G73="",0,1)+IF(Saisie_Questions!H73="",0,1)+IF(Saisie_Questions!I73="",0,1)+IF(Saisie_Questions!J73="",0,1)+IF(Saisie_Questions!K73="",0,1)+IF(Saisie_Questions!L73="",0,1)</f>
        <v/>
      </c>
      <c r="J73" s="46">
        <f>Saisie_Questions!M73</f>
        <v/>
      </c>
      <c r="K73" s="46">
        <f>Saisie_Questions!O73</f>
        <v/>
      </c>
      <c r="L73" s="46">
        <f>IF(Saisie_Questions!E73="","",SUBSTITUTE(SUBSTITUTE(SUBSTITUTE(SUBSTITUTE(SUBSTITUTE(Saisie_Questions!E73,"&amp;","&amp;amp;"),"&lt;","&amp;lt;"),"&gt;","&amp;gt;"),CHAR(34),"&amp;quot;"),"'","&amp;apos;"))</f>
        <v/>
      </c>
      <c r="M73" s="46">
        <f>IF(Saisie_Questions!F73="","",SUBSTITUTE(SUBSTITUTE(SUBSTITUTE(SUBSTITUTE(SUBSTITUTE(Saisie_Questions!F73,"&amp;","&amp;amp;"),"&lt;","&amp;lt;"),"&gt;","&amp;gt;"),CHAR(34),"&amp;quot;"),"'","&amp;apos;"))</f>
        <v/>
      </c>
      <c r="N73" s="46">
        <f>IF(Saisie_Questions!G73="","",SUBSTITUTE(SUBSTITUTE(SUBSTITUTE(SUBSTITUTE(SUBSTITUTE(Saisie_Questions!G73,"&amp;","&amp;amp;"),"&lt;","&amp;lt;"),"&gt;","&amp;gt;"),CHAR(34),"&amp;quot;"),"'","&amp;apos;"))</f>
        <v/>
      </c>
      <c r="O73" s="46">
        <f>IF(Saisie_Questions!H73="","",SUBSTITUTE(SUBSTITUTE(SUBSTITUTE(SUBSTITUTE(SUBSTITUTE(Saisie_Questions!H73,"&amp;","&amp;amp;"),"&lt;","&amp;lt;"),"&gt;","&amp;gt;"),CHAR(34),"&amp;quot;"),"'","&amp;apos;"))</f>
        <v/>
      </c>
      <c r="P73" s="46">
        <f>IF(Saisie_Questions!I73="","",SUBSTITUTE(SUBSTITUTE(SUBSTITUTE(SUBSTITUTE(SUBSTITUTE(Saisie_Questions!I73,"&amp;","&amp;amp;"),"&lt;","&amp;lt;"),"&gt;","&amp;gt;"),CHAR(34),"&amp;quot;"),"'","&amp;apos;"))</f>
        <v/>
      </c>
      <c r="Q73" s="46">
        <f>IF(Saisie_Questions!J73="","",SUBSTITUTE(SUBSTITUTE(SUBSTITUTE(SUBSTITUTE(SUBSTITUTE(Saisie_Questions!J73,"&amp;","&amp;amp;"),"&lt;","&amp;lt;"),"&gt;","&amp;gt;"),CHAR(34),"&amp;quot;"),"'","&amp;apos;"))</f>
        <v/>
      </c>
      <c r="R73" s="46">
        <f>IF(Saisie_Questions!K73="","",SUBSTITUTE(SUBSTITUTE(SUBSTITUTE(SUBSTITUTE(SUBSTITUTE(Saisie_Questions!K73,"&amp;","&amp;amp;"),"&lt;","&amp;lt;"),"&gt;","&amp;gt;"),CHAR(34),"&amp;quot;"),"'","&amp;apos;"))</f>
        <v/>
      </c>
      <c r="S73" s="46">
        <f>IF(Saisie_Questions!L73="","",SUBSTITUTE(SUBSTITUTE(SUBSTITUTE(SUBSTITUTE(SUBSTITUTE(Saisie_Questions!L73,"&amp;","&amp;amp;"),"&lt;","&amp;lt;"),"&gt;","&amp;gt;"),CHAR(34),"&amp;quot;"),"'","&amp;apos;"))</f>
        <v/>
      </c>
      <c r="T73" s="46">
        <f>ISNUMBER(SEARCH(";"&amp;1&amp;";",";"&amp;$J73&amp;";"))</f>
        <v/>
      </c>
      <c r="U73" s="46">
        <f>ISNUMBER(SEARCH(";"&amp;2&amp;";",";"&amp;$J73&amp;";"))</f>
        <v/>
      </c>
      <c r="V73" s="46">
        <f>ISNUMBER(SEARCH(";"&amp;3&amp;";",";"&amp;$J73&amp;";"))</f>
        <v/>
      </c>
      <c r="W73" s="46">
        <f>ISNUMBER(SEARCH(";"&amp;4&amp;";",";"&amp;$J73&amp;";"))</f>
        <v/>
      </c>
      <c r="X73" s="46">
        <f>ISNUMBER(SEARCH(";"&amp;5&amp;";",";"&amp;$J73&amp;";"))</f>
        <v/>
      </c>
      <c r="Y73" s="46">
        <f>ISNUMBER(SEARCH(";"&amp;6&amp;";",";"&amp;$J73&amp;";"))</f>
        <v/>
      </c>
      <c r="Z73" s="46">
        <f>ISNUMBER(SEARCH(";"&amp;7&amp;";",";"&amp;$J73&amp;";"))</f>
        <v/>
      </c>
      <c r="AA73" s="46">
        <f>ISNUMBER(SEARCH(";"&amp;8&amp;";",";"&amp;$J73&amp;";"))</f>
        <v/>
      </c>
      <c r="AB73" s="46">
        <f>IF($B73,IF(L73="","","        &lt;response_label ident=""0""&gt;&lt;material&gt;&lt;mattext texttype=""text/html""&gt;"&amp;L73&amp;"&lt;/mattext&gt;&lt;/material&gt;&lt;/response_label&gt;"),"")</f>
        <v/>
      </c>
      <c r="AC73" s="46">
        <f>IF($B73,IF(M73="","","        &lt;response_label ident=""1""&gt;&lt;material&gt;&lt;mattext texttype=""text/html""&gt;"&amp;M73&amp;"&lt;/mattext&gt;&lt;/material&gt;&lt;/response_label&gt;"),"")</f>
        <v/>
      </c>
      <c r="AD73" s="46">
        <f>IF($B73,IF(N73="","","        &lt;response_label ident=""2""&gt;&lt;material&gt;&lt;mattext texttype=""text/html""&gt;"&amp;N73&amp;"&lt;/mattext&gt;&lt;/material&gt;&lt;/response_label&gt;"),"")</f>
        <v/>
      </c>
      <c r="AE73" s="46">
        <f>IF($B73,IF(O73="","","        &lt;response_label ident=""3""&gt;&lt;material&gt;&lt;mattext texttype=""text/html""&gt;"&amp;O73&amp;"&lt;/mattext&gt;&lt;/material&gt;&lt;/response_label&gt;"),"")</f>
        <v/>
      </c>
      <c r="AF73" s="46">
        <f>IF($B73,IF(P73="","","        &lt;response_label ident=""4""&gt;&lt;material&gt;&lt;mattext texttype=""text/html""&gt;"&amp;P73&amp;"&lt;/mattext&gt;&lt;/material&gt;&lt;/response_label&gt;"),"")</f>
        <v/>
      </c>
      <c r="AG73" s="46">
        <f>IF($B73,IF(Q73="","","        &lt;response_label ident=""5""&gt;&lt;material&gt;&lt;mattext texttype=""text/html""&gt;"&amp;Q73&amp;"&lt;/mattext&gt;&lt;/material&gt;&lt;/response_label&gt;"),"")</f>
        <v/>
      </c>
      <c r="AH73" s="46">
        <f>IF($B73,IF(R73="","","        &lt;response_label ident=""6""&gt;&lt;material&gt;&lt;mattext texttype=""text/html""&gt;"&amp;R73&amp;"&lt;/mattext&gt;&lt;/material&gt;&lt;/response_label&gt;"),"")</f>
        <v/>
      </c>
      <c r="AI73" s="46">
        <f>IF($B73,IF(S73="","","        &lt;response_label ident=""7""&gt;&lt;material&gt;&lt;mattext texttype=""text/html""&gt;"&amp;S73&amp;"&lt;/mattext&gt;&lt;/material&gt;&lt;/response_label&gt;"),"")</f>
        <v/>
      </c>
      <c r="AJ73" s="46">
        <f>IF($B73,IF(L73="","",IF($C73="qcu",IF(OR(T73,AT73&lt;&gt;"",$AS73&lt;&gt;""),"      &lt;respcondition continue=""Yes""&gt;&lt;conditionvar&gt;&lt;varequal respident=""RESPONSE""&gt;0&lt;/varequal&gt;&lt;/conditionvar&gt;"&amp;"&lt;setvar action=""Add""&gt;"&amp;IF(T73,$H73,0)&amp;"&lt;/setvar&gt;"&amp;IF(AT73&lt;&gt;"","&lt;displayfeedback feedbacktype=""Response"" linkrefid=""response_0""/&gt;",IF($AS73&lt;&gt;"","&lt;displayfeedback feedbacktype=""Response"" linkrefid=""qti_feedback_trigger""/&gt;",""))&amp;"&lt;/respcondition&gt;",""),IF(OR(T73,AT73&lt;&gt;"",$AS73&lt;&gt;""),"      &lt;respcondition continue=""Yes""&gt;&lt;conditionvar&gt;"&amp;IF(T73,"&lt;varequal respident=""RESPONSE""&gt;0&lt;/varequal&gt;","&lt;not&gt;&lt;varequal respident=""RESPONSE""&gt;0&lt;/varequal&gt;&lt;/not&gt;")&amp;"&lt;/conditionvar&gt;&lt;setvar action=""Add""&gt;"&amp;(Saisie_Questions!$N73/$I73)&amp;"&lt;/setvar&gt;"&amp;IF(AT73&lt;&gt;"","&lt;displayfeedback feedbacktype=""Response"" linkrefid=""response_0""/&gt;",IF($AS73&lt;&gt;"","&lt;displayfeedback feedbacktype=""Response"" linkrefid=""qti_feedback_trigger""/&gt;",""))&amp;"&lt;/respcondition&gt;",""))),"")</f>
      </c>
      <c r="AK73" s="46">
        <f>IF($B73,IF(M73="","",IF($C73="qcu",IF(OR(U73,AU73&lt;&gt;"",$AS73&lt;&gt;""),"      &lt;respcondition continue=""Yes""&gt;&lt;conditionvar&gt;&lt;varequal respident=""RESPONSE""&gt;1&lt;/varequal&gt;&lt;/conditionvar&gt;"&amp;"&lt;setvar action=""Add""&gt;"&amp;IF(U73,$H73,0)&amp;"&lt;/setvar&gt;"&amp;IF(AU73&lt;&gt;"","&lt;displayfeedback feedbacktype=""Response"" linkrefid=""response_1""/&gt;",IF($AS73&lt;&gt;"","&lt;displayfeedback feedbacktype=""Response"" linkrefid=""qti_feedback_trigger""/&gt;",""))&amp;"&lt;/respcondition&gt;",""),IF(OR(U73,AU73&lt;&gt;"",$AS73&lt;&gt;""),"      &lt;respcondition continue=""Yes""&gt;&lt;conditionvar&gt;"&amp;IF(U73,"&lt;varequal respident=""RESPONSE""&gt;1&lt;/varequal&gt;","&lt;not&gt;&lt;varequal respident=""RESPONSE""&gt;1&lt;/varequal&gt;&lt;/not&gt;")&amp;"&lt;/conditionvar&gt;&lt;setvar action=""Add""&gt;"&amp;(Saisie_Questions!$N73/$I73)&amp;"&lt;/setvar&gt;"&amp;IF(AU73&lt;&gt;"","&lt;displayfeedback feedbacktype=""Response"" linkrefid=""response_1""/&gt;",IF($AS73&lt;&gt;"","&lt;displayfeedback feedbacktype=""Response"" linkrefid=""qti_feedback_trigger""/&gt;",""))&amp;"&lt;/respcondition&gt;",""))),"")</f>
      </c>
      <c r="AL73" s="46">
        <f>IF($B73,IF(N73="","",IF($C73="qcu",IF(OR(V73,AV73&lt;&gt;"",$AS73&lt;&gt;""),"      &lt;respcondition continue=""Yes""&gt;&lt;conditionvar&gt;&lt;varequal respident=""RESPONSE""&gt;2&lt;/varequal&gt;&lt;/conditionvar&gt;"&amp;"&lt;setvar action=""Add""&gt;"&amp;IF(V73,$H73,0)&amp;"&lt;/setvar&gt;"&amp;IF(AV73&lt;&gt;"","&lt;displayfeedback feedbacktype=""Response"" linkrefid=""response_2""/&gt;",IF($AS73&lt;&gt;"","&lt;displayfeedback feedbacktype=""Response"" linkrefid=""qti_feedback_trigger""/&gt;",""))&amp;"&lt;/respcondition&gt;",""),IF(OR(V73,AV73&lt;&gt;"",$AS73&lt;&gt;""),"      &lt;respcondition continue=""Yes""&gt;&lt;conditionvar&gt;"&amp;IF(V73,"&lt;varequal respident=""RESPONSE""&gt;2&lt;/varequal&gt;","&lt;not&gt;&lt;varequal respident=""RESPONSE""&gt;2&lt;/varequal&gt;&lt;/not&gt;")&amp;"&lt;/conditionvar&gt;&lt;setvar action=""Add""&gt;"&amp;(Saisie_Questions!$N73/$I73)&amp;"&lt;/setvar&gt;"&amp;IF(AV73&lt;&gt;"","&lt;displayfeedback feedbacktype=""Response"" linkrefid=""response_2""/&gt;",IF($AS73&lt;&gt;"","&lt;displayfeedback feedbacktype=""Response"" linkrefid=""qti_feedback_trigger""/&gt;",""))&amp;"&lt;/respcondition&gt;",""))),"")</f>
      </c>
      <c r="AM73" s="46">
        <f>IF($B73,IF(O73="","",IF($C73="qcu",IF(OR(W73,AW73&lt;&gt;"",$AS73&lt;&gt;""),"      &lt;respcondition continue=""Yes""&gt;&lt;conditionvar&gt;&lt;varequal respident=""RESPONSE""&gt;3&lt;/varequal&gt;&lt;/conditionvar&gt;"&amp;"&lt;setvar action=""Add""&gt;"&amp;IF(W73,$H73,0)&amp;"&lt;/setvar&gt;"&amp;IF(AW73&lt;&gt;"","&lt;displayfeedback feedbacktype=""Response"" linkrefid=""response_3""/&gt;",IF($AS73&lt;&gt;"","&lt;displayfeedback feedbacktype=""Response"" linkrefid=""qti_feedback_trigger""/&gt;",""))&amp;"&lt;/respcondition&gt;",""),IF(OR(W73,AW73&lt;&gt;"",$AS73&lt;&gt;""),"      &lt;respcondition continue=""Yes""&gt;&lt;conditionvar&gt;"&amp;IF(W73,"&lt;varequal respident=""RESPONSE""&gt;3&lt;/varequal&gt;","&lt;not&gt;&lt;varequal respident=""RESPONSE""&gt;3&lt;/varequal&gt;&lt;/not&gt;")&amp;"&lt;/conditionvar&gt;&lt;setvar action=""Add""&gt;"&amp;(Saisie_Questions!$N73/$I73)&amp;"&lt;/setvar&gt;"&amp;IF(AW73&lt;&gt;"","&lt;displayfeedback feedbacktype=""Response"" linkrefid=""response_3""/&gt;",IF($AS73&lt;&gt;"","&lt;displayfeedback feedbacktype=""Response"" linkrefid=""qti_feedback_trigger""/&gt;",""))&amp;"&lt;/respcondition&gt;",""))),"")</f>
      </c>
      <c r="AN73" s="46">
        <f>IF($B73,IF(P73="","",IF($C73="qcu",IF(OR(X73,AX73&lt;&gt;"",$AS73&lt;&gt;""),"      &lt;respcondition continue=""Yes""&gt;&lt;conditionvar&gt;&lt;varequal respident=""RESPONSE""&gt;4&lt;/varequal&gt;&lt;/conditionvar&gt;"&amp;"&lt;setvar action=""Add""&gt;"&amp;IF(X73,$H73,0)&amp;"&lt;/setvar&gt;"&amp;IF(AX73&lt;&gt;"","&lt;displayfeedback feedbacktype=""Response"" linkrefid=""response_4""/&gt;",IF($AS73&lt;&gt;"","&lt;displayfeedback feedbacktype=""Response"" linkrefid=""qti_feedback_trigger""/&gt;",""))&amp;"&lt;/respcondition&gt;",""),IF(OR(X73,AX73&lt;&gt;"",$AS73&lt;&gt;""),"      &lt;respcondition continue=""Yes""&gt;&lt;conditionvar&gt;"&amp;IF(X73,"&lt;varequal respident=""RESPONSE""&gt;4&lt;/varequal&gt;","&lt;not&gt;&lt;varequal respident=""RESPONSE""&gt;4&lt;/varequal&gt;&lt;/not&gt;")&amp;"&lt;/conditionvar&gt;&lt;setvar action=""Add""&gt;"&amp;(Saisie_Questions!$N73/$I73)&amp;"&lt;/setvar&gt;"&amp;IF(AX73&lt;&gt;"","&lt;displayfeedback feedbacktype=""Response"" linkrefid=""response_4""/&gt;",IF($AS73&lt;&gt;"","&lt;displayfeedback feedbacktype=""Response"" linkrefid=""qti_feedback_trigger""/&gt;",""))&amp;"&lt;/respcondition&gt;",""))),"")</f>
      </c>
      <c r="AO73" s="46">
        <f>IF($B73,IF(Q73="","",IF($C73="qcu",IF(OR(Y73,AY73&lt;&gt;"",$AS73&lt;&gt;""),"      &lt;respcondition continue=""Yes""&gt;&lt;conditionvar&gt;&lt;varequal respident=""RESPONSE""&gt;5&lt;/varequal&gt;&lt;/conditionvar&gt;"&amp;"&lt;setvar action=""Add""&gt;"&amp;IF(Y73,$H73,0)&amp;"&lt;/setvar&gt;"&amp;IF(AY73&lt;&gt;"","&lt;displayfeedback feedbacktype=""Response"" linkrefid=""response_5""/&gt;",IF($AS73&lt;&gt;"","&lt;displayfeedback feedbacktype=""Response"" linkrefid=""qti_feedback_trigger""/&gt;",""))&amp;"&lt;/respcondition&gt;",""),IF(OR(Y73,AY73&lt;&gt;"",$AS73&lt;&gt;""),"      &lt;respcondition continue=""Yes""&gt;&lt;conditionvar&gt;"&amp;IF(Y73,"&lt;varequal respident=""RESPONSE""&gt;5&lt;/varequal&gt;","&lt;not&gt;&lt;varequal respident=""RESPONSE""&gt;5&lt;/varequal&gt;&lt;/not&gt;")&amp;"&lt;/conditionvar&gt;&lt;setvar action=""Add""&gt;"&amp;(Saisie_Questions!$N73/$I73)&amp;"&lt;/setvar&gt;"&amp;IF(AY73&lt;&gt;"","&lt;displayfeedback feedbacktype=""Response"" linkrefid=""response_5""/&gt;",IF($AS73&lt;&gt;"","&lt;displayfeedback feedbacktype=""Response"" linkrefid=""qti_feedback_trigger""/&gt;",""))&amp;"&lt;/respcondition&gt;",""))),"")</f>
      </c>
      <c r="AP73" s="46">
        <f>IF($B73,IF(R73="","",IF($C73="qcu",IF(OR(Z73,AZ73&lt;&gt;"",$AS73&lt;&gt;""),"      &lt;respcondition continue=""Yes""&gt;&lt;conditionvar&gt;&lt;varequal respident=""RESPONSE""&gt;6&lt;/varequal&gt;&lt;/conditionvar&gt;"&amp;"&lt;setvar action=""Add""&gt;"&amp;IF(Z73,$H73,0)&amp;"&lt;/setvar&gt;"&amp;IF(AZ73&lt;&gt;"","&lt;displayfeedback feedbacktype=""Response"" linkrefid=""response_6""/&gt;",IF($AS73&lt;&gt;"","&lt;displayfeedback feedbacktype=""Response"" linkrefid=""qti_feedback_trigger""/&gt;",""))&amp;"&lt;/respcondition&gt;",""),IF(OR(Z73,AZ73&lt;&gt;"",$AS73&lt;&gt;""),"      &lt;respcondition continue=""Yes""&gt;&lt;conditionvar&gt;"&amp;IF(Z73,"&lt;varequal respident=""RESPONSE""&gt;6&lt;/varequal&gt;","&lt;not&gt;&lt;varequal respident=""RESPONSE""&gt;6&lt;/varequal&gt;&lt;/not&gt;")&amp;"&lt;/conditionvar&gt;&lt;setvar action=""Add""&gt;"&amp;(Saisie_Questions!$N73/$I73)&amp;"&lt;/setvar&gt;"&amp;IF(AZ73&lt;&gt;"","&lt;displayfeedback feedbacktype=""Response"" linkrefid=""response_6""/&gt;",IF($AS73&lt;&gt;"","&lt;displayfeedback feedbacktype=""Response"" linkrefid=""qti_feedback_trigger""/&gt;",""))&amp;"&lt;/respcondition&gt;",""))),"")</f>
      </c>
      <c r="AQ73" s="46">
        <f>IF($B73,IF(S73="","",IF($C73="qcu",IF(OR(AA73,BA73&lt;&gt;"",$AS73&lt;&gt;""),"      &lt;respcondition continue=""Yes""&gt;&lt;conditionvar&gt;&lt;varequal respident=""RESPONSE""&gt;7&lt;/varequal&gt;&lt;/conditionvar&gt;"&amp;"&lt;setvar action=""Add""&gt;"&amp;IF(AA73,$H73,0)&amp;"&lt;/setvar&gt;"&amp;IF(BA73&lt;&gt;"","&lt;displayfeedback feedbacktype=""Response"" linkrefid=""response_7""/&gt;",IF($AS73&lt;&gt;"","&lt;displayfeedback feedbacktype=""Response"" linkrefid=""qti_feedback_trigger""/&gt;",""))&amp;"&lt;/respcondition&gt;",""),IF(OR(AA73,BA73&lt;&gt;"",$AS73&lt;&gt;""),"      &lt;respcondition continue=""Yes""&gt;&lt;conditionvar&gt;"&amp;IF(AA73,"&lt;varequal respident=""RESPONSE""&gt;7&lt;/varequal&gt;","&lt;not&gt;&lt;varequal respident=""RESPONSE""&gt;7&lt;/varequal&gt;&lt;/not&gt;")&amp;"&lt;/conditionvar&gt;&lt;setvar action=""Add""&gt;"&amp;(Saisie_Questions!$N73/$I73)&amp;"&lt;/setvar&gt;"&amp;IF(BA73&lt;&gt;"","&lt;displayfeedback feedbacktype=""Response"" linkrefid=""response_7""/&gt;",IF($AS73&lt;&gt;"","&lt;displayfeedback feedbacktype=""Response"" linkrefid=""qti_feedback_trigger""/&gt;",""))&amp;"&lt;/respcondition&gt;",""))),"")</f>
      </c>
      <c r="AR73" s="46">
        <f>IF(A73="","",SUBSTITUTE(SUBSTITUTE(SUBSTITUTE(SUBSTITUTE(SUBSTITUTE(IF(Saisie_Questions!P73&lt;&gt;"",Saisie_Questions!P73,Interface_Generation!$B$5),"&amp;","&amp;amp;"),"&lt;","&amp;lt;"),"&gt;","&amp;gt;"),CHAR(34),"&amp;quot;"),"'","&amp;apos;"))</f>
        <v/>
      </c>
      <c r="AS73" s="46">
        <f>IF(Saisie_Questions!Q73="","",SUBSTITUTE(SUBSTITUTE(SUBSTITUTE(SUBSTITUTE(SUBSTITUTE(Saisie_Questions!Q73,"&amp;","&amp;amp;"),"&lt;","&amp;lt;"),"&gt;","&amp;gt;"),CHAR(34),"&amp;quot;"),"'","&amp;apos;"))</f>
        <v/>
      </c>
      <c r="AT73" s="46">
        <f>IF(Saisie_Questions!R73="","",SUBSTITUTE(SUBSTITUTE(SUBSTITUTE(SUBSTITUTE(SUBSTITUTE(Saisie_Questions!R73,"&amp;","&amp;amp;"),"&lt;","&amp;lt;"),"&gt;","&amp;gt;"),CHAR(34),"&amp;quot;"),"'","&amp;apos;"))</f>
        <v/>
      </c>
      <c r="AU73" s="46">
        <f>IF(Saisie_Questions!S73="","",SUBSTITUTE(SUBSTITUTE(SUBSTITUTE(SUBSTITUTE(SUBSTITUTE(Saisie_Questions!S73,"&amp;","&amp;amp;"),"&lt;","&amp;lt;"),"&gt;","&amp;gt;"),CHAR(34),"&amp;quot;"),"'","&amp;apos;"))</f>
        <v/>
      </c>
      <c r="AV73" s="46">
        <f>IF(Saisie_Questions!T73="","",SUBSTITUTE(SUBSTITUTE(SUBSTITUTE(SUBSTITUTE(SUBSTITUTE(Saisie_Questions!T73,"&amp;","&amp;amp;"),"&lt;","&amp;lt;"),"&gt;","&amp;gt;"),CHAR(34),"&amp;quot;"),"'","&amp;apos;"))</f>
        <v/>
      </c>
      <c r="AW73" s="46">
        <f>IF(Saisie_Questions!U73="","",SUBSTITUTE(SUBSTITUTE(SUBSTITUTE(SUBSTITUTE(SUBSTITUTE(Saisie_Questions!U73,"&amp;","&amp;amp;"),"&lt;","&amp;lt;"),"&gt;","&amp;gt;"),CHAR(34),"&amp;quot;"),"'","&amp;apos;"))</f>
        <v/>
      </c>
      <c r="AX73" s="46">
        <f>IF(Saisie_Questions!V73="","",SUBSTITUTE(SUBSTITUTE(SUBSTITUTE(SUBSTITUTE(SUBSTITUTE(Saisie_Questions!V73,"&amp;","&amp;amp;"),"&lt;","&amp;lt;"),"&gt;","&amp;gt;"),CHAR(34),"&amp;quot;"),"'","&amp;apos;"))</f>
        <v/>
      </c>
      <c r="AY73" s="46">
        <f>IF(Saisie_Questions!W73="","",SUBSTITUTE(SUBSTITUTE(SUBSTITUTE(SUBSTITUTE(SUBSTITUTE(Saisie_Questions!W73,"&amp;","&amp;amp;"),"&lt;","&amp;lt;"),"&gt;","&amp;gt;"),CHAR(34),"&amp;quot;"),"'","&amp;apos;"))</f>
        <v/>
      </c>
      <c r="AZ73" s="46">
        <f>IF(Saisie_Questions!X73="","",SUBSTITUTE(SUBSTITUTE(SUBSTITUTE(SUBSTITUTE(SUBSTITUTE(Saisie_Questions!X73,"&amp;","&amp;amp;"),"&lt;","&amp;lt;"),"&gt;","&amp;gt;"),CHAR(34),"&amp;quot;"),"'","&amp;apos;"))</f>
        <v/>
      </c>
      <c r="BA73" s="46">
        <f>IF(Saisie_Questions!Y73="","",SUBSTITUTE(SUBSTITUTE(SUBSTITUTE(SUBSTITUTE(SUBSTITUTE(Saisie_Questions!Y73,"&amp;","&amp;amp;"),"&lt;","&amp;lt;"),"&gt;","&amp;gt;"),CHAR(34),"&amp;quot;"),"'","&amp;apos;"))</f>
        <v/>
      </c>
      <c r="BB73" s="46">
        <f>IF($B73,IF($AS73="","","    &lt;itemfeedback ident=""response_allcorrect"" view=""All""&gt;&lt;flow_mat&gt;&lt;material&gt;&lt;mattext texttype=""text/html""&gt;"&amp;$AS73&amp;"&lt;/mattext&gt;&lt;/material&gt;&lt;/flow_mat&gt;&lt;/itemfeedback&gt;"&amp;"    &lt;itemfeedback ident=""response_onenotcorrect"" view=""All""&gt;&lt;flow_mat&gt;&lt;material&gt;&lt;mattext texttype=""text/html""&gt;"&amp;$AS73&amp;"&lt;/mattext&gt;&lt;/material&gt;&lt;/flow_mat&gt;&lt;/itemfeedback&gt;"),"")</f>
      </c>
      <c r="BC73" s="46">
        <f>IF($B73,IF(AT73="","","    &lt;itemfeedback ident=""response_0"" view=""All""&gt;&lt;flow_mat&gt;&lt;material&gt;&lt;mattext texttype=""text/html""&gt;"&amp;AT73&amp;"&lt;/mattext&gt;&lt;/material&gt;&lt;/flow_mat&gt;&lt;/itemfeedback&gt;"),"")</f>
      </c>
      <c r="BD73" s="46">
        <f>IF($B73,IF(AU73="","","    &lt;itemfeedback ident=""response_1"" view=""All""&gt;&lt;flow_mat&gt;&lt;material&gt;&lt;mattext texttype=""text/html""&gt;"&amp;AU73&amp;"&lt;/mattext&gt;&lt;/material&gt;&lt;/flow_mat&gt;&lt;/itemfeedback&gt;"),"")</f>
      </c>
      <c r="BE73" s="46">
        <f>IF($B73,IF(AV73="","","    &lt;itemfeedback ident=""response_2"" view=""All""&gt;&lt;flow_mat&gt;&lt;material&gt;&lt;mattext texttype=""text/html""&gt;"&amp;AV73&amp;"&lt;/mattext&gt;&lt;/material&gt;&lt;/flow_mat&gt;&lt;/itemfeedback&gt;"),"")</f>
      </c>
      <c r="BF73" s="46">
        <f>IF($B73,IF(AW73="","","    &lt;itemfeedback ident=""response_3"" view=""All""&gt;&lt;flow_mat&gt;&lt;material&gt;&lt;mattext texttype=""text/html""&gt;"&amp;AW73&amp;"&lt;/mattext&gt;&lt;/material&gt;&lt;/flow_mat&gt;&lt;/itemfeedback&gt;"),"")</f>
      </c>
      <c r="BG73" s="46">
        <f>IF($B73,IF(AX73="","","    &lt;itemfeedback ident=""response_4"" view=""All""&gt;&lt;flow_mat&gt;&lt;material&gt;&lt;mattext texttype=""text/html""&gt;"&amp;AX73&amp;"&lt;/mattext&gt;&lt;/material&gt;&lt;/flow_mat&gt;&lt;/itemfeedback&gt;"),"")</f>
      </c>
      <c r="BH73" s="46">
        <f>IF($B73,IF(AY73="","","    &lt;itemfeedback ident=""response_5"" view=""All""&gt;&lt;flow_mat&gt;&lt;material&gt;&lt;mattext texttype=""text/html""&gt;"&amp;AY73&amp;"&lt;/mattext&gt;&lt;/material&gt;&lt;/flow_mat&gt;&lt;/itemfeedback&gt;"),"")</f>
      </c>
      <c r="BI73" s="46">
        <f>IF($B73,IF(AZ73="","","    &lt;itemfeedback ident=""response_6"" view=""All""&gt;&lt;flow_mat&gt;&lt;material&gt;&lt;mattext texttype=""text/html""&gt;"&amp;AZ73&amp;"&lt;/mattext&gt;&lt;/material&gt;&lt;/flow_mat&gt;&lt;/itemfeedback&gt;"),"")</f>
      </c>
      <c r="BJ73" s="46">
        <f>IF($B73,IF(BA73="","","    &lt;itemfeedback ident=""response_7"" view=""All""&gt;&lt;flow_mat&gt;&lt;material&gt;&lt;mattext texttype=""text/html""&gt;"&amp;BA73&amp;"&lt;/mattext&gt;&lt;/material&gt;&lt;/flow_mat&gt;&lt;/itemfeedback&gt;"),"")</f>
      </c>
    </row>
    <row r="74" ht="18" customHeight="1" s="17">
      <c r="A74" s="46">
        <f>Saisie_Questions!A74</f>
        <v/>
      </c>
      <c r="B74" s="46">
        <f>Saisie_Questions!O74="OK"</f>
        <v/>
      </c>
      <c r="C74" s="46">
        <f>LOWER(TRIM(Saisie_Questions!B74))</f>
        <v/>
      </c>
      <c r="D74" s="46">
        <f>IF(C74="qcu","SINGLE CHOICE QUESTION","MULTIPLE CHOICE QUESTION")</f>
        <v/>
      </c>
      <c r="E74" s="46">
        <f>IF(C74="qcu","Single","Multiple")</f>
        <v/>
      </c>
      <c r="F74" s="46">
        <f>IF(A74="","",SUBSTITUTE(SUBSTITUTE(SUBSTITUTE(SUBSTITUTE(SUBSTITUTE(IF(Saisie_Questions!C74="", "Question "&amp;A74, Saisie_Questions!C74),"&amp;","&amp;amp;"),"&lt;","&amp;lt;"),"&gt;","&amp;gt;"),CHAR(34),"&amp;quot;"),"'","&amp;apos;"))</f>
        <v/>
      </c>
      <c r="G74" s="46">
        <f>IF(A74="","",SUBSTITUTE(SUBSTITUTE(SUBSTITUTE(SUBSTITUTE(SUBSTITUTE(Saisie_Questions!D74,"&amp;","&amp;amp;"),"&lt;","&amp;lt;"),"&gt;","&amp;gt;"),CHAR(34),"&amp;quot;"),"'","&amp;apos;"))</f>
        <v/>
      </c>
      <c r="H74" s="46">
        <f>Saisie_Questions!N74</f>
        <v/>
      </c>
      <c r="I74" s="46">
        <f>IF(Saisie_Questions!E74="",0,1)+IF(Saisie_Questions!F74="",0,1)+IF(Saisie_Questions!G74="",0,1)+IF(Saisie_Questions!H74="",0,1)+IF(Saisie_Questions!I74="",0,1)+IF(Saisie_Questions!J74="",0,1)+IF(Saisie_Questions!K74="",0,1)+IF(Saisie_Questions!L74="",0,1)</f>
        <v/>
      </c>
      <c r="J74" s="46">
        <f>Saisie_Questions!M74</f>
        <v/>
      </c>
      <c r="K74" s="46">
        <f>Saisie_Questions!O74</f>
        <v/>
      </c>
      <c r="L74" s="46">
        <f>IF(Saisie_Questions!E74="","",SUBSTITUTE(SUBSTITUTE(SUBSTITUTE(SUBSTITUTE(SUBSTITUTE(Saisie_Questions!E74,"&amp;","&amp;amp;"),"&lt;","&amp;lt;"),"&gt;","&amp;gt;"),CHAR(34),"&amp;quot;"),"'","&amp;apos;"))</f>
        <v/>
      </c>
      <c r="M74" s="46">
        <f>IF(Saisie_Questions!F74="","",SUBSTITUTE(SUBSTITUTE(SUBSTITUTE(SUBSTITUTE(SUBSTITUTE(Saisie_Questions!F74,"&amp;","&amp;amp;"),"&lt;","&amp;lt;"),"&gt;","&amp;gt;"),CHAR(34),"&amp;quot;"),"'","&amp;apos;"))</f>
        <v/>
      </c>
      <c r="N74" s="46">
        <f>IF(Saisie_Questions!G74="","",SUBSTITUTE(SUBSTITUTE(SUBSTITUTE(SUBSTITUTE(SUBSTITUTE(Saisie_Questions!G74,"&amp;","&amp;amp;"),"&lt;","&amp;lt;"),"&gt;","&amp;gt;"),CHAR(34),"&amp;quot;"),"'","&amp;apos;"))</f>
        <v/>
      </c>
      <c r="O74" s="46">
        <f>IF(Saisie_Questions!H74="","",SUBSTITUTE(SUBSTITUTE(SUBSTITUTE(SUBSTITUTE(SUBSTITUTE(Saisie_Questions!H74,"&amp;","&amp;amp;"),"&lt;","&amp;lt;"),"&gt;","&amp;gt;"),CHAR(34),"&amp;quot;"),"'","&amp;apos;"))</f>
        <v/>
      </c>
      <c r="P74" s="46">
        <f>IF(Saisie_Questions!I74="","",SUBSTITUTE(SUBSTITUTE(SUBSTITUTE(SUBSTITUTE(SUBSTITUTE(Saisie_Questions!I74,"&amp;","&amp;amp;"),"&lt;","&amp;lt;"),"&gt;","&amp;gt;"),CHAR(34),"&amp;quot;"),"'","&amp;apos;"))</f>
        <v/>
      </c>
      <c r="Q74" s="46">
        <f>IF(Saisie_Questions!J74="","",SUBSTITUTE(SUBSTITUTE(SUBSTITUTE(SUBSTITUTE(SUBSTITUTE(Saisie_Questions!J74,"&amp;","&amp;amp;"),"&lt;","&amp;lt;"),"&gt;","&amp;gt;"),CHAR(34),"&amp;quot;"),"'","&amp;apos;"))</f>
        <v/>
      </c>
      <c r="R74" s="46">
        <f>IF(Saisie_Questions!K74="","",SUBSTITUTE(SUBSTITUTE(SUBSTITUTE(SUBSTITUTE(SUBSTITUTE(Saisie_Questions!K74,"&amp;","&amp;amp;"),"&lt;","&amp;lt;"),"&gt;","&amp;gt;"),CHAR(34),"&amp;quot;"),"'","&amp;apos;"))</f>
        <v/>
      </c>
      <c r="S74" s="46">
        <f>IF(Saisie_Questions!L74="","",SUBSTITUTE(SUBSTITUTE(SUBSTITUTE(SUBSTITUTE(SUBSTITUTE(Saisie_Questions!L74,"&amp;","&amp;amp;"),"&lt;","&amp;lt;"),"&gt;","&amp;gt;"),CHAR(34),"&amp;quot;"),"'","&amp;apos;"))</f>
        <v/>
      </c>
      <c r="T74" s="46">
        <f>ISNUMBER(SEARCH(";"&amp;1&amp;";",";"&amp;$J74&amp;";"))</f>
        <v/>
      </c>
      <c r="U74" s="46">
        <f>ISNUMBER(SEARCH(";"&amp;2&amp;";",";"&amp;$J74&amp;";"))</f>
        <v/>
      </c>
      <c r="V74" s="46">
        <f>ISNUMBER(SEARCH(";"&amp;3&amp;";",";"&amp;$J74&amp;";"))</f>
        <v/>
      </c>
      <c r="W74" s="46">
        <f>ISNUMBER(SEARCH(";"&amp;4&amp;";",";"&amp;$J74&amp;";"))</f>
        <v/>
      </c>
      <c r="X74" s="46">
        <f>ISNUMBER(SEARCH(";"&amp;5&amp;";",";"&amp;$J74&amp;";"))</f>
        <v/>
      </c>
      <c r="Y74" s="46">
        <f>ISNUMBER(SEARCH(";"&amp;6&amp;";",";"&amp;$J74&amp;";"))</f>
        <v/>
      </c>
      <c r="Z74" s="46">
        <f>ISNUMBER(SEARCH(";"&amp;7&amp;";",";"&amp;$J74&amp;";"))</f>
        <v/>
      </c>
      <c r="AA74" s="46">
        <f>ISNUMBER(SEARCH(";"&amp;8&amp;";",";"&amp;$J74&amp;";"))</f>
        <v/>
      </c>
      <c r="AB74" s="46">
        <f>IF($B74,IF(L74="","","        &lt;response_label ident=""0""&gt;&lt;material&gt;&lt;mattext texttype=""text/html""&gt;"&amp;L74&amp;"&lt;/mattext&gt;&lt;/material&gt;&lt;/response_label&gt;"),"")</f>
        <v/>
      </c>
      <c r="AC74" s="46">
        <f>IF($B74,IF(M74="","","        &lt;response_label ident=""1""&gt;&lt;material&gt;&lt;mattext texttype=""text/html""&gt;"&amp;M74&amp;"&lt;/mattext&gt;&lt;/material&gt;&lt;/response_label&gt;"),"")</f>
        <v/>
      </c>
      <c r="AD74" s="46">
        <f>IF($B74,IF(N74="","","        &lt;response_label ident=""2""&gt;&lt;material&gt;&lt;mattext texttype=""text/html""&gt;"&amp;N74&amp;"&lt;/mattext&gt;&lt;/material&gt;&lt;/response_label&gt;"),"")</f>
        <v/>
      </c>
      <c r="AE74" s="46">
        <f>IF($B74,IF(O74="","","        &lt;response_label ident=""3""&gt;&lt;material&gt;&lt;mattext texttype=""text/html""&gt;"&amp;O74&amp;"&lt;/mattext&gt;&lt;/material&gt;&lt;/response_label&gt;"),"")</f>
        <v/>
      </c>
      <c r="AF74" s="46">
        <f>IF($B74,IF(P74="","","        &lt;response_label ident=""4""&gt;&lt;material&gt;&lt;mattext texttype=""text/html""&gt;"&amp;P74&amp;"&lt;/mattext&gt;&lt;/material&gt;&lt;/response_label&gt;"),"")</f>
        <v/>
      </c>
      <c r="AG74" s="46">
        <f>IF($B74,IF(Q74="","","        &lt;response_label ident=""5""&gt;&lt;material&gt;&lt;mattext texttype=""text/html""&gt;"&amp;Q74&amp;"&lt;/mattext&gt;&lt;/material&gt;&lt;/response_label&gt;"),"")</f>
        <v/>
      </c>
      <c r="AH74" s="46">
        <f>IF($B74,IF(R74="","","        &lt;response_label ident=""6""&gt;&lt;material&gt;&lt;mattext texttype=""text/html""&gt;"&amp;R74&amp;"&lt;/mattext&gt;&lt;/material&gt;&lt;/response_label&gt;"),"")</f>
        <v/>
      </c>
      <c r="AI74" s="46">
        <f>IF($B74,IF(S74="","","        &lt;response_label ident=""7""&gt;&lt;material&gt;&lt;mattext texttype=""text/html""&gt;"&amp;S74&amp;"&lt;/mattext&gt;&lt;/material&gt;&lt;/response_label&gt;"),"")</f>
        <v/>
      </c>
      <c r="AJ74" s="46">
        <f>IF($B74,IF(L74="","",IF($C74="qcu",IF(OR(T74,AT74&lt;&gt;"",$AS74&lt;&gt;""),"      &lt;respcondition continue=""Yes""&gt;&lt;conditionvar&gt;&lt;varequal respident=""RESPONSE""&gt;0&lt;/varequal&gt;&lt;/conditionvar&gt;"&amp;"&lt;setvar action=""Add""&gt;"&amp;IF(T74,$H74,0)&amp;"&lt;/setvar&gt;"&amp;IF(AT74&lt;&gt;"","&lt;displayfeedback feedbacktype=""Response"" linkrefid=""response_0""/&gt;",IF($AS74&lt;&gt;"","&lt;displayfeedback feedbacktype=""Response"" linkrefid=""qti_feedback_trigger""/&gt;",""))&amp;"&lt;/respcondition&gt;",""),IF(OR(T74,AT74&lt;&gt;"",$AS74&lt;&gt;""),"      &lt;respcondition continue=""Yes""&gt;&lt;conditionvar&gt;"&amp;IF(T74,"&lt;varequal respident=""RESPONSE""&gt;0&lt;/varequal&gt;","&lt;not&gt;&lt;varequal respident=""RESPONSE""&gt;0&lt;/varequal&gt;&lt;/not&gt;")&amp;"&lt;/conditionvar&gt;&lt;setvar action=""Add""&gt;"&amp;(Saisie_Questions!$N74/$I74)&amp;"&lt;/setvar&gt;"&amp;IF(AT74&lt;&gt;"","&lt;displayfeedback feedbacktype=""Response"" linkrefid=""response_0""/&gt;",IF($AS74&lt;&gt;"","&lt;displayfeedback feedbacktype=""Response"" linkrefid=""qti_feedback_trigger""/&gt;",""))&amp;"&lt;/respcondition&gt;",""))),"")</f>
      </c>
      <c r="AK74" s="46">
        <f>IF($B74,IF(M74="","",IF($C74="qcu",IF(OR(U74,AU74&lt;&gt;"",$AS74&lt;&gt;""),"      &lt;respcondition continue=""Yes""&gt;&lt;conditionvar&gt;&lt;varequal respident=""RESPONSE""&gt;1&lt;/varequal&gt;&lt;/conditionvar&gt;"&amp;"&lt;setvar action=""Add""&gt;"&amp;IF(U74,$H74,0)&amp;"&lt;/setvar&gt;"&amp;IF(AU74&lt;&gt;"","&lt;displayfeedback feedbacktype=""Response"" linkrefid=""response_1""/&gt;",IF($AS74&lt;&gt;"","&lt;displayfeedback feedbacktype=""Response"" linkrefid=""qti_feedback_trigger""/&gt;",""))&amp;"&lt;/respcondition&gt;",""),IF(OR(U74,AU74&lt;&gt;"",$AS74&lt;&gt;""),"      &lt;respcondition continue=""Yes""&gt;&lt;conditionvar&gt;"&amp;IF(U74,"&lt;varequal respident=""RESPONSE""&gt;1&lt;/varequal&gt;","&lt;not&gt;&lt;varequal respident=""RESPONSE""&gt;1&lt;/varequal&gt;&lt;/not&gt;")&amp;"&lt;/conditionvar&gt;&lt;setvar action=""Add""&gt;"&amp;(Saisie_Questions!$N74/$I74)&amp;"&lt;/setvar&gt;"&amp;IF(AU74&lt;&gt;"","&lt;displayfeedback feedbacktype=""Response"" linkrefid=""response_1""/&gt;",IF($AS74&lt;&gt;"","&lt;displayfeedback feedbacktype=""Response"" linkrefid=""qti_feedback_trigger""/&gt;",""))&amp;"&lt;/respcondition&gt;",""))),"")</f>
      </c>
      <c r="AL74" s="46">
        <f>IF($B74,IF(N74="","",IF($C74="qcu",IF(OR(V74,AV74&lt;&gt;"",$AS74&lt;&gt;""),"      &lt;respcondition continue=""Yes""&gt;&lt;conditionvar&gt;&lt;varequal respident=""RESPONSE""&gt;2&lt;/varequal&gt;&lt;/conditionvar&gt;"&amp;"&lt;setvar action=""Add""&gt;"&amp;IF(V74,$H74,0)&amp;"&lt;/setvar&gt;"&amp;IF(AV74&lt;&gt;"","&lt;displayfeedback feedbacktype=""Response"" linkrefid=""response_2""/&gt;",IF($AS74&lt;&gt;"","&lt;displayfeedback feedbacktype=""Response"" linkrefid=""qti_feedback_trigger""/&gt;",""))&amp;"&lt;/respcondition&gt;",""),IF(OR(V74,AV74&lt;&gt;"",$AS74&lt;&gt;""),"      &lt;respcondition continue=""Yes""&gt;&lt;conditionvar&gt;"&amp;IF(V74,"&lt;varequal respident=""RESPONSE""&gt;2&lt;/varequal&gt;","&lt;not&gt;&lt;varequal respident=""RESPONSE""&gt;2&lt;/varequal&gt;&lt;/not&gt;")&amp;"&lt;/conditionvar&gt;&lt;setvar action=""Add""&gt;"&amp;(Saisie_Questions!$N74/$I74)&amp;"&lt;/setvar&gt;"&amp;IF(AV74&lt;&gt;"","&lt;displayfeedback feedbacktype=""Response"" linkrefid=""response_2""/&gt;",IF($AS74&lt;&gt;"","&lt;displayfeedback feedbacktype=""Response"" linkrefid=""qti_feedback_trigger""/&gt;",""))&amp;"&lt;/respcondition&gt;",""))),"")</f>
      </c>
      <c r="AM74" s="46">
        <f>IF($B74,IF(O74="","",IF($C74="qcu",IF(OR(W74,AW74&lt;&gt;"",$AS74&lt;&gt;""),"      &lt;respcondition continue=""Yes""&gt;&lt;conditionvar&gt;&lt;varequal respident=""RESPONSE""&gt;3&lt;/varequal&gt;&lt;/conditionvar&gt;"&amp;"&lt;setvar action=""Add""&gt;"&amp;IF(W74,$H74,0)&amp;"&lt;/setvar&gt;"&amp;IF(AW74&lt;&gt;"","&lt;displayfeedback feedbacktype=""Response"" linkrefid=""response_3""/&gt;",IF($AS74&lt;&gt;"","&lt;displayfeedback feedbacktype=""Response"" linkrefid=""qti_feedback_trigger""/&gt;",""))&amp;"&lt;/respcondition&gt;",""),IF(OR(W74,AW74&lt;&gt;"",$AS74&lt;&gt;""),"      &lt;respcondition continue=""Yes""&gt;&lt;conditionvar&gt;"&amp;IF(W74,"&lt;varequal respident=""RESPONSE""&gt;3&lt;/varequal&gt;","&lt;not&gt;&lt;varequal respident=""RESPONSE""&gt;3&lt;/varequal&gt;&lt;/not&gt;")&amp;"&lt;/conditionvar&gt;&lt;setvar action=""Add""&gt;"&amp;(Saisie_Questions!$N74/$I74)&amp;"&lt;/setvar&gt;"&amp;IF(AW74&lt;&gt;"","&lt;displayfeedback feedbacktype=""Response"" linkrefid=""response_3""/&gt;",IF($AS74&lt;&gt;"","&lt;displayfeedback feedbacktype=""Response"" linkrefid=""qti_feedback_trigger""/&gt;",""))&amp;"&lt;/respcondition&gt;",""))),"")</f>
      </c>
      <c r="AN74" s="46">
        <f>IF($B74,IF(P74="","",IF($C74="qcu",IF(OR(X74,AX74&lt;&gt;"",$AS74&lt;&gt;""),"      &lt;respcondition continue=""Yes""&gt;&lt;conditionvar&gt;&lt;varequal respident=""RESPONSE""&gt;4&lt;/varequal&gt;&lt;/conditionvar&gt;"&amp;"&lt;setvar action=""Add""&gt;"&amp;IF(X74,$H74,0)&amp;"&lt;/setvar&gt;"&amp;IF(AX74&lt;&gt;"","&lt;displayfeedback feedbacktype=""Response"" linkrefid=""response_4""/&gt;",IF($AS74&lt;&gt;"","&lt;displayfeedback feedbacktype=""Response"" linkrefid=""qti_feedback_trigger""/&gt;",""))&amp;"&lt;/respcondition&gt;",""),IF(OR(X74,AX74&lt;&gt;"",$AS74&lt;&gt;""),"      &lt;respcondition continue=""Yes""&gt;&lt;conditionvar&gt;"&amp;IF(X74,"&lt;varequal respident=""RESPONSE""&gt;4&lt;/varequal&gt;","&lt;not&gt;&lt;varequal respident=""RESPONSE""&gt;4&lt;/varequal&gt;&lt;/not&gt;")&amp;"&lt;/conditionvar&gt;&lt;setvar action=""Add""&gt;"&amp;(Saisie_Questions!$N74/$I74)&amp;"&lt;/setvar&gt;"&amp;IF(AX74&lt;&gt;"","&lt;displayfeedback feedbacktype=""Response"" linkrefid=""response_4""/&gt;",IF($AS74&lt;&gt;"","&lt;displayfeedback feedbacktype=""Response"" linkrefid=""qti_feedback_trigger""/&gt;",""))&amp;"&lt;/respcondition&gt;",""))),"")</f>
      </c>
      <c r="AO74" s="46">
        <f>IF($B74,IF(Q74="","",IF($C74="qcu",IF(OR(Y74,AY74&lt;&gt;"",$AS74&lt;&gt;""),"      &lt;respcondition continue=""Yes""&gt;&lt;conditionvar&gt;&lt;varequal respident=""RESPONSE""&gt;5&lt;/varequal&gt;&lt;/conditionvar&gt;"&amp;"&lt;setvar action=""Add""&gt;"&amp;IF(Y74,$H74,0)&amp;"&lt;/setvar&gt;"&amp;IF(AY74&lt;&gt;"","&lt;displayfeedback feedbacktype=""Response"" linkrefid=""response_5""/&gt;",IF($AS74&lt;&gt;"","&lt;displayfeedback feedbacktype=""Response"" linkrefid=""qti_feedback_trigger""/&gt;",""))&amp;"&lt;/respcondition&gt;",""),IF(OR(Y74,AY74&lt;&gt;"",$AS74&lt;&gt;""),"      &lt;respcondition continue=""Yes""&gt;&lt;conditionvar&gt;"&amp;IF(Y74,"&lt;varequal respident=""RESPONSE""&gt;5&lt;/varequal&gt;","&lt;not&gt;&lt;varequal respident=""RESPONSE""&gt;5&lt;/varequal&gt;&lt;/not&gt;")&amp;"&lt;/conditionvar&gt;&lt;setvar action=""Add""&gt;"&amp;(Saisie_Questions!$N74/$I74)&amp;"&lt;/setvar&gt;"&amp;IF(AY74&lt;&gt;"","&lt;displayfeedback feedbacktype=""Response"" linkrefid=""response_5""/&gt;",IF($AS74&lt;&gt;"","&lt;displayfeedback feedbacktype=""Response"" linkrefid=""qti_feedback_trigger""/&gt;",""))&amp;"&lt;/respcondition&gt;",""))),"")</f>
      </c>
      <c r="AP74" s="46">
        <f>IF($B74,IF(R74="","",IF($C74="qcu",IF(OR(Z74,AZ74&lt;&gt;"",$AS74&lt;&gt;""),"      &lt;respcondition continue=""Yes""&gt;&lt;conditionvar&gt;&lt;varequal respident=""RESPONSE""&gt;6&lt;/varequal&gt;&lt;/conditionvar&gt;"&amp;"&lt;setvar action=""Add""&gt;"&amp;IF(Z74,$H74,0)&amp;"&lt;/setvar&gt;"&amp;IF(AZ74&lt;&gt;"","&lt;displayfeedback feedbacktype=""Response"" linkrefid=""response_6""/&gt;",IF($AS74&lt;&gt;"","&lt;displayfeedback feedbacktype=""Response"" linkrefid=""qti_feedback_trigger""/&gt;",""))&amp;"&lt;/respcondition&gt;",""),IF(OR(Z74,AZ74&lt;&gt;"",$AS74&lt;&gt;""),"      &lt;respcondition continue=""Yes""&gt;&lt;conditionvar&gt;"&amp;IF(Z74,"&lt;varequal respident=""RESPONSE""&gt;6&lt;/varequal&gt;","&lt;not&gt;&lt;varequal respident=""RESPONSE""&gt;6&lt;/varequal&gt;&lt;/not&gt;")&amp;"&lt;/conditionvar&gt;&lt;setvar action=""Add""&gt;"&amp;(Saisie_Questions!$N74/$I74)&amp;"&lt;/setvar&gt;"&amp;IF(AZ74&lt;&gt;"","&lt;displayfeedback feedbacktype=""Response"" linkrefid=""response_6""/&gt;",IF($AS74&lt;&gt;"","&lt;displayfeedback feedbacktype=""Response"" linkrefid=""qti_feedback_trigger""/&gt;",""))&amp;"&lt;/respcondition&gt;",""))),"")</f>
      </c>
      <c r="AQ74" s="46">
        <f>IF($B74,IF(S74="","",IF($C74="qcu",IF(OR(AA74,BA74&lt;&gt;"",$AS74&lt;&gt;""),"      &lt;respcondition continue=""Yes""&gt;&lt;conditionvar&gt;&lt;varequal respident=""RESPONSE""&gt;7&lt;/varequal&gt;&lt;/conditionvar&gt;"&amp;"&lt;setvar action=""Add""&gt;"&amp;IF(AA74,$H74,0)&amp;"&lt;/setvar&gt;"&amp;IF(BA74&lt;&gt;"","&lt;displayfeedback feedbacktype=""Response"" linkrefid=""response_7""/&gt;",IF($AS74&lt;&gt;"","&lt;displayfeedback feedbacktype=""Response"" linkrefid=""qti_feedback_trigger""/&gt;",""))&amp;"&lt;/respcondition&gt;",""),IF(OR(AA74,BA74&lt;&gt;"",$AS74&lt;&gt;""),"      &lt;respcondition continue=""Yes""&gt;&lt;conditionvar&gt;"&amp;IF(AA74,"&lt;varequal respident=""RESPONSE""&gt;7&lt;/varequal&gt;","&lt;not&gt;&lt;varequal respident=""RESPONSE""&gt;7&lt;/varequal&gt;&lt;/not&gt;")&amp;"&lt;/conditionvar&gt;&lt;setvar action=""Add""&gt;"&amp;(Saisie_Questions!$N74/$I74)&amp;"&lt;/setvar&gt;"&amp;IF(BA74&lt;&gt;"","&lt;displayfeedback feedbacktype=""Response"" linkrefid=""response_7""/&gt;",IF($AS74&lt;&gt;"","&lt;displayfeedback feedbacktype=""Response"" linkrefid=""qti_feedback_trigger""/&gt;",""))&amp;"&lt;/respcondition&gt;",""))),"")</f>
      </c>
      <c r="AR74" s="46">
        <f>IF(A74="","",SUBSTITUTE(SUBSTITUTE(SUBSTITUTE(SUBSTITUTE(SUBSTITUTE(IF(Saisie_Questions!P74&lt;&gt;"",Saisie_Questions!P74,Interface_Generation!$B$5),"&amp;","&amp;amp;"),"&lt;","&amp;lt;"),"&gt;","&amp;gt;"),CHAR(34),"&amp;quot;"),"'","&amp;apos;"))</f>
        <v/>
      </c>
      <c r="AS74" s="46">
        <f>IF(Saisie_Questions!Q74="","",SUBSTITUTE(SUBSTITUTE(SUBSTITUTE(SUBSTITUTE(SUBSTITUTE(Saisie_Questions!Q74,"&amp;","&amp;amp;"),"&lt;","&amp;lt;"),"&gt;","&amp;gt;"),CHAR(34),"&amp;quot;"),"'","&amp;apos;"))</f>
        <v/>
      </c>
      <c r="AT74" s="46">
        <f>IF(Saisie_Questions!R74="","",SUBSTITUTE(SUBSTITUTE(SUBSTITUTE(SUBSTITUTE(SUBSTITUTE(Saisie_Questions!R74,"&amp;","&amp;amp;"),"&lt;","&amp;lt;"),"&gt;","&amp;gt;"),CHAR(34),"&amp;quot;"),"'","&amp;apos;"))</f>
        <v/>
      </c>
      <c r="AU74" s="46">
        <f>IF(Saisie_Questions!S74="","",SUBSTITUTE(SUBSTITUTE(SUBSTITUTE(SUBSTITUTE(SUBSTITUTE(Saisie_Questions!S74,"&amp;","&amp;amp;"),"&lt;","&amp;lt;"),"&gt;","&amp;gt;"),CHAR(34),"&amp;quot;"),"'","&amp;apos;"))</f>
        <v/>
      </c>
      <c r="AV74" s="46">
        <f>IF(Saisie_Questions!T74="","",SUBSTITUTE(SUBSTITUTE(SUBSTITUTE(SUBSTITUTE(SUBSTITUTE(Saisie_Questions!T74,"&amp;","&amp;amp;"),"&lt;","&amp;lt;"),"&gt;","&amp;gt;"),CHAR(34),"&amp;quot;"),"'","&amp;apos;"))</f>
        <v/>
      </c>
      <c r="AW74" s="46">
        <f>IF(Saisie_Questions!U74="","",SUBSTITUTE(SUBSTITUTE(SUBSTITUTE(SUBSTITUTE(SUBSTITUTE(Saisie_Questions!U74,"&amp;","&amp;amp;"),"&lt;","&amp;lt;"),"&gt;","&amp;gt;"),CHAR(34),"&amp;quot;"),"'","&amp;apos;"))</f>
        <v/>
      </c>
      <c r="AX74" s="46">
        <f>IF(Saisie_Questions!V74="","",SUBSTITUTE(SUBSTITUTE(SUBSTITUTE(SUBSTITUTE(SUBSTITUTE(Saisie_Questions!V74,"&amp;","&amp;amp;"),"&lt;","&amp;lt;"),"&gt;","&amp;gt;"),CHAR(34),"&amp;quot;"),"'","&amp;apos;"))</f>
        <v/>
      </c>
      <c r="AY74" s="46">
        <f>IF(Saisie_Questions!W74="","",SUBSTITUTE(SUBSTITUTE(SUBSTITUTE(SUBSTITUTE(SUBSTITUTE(Saisie_Questions!W74,"&amp;","&amp;amp;"),"&lt;","&amp;lt;"),"&gt;","&amp;gt;"),CHAR(34),"&amp;quot;"),"'","&amp;apos;"))</f>
        <v/>
      </c>
      <c r="AZ74" s="46">
        <f>IF(Saisie_Questions!X74="","",SUBSTITUTE(SUBSTITUTE(SUBSTITUTE(SUBSTITUTE(SUBSTITUTE(Saisie_Questions!X74,"&amp;","&amp;amp;"),"&lt;","&amp;lt;"),"&gt;","&amp;gt;"),CHAR(34),"&amp;quot;"),"'","&amp;apos;"))</f>
        <v/>
      </c>
      <c r="BA74" s="46">
        <f>IF(Saisie_Questions!Y74="","",SUBSTITUTE(SUBSTITUTE(SUBSTITUTE(SUBSTITUTE(SUBSTITUTE(Saisie_Questions!Y74,"&amp;","&amp;amp;"),"&lt;","&amp;lt;"),"&gt;","&amp;gt;"),CHAR(34),"&amp;quot;"),"'","&amp;apos;"))</f>
        <v/>
      </c>
      <c r="BB74" s="46">
        <f>IF($B74,IF($AS74="","","    &lt;itemfeedback ident=""response_allcorrect"" view=""All""&gt;&lt;flow_mat&gt;&lt;material&gt;&lt;mattext texttype=""text/html""&gt;"&amp;$AS74&amp;"&lt;/mattext&gt;&lt;/material&gt;&lt;/flow_mat&gt;&lt;/itemfeedback&gt;"&amp;"    &lt;itemfeedback ident=""response_onenotcorrect"" view=""All""&gt;&lt;flow_mat&gt;&lt;material&gt;&lt;mattext texttype=""text/html""&gt;"&amp;$AS74&amp;"&lt;/mattext&gt;&lt;/material&gt;&lt;/flow_mat&gt;&lt;/itemfeedback&gt;"),"")</f>
      </c>
      <c r="BC74" s="46">
        <f>IF($B74,IF(AT74="","","    &lt;itemfeedback ident=""response_0"" view=""All""&gt;&lt;flow_mat&gt;&lt;material&gt;&lt;mattext texttype=""text/html""&gt;"&amp;AT74&amp;"&lt;/mattext&gt;&lt;/material&gt;&lt;/flow_mat&gt;&lt;/itemfeedback&gt;"),"")</f>
      </c>
      <c r="BD74" s="46">
        <f>IF($B74,IF(AU74="","","    &lt;itemfeedback ident=""response_1"" view=""All""&gt;&lt;flow_mat&gt;&lt;material&gt;&lt;mattext texttype=""text/html""&gt;"&amp;AU74&amp;"&lt;/mattext&gt;&lt;/material&gt;&lt;/flow_mat&gt;&lt;/itemfeedback&gt;"),"")</f>
      </c>
      <c r="BE74" s="46">
        <f>IF($B74,IF(AV74="","","    &lt;itemfeedback ident=""response_2"" view=""All""&gt;&lt;flow_mat&gt;&lt;material&gt;&lt;mattext texttype=""text/html""&gt;"&amp;AV74&amp;"&lt;/mattext&gt;&lt;/material&gt;&lt;/flow_mat&gt;&lt;/itemfeedback&gt;"),"")</f>
      </c>
      <c r="BF74" s="46">
        <f>IF($B74,IF(AW74="","","    &lt;itemfeedback ident=""response_3"" view=""All""&gt;&lt;flow_mat&gt;&lt;material&gt;&lt;mattext texttype=""text/html""&gt;"&amp;AW74&amp;"&lt;/mattext&gt;&lt;/material&gt;&lt;/flow_mat&gt;&lt;/itemfeedback&gt;"),"")</f>
      </c>
      <c r="BG74" s="46">
        <f>IF($B74,IF(AX74="","","    &lt;itemfeedback ident=""response_4"" view=""All""&gt;&lt;flow_mat&gt;&lt;material&gt;&lt;mattext texttype=""text/html""&gt;"&amp;AX74&amp;"&lt;/mattext&gt;&lt;/material&gt;&lt;/flow_mat&gt;&lt;/itemfeedback&gt;"),"")</f>
      </c>
      <c r="BH74" s="46">
        <f>IF($B74,IF(AY74="","","    &lt;itemfeedback ident=""response_5"" view=""All""&gt;&lt;flow_mat&gt;&lt;material&gt;&lt;mattext texttype=""text/html""&gt;"&amp;AY74&amp;"&lt;/mattext&gt;&lt;/material&gt;&lt;/flow_mat&gt;&lt;/itemfeedback&gt;"),"")</f>
      </c>
      <c r="BI74" s="46">
        <f>IF($B74,IF(AZ74="","","    &lt;itemfeedback ident=""response_6"" view=""All""&gt;&lt;flow_mat&gt;&lt;material&gt;&lt;mattext texttype=""text/html""&gt;"&amp;AZ74&amp;"&lt;/mattext&gt;&lt;/material&gt;&lt;/flow_mat&gt;&lt;/itemfeedback&gt;"),"")</f>
      </c>
      <c r="BJ74" s="46">
        <f>IF($B74,IF(BA74="","","    &lt;itemfeedback ident=""response_7"" view=""All""&gt;&lt;flow_mat&gt;&lt;material&gt;&lt;mattext texttype=""text/html""&gt;"&amp;BA74&amp;"&lt;/mattext&gt;&lt;/material&gt;&lt;/flow_mat&gt;&lt;/itemfeedback&gt;"),"")</f>
      </c>
    </row>
    <row r="75" ht="18" customHeight="1" s="17">
      <c r="A75" s="46">
        <f>Saisie_Questions!A75</f>
        <v/>
      </c>
      <c r="B75" s="46">
        <f>Saisie_Questions!O75="OK"</f>
        <v/>
      </c>
      <c r="C75" s="46">
        <f>LOWER(TRIM(Saisie_Questions!B75))</f>
        <v/>
      </c>
      <c r="D75" s="46">
        <f>IF(C75="qcu","SINGLE CHOICE QUESTION","MULTIPLE CHOICE QUESTION")</f>
        <v/>
      </c>
      <c r="E75" s="46">
        <f>IF(C75="qcu","Single","Multiple")</f>
        <v/>
      </c>
      <c r="F75" s="46">
        <f>IF(A75="","",SUBSTITUTE(SUBSTITUTE(SUBSTITUTE(SUBSTITUTE(SUBSTITUTE(IF(Saisie_Questions!C75="", "Question "&amp;A75, Saisie_Questions!C75),"&amp;","&amp;amp;"),"&lt;","&amp;lt;"),"&gt;","&amp;gt;"),CHAR(34),"&amp;quot;"),"'","&amp;apos;"))</f>
        <v/>
      </c>
      <c r="G75" s="46">
        <f>IF(A75="","",SUBSTITUTE(SUBSTITUTE(SUBSTITUTE(SUBSTITUTE(SUBSTITUTE(Saisie_Questions!D75,"&amp;","&amp;amp;"),"&lt;","&amp;lt;"),"&gt;","&amp;gt;"),CHAR(34),"&amp;quot;"),"'","&amp;apos;"))</f>
        <v/>
      </c>
      <c r="H75" s="46">
        <f>Saisie_Questions!N75</f>
        <v/>
      </c>
      <c r="I75" s="46">
        <f>IF(Saisie_Questions!E75="",0,1)+IF(Saisie_Questions!F75="",0,1)+IF(Saisie_Questions!G75="",0,1)+IF(Saisie_Questions!H75="",0,1)+IF(Saisie_Questions!I75="",0,1)+IF(Saisie_Questions!J75="",0,1)+IF(Saisie_Questions!K75="",0,1)+IF(Saisie_Questions!L75="",0,1)</f>
        <v/>
      </c>
      <c r="J75" s="46">
        <f>Saisie_Questions!M75</f>
        <v/>
      </c>
      <c r="K75" s="46">
        <f>Saisie_Questions!O75</f>
        <v/>
      </c>
      <c r="L75" s="46">
        <f>IF(Saisie_Questions!E75="","",SUBSTITUTE(SUBSTITUTE(SUBSTITUTE(SUBSTITUTE(SUBSTITUTE(Saisie_Questions!E75,"&amp;","&amp;amp;"),"&lt;","&amp;lt;"),"&gt;","&amp;gt;"),CHAR(34),"&amp;quot;"),"'","&amp;apos;"))</f>
        <v/>
      </c>
      <c r="M75" s="46">
        <f>IF(Saisie_Questions!F75="","",SUBSTITUTE(SUBSTITUTE(SUBSTITUTE(SUBSTITUTE(SUBSTITUTE(Saisie_Questions!F75,"&amp;","&amp;amp;"),"&lt;","&amp;lt;"),"&gt;","&amp;gt;"),CHAR(34),"&amp;quot;"),"'","&amp;apos;"))</f>
        <v/>
      </c>
      <c r="N75" s="46">
        <f>IF(Saisie_Questions!G75="","",SUBSTITUTE(SUBSTITUTE(SUBSTITUTE(SUBSTITUTE(SUBSTITUTE(Saisie_Questions!G75,"&amp;","&amp;amp;"),"&lt;","&amp;lt;"),"&gt;","&amp;gt;"),CHAR(34),"&amp;quot;"),"'","&amp;apos;"))</f>
        <v/>
      </c>
      <c r="O75" s="46">
        <f>IF(Saisie_Questions!H75="","",SUBSTITUTE(SUBSTITUTE(SUBSTITUTE(SUBSTITUTE(SUBSTITUTE(Saisie_Questions!H75,"&amp;","&amp;amp;"),"&lt;","&amp;lt;"),"&gt;","&amp;gt;"),CHAR(34),"&amp;quot;"),"'","&amp;apos;"))</f>
        <v/>
      </c>
      <c r="P75" s="46">
        <f>IF(Saisie_Questions!I75="","",SUBSTITUTE(SUBSTITUTE(SUBSTITUTE(SUBSTITUTE(SUBSTITUTE(Saisie_Questions!I75,"&amp;","&amp;amp;"),"&lt;","&amp;lt;"),"&gt;","&amp;gt;"),CHAR(34),"&amp;quot;"),"'","&amp;apos;"))</f>
        <v/>
      </c>
      <c r="Q75" s="46">
        <f>IF(Saisie_Questions!J75="","",SUBSTITUTE(SUBSTITUTE(SUBSTITUTE(SUBSTITUTE(SUBSTITUTE(Saisie_Questions!J75,"&amp;","&amp;amp;"),"&lt;","&amp;lt;"),"&gt;","&amp;gt;"),CHAR(34),"&amp;quot;"),"'","&amp;apos;"))</f>
        <v/>
      </c>
      <c r="R75" s="46">
        <f>IF(Saisie_Questions!K75="","",SUBSTITUTE(SUBSTITUTE(SUBSTITUTE(SUBSTITUTE(SUBSTITUTE(Saisie_Questions!K75,"&amp;","&amp;amp;"),"&lt;","&amp;lt;"),"&gt;","&amp;gt;"),CHAR(34),"&amp;quot;"),"'","&amp;apos;"))</f>
        <v/>
      </c>
      <c r="S75" s="46">
        <f>IF(Saisie_Questions!L75="","",SUBSTITUTE(SUBSTITUTE(SUBSTITUTE(SUBSTITUTE(SUBSTITUTE(Saisie_Questions!L75,"&amp;","&amp;amp;"),"&lt;","&amp;lt;"),"&gt;","&amp;gt;"),CHAR(34),"&amp;quot;"),"'","&amp;apos;"))</f>
        <v/>
      </c>
      <c r="T75" s="46">
        <f>ISNUMBER(SEARCH(";"&amp;1&amp;";",";"&amp;$J75&amp;";"))</f>
        <v/>
      </c>
      <c r="U75" s="46">
        <f>ISNUMBER(SEARCH(";"&amp;2&amp;";",";"&amp;$J75&amp;";"))</f>
        <v/>
      </c>
      <c r="V75" s="46">
        <f>ISNUMBER(SEARCH(";"&amp;3&amp;";",";"&amp;$J75&amp;";"))</f>
        <v/>
      </c>
      <c r="W75" s="46">
        <f>ISNUMBER(SEARCH(";"&amp;4&amp;";",";"&amp;$J75&amp;";"))</f>
        <v/>
      </c>
      <c r="X75" s="46">
        <f>ISNUMBER(SEARCH(";"&amp;5&amp;";",";"&amp;$J75&amp;";"))</f>
        <v/>
      </c>
      <c r="Y75" s="46">
        <f>ISNUMBER(SEARCH(";"&amp;6&amp;";",";"&amp;$J75&amp;";"))</f>
        <v/>
      </c>
      <c r="Z75" s="46">
        <f>ISNUMBER(SEARCH(";"&amp;7&amp;";",";"&amp;$J75&amp;";"))</f>
        <v/>
      </c>
      <c r="AA75" s="46">
        <f>ISNUMBER(SEARCH(";"&amp;8&amp;";",";"&amp;$J75&amp;";"))</f>
        <v/>
      </c>
      <c r="AB75" s="46">
        <f>IF($B75,IF(L75="","","        &lt;response_label ident=""0""&gt;&lt;material&gt;&lt;mattext texttype=""text/html""&gt;"&amp;L75&amp;"&lt;/mattext&gt;&lt;/material&gt;&lt;/response_label&gt;"),"")</f>
        <v/>
      </c>
      <c r="AC75" s="46">
        <f>IF($B75,IF(M75="","","        &lt;response_label ident=""1""&gt;&lt;material&gt;&lt;mattext texttype=""text/html""&gt;"&amp;M75&amp;"&lt;/mattext&gt;&lt;/material&gt;&lt;/response_label&gt;"),"")</f>
        <v/>
      </c>
      <c r="AD75" s="46">
        <f>IF($B75,IF(N75="","","        &lt;response_label ident=""2""&gt;&lt;material&gt;&lt;mattext texttype=""text/html""&gt;"&amp;N75&amp;"&lt;/mattext&gt;&lt;/material&gt;&lt;/response_label&gt;"),"")</f>
        <v/>
      </c>
      <c r="AE75" s="46">
        <f>IF($B75,IF(O75="","","        &lt;response_label ident=""3""&gt;&lt;material&gt;&lt;mattext texttype=""text/html""&gt;"&amp;O75&amp;"&lt;/mattext&gt;&lt;/material&gt;&lt;/response_label&gt;"),"")</f>
        <v/>
      </c>
      <c r="AF75" s="46">
        <f>IF($B75,IF(P75="","","        &lt;response_label ident=""4""&gt;&lt;material&gt;&lt;mattext texttype=""text/html""&gt;"&amp;P75&amp;"&lt;/mattext&gt;&lt;/material&gt;&lt;/response_label&gt;"),"")</f>
        <v/>
      </c>
      <c r="AG75" s="46">
        <f>IF($B75,IF(Q75="","","        &lt;response_label ident=""5""&gt;&lt;material&gt;&lt;mattext texttype=""text/html""&gt;"&amp;Q75&amp;"&lt;/mattext&gt;&lt;/material&gt;&lt;/response_label&gt;"),"")</f>
        <v/>
      </c>
      <c r="AH75" s="46">
        <f>IF($B75,IF(R75="","","        &lt;response_label ident=""6""&gt;&lt;material&gt;&lt;mattext texttype=""text/html""&gt;"&amp;R75&amp;"&lt;/mattext&gt;&lt;/material&gt;&lt;/response_label&gt;"),"")</f>
        <v/>
      </c>
      <c r="AI75" s="46">
        <f>IF($B75,IF(S75="","","        &lt;response_label ident=""7""&gt;&lt;material&gt;&lt;mattext texttype=""text/html""&gt;"&amp;S75&amp;"&lt;/mattext&gt;&lt;/material&gt;&lt;/response_label&gt;"),"")</f>
        <v/>
      </c>
      <c r="AJ75" s="46">
        <f>IF($B75,IF(L75="","",IF($C75="qcu",IF(OR(T75,AT75&lt;&gt;"",$AS75&lt;&gt;""),"      &lt;respcondition continue=""Yes""&gt;&lt;conditionvar&gt;&lt;varequal respident=""RESPONSE""&gt;0&lt;/varequal&gt;&lt;/conditionvar&gt;"&amp;"&lt;setvar action=""Add""&gt;"&amp;IF(T75,$H75,0)&amp;"&lt;/setvar&gt;"&amp;IF(AT75&lt;&gt;"","&lt;displayfeedback feedbacktype=""Response"" linkrefid=""response_0""/&gt;",IF($AS75&lt;&gt;"","&lt;displayfeedback feedbacktype=""Response"" linkrefid=""qti_feedback_trigger""/&gt;",""))&amp;"&lt;/respcondition&gt;",""),IF(OR(T75,AT75&lt;&gt;"",$AS75&lt;&gt;""),"      &lt;respcondition continue=""Yes""&gt;&lt;conditionvar&gt;"&amp;IF(T75,"&lt;varequal respident=""RESPONSE""&gt;0&lt;/varequal&gt;","&lt;not&gt;&lt;varequal respident=""RESPONSE""&gt;0&lt;/varequal&gt;&lt;/not&gt;")&amp;"&lt;/conditionvar&gt;&lt;setvar action=""Add""&gt;"&amp;(Saisie_Questions!$N75/$I75)&amp;"&lt;/setvar&gt;"&amp;IF(AT75&lt;&gt;"","&lt;displayfeedback feedbacktype=""Response"" linkrefid=""response_0""/&gt;",IF($AS75&lt;&gt;"","&lt;displayfeedback feedbacktype=""Response"" linkrefid=""qti_feedback_trigger""/&gt;",""))&amp;"&lt;/respcondition&gt;",""))),"")</f>
      </c>
      <c r="AK75" s="46">
        <f>IF($B75,IF(M75="","",IF($C75="qcu",IF(OR(U75,AU75&lt;&gt;"",$AS75&lt;&gt;""),"      &lt;respcondition continue=""Yes""&gt;&lt;conditionvar&gt;&lt;varequal respident=""RESPONSE""&gt;1&lt;/varequal&gt;&lt;/conditionvar&gt;"&amp;"&lt;setvar action=""Add""&gt;"&amp;IF(U75,$H75,0)&amp;"&lt;/setvar&gt;"&amp;IF(AU75&lt;&gt;"","&lt;displayfeedback feedbacktype=""Response"" linkrefid=""response_1""/&gt;",IF($AS75&lt;&gt;"","&lt;displayfeedback feedbacktype=""Response"" linkrefid=""qti_feedback_trigger""/&gt;",""))&amp;"&lt;/respcondition&gt;",""),IF(OR(U75,AU75&lt;&gt;"",$AS75&lt;&gt;""),"      &lt;respcondition continue=""Yes""&gt;&lt;conditionvar&gt;"&amp;IF(U75,"&lt;varequal respident=""RESPONSE""&gt;1&lt;/varequal&gt;","&lt;not&gt;&lt;varequal respident=""RESPONSE""&gt;1&lt;/varequal&gt;&lt;/not&gt;")&amp;"&lt;/conditionvar&gt;&lt;setvar action=""Add""&gt;"&amp;(Saisie_Questions!$N75/$I75)&amp;"&lt;/setvar&gt;"&amp;IF(AU75&lt;&gt;"","&lt;displayfeedback feedbacktype=""Response"" linkrefid=""response_1""/&gt;",IF($AS75&lt;&gt;"","&lt;displayfeedback feedbacktype=""Response"" linkrefid=""qti_feedback_trigger""/&gt;",""))&amp;"&lt;/respcondition&gt;",""))),"")</f>
      </c>
      <c r="AL75" s="46">
        <f>IF($B75,IF(N75="","",IF($C75="qcu",IF(OR(V75,AV75&lt;&gt;"",$AS75&lt;&gt;""),"      &lt;respcondition continue=""Yes""&gt;&lt;conditionvar&gt;&lt;varequal respident=""RESPONSE""&gt;2&lt;/varequal&gt;&lt;/conditionvar&gt;"&amp;"&lt;setvar action=""Add""&gt;"&amp;IF(V75,$H75,0)&amp;"&lt;/setvar&gt;"&amp;IF(AV75&lt;&gt;"","&lt;displayfeedback feedbacktype=""Response"" linkrefid=""response_2""/&gt;",IF($AS75&lt;&gt;"","&lt;displayfeedback feedbacktype=""Response"" linkrefid=""qti_feedback_trigger""/&gt;",""))&amp;"&lt;/respcondition&gt;",""),IF(OR(V75,AV75&lt;&gt;"",$AS75&lt;&gt;""),"      &lt;respcondition continue=""Yes""&gt;&lt;conditionvar&gt;"&amp;IF(V75,"&lt;varequal respident=""RESPONSE""&gt;2&lt;/varequal&gt;","&lt;not&gt;&lt;varequal respident=""RESPONSE""&gt;2&lt;/varequal&gt;&lt;/not&gt;")&amp;"&lt;/conditionvar&gt;&lt;setvar action=""Add""&gt;"&amp;(Saisie_Questions!$N75/$I75)&amp;"&lt;/setvar&gt;"&amp;IF(AV75&lt;&gt;"","&lt;displayfeedback feedbacktype=""Response"" linkrefid=""response_2""/&gt;",IF($AS75&lt;&gt;"","&lt;displayfeedback feedbacktype=""Response"" linkrefid=""qti_feedback_trigger""/&gt;",""))&amp;"&lt;/respcondition&gt;",""))),"")</f>
      </c>
      <c r="AM75" s="46">
        <f>IF($B75,IF(O75="","",IF($C75="qcu",IF(OR(W75,AW75&lt;&gt;"",$AS75&lt;&gt;""),"      &lt;respcondition continue=""Yes""&gt;&lt;conditionvar&gt;&lt;varequal respident=""RESPONSE""&gt;3&lt;/varequal&gt;&lt;/conditionvar&gt;"&amp;"&lt;setvar action=""Add""&gt;"&amp;IF(W75,$H75,0)&amp;"&lt;/setvar&gt;"&amp;IF(AW75&lt;&gt;"","&lt;displayfeedback feedbacktype=""Response"" linkrefid=""response_3""/&gt;",IF($AS75&lt;&gt;"","&lt;displayfeedback feedbacktype=""Response"" linkrefid=""qti_feedback_trigger""/&gt;",""))&amp;"&lt;/respcondition&gt;",""),IF(OR(W75,AW75&lt;&gt;"",$AS75&lt;&gt;""),"      &lt;respcondition continue=""Yes""&gt;&lt;conditionvar&gt;"&amp;IF(W75,"&lt;varequal respident=""RESPONSE""&gt;3&lt;/varequal&gt;","&lt;not&gt;&lt;varequal respident=""RESPONSE""&gt;3&lt;/varequal&gt;&lt;/not&gt;")&amp;"&lt;/conditionvar&gt;&lt;setvar action=""Add""&gt;"&amp;(Saisie_Questions!$N75/$I75)&amp;"&lt;/setvar&gt;"&amp;IF(AW75&lt;&gt;"","&lt;displayfeedback feedbacktype=""Response"" linkrefid=""response_3""/&gt;",IF($AS75&lt;&gt;"","&lt;displayfeedback feedbacktype=""Response"" linkrefid=""qti_feedback_trigger""/&gt;",""))&amp;"&lt;/respcondition&gt;",""))),"")</f>
      </c>
      <c r="AN75" s="46">
        <f>IF($B75,IF(P75="","",IF($C75="qcu",IF(OR(X75,AX75&lt;&gt;"",$AS75&lt;&gt;""),"      &lt;respcondition continue=""Yes""&gt;&lt;conditionvar&gt;&lt;varequal respident=""RESPONSE""&gt;4&lt;/varequal&gt;&lt;/conditionvar&gt;"&amp;"&lt;setvar action=""Add""&gt;"&amp;IF(X75,$H75,0)&amp;"&lt;/setvar&gt;"&amp;IF(AX75&lt;&gt;"","&lt;displayfeedback feedbacktype=""Response"" linkrefid=""response_4""/&gt;",IF($AS75&lt;&gt;"","&lt;displayfeedback feedbacktype=""Response"" linkrefid=""qti_feedback_trigger""/&gt;",""))&amp;"&lt;/respcondition&gt;",""),IF(OR(X75,AX75&lt;&gt;"",$AS75&lt;&gt;""),"      &lt;respcondition continue=""Yes""&gt;&lt;conditionvar&gt;"&amp;IF(X75,"&lt;varequal respident=""RESPONSE""&gt;4&lt;/varequal&gt;","&lt;not&gt;&lt;varequal respident=""RESPONSE""&gt;4&lt;/varequal&gt;&lt;/not&gt;")&amp;"&lt;/conditionvar&gt;&lt;setvar action=""Add""&gt;"&amp;(Saisie_Questions!$N75/$I75)&amp;"&lt;/setvar&gt;"&amp;IF(AX75&lt;&gt;"","&lt;displayfeedback feedbacktype=""Response"" linkrefid=""response_4""/&gt;",IF($AS75&lt;&gt;"","&lt;displayfeedback feedbacktype=""Response"" linkrefid=""qti_feedback_trigger""/&gt;",""))&amp;"&lt;/respcondition&gt;",""))),"")</f>
      </c>
      <c r="AO75" s="46">
        <f>IF($B75,IF(Q75="","",IF($C75="qcu",IF(OR(Y75,AY75&lt;&gt;"",$AS75&lt;&gt;""),"      &lt;respcondition continue=""Yes""&gt;&lt;conditionvar&gt;&lt;varequal respident=""RESPONSE""&gt;5&lt;/varequal&gt;&lt;/conditionvar&gt;"&amp;"&lt;setvar action=""Add""&gt;"&amp;IF(Y75,$H75,0)&amp;"&lt;/setvar&gt;"&amp;IF(AY75&lt;&gt;"","&lt;displayfeedback feedbacktype=""Response"" linkrefid=""response_5""/&gt;",IF($AS75&lt;&gt;"","&lt;displayfeedback feedbacktype=""Response"" linkrefid=""qti_feedback_trigger""/&gt;",""))&amp;"&lt;/respcondition&gt;",""),IF(OR(Y75,AY75&lt;&gt;"",$AS75&lt;&gt;""),"      &lt;respcondition continue=""Yes""&gt;&lt;conditionvar&gt;"&amp;IF(Y75,"&lt;varequal respident=""RESPONSE""&gt;5&lt;/varequal&gt;","&lt;not&gt;&lt;varequal respident=""RESPONSE""&gt;5&lt;/varequal&gt;&lt;/not&gt;")&amp;"&lt;/conditionvar&gt;&lt;setvar action=""Add""&gt;"&amp;(Saisie_Questions!$N75/$I75)&amp;"&lt;/setvar&gt;"&amp;IF(AY75&lt;&gt;"","&lt;displayfeedback feedbacktype=""Response"" linkrefid=""response_5""/&gt;",IF($AS75&lt;&gt;"","&lt;displayfeedback feedbacktype=""Response"" linkrefid=""qti_feedback_trigger""/&gt;",""))&amp;"&lt;/respcondition&gt;",""))),"")</f>
      </c>
      <c r="AP75" s="46">
        <f>IF($B75,IF(R75="","",IF($C75="qcu",IF(OR(Z75,AZ75&lt;&gt;"",$AS75&lt;&gt;""),"      &lt;respcondition continue=""Yes""&gt;&lt;conditionvar&gt;&lt;varequal respident=""RESPONSE""&gt;6&lt;/varequal&gt;&lt;/conditionvar&gt;"&amp;"&lt;setvar action=""Add""&gt;"&amp;IF(Z75,$H75,0)&amp;"&lt;/setvar&gt;"&amp;IF(AZ75&lt;&gt;"","&lt;displayfeedback feedbacktype=""Response"" linkrefid=""response_6""/&gt;",IF($AS75&lt;&gt;"","&lt;displayfeedback feedbacktype=""Response"" linkrefid=""qti_feedback_trigger""/&gt;",""))&amp;"&lt;/respcondition&gt;",""),IF(OR(Z75,AZ75&lt;&gt;"",$AS75&lt;&gt;""),"      &lt;respcondition continue=""Yes""&gt;&lt;conditionvar&gt;"&amp;IF(Z75,"&lt;varequal respident=""RESPONSE""&gt;6&lt;/varequal&gt;","&lt;not&gt;&lt;varequal respident=""RESPONSE""&gt;6&lt;/varequal&gt;&lt;/not&gt;")&amp;"&lt;/conditionvar&gt;&lt;setvar action=""Add""&gt;"&amp;(Saisie_Questions!$N75/$I75)&amp;"&lt;/setvar&gt;"&amp;IF(AZ75&lt;&gt;"","&lt;displayfeedback feedbacktype=""Response"" linkrefid=""response_6""/&gt;",IF($AS75&lt;&gt;"","&lt;displayfeedback feedbacktype=""Response"" linkrefid=""qti_feedback_trigger""/&gt;",""))&amp;"&lt;/respcondition&gt;",""))),"")</f>
      </c>
      <c r="AQ75" s="46">
        <f>IF($B75,IF(S75="","",IF($C75="qcu",IF(OR(AA75,BA75&lt;&gt;"",$AS75&lt;&gt;""),"      &lt;respcondition continue=""Yes""&gt;&lt;conditionvar&gt;&lt;varequal respident=""RESPONSE""&gt;7&lt;/varequal&gt;&lt;/conditionvar&gt;"&amp;"&lt;setvar action=""Add""&gt;"&amp;IF(AA75,$H75,0)&amp;"&lt;/setvar&gt;"&amp;IF(BA75&lt;&gt;"","&lt;displayfeedback feedbacktype=""Response"" linkrefid=""response_7""/&gt;",IF($AS75&lt;&gt;"","&lt;displayfeedback feedbacktype=""Response"" linkrefid=""qti_feedback_trigger""/&gt;",""))&amp;"&lt;/respcondition&gt;",""),IF(OR(AA75,BA75&lt;&gt;"",$AS75&lt;&gt;""),"      &lt;respcondition continue=""Yes""&gt;&lt;conditionvar&gt;"&amp;IF(AA75,"&lt;varequal respident=""RESPONSE""&gt;7&lt;/varequal&gt;","&lt;not&gt;&lt;varequal respident=""RESPONSE""&gt;7&lt;/varequal&gt;&lt;/not&gt;")&amp;"&lt;/conditionvar&gt;&lt;setvar action=""Add""&gt;"&amp;(Saisie_Questions!$N75/$I75)&amp;"&lt;/setvar&gt;"&amp;IF(BA75&lt;&gt;"","&lt;displayfeedback feedbacktype=""Response"" linkrefid=""response_7""/&gt;",IF($AS75&lt;&gt;"","&lt;displayfeedback feedbacktype=""Response"" linkrefid=""qti_feedback_trigger""/&gt;",""))&amp;"&lt;/respcondition&gt;",""))),"")</f>
      </c>
      <c r="AR75" s="46">
        <f>IF(A75="","",SUBSTITUTE(SUBSTITUTE(SUBSTITUTE(SUBSTITUTE(SUBSTITUTE(IF(Saisie_Questions!P75&lt;&gt;"",Saisie_Questions!P75,Interface_Generation!$B$5),"&amp;","&amp;amp;"),"&lt;","&amp;lt;"),"&gt;","&amp;gt;"),CHAR(34),"&amp;quot;"),"'","&amp;apos;"))</f>
        <v/>
      </c>
      <c r="AS75" s="46">
        <f>IF(Saisie_Questions!Q75="","",SUBSTITUTE(SUBSTITUTE(SUBSTITUTE(SUBSTITUTE(SUBSTITUTE(Saisie_Questions!Q75,"&amp;","&amp;amp;"),"&lt;","&amp;lt;"),"&gt;","&amp;gt;"),CHAR(34),"&amp;quot;"),"'","&amp;apos;"))</f>
        <v/>
      </c>
      <c r="AT75" s="46">
        <f>IF(Saisie_Questions!R75="","",SUBSTITUTE(SUBSTITUTE(SUBSTITUTE(SUBSTITUTE(SUBSTITUTE(Saisie_Questions!R75,"&amp;","&amp;amp;"),"&lt;","&amp;lt;"),"&gt;","&amp;gt;"),CHAR(34),"&amp;quot;"),"'","&amp;apos;"))</f>
        <v/>
      </c>
      <c r="AU75" s="46">
        <f>IF(Saisie_Questions!S75="","",SUBSTITUTE(SUBSTITUTE(SUBSTITUTE(SUBSTITUTE(SUBSTITUTE(Saisie_Questions!S75,"&amp;","&amp;amp;"),"&lt;","&amp;lt;"),"&gt;","&amp;gt;"),CHAR(34),"&amp;quot;"),"'","&amp;apos;"))</f>
        <v/>
      </c>
      <c r="AV75" s="46">
        <f>IF(Saisie_Questions!T75="","",SUBSTITUTE(SUBSTITUTE(SUBSTITUTE(SUBSTITUTE(SUBSTITUTE(Saisie_Questions!T75,"&amp;","&amp;amp;"),"&lt;","&amp;lt;"),"&gt;","&amp;gt;"),CHAR(34),"&amp;quot;"),"'","&amp;apos;"))</f>
        <v/>
      </c>
      <c r="AW75" s="46">
        <f>IF(Saisie_Questions!U75="","",SUBSTITUTE(SUBSTITUTE(SUBSTITUTE(SUBSTITUTE(SUBSTITUTE(Saisie_Questions!U75,"&amp;","&amp;amp;"),"&lt;","&amp;lt;"),"&gt;","&amp;gt;"),CHAR(34),"&amp;quot;"),"'","&amp;apos;"))</f>
        <v/>
      </c>
      <c r="AX75" s="46">
        <f>IF(Saisie_Questions!V75="","",SUBSTITUTE(SUBSTITUTE(SUBSTITUTE(SUBSTITUTE(SUBSTITUTE(Saisie_Questions!V75,"&amp;","&amp;amp;"),"&lt;","&amp;lt;"),"&gt;","&amp;gt;"),CHAR(34),"&amp;quot;"),"'","&amp;apos;"))</f>
        <v/>
      </c>
      <c r="AY75" s="46">
        <f>IF(Saisie_Questions!W75="","",SUBSTITUTE(SUBSTITUTE(SUBSTITUTE(SUBSTITUTE(SUBSTITUTE(Saisie_Questions!W75,"&amp;","&amp;amp;"),"&lt;","&amp;lt;"),"&gt;","&amp;gt;"),CHAR(34),"&amp;quot;"),"'","&amp;apos;"))</f>
        <v/>
      </c>
      <c r="AZ75" s="46">
        <f>IF(Saisie_Questions!X75="","",SUBSTITUTE(SUBSTITUTE(SUBSTITUTE(SUBSTITUTE(SUBSTITUTE(Saisie_Questions!X75,"&amp;","&amp;amp;"),"&lt;","&amp;lt;"),"&gt;","&amp;gt;"),CHAR(34),"&amp;quot;"),"'","&amp;apos;"))</f>
        <v/>
      </c>
      <c r="BA75" s="46">
        <f>IF(Saisie_Questions!Y75="","",SUBSTITUTE(SUBSTITUTE(SUBSTITUTE(SUBSTITUTE(SUBSTITUTE(Saisie_Questions!Y75,"&amp;","&amp;amp;"),"&lt;","&amp;lt;"),"&gt;","&amp;gt;"),CHAR(34),"&amp;quot;"),"'","&amp;apos;"))</f>
        <v/>
      </c>
      <c r="BB75" s="46">
        <f>IF($B75,IF($AS75="","","    &lt;itemfeedback ident=""response_allcorrect"" view=""All""&gt;&lt;flow_mat&gt;&lt;material&gt;&lt;mattext texttype=""text/html""&gt;"&amp;$AS75&amp;"&lt;/mattext&gt;&lt;/material&gt;&lt;/flow_mat&gt;&lt;/itemfeedback&gt;"&amp;"    &lt;itemfeedback ident=""response_onenotcorrect"" view=""All""&gt;&lt;flow_mat&gt;&lt;material&gt;&lt;mattext texttype=""text/html""&gt;"&amp;$AS75&amp;"&lt;/mattext&gt;&lt;/material&gt;&lt;/flow_mat&gt;&lt;/itemfeedback&gt;"),"")</f>
      </c>
      <c r="BC75" s="46">
        <f>IF($B75,IF(AT75="","","    &lt;itemfeedback ident=""response_0"" view=""All""&gt;&lt;flow_mat&gt;&lt;material&gt;&lt;mattext texttype=""text/html""&gt;"&amp;AT75&amp;"&lt;/mattext&gt;&lt;/material&gt;&lt;/flow_mat&gt;&lt;/itemfeedback&gt;"),"")</f>
      </c>
      <c r="BD75" s="46">
        <f>IF($B75,IF(AU75="","","    &lt;itemfeedback ident=""response_1"" view=""All""&gt;&lt;flow_mat&gt;&lt;material&gt;&lt;mattext texttype=""text/html""&gt;"&amp;AU75&amp;"&lt;/mattext&gt;&lt;/material&gt;&lt;/flow_mat&gt;&lt;/itemfeedback&gt;"),"")</f>
      </c>
      <c r="BE75" s="46">
        <f>IF($B75,IF(AV75="","","    &lt;itemfeedback ident=""response_2"" view=""All""&gt;&lt;flow_mat&gt;&lt;material&gt;&lt;mattext texttype=""text/html""&gt;"&amp;AV75&amp;"&lt;/mattext&gt;&lt;/material&gt;&lt;/flow_mat&gt;&lt;/itemfeedback&gt;"),"")</f>
      </c>
      <c r="BF75" s="46">
        <f>IF($B75,IF(AW75="","","    &lt;itemfeedback ident=""response_3"" view=""All""&gt;&lt;flow_mat&gt;&lt;material&gt;&lt;mattext texttype=""text/html""&gt;"&amp;AW75&amp;"&lt;/mattext&gt;&lt;/material&gt;&lt;/flow_mat&gt;&lt;/itemfeedback&gt;"),"")</f>
      </c>
      <c r="BG75" s="46">
        <f>IF($B75,IF(AX75="","","    &lt;itemfeedback ident=""response_4"" view=""All""&gt;&lt;flow_mat&gt;&lt;material&gt;&lt;mattext texttype=""text/html""&gt;"&amp;AX75&amp;"&lt;/mattext&gt;&lt;/material&gt;&lt;/flow_mat&gt;&lt;/itemfeedback&gt;"),"")</f>
      </c>
      <c r="BH75" s="46">
        <f>IF($B75,IF(AY75="","","    &lt;itemfeedback ident=""response_5"" view=""All""&gt;&lt;flow_mat&gt;&lt;material&gt;&lt;mattext texttype=""text/html""&gt;"&amp;AY75&amp;"&lt;/mattext&gt;&lt;/material&gt;&lt;/flow_mat&gt;&lt;/itemfeedback&gt;"),"")</f>
      </c>
      <c r="BI75" s="46">
        <f>IF($B75,IF(AZ75="","","    &lt;itemfeedback ident=""response_6"" view=""All""&gt;&lt;flow_mat&gt;&lt;material&gt;&lt;mattext texttype=""text/html""&gt;"&amp;AZ75&amp;"&lt;/mattext&gt;&lt;/material&gt;&lt;/flow_mat&gt;&lt;/itemfeedback&gt;"),"")</f>
      </c>
      <c r="BJ75" s="46">
        <f>IF($B75,IF(BA75="","","    &lt;itemfeedback ident=""response_7"" view=""All""&gt;&lt;flow_mat&gt;&lt;material&gt;&lt;mattext texttype=""text/html""&gt;"&amp;BA75&amp;"&lt;/mattext&gt;&lt;/material&gt;&lt;/flow_mat&gt;&lt;/itemfeedback&gt;"),"")</f>
      </c>
    </row>
    <row r="76" ht="18" customHeight="1" s="17">
      <c r="A76" s="46">
        <f>Saisie_Questions!A76</f>
        <v/>
      </c>
      <c r="B76" s="46">
        <f>Saisie_Questions!O76="OK"</f>
        <v/>
      </c>
      <c r="C76" s="46">
        <f>LOWER(TRIM(Saisie_Questions!B76))</f>
        <v/>
      </c>
      <c r="D76" s="46">
        <f>IF(C76="qcu","SINGLE CHOICE QUESTION","MULTIPLE CHOICE QUESTION")</f>
        <v/>
      </c>
      <c r="E76" s="46">
        <f>IF(C76="qcu","Single","Multiple")</f>
        <v/>
      </c>
      <c r="F76" s="46">
        <f>IF(A76="","",SUBSTITUTE(SUBSTITUTE(SUBSTITUTE(SUBSTITUTE(SUBSTITUTE(IF(Saisie_Questions!C76="", "Question "&amp;A76, Saisie_Questions!C76),"&amp;","&amp;amp;"),"&lt;","&amp;lt;"),"&gt;","&amp;gt;"),CHAR(34),"&amp;quot;"),"'","&amp;apos;"))</f>
        <v/>
      </c>
      <c r="G76" s="46">
        <f>IF(A76="","",SUBSTITUTE(SUBSTITUTE(SUBSTITUTE(SUBSTITUTE(SUBSTITUTE(Saisie_Questions!D76,"&amp;","&amp;amp;"),"&lt;","&amp;lt;"),"&gt;","&amp;gt;"),CHAR(34),"&amp;quot;"),"'","&amp;apos;"))</f>
        <v/>
      </c>
      <c r="H76" s="46">
        <f>Saisie_Questions!N76</f>
        <v/>
      </c>
      <c r="I76" s="46">
        <f>IF(Saisie_Questions!E76="",0,1)+IF(Saisie_Questions!F76="",0,1)+IF(Saisie_Questions!G76="",0,1)+IF(Saisie_Questions!H76="",0,1)+IF(Saisie_Questions!I76="",0,1)+IF(Saisie_Questions!J76="",0,1)+IF(Saisie_Questions!K76="",0,1)+IF(Saisie_Questions!L76="",0,1)</f>
        <v/>
      </c>
      <c r="J76" s="46">
        <f>Saisie_Questions!M76</f>
        <v/>
      </c>
      <c r="K76" s="46">
        <f>Saisie_Questions!O76</f>
        <v/>
      </c>
      <c r="L76" s="46">
        <f>IF(Saisie_Questions!E76="","",SUBSTITUTE(SUBSTITUTE(SUBSTITUTE(SUBSTITUTE(SUBSTITUTE(Saisie_Questions!E76,"&amp;","&amp;amp;"),"&lt;","&amp;lt;"),"&gt;","&amp;gt;"),CHAR(34),"&amp;quot;"),"'","&amp;apos;"))</f>
        <v/>
      </c>
      <c r="M76" s="46">
        <f>IF(Saisie_Questions!F76="","",SUBSTITUTE(SUBSTITUTE(SUBSTITUTE(SUBSTITUTE(SUBSTITUTE(Saisie_Questions!F76,"&amp;","&amp;amp;"),"&lt;","&amp;lt;"),"&gt;","&amp;gt;"),CHAR(34),"&amp;quot;"),"'","&amp;apos;"))</f>
        <v/>
      </c>
      <c r="N76" s="46">
        <f>IF(Saisie_Questions!G76="","",SUBSTITUTE(SUBSTITUTE(SUBSTITUTE(SUBSTITUTE(SUBSTITUTE(Saisie_Questions!G76,"&amp;","&amp;amp;"),"&lt;","&amp;lt;"),"&gt;","&amp;gt;"),CHAR(34),"&amp;quot;"),"'","&amp;apos;"))</f>
        <v/>
      </c>
      <c r="O76" s="46">
        <f>IF(Saisie_Questions!H76="","",SUBSTITUTE(SUBSTITUTE(SUBSTITUTE(SUBSTITUTE(SUBSTITUTE(Saisie_Questions!H76,"&amp;","&amp;amp;"),"&lt;","&amp;lt;"),"&gt;","&amp;gt;"),CHAR(34),"&amp;quot;"),"'","&amp;apos;"))</f>
        <v/>
      </c>
      <c r="P76" s="46">
        <f>IF(Saisie_Questions!I76="","",SUBSTITUTE(SUBSTITUTE(SUBSTITUTE(SUBSTITUTE(SUBSTITUTE(Saisie_Questions!I76,"&amp;","&amp;amp;"),"&lt;","&amp;lt;"),"&gt;","&amp;gt;"),CHAR(34),"&amp;quot;"),"'","&amp;apos;"))</f>
        <v/>
      </c>
      <c r="Q76" s="46">
        <f>IF(Saisie_Questions!J76="","",SUBSTITUTE(SUBSTITUTE(SUBSTITUTE(SUBSTITUTE(SUBSTITUTE(Saisie_Questions!J76,"&amp;","&amp;amp;"),"&lt;","&amp;lt;"),"&gt;","&amp;gt;"),CHAR(34),"&amp;quot;"),"'","&amp;apos;"))</f>
        <v/>
      </c>
      <c r="R76" s="46">
        <f>IF(Saisie_Questions!K76="","",SUBSTITUTE(SUBSTITUTE(SUBSTITUTE(SUBSTITUTE(SUBSTITUTE(Saisie_Questions!K76,"&amp;","&amp;amp;"),"&lt;","&amp;lt;"),"&gt;","&amp;gt;"),CHAR(34),"&amp;quot;"),"'","&amp;apos;"))</f>
        <v/>
      </c>
      <c r="S76" s="46">
        <f>IF(Saisie_Questions!L76="","",SUBSTITUTE(SUBSTITUTE(SUBSTITUTE(SUBSTITUTE(SUBSTITUTE(Saisie_Questions!L76,"&amp;","&amp;amp;"),"&lt;","&amp;lt;"),"&gt;","&amp;gt;"),CHAR(34),"&amp;quot;"),"'","&amp;apos;"))</f>
        <v/>
      </c>
      <c r="T76" s="46">
        <f>ISNUMBER(SEARCH(";"&amp;1&amp;";",";"&amp;$J76&amp;";"))</f>
        <v/>
      </c>
      <c r="U76" s="46">
        <f>ISNUMBER(SEARCH(";"&amp;2&amp;";",";"&amp;$J76&amp;";"))</f>
        <v/>
      </c>
      <c r="V76" s="46">
        <f>ISNUMBER(SEARCH(";"&amp;3&amp;";",";"&amp;$J76&amp;";"))</f>
        <v/>
      </c>
      <c r="W76" s="46">
        <f>ISNUMBER(SEARCH(";"&amp;4&amp;";",";"&amp;$J76&amp;";"))</f>
        <v/>
      </c>
      <c r="X76" s="46">
        <f>ISNUMBER(SEARCH(";"&amp;5&amp;";",";"&amp;$J76&amp;";"))</f>
        <v/>
      </c>
      <c r="Y76" s="46">
        <f>ISNUMBER(SEARCH(";"&amp;6&amp;";",";"&amp;$J76&amp;";"))</f>
        <v/>
      </c>
      <c r="Z76" s="46">
        <f>ISNUMBER(SEARCH(";"&amp;7&amp;";",";"&amp;$J76&amp;";"))</f>
        <v/>
      </c>
      <c r="AA76" s="46">
        <f>ISNUMBER(SEARCH(";"&amp;8&amp;";",";"&amp;$J76&amp;";"))</f>
        <v/>
      </c>
      <c r="AB76" s="46">
        <f>IF($B76,IF(L76="","","        &lt;response_label ident=""0""&gt;&lt;material&gt;&lt;mattext texttype=""text/html""&gt;"&amp;L76&amp;"&lt;/mattext&gt;&lt;/material&gt;&lt;/response_label&gt;"),"")</f>
        <v/>
      </c>
      <c r="AC76" s="46">
        <f>IF($B76,IF(M76="","","        &lt;response_label ident=""1""&gt;&lt;material&gt;&lt;mattext texttype=""text/html""&gt;"&amp;M76&amp;"&lt;/mattext&gt;&lt;/material&gt;&lt;/response_label&gt;"),"")</f>
        <v/>
      </c>
      <c r="AD76" s="46">
        <f>IF($B76,IF(N76="","","        &lt;response_label ident=""2""&gt;&lt;material&gt;&lt;mattext texttype=""text/html""&gt;"&amp;N76&amp;"&lt;/mattext&gt;&lt;/material&gt;&lt;/response_label&gt;"),"")</f>
        <v/>
      </c>
      <c r="AE76" s="46">
        <f>IF($B76,IF(O76="","","        &lt;response_label ident=""3""&gt;&lt;material&gt;&lt;mattext texttype=""text/html""&gt;"&amp;O76&amp;"&lt;/mattext&gt;&lt;/material&gt;&lt;/response_label&gt;"),"")</f>
        <v/>
      </c>
      <c r="AF76" s="46">
        <f>IF($B76,IF(P76="","","        &lt;response_label ident=""4""&gt;&lt;material&gt;&lt;mattext texttype=""text/html""&gt;"&amp;P76&amp;"&lt;/mattext&gt;&lt;/material&gt;&lt;/response_label&gt;"),"")</f>
        <v/>
      </c>
      <c r="AG76" s="46">
        <f>IF($B76,IF(Q76="","","        &lt;response_label ident=""5""&gt;&lt;material&gt;&lt;mattext texttype=""text/html""&gt;"&amp;Q76&amp;"&lt;/mattext&gt;&lt;/material&gt;&lt;/response_label&gt;"),"")</f>
        <v/>
      </c>
      <c r="AH76" s="46">
        <f>IF($B76,IF(R76="","","        &lt;response_label ident=""6""&gt;&lt;material&gt;&lt;mattext texttype=""text/html""&gt;"&amp;R76&amp;"&lt;/mattext&gt;&lt;/material&gt;&lt;/response_label&gt;"),"")</f>
        <v/>
      </c>
      <c r="AI76" s="46">
        <f>IF($B76,IF(S76="","","        &lt;response_label ident=""7""&gt;&lt;material&gt;&lt;mattext texttype=""text/html""&gt;"&amp;S76&amp;"&lt;/mattext&gt;&lt;/material&gt;&lt;/response_label&gt;"),"")</f>
        <v/>
      </c>
      <c r="AJ76" s="46">
        <f>IF($B76,IF(L76="","",IF($C76="qcu",IF(OR(T76,AT76&lt;&gt;"",$AS76&lt;&gt;""),"      &lt;respcondition continue=""Yes""&gt;&lt;conditionvar&gt;&lt;varequal respident=""RESPONSE""&gt;0&lt;/varequal&gt;&lt;/conditionvar&gt;"&amp;"&lt;setvar action=""Add""&gt;"&amp;IF(T76,$H76,0)&amp;"&lt;/setvar&gt;"&amp;IF(AT76&lt;&gt;"","&lt;displayfeedback feedbacktype=""Response"" linkrefid=""response_0""/&gt;",IF($AS76&lt;&gt;"","&lt;displayfeedback feedbacktype=""Response"" linkrefid=""qti_feedback_trigger""/&gt;",""))&amp;"&lt;/respcondition&gt;",""),IF(OR(T76,AT76&lt;&gt;"",$AS76&lt;&gt;""),"      &lt;respcondition continue=""Yes""&gt;&lt;conditionvar&gt;"&amp;IF(T76,"&lt;varequal respident=""RESPONSE""&gt;0&lt;/varequal&gt;","&lt;not&gt;&lt;varequal respident=""RESPONSE""&gt;0&lt;/varequal&gt;&lt;/not&gt;")&amp;"&lt;/conditionvar&gt;&lt;setvar action=""Add""&gt;"&amp;(Saisie_Questions!$N76/$I76)&amp;"&lt;/setvar&gt;"&amp;IF(AT76&lt;&gt;"","&lt;displayfeedback feedbacktype=""Response"" linkrefid=""response_0""/&gt;",IF($AS76&lt;&gt;"","&lt;displayfeedback feedbacktype=""Response"" linkrefid=""qti_feedback_trigger""/&gt;",""))&amp;"&lt;/respcondition&gt;",""))),"")</f>
      </c>
      <c r="AK76" s="46">
        <f>IF($B76,IF(M76="","",IF($C76="qcu",IF(OR(U76,AU76&lt;&gt;"",$AS76&lt;&gt;""),"      &lt;respcondition continue=""Yes""&gt;&lt;conditionvar&gt;&lt;varequal respident=""RESPONSE""&gt;1&lt;/varequal&gt;&lt;/conditionvar&gt;"&amp;"&lt;setvar action=""Add""&gt;"&amp;IF(U76,$H76,0)&amp;"&lt;/setvar&gt;"&amp;IF(AU76&lt;&gt;"","&lt;displayfeedback feedbacktype=""Response"" linkrefid=""response_1""/&gt;",IF($AS76&lt;&gt;"","&lt;displayfeedback feedbacktype=""Response"" linkrefid=""qti_feedback_trigger""/&gt;",""))&amp;"&lt;/respcondition&gt;",""),IF(OR(U76,AU76&lt;&gt;"",$AS76&lt;&gt;""),"      &lt;respcondition continue=""Yes""&gt;&lt;conditionvar&gt;"&amp;IF(U76,"&lt;varequal respident=""RESPONSE""&gt;1&lt;/varequal&gt;","&lt;not&gt;&lt;varequal respident=""RESPONSE""&gt;1&lt;/varequal&gt;&lt;/not&gt;")&amp;"&lt;/conditionvar&gt;&lt;setvar action=""Add""&gt;"&amp;(Saisie_Questions!$N76/$I76)&amp;"&lt;/setvar&gt;"&amp;IF(AU76&lt;&gt;"","&lt;displayfeedback feedbacktype=""Response"" linkrefid=""response_1""/&gt;",IF($AS76&lt;&gt;"","&lt;displayfeedback feedbacktype=""Response"" linkrefid=""qti_feedback_trigger""/&gt;",""))&amp;"&lt;/respcondition&gt;",""))),"")</f>
      </c>
      <c r="AL76" s="46">
        <f>IF($B76,IF(N76="","",IF($C76="qcu",IF(OR(V76,AV76&lt;&gt;"",$AS76&lt;&gt;""),"      &lt;respcondition continue=""Yes""&gt;&lt;conditionvar&gt;&lt;varequal respident=""RESPONSE""&gt;2&lt;/varequal&gt;&lt;/conditionvar&gt;"&amp;"&lt;setvar action=""Add""&gt;"&amp;IF(V76,$H76,0)&amp;"&lt;/setvar&gt;"&amp;IF(AV76&lt;&gt;"","&lt;displayfeedback feedbacktype=""Response"" linkrefid=""response_2""/&gt;",IF($AS76&lt;&gt;"","&lt;displayfeedback feedbacktype=""Response"" linkrefid=""qti_feedback_trigger""/&gt;",""))&amp;"&lt;/respcondition&gt;",""),IF(OR(V76,AV76&lt;&gt;"",$AS76&lt;&gt;""),"      &lt;respcondition continue=""Yes""&gt;&lt;conditionvar&gt;"&amp;IF(V76,"&lt;varequal respident=""RESPONSE""&gt;2&lt;/varequal&gt;","&lt;not&gt;&lt;varequal respident=""RESPONSE""&gt;2&lt;/varequal&gt;&lt;/not&gt;")&amp;"&lt;/conditionvar&gt;&lt;setvar action=""Add""&gt;"&amp;(Saisie_Questions!$N76/$I76)&amp;"&lt;/setvar&gt;"&amp;IF(AV76&lt;&gt;"","&lt;displayfeedback feedbacktype=""Response"" linkrefid=""response_2""/&gt;",IF($AS76&lt;&gt;"","&lt;displayfeedback feedbacktype=""Response"" linkrefid=""qti_feedback_trigger""/&gt;",""))&amp;"&lt;/respcondition&gt;",""))),"")</f>
      </c>
      <c r="AM76" s="46">
        <f>IF($B76,IF(O76="","",IF($C76="qcu",IF(OR(W76,AW76&lt;&gt;"",$AS76&lt;&gt;""),"      &lt;respcondition continue=""Yes""&gt;&lt;conditionvar&gt;&lt;varequal respident=""RESPONSE""&gt;3&lt;/varequal&gt;&lt;/conditionvar&gt;"&amp;"&lt;setvar action=""Add""&gt;"&amp;IF(W76,$H76,0)&amp;"&lt;/setvar&gt;"&amp;IF(AW76&lt;&gt;"","&lt;displayfeedback feedbacktype=""Response"" linkrefid=""response_3""/&gt;",IF($AS76&lt;&gt;"","&lt;displayfeedback feedbacktype=""Response"" linkrefid=""qti_feedback_trigger""/&gt;",""))&amp;"&lt;/respcondition&gt;",""),IF(OR(W76,AW76&lt;&gt;"",$AS76&lt;&gt;""),"      &lt;respcondition continue=""Yes""&gt;&lt;conditionvar&gt;"&amp;IF(W76,"&lt;varequal respident=""RESPONSE""&gt;3&lt;/varequal&gt;","&lt;not&gt;&lt;varequal respident=""RESPONSE""&gt;3&lt;/varequal&gt;&lt;/not&gt;")&amp;"&lt;/conditionvar&gt;&lt;setvar action=""Add""&gt;"&amp;(Saisie_Questions!$N76/$I76)&amp;"&lt;/setvar&gt;"&amp;IF(AW76&lt;&gt;"","&lt;displayfeedback feedbacktype=""Response"" linkrefid=""response_3""/&gt;",IF($AS76&lt;&gt;"","&lt;displayfeedback feedbacktype=""Response"" linkrefid=""qti_feedback_trigger""/&gt;",""))&amp;"&lt;/respcondition&gt;",""))),"")</f>
      </c>
      <c r="AN76" s="46">
        <f>IF($B76,IF(P76="","",IF($C76="qcu",IF(OR(X76,AX76&lt;&gt;"",$AS76&lt;&gt;""),"      &lt;respcondition continue=""Yes""&gt;&lt;conditionvar&gt;&lt;varequal respident=""RESPONSE""&gt;4&lt;/varequal&gt;&lt;/conditionvar&gt;"&amp;"&lt;setvar action=""Add""&gt;"&amp;IF(X76,$H76,0)&amp;"&lt;/setvar&gt;"&amp;IF(AX76&lt;&gt;"","&lt;displayfeedback feedbacktype=""Response"" linkrefid=""response_4""/&gt;",IF($AS76&lt;&gt;"","&lt;displayfeedback feedbacktype=""Response"" linkrefid=""qti_feedback_trigger""/&gt;",""))&amp;"&lt;/respcondition&gt;",""),IF(OR(X76,AX76&lt;&gt;"",$AS76&lt;&gt;""),"      &lt;respcondition continue=""Yes""&gt;&lt;conditionvar&gt;"&amp;IF(X76,"&lt;varequal respident=""RESPONSE""&gt;4&lt;/varequal&gt;","&lt;not&gt;&lt;varequal respident=""RESPONSE""&gt;4&lt;/varequal&gt;&lt;/not&gt;")&amp;"&lt;/conditionvar&gt;&lt;setvar action=""Add""&gt;"&amp;(Saisie_Questions!$N76/$I76)&amp;"&lt;/setvar&gt;"&amp;IF(AX76&lt;&gt;"","&lt;displayfeedback feedbacktype=""Response"" linkrefid=""response_4""/&gt;",IF($AS76&lt;&gt;"","&lt;displayfeedback feedbacktype=""Response"" linkrefid=""qti_feedback_trigger""/&gt;",""))&amp;"&lt;/respcondition&gt;",""))),"")</f>
      </c>
      <c r="AO76" s="46">
        <f>IF($B76,IF(Q76="","",IF($C76="qcu",IF(OR(Y76,AY76&lt;&gt;"",$AS76&lt;&gt;""),"      &lt;respcondition continue=""Yes""&gt;&lt;conditionvar&gt;&lt;varequal respident=""RESPONSE""&gt;5&lt;/varequal&gt;&lt;/conditionvar&gt;"&amp;"&lt;setvar action=""Add""&gt;"&amp;IF(Y76,$H76,0)&amp;"&lt;/setvar&gt;"&amp;IF(AY76&lt;&gt;"","&lt;displayfeedback feedbacktype=""Response"" linkrefid=""response_5""/&gt;",IF($AS76&lt;&gt;"","&lt;displayfeedback feedbacktype=""Response"" linkrefid=""qti_feedback_trigger""/&gt;",""))&amp;"&lt;/respcondition&gt;",""),IF(OR(Y76,AY76&lt;&gt;"",$AS76&lt;&gt;""),"      &lt;respcondition continue=""Yes""&gt;&lt;conditionvar&gt;"&amp;IF(Y76,"&lt;varequal respident=""RESPONSE""&gt;5&lt;/varequal&gt;","&lt;not&gt;&lt;varequal respident=""RESPONSE""&gt;5&lt;/varequal&gt;&lt;/not&gt;")&amp;"&lt;/conditionvar&gt;&lt;setvar action=""Add""&gt;"&amp;(Saisie_Questions!$N76/$I76)&amp;"&lt;/setvar&gt;"&amp;IF(AY76&lt;&gt;"","&lt;displayfeedback feedbacktype=""Response"" linkrefid=""response_5""/&gt;",IF($AS76&lt;&gt;"","&lt;displayfeedback feedbacktype=""Response"" linkrefid=""qti_feedback_trigger""/&gt;",""))&amp;"&lt;/respcondition&gt;",""))),"")</f>
      </c>
      <c r="AP76" s="46">
        <f>IF($B76,IF(R76="","",IF($C76="qcu",IF(OR(Z76,AZ76&lt;&gt;"",$AS76&lt;&gt;""),"      &lt;respcondition continue=""Yes""&gt;&lt;conditionvar&gt;&lt;varequal respident=""RESPONSE""&gt;6&lt;/varequal&gt;&lt;/conditionvar&gt;"&amp;"&lt;setvar action=""Add""&gt;"&amp;IF(Z76,$H76,0)&amp;"&lt;/setvar&gt;"&amp;IF(AZ76&lt;&gt;"","&lt;displayfeedback feedbacktype=""Response"" linkrefid=""response_6""/&gt;",IF($AS76&lt;&gt;"","&lt;displayfeedback feedbacktype=""Response"" linkrefid=""qti_feedback_trigger""/&gt;",""))&amp;"&lt;/respcondition&gt;",""),IF(OR(Z76,AZ76&lt;&gt;"",$AS76&lt;&gt;""),"      &lt;respcondition continue=""Yes""&gt;&lt;conditionvar&gt;"&amp;IF(Z76,"&lt;varequal respident=""RESPONSE""&gt;6&lt;/varequal&gt;","&lt;not&gt;&lt;varequal respident=""RESPONSE""&gt;6&lt;/varequal&gt;&lt;/not&gt;")&amp;"&lt;/conditionvar&gt;&lt;setvar action=""Add""&gt;"&amp;(Saisie_Questions!$N76/$I76)&amp;"&lt;/setvar&gt;"&amp;IF(AZ76&lt;&gt;"","&lt;displayfeedback feedbacktype=""Response"" linkrefid=""response_6""/&gt;",IF($AS76&lt;&gt;"","&lt;displayfeedback feedbacktype=""Response"" linkrefid=""qti_feedback_trigger""/&gt;",""))&amp;"&lt;/respcondition&gt;",""))),"")</f>
      </c>
      <c r="AQ76" s="46">
        <f>IF($B76,IF(S76="","",IF($C76="qcu",IF(OR(AA76,BA76&lt;&gt;"",$AS76&lt;&gt;""),"      &lt;respcondition continue=""Yes""&gt;&lt;conditionvar&gt;&lt;varequal respident=""RESPONSE""&gt;7&lt;/varequal&gt;&lt;/conditionvar&gt;"&amp;"&lt;setvar action=""Add""&gt;"&amp;IF(AA76,$H76,0)&amp;"&lt;/setvar&gt;"&amp;IF(BA76&lt;&gt;"","&lt;displayfeedback feedbacktype=""Response"" linkrefid=""response_7""/&gt;",IF($AS76&lt;&gt;"","&lt;displayfeedback feedbacktype=""Response"" linkrefid=""qti_feedback_trigger""/&gt;",""))&amp;"&lt;/respcondition&gt;",""),IF(OR(AA76,BA76&lt;&gt;"",$AS76&lt;&gt;""),"      &lt;respcondition continue=""Yes""&gt;&lt;conditionvar&gt;"&amp;IF(AA76,"&lt;varequal respident=""RESPONSE""&gt;7&lt;/varequal&gt;","&lt;not&gt;&lt;varequal respident=""RESPONSE""&gt;7&lt;/varequal&gt;&lt;/not&gt;")&amp;"&lt;/conditionvar&gt;&lt;setvar action=""Add""&gt;"&amp;(Saisie_Questions!$N76/$I76)&amp;"&lt;/setvar&gt;"&amp;IF(BA76&lt;&gt;"","&lt;displayfeedback feedbacktype=""Response"" linkrefid=""response_7""/&gt;",IF($AS76&lt;&gt;"","&lt;displayfeedback feedbacktype=""Response"" linkrefid=""qti_feedback_trigger""/&gt;",""))&amp;"&lt;/respcondition&gt;",""))),"")</f>
      </c>
      <c r="AR76" s="46">
        <f>IF(A76="","",SUBSTITUTE(SUBSTITUTE(SUBSTITUTE(SUBSTITUTE(SUBSTITUTE(IF(Saisie_Questions!P76&lt;&gt;"",Saisie_Questions!P76,Interface_Generation!$B$5),"&amp;","&amp;amp;"),"&lt;","&amp;lt;"),"&gt;","&amp;gt;"),CHAR(34),"&amp;quot;"),"'","&amp;apos;"))</f>
        <v/>
      </c>
      <c r="AS76" s="46">
        <f>IF(Saisie_Questions!Q76="","",SUBSTITUTE(SUBSTITUTE(SUBSTITUTE(SUBSTITUTE(SUBSTITUTE(Saisie_Questions!Q76,"&amp;","&amp;amp;"),"&lt;","&amp;lt;"),"&gt;","&amp;gt;"),CHAR(34),"&amp;quot;"),"'","&amp;apos;"))</f>
        <v/>
      </c>
      <c r="AT76" s="46">
        <f>IF(Saisie_Questions!R76="","",SUBSTITUTE(SUBSTITUTE(SUBSTITUTE(SUBSTITUTE(SUBSTITUTE(Saisie_Questions!R76,"&amp;","&amp;amp;"),"&lt;","&amp;lt;"),"&gt;","&amp;gt;"),CHAR(34),"&amp;quot;"),"'","&amp;apos;"))</f>
        <v/>
      </c>
      <c r="AU76" s="46">
        <f>IF(Saisie_Questions!S76="","",SUBSTITUTE(SUBSTITUTE(SUBSTITUTE(SUBSTITUTE(SUBSTITUTE(Saisie_Questions!S76,"&amp;","&amp;amp;"),"&lt;","&amp;lt;"),"&gt;","&amp;gt;"),CHAR(34),"&amp;quot;"),"'","&amp;apos;"))</f>
        <v/>
      </c>
      <c r="AV76" s="46">
        <f>IF(Saisie_Questions!T76="","",SUBSTITUTE(SUBSTITUTE(SUBSTITUTE(SUBSTITUTE(SUBSTITUTE(Saisie_Questions!T76,"&amp;","&amp;amp;"),"&lt;","&amp;lt;"),"&gt;","&amp;gt;"),CHAR(34),"&amp;quot;"),"'","&amp;apos;"))</f>
        <v/>
      </c>
      <c r="AW76" s="46">
        <f>IF(Saisie_Questions!U76="","",SUBSTITUTE(SUBSTITUTE(SUBSTITUTE(SUBSTITUTE(SUBSTITUTE(Saisie_Questions!U76,"&amp;","&amp;amp;"),"&lt;","&amp;lt;"),"&gt;","&amp;gt;"),CHAR(34),"&amp;quot;"),"'","&amp;apos;"))</f>
        <v/>
      </c>
      <c r="AX76" s="46">
        <f>IF(Saisie_Questions!V76="","",SUBSTITUTE(SUBSTITUTE(SUBSTITUTE(SUBSTITUTE(SUBSTITUTE(Saisie_Questions!V76,"&amp;","&amp;amp;"),"&lt;","&amp;lt;"),"&gt;","&amp;gt;"),CHAR(34),"&amp;quot;"),"'","&amp;apos;"))</f>
        <v/>
      </c>
      <c r="AY76" s="46">
        <f>IF(Saisie_Questions!W76="","",SUBSTITUTE(SUBSTITUTE(SUBSTITUTE(SUBSTITUTE(SUBSTITUTE(Saisie_Questions!W76,"&amp;","&amp;amp;"),"&lt;","&amp;lt;"),"&gt;","&amp;gt;"),CHAR(34),"&amp;quot;"),"'","&amp;apos;"))</f>
        <v/>
      </c>
      <c r="AZ76" s="46">
        <f>IF(Saisie_Questions!X76="","",SUBSTITUTE(SUBSTITUTE(SUBSTITUTE(SUBSTITUTE(SUBSTITUTE(Saisie_Questions!X76,"&amp;","&amp;amp;"),"&lt;","&amp;lt;"),"&gt;","&amp;gt;"),CHAR(34),"&amp;quot;"),"'","&amp;apos;"))</f>
        <v/>
      </c>
      <c r="BA76" s="46">
        <f>IF(Saisie_Questions!Y76="","",SUBSTITUTE(SUBSTITUTE(SUBSTITUTE(SUBSTITUTE(SUBSTITUTE(Saisie_Questions!Y76,"&amp;","&amp;amp;"),"&lt;","&amp;lt;"),"&gt;","&amp;gt;"),CHAR(34),"&amp;quot;"),"'","&amp;apos;"))</f>
        <v/>
      </c>
      <c r="BB76" s="46">
        <f>IF($B76,IF($AS76="","","    &lt;itemfeedback ident=""response_allcorrect"" view=""All""&gt;&lt;flow_mat&gt;&lt;material&gt;&lt;mattext texttype=""text/html""&gt;"&amp;$AS76&amp;"&lt;/mattext&gt;&lt;/material&gt;&lt;/flow_mat&gt;&lt;/itemfeedback&gt;"&amp;"    &lt;itemfeedback ident=""response_onenotcorrect"" view=""All""&gt;&lt;flow_mat&gt;&lt;material&gt;&lt;mattext texttype=""text/html""&gt;"&amp;$AS76&amp;"&lt;/mattext&gt;&lt;/material&gt;&lt;/flow_mat&gt;&lt;/itemfeedback&gt;"),"")</f>
      </c>
      <c r="BC76" s="46">
        <f>IF($B76,IF(AT76="","","    &lt;itemfeedback ident=""response_0"" view=""All""&gt;&lt;flow_mat&gt;&lt;material&gt;&lt;mattext texttype=""text/html""&gt;"&amp;AT76&amp;"&lt;/mattext&gt;&lt;/material&gt;&lt;/flow_mat&gt;&lt;/itemfeedback&gt;"),"")</f>
      </c>
      <c r="BD76" s="46">
        <f>IF($B76,IF(AU76="","","    &lt;itemfeedback ident=""response_1"" view=""All""&gt;&lt;flow_mat&gt;&lt;material&gt;&lt;mattext texttype=""text/html""&gt;"&amp;AU76&amp;"&lt;/mattext&gt;&lt;/material&gt;&lt;/flow_mat&gt;&lt;/itemfeedback&gt;"),"")</f>
      </c>
      <c r="BE76" s="46">
        <f>IF($B76,IF(AV76="","","    &lt;itemfeedback ident=""response_2"" view=""All""&gt;&lt;flow_mat&gt;&lt;material&gt;&lt;mattext texttype=""text/html""&gt;"&amp;AV76&amp;"&lt;/mattext&gt;&lt;/material&gt;&lt;/flow_mat&gt;&lt;/itemfeedback&gt;"),"")</f>
      </c>
      <c r="BF76" s="46">
        <f>IF($B76,IF(AW76="","","    &lt;itemfeedback ident=""response_3"" view=""All""&gt;&lt;flow_mat&gt;&lt;material&gt;&lt;mattext texttype=""text/html""&gt;"&amp;AW76&amp;"&lt;/mattext&gt;&lt;/material&gt;&lt;/flow_mat&gt;&lt;/itemfeedback&gt;"),"")</f>
      </c>
      <c r="BG76" s="46">
        <f>IF($B76,IF(AX76="","","    &lt;itemfeedback ident=""response_4"" view=""All""&gt;&lt;flow_mat&gt;&lt;material&gt;&lt;mattext texttype=""text/html""&gt;"&amp;AX76&amp;"&lt;/mattext&gt;&lt;/material&gt;&lt;/flow_mat&gt;&lt;/itemfeedback&gt;"),"")</f>
      </c>
      <c r="BH76" s="46">
        <f>IF($B76,IF(AY76="","","    &lt;itemfeedback ident=""response_5"" view=""All""&gt;&lt;flow_mat&gt;&lt;material&gt;&lt;mattext texttype=""text/html""&gt;"&amp;AY76&amp;"&lt;/mattext&gt;&lt;/material&gt;&lt;/flow_mat&gt;&lt;/itemfeedback&gt;"),"")</f>
      </c>
      <c r="BI76" s="46">
        <f>IF($B76,IF(AZ76="","","    &lt;itemfeedback ident=""response_6"" view=""All""&gt;&lt;flow_mat&gt;&lt;material&gt;&lt;mattext texttype=""text/html""&gt;"&amp;AZ76&amp;"&lt;/mattext&gt;&lt;/material&gt;&lt;/flow_mat&gt;&lt;/itemfeedback&gt;"),"")</f>
      </c>
      <c r="BJ76" s="46">
        <f>IF($B76,IF(BA76="","","    &lt;itemfeedback ident=""response_7"" view=""All""&gt;&lt;flow_mat&gt;&lt;material&gt;&lt;mattext texttype=""text/html""&gt;"&amp;BA76&amp;"&lt;/mattext&gt;&lt;/material&gt;&lt;/flow_mat&gt;&lt;/itemfeedback&gt;"),"")</f>
      </c>
    </row>
    <row r="77" ht="18" customHeight="1" s="17">
      <c r="A77" s="46">
        <f>Saisie_Questions!A77</f>
        <v/>
      </c>
      <c r="B77" s="46">
        <f>Saisie_Questions!O77="OK"</f>
        <v/>
      </c>
      <c r="C77" s="46">
        <f>LOWER(TRIM(Saisie_Questions!B77))</f>
        <v/>
      </c>
      <c r="D77" s="46">
        <f>IF(C77="qcu","SINGLE CHOICE QUESTION","MULTIPLE CHOICE QUESTION")</f>
        <v/>
      </c>
      <c r="E77" s="46">
        <f>IF(C77="qcu","Single","Multiple")</f>
        <v/>
      </c>
      <c r="F77" s="46">
        <f>IF(A77="","",SUBSTITUTE(SUBSTITUTE(SUBSTITUTE(SUBSTITUTE(SUBSTITUTE(IF(Saisie_Questions!C77="", "Question "&amp;A77, Saisie_Questions!C77),"&amp;","&amp;amp;"),"&lt;","&amp;lt;"),"&gt;","&amp;gt;"),CHAR(34),"&amp;quot;"),"'","&amp;apos;"))</f>
        <v/>
      </c>
      <c r="G77" s="46">
        <f>IF(A77="","",SUBSTITUTE(SUBSTITUTE(SUBSTITUTE(SUBSTITUTE(SUBSTITUTE(Saisie_Questions!D77,"&amp;","&amp;amp;"),"&lt;","&amp;lt;"),"&gt;","&amp;gt;"),CHAR(34),"&amp;quot;"),"'","&amp;apos;"))</f>
        <v/>
      </c>
      <c r="H77" s="46">
        <f>Saisie_Questions!N77</f>
        <v/>
      </c>
      <c r="I77" s="46">
        <f>IF(Saisie_Questions!E77="",0,1)+IF(Saisie_Questions!F77="",0,1)+IF(Saisie_Questions!G77="",0,1)+IF(Saisie_Questions!H77="",0,1)+IF(Saisie_Questions!I77="",0,1)+IF(Saisie_Questions!J77="",0,1)+IF(Saisie_Questions!K77="",0,1)+IF(Saisie_Questions!L77="",0,1)</f>
        <v/>
      </c>
      <c r="J77" s="46">
        <f>Saisie_Questions!M77</f>
        <v/>
      </c>
      <c r="K77" s="46">
        <f>Saisie_Questions!O77</f>
        <v/>
      </c>
      <c r="L77" s="46">
        <f>IF(Saisie_Questions!E77="","",SUBSTITUTE(SUBSTITUTE(SUBSTITUTE(SUBSTITUTE(SUBSTITUTE(Saisie_Questions!E77,"&amp;","&amp;amp;"),"&lt;","&amp;lt;"),"&gt;","&amp;gt;"),CHAR(34),"&amp;quot;"),"'","&amp;apos;"))</f>
        <v/>
      </c>
      <c r="M77" s="46">
        <f>IF(Saisie_Questions!F77="","",SUBSTITUTE(SUBSTITUTE(SUBSTITUTE(SUBSTITUTE(SUBSTITUTE(Saisie_Questions!F77,"&amp;","&amp;amp;"),"&lt;","&amp;lt;"),"&gt;","&amp;gt;"),CHAR(34),"&amp;quot;"),"'","&amp;apos;"))</f>
        <v/>
      </c>
      <c r="N77" s="46">
        <f>IF(Saisie_Questions!G77="","",SUBSTITUTE(SUBSTITUTE(SUBSTITUTE(SUBSTITUTE(SUBSTITUTE(Saisie_Questions!G77,"&amp;","&amp;amp;"),"&lt;","&amp;lt;"),"&gt;","&amp;gt;"),CHAR(34),"&amp;quot;"),"'","&amp;apos;"))</f>
        <v/>
      </c>
      <c r="O77" s="46">
        <f>IF(Saisie_Questions!H77="","",SUBSTITUTE(SUBSTITUTE(SUBSTITUTE(SUBSTITUTE(SUBSTITUTE(Saisie_Questions!H77,"&amp;","&amp;amp;"),"&lt;","&amp;lt;"),"&gt;","&amp;gt;"),CHAR(34),"&amp;quot;"),"'","&amp;apos;"))</f>
        <v/>
      </c>
      <c r="P77" s="46">
        <f>IF(Saisie_Questions!I77="","",SUBSTITUTE(SUBSTITUTE(SUBSTITUTE(SUBSTITUTE(SUBSTITUTE(Saisie_Questions!I77,"&amp;","&amp;amp;"),"&lt;","&amp;lt;"),"&gt;","&amp;gt;"),CHAR(34),"&amp;quot;"),"'","&amp;apos;"))</f>
        <v/>
      </c>
      <c r="Q77" s="46">
        <f>IF(Saisie_Questions!J77="","",SUBSTITUTE(SUBSTITUTE(SUBSTITUTE(SUBSTITUTE(SUBSTITUTE(Saisie_Questions!J77,"&amp;","&amp;amp;"),"&lt;","&amp;lt;"),"&gt;","&amp;gt;"),CHAR(34),"&amp;quot;"),"'","&amp;apos;"))</f>
        <v/>
      </c>
      <c r="R77" s="46">
        <f>IF(Saisie_Questions!K77="","",SUBSTITUTE(SUBSTITUTE(SUBSTITUTE(SUBSTITUTE(SUBSTITUTE(Saisie_Questions!K77,"&amp;","&amp;amp;"),"&lt;","&amp;lt;"),"&gt;","&amp;gt;"),CHAR(34),"&amp;quot;"),"'","&amp;apos;"))</f>
        <v/>
      </c>
      <c r="S77" s="46">
        <f>IF(Saisie_Questions!L77="","",SUBSTITUTE(SUBSTITUTE(SUBSTITUTE(SUBSTITUTE(SUBSTITUTE(Saisie_Questions!L77,"&amp;","&amp;amp;"),"&lt;","&amp;lt;"),"&gt;","&amp;gt;"),CHAR(34),"&amp;quot;"),"'","&amp;apos;"))</f>
        <v/>
      </c>
      <c r="T77" s="46">
        <f>ISNUMBER(SEARCH(";"&amp;1&amp;";",";"&amp;$J77&amp;";"))</f>
        <v/>
      </c>
      <c r="U77" s="46">
        <f>ISNUMBER(SEARCH(";"&amp;2&amp;";",";"&amp;$J77&amp;";"))</f>
        <v/>
      </c>
      <c r="V77" s="46">
        <f>ISNUMBER(SEARCH(";"&amp;3&amp;";",";"&amp;$J77&amp;";"))</f>
        <v/>
      </c>
      <c r="W77" s="46">
        <f>ISNUMBER(SEARCH(";"&amp;4&amp;";",";"&amp;$J77&amp;";"))</f>
        <v/>
      </c>
      <c r="X77" s="46">
        <f>ISNUMBER(SEARCH(";"&amp;5&amp;";",";"&amp;$J77&amp;";"))</f>
        <v/>
      </c>
      <c r="Y77" s="46">
        <f>ISNUMBER(SEARCH(";"&amp;6&amp;";",";"&amp;$J77&amp;";"))</f>
        <v/>
      </c>
      <c r="Z77" s="46">
        <f>ISNUMBER(SEARCH(";"&amp;7&amp;";",";"&amp;$J77&amp;";"))</f>
        <v/>
      </c>
      <c r="AA77" s="46">
        <f>ISNUMBER(SEARCH(";"&amp;8&amp;";",";"&amp;$J77&amp;";"))</f>
        <v/>
      </c>
      <c r="AB77" s="46">
        <f>IF($B77,IF(L77="","","        &lt;response_label ident=""0""&gt;&lt;material&gt;&lt;mattext texttype=""text/html""&gt;"&amp;L77&amp;"&lt;/mattext&gt;&lt;/material&gt;&lt;/response_label&gt;"),"")</f>
        <v/>
      </c>
      <c r="AC77" s="46">
        <f>IF($B77,IF(M77="","","        &lt;response_label ident=""1""&gt;&lt;material&gt;&lt;mattext texttype=""text/html""&gt;"&amp;M77&amp;"&lt;/mattext&gt;&lt;/material&gt;&lt;/response_label&gt;"),"")</f>
        <v/>
      </c>
      <c r="AD77" s="46">
        <f>IF($B77,IF(N77="","","        &lt;response_label ident=""2""&gt;&lt;material&gt;&lt;mattext texttype=""text/html""&gt;"&amp;N77&amp;"&lt;/mattext&gt;&lt;/material&gt;&lt;/response_label&gt;"),"")</f>
        <v/>
      </c>
      <c r="AE77" s="46">
        <f>IF($B77,IF(O77="","","        &lt;response_label ident=""3""&gt;&lt;material&gt;&lt;mattext texttype=""text/html""&gt;"&amp;O77&amp;"&lt;/mattext&gt;&lt;/material&gt;&lt;/response_label&gt;"),"")</f>
        <v/>
      </c>
      <c r="AF77" s="46">
        <f>IF($B77,IF(P77="","","        &lt;response_label ident=""4""&gt;&lt;material&gt;&lt;mattext texttype=""text/html""&gt;"&amp;P77&amp;"&lt;/mattext&gt;&lt;/material&gt;&lt;/response_label&gt;"),"")</f>
        <v/>
      </c>
      <c r="AG77" s="46">
        <f>IF($B77,IF(Q77="","","        &lt;response_label ident=""5""&gt;&lt;material&gt;&lt;mattext texttype=""text/html""&gt;"&amp;Q77&amp;"&lt;/mattext&gt;&lt;/material&gt;&lt;/response_label&gt;"),"")</f>
        <v/>
      </c>
      <c r="AH77" s="46">
        <f>IF($B77,IF(R77="","","        &lt;response_label ident=""6""&gt;&lt;material&gt;&lt;mattext texttype=""text/html""&gt;"&amp;R77&amp;"&lt;/mattext&gt;&lt;/material&gt;&lt;/response_label&gt;"),"")</f>
        <v/>
      </c>
      <c r="AI77" s="46">
        <f>IF($B77,IF(S77="","","        &lt;response_label ident=""7""&gt;&lt;material&gt;&lt;mattext texttype=""text/html""&gt;"&amp;S77&amp;"&lt;/mattext&gt;&lt;/material&gt;&lt;/response_label&gt;"),"")</f>
        <v/>
      </c>
      <c r="AJ77" s="46">
        <f>IF($B77,IF(L77="","",IF($C77="qcu",IF(OR(T77,AT77&lt;&gt;"",$AS77&lt;&gt;""),"      &lt;respcondition continue=""Yes""&gt;&lt;conditionvar&gt;&lt;varequal respident=""RESPONSE""&gt;0&lt;/varequal&gt;&lt;/conditionvar&gt;"&amp;"&lt;setvar action=""Add""&gt;"&amp;IF(T77,$H77,0)&amp;"&lt;/setvar&gt;"&amp;IF(AT77&lt;&gt;"","&lt;displayfeedback feedbacktype=""Response"" linkrefid=""response_0""/&gt;",IF($AS77&lt;&gt;"","&lt;displayfeedback feedbacktype=""Response"" linkrefid=""qti_feedback_trigger""/&gt;",""))&amp;"&lt;/respcondition&gt;",""),IF(OR(T77,AT77&lt;&gt;"",$AS77&lt;&gt;""),"      &lt;respcondition continue=""Yes""&gt;&lt;conditionvar&gt;"&amp;IF(T77,"&lt;varequal respident=""RESPONSE""&gt;0&lt;/varequal&gt;","&lt;not&gt;&lt;varequal respident=""RESPONSE""&gt;0&lt;/varequal&gt;&lt;/not&gt;")&amp;"&lt;/conditionvar&gt;&lt;setvar action=""Add""&gt;"&amp;(Saisie_Questions!$N77/$I77)&amp;"&lt;/setvar&gt;"&amp;IF(AT77&lt;&gt;"","&lt;displayfeedback feedbacktype=""Response"" linkrefid=""response_0""/&gt;",IF($AS77&lt;&gt;"","&lt;displayfeedback feedbacktype=""Response"" linkrefid=""qti_feedback_trigger""/&gt;",""))&amp;"&lt;/respcondition&gt;",""))),"")</f>
      </c>
      <c r="AK77" s="46">
        <f>IF($B77,IF(M77="","",IF($C77="qcu",IF(OR(U77,AU77&lt;&gt;"",$AS77&lt;&gt;""),"      &lt;respcondition continue=""Yes""&gt;&lt;conditionvar&gt;&lt;varequal respident=""RESPONSE""&gt;1&lt;/varequal&gt;&lt;/conditionvar&gt;"&amp;"&lt;setvar action=""Add""&gt;"&amp;IF(U77,$H77,0)&amp;"&lt;/setvar&gt;"&amp;IF(AU77&lt;&gt;"","&lt;displayfeedback feedbacktype=""Response"" linkrefid=""response_1""/&gt;",IF($AS77&lt;&gt;"","&lt;displayfeedback feedbacktype=""Response"" linkrefid=""qti_feedback_trigger""/&gt;",""))&amp;"&lt;/respcondition&gt;",""),IF(OR(U77,AU77&lt;&gt;"",$AS77&lt;&gt;""),"      &lt;respcondition continue=""Yes""&gt;&lt;conditionvar&gt;"&amp;IF(U77,"&lt;varequal respident=""RESPONSE""&gt;1&lt;/varequal&gt;","&lt;not&gt;&lt;varequal respident=""RESPONSE""&gt;1&lt;/varequal&gt;&lt;/not&gt;")&amp;"&lt;/conditionvar&gt;&lt;setvar action=""Add""&gt;"&amp;(Saisie_Questions!$N77/$I77)&amp;"&lt;/setvar&gt;"&amp;IF(AU77&lt;&gt;"","&lt;displayfeedback feedbacktype=""Response"" linkrefid=""response_1""/&gt;",IF($AS77&lt;&gt;"","&lt;displayfeedback feedbacktype=""Response"" linkrefid=""qti_feedback_trigger""/&gt;",""))&amp;"&lt;/respcondition&gt;",""))),"")</f>
      </c>
      <c r="AL77" s="46">
        <f>IF($B77,IF(N77="","",IF($C77="qcu",IF(OR(V77,AV77&lt;&gt;"",$AS77&lt;&gt;""),"      &lt;respcondition continue=""Yes""&gt;&lt;conditionvar&gt;&lt;varequal respident=""RESPONSE""&gt;2&lt;/varequal&gt;&lt;/conditionvar&gt;"&amp;"&lt;setvar action=""Add""&gt;"&amp;IF(V77,$H77,0)&amp;"&lt;/setvar&gt;"&amp;IF(AV77&lt;&gt;"","&lt;displayfeedback feedbacktype=""Response"" linkrefid=""response_2""/&gt;",IF($AS77&lt;&gt;"","&lt;displayfeedback feedbacktype=""Response"" linkrefid=""qti_feedback_trigger""/&gt;",""))&amp;"&lt;/respcondition&gt;",""),IF(OR(V77,AV77&lt;&gt;"",$AS77&lt;&gt;""),"      &lt;respcondition continue=""Yes""&gt;&lt;conditionvar&gt;"&amp;IF(V77,"&lt;varequal respident=""RESPONSE""&gt;2&lt;/varequal&gt;","&lt;not&gt;&lt;varequal respident=""RESPONSE""&gt;2&lt;/varequal&gt;&lt;/not&gt;")&amp;"&lt;/conditionvar&gt;&lt;setvar action=""Add""&gt;"&amp;(Saisie_Questions!$N77/$I77)&amp;"&lt;/setvar&gt;"&amp;IF(AV77&lt;&gt;"","&lt;displayfeedback feedbacktype=""Response"" linkrefid=""response_2""/&gt;",IF($AS77&lt;&gt;"","&lt;displayfeedback feedbacktype=""Response"" linkrefid=""qti_feedback_trigger""/&gt;",""))&amp;"&lt;/respcondition&gt;",""))),"")</f>
      </c>
      <c r="AM77" s="46">
        <f>IF($B77,IF(O77="","",IF($C77="qcu",IF(OR(W77,AW77&lt;&gt;"",$AS77&lt;&gt;""),"      &lt;respcondition continue=""Yes""&gt;&lt;conditionvar&gt;&lt;varequal respident=""RESPONSE""&gt;3&lt;/varequal&gt;&lt;/conditionvar&gt;"&amp;"&lt;setvar action=""Add""&gt;"&amp;IF(W77,$H77,0)&amp;"&lt;/setvar&gt;"&amp;IF(AW77&lt;&gt;"","&lt;displayfeedback feedbacktype=""Response"" linkrefid=""response_3""/&gt;",IF($AS77&lt;&gt;"","&lt;displayfeedback feedbacktype=""Response"" linkrefid=""qti_feedback_trigger""/&gt;",""))&amp;"&lt;/respcondition&gt;",""),IF(OR(W77,AW77&lt;&gt;"",$AS77&lt;&gt;""),"      &lt;respcondition continue=""Yes""&gt;&lt;conditionvar&gt;"&amp;IF(W77,"&lt;varequal respident=""RESPONSE""&gt;3&lt;/varequal&gt;","&lt;not&gt;&lt;varequal respident=""RESPONSE""&gt;3&lt;/varequal&gt;&lt;/not&gt;")&amp;"&lt;/conditionvar&gt;&lt;setvar action=""Add""&gt;"&amp;(Saisie_Questions!$N77/$I77)&amp;"&lt;/setvar&gt;"&amp;IF(AW77&lt;&gt;"","&lt;displayfeedback feedbacktype=""Response"" linkrefid=""response_3""/&gt;",IF($AS77&lt;&gt;"","&lt;displayfeedback feedbacktype=""Response"" linkrefid=""qti_feedback_trigger""/&gt;",""))&amp;"&lt;/respcondition&gt;",""))),"")</f>
      </c>
      <c r="AN77" s="46">
        <f>IF($B77,IF(P77="","",IF($C77="qcu",IF(OR(X77,AX77&lt;&gt;"",$AS77&lt;&gt;""),"      &lt;respcondition continue=""Yes""&gt;&lt;conditionvar&gt;&lt;varequal respident=""RESPONSE""&gt;4&lt;/varequal&gt;&lt;/conditionvar&gt;"&amp;"&lt;setvar action=""Add""&gt;"&amp;IF(X77,$H77,0)&amp;"&lt;/setvar&gt;"&amp;IF(AX77&lt;&gt;"","&lt;displayfeedback feedbacktype=""Response"" linkrefid=""response_4""/&gt;",IF($AS77&lt;&gt;"","&lt;displayfeedback feedbacktype=""Response"" linkrefid=""qti_feedback_trigger""/&gt;",""))&amp;"&lt;/respcondition&gt;",""),IF(OR(X77,AX77&lt;&gt;"",$AS77&lt;&gt;""),"      &lt;respcondition continue=""Yes""&gt;&lt;conditionvar&gt;"&amp;IF(X77,"&lt;varequal respident=""RESPONSE""&gt;4&lt;/varequal&gt;","&lt;not&gt;&lt;varequal respident=""RESPONSE""&gt;4&lt;/varequal&gt;&lt;/not&gt;")&amp;"&lt;/conditionvar&gt;&lt;setvar action=""Add""&gt;"&amp;(Saisie_Questions!$N77/$I77)&amp;"&lt;/setvar&gt;"&amp;IF(AX77&lt;&gt;"","&lt;displayfeedback feedbacktype=""Response"" linkrefid=""response_4""/&gt;",IF($AS77&lt;&gt;"","&lt;displayfeedback feedbacktype=""Response"" linkrefid=""qti_feedback_trigger""/&gt;",""))&amp;"&lt;/respcondition&gt;",""))),"")</f>
      </c>
      <c r="AO77" s="46">
        <f>IF($B77,IF(Q77="","",IF($C77="qcu",IF(OR(Y77,AY77&lt;&gt;"",$AS77&lt;&gt;""),"      &lt;respcondition continue=""Yes""&gt;&lt;conditionvar&gt;&lt;varequal respident=""RESPONSE""&gt;5&lt;/varequal&gt;&lt;/conditionvar&gt;"&amp;"&lt;setvar action=""Add""&gt;"&amp;IF(Y77,$H77,0)&amp;"&lt;/setvar&gt;"&amp;IF(AY77&lt;&gt;"","&lt;displayfeedback feedbacktype=""Response"" linkrefid=""response_5""/&gt;",IF($AS77&lt;&gt;"","&lt;displayfeedback feedbacktype=""Response"" linkrefid=""qti_feedback_trigger""/&gt;",""))&amp;"&lt;/respcondition&gt;",""),IF(OR(Y77,AY77&lt;&gt;"",$AS77&lt;&gt;""),"      &lt;respcondition continue=""Yes""&gt;&lt;conditionvar&gt;"&amp;IF(Y77,"&lt;varequal respident=""RESPONSE""&gt;5&lt;/varequal&gt;","&lt;not&gt;&lt;varequal respident=""RESPONSE""&gt;5&lt;/varequal&gt;&lt;/not&gt;")&amp;"&lt;/conditionvar&gt;&lt;setvar action=""Add""&gt;"&amp;(Saisie_Questions!$N77/$I77)&amp;"&lt;/setvar&gt;"&amp;IF(AY77&lt;&gt;"","&lt;displayfeedback feedbacktype=""Response"" linkrefid=""response_5""/&gt;",IF($AS77&lt;&gt;"","&lt;displayfeedback feedbacktype=""Response"" linkrefid=""qti_feedback_trigger""/&gt;",""))&amp;"&lt;/respcondition&gt;",""))),"")</f>
      </c>
      <c r="AP77" s="46">
        <f>IF($B77,IF(R77="","",IF($C77="qcu",IF(OR(Z77,AZ77&lt;&gt;"",$AS77&lt;&gt;""),"      &lt;respcondition continue=""Yes""&gt;&lt;conditionvar&gt;&lt;varequal respident=""RESPONSE""&gt;6&lt;/varequal&gt;&lt;/conditionvar&gt;"&amp;"&lt;setvar action=""Add""&gt;"&amp;IF(Z77,$H77,0)&amp;"&lt;/setvar&gt;"&amp;IF(AZ77&lt;&gt;"","&lt;displayfeedback feedbacktype=""Response"" linkrefid=""response_6""/&gt;",IF($AS77&lt;&gt;"","&lt;displayfeedback feedbacktype=""Response"" linkrefid=""qti_feedback_trigger""/&gt;",""))&amp;"&lt;/respcondition&gt;",""),IF(OR(Z77,AZ77&lt;&gt;"",$AS77&lt;&gt;""),"      &lt;respcondition continue=""Yes""&gt;&lt;conditionvar&gt;"&amp;IF(Z77,"&lt;varequal respident=""RESPONSE""&gt;6&lt;/varequal&gt;","&lt;not&gt;&lt;varequal respident=""RESPONSE""&gt;6&lt;/varequal&gt;&lt;/not&gt;")&amp;"&lt;/conditionvar&gt;&lt;setvar action=""Add""&gt;"&amp;(Saisie_Questions!$N77/$I77)&amp;"&lt;/setvar&gt;"&amp;IF(AZ77&lt;&gt;"","&lt;displayfeedback feedbacktype=""Response"" linkrefid=""response_6""/&gt;",IF($AS77&lt;&gt;"","&lt;displayfeedback feedbacktype=""Response"" linkrefid=""qti_feedback_trigger""/&gt;",""))&amp;"&lt;/respcondition&gt;",""))),"")</f>
      </c>
      <c r="AQ77" s="46">
        <f>IF($B77,IF(S77="","",IF($C77="qcu",IF(OR(AA77,BA77&lt;&gt;"",$AS77&lt;&gt;""),"      &lt;respcondition continue=""Yes""&gt;&lt;conditionvar&gt;&lt;varequal respident=""RESPONSE""&gt;7&lt;/varequal&gt;&lt;/conditionvar&gt;"&amp;"&lt;setvar action=""Add""&gt;"&amp;IF(AA77,$H77,0)&amp;"&lt;/setvar&gt;"&amp;IF(BA77&lt;&gt;"","&lt;displayfeedback feedbacktype=""Response"" linkrefid=""response_7""/&gt;",IF($AS77&lt;&gt;"","&lt;displayfeedback feedbacktype=""Response"" linkrefid=""qti_feedback_trigger""/&gt;",""))&amp;"&lt;/respcondition&gt;",""),IF(OR(AA77,BA77&lt;&gt;"",$AS77&lt;&gt;""),"      &lt;respcondition continue=""Yes""&gt;&lt;conditionvar&gt;"&amp;IF(AA77,"&lt;varequal respident=""RESPONSE""&gt;7&lt;/varequal&gt;","&lt;not&gt;&lt;varequal respident=""RESPONSE""&gt;7&lt;/varequal&gt;&lt;/not&gt;")&amp;"&lt;/conditionvar&gt;&lt;setvar action=""Add""&gt;"&amp;(Saisie_Questions!$N77/$I77)&amp;"&lt;/setvar&gt;"&amp;IF(BA77&lt;&gt;"","&lt;displayfeedback feedbacktype=""Response"" linkrefid=""response_7""/&gt;",IF($AS77&lt;&gt;"","&lt;displayfeedback feedbacktype=""Response"" linkrefid=""qti_feedback_trigger""/&gt;",""))&amp;"&lt;/respcondition&gt;",""))),"")</f>
      </c>
      <c r="AR77" s="46">
        <f>IF(A77="","",SUBSTITUTE(SUBSTITUTE(SUBSTITUTE(SUBSTITUTE(SUBSTITUTE(IF(Saisie_Questions!P77&lt;&gt;"",Saisie_Questions!P77,Interface_Generation!$B$5),"&amp;","&amp;amp;"),"&lt;","&amp;lt;"),"&gt;","&amp;gt;"),CHAR(34),"&amp;quot;"),"'","&amp;apos;"))</f>
        <v/>
      </c>
      <c r="AS77" s="46">
        <f>IF(Saisie_Questions!Q77="","",SUBSTITUTE(SUBSTITUTE(SUBSTITUTE(SUBSTITUTE(SUBSTITUTE(Saisie_Questions!Q77,"&amp;","&amp;amp;"),"&lt;","&amp;lt;"),"&gt;","&amp;gt;"),CHAR(34),"&amp;quot;"),"'","&amp;apos;"))</f>
        <v/>
      </c>
      <c r="AT77" s="46">
        <f>IF(Saisie_Questions!R77="","",SUBSTITUTE(SUBSTITUTE(SUBSTITUTE(SUBSTITUTE(SUBSTITUTE(Saisie_Questions!R77,"&amp;","&amp;amp;"),"&lt;","&amp;lt;"),"&gt;","&amp;gt;"),CHAR(34),"&amp;quot;"),"'","&amp;apos;"))</f>
        <v/>
      </c>
      <c r="AU77" s="46">
        <f>IF(Saisie_Questions!S77="","",SUBSTITUTE(SUBSTITUTE(SUBSTITUTE(SUBSTITUTE(SUBSTITUTE(Saisie_Questions!S77,"&amp;","&amp;amp;"),"&lt;","&amp;lt;"),"&gt;","&amp;gt;"),CHAR(34),"&amp;quot;"),"'","&amp;apos;"))</f>
        <v/>
      </c>
      <c r="AV77" s="46">
        <f>IF(Saisie_Questions!T77="","",SUBSTITUTE(SUBSTITUTE(SUBSTITUTE(SUBSTITUTE(SUBSTITUTE(Saisie_Questions!T77,"&amp;","&amp;amp;"),"&lt;","&amp;lt;"),"&gt;","&amp;gt;"),CHAR(34),"&amp;quot;"),"'","&amp;apos;"))</f>
        <v/>
      </c>
      <c r="AW77" s="46">
        <f>IF(Saisie_Questions!U77="","",SUBSTITUTE(SUBSTITUTE(SUBSTITUTE(SUBSTITUTE(SUBSTITUTE(Saisie_Questions!U77,"&amp;","&amp;amp;"),"&lt;","&amp;lt;"),"&gt;","&amp;gt;"),CHAR(34),"&amp;quot;"),"'","&amp;apos;"))</f>
        <v/>
      </c>
      <c r="AX77" s="46">
        <f>IF(Saisie_Questions!V77="","",SUBSTITUTE(SUBSTITUTE(SUBSTITUTE(SUBSTITUTE(SUBSTITUTE(Saisie_Questions!V77,"&amp;","&amp;amp;"),"&lt;","&amp;lt;"),"&gt;","&amp;gt;"),CHAR(34),"&amp;quot;"),"'","&amp;apos;"))</f>
        <v/>
      </c>
      <c r="AY77" s="46">
        <f>IF(Saisie_Questions!W77="","",SUBSTITUTE(SUBSTITUTE(SUBSTITUTE(SUBSTITUTE(SUBSTITUTE(Saisie_Questions!W77,"&amp;","&amp;amp;"),"&lt;","&amp;lt;"),"&gt;","&amp;gt;"),CHAR(34),"&amp;quot;"),"'","&amp;apos;"))</f>
        <v/>
      </c>
      <c r="AZ77" s="46">
        <f>IF(Saisie_Questions!X77="","",SUBSTITUTE(SUBSTITUTE(SUBSTITUTE(SUBSTITUTE(SUBSTITUTE(Saisie_Questions!X77,"&amp;","&amp;amp;"),"&lt;","&amp;lt;"),"&gt;","&amp;gt;"),CHAR(34),"&amp;quot;"),"'","&amp;apos;"))</f>
        <v/>
      </c>
      <c r="BA77" s="46">
        <f>IF(Saisie_Questions!Y77="","",SUBSTITUTE(SUBSTITUTE(SUBSTITUTE(SUBSTITUTE(SUBSTITUTE(Saisie_Questions!Y77,"&amp;","&amp;amp;"),"&lt;","&amp;lt;"),"&gt;","&amp;gt;"),CHAR(34),"&amp;quot;"),"'","&amp;apos;"))</f>
        <v/>
      </c>
      <c r="BB77" s="46">
        <f>IF($B77,IF($AS77="","","    &lt;itemfeedback ident=""response_allcorrect"" view=""All""&gt;&lt;flow_mat&gt;&lt;material&gt;&lt;mattext texttype=""text/html""&gt;"&amp;$AS77&amp;"&lt;/mattext&gt;&lt;/material&gt;&lt;/flow_mat&gt;&lt;/itemfeedback&gt;"&amp;"    &lt;itemfeedback ident=""response_onenotcorrect"" view=""All""&gt;&lt;flow_mat&gt;&lt;material&gt;&lt;mattext texttype=""text/html""&gt;"&amp;$AS77&amp;"&lt;/mattext&gt;&lt;/material&gt;&lt;/flow_mat&gt;&lt;/itemfeedback&gt;"),"")</f>
      </c>
      <c r="BC77" s="46">
        <f>IF($B77,IF(AT77="","","    &lt;itemfeedback ident=""response_0"" view=""All""&gt;&lt;flow_mat&gt;&lt;material&gt;&lt;mattext texttype=""text/html""&gt;"&amp;AT77&amp;"&lt;/mattext&gt;&lt;/material&gt;&lt;/flow_mat&gt;&lt;/itemfeedback&gt;"),"")</f>
      </c>
      <c r="BD77" s="46">
        <f>IF($B77,IF(AU77="","","    &lt;itemfeedback ident=""response_1"" view=""All""&gt;&lt;flow_mat&gt;&lt;material&gt;&lt;mattext texttype=""text/html""&gt;"&amp;AU77&amp;"&lt;/mattext&gt;&lt;/material&gt;&lt;/flow_mat&gt;&lt;/itemfeedback&gt;"),"")</f>
      </c>
      <c r="BE77" s="46">
        <f>IF($B77,IF(AV77="","","    &lt;itemfeedback ident=""response_2"" view=""All""&gt;&lt;flow_mat&gt;&lt;material&gt;&lt;mattext texttype=""text/html""&gt;"&amp;AV77&amp;"&lt;/mattext&gt;&lt;/material&gt;&lt;/flow_mat&gt;&lt;/itemfeedback&gt;"),"")</f>
      </c>
      <c r="BF77" s="46">
        <f>IF($B77,IF(AW77="","","    &lt;itemfeedback ident=""response_3"" view=""All""&gt;&lt;flow_mat&gt;&lt;material&gt;&lt;mattext texttype=""text/html""&gt;"&amp;AW77&amp;"&lt;/mattext&gt;&lt;/material&gt;&lt;/flow_mat&gt;&lt;/itemfeedback&gt;"),"")</f>
      </c>
      <c r="BG77" s="46">
        <f>IF($B77,IF(AX77="","","    &lt;itemfeedback ident=""response_4"" view=""All""&gt;&lt;flow_mat&gt;&lt;material&gt;&lt;mattext texttype=""text/html""&gt;"&amp;AX77&amp;"&lt;/mattext&gt;&lt;/material&gt;&lt;/flow_mat&gt;&lt;/itemfeedback&gt;"),"")</f>
      </c>
      <c r="BH77" s="46">
        <f>IF($B77,IF(AY77="","","    &lt;itemfeedback ident=""response_5"" view=""All""&gt;&lt;flow_mat&gt;&lt;material&gt;&lt;mattext texttype=""text/html""&gt;"&amp;AY77&amp;"&lt;/mattext&gt;&lt;/material&gt;&lt;/flow_mat&gt;&lt;/itemfeedback&gt;"),"")</f>
      </c>
      <c r="BI77" s="46">
        <f>IF($B77,IF(AZ77="","","    &lt;itemfeedback ident=""response_6"" view=""All""&gt;&lt;flow_mat&gt;&lt;material&gt;&lt;mattext texttype=""text/html""&gt;"&amp;AZ77&amp;"&lt;/mattext&gt;&lt;/material&gt;&lt;/flow_mat&gt;&lt;/itemfeedback&gt;"),"")</f>
      </c>
      <c r="BJ77" s="46">
        <f>IF($B77,IF(BA77="","","    &lt;itemfeedback ident=""response_7"" view=""All""&gt;&lt;flow_mat&gt;&lt;material&gt;&lt;mattext texttype=""text/html""&gt;"&amp;BA77&amp;"&lt;/mattext&gt;&lt;/material&gt;&lt;/flow_mat&gt;&lt;/itemfeedback&gt;"),"")</f>
      </c>
    </row>
    <row r="78" ht="18" customHeight="1" s="17">
      <c r="A78" s="46">
        <f>Saisie_Questions!A78</f>
        <v/>
      </c>
      <c r="B78" s="46">
        <f>Saisie_Questions!O78="OK"</f>
        <v/>
      </c>
      <c r="C78" s="46">
        <f>LOWER(TRIM(Saisie_Questions!B78))</f>
        <v/>
      </c>
      <c r="D78" s="46">
        <f>IF(C78="qcu","SINGLE CHOICE QUESTION","MULTIPLE CHOICE QUESTION")</f>
        <v/>
      </c>
      <c r="E78" s="46">
        <f>IF(C78="qcu","Single","Multiple")</f>
        <v/>
      </c>
      <c r="F78" s="46">
        <f>IF(A78="","",SUBSTITUTE(SUBSTITUTE(SUBSTITUTE(SUBSTITUTE(SUBSTITUTE(IF(Saisie_Questions!C78="", "Question "&amp;A78, Saisie_Questions!C78),"&amp;","&amp;amp;"),"&lt;","&amp;lt;"),"&gt;","&amp;gt;"),CHAR(34),"&amp;quot;"),"'","&amp;apos;"))</f>
        <v/>
      </c>
      <c r="G78" s="46">
        <f>IF(A78="","",SUBSTITUTE(SUBSTITUTE(SUBSTITUTE(SUBSTITUTE(SUBSTITUTE(Saisie_Questions!D78,"&amp;","&amp;amp;"),"&lt;","&amp;lt;"),"&gt;","&amp;gt;"),CHAR(34),"&amp;quot;"),"'","&amp;apos;"))</f>
        <v/>
      </c>
      <c r="H78" s="46">
        <f>Saisie_Questions!N78</f>
        <v/>
      </c>
      <c r="I78" s="46">
        <f>IF(Saisie_Questions!E78="",0,1)+IF(Saisie_Questions!F78="",0,1)+IF(Saisie_Questions!G78="",0,1)+IF(Saisie_Questions!H78="",0,1)+IF(Saisie_Questions!I78="",0,1)+IF(Saisie_Questions!J78="",0,1)+IF(Saisie_Questions!K78="",0,1)+IF(Saisie_Questions!L78="",0,1)</f>
        <v/>
      </c>
      <c r="J78" s="46">
        <f>Saisie_Questions!M78</f>
        <v/>
      </c>
      <c r="K78" s="46">
        <f>Saisie_Questions!O78</f>
        <v/>
      </c>
      <c r="L78" s="46">
        <f>IF(Saisie_Questions!E78="","",SUBSTITUTE(SUBSTITUTE(SUBSTITUTE(SUBSTITUTE(SUBSTITUTE(Saisie_Questions!E78,"&amp;","&amp;amp;"),"&lt;","&amp;lt;"),"&gt;","&amp;gt;"),CHAR(34),"&amp;quot;"),"'","&amp;apos;"))</f>
        <v/>
      </c>
      <c r="M78" s="46">
        <f>IF(Saisie_Questions!F78="","",SUBSTITUTE(SUBSTITUTE(SUBSTITUTE(SUBSTITUTE(SUBSTITUTE(Saisie_Questions!F78,"&amp;","&amp;amp;"),"&lt;","&amp;lt;"),"&gt;","&amp;gt;"),CHAR(34),"&amp;quot;"),"'","&amp;apos;"))</f>
        <v/>
      </c>
      <c r="N78" s="46">
        <f>IF(Saisie_Questions!G78="","",SUBSTITUTE(SUBSTITUTE(SUBSTITUTE(SUBSTITUTE(SUBSTITUTE(Saisie_Questions!G78,"&amp;","&amp;amp;"),"&lt;","&amp;lt;"),"&gt;","&amp;gt;"),CHAR(34),"&amp;quot;"),"'","&amp;apos;"))</f>
        <v/>
      </c>
      <c r="O78" s="46">
        <f>IF(Saisie_Questions!H78="","",SUBSTITUTE(SUBSTITUTE(SUBSTITUTE(SUBSTITUTE(SUBSTITUTE(Saisie_Questions!H78,"&amp;","&amp;amp;"),"&lt;","&amp;lt;"),"&gt;","&amp;gt;"),CHAR(34),"&amp;quot;"),"'","&amp;apos;"))</f>
        <v/>
      </c>
      <c r="P78" s="46">
        <f>IF(Saisie_Questions!I78="","",SUBSTITUTE(SUBSTITUTE(SUBSTITUTE(SUBSTITUTE(SUBSTITUTE(Saisie_Questions!I78,"&amp;","&amp;amp;"),"&lt;","&amp;lt;"),"&gt;","&amp;gt;"),CHAR(34),"&amp;quot;"),"'","&amp;apos;"))</f>
        <v/>
      </c>
      <c r="Q78" s="46">
        <f>IF(Saisie_Questions!J78="","",SUBSTITUTE(SUBSTITUTE(SUBSTITUTE(SUBSTITUTE(SUBSTITUTE(Saisie_Questions!J78,"&amp;","&amp;amp;"),"&lt;","&amp;lt;"),"&gt;","&amp;gt;"),CHAR(34),"&amp;quot;"),"'","&amp;apos;"))</f>
        <v/>
      </c>
      <c r="R78" s="46">
        <f>IF(Saisie_Questions!K78="","",SUBSTITUTE(SUBSTITUTE(SUBSTITUTE(SUBSTITUTE(SUBSTITUTE(Saisie_Questions!K78,"&amp;","&amp;amp;"),"&lt;","&amp;lt;"),"&gt;","&amp;gt;"),CHAR(34),"&amp;quot;"),"'","&amp;apos;"))</f>
        <v/>
      </c>
      <c r="S78" s="46">
        <f>IF(Saisie_Questions!L78="","",SUBSTITUTE(SUBSTITUTE(SUBSTITUTE(SUBSTITUTE(SUBSTITUTE(Saisie_Questions!L78,"&amp;","&amp;amp;"),"&lt;","&amp;lt;"),"&gt;","&amp;gt;"),CHAR(34),"&amp;quot;"),"'","&amp;apos;"))</f>
        <v/>
      </c>
      <c r="T78" s="46">
        <f>ISNUMBER(SEARCH(";"&amp;1&amp;";",";"&amp;$J78&amp;";"))</f>
        <v/>
      </c>
      <c r="U78" s="46">
        <f>ISNUMBER(SEARCH(";"&amp;2&amp;";",";"&amp;$J78&amp;";"))</f>
        <v/>
      </c>
      <c r="V78" s="46">
        <f>ISNUMBER(SEARCH(";"&amp;3&amp;";",";"&amp;$J78&amp;";"))</f>
        <v/>
      </c>
      <c r="W78" s="46">
        <f>ISNUMBER(SEARCH(";"&amp;4&amp;";",";"&amp;$J78&amp;";"))</f>
        <v/>
      </c>
      <c r="X78" s="46">
        <f>ISNUMBER(SEARCH(";"&amp;5&amp;";",";"&amp;$J78&amp;";"))</f>
        <v/>
      </c>
      <c r="Y78" s="46">
        <f>ISNUMBER(SEARCH(";"&amp;6&amp;";",";"&amp;$J78&amp;";"))</f>
        <v/>
      </c>
      <c r="Z78" s="46">
        <f>ISNUMBER(SEARCH(";"&amp;7&amp;";",";"&amp;$J78&amp;";"))</f>
        <v/>
      </c>
      <c r="AA78" s="46">
        <f>ISNUMBER(SEARCH(";"&amp;8&amp;";",";"&amp;$J78&amp;";"))</f>
        <v/>
      </c>
      <c r="AB78" s="46">
        <f>IF($B78,IF(L78="","","        &lt;response_label ident=""0""&gt;&lt;material&gt;&lt;mattext texttype=""text/html""&gt;"&amp;L78&amp;"&lt;/mattext&gt;&lt;/material&gt;&lt;/response_label&gt;"),"")</f>
        <v/>
      </c>
      <c r="AC78" s="46">
        <f>IF($B78,IF(M78="","","        &lt;response_label ident=""1""&gt;&lt;material&gt;&lt;mattext texttype=""text/html""&gt;"&amp;M78&amp;"&lt;/mattext&gt;&lt;/material&gt;&lt;/response_label&gt;"),"")</f>
        <v/>
      </c>
      <c r="AD78" s="46">
        <f>IF($B78,IF(N78="","","        &lt;response_label ident=""2""&gt;&lt;material&gt;&lt;mattext texttype=""text/html""&gt;"&amp;N78&amp;"&lt;/mattext&gt;&lt;/material&gt;&lt;/response_label&gt;"),"")</f>
        <v/>
      </c>
      <c r="AE78" s="46">
        <f>IF($B78,IF(O78="","","        &lt;response_label ident=""3""&gt;&lt;material&gt;&lt;mattext texttype=""text/html""&gt;"&amp;O78&amp;"&lt;/mattext&gt;&lt;/material&gt;&lt;/response_label&gt;"),"")</f>
        <v/>
      </c>
      <c r="AF78" s="46">
        <f>IF($B78,IF(P78="","","        &lt;response_label ident=""4""&gt;&lt;material&gt;&lt;mattext texttype=""text/html""&gt;"&amp;P78&amp;"&lt;/mattext&gt;&lt;/material&gt;&lt;/response_label&gt;"),"")</f>
        <v/>
      </c>
      <c r="AG78" s="46">
        <f>IF($B78,IF(Q78="","","        &lt;response_label ident=""5""&gt;&lt;material&gt;&lt;mattext texttype=""text/html""&gt;"&amp;Q78&amp;"&lt;/mattext&gt;&lt;/material&gt;&lt;/response_label&gt;"),"")</f>
        <v/>
      </c>
      <c r="AH78" s="46">
        <f>IF($B78,IF(R78="","","        &lt;response_label ident=""6""&gt;&lt;material&gt;&lt;mattext texttype=""text/html""&gt;"&amp;R78&amp;"&lt;/mattext&gt;&lt;/material&gt;&lt;/response_label&gt;"),"")</f>
        <v/>
      </c>
      <c r="AI78" s="46">
        <f>IF($B78,IF(S78="","","        &lt;response_label ident=""7""&gt;&lt;material&gt;&lt;mattext texttype=""text/html""&gt;"&amp;S78&amp;"&lt;/mattext&gt;&lt;/material&gt;&lt;/response_label&gt;"),"")</f>
        <v/>
      </c>
      <c r="AJ78" s="46">
        <f>IF($B78,IF(L78="","",IF($C78="qcu",IF(OR(T78,AT78&lt;&gt;"",$AS78&lt;&gt;""),"      &lt;respcondition continue=""Yes""&gt;&lt;conditionvar&gt;&lt;varequal respident=""RESPONSE""&gt;0&lt;/varequal&gt;&lt;/conditionvar&gt;"&amp;"&lt;setvar action=""Add""&gt;"&amp;IF(T78,$H78,0)&amp;"&lt;/setvar&gt;"&amp;IF(AT78&lt;&gt;"","&lt;displayfeedback feedbacktype=""Response"" linkrefid=""response_0""/&gt;",IF($AS78&lt;&gt;"","&lt;displayfeedback feedbacktype=""Response"" linkrefid=""qti_feedback_trigger""/&gt;",""))&amp;"&lt;/respcondition&gt;",""),IF(OR(T78,AT78&lt;&gt;"",$AS78&lt;&gt;""),"      &lt;respcondition continue=""Yes""&gt;&lt;conditionvar&gt;"&amp;IF(T78,"&lt;varequal respident=""RESPONSE""&gt;0&lt;/varequal&gt;","&lt;not&gt;&lt;varequal respident=""RESPONSE""&gt;0&lt;/varequal&gt;&lt;/not&gt;")&amp;"&lt;/conditionvar&gt;&lt;setvar action=""Add""&gt;"&amp;(Saisie_Questions!$N78/$I78)&amp;"&lt;/setvar&gt;"&amp;IF(AT78&lt;&gt;"","&lt;displayfeedback feedbacktype=""Response"" linkrefid=""response_0""/&gt;",IF($AS78&lt;&gt;"","&lt;displayfeedback feedbacktype=""Response"" linkrefid=""qti_feedback_trigger""/&gt;",""))&amp;"&lt;/respcondition&gt;",""))),"")</f>
      </c>
      <c r="AK78" s="46">
        <f>IF($B78,IF(M78="","",IF($C78="qcu",IF(OR(U78,AU78&lt;&gt;"",$AS78&lt;&gt;""),"      &lt;respcondition continue=""Yes""&gt;&lt;conditionvar&gt;&lt;varequal respident=""RESPONSE""&gt;1&lt;/varequal&gt;&lt;/conditionvar&gt;"&amp;"&lt;setvar action=""Add""&gt;"&amp;IF(U78,$H78,0)&amp;"&lt;/setvar&gt;"&amp;IF(AU78&lt;&gt;"","&lt;displayfeedback feedbacktype=""Response"" linkrefid=""response_1""/&gt;",IF($AS78&lt;&gt;"","&lt;displayfeedback feedbacktype=""Response"" linkrefid=""qti_feedback_trigger""/&gt;",""))&amp;"&lt;/respcondition&gt;",""),IF(OR(U78,AU78&lt;&gt;"",$AS78&lt;&gt;""),"      &lt;respcondition continue=""Yes""&gt;&lt;conditionvar&gt;"&amp;IF(U78,"&lt;varequal respident=""RESPONSE""&gt;1&lt;/varequal&gt;","&lt;not&gt;&lt;varequal respident=""RESPONSE""&gt;1&lt;/varequal&gt;&lt;/not&gt;")&amp;"&lt;/conditionvar&gt;&lt;setvar action=""Add""&gt;"&amp;(Saisie_Questions!$N78/$I78)&amp;"&lt;/setvar&gt;"&amp;IF(AU78&lt;&gt;"","&lt;displayfeedback feedbacktype=""Response"" linkrefid=""response_1""/&gt;",IF($AS78&lt;&gt;"","&lt;displayfeedback feedbacktype=""Response"" linkrefid=""qti_feedback_trigger""/&gt;",""))&amp;"&lt;/respcondition&gt;",""))),"")</f>
      </c>
      <c r="AL78" s="46">
        <f>IF($B78,IF(N78="","",IF($C78="qcu",IF(OR(V78,AV78&lt;&gt;"",$AS78&lt;&gt;""),"      &lt;respcondition continue=""Yes""&gt;&lt;conditionvar&gt;&lt;varequal respident=""RESPONSE""&gt;2&lt;/varequal&gt;&lt;/conditionvar&gt;"&amp;"&lt;setvar action=""Add""&gt;"&amp;IF(V78,$H78,0)&amp;"&lt;/setvar&gt;"&amp;IF(AV78&lt;&gt;"","&lt;displayfeedback feedbacktype=""Response"" linkrefid=""response_2""/&gt;",IF($AS78&lt;&gt;"","&lt;displayfeedback feedbacktype=""Response"" linkrefid=""qti_feedback_trigger""/&gt;",""))&amp;"&lt;/respcondition&gt;",""),IF(OR(V78,AV78&lt;&gt;"",$AS78&lt;&gt;""),"      &lt;respcondition continue=""Yes""&gt;&lt;conditionvar&gt;"&amp;IF(V78,"&lt;varequal respident=""RESPONSE""&gt;2&lt;/varequal&gt;","&lt;not&gt;&lt;varequal respident=""RESPONSE""&gt;2&lt;/varequal&gt;&lt;/not&gt;")&amp;"&lt;/conditionvar&gt;&lt;setvar action=""Add""&gt;"&amp;(Saisie_Questions!$N78/$I78)&amp;"&lt;/setvar&gt;"&amp;IF(AV78&lt;&gt;"","&lt;displayfeedback feedbacktype=""Response"" linkrefid=""response_2""/&gt;",IF($AS78&lt;&gt;"","&lt;displayfeedback feedbacktype=""Response"" linkrefid=""qti_feedback_trigger""/&gt;",""))&amp;"&lt;/respcondition&gt;",""))),"")</f>
      </c>
      <c r="AM78" s="46">
        <f>IF($B78,IF(O78="","",IF($C78="qcu",IF(OR(W78,AW78&lt;&gt;"",$AS78&lt;&gt;""),"      &lt;respcondition continue=""Yes""&gt;&lt;conditionvar&gt;&lt;varequal respident=""RESPONSE""&gt;3&lt;/varequal&gt;&lt;/conditionvar&gt;"&amp;"&lt;setvar action=""Add""&gt;"&amp;IF(W78,$H78,0)&amp;"&lt;/setvar&gt;"&amp;IF(AW78&lt;&gt;"","&lt;displayfeedback feedbacktype=""Response"" linkrefid=""response_3""/&gt;",IF($AS78&lt;&gt;"","&lt;displayfeedback feedbacktype=""Response"" linkrefid=""qti_feedback_trigger""/&gt;",""))&amp;"&lt;/respcondition&gt;",""),IF(OR(W78,AW78&lt;&gt;"",$AS78&lt;&gt;""),"      &lt;respcondition continue=""Yes""&gt;&lt;conditionvar&gt;"&amp;IF(W78,"&lt;varequal respident=""RESPONSE""&gt;3&lt;/varequal&gt;","&lt;not&gt;&lt;varequal respident=""RESPONSE""&gt;3&lt;/varequal&gt;&lt;/not&gt;")&amp;"&lt;/conditionvar&gt;&lt;setvar action=""Add""&gt;"&amp;(Saisie_Questions!$N78/$I78)&amp;"&lt;/setvar&gt;"&amp;IF(AW78&lt;&gt;"","&lt;displayfeedback feedbacktype=""Response"" linkrefid=""response_3""/&gt;",IF($AS78&lt;&gt;"","&lt;displayfeedback feedbacktype=""Response"" linkrefid=""qti_feedback_trigger""/&gt;",""))&amp;"&lt;/respcondition&gt;",""))),"")</f>
      </c>
      <c r="AN78" s="46">
        <f>IF($B78,IF(P78="","",IF($C78="qcu",IF(OR(X78,AX78&lt;&gt;"",$AS78&lt;&gt;""),"      &lt;respcondition continue=""Yes""&gt;&lt;conditionvar&gt;&lt;varequal respident=""RESPONSE""&gt;4&lt;/varequal&gt;&lt;/conditionvar&gt;"&amp;"&lt;setvar action=""Add""&gt;"&amp;IF(X78,$H78,0)&amp;"&lt;/setvar&gt;"&amp;IF(AX78&lt;&gt;"","&lt;displayfeedback feedbacktype=""Response"" linkrefid=""response_4""/&gt;",IF($AS78&lt;&gt;"","&lt;displayfeedback feedbacktype=""Response"" linkrefid=""qti_feedback_trigger""/&gt;",""))&amp;"&lt;/respcondition&gt;",""),IF(OR(X78,AX78&lt;&gt;"",$AS78&lt;&gt;""),"      &lt;respcondition continue=""Yes""&gt;&lt;conditionvar&gt;"&amp;IF(X78,"&lt;varequal respident=""RESPONSE""&gt;4&lt;/varequal&gt;","&lt;not&gt;&lt;varequal respident=""RESPONSE""&gt;4&lt;/varequal&gt;&lt;/not&gt;")&amp;"&lt;/conditionvar&gt;&lt;setvar action=""Add""&gt;"&amp;(Saisie_Questions!$N78/$I78)&amp;"&lt;/setvar&gt;"&amp;IF(AX78&lt;&gt;"","&lt;displayfeedback feedbacktype=""Response"" linkrefid=""response_4""/&gt;",IF($AS78&lt;&gt;"","&lt;displayfeedback feedbacktype=""Response"" linkrefid=""qti_feedback_trigger""/&gt;",""))&amp;"&lt;/respcondition&gt;",""))),"")</f>
      </c>
      <c r="AO78" s="46">
        <f>IF($B78,IF(Q78="","",IF($C78="qcu",IF(OR(Y78,AY78&lt;&gt;"",$AS78&lt;&gt;""),"      &lt;respcondition continue=""Yes""&gt;&lt;conditionvar&gt;&lt;varequal respident=""RESPONSE""&gt;5&lt;/varequal&gt;&lt;/conditionvar&gt;"&amp;"&lt;setvar action=""Add""&gt;"&amp;IF(Y78,$H78,0)&amp;"&lt;/setvar&gt;"&amp;IF(AY78&lt;&gt;"","&lt;displayfeedback feedbacktype=""Response"" linkrefid=""response_5""/&gt;",IF($AS78&lt;&gt;"","&lt;displayfeedback feedbacktype=""Response"" linkrefid=""qti_feedback_trigger""/&gt;",""))&amp;"&lt;/respcondition&gt;",""),IF(OR(Y78,AY78&lt;&gt;"",$AS78&lt;&gt;""),"      &lt;respcondition continue=""Yes""&gt;&lt;conditionvar&gt;"&amp;IF(Y78,"&lt;varequal respident=""RESPONSE""&gt;5&lt;/varequal&gt;","&lt;not&gt;&lt;varequal respident=""RESPONSE""&gt;5&lt;/varequal&gt;&lt;/not&gt;")&amp;"&lt;/conditionvar&gt;&lt;setvar action=""Add""&gt;"&amp;(Saisie_Questions!$N78/$I78)&amp;"&lt;/setvar&gt;"&amp;IF(AY78&lt;&gt;"","&lt;displayfeedback feedbacktype=""Response"" linkrefid=""response_5""/&gt;",IF($AS78&lt;&gt;"","&lt;displayfeedback feedbacktype=""Response"" linkrefid=""qti_feedback_trigger""/&gt;",""))&amp;"&lt;/respcondition&gt;",""))),"")</f>
      </c>
      <c r="AP78" s="46">
        <f>IF($B78,IF(R78="","",IF($C78="qcu",IF(OR(Z78,AZ78&lt;&gt;"",$AS78&lt;&gt;""),"      &lt;respcondition continue=""Yes""&gt;&lt;conditionvar&gt;&lt;varequal respident=""RESPONSE""&gt;6&lt;/varequal&gt;&lt;/conditionvar&gt;"&amp;"&lt;setvar action=""Add""&gt;"&amp;IF(Z78,$H78,0)&amp;"&lt;/setvar&gt;"&amp;IF(AZ78&lt;&gt;"","&lt;displayfeedback feedbacktype=""Response"" linkrefid=""response_6""/&gt;",IF($AS78&lt;&gt;"","&lt;displayfeedback feedbacktype=""Response"" linkrefid=""qti_feedback_trigger""/&gt;",""))&amp;"&lt;/respcondition&gt;",""),IF(OR(Z78,AZ78&lt;&gt;"",$AS78&lt;&gt;""),"      &lt;respcondition continue=""Yes""&gt;&lt;conditionvar&gt;"&amp;IF(Z78,"&lt;varequal respident=""RESPONSE""&gt;6&lt;/varequal&gt;","&lt;not&gt;&lt;varequal respident=""RESPONSE""&gt;6&lt;/varequal&gt;&lt;/not&gt;")&amp;"&lt;/conditionvar&gt;&lt;setvar action=""Add""&gt;"&amp;(Saisie_Questions!$N78/$I78)&amp;"&lt;/setvar&gt;"&amp;IF(AZ78&lt;&gt;"","&lt;displayfeedback feedbacktype=""Response"" linkrefid=""response_6""/&gt;",IF($AS78&lt;&gt;"","&lt;displayfeedback feedbacktype=""Response"" linkrefid=""qti_feedback_trigger""/&gt;",""))&amp;"&lt;/respcondition&gt;",""))),"")</f>
      </c>
      <c r="AQ78" s="46">
        <f>IF($B78,IF(S78="","",IF($C78="qcu",IF(OR(AA78,BA78&lt;&gt;"",$AS78&lt;&gt;""),"      &lt;respcondition continue=""Yes""&gt;&lt;conditionvar&gt;&lt;varequal respident=""RESPONSE""&gt;7&lt;/varequal&gt;&lt;/conditionvar&gt;"&amp;"&lt;setvar action=""Add""&gt;"&amp;IF(AA78,$H78,0)&amp;"&lt;/setvar&gt;"&amp;IF(BA78&lt;&gt;"","&lt;displayfeedback feedbacktype=""Response"" linkrefid=""response_7""/&gt;",IF($AS78&lt;&gt;"","&lt;displayfeedback feedbacktype=""Response"" linkrefid=""qti_feedback_trigger""/&gt;",""))&amp;"&lt;/respcondition&gt;",""),IF(OR(AA78,BA78&lt;&gt;"",$AS78&lt;&gt;""),"      &lt;respcondition continue=""Yes""&gt;&lt;conditionvar&gt;"&amp;IF(AA78,"&lt;varequal respident=""RESPONSE""&gt;7&lt;/varequal&gt;","&lt;not&gt;&lt;varequal respident=""RESPONSE""&gt;7&lt;/varequal&gt;&lt;/not&gt;")&amp;"&lt;/conditionvar&gt;&lt;setvar action=""Add""&gt;"&amp;(Saisie_Questions!$N78/$I78)&amp;"&lt;/setvar&gt;"&amp;IF(BA78&lt;&gt;"","&lt;displayfeedback feedbacktype=""Response"" linkrefid=""response_7""/&gt;",IF($AS78&lt;&gt;"","&lt;displayfeedback feedbacktype=""Response"" linkrefid=""qti_feedback_trigger""/&gt;",""))&amp;"&lt;/respcondition&gt;",""))),"")</f>
      </c>
      <c r="AR78" s="46">
        <f>IF(A78="","",SUBSTITUTE(SUBSTITUTE(SUBSTITUTE(SUBSTITUTE(SUBSTITUTE(IF(Saisie_Questions!P78&lt;&gt;"",Saisie_Questions!P78,Interface_Generation!$B$5),"&amp;","&amp;amp;"),"&lt;","&amp;lt;"),"&gt;","&amp;gt;"),CHAR(34),"&amp;quot;"),"'","&amp;apos;"))</f>
        <v/>
      </c>
      <c r="AS78" s="46">
        <f>IF(Saisie_Questions!Q78="","",SUBSTITUTE(SUBSTITUTE(SUBSTITUTE(SUBSTITUTE(SUBSTITUTE(Saisie_Questions!Q78,"&amp;","&amp;amp;"),"&lt;","&amp;lt;"),"&gt;","&amp;gt;"),CHAR(34),"&amp;quot;"),"'","&amp;apos;"))</f>
        <v/>
      </c>
      <c r="AT78" s="46">
        <f>IF(Saisie_Questions!R78="","",SUBSTITUTE(SUBSTITUTE(SUBSTITUTE(SUBSTITUTE(SUBSTITUTE(Saisie_Questions!R78,"&amp;","&amp;amp;"),"&lt;","&amp;lt;"),"&gt;","&amp;gt;"),CHAR(34),"&amp;quot;"),"'","&amp;apos;"))</f>
        <v/>
      </c>
      <c r="AU78" s="46">
        <f>IF(Saisie_Questions!S78="","",SUBSTITUTE(SUBSTITUTE(SUBSTITUTE(SUBSTITUTE(SUBSTITUTE(Saisie_Questions!S78,"&amp;","&amp;amp;"),"&lt;","&amp;lt;"),"&gt;","&amp;gt;"),CHAR(34),"&amp;quot;"),"'","&amp;apos;"))</f>
        <v/>
      </c>
      <c r="AV78" s="46">
        <f>IF(Saisie_Questions!T78="","",SUBSTITUTE(SUBSTITUTE(SUBSTITUTE(SUBSTITUTE(SUBSTITUTE(Saisie_Questions!T78,"&amp;","&amp;amp;"),"&lt;","&amp;lt;"),"&gt;","&amp;gt;"),CHAR(34),"&amp;quot;"),"'","&amp;apos;"))</f>
        <v/>
      </c>
      <c r="AW78" s="46">
        <f>IF(Saisie_Questions!U78="","",SUBSTITUTE(SUBSTITUTE(SUBSTITUTE(SUBSTITUTE(SUBSTITUTE(Saisie_Questions!U78,"&amp;","&amp;amp;"),"&lt;","&amp;lt;"),"&gt;","&amp;gt;"),CHAR(34),"&amp;quot;"),"'","&amp;apos;"))</f>
        <v/>
      </c>
      <c r="AX78" s="46">
        <f>IF(Saisie_Questions!V78="","",SUBSTITUTE(SUBSTITUTE(SUBSTITUTE(SUBSTITUTE(SUBSTITUTE(Saisie_Questions!V78,"&amp;","&amp;amp;"),"&lt;","&amp;lt;"),"&gt;","&amp;gt;"),CHAR(34),"&amp;quot;"),"'","&amp;apos;"))</f>
        <v/>
      </c>
      <c r="AY78" s="46">
        <f>IF(Saisie_Questions!W78="","",SUBSTITUTE(SUBSTITUTE(SUBSTITUTE(SUBSTITUTE(SUBSTITUTE(Saisie_Questions!W78,"&amp;","&amp;amp;"),"&lt;","&amp;lt;"),"&gt;","&amp;gt;"),CHAR(34),"&amp;quot;"),"'","&amp;apos;"))</f>
        <v/>
      </c>
      <c r="AZ78" s="46">
        <f>IF(Saisie_Questions!X78="","",SUBSTITUTE(SUBSTITUTE(SUBSTITUTE(SUBSTITUTE(SUBSTITUTE(Saisie_Questions!X78,"&amp;","&amp;amp;"),"&lt;","&amp;lt;"),"&gt;","&amp;gt;"),CHAR(34),"&amp;quot;"),"'","&amp;apos;"))</f>
        <v/>
      </c>
      <c r="BA78" s="46">
        <f>IF(Saisie_Questions!Y78="","",SUBSTITUTE(SUBSTITUTE(SUBSTITUTE(SUBSTITUTE(SUBSTITUTE(Saisie_Questions!Y78,"&amp;","&amp;amp;"),"&lt;","&amp;lt;"),"&gt;","&amp;gt;"),CHAR(34),"&amp;quot;"),"'","&amp;apos;"))</f>
        <v/>
      </c>
      <c r="BB78" s="46">
        <f>IF($B78,IF($AS78="","","    &lt;itemfeedback ident=""response_allcorrect"" view=""All""&gt;&lt;flow_mat&gt;&lt;material&gt;&lt;mattext texttype=""text/html""&gt;"&amp;$AS78&amp;"&lt;/mattext&gt;&lt;/material&gt;&lt;/flow_mat&gt;&lt;/itemfeedback&gt;"&amp;"    &lt;itemfeedback ident=""response_onenotcorrect"" view=""All""&gt;&lt;flow_mat&gt;&lt;material&gt;&lt;mattext texttype=""text/html""&gt;"&amp;$AS78&amp;"&lt;/mattext&gt;&lt;/material&gt;&lt;/flow_mat&gt;&lt;/itemfeedback&gt;"),"")</f>
      </c>
      <c r="BC78" s="46">
        <f>IF($B78,IF(AT78="","","    &lt;itemfeedback ident=""response_0"" view=""All""&gt;&lt;flow_mat&gt;&lt;material&gt;&lt;mattext texttype=""text/html""&gt;"&amp;AT78&amp;"&lt;/mattext&gt;&lt;/material&gt;&lt;/flow_mat&gt;&lt;/itemfeedback&gt;"),"")</f>
      </c>
      <c r="BD78" s="46">
        <f>IF($B78,IF(AU78="","","    &lt;itemfeedback ident=""response_1"" view=""All""&gt;&lt;flow_mat&gt;&lt;material&gt;&lt;mattext texttype=""text/html""&gt;"&amp;AU78&amp;"&lt;/mattext&gt;&lt;/material&gt;&lt;/flow_mat&gt;&lt;/itemfeedback&gt;"),"")</f>
      </c>
      <c r="BE78" s="46">
        <f>IF($B78,IF(AV78="","","    &lt;itemfeedback ident=""response_2"" view=""All""&gt;&lt;flow_mat&gt;&lt;material&gt;&lt;mattext texttype=""text/html""&gt;"&amp;AV78&amp;"&lt;/mattext&gt;&lt;/material&gt;&lt;/flow_mat&gt;&lt;/itemfeedback&gt;"),"")</f>
      </c>
      <c r="BF78" s="46">
        <f>IF($B78,IF(AW78="","","    &lt;itemfeedback ident=""response_3"" view=""All""&gt;&lt;flow_mat&gt;&lt;material&gt;&lt;mattext texttype=""text/html""&gt;"&amp;AW78&amp;"&lt;/mattext&gt;&lt;/material&gt;&lt;/flow_mat&gt;&lt;/itemfeedback&gt;"),"")</f>
      </c>
      <c r="BG78" s="46">
        <f>IF($B78,IF(AX78="","","    &lt;itemfeedback ident=""response_4"" view=""All""&gt;&lt;flow_mat&gt;&lt;material&gt;&lt;mattext texttype=""text/html""&gt;"&amp;AX78&amp;"&lt;/mattext&gt;&lt;/material&gt;&lt;/flow_mat&gt;&lt;/itemfeedback&gt;"),"")</f>
      </c>
      <c r="BH78" s="46">
        <f>IF($B78,IF(AY78="","","    &lt;itemfeedback ident=""response_5"" view=""All""&gt;&lt;flow_mat&gt;&lt;material&gt;&lt;mattext texttype=""text/html""&gt;"&amp;AY78&amp;"&lt;/mattext&gt;&lt;/material&gt;&lt;/flow_mat&gt;&lt;/itemfeedback&gt;"),"")</f>
      </c>
      <c r="BI78" s="46">
        <f>IF($B78,IF(AZ78="","","    &lt;itemfeedback ident=""response_6"" view=""All""&gt;&lt;flow_mat&gt;&lt;material&gt;&lt;mattext texttype=""text/html""&gt;"&amp;AZ78&amp;"&lt;/mattext&gt;&lt;/material&gt;&lt;/flow_mat&gt;&lt;/itemfeedback&gt;"),"")</f>
      </c>
      <c r="BJ78" s="46">
        <f>IF($B78,IF(BA78="","","    &lt;itemfeedback ident=""response_7"" view=""All""&gt;&lt;flow_mat&gt;&lt;material&gt;&lt;mattext texttype=""text/html""&gt;"&amp;BA78&amp;"&lt;/mattext&gt;&lt;/material&gt;&lt;/flow_mat&gt;&lt;/itemfeedback&gt;"),"")</f>
      </c>
    </row>
    <row r="79" ht="18" customHeight="1" s="17">
      <c r="A79" s="46">
        <f>Saisie_Questions!A79</f>
        <v/>
      </c>
      <c r="B79" s="46">
        <f>Saisie_Questions!O79="OK"</f>
        <v/>
      </c>
      <c r="C79" s="46">
        <f>LOWER(TRIM(Saisie_Questions!B79))</f>
        <v/>
      </c>
      <c r="D79" s="46">
        <f>IF(C79="qcu","SINGLE CHOICE QUESTION","MULTIPLE CHOICE QUESTION")</f>
        <v/>
      </c>
      <c r="E79" s="46">
        <f>IF(C79="qcu","Single","Multiple")</f>
        <v/>
      </c>
      <c r="F79" s="46">
        <f>IF(A79="","",SUBSTITUTE(SUBSTITUTE(SUBSTITUTE(SUBSTITUTE(SUBSTITUTE(IF(Saisie_Questions!C79="", "Question "&amp;A79, Saisie_Questions!C79),"&amp;","&amp;amp;"),"&lt;","&amp;lt;"),"&gt;","&amp;gt;"),CHAR(34),"&amp;quot;"),"'","&amp;apos;"))</f>
        <v/>
      </c>
      <c r="G79" s="46">
        <f>IF(A79="","",SUBSTITUTE(SUBSTITUTE(SUBSTITUTE(SUBSTITUTE(SUBSTITUTE(Saisie_Questions!D79,"&amp;","&amp;amp;"),"&lt;","&amp;lt;"),"&gt;","&amp;gt;"),CHAR(34),"&amp;quot;"),"'","&amp;apos;"))</f>
        <v/>
      </c>
      <c r="H79" s="46">
        <f>Saisie_Questions!N79</f>
        <v/>
      </c>
      <c r="I79" s="46">
        <f>IF(Saisie_Questions!E79="",0,1)+IF(Saisie_Questions!F79="",0,1)+IF(Saisie_Questions!G79="",0,1)+IF(Saisie_Questions!H79="",0,1)+IF(Saisie_Questions!I79="",0,1)+IF(Saisie_Questions!J79="",0,1)+IF(Saisie_Questions!K79="",0,1)+IF(Saisie_Questions!L79="",0,1)</f>
        <v/>
      </c>
      <c r="J79" s="46">
        <f>Saisie_Questions!M79</f>
        <v/>
      </c>
      <c r="K79" s="46">
        <f>Saisie_Questions!O79</f>
        <v/>
      </c>
      <c r="L79" s="46">
        <f>IF(Saisie_Questions!E79="","",SUBSTITUTE(SUBSTITUTE(SUBSTITUTE(SUBSTITUTE(SUBSTITUTE(Saisie_Questions!E79,"&amp;","&amp;amp;"),"&lt;","&amp;lt;"),"&gt;","&amp;gt;"),CHAR(34),"&amp;quot;"),"'","&amp;apos;"))</f>
        <v/>
      </c>
      <c r="M79" s="46">
        <f>IF(Saisie_Questions!F79="","",SUBSTITUTE(SUBSTITUTE(SUBSTITUTE(SUBSTITUTE(SUBSTITUTE(Saisie_Questions!F79,"&amp;","&amp;amp;"),"&lt;","&amp;lt;"),"&gt;","&amp;gt;"),CHAR(34),"&amp;quot;"),"'","&amp;apos;"))</f>
        <v/>
      </c>
      <c r="N79" s="46">
        <f>IF(Saisie_Questions!G79="","",SUBSTITUTE(SUBSTITUTE(SUBSTITUTE(SUBSTITUTE(SUBSTITUTE(Saisie_Questions!G79,"&amp;","&amp;amp;"),"&lt;","&amp;lt;"),"&gt;","&amp;gt;"),CHAR(34),"&amp;quot;"),"'","&amp;apos;"))</f>
        <v/>
      </c>
      <c r="O79" s="46">
        <f>IF(Saisie_Questions!H79="","",SUBSTITUTE(SUBSTITUTE(SUBSTITUTE(SUBSTITUTE(SUBSTITUTE(Saisie_Questions!H79,"&amp;","&amp;amp;"),"&lt;","&amp;lt;"),"&gt;","&amp;gt;"),CHAR(34),"&amp;quot;"),"'","&amp;apos;"))</f>
        <v/>
      </c>
      <c r="P79" s="46">
        <f>IF(Saisie_Questions!I79="","",SUBSTITUTE(SUBSTITUTE(SUBSTITUTE(SUBSTITUTE(SUBSTITUTE(Saisie_Questions!I79,"&amp;","&amp;amp;"),"&lt;","&amp;lt;"),"&gt;","&amp;gt;"),CHAR(34),"&amp;quot;"),"'","&amp;apos;"))</f>
        <v/>
      </c>
      <c r="Q79" s="46">
        <f>IF(Saisie_Questions!J79="","",SUBSTITUTE(SUBSTITUTE(SUBSTITUTE(SUBSTITUTE(SUBSTITUTE(Saisie_Questions!J79,"&amp;","&amp;amp;"),"&lt;","&amp;lt;"),"&gt;","&amp;gt;"),CHAR(34),"&amp;quot;"),"'","&amp;apos;"))</f>
        <v/>
      </c>
      <c r="R79" s="46">
        <f>IF(Saisie_Questions!K79="","",SUBSTITUTE(SUBSTITUTE(SUBSTITUTE(SUBSTITUTE(SUBSTITUTE(Saisie_Questions!K79,"&amp;","&amp;amp;"),"&lt;","&amp;lt;"),"&gt;","&amp;gt;"),CHAR(34),"&amp;quot;"),"'","&amp;apos;"))</f>
        <v/>
      </c>
      <c r="S79" s="46">
        <f>IF(Saisie_Questions!L79="","",SUBSTITUTE(SUBSTITUTE(SUBSTITUTE(SUBSTITUTE(SUBSTITUTE(Saisie_Questions!L79,"&amp;","&amp;amp;"),"&lt;","&amp;lt;"),"&gt;","&amp;gt;"),CHAR(34),"&amp;quot;"),"'","&amp;apos;"))</f>
        <v/>
      </c>
      <c r="T79" s="46">
        <f>ISNUMBER(SEARCH(";"&amp;1&amp;";",";"&amp;$J79&amp;";"))</f>
        <v/>
      </c>
      <c r="U79" s="46">
        <f>ISNUMBER(SEARCH(";"&amp;2&amp;";",";"&amp;$J79&amp;";"))</f>
        <v/>
      </c>
      <c r="V79" s="46">
        <f>ISNUMBER(SEARCH(";"&amp;3&amp;";",";"&amp;$J79&amp;";"))</f>
        <v/>
      </c>
      <c r="W79" s="46">
        <f>ISNUMBER(SEARCH(";"&amp;4&amp;";",";"&amp;$J79&amp;";"))</f>
        <v/>
      </c>
      <c r="X79" s="46">
        <f>ISNUMBER(SEARCH(";"&amp;5&amp;";",";"&amp;$J79&amp;";"))</f>
        <v/>
      </c>
      <c r="Y79" s="46">
        <f>ISNUMBER(SEARCH(";"&amp;6&amp;";",";"&amp;$J79&amp;";"))</f>
        <v/>
      </c>
      <c r="Z79" s="46">
        <f>ISNUMBER(SEARCH(";"&amp;7&amp;";",";"&amp;$J79&amp;";"))</f>
        <v/>
      </c>
      <c r="AA79" s="46">
        <f>ISNUMBER(SEARCH(";"&amp;8&amp;";",";"&amp;$J79&amp;";"))</f>
        <v/>
      </c>
      <c r="AB79" s="46">
        <f>IF($B79,IF(L79="","","        &lt;response_label ident=""0""&gt;&lt;material&gt;&lt;mattext texttype=""text/html""&gt;"&amp;L79&amp;"&lt;/mattext&gt;&lt;/material&gt;&lt;/response_label&gt;"),"")</f>
        <v/>
      </c>
      <c r="AC79" s="46">
        <f>IF($B79,IF(M79="","","        &lt;response_label ident=""1""&gt;&lt;material&gt;&lt;mattext texttype=""text/html""&gt;"&amp;M79&amp;"&lt;/mattext&gt;&lt;/material&gt;&lt;/response_label&gt;"),"")</f>
        <v/>
      </c>
      <c r="AD79" s="46">
        <f>IF($B79,IF(N79="","","        &lt;response_label ident=""2""&gt;&lt;material&gt;&lt;mattext texttype=""text/html""&gt;"&amp;N79&amp;"&lt;/mattext&gt;&lt;/material&gt;&lt;/response_label&gt;"),"")</f>
        <v/>
      </c>
      <c r="AE79" s="46">
        <f>IF($B79,IF(O79="","","        &lt;response_label ident=""3""&gt;&lt;material&gt;&lt;mattext texttype=""text/html""&gt;"&amp;O79&amp;"&lt;/mattext&gt;&lt;/material&gt;&lt;/response_label&gt;"),"")</f>
        <v/>
      </c>
      <c r="AF79" s="46">
        <f>IF($B79,IF(P79="","","        &lt;response_label ident=""4""&gt;&lt;material&gt;&lt;mattext texttype=""text/html""&gt;"&amp;P79&amp;"&lt;/mattext&gt;&lt;/material&gt;&lt;/response_label&gt;"),"")</f>
        <v/>
      </c>
      <c r="AG79" s="46">
        <f>IF($B79,IF(Q79="","","        &lt;response_label ident=""5""&gt;&lt;material&gt;&lt;mattext texttype=""text/html""&gt;"&amp;Q79&amp;"&lt;/mattext&gt;&lt;/material&gt;&lt;/response_label&gt;"),"")</f>
        <v/>
      </c>
      <c r="AH79" s="46">
        <f>IF($B79,IF(R79="","","        &lt;response_label ident=""6""&gt;&lt;material&gt;&lt;mattext texttype=""text/html""&gt;"&amp;R79&amp;"&lt;/mattext&gt;&lt;/material&gt;&lt;/response_label&gt;"),"")</f>
        <v/>
      </c>
      <c r="AI79" s="46">
        <f>IF($B79,IF(S79="","","        &lt;response_label ident=""7""&gt;&lt;material&gt;&lt;mattext texttype=""text/html""&gt;"&amp;S79&amp;"&lt;/mattext&gt;&lt;/material&gt;&lt;/response_label&gt;"),"")</f>
        <v/>
      </c>
      <c r="AJ79" s="46">
        <f>IF($B79,IF(L79="","",IF($C79="qcu",IF(OR(T79,AT79&lt;&gt;"",$AS79&lt;&gt;""),"      &lt;respcondition continue=""Yes""&gt;&lt;conditionvar&gt;&lt;varequal respident=""RESPONSE""&gt;0&lt;/varequal&gt;&lt;/conditionvar&gt;"&amp;"&lt;setvar action=""Add""&gt;"&amp;IF(T79,$H79,0)&amp;"&lt;/setvar&gt;"&amp;IF(AT79&lt;&gt;"","&lt;displayfeedback feedbacktype=""Response"" linkrefid=""response_0""/&gt;",IF($AS79&lt;&gt;"","&lt;displayfeedback feedbacktype=""Response"" linkrefid=""qti_feedback_trigger""/&gt;",""))&amp;"&lt;/respcondition&gt;",""),IF(OR(T79,AT79&lt;&gt;"",$AS79&lt;&gt;""),"      &lt;respcondition continue=""Yes""&gt;&lt;conditionvar&gt;"&amp;IF(T79,"&lt;varequal respident=""RESPONSE""&gt;0&lt;/varequal&gt;","&lt;not&gt;&lt;varequal respident=""RESPONSE""&gt;0&lt;/varequal&gt;&lt;/not&gt;")&amp;"&lt;/conditionvar&gt;&lt;setvar action=""Add""&gt;"&amp;(Saisie_Questions!$N79/$I79)&amp;"&lt;/setvar&gt;"&amp;IF(AT79&lt;&gt;"","&lt;displayfeedback feedbacktype=""Response"" linkrefid=""response_0""/&gt;",IF($AS79&lt;&gt;"","&lt;displayfeedback feedbacktype=""Response"" linkrefid=""qti_feedback_trigger""/&gt;",""))&amp;"&lt;/respcondition&gt;",""))),"")</f>
      </c>
      <c r="AK79" s="46">
        <f>IF($B79,IF(M79="","",IF($C79="qcu",IF(OR(U79,AU79&lt;&gt;"",$AS79&lt;&gt;""),"      &lt;respcondition continue=""Yes""&gt;&lt;conditionvar&gt;&lt;varequal respident=""RESPONSE""&gt;1&lt;/varequal&gt;&lt;/conditionvar&gt;"&amp;"&lt;setvar action=""Add""&gt;"&amp;IF(U79,$H79,0)&amp;"&lt;/setvar&gt;"&amp;IF(AU79&lt;&gt;"","&lt;displayfeedback feedbacktype=""Response"" linkrefid=""response_1""/&gt;",IF($AS79&lt;&gt;"","&lt;displayfeedback feedbacktype=""Response"" linkrefid=""qti_feedback_trigger""/&gt;",""))&amp;"&lt;/respcondition&gt;",""),IF(OR(U79,AU79&lt;&gt;"",$AS79&lt;&gt;""),"      &lt;respcondition continue=""Yes""&gt;&lt;conditionvar&gt;"&amp;IF(U79,"&lt;varequal respident=""RESPONSE""&gt;1&lt;/varequal&gt;","&lt;not&gt;&lt;varequal respident=""RESPONSE""&gt;1&lt;/varequal&gt;&lt;/not&gt;")&amp;"&lt;/conditionvar&gt;&lt;setvar action=""Add""&gt;"&amp;(Saisie_Questions!$N79/$I79)&amp;"&lt;/setvar&gt;"&amp;IF(AU79&lt;&gt;"","&lt;displayfeedback feedbacktype=""Response"" linkrefid=""response_1""/&gt;",IF($AS79&lt;&gt;"","&lt;displayfeedback feedbacktype=""Response"" linkrefid=""qti_feedback_trigger""/&gt;",""))&amp;"&lt;/respcondition&gt;",""))),"")</f>
      </c>
      <c r="AL79" s="46">
        <f>IF($B79,IF(N79="","",IF($C79="qcu",IF(OR(V79,AV79&lt;&gt;"",$AS79&lt;&gt;""),"      &lt;respcondition continue=""Yes""&gt;&lt;conditionvar&gt;&lt;varequal respident=""RESPONSE""&gt;2&lt;/varequal&gt;&lt;/conditionvar&gt;"&amp;"&lt;setvar action=""Add""&gt;"&amp;IF(V79,$H79,0)&amp;"&lt;/setvar&gt;"&amp;IF(AV79&lt;&gt;"","&lt;displayfeedback feedbacktype=""Response"" linkrefid=""response_2""/&gt;",IF($AS79&lt;&gt;"","&lt;displayfeedback feedbacktype=""Response"" linkrefid=""qti_feedback_trigger""/&gt;",""))&amp;"&lt;/respcondition&gt;",""),IF(OR(V79,AV79&lt;&gt;"",$AS79&lt;&gt;""),"      &lt;respcondition continue=""Yes""&gt;&lt;conditionvar&gt;"&amp;IF(V79,"&lt;varequal respident=""RESPONSE""&gt;2&lt;/varequal&gt;","&lt;not&gt;&lt;varequal respident=""RESPONSE""&gt;2&lt;/varequal&gt;&lt;/not&gt;")&amp;"&lt;/conditionvar&gt;&lt;setvar action=""Add""&gt;"&amp;(Saisie_Questions!$N79/$I79)&amp;"&lt;/setvar&gt;"&amp;IF(AV79&lt;&gt;"","&lt;displayfeedback feedbacktype=""Response"" linkrefid=""response_2""/&gt;",IF($AS79&lt;&gt;"","&lt;displayfeedback feedbacktype=""Response"" linkrefid=""qti_feedback_trigger""/&gt;",""))&amp;"&lt;/respcondition&gt;",""))),"")</f>
      </c>
      <c r="AM79" s="46">
        <f>IF($B79,IF(O79="","",IF($C79="qcu",IF(OR(W79,AW79&lt;&gt;"",$AS79&lt;&gt;""),"      &lt;respcondition continue=""Yes""&gt;&lt;conditionvar&gt;&lt;varequal respident=""RESPONSE""&gt;3&lt;/varequal&gt;&lt;/conditionvar&gt;"&amp;"&lt;setvar action=""Add""&gt;"&amp;IF(W79,$H79,0)&amp;"&lt;/setvar&gt;"&amp;IF(AW79&lt;&gt;"","&lt;displayfeedback feedbacktype=""Response"" linkrefid=""response_3""/&gt;",IF($AS79&lt;&gt;"","&lt;displayfeedback feedbacktype=""Response"" linkrefid=""qti_feedback_trigger""/&gt;",""))&amp;"&lt;/respcondition&gt;",""),IF(OR(W79,AW79&lt;&gt;"",$AS79&lt;&gt;""),"      &lt;respcondition continue=""Yes""&gt;&lt;conditionvar&gt;"&amp;IF(W79,"&lt;varequal respident=""RESPONSE""&gt;3&lt;/varequal&gt;","&lt;not&gt;&lt;varequal respident=""RESPONSE""&gt;3&lt;/varequal&gt;&lt;/not&gt;")&amp;"&lt;/conditionvar&gt;&lt;setvar action=""Add""&gt;"&amp;(Saisie_Questions!$N79/$I79)&amp;"&lt;/setvar&gt;"&amp;IF(AW79&lt;&gt;"","&lt;displayfeedback feedbacktype=""Response"" linkrefid=""response_3""/&gt;",IF($AS79&lt;&gt;"","&lt;displayfeedback feedbacktype=""Response"" linkrefid=""qti_feedback_trigger""/&gt;",""))&amp;"&lt;/respcondition&gt;",""))),"")</f>
      </c>
      <c r="AN79" s="46">
        <f>IF($B79,IF(P79="","",IF($C79="qcu",IF(OR(X79,AX79&lt;&gt;"",$AS79&lt;&gt;""),"      &lt;respcondition continue=""Yes""&gt;&lt;conditionvar&gt;&lt;varequal respident=""RESPONSE""&gt;4&lt;/varequal&gt;&lt;/conditionvar&gt;"&amp;"&lt;setvar action=""Add""&gt;"&amp;IF(X79,$H79,0)&amp;"&lt;/setvar&gt;"&amp;IF(AX79&lt;&gt;"","&lt;displayfeedback feedbacktype=""Response"" linkrefid=""response_4""/&gt;",IF($AS79&lt;&gt;"","&lt;displayfeedback feedbacktype=""Response"" linkrefid=""qti_feedback_trigger""/&gt;",""))&amp;"&lt;/respcondition&gt;",""),IF(OR(X79,AX79&lt;&gt;"",$AS79&lt;&gt;""),"      &lt;respcondition continue=""Yes""&gt;&lt;conditionvar&gt;"&amp;IF(X79,"&lt;varequal respident=""RESPONSE""&gt;4&lt;/varequal&gt;","&lt;not&gt;&lt;varequal respident=""RESPONSE""&gt;4&lt;/varequal&gt;&lt;/not&gt;")&amp;"&lt;/conditionvar&gt;&lt;setvar action=""Add""&gt;"&amp;(Saisie_Questions!$N79/$I79)&amp;"&lt;/setvar&gt;"&amp;IF(AX79&lt;&gt;"","&lt;displayfeedback feedbacktype=""Response"" linkrefid=""response_4""/&gt;",IF($AS79&lt;&gt;"","&lt;displayfeedback feedbacktype=""Response"" linkrefid=""qti_feedback_trigger""/&gt;",""))&amp;"&lt;/respcondition&gt;",""))),"")</f>
      </c>
      <c r="AO79" s="46">
        <f>IF($B79,IF(Q79="","",IF($C79="qcu",IF(OR(Y79,AY79&lt;&gt;"",$AS79&lt;&gt;""),"      &lt;respcondition continue=""Yes""&gt;&lt;conditionvar&gt;&lt;varequal respident=""RESPONSE""&gt;5&lt;/varequal&gt;&lt;/conditionvar&gt;"&amp;"&lt;setvar action=""Add""&gt;"&amp;IF(Y79,$H79,0)&amp;"&lt;/setvar&gt;"&amp;IF(AY79&lt;&gt;"","&lt;displayfeedback feedbacktype=""Response"" linkrefid=""response_5""/&gt;",IF($AS79&lt;&gt;"","&lt;displayfeedback feedbacktype=""Response"" linkrefid=""qti_feedback_trigger""/&gt;",""))&amp;"&lt;/respcondition&gt;",""),IF(OR(Y79,AY79&lt;&gt;"",$AS79&lt;&gt;""),"      &lt;respcondition continue=""Yes""&gt;&lt;conditionvar&gt;"&amp;IF(Y79,"&lt;varequal respident=""RESPONSE""&gt;5&lt;/varequal&gt;","&lt;not&gt;&lt;varequal respident=""RESPONSE""&gt;5&lt;/varequal&gt;&lt;/not&gt;")&amp;"&lt;/conditionvar&gt;&lt;setvar action=""Add""&gt;"&amp;(Saisie_Questions!$N79/$I79)&amp;"&lt;/setvar&gt;"&amp;IF(AY79&lt;&gt;"","&lt;displayfeedback feedbacktype=""Response"" linkrefid=""response_5""/&gt;",IF($AS79&lt;&gt;"","&lt;displayfeedback feedbacktype=""Response"" linkrefid=""qti_feedback_trigger""/&gt;",""))&amp;"&lt;/respcondition&gt;",""))),"")</f>
      </c>
      <c r="AP79" s="46">
        <f>IF($B79,IF(R79="","",IF($C79="qcu",IF(OR(Z79,AZ79&lt;&gt;"",$AS79&lt;&gt;""),"      &lt;respcondition continue=""Yes""&gt;&lt;conditionvar&gt;&lt;varequal respident=""RESPONSE""&gt;6&lt;/varequal&gt;&lt;/conditionvar&gt;"&amp;"&lt;setvar action=""Add""&gt;"&amp;IF(Z79,$H79,0)&amp;"&lt;/setvar&gt;"&amp;IF(AZ79&lt;&gt;"","&lt;displayfeedback feedbacktype=""Response"" linkrefid=""response_6""/&gt;",IF($AS79&lt;&gt;"","&lt;displayfeedback feedbacktype=""Response"" linkrefid=""qti_feedback_trigger""/&gt;",""))&amp;"&lt;/respcondition&gt;",""),IF(OR(Z79,AZ79&lt;&gt;"",$AS79&lt;&gt;""),"      &lt;respcondition continue=""Yes""&gt;&lt;conditionvar&gt;"&amp;IF(Z79,"&lt;varequal respident=""RESPONSE""&gt;6&lt;/varequal&gt;","&lt;not&gt;&lt;varequal respident=""RESPONSE""&gt;6&lt;/varequal&gt;&lt;/not&gt;")&amp;"&lt;/conditionvar&gt;&lt;setvar action=""Add""&gt;"&amp;(Saisie_Questions!$N79/$I79)&amp;"&lt;/setvar&gt;"&amp;IF(AZ79&lt;&gt;"","&lt;displayfeedback feedbacktype=""Response"" linkrefid=""response_6""/&gt;",IF($AS79&lt;&gt;"","&lt;displayfeedback feedbacktype=""Response"" linkrefid=""qti_feedback_trigger""/&gt;",""))&amp;"&lt;/respcondition&gt;",""))),"")</f>
      </c>
      <c r="AQ79" s="46">
        <f>IF($B79,IF(S79="","",IF($C79="qcu",IF(OR(AA79,BA79&lt;&gt;"",$AS79&lt;&gt;""),"      &lt;respcondition continue=""Yes""&gt;&lt;conditionvar&gt;&lt;varequal respident=""RESPONSE""&gt;7&lt;/varequal&gt;&lt;/conditionvar&gt;"&amp;"&lt;setvar action=""Add""&gt;"&amp;IF(AA79,$H79,0)&amp;"&lt;/setvar&gt;"&amp;IF(BA79&lt;&gt;"","&lt;displayfeedback feedbacktype=""Response"" linkrefid=""response_7""/&gt;",IF($AS79&lt;&gt;"","&lt;displayfeedback feedbacktype=""Response"" linkrefid=""qti_feedback_trigger""/&gt;",""))&amp;"&lt;/respcondition&gt;",""),IF(OR(AA79,BA79&lt;&gt;"",$AS79&lt;&gt;""),"      &lt;respcondition continue=""Yes""&gt;&lt;conditionvar&gt;"&amp;IF(AA79,"&lt;varequal respident=""RESPONSE""&gt;7&lt;/varequal&gt;","&lt;not&gt;&lt;varequal respident=""RESPONSE""&gt;7&lt;/varequal&gt;&lt;/not&gt;")&amp;"&lt;/conditionvar&gt;&lt;setvar action=""Add""&gt;"&amp;(Saisie_Questions!$N79/$I79)&amp;"&lt;/setvar&gt;"&amp;IF(BA79&lt;&gt;"","&lt;displayfeedback feedbacktype=""Response"" linkrefid=""response_7""/&gt;",IF($AS79&lt;&gt;"","&lt;displayfeedback feedbacktype=""Response"" linkrefid=""qti_feedback_trigger""/&gt;",""))&amp;"&lt;/respcondition&gt;",""))),"")</f>
      </c>
      <c r="AR79" s="46">
        <f>IF(A79="","",SUBSTITUTE(SUBSTITUTE(SUBSTITUTE(SUBSTITUTE(SUBSTITUTE(IF(Saisie_Questions!P79&lt;&gt;"",Saisie_Questions!P79,Interface_Generation!$B$5),"&amp;","&amp;amp;"),"&lt;","&amp;lt;"),"&gt;","&amp;gt;"),CHAR(34),"&amp;quot;"),"'","&amp;apos;"))</f>
        <v/>
      </c>
      <c r="AS79" s="46">
        <f>IF(Saisie_Questions!Q79="","",SUBSTITUTE(SUBSTITUTE(SUBSTITUTE(SUBSTITUTE(SUBSTITUTE(Saisie_Questions!Q79,"&amp;","&amp;amp;"),"&lt;","&amp;lt;"),"&gt;","&amp;gt;"),CHAR(34),"&amp;quot;"),"'","&amp;apos;"))</f>
        <v/>
      </c>
      <c r="AT79" s="46">
        <f>IF(Saisie_Questions!R79="","",SUBSTITUTE(SUBSTITUTE(SUBSTITUTE(SUBSTITUTE(SUBSTITUTE(Saisie_Questions!R79,"&amp;","&amp;amp;"),"&lt;","&amp;lt;"),"&gt;","&amp;gt;"),CHAR(34),"&amp;quot;"),"'","&amp;apos;"))</f>
        <v/>
      </c>
      <c r="AU79" s="46">
        <f>IF(Saisie_Questions!S79="","",SUBSTITUTE(SUBSTITUTE(SUBSTITUTE(SUBSTITUTE(SUBSTITUTE(Saisie_Questions!S79,"&amp;","&amp;amp;"),"&lt;","&amp;lt;"),"&gt;","&amp;gt;"),CHAR(34),"&amp;quot;"),"'","&amp;apos;"))</f>
        <v/>
      </c>
      <c r="AV79" s="46">
        <f>IF(Saisie_Questions!T79="","",SUBSTITUTE(SUBSTITUTE(SUBSTITUTE(SUBSTITUTE(SUBSTITUTE(Saisie_Questions!T79,"&amp;","&amp;amp;"),"&lt;","&amp;lt;"),"&gt;","&amp;gt;"),CHAR(34),"&amp;quot;"),"'","&amp;apos;"))</f>
        <v/>
      </c>
      <c r="AW79" s="46">
        <f>IF(Saisie_Questions!U79="","",SUBSTITUTE(SUBSTITUTE(SUBSTITUTE(SUBSTITUTE(SUBSTITUTE(Saisie_Questions!U79,"&amp;","&amp;amp;"),"&lt;","&amp;lt;"),"&gt;","&amp;gt;"),CHAR(34),"&amp;quot;"),"'","&amp;apos;"))</f>
        <v/>
      </c>
      <c r="AX79" s="46">
        <f>IF(Saisie_Questions!V79="","",SUBSTITUTE(SUBSTITUTE(SUBSTITUTE(SUBSTITUTE(SUBSTITUTE(Saisie_Questions!V79,"&amp;","&amp;amp;"),"&lt;","&amp;lt;"),"&gt;","&amp;gt;"),CHAR(34),"&amp;quot;"),"'","&amp;apos;"))</f>
        <v/>
      </c>
      <c r="AY79" s="46">
        <f>IF(Saisie_Questions!W79="","",SUBSTITUTE(SUBSTITUTE(SUBSTITUTE(SUBSTITUTE(SUBSTITUTE(Saisie_Questions!W79,"&amp;","&amp;amp;"),"&lt;","&amp;lt;"),"&gt;","&amp;gt;"),CHAR(34),"&amp;quot;"),"'","&amp;apos;"))</f>
        <v/>
      </c>
      <c r="AZ79" s="46">
        <f>IF(Saisie_Questions!X79="","",SUBSTITUTE(SUBSTITUTE(SUBSTITUTE(SUBSTITUTE(SUBSTITUTE(Saisie_Questions!X79,"&amp;","&amp;amp;"),"&lt;","&amp;lt;"),"&gt;","&amp;gt;"),CHAR(34),"&amp;quot;"),"'","&amp;apos;"))</f>
        <v/>
      </c>
      <c r="BA79" s="46">
        <f>IF(Saisie_Questions!Y79="","",SUBSTITUTE(SUBSTITUTE(SUBSTITUTE(SUBSTITUTE(SUBSTITUTE(Saisie_Questions!Y79,"&amp;","&amp;amp;"),"&lt;","&amp;lt;"),"&gt;","&amp;gt;"),CHAR(34),"&amp;quot;"),"'","&amp;apos;"))</f>
        <v/>
      </c>
      <c r="BB79" s="46">
        <f>IF($B79,IF($AS79="","","    &lt;itemfeedback ident=""response_allcorrect"" view=""All""&gt;&lt;flow_mat&gt;&lt;material&gt;&lt;mattext texttype=""text/html""&gt;"&amp;$AS79&amp;"&lt;/mattext&gt;&lt;/material&gt;&lt;/flow_mat&gt;&lt;/itemfeedback&gt;"&amp;"    &lt;itemfeedback ident=""response_onenotcorrect"" view=""All""&gt;&lt;flow_mat&gt;&lt;material&gt;&lt;mattext texttype=""text/html""&gt;"&amp;$AS79&amp;"&lt;/mattext&gt;&lt;/material&gt;&lt;/flow_mat&gt;&lt;/itemfeedback&gt;"),"")</f>
      </c>
      <c r="BC79" s="46">
        <f>IF($B79,IF(AT79="","","    &lt;itemfeedback ident=""response_0"" view=""All""&gt;&lt;flow_mat&gt;&lt;material&gt;&lt;mattext texttype=""text/html""&gt;"&amp;AT79&amp;"&lt;/mattext&gt;&lt;/material&gt;&lt;/flow_mat&gt;&lt;/itemfeedback&gt;"),"")</f>
      </c>
      <c r="BD79" s="46">
        <f>IF($B79,IF(AU79="","","    &lt;itemfeedback ident=""response_1"" view=""All""&gt;&lt;flow_mat&gt;&lt;material&gt;&lt;mattext texttype=""text/html""&gt;"&amp;AU79&amp;"&lt;/mattext&gt;&lt;/material&gt;&lt;/flow_mat&gt;&lt;/itemfeedback&gt;"),"")</f>
      </c>
      <c r="BE79" s="46">
        <f>IF($B79,IF(AV79="","","    &lt;itemfeedback ident=""response_2"" view=""All""&gt;&lt;flow_mat&gt;&lt;material&gt;&lt;mattext texttype=""text/html""&gt;"&amp;AV79&amp;"&lt;/mattext&gt;&lt;/material&gt;&lt;/flow_mat&gt;&lt;/itemfeedback&gt;"),"")</f>
      </c>
      <c r="BF79" s="46">
        <f>IF($B79,IF(AW79="","","    &lt;itemfeedback ident=""response_3"" view=""All""&gt;&lt;flow_mat&gt;&lt;material&gt;&lt;mattext texttype=""text/html""&gt;"&amp;AW79&amp;"&lt;/mattext&gt;&lt;/material&gt;&lt;/flow_mat&gt;&lt;/itemfeedback&gt;"),"")</f>
      </c>
      <c r="BG79" s="46">
        <f>IF($B79,IF(AX79="","","    &lt;itemfeedback ident=""response_4"" view=""All""&gt;&lt;flow_mat&gt;&lt;material&gt;&lt;mattext texttype=""text/html""&gt;"&amp;AX79&amp;"&lt;/mattext&gt;&lt;/material&gt;&lt;/flow_mat&gt;&lt;/itemfeedback&gt;"),"")</f>
      </c>
      <c r="BH79" s="46">
        <f>IF($B79,IF(AY79="","","    &lt;itemfeedback ident=""response_5"" view=""All""&gt;&lt;flow_mat&gt;&lt;material&gt;&lt;mattext texttype=""text/html""&gt;"&amp;AY79&amp;"&lt;/mattext&gt;&lt;/material&gt;&lt;/flow_mat&gt;&lt;/itemfeedback&gt;"),"")</f>
      </c>
      <c r="BI79" s="46">
        <f>IF($B79,IF(AZ79="","","    &lt;itemfeedback ident=""response_6"" view=""All""&gt;&lt;flow_mat&gt;&lt;material&gt;&lt;mattext texttype=""text/html""&gt;"&amp;AZ79&amp;"&lt;/mattext&gt;&lt;/material&gt;&lt;/flow_mat&gt;&lt;/itemfeedback&gt;"),"")</f>
      </c>
      <c r="BJ79" s="46">
        <f>IF($B79,IF(BA79="","","    &lt;itemfeedback ident=""response_7"" view=""All""&gt;&lt;flow_mat&gt;&lt;material&gt;&lt;mattext texttype=""text/html""&gt;"&amp;BA79&amp;"&lt;/mattext&gt;&lt;/material&gt;&lt;/flow_mat&gt;&lt;/itemfeedback&gt;"),"")</f>
      </c>
    </row>
    <row r="80" ht="18" customHeight="1" s="17">
      <c r="A80" s="46">
        <f>Saisie_Questions!A80</f>
        <v/>
      </c>
      <c r="B80" s="46">
        <f>Saisie_Questions!O80="OK"</f>
        <v/>
      </c>
      <c r="C80" s="46">
        <f>LOWER(TRIM(Saisie_Questions!B80))</f>
        <v/>
      </c>
      <c r="D80" s="46">
        <f>IF(C80="qcu","SINGLE CHOICE QUESTION","MULTIPLE CHOICE QUESTION")</f>
        <v/>
      </c>
      <c r="E80" s="46">
        <f>IF(C80="qcu","Single","Multiple")</f>
        <v/>
      </c>
      <c r="F80" s="46">
        <f>IF(A80="","",SUBSTITUTE(SUBSTITUTE(SUBSTITUTE(SUBSTITUTE(SUBSTITUTE(IF(Saisie_Questions!C80="", "Question "&amp;A80, Saisie_Questions!C80),"&amp;","&amp;amp;"),"&lt;","&amp;lt;"),"&gt;","&amp;gt;"),CHAR(34),"&amp;quot;"),"'","&amp;apos;"))</f>
        <v/>
      </c>
      <c r="G80" s="46">
        <f>IF(A80="","",SUBSTITUTE(SUBSTITUTE(SUBSTITUTE(SUBSTITUTE(SUBSTITUTE(Saisie_Questions!D80,"&amp;","&amp;amp;"),"&lt;","&amp;lt;"),"&gt;","&amp;gt;"),CHAR(34),"&amp;quot;"),"'","&amp;apos;"))</f>
        <v/>
      </c>
      <c r="H80" s="46">
        <f>Saisie_Questions!N80</f>
        <v/>
      </c>
      <c r="I80" s="46">
        <f>IF(Saisie_Questions!E80="",0,1)+IF(Saisie_Questions!F80="",0,1)+IF(Saisie_Questions!G80="",0,1)+IF(Saisie_Questions!H80="",0,1)+IF(Saisie_Questions!I80="",0,1)+IF(Saisie_Questions!J80="",0,1)+IF(Saisie_Questions!K80="",0,1)+IF(Saisie_Questions!L80="",0,1)</f>
        <v/>
      </c>
      <c r="J80" s="46">
        <f>Saisie_Questions!M80</f>
        <v/>
      </c>
      <c r="K80" s="46">
        <f>Saisie_Questions!O80</f>
        <v/>
      </c>
      <c r="L80" s="46">
        <f>IF(Saisie_Questions!E80="","",SUBSTITUTE(SUBSTITUTE(SUBSTITUTE(SUBSTITUTE(SUBSTITUTE(Saisie_Questions!E80,"&amp;","&amp;amp;"),"&lt;","&amp;lt;"),"&gt;","&amp;gt;"),CHAR(34),"&amp;quot;"),"'","&amp;apos;"))</f>
        <v/>
      </c>
      <c r="M80" s="46">
        <f>IF(Saisie_Questions!F80="","",SUBSTITUTE(SUBSTITUTE(SUBSTITUTE(SUBSTITUTE(SUBSTITUTE(Saisie_Questions!F80,"&amp;","&amp;amp;"),"&lt;","&amp;lt;"),"&gt;","&amp;gt;"),CHAR(34),"&amp;quot;"),"'","&amp;apos;"))</f>
        <v/>
      </c>
      <c r="N80" s="46">
        <f>IF(Saisie_Questions!G80="","",SUBSTITUTE(SUBSTITUTE(SUBSTITUTE(SUBSTITUTE(SUBSTITUTE(Saisie_Questions!G80,"&amp;","&amp;amp;"),"&lt;","&amp;lt;"),"&gt;","&amp;gt;"),CHAR(34),"&amp;quot;"),"'","&amp;apos;"))</f>
        <v/>
      </c>
      <c r="O80" s="46">
        <f>IF(Saisie_Questions!H80="","",SUBSTITUTE(SUBSTITUTE(SUBSTITUTE(SUBSTITUTE(SUBSTITUTE(Saisie_Questions!H80,"&amp;","&amp;amp;"),"&lt;","&amp;lt;"),"&gt;","&amp;gt;"),CHAR(34),"&amp;quot;"),"'","&amp;apos;"))</f>
        <v/>
      </c>
      <c r="P80" s="46">
        <f>IF(Saisie_Questions!I80="","",SUBSTITUTE(SUBSTITUTE(SUBSTITUTE(SUBSTITUTE(SUBSTITUTE(Saisie_Questions!I80,"&amp;","&amp;amp;"),"&lt;","&amp;lt;"),"&gt;","&amp;gt;"),CHAR(34),"&amp;quot;"),"'","&amp;apos;"))</f>
        <v/>
      </c>
      <c r="Q80" s="46">
        <f>IF(Saisie_Questions!J80="","",SUBSTITUTE(SUBSTITUTE(SUBSTITUTE(SUBSTITUTE(SUBSTITUTE(Saisie_Questions!J80,"&amp;","&amp;amp;"),"&lt;","&amp;lt;"),"&gt;","&amp;gt;"),CHAR(34),"&amp;quot;"),"'","&amp;apos;"))</f>
        <v/>
      </c>
      <c r="R80" s="46">
        <f>IF(Saisie_Questions!K80="","",SUBSTITUTE(SUBSTITUTE(SUBSTITUTE(SUBSTITUTE(SUBSTITUTE(Saisie_Questions!K80,"&amp;","&amp;amp;"),"&lt;","&amp;lt;"),"&gt;","&amp;gt;"),CHAR(34),"&amp;quot;"),"'","&amp;apos;"))</f>
        <v/>
      </c>
      <c r="S80" s="46">
        <f>IF(Saisie_Questions!L80="","",SUBSTITUTE(SUBSTITUTE(SUBSTITUTE(SUBSTITUTE(SUBSTITUTE(Saisie_Questions!L80,"&amp;","&amp;amp;"),"&lt;","&amp;lt;"),"&gt;","&amp;gt;"),CHAR(34),"&amp;quot;"),"'","&amp;apos;"))</f>
        <v/>
      </c>
      <c r="T80" s="46">
        <f>ISNUMBER(SEARCH(";"&amp;1&amp;";",";"&amp;$J80&amp;";"))</f>
        <v/>
      </c>
      <c r="U80" s="46">
        <f>ISNUMBER(SEARCH(";"&amp;2&amp;";",";"&amp;$J80&amp;";"))</f>
        <v/>
      </c>
      <c r="V80" s="46">
        <f>ISNUMBER(SEARCH(";"&amp;3&amp;";",";"&amp;$J80&amp;";"))</f>
        <v/>
      </c>
      <c r="W80" s="46">
        <f>ISNUMBER(SEARCH(";"&amp;4&amp;";",";"&amp;$J80&amp;";"))</f>
        <v/>
      </c>
      <c r="X80" s="46">
        <f>ISNUMBER(SEARCH(";"&amp;5&amp;";",";"&amp;$J80&amp;";"))</f>
        <v/>
      </c>
      <c r="Y80" s="46">
        <f>ISNUMBER(SEARCH(";"&amp;6&amp;";",";"&amp;$J80&amp;";"))</f>
        <v/>
      </c>
      <c r="Z80" s="46">
        <f>ISNUMBER(SEARCH(";"&amp;7&amp;";",";"&amp;$J80&amp;";"))</f>
        <v/>
      </c>
      <c r="AA80" s="46">
        <f>ISNUMBER(SEARCH(";"&amp;8&amp;";",";"&amp;$J80&amp;";"))</f>
        <v/>
      </c>
      <c r="AB80" s="46">
        <f>IF($B80,IF(L80="","","        &lt;response_label ident=""0""&gt;&lt;material&gt;&lt;mattext texttype=""text/html""&gt;"&amp;L80&amp;"&lt;/mattext&gt;&lt;/material&gt;&lt;/response_label&gt;"),"")</f>
        <v/>
      </c>
      <c r="AC80" s="46">
        <f>IF($B80,IF(M80="","","        &lt;response_label ident=""1""&gt;&lt;material&gt;&lt;mattext texttype=""text/html""&gt;"&amp;M80&amp;"&lt;/mattext&gt;&lt;/material&gt;&lt;/response_label&gt;"),"")</f>
        <v/>
      </c>
      <c r="AD80" s="46">
        <f>IF($B80,IF(N80="","","        &lt;response_label ident=""2""&gt;&lt;material&gt;&lt;mattext texttype=""text/html""&gt;"&amp;N80&amp;"&lt;/mattext&gt;&lt;/material&gt;&lt;/response_label&gt;"),"")</f>
        <v/>
      </c>
      <c r="AE80" s="46">
        <f>IF($B80,IF(O80="","","        &lt;response_label ident=""3""&gt;&lt;material&gt;&lt;mattext texttype=""text/html""&gt;"&amp;O80&amp;"&lt;/mattext&gt;&lt;/material&gt;&lt;/response_label&gt;"),"")</f>
        <v/>
      </c>
      <c r="AF80" s="46">
        <f>IF($B80,IF(P80="","","        &lt;response_label ident=""4""&gt;&lt;material&gt;&lt;mattext texttype=""text/html""&gt;"&amp;P80&amp;"&lt;/mattext&gt;&lt;/material&gt;&lt;/response_label&gt;"),"")</f>
        <v/>
      </c>
      <c r="AG80" s="46">
        <f>IF($B80,IF(Q80="","","        &lt;response_label ident=""5""&gt;&lt;material&gt;&lt;mattext texttype=""text/html""&gt;"&amp;Q80&amp;"&lt;/mattext&gt;&lt;/material&gt;&lt;/response_label&gt;"),"")</f>
        <v/>
      </c>
      <c r="AH80" s="46">
        <f>IF($B80,IF(R80="","","        &lt;response_label ident=""6""&gt;&lt;material&gt;&lt;mattext texttype=""text/html""&gt;"&amp;R80&amp;"&lt;/mattext&gt;&lt;/material&gt;&lt;/response_label&gt;"),"")</f>
        <v/>
      </c>
      <c r="AI80" s="46">
        <f>IF($B80,IF(S80="","","        &lt;response_label ident=""7""&gt;&lt;material&gt;&lt;mattext texttype=""text/html""&gt;"&amp;S80&amp;"&lt;/mattext&gt;&lt;/material&gt;&lt;/response_label&gt;"),"")</f>
        <v/>
      </c>
      <c r="AJ80" s="46">
        <f>IF($B80,IF(L80="","",IF($C80="qcu",IF(OR(T80,AT80&lt;&gt;"",$AS80&lt;&gt;""),"      &lt;respcondition continue=""Yes""&gt;&lt;conditionvar&gt;&lt;varequal respident=""RESPONSE""&gt;0&lt;/varequal&gt;&lt;/conditionvar&gt;"&amp;"&lt;setvar action=""Add""&gt;"&amp;IF(T80,$H80,0)&amp;"&lt;/setvar&gt;"&amp;IF(AT80&lt;&gt;"","&lt;displayfeedback feedbacktype=""Response"" linkrefid=""response_0""/&gt;",IF($AS80&lt;&gt;"","&lt;displayfeedback feedbacktype=""Response"" linkrefid=""qti_feedback_trigger""/&gt;",""))&amp;"&lt;/respcondition&gt;",""),IF(OR(T80,AT80&lt;&gt;"",$AS80&lt;&gt;""),"      &lt;respcondition continue=""Yes""&gt;&lt;conditionvar&gt;"&amp;IF(T80,"&lt;varequal respident=""RESPONSE""&gt;0&lt;/varequal&gt;","&lt;not&gt;&lt;varequal respident=""RESPONSE""&gt;0&lt;/varequal&gt;&lt;/not&gt;")&amp;"&lt;/conditionvar&gt;&lt;setvar action=""Add""&gt;"&amp;(Saisie_Questions!$N80/$I80)&amp;"&lt;/setvar&gt;"&amp;IF(AT80&lt;&gt;"","&lt;displayfeedback feedbacktype=""Response"" linkrefid=""response_0""/&gt;",IF($AS80&lt;&gt;"","&lt;displayfeedback feedbacktype=""Response"" linkrefid=""qti_feedback_trigger""/&gt;",""))&amp;"&lt;/respcondition&gt;",""))),"")</f>
      </c>
      <c r="AK80" s="46">
        <f>IF($B80,IF(M80="","",IF($C80="qcu",IF(OR(U80,AU80&lt;&gt;"",$AS80&lt;&gt;""),"      &lt;respcondition continue=""Yes""&gt;&lt;conditionvar&gt;&lt;varequal respident=""RESPONSE""&gt;1&lt;/varequal&gt;&lt;/conditionvar&gt;"&amp;"&lt;setvar action=""Add""&gt;"&amp;IF(U80,$H80,0)&amp;"&lt;/setvar&gt;"&amp;IF(AU80&lt;&gt;"","&lt;displayfeedback feedbacktype=""Response"" linkrefid=""response_1""/&gt;",IF($AS80&lt;&gt;"","&lt;displayfeedback feedbacktype=""Response"" linkrefid=""qti_feedback_trigger""/&gt;",""))&amp;"&lt;/respcondition&gt;",""),IF(OR(U80,AU80&lt;&gt;"",$AS80&lt;&gt;""),"      &lt;respcondition continue=""Yes""&gt;&lt;conditionvar&gt;"&amp;IF(U80,"&lt;varequal respident=""RESPONSE""&gt;1&lt;/varequal&gt;","&lt;not&gt;&lt;varequal respident=""RESPONSE""&gt;1&lt;/varequal&gt;&lt;/not&gt;")&amp;"&lt;/conditionvar&gt;&lt;setvar action=""Add""&gt;"&amp;(Saisie_Questions!$N80/$I80)&amp;"&lt;/setvar&gt;"&amp;IF(AU80&lt;&gt;"","&lt;displayfeedback feedbacktype=""Response"" linkrefid=""response_1""/&gt;",IF($AS80&lt;&gt;"","&lt;displayfeedback feedbacktype=""Response"" linkrefid=""qti_feedback_trigger""/&gt;",""))&amp;"&lt;/respcondition&gt;",""))),"")</f>
      </c>
      <c r="AL80" s="46">
        <f>IF($B80,IF(N80="","",IF($C80="qcu",IF(OR(V80,AV80&lt;&gt;"",$AS80&lt;&gt;""),"      &lt;respcondition continue=""Yes""&gt;&lt;conditionvar&gt;&lt;varequal respident=""RESPONSE""&gt;2&lt;/varequal&gt;&lt;/conditionvar&gt;"&amp;"&lt;setvar action=""Add""&gt;"&amp;IF(V80,$H80,0)&amp;"&lt;/setvar&gt;"&amp;IF(AV80&lt;&gt;"","&lt;displayfeedback feedbacktype=""Response"" linkrefid=""response_2""/&gt;",IF($AS80&lt;&gt;"","&lt;displayfeedback feedbacktype=""Response"" linkrefid=""qti_feedback_trigger""/&gt;",""))&amp;"&lt;/respcondition&gt;",""),IF(OR(V80,AV80&lt;&gt;"",$AS80&lt;&gt;""),"      &lt;respcondition continue=""Yes""&gt;&lt;conditionvar&gt;"&amp;IF(V80,"&lt;varequal respident=""RESPONSE""&gt;2&lt;/varequal&gt;","&lt;not&gt;&lt;varequal respident=""RESPONSE""&gt;2&lt;/varequal&gt;&lt;/not&gt;")&amp;"&lt;/conditionvar&gt;&lt;setvar action=""Add""&gt;"&amp;(Saisie_Questions!$N80/$I80)&amp;"&lt;/setvar&gt;"&amp;IF(AV80&lt;&gt;"","&lt;displayfeedback feedbacktype=""Response"" linkrefid=""response_2""/&gt;",IF($AS80&lt;&gt;"","&lt;displayfeedback feedbacktype=""Response"" linkrefid=""qti_feedback_trigger""/&gt;",""))&amp;"&lt;/respcondition&gt;",""))),"")</f>
      </c>
      <c r="AM80" s="46">
        <f>IF($B80,IF(O80="","",IF($C80="qcu",IF(OR(W80,AW80&lt;&gt;"",$AS80&lt;&gt;""),"      &lt;respcondition continue=""Yes""&gt;&lt;conditionvar&gt;&lt;varequal respident=""RESPONSE""&gt;3&lt;/varequal&gt;&lt;/conditionvar&gt;"&amp;"&lt;setvar action=""Add""&gt;"&amp;IF(W80,$H80,0)&amp;"&lt;/setvar&gt;"&amp;IF(AW80&lt;&gt;"","&lt;displayfeedback feedbacktype=""Response"" linkrefid=""response_3""/&gt;",IF($AS80&lt;&gt;"","&lt;displayfeedback feedbacktype=""Response"" linkrefid=""qti_feedback_trigger""/&gt;",""))&amp;"&lt;/respcondition&gt;",""),IF(OR(W80,AW80&lt;&gt;"",$AS80&lt;&gt;""),"      &lt;respcondition continue=""Yes""&gt;&lt;conditionvar&gt;"&amp;IF(W80,"&lt;varequal respident=""RESPONSE""&gt;3&lt;/varequal&gt;","&lt;not&gt;&lt;varequal respident=""RESPONSE""&gt;3&lt;/varequal&gt;&lt;/not&gt;")&amp;"&lt;/conditionvar&gt;&lt;setvar action=""Add""&gt;"&amp;(Saisie_Questions!$N80/$I80)&amp;"&lt;/setvar&gt;"&amp;IF(AW80&lt;&gt;"","&lt;displayfeedback feedbacktype=""Response"" linkrefid=""response_3""/&gt;",IF($AS80&lt;&gt;"","&lt;displayfeedback feedbacktype=""Response"" linkrefid=""qti_feedback_trigger""/&gt;",""))&amp;"&lt;/respcondition&gt;",""))),"")</f>
      </c>
      <c r="AN80" s="46">
        <f>IF($B80,IF(P80="","",IF($C80="qcu",IF(OR(X80,AX80&lt;&gt;"",$AS80&lt;&gt;""),"      &lt;respcondition continue=""Yes""&gt;&lt;conditionvar&gt;&lt;varequal respident=""RESPONSE""&gt;4&lt;/varequal&gt;&lt;/conditionvar&gt;"&amp;"&lt;setvar action=""Add""&gt;"&amp;IF(X80,$H80,0)&amp;"&lt;/setvar&gt;"&amp;IF(AX80&lt;&gt;"","&lt;displayfeedback feedbacktype=""Response"" linkrefid=""response_4""/&gt;",IF($AS80&lt;&gt;"","&lt;displayfeedback feedbacktype=""Response"" linkrefid=""qti_feedback_trigger""/&gt;",""))&amp;"&lt;/respcondition&gt;",""),IF(OR(X80,AX80&lt;&gt;"",$AS80&lt;&gt;""),"      &lt;respcondition continue=""Yes""&gt;&lt;conditionvar&gt;"&amp;IF(X80,"&lt;varequal respident=""RESPONSE""&gt;4&lt;/varequal&gt;","&lt;not&gt;&lt;varequal respident=""RESPONSE""&gt;4&lt;/varequal&gt;&lt;/not&gt;")&amp;"&lt;/conditionvar&gt;&lt;setvar action=""Add""&gt;"&amp;(Saisie_Questions!$N80/$I80)&amp;"&lt;/setvar&gt;"&amp;IF(AX80&lt;&gt;"","&lt;displayfeedback feedbacktype=""Response"" linkrefid=""response_4""/&gt;",IF($AS80&lt;&gt;"","&lt;displayfeedback feedbacktype=""Response"" linkrefid=""qti_feedback_trigger""/&gt;",""))&amp;"&lt;/respcondition&gt;",""))),"")</f>
      </c>
      <c r="AO80" s="46">
        <f>IF($B80,IF(Q80="","",IF($C80="qcu",IF(OR(Y80,AY80&lt;&gt;"",$AS80&lt;&gt;""),"      &lt;respcondition continue=""Yes""&gt;&lt;conditionvar&gt;&lt;varequal respident=""RESPONSE""&gt;5&lt;/varequal&gt;&lt;/conditionvar&gt;"&amp;"&lt;setvar action=""Add""&gt;"&amp;IF(Y80,$H80,0)&amp;"&lt;/setvar&gt;"&amp;IF(AY80&lt;&gt;"","&lt;displayfeedback feedbacktype=""Response"" linkrefid=""response_5""/&gt;",IF($AS80&lt;&gt;"","&lt;displayfeedback feedbacktype=""Response"" linkrefid=""qti_feedback_trigger""/&gt;",""))&amp;"&lt;/respcondition&gt;",""),IF(OR(Y80,AY80&lt;&gt;"",$AS80&lt;&gt;""),"      &lt;respcondition continue=""Yes""&gt;&lt;conditionvar&gt;"&amp;IF(Y80,"&lt;varequal respident=""RESPONSE""&gt;5&lt;/varequal&gt;","&lt;not&gt;&lt;varequal respident=""RESPONSE""&gt;5&lt;/varequal&gt;&lt;/not&gt;")&amp;"&lt;/conditionvar&gt;&lt;setvar action=""Add""&gt;"&amp;(Saisie_Questions!$N80/$I80)&amp;"&lt;/setvar&gt;"&amp;IF(AY80&lt;&gt;"","&lt;displayfeedback feedbacktype=""Response"" linkrefid=""response_5""/&gt;",IF($AS80&lt;&gt;"","&lt;displayfeedback feedbacktype=""Response"" linkrefid=""qti_feedback_trigger""/&gt;",""))&amp;"&lt;/respcondition&gt;",""))),"")</f>
      </c>
      <c r="AP80" s="46">
        <f>IF($B80,IF(R80="","",IF($C80="qcu",IF(OR(Z80,AZ80&lt;&gt;"",$AS80&lt;&gt;""),"      &lt;respcondition continue=""Yes""&gt;&lt;conditionvar&gt;&lt;varequal respident=""RESPONSE""&gt;6&lt;/varequal&gt;&lt;/conditionvar&gt;"&amp;"&lt;setvar action=""Add""&gt;"&amp;IF(Z80,$H80,0)&amp;"&lt;/setvar&gt;"&amp;IF(AZ80&lt;&gt;"","&lt;displayfeedback feedbacktype=""Response"" linkrefid=""response_6""/&gt;",IF($AS80&lt;&gt;"","&lt;displayfeedback feedbacktype=""Response"" linkrefid=""qti_feedback_trigger""/&gt;",""))&amp;"&lt;/respcondition&gt;",""),IF(OR(Z80,AZ80&lt;&gt;"",$AS80&lt;&gt;""),"      &lt;respcondition continue=""Yes""&gt;&lt;conditionvar&gt;"&amp;IF(Z80,"&lt;varequal respident=""RESPONSE""&gt;6&lt;/varequal&gt;","&lt;not&gt;&lt;varequal respident=""RESPONSE""&gt;6&lt;/varequal&gt;&lt;/not&gt;")&amp;"&lt;/conditionvar&gt;&lt;setvar action=""Add""&gt;"&amp;(Saisie_Questions!$N80/$I80)&amp;"&lt;/setvar&gt;"&amp;IF(AZ80&lt;&gt;"","&lt;displayfeedback feedbacktype=""Response"" linkrefid=""response_6""/&gt;",IF($AS80&lt;&gt;"","&lt;displayfeedback feedbacktype=""Response"" linkrefid=""qti_feedback_trigger""/&gt;",""))&amp;"&lt;/respcondition&gt;",""))),"")</f>
      </c>
      <c r="AQ80" s="46">
        <f>IF($B80,IF(S80="","",IF($C80="qcu",IF(OR(AA80,BA80&lt;&gt;"",$AS80&lt;&gt;""),"      &lt;respcondition continue=""Yes""&gt;&lt;conditionvar&gt;&lt;varequal respident=""RESPONSE""&gt;7&lt;/varequal&gt;&lt;/conditionvar&gt;"&amp;"&lt;setvar action=""Add""&gt;"&amp;IF(AA80,$H80,0)&amp;"&lt;/setvar&gt;"&amp;IF(BA80&lt;&gt;"","&lt;displayfeedback feedbacktype=""Response"" linkrefid=""response_7""/&gt;",IF($AS80&lt;&gt;"","&lt;displayfeedback feedbacktype=""Response"" linkrefid=""qti_feedback_trigger""/&gt;",""))&amp;"&lt;/respcondition&gt;",""),IF(OR(AA80,BA80&lt;&gt;"",$AS80&lt;&gt;""),"      &lt;respcondition continue=""Yes""&gt;&lt;conditionvar&gt;"&amp;IF(AA80,"&lt;varequal respident=""RESPONSE""&gt;7&lt;/varequal&gt;","&lt;not&gt;&lt;varequal respident=""RESPONSE""&gt;7&lt;/varequal&gt;&lt;/not&gt;")&amp;"&lt;/conditionvar&gt;&lt;setvar action=""Add""&gt;"&amp;(Saisie_Questions!$N80/$I80)&amp;"&lt;/setvar&gt;"&amp;IF(BA80&lt;&gt;"","&lt;displayfeedback feedbacktype=""Response"" linkrefid=""response_7""/&gt;",IF($AS80&lt;&gt;"","&lt;displayfeedback feedbacktype=""Response"" linkrefid=""qti_feedback_trigger""/&gt;",""))&amp;"&lt;/respcondition&gt;",""))),"")</f>
      </c>
      <c r="AR80" s="46">
        <f>IF(A80="","",SUBSTITUTE(SUBSTITUTE(SUBSTITUTE(SUBSTITUTE(SUBSTITUTE(IF(Saisie_Questions!P80&lt;&gt;"",Saisie_Questions!P80,Interface_Generation!$B$5),"&amp;","&amp;amp;"),"&lt;","&amp;lt;"),"&gt;","&amp;gt;"),CHAR(34),"&amp;quot;"),"'","&amp;apos;"))</f>
        <v/>
      </c>
      <c r="AS80" s="46">
        <f>IF(Saisie_Questions!Q80="","",SUBSTITUTE(SUBSTITUTE(SUBSTITUTE(SUBSTITUTE(SUBSTITUTE(Saisie_Questions!Q80,"&amp;","&amp;amp;"),"&lt;","&amp;lt;"),"&gt;","&amp;gt;"),CHAR(34),"&amp;quot;"),"'","&amp;apos;"))</f>
        <v/>
      </c>
      <c r="AT80" s="46">
        <f>IF(Saisie_Questions!R80="","",SUBSTITUTE(SUBSTITUTE(SUBSTITUTE(SUBSTITUTE(SUBSTITUTE(Saisie_Questions!R80,"&amp;","&amp;amp;"),"&lt;","&amp;lt;"),"&gt;","&amp;gt;"),CHAR(34),"&amp;quot;"),"'","&amp;apos;"))</f>
        <v/>
      </c>
      <c r="AU80" s="46">
        <f>IF(Saisie_Questions!S80="","",SUBSTITUTE(SUBSTITUTE(SUBSTITUTE(SUBSTITUTE(SUBSTITUTE(Saisie_Questions!S80,"&amp;","&amp;amp;"),"&lt;","&amp;lt;"),"&gt;","&amp;gt;"),CHAR(34),"&amp;quot;"),"'","&amp;apos;"))</f>
        <v/>
      </c>
      <c r="AV80" s="46">
        <f>IF(Saisie_Questions!T80="","",SUBSTITUTE(SUBSTITUTE(SUBSTITUTE(SUBSTITUTE(SUBSTITUTE(Saisie_Questions!T80,"&amp;","&amp;amp;"),"&lt;","&amp;lt;"),"&gt;","&amp;gt;"),CHAR(34),"&amp;quot;"),"'","&amp;apos;"))</f>
        <v/>
      </c>
      <c r="AW80" s="46">
        <f>IF(Saisie_Questions!U80="","",SUBSTITUTE(SUBSTITUTE(SUBSTITUTE(SUBSTITUTE(SUBSTITUTE(Saisie_Questions!U80,"&amp;","&amp;amp;"),"&lt;","&amp;lt;"),"&gt;","&amp;gt;"),CHAR(34),"&amp;quot;"),"'","&amp;apos;"))</f>
        <v/>
      </c>
      <c r="AX80" s="46">
        <f>IF(Saisie_Questions!V80="","",SUBSTITUTE(SUBSTITUTE(SUBSTITUTE(SUBSTITUTE(SUBSTITUTE(Saisie_Questions!V80,"&amp;","&amp;amp;"),"&lt;","&amp;lt;"),"&gt;","&amp;gt;"),CHAR(34),"&amp;quot;"),"'","&amp;apos;"))</f>
        <v/>
      </c>
      <c r="AY80" s="46">
        <f>IF(Saisie_Questions!W80="","",SUBSTITUTE(SUBSTITUTE(SUBSTITUTE(SUBSTITUTE(SUBSTITUTE(Saisie_Questions!W80,"&amp;","&amp;amp;"),"&lt;","&amp;lt;"),"&gt;","&amp;gt;"),CHAR(34),"&amp;quot;"),"'","&amp;apos;"))</f>
        <v/>
      </c>
      <c r="AZ80" s="46">
        <f>IF(Saisie_Questions!X80="","",SUBSTITUTE(SUBSTITUTE(SUBSTITUTE(SUBSTITUTE(SUBSTITUTE(Saisie_Questions!X80,"&amp;","&amp;amp;"),"&lt;","&amp;lt;"),"&gt;","&amp;gt;"),CHAR(34),"&amp;quot;"),"'","&amp;apos;"))</f>
        <v/>
      </c>
      <c r="BA80" s="46">
        <f>IF(Saisie_Questions!Y80="","",SUBSTITUTE(SUBSTITUTE(SUBSTITUTE(SUBSTITUTE(SUBSTITUTE(Saisie_Questions!Y80,"&amp;","&amp;amp;"),"&lt;","&amp;lt;"),"&gt;","&amp;gt;"),CHAR(34),"&amp;quot;"),"'","&amp;apos;"))</f>
        <v/>
      </c>
      <c r="BB80" s="46">
        <f>IF($B80,IF($AS80="","","    &lt;itemfeedback ident=""response_allcorrect"" view=""All""&gt;&lt;flow_mat&gt;&lt;material&gt;&lt;mattext texttype=""text/html""&gt;"&amp;$AS80&amp;"&lt;/mattext&gt;&lt;/material&gt;&lt;/flow_mat&gt;&lt;/itemfeedback&gt;"&amp;"    &lt;itemfeedback ident=""response_onenotcorrect"" view=""All""&gt;&lt;flow_mat&gt;&lt;material&gt;&lt;mattext texttype=""text/html""&gt;"&amp;$AS80&amp;"&lt;/mattext&gt;&lt;/material&gt;&lt;/flow_mat&gt;&lt;/itemfeedback&gt;"),"")</f>
      </c>
      <c r="BC80" s="46">
        <f>IF($B80,IF(AT80="","","    &lt;itemfeedback ident=""response_0"" view=""All""&gt;&lt;flow_mat&gt;&lt;material&gt;&lt;mattext texttype=""text/html""&gt;"&amp;AT80&amp;"&lt;/mattext&gt;&lt;/material&gt;&lt;/flow_mat&gt;&lt;/itemfeedback&gt;"),"")</f>
      </c>
      <c r="BD80" s="46">
        <f>IF($B80,IF(AU80="","","    &lt;itemfeedback ident=""response_1"" view=""All""&gt;&lt;flow_mat&gt;&lt;material&gt;&lt;mattext texttype=""text/html""&gt;"&amp;AU80&amp;"&lt;/mattext&gt;&lt;/material&gt;&lt;/flow_mat&gt;&lt;/itemfeedback&gt;"),"")</f>
      </c>
      <c r="BE80" s="46">
        <f>IF($B80,IF(AV80="","","    &lt;itemfeedback ident=""response_2"" view=""All""&gt;&lt;flow_mat&gt;&lt;material&gt;&lt;mattext texttype=""text/html""&gt;"&amp;AV80&amp;"&lt;/mattext&gt;&lt;/material&gt;&lt;/flow_mat&gt;&lt;/itemfeedback&gt;"),"")</f>
      </c>
      <c r="BF80" s="46">
        <f>IF($B80,IF(AW80="","","    &lt;itemfeedback ident=""response_3"" view=""All""&gt;&lt;flow_mat&gt;&lt;material&gt;&lt;mattext texttype=""text/html""&gt;"&amp;AW80&amp;"&lt;/mattext&gt;&lt;/material&gt;&lt;/flow_mat&gt;&lt;/itemfeedback&gt;"),"")</f>
      </c>
      <c r="BG80" s="46">
        <f>IF($B80,IF(AX80="","","    &lt;itemfeedback ident=""response_4"" view=""All""&gt;&lt;flow_mat&gt;&lt;material&gt;&lt;mattext texttype=""text/html""&gt;"&amp;AX80&amp;"&lt;/mattext&gt;&lt;/material&gt;&lt;/flow_mat&gt;&lt;/itemfeedback&gt;"),"")</f>
      </c>
      <c r="BH80" s="46">
        <f>IF($B80,IF(AY80="","","    &lt;itemfeedback ident=""response_5"" view=""All""&gt;&lt;flow_mat&gt;&lt;material&gt;&lt;mattext texttype=""text/html""&gt;"&amp;AY80&amp;"&lt;/mattext&gt;&lt;/material&gt;&lt;/flow_mat&gt;&lt;/itemfeedback&gt;"),"")</f>
      </c>
      <c r="BI80" s="46">
        <f>IF($B80,IF(AZ80="","","    &lt;itemfeedback ident=""response_6"" view=""All""&gt;&lt;flow_mat&gt;&lt;material&gt;&lt;mattext texttype=""text/html""&gt;"&amp;AZ80&amp;"&lt;/mattext&gt;&lt;/material&gt;&lt;/flow_mat&gt;&lt;/itemfeedback&gt;"),"")</f>
      </c>
      <c r="BJ80" s="46">
        <f>IF($B80,IF(BA80="","","    &lt;itemfeedback ident=""response_7"" view=""All""&gt;&lt;flow_mat&gt;&lt;material&gt;&lt;mattext texttype=""text/html""&gt;"&amp;BA80&amp;"&lt;/mattext&gt;&lt;/material&gt;&lt;/flow_mat&gt;&lt;/itemfeedback&gt;"),"")</f>
      </c>
    </row>
    <row r="81" ht="18" customHeight="1" s="17">
      <c r="A81" s="46">
        <f>Saisie_Questions!A81</f>
        <v/>
      </c>
      <c r="B81" s="46">
        <f>Saisie_Questions!O81="OK"</f>
        <v/>
      </c>
      <c r="C81" s="46">
        <f>LOWER(TRIM(Saisie_Questions!B81))</f>
        <v/>
      </c>
      <c r="D81" s="46">
        <f>IF(C81="qcu","SINGLE CHOICE QUESTION","MULTIPLE CHOICE QUESTION")</f>
        <v/>
      </c>
      <c r="E81" s="46">
        <f>IF(C81="qcu","Single","Multiple")</f>
        <v/>
      </c>
      <c r="F81" s="46">
        <f>IF(A81="","",SUBSTITUTE(SUBSTITUTE(SUBSTITUTE(SUBSTITUTE(SUBSTITUTE(IF(Saisie_Questions!C81="", "Question "&amp;A81, Saisie_Questions!C81),"&amp;","&amp;amp;"),"&lt;","&amp;lt;"),"&gt;","&amp;gt;"),CHAR(34),"&amp;quot;"),"'","&amp;apos;"))</f>
        <v/>
      </c>
      <c r="G81" s="46">
        <f>IF(A81="","",SUBSTITUTE(SUBSTITUTE(SUBSTITUTE(SUBSTITUTE(SUBSTITUTE(Saisie_Questions!D81,"&amp;","&amp;amp;"),"&lt;","&amp;lt;"),"&gt;","&amp;gt;"),CHAR(34),"&amp;quot;"),"'","&amp;apos;"))</f>
        <v/>
      </c>
      <c r="H81" s="46">
        <f>Saisie_Questions!N81</f>
        <v/>
      </c>
      <c r="I81" s="46">
        <f>IF(Saisie_Questions!E81="",0,1)+IF(Saisie_Questions!F81="",0,1)+IF(Saisie_Questions!G81="",0,1)+IF(Saisie_Questions!H81="",0,1)+IF(Saisie_Questions!I81="",0,1)+IF(Saisie_Questions!J81="",0,1)+IF(Saisie_Questions!K81="",0,1)+IF(Saisie_Questions!L81="",0,1)</f>
        <v/>
      </c>
      <c r="J81" s="46">
        <f>Saisie_Questions!M81</f>
        <v/>
      </c>
      <c r="K81" s="46">
        <f>Saisie_Questions!O81</f>
        <v/>
      </c>
      <c r="L81" s="46">
        <f>IF(Saisie_Questions!E81="","",SUBSTITUTE(SUBSTITUTE(SUBSTITUTE(SUBSTITUTE(SUBSTITUTE(Saisie_Questions!E81,"&amp;","&amp;amp;"),"&lt;","&amp;lt;"),"&gt;","&amp;gt;"),CHAR(34),"&amp;quot;"),"'","&amp;apos;"))</f>
        <v/>
      </c>
      <c r="M81" s="46">
        <f>IF(Saisie_Questions!F81="","",SUBSTITUTE(SUBSTITUTE(SUBSTITUTE(SUBSTITUTE(SUBSTITUTE(Saisie_Questions!F81,"&amp;","&amp;amp;"),"&lt;","&amp;lt;"),"&gt;","&amp;gt;"),CHAR(34),"&amp;quot;"),"'","&amp;apos;"))</f>
        <v/>
      </c>
      <c r="N81" s="46">
        <f>IF(Saisie_Questions!G81="","",SUBSTITUTE(SUBSTITUTE(SUBSTITUTE(SUBSTITUTE(SUBSTITUTE(Saisie_Questions!G81,"&amp;","&amp;amp;"),"&lt;","&amp;lt;"),"&gt;","&amp;gt;"),CHAR(34),"&amp;quot;"),"'","&amp;apos;"))</f>
        <v/>
      </c>
      <c r="O81" s="46">
        <f>IF(Saisie_Questions!H81="","",SUBSTITUTE(SUBSTITUTE(SUBSTITUTE(SUBSTITUTE(SUBSTITUTE(Saisie_Questions!H81,"&amp;","&amp;amp;"),"&lt;","&amp;lt;"),"&gt;","&amp;gt;"),CHAR(34),"&amp;quot;"),"'","&amp;apos;"))</f>
        <v/>
      </c>
      <c r="P81" s="46">
        <f>IF(Saisie_Questions!I81="","",SUBSTITUTE(SUBSTITUTE(SUBSTITUTE(SUBSTITUTE(SUBSTITUTE(Saisie_Questions!I81,"&amp;","&amp;amp;"),"&lt;","&amp;lt;"),"&gt;","&amp;gt;"),CHAR(34),"&amp;quot;"),"'","&amp;apos;"))</f>
        <v/>
      </c>
      <c r="Q81" s="46">
        <f>IF(Saisie_Questions!J81="","",SUBSTITUTE(SUBSTITUTE(SUBSTITUTE(SUBSTITUTE(SUBSTITUTE(Saisie_Questions!J81,"&amp;","&amp;amp;"),"&lt;","&amp;lt;"),"&gt;","&amp;gt;"),CHAR(34),"&amp;quot;"),"'","&amp;apos;"))</f>
        <v/>
      </c>
      <c r="R81" s="46">
        <f>IF(Saisie_Questions!K81="","",SUBSTITUTE(SUBSTITUTE(SUBSTITUTE(SUBSTITUTE(SUBSTITUTE(Saisie_Questions!K81,"&amp;","&amp;amp;"),"&lt;","&amp;lt;"),"&gt;","&amp;gt;"),CHAR(34),"&amp;quot;"),"'","&amp;apos;"))</f>
        <v/>
      </c>
      <c r="S81" s="46">
        <f>IF(Saisie_Questions!L81="","",SUBSTITUTE(SUBSTITUTE(SUBSTITUTE(SUBSTITUTE(SUBSTITUTE(Saisie_Questions!L81,"&amp;","&amp;amp;"),"&lt;","&amp;lt;"),"&gt;","&amp;gt;"),CHAR(34),"&amp;quot;"),"'","&amp;apos;"))</f>
        <v/>
      </c>
      <c r="T81" s="46">
        <f>ISNUMBER(SEARCH(";"&amp;1&amp;";",";"&amp;$J81&amp;";"))</f>
        <v/>
      </c>
      <c r="U81" s="46">
        <f>ISNUMBER(SEARCH(";"&amp;2&amp;";",";"&amp;$J81&amp;";"))</f>
        <v/>
      </c>
      <c r="V81" s="46">
        <f>ISNUMBER(SEARCH(";"&amp;3&amp;";",";"&amp;$J81&amp;";"))</f>
        <v/>
      </c>
      <c r="W81" s="46">
        <f>ISNUMBER(SEARCH(";"&amp;4&amp;";",";"&amp;$J81&amp;";"))</f>
        <v/>
      </c>
      <c r="X81" s="46">
        <f>ISNUMBER(SEARCH(";"&amp;5&amp;";",";"&amp;$J81&amp;";"))</f>
        <v/>
      </c>
      <c r="Y81" s="46">
        <f>ISNUMBER(SEARCH(";"&amp;6&amp;";",";"&amp;$J81&amp;";"))</f>
        <v/>
      </c>
      <c r="Z81" s="46">
        <f>ISNUMBER(SEARCH(";"&amp;7&amp;";",";"&amp;$J81&amp;";"))</f>
        <v/>
      </c>
      <c r="AA81" s="46">
        <f>ISNUMBER(SEARCH(";"&amp;8&amp;";",";"&amp;$J81&amp;";"))</f>
        <v/>
      </c>
      <c r="AB81" s="46">
        <f>IF($B81,IF(L81="","","        &lt;response_label ident=""0""&gt;&lt;material&gt;&lt;mattext texttype=""text/html""&gt;"&amp;L81&amp;"&lt;/mattext&gt;&lt;/material&gt;&lt;/response_label&gt;"),"")</f>
        <v/>
      </c>
      <c r="AC81" s="46">
        <f>IF($B81,IF(M81="","","        &lt;response_label ident=""1""&gt;&lt;material&gt;&lt;mattext texttype=""text/html""&gt;"&amp;M81&amp;"&lt;/mattext&gt;&lt;/material&gt;&lt;/response_label&gt;"),"")</f>
        <v/>
      </c>
      <c r="AD81" s="46">
        <f>IF($B81,IF(N81="","","        &lt;response_label ident=""2""&gt;&lt;material&gt;&lt;mattext texttype=""text/html""&gt;"&amp;N81&amp;"&lt;/mattext&gt;&lt;/material&gt;&lt;/response_label&gt;"),"")</f>
        <v/>
      </c>
      <c r="AE81" s="46">
        <f>IF($B81,IF(O81="","","        &lt;response_label ident=""3""&gt;&lt;material&gt;&lt;mattext texttype=""text/html""&gt;"&amp;O81&amp;"&lt;/mattext&gt;&lt;/material&gt;&lt;/response_label&gt;"),"")</f>
        <v/>
      </c>
      <c r="AF81" s="46">
        <f>IF($B81,IF(P81="","","        &lt;response_label ident=""4""&gt;&lt;material&gt;&lt;mattext texttype=""text/html""&gt;"&amp;P81&amp;"&lt;/mattext&gt;&lt;/material&gt;&lt;/response_label&gt;"),"")</f>
        <v/>
      </c>
      <c r="AG81" s="46">
        <f>IF($B81,IF(Q81="","","        &lt;response_label ident=""5""&gt;&lt;material&gt;&lt;mattext texttype=""text/html""&gt;"&amp;Q81&amp;"&lt;/mattext&gt;&lt;/material&gt;&lt;/response_label&gt;"),"")</f>
        <v/>
      </c>
      <c r="AH81" s="46">
        <f>IF($B81,IF(R81="","","        &lt;response_label ident=""6""&gt;&lt;material&gt;&lt;mattext texttype=""text/html""&gt;"&amp;R81&amp;"&lt;/mattext&gt;&lt;/material&gt;&lt;/response_label&gt;"),"")</f>
        <v/>
      </c>
      <c r="AI81" s="46">
        <f>IF($B81,IF(S81="","","        &lt;response_label ident=""7""&gt;&lt;material&gt;&lt;mattext texttype=""text/html""&gt;"&amp;S81&amp;"&lt;/mattext&gt;&lt;/material&gt;&lt;/response_label&gt;"),"")</f>
        <v/>
      </c>
      <c r="AJ81" s="46">
        <f>IF($B81,IF(L81="","",IF($C81="qcu",IF(OR(T81,AT81&lt;&gt;"",$AS81&lt;&gt;""),"      &lt;respcondition continue=""Yes""&gt;&lt;conditionvar&gt;&lt;varequal respident=""RESPONSE""&gt;0&lt;/varequal&gt;&lt;/conditionvar&gt;"&amp;"&lt;setvar action=""Add""&gt;"&amp;IF(T81,$H81,0)&amp;"&lt;/setvar&gt;"&amp;IF(AT81&lt;&gt;"","&lt;displayfeedback feedbacktype=""Response"" linkrefid=""response_0""/&gt;",IF($AS81&lt;&gt;"","&lt;displayfeedback feedbacktype=""Response"" linkrefid=""qti_feedback_trigger""/&gt;",""))&amp;"&lt;/respcondition&gt;",""),IF(OR(T81,AT81&lt;&gt;"",$AS81&lt;&gt;""),"      &lt;respcondition continue=""Yes""&gt;&lt;conditionvar&gt;"&amp;IF(T81,"&lt;varequal respident=""RESPONSE""&gt;0&lt;/varequal&gt;","&lt;not&gt;&lt;varequal respident=""RESPONSE""&gt;0&lt;/varequal&gt;&lt;/not&gt;")&amp;"&lt;/conditionvar&gt;&lt;setvar action=""Add""&gt;"&amp;(Saisie_Questions!$N81/$I81)&amp;"&lt;/setvar&gt;"&amp;IF(AT81&lt;&gt;"","&lt;displayfeedback feedbacktype=""Response"" linkrefid=""response_0""/&gt;",IF($AS81&lt;&gt;"","&lt;displayfeedback feedbacktype=""Response"" linkrefid=""qti_feedback_trigger""/&gt;",""))&amp;"&lt;/respcondition&gt;",""))),"")</f>
      </c>
      <c r="AK81" s="46">
        <f>IF($B81,IF(M81="","",IF($C81="qcu",IF(OR(U81,AU81&lt;&gt;"",$AS81&lt;&gt;""),"      &lt;respcondition continue=""Yes""&gt;&lt;conditionvar&gt;&lt;varequal respident=""RESPONSE""&gt;1&lt;/varequal&gt;&lt;/conditionvar&gt;"&amp;"&lt;setvar action=""Add""&gt;"&amp;IF(U81,$H81,0)&amp;"&lt;/setvar&gt;"&amp;IF(AU81&lt;&gt;"","&lt;displayfeedback feedbacktype=""Response"" linkrefid=""response_1""/&gt;",IF($AS81&lt;&gt;"","&lt;displayfeedback feedbacktype=""Response"" linkrefid=""qti_feedback_trigger""/&gt;",""))&amp;"&lt;/respcondition&gt;",""),IF(OR(U81,AU81&lt;&gt;"",$AS81&lt;&gt;""),"      &lt;respcondition continue=""Yes""&gt;&lt;conditionvar&gt;"&amp;IF(U81,"&lt;varequal respident=""RESPONSE""&gt;1&lt;/varequal&gt;","&lt;not&gt;&lt;varequal respident=""RESPONSE""&gt;1&lt;/varequal&gt;&lt;/not&gt;")&amp;"&lt;/conditionvar&gt;&lt;setvar action=""Add""&gt;"&amp;(Saisie_Questions!$N81/$I81)&amp;"&lt;/setvar&gt;"&amp;IF(AU81&lt;&gt;"","&lt;displayfeedback feedbacktype=""Response"" linkrefid=""response_1""/&gt;",IF($AS81&lt;&gt;"","&lt;displayfeedback feedbacktype=""Response"" linkrefid=""qti_feedback_trigger""/&gt;",""))&amp;"&lt;/respcondition&gt;",""))),"")</f>
      </c>
      <c r="AL81" s="46">
        <f>IF($B81,IF(N81="","",IF($C81="qcu",IF(OR(V81,AV81&lt;&gt;"",$AS81&lt;&gt;""),"      &lt;respcondition continue=""Yes""&gt;&lt;conditionvar&gt;&lt;varequal respident=""RESPONSE""&gt;2&lt;/varequal&gt;&lt;/conditionvar&gt;"&amp;"&lt;setvar action=""Add""&gt;"&amp;IF(V81,$H81,0)&amp;"&lt;/setvar&gt;"&amp;IF(AV81&lt;&gt;"","&lt;displayfeedback feedbacktype=""Response"" linkrefid=""response_2""/&gt;",IF($AS81&lt;&gt;"","&lt;displayfeedback feedbacktype=""Response"" linkrefid=""qti_feedback_trigger""/&gt;",""))&amp;"&lt;/respcondition&gt;",""),IF(OR(V81,AV81&lt;&gt;"",$AS81&lt;&gt;""),"      &lt;respcondition continue=""Yes""&gt;&lt;conditionvar&gt;"&amp;IF(V81,"&lt;varequal respident=""RESPONSE""&gt;2&lt;/varequal&gt;","&lt;not&gt;&lt;varequal respident=""RESPONSE""&gt;2&lt;/varequal&gt;&lt;/not&gt;")&amp;"&lt;/conditionvar&gt;&lt;setvar action=""Add""&gt;"&amp;(Saisie_Questions!$N81/$I81)&amp;"&lt;/setvar&gt;"&amp;IF(AV81&lt;&gt;"","&lt;displayfeedback feedbacktype=""Response"" linkrefid=""response_2""/&gt;",IF($AS81&lt;&gt;"","&lt;displayfeedback feedbacktype=""Response"" linkrefid=""qti_feedback_trigger""/&gt;",""))&amp;"&lt;/respcondition&gt;",""))),"")</f>
      </c>
      <c r="AM81" s="46">
        <f>IF($B81,IF(O81="","",IF($C81="qcu",IF(OR(W81,AW81&lt;&gt;"",$AS81&lt;&gt;""),"      &lt;respcondition continue=""Yes""&gt;&lt;conditionvar&gt;&lt;varequal respident=""RESPONSE""&gt;3&lt;/varequal&gt;&lt;/conditionvar&gt;"&amp;"&lt;setvar action=""Add""&gt;"&amp;IF(W81,$H81,0)&amp;"&lt;/setvar&gt;"&amp;IF(AW81&lt;&gt;"","&lt;displayfeedback feedbacktype=""Response"" linkrefid=""response_3""/&gt;",IF($AS81&lt;&gt;"","&lt;displayfeedback feedbacktype=""Response"" linkrefid=""qti_feedback_trigger""/&gt;",""))&amp;"&lt;/respcondition&gt;",""),IF(OR(W81,AW81&lt;&gt;"",$AS81&lt;&gt;""),"      &lt;respcondition continue=""Yes""&gt;&lt;conditionvar&gt;"&amp;IF(W81,"&lt;varequal respident=""RESPONSE""&gt;3&lt;/varequal&gt;","&lt;not&gt;&lt;varequal respident=""RESPONSE""&gt;3&lt;/varequal&gt;&lt;/not&gt;")&amp;"&lt;/conditionvar&gt;&lt;setvar action=""Add""&gt;"&amp;(Saisie_Questions!$N81/$I81)&amp;"&lt;/setvar&gt;"&amp;IF(AW81&lt;&gt;"","&lt;displayfeedback feedbacktype=""Response"" linkrefid=""response_3""/&gt;",IF($AS81&lt;&gt;"","&lt;displayfeedback feedbacktype=""Response"" linkrefid=""qti_feedback_trigger""/&gt;",""))&amp;"&lt;/respcondition&gt;",""))),"")</f>
      </c>
      <c r="AN81" s="46">
        <f>IF($B81,IF(P81="","",IF($C81="qcu",IF(OR(X81,AX81&lt;&gt;"",$AS81&lt;&gt;""),"      &lt;respcondition continue=""Yes""&gt;&lt;conditionvar&gt;&lt;varequal respident=""RESPONSE""&gt;4&lt;/varequal&gt;&lt;/conditionvar&gt;"&amp;"&lt;setvar action=""Add""&gt;"&amp;IF(X81,$H81,0)&amp;"&lt;/setvar&gt;"&amp;IF(AX81&lt;&gt;"","&lt;displayfeedback feedbacktype=""Response"" linkrefid=""response_4""/&gt;",IF($AS81&lt;&gt;"","&lt;displayfeedback feedbacktype=""Response"" linkrefid=""qti_feedback_trigger""/&gt;",""))&amp;"&lt;/respcondition&gt;",""),IF(OR(X81,AX81&lt;&gt;"",$AS81&lt;&gt;""),"      &lt;respcondition continue=""Yes""&gt;&lt;conditionvar&gt;"&amp;IF(X81,"&lt;varequal respident=""RESPONSE""&gt;4&lt;/varequal&gt;","&lt;not&gt;&lt;varequal respident=""RESPONSE""&gt;4&lt;/varequal&gt;&lt;/not&gt;")&amp;"&lt;/conditionvar&gt;&lt;setvar action=""Add""&gt;"&amp;(Saisie_Questions!$N81/$I81)&amp;"&lt;/setvar&gt;"&amp;IF(AX81&lt;&gt;"","&lt;displayfeedback feedbacktype=""Response"" linkrefid=""response_4""/&gt;",IF($AS81&lt;&gt;"","&lt;displayfeedback feedbacktype=""Response"" linkrefid=""qti_feedback_trigger""/&gt;",""))&amp;"&lt;/respcondition&gt;",""))),"")</f>
      </c>
      <c r="AO81" s="46">
        <f>IF($B81,IF(Q81="","",IF($C81="qcu",IF(OR(Y81,AY81&lt;&gt;"",$AS81&lt;&gt;""),"      &lt;respcondition continue=""Yes""&gt;&lt;conditionvar&gt;&lt;varequal respident=""RESPONSE""&gt;5&lt;/varequal&gt;&lt;/conditionvar&gt;"&amp;"&lt;setvar action=""Add""&gt;"&amp;IF(Y81,$H81,0)&amp;"&lt;/setvar&gt;"&amp;IF(AY81&lt;&gt;"","&lt;displayfeedback feedbacktype=""Response"" linkrefid=""response_5""/&gt;",IF($AS81&lt;&gt;"","&lt;displayfeedback feedbacktype=""Response"" linkrefid=""qti_feedback_trigger""/&gt;",""))&amp;"&lt;/respcondition&gt;",""),IF(OR(Y81,AY81&lt;&gt;"",$AS81&lt;&gt;""),"      &lt;respcondition continue=""Yes""&gt;&lt;conditionvar&gt;"&amp;IF(Y81,"&lt;varequal respident=""RESPONSE""&gt;5&lt;/varequal&gt;","&lt;not&gt;&lt;varequal respident=""RESPONSE""&gt;5&lt;/varequal&gt;&lt;/not&gt;")&amp;"&lt;/conditionvar&gt;&lt;setvar action=""Add""&gt;"&amp;(Saisie_Questions!$N81/$I81)&amp;"&lt;/setvar&gt;"&amp;IF(AY81&lt;&gt;"","&lt;displayfeedback feedbacktype=""Response"" linkrefid=""response_5""/&gt;",IF($AS81&lt;&gt;"","&lt;displayfeedback feedbacktype=""Response"" linkrefid=""qti_feedback_trigger""/&gt;",""))&amp;"&lt;/respcondition&gt;",""))),"")</f>
      </c>
      <c r="AP81" s="46">
        <f>IF($B81,IF(R81="","",IF($C81="qcu",IF(OR(Z81,AZ81&lt;&gt;"",$AS81&lt;&gt;""),"      &lt;respcondition continue=""Yes""&gt;&lt;conditionvar&gt;&lt;varequal respident=""RESPONSE""&gt;6&lt;/varequal&gt;&lt;/conditionvar&gt;"&amp;"&lt;setvar action=""Add""&gt;"&amp;IF(Z81,$H81,0)&amp;"&lt;/setvar&gt;"&amp;IF(AZ81&lt;&gt;"","&lt;displayfeedback feedbacktype=""Response"" linkrefid=""response_6""/&gt;",IF($AS81&lt;&gt;"","&lt;displayfeedback feedbacktype=""Response"" linkrefid=""qti_feedback_trigger""/&gt;",""))&amp;"&lt;/respcondition&gt;",""),IF(OR(Z81,AZ81&lt;&gt;"",$AS81&lt;&gt;""),"      &lt;respcondition continue=""Yes""&gt;&lt;conditionvar&gt;"&amp;IF(Z81,"&lt;varequal respident=""RESPONSE""&gt;6&lt;/varequal&gt;","&lt;not&gt;&lt;varequal respident=""RESPONSE""&gt;6&lt;/varequal&gt;&lt;/not&gt;")&amp;"&lt;/conditionvar&gt;&lt;setvar action=""Add""&gt;"&amp;(Saisie_Questions!$N81/$I81)&amp;"&lt;/setvar&gt;"&amp;IF(AZ81&lt;&gt;"","&lt;displayfeedback feedbacktype=""Response"" linkrefid=""response_6""/&gt;",IF($AS81&lt;&gt;"","&lt;displayfeedback feedbacktype=""Response"" linkrefid=""qti_feedback_trigger""/&gt;",""))&amp;"&lt;/respcondition&gt;",""))),"")</f>
      </c>
      <c r="AQ81" s="46">
        <f>IF($B81,IF(S81="","",IF($C81="qcu",IF(OR(AA81,BA81&lt;&gt;"",$AS81&lt;&gt;""),"      &lt;respcondition continue=""Yes""&gt;&lt;conditionvar&gt;&lt;varequal respident=""RESPONSE""&gt;7&lt;/varequal&gt;&lt;/conditionvar&gt;"&amp;"&lt;setvar action=""Add""&gt;"&amp;IF(AA81,$H81,0)&amp;"&lt;/setvar&gt;"&amp;IF(BA81&lt;&gt;"","&lt;displayfeedback feedbacktype=""Response"" linkrefid=""response_7""/&gt;",IF($AS81&lt;&gt;"","&lt;displayfeedback feedbacktype=""Response"" linkrefid=""qti_feedback_trigger""/&gt;",""))&amp;"&lt;/respcondition&gt;",""),IF(OR(AA81,BA81&lt;&gt;"",$AS81&lt;&gt;""),"      &lt;respcondition continue=""Yes""&gt;&lt;conditionvar&gt;"&amp;IF(AA81,"&lt;varequal respident=""RESPONSE""&gt;7&lt;/varequal&gt;","&lt;not&gt;&lt;varequal respident=""RESPONSE""&gt;7&lt;/varequal&gt;&lt;/not&gt;")&amp;"&lt;/conditionvar&gt;&lt;setvar action=""Add""&gt;"&amp;(Saisie_Questions!$N81/$I81)&amp;"&lt;/setvar&gt;"&amp;IF(BA81&lt;&gt;"","&lt;displayfeedback feedbacktype=""Response"" linkrefid=""response_7""/&gt;",IF($AS81&lt;&gt;"","&lt;displayfeedback feedbacktype=""Response"" linkrefid=""qti_feedback_trigger""/&gt;",""))&amp;"&lt;/respcondition&gt;",""))),"")</f>
      </c>
      <c r="AR81" s="46">
        <f>IF(A81="","",SUBSTITUTE(SUBSTITUTE(SUBSTITUTE(SUBSTITUTE(SUBSTITUTE(IF(Saisie_Questions!P81&lt;&gt;"",Saisie_Questions!P81,Interface_Generation!$B$5),"&amp;","&amp;amp;"),"&lt;","&amp;lt;"),"&gt;","&amp;gt;"),CHAR(34),"&amp;quot;"),"'","&amp;apos;"))</f>
        <v/>
      </c>
      <c r="AS81" s="46">
        <f>IF(Saisie_Questions!Q81="","",SUBSTITUTE(SUBSTITUTE(SUBSTITUTE(SUBSTITUTE(SUBSTITUTE(Saisie_Questions!Q81,"&amp;","&amp;amp;"),"&lt;","&amp;lt;"),"&gt;","&amp;gt;"),CHAR(34),"&amp;quot;"),"'","&amp;apos;"))</f>
        <v/>
      </c>
      <c r="AT81" s="46">
        <f>IF(Saisie_Questions!R81="","",SUBSTITUTE(SUBSTITUTE(SUBSTITUTE(SUBSTITUTE(SUBSTITUTE(Saisie_Questions!R81,"&amp;","&amp;amp;"),"&lt;","&amp;lt;"),"&gt;","&amp;gt;"),CHAR(34),"&amp;quot;"),"'","&amp;apos;"))</f>
        <v/>
      </c>
      <c r="AU81" s="46">
        <f>IF(Saisie_Questions!S81="","",SUBSTITUTE(SUBSTITUTE(SUBSTITUTE(SUBSTITUTE(SUBSTITUTE(Saisie_Questions!S81,"&amp;","&amp;amp;"),"&lt;","&amp;lt;"),"&gt;","&amp;gt;"),CHAR(34),"&amp;quot;"),"'","&amp;apos;"))</f>
        <v/>
      </c>
      <c r="AV81" s="46">
        <f>IF(Saisie_Questions!T81="","",SUBSTITUTE(SUBSTITUTE(SUBSTITUTE(SUBSTITUTE(SUBSTITUTE(Saisie_Questions!T81,"&amp;","&amp;amp;"),"&lt;","&amp;lt;"),"&gt;","&amp;gt;"),CHAR(34),"&amp;quot;"),"'","&amp;apos;"))</f>
        <v/>
      </c>
      <c r="AW81" s="46">
        <f>IF(Saisie_Questions!U81="","",SUBSTITUTE(SUBSTITUTE(SUBSTITUTE(SUBSTITUTE(SUBSTITUTE(Saisie_Questions!U81,"&amp;","&amp;amp;"),"&lt;","&amp;lt;"),"&gt;","&amp;gt;"),CHAR(34),"&amp;quot;"),"'","&amp;apos;"))</f>
        <v/>
      </c>
      <c r="AX81" s="46">
        <f>IF(Saisie_Questions!V81="","",SUBSTITUTE(SUBSTITUTE(SUBSTITUTE(SUBSTITUTE(SUBSTITUTE(Saisie_Questions!V81,"&amp;","&amp;amp;"),"&lt;","&amp;lt;"),"&gt;","&amp;gt;"),CHAR(34),"&amp;quot;"),"'","&amp;apos;"))</f>
        <v/>
      </c>
      <c r="AY81" s="46">
        <f>IF(Saisie_Questions!W81="","",SUBSTITUTE(SUBSTITUTE(SUBSTITUTE(SUBSTITUTE(SUBSTITUTE(Saisie_Questions!W81,"&amp;","&amp;amp;"),"&lt;","&amp;lt;"),"&gt;","&amp;gt;"),CHAR(34),"&amp;quot;"),"'","&amp;apos;"))</f>
        <v/>
      </c>
      <c r="AZ81" s="46">
        <f>IF(Saisie_Questions!X81="","",SUBSTITUTE(SUBSTITUTE(SUBSTITUTE(SUBSTITUTE(SUBSTITUTE(Saisie_Questions!X81,"&amp;","&amp;amp;"),"&lt;","&amp;lt;"),"&gt;","&amp;gt;"),CHAR(34),"&amp;quot;"),"'","&amp;apos;"))</f>
        <v/>
      </c>
      <c r="BA81" s="46">
        <f>IF(Saisie_Questions!Y81="","",SUBSTITUTE(SUBSTITUTE(SUBSTITUTE(SUBSTITUTE(SUBSTITUTE(Saisie_Questions!Y81,"&amp;","&amp;amp;"),"&lt;","&amp;lt;"),"&gt;","&amp;gt;"),CHAR(34),"&amp;quot;"),"'","&amp;apos;"))</f>
        <v/>
      </c>
      <c r="BB81" s="46">
        <f>IF($B81,IF($AS81="","","    &lt;itemfeedback ident=""response_allcorrect"" view=""All""&gt;&lt;flow_mat&gt;&lt;material&gt;&lt;mattext texttype=""text/html""&gt;"&amp;$AS81&amp;"&lt;/mattext&gt;&lt;/material&gt;&lt;/flow_mat&gt;&lt;/itemfeedback&gt;"&amp;"    &lt;itemfeedback ident=""response_onenotcorrect"" view=""All""&gt;&lt;flow_mat&gt;&lt;material&gt;&lt;mattext texttype=""text/html""&gt;"&amp;$AS81&amp;"&lt;/mattext&gt;&lt;/material&gt;&lt;/flow_mat&gt;&lt;/itemfeedback&gt;"),"")</f>
      </c>
      <c r="BC81" s="46">
        <f>IF($B81,IF(AT81="","","    &lt;itemfeedback ident=""response_0"" view=""All""&gt;&lt;flow_mat&gt;&lt;material&gt;&lt;mattext texttype=""text/html""&gt;"&amp;AT81&amp;"&lt;/mattext&gt;&lt;/material&gt;&lt;/flow_mat&gt;&lt;/itemfeedback&gt;"),"")</f>
      </c>
      <c r="BD81" s="46">
        <f>IF($B81,IF(AU81="","","    &lt;itemfeedback ident=""response_1"" view=""All""&gt;&lt;flow_mat&gt;&lt;material&gt;&lt;mattext texttype=""text/html""&gt;"&amp;AU81&amp;"&lt;/mattext&gt;&lt;/material&gt;&lt;/flow_mat&gt;&lt;/itemfeedback&gt;"),"")</f>
      </c>
      <c r="BE81" s="46">
        <f>IF($B81,IF(AV81="","","    &lt;itemfeedback ident=""response_2"" view=""All""&gt;&lt;flow_mat&gt;&lt;material&gt;&lt;mattext texttype=""text/html""&gt;"&amp;AV81&amp;"&lt;/mattext&gt;&lt;/material&gt;&lt;/flow_mat&gt;&lt;/itemfeedback&gt;"),"")</f>
      </c>
      <c r="BF81" s="46">
        <f>IF($B81,IF(AW81="","","    &lt;itemfeedback ident=""response_3"" view=""All""&gt;&lt;flow_mat&gt;&lt;material&gt;&lt;mattext texttype=""text/html""&gt;"&amp;AW81&amp;"&lt;/mattext&gt;&lt;/material&gt;&lt;/flow_mat&gt;&lt;/itemfeedback&gt;"),"")</f>
      </c>
      <c r="BG81" s="46">
        <f>IF($B81,IF(AX81="","","    &lt;itemfeedback ident=""response_4"" view=""All""&gt;&lt;flow_mat&gt;&lt;material&gt;&lt;mattext texttype=""text/html""&gt;"&amp;AX81&amp;"&lt;/mattext&gt;&lt;/material&gt;&lt;/flow_mat&gt;&lt;/itemfeedback&gt;"),"")</f>
      </c>
      <c r="BH81" s="46">
        <f>IF($B81,IF(AY81="","","    &lt;itemfeedback ident=""response_5"" view=""All""&gt;&lt;flow_mat&gt;&lt;material&gt;&lt;mattext texttype=""text/html""&gt;"&amp;AY81&amp;"&lt;/mattext&gt;&lt;/material&gt;&lt;/flow_mat&gt;&lt;/itemfeedback&gt;"),"")</f>
      </c>
      <c r="BI81" s="46">
        <f>IF($B81,IF(AZ81="","","    &lt;itemfeedback ident=""response_6"" view=""All""&gt;&lt;flow_mat&gt;&lt;material&gt;&lt;mattext texttype=""text/html""&gt;"&amp;AZ81&amp;"&lt;/mattext&gt;&lt;/material&gt;&lt;/flow_mat&gt;&lt;/itemfeedback&gt;"),"")</f>
      </c>
      <c r="BJ81" s="46">
        <f>IF($B81,IF(BA81="","","    &lt;itemfeedback ident=""response_7"" view=""All""&gt;&lt;flow_mat&gt;&lt;material&gt;&lt;mattext texttype=""text/html""&gt;"&amp;BA81&amp;"&lt;/mattext&gt;&lt;/material&gt;&lt;/flow_mat&gt;&lt;/itemfeedback&gt;"),"")</f>
      </c>
    </row>
    <row r="82" ht="18" customHeight="1" s="17">
      <c r="A82" s="46">
        <f>Saisie_Questions!A82</f>
        <v/>
      </c>
      <c r="B82" s="46">
        <f>Saisie_Questions!O82="OK"</f>
        <v/>
      </c>
      <c r="C82" s="46">
        <f>LOWER(TRIM(Saisie_Questions!B82))</f>
        <v/>
      </c>
      <c r="D82" s="46">
        <f>IF(C82="qcu","SINGLE CHOICE QUESTION","MULTIPLE CHOICE QUESTION")</f>
        <v/>
      </c>
      <c r="E82" s="46">
        <f>IF(C82="qcu","Single","Multiple")</f>
        <v/>
      </c>
      <c r="F82" s="46">
        <f>IF(A82="","",SUBSTITUTE(SUBSTITUTE(SUBSTITUTE(SUBSTITUTE(SUBSTITUTE(IF(Saisie_Questions!C82="", "Question "&amp;A82, Saisie_Questions!C82),"&amp;","&amp;amp;"),"&lt;","&amp;lt;"),"&gt;","&amp;gt;"),CHAR(34),"&amp;quot;"),"'","&amp;apos;"))</f>
        <v/>
      </c>
      <c r="G82" s="46">
        <f>IF(A82="","",SUBSTITUTE(SUBSTITUTE(SUBSTITUTE(SUBSTITUTE(SUBSTITUTE(Saisie_Questions!D82,"&amp;","&amp;amp;"),"&lt;","&amp;lt;"),"&gt;","&amp;gt;"),CHAR(34),"&amp;quot;"),"'","&amp;apos;"))</f>
        <v/>
      </c>
      <c r="H82" s="46">
        <f>Saisie_Questions!N82</f>
        <v/>
      </c>
      <c r="I82" s="46">
        <f>IF(Saisie_Questions!E82="",0,1)+IF(Saisie_Questions!F82="",0,1)+IF(Saisie_Questions!G82="",0,1)+IF(Saisie_Questions!H82="",0,1)+IF(Saisie_Questions!I82="",0,1)+IF(Saisie_Questions!J82="",0,1)+IF(Saisie_Questions!K82="",0,1)+IF(Saisie_Questions!L82="",0,1)</f>
        <v/>
      </c>
      <c r="J82" s="46">
        <f>Saisie_Questions!M82</f>
        <v/>
      </c>
      <c r="K82" s="46">
        <f>Saisie_Questions!O82</f>
        <v/>
      </c>
      <c r="L82" s="46">
        <f>IF(Saisie_Questions!E82="","",SUBSTITUTE(SUBSTITUTE(SUBSTITUTE(SUBSTITUTE(SUBSTITUTE(Saisie_Questions!E82,"&amp;","&amp;amp;"),"&lt;","&amp;lt;"),"&gt;","&amp;gt;"),CHAR(34),"&amp;quot;"),"'","&amp;apos;"))</f>
        <v/>
      </c>
      <c r="M82" s="46">
        <f>IF(Saisie_Questions!F82="","",SUBSTITUTE(SUBSTITUTE(SUBSTITUTE(SUBSTITUTE(SUBSTITUTE(Saisie_Questions!F82,"&amp;","&amp;amp;"),"&lt;","&amp;lt;"),"&gt;","&amp;gt;"),CHAR(34),"&amp;quot;"),"'","&amp;apos;"))</f>
        <v/>
      </c>
      <c r="N82" s="46">
        <f>IF(Saisie_Questions!G82="","",SUBSTITUTE(SUBSTITUTE(SUBSTITUTE(SUBSTITUTE(SUBSTITUTE(Saisie_Questions!G82,"&amp;","&amp;amp;"),"&lt;","&amp;lt;"),"&gt;","&amp;gt;"),CHAR(34),"&amp;quot;"),"'","&amp;apos;"))</f>
        <v/>
      </c>
      <c r="O82" s="46">
        <f>IF(Saisie_Questions!H82="","",SUBSTITUTE(SUBSTITUTE(SUBSTITUTE(SUBSTITUTE(SUBSTITUTE(Saisie_Questions!H82,"&amp;","&amp;amp;"),"&lt;","&amp;lt;"),"&gt;","&amp;gt;"),CHAR(34),"&amp;quot;"),"'","&amp;apos;"))</f>
        <v/>
      </c>
      <c r="P82" s="46">
        <f>IF(Saisie_Questions!I82="","",SUBSTITUTE(SUBSTITUTE(SUBSTITUTE(SUBSTITUTE(SUBSTITUTE(Saisie_Questions!I82,"&amp;","&amp;amp;"),"&lt;","&amp;lt;"),"&gt;","&amp;gt;"),CHAR(34),"&amp;quot;"),"'","&amp;apos;"))</f>
        <v/>
      </c>
      <c r="Q82" s="46">
        <f>IF(Saisie_Questions!J82="","",SUBSTITUTE(SUBSTITUTE(SUBSTITUTE(SUBSTITUTE(SUBSTITUTE(Saisie_Questions!J82,"&amp;","&amp;amp;"),"&lt;","&amp;lt;"),"&gt;","&amp;gt;"),CHAR(34),"&amp;quot;"),"'","&amp;apos;"))</f>
        <v/>
      </c>
      <c r="R82" s="46">
        <f>IF(Saisie_Questions!K82="","",SUBSTITUTE(SUBSTITUTE(SUBSTITUTE(SUBSTITUTE(SUBSTITUTE(Saisie_Questions!K82,"&amp;","&amp;amp;"),"&lt;","&amp;lt;"),"&gt;","&amp;gt;"),CHAR(34),"&amp;quot;"),"'","&amp;apos;"))</f>
        <v/>
      </c>
      <c r="S82" s="46">
        <f>IF(Saisie_Questions!L82="","",SUBSTITUTE(SUBSTITUTE(SUBSTITUTE(SUBSTITUTE(SUBSTITUTE(Saisie_Questions!L82,"&amp;","&amp;amp;"),"&lt;","&amp;lt;"),"&gt;","&amp;gt;"),CHAR(34),"&amp;quot;"),"'","&amp;apos;"))</f>
        <v/>
      </c>
      <c r="T82" s="46">
        <f>ISNUMBER(SEARCH(";"&amp;1&amp;";",";"&amp;$J82&amp;";"))</f>
        <v/>
      </c>
      <c r="U82" s="46">
        <f>ISNUMBER(SEARCH(";"&amp;2&amp;";",";"&amp;$J82&amp;";"))</f>
        <v/>
      </c>
      <c r="V82" s="46">
        <f>ISNUMBER(SEARCH(";"&amp;3&amp;";",";"&amp;$J82&amp;";"))</f>
        <v/>
      </c>
      <c r="W82" s="46">
        <f>ISNUMBER(SEARCH(";"&amp;4&amp;";",";"&amp;$J82&amp;";"))</f>
        <v/>
      </c>
      <c r="X82" s="46">
        <f>ISNUMBER(SEARCH(";"&amp;5&amp;";",";"&amp;$J82&amp;";"))</f>
        <v/>
      </c>
      <c r="Y82" s="46">
        <f>ISNUMBER(SEARCH(";"&amp;6&amp;";",";"&amp;$J82&amp;";"))</f>
        <v/>
      </c>
      <c r="Z82" s="46">
        <f>ISNUMBER(SEARCH(";"&amp;7&amp;";",";"&amp;$J82&amp;";"))</f>
        <v/>
      </c>
      <c r="AA82" s="46">
        <f>ISNUMBER(SEARCH(";"&amp;8&amp;";",";"&amp;$J82&amp;";"))</f>
        <v/>
      </c>
      <c r="AB82" s="46">
        <f>IF($B82,IF(L82="","","        &lt;response_label ident=""0""&gt;&lt;material&gt;&lt;mattext texttype=""text/html""&gt;"&amp;L82&amp;"&lt;/mattext&gt;&lt;/material&gt;&lt;/response_label&gt;"),"")</f>
        <v/>
      </c>
      <c r="AC82" s="46">
        <f>IF($B82,IF(M82="","","        &lt;response_label ident=""1""&gt;&lt;material&gt;&lt;mattext texttype=""text/html""&gt;"&amp;M82&amp;"&lt;/mattext&gt;&lt;/material&gt;&lt;/response_label&gt;"),"")</f>
        <v/>
      </c>
      <c r="AD82" s="46">
        <f>IF($B82,IF(N82="","","        &lt;response_label ident=""2""&gt;&lt;material&gt;&lt;mattext texttype=""text/html""&gt;"&amp;N82&amp;"&lt;/mattext&gt;&lt;/material&gt;&lt;/response_label&gt;"),"")</f>
        <v/>
      </c>
      <c r="AE82" s="46">
        <f>IF($B82,IF(O82="","","        &lt;response_label ident=""3""&gt;&lt;material&gt;&lt;mattext texttype=""text/html""&gt;"&amp;O82&amp;"&lt;/mattext&gt;&lt;/material&gt;&lt;/response_label&gt;"),"")</f>
        <v/>
      </c>
      <c r="AF82" s="46">
        <f>IF($B82,IF(P82="","","        &lt;response_label ident=""4""&gt;&lt;material&gt;&lt;mattext texttype=""text/html""&gt;"&amp;P82&amp;"&lt;/mattext&gt;&lt;/material&gt;&lt;/response_label&gt;"),"")</f>
        <v/>
      </c>
      <c r="AG82" s="46">
        <f>IF($B82,IF(Q82="","","        &lt;response_label ident=""5""&gt;&lt;material&gt;&lt;mattext texttype=""text/html""&gt;"&amp;Q82&amp;"&lt;/mattext&gt;&lt;/material&gt;&lt;/response_label&gt;"),"")</f>
        <v/>
      </c>
      <c r="AH82" s="46">
        <f>IF($B82,IF(R82="","","        &lt;response_label ident=""6""&gt;&lt;material&gt;&lt;mattext texttype=""text/html""&gt;"&amp;R82&amp;"&lt;/mattext&gt;&lt;/material&gt;&lt;/response_label&gt;"),"")</f>
        <v/>
      </c>
      <c r="AI82" s="46">
        <f>IF($B82,IF(S82="","","        &lt;response_label ident=""7""&gt;&lt;material&gt;&lt;mattext texttype=""text/html""&gt;"&amp;S82&amp;"&lt;/mattext&gt;&lt;/material&gt;&lt;/response_label&gt;"),"")</f>
        <v/>
      </c>
      <c r="AJ82" s="46">
        <f>IF($B82,IF(L82="","",IF($C82="qcu",IF(OR(T82,AT82&lt;&gt;"",$AS82&lt;&gt;""),"      &lt;respcondition continue=""Yes""&gt;&lt;conditionvar&gt;&lt;varequal respident=""RESPONSE""&gt;0&lt;/varequal&gt;&lt;/conditionvar&gt;"&amp;"&lt;setvar action=""Add""&gt;"&amp;IF(T82,$H82,0)&amp;"&lt;/setvar&gt;"&amp;IF(AT82&lt;&gt;"","&lt;displayfeedback feedbacktype=""Response"" linkrefid=""response_0""/&gt;",IF($AS82&lt;&gt;"","&lt;displayfeedback feedbacktype=""Response"" linkrefid=""qti_feedback_trigger""/&gt;",""))&amp;"&lt;/respcondition&gt;",""),IF(OR(T82,AT82&lt;&gt;"",$AS82&lt;&gt;""),"      &lt;respcondition continue=""Yes""&gt;&lt;conditionvar&gt;"&amp;IF(T82,"&lt;varequal respident=""RESPONSE""&gt;0&lt;/varequal&gt;","&lt;not&gt;&lt;varequal respident=""RESPONSE""&gt;0&lt;/varequal&gt;&lt;/not&gt;")&amp;"&lt;/conditionvar&gt;&lt;setvar action=""Add""&gt;"&amp;(Saisie_Questions!$N82/$I82)&amp;"&lt;/setvar&gt;"&amp;IF(AT82&lt;&gt;"","&lt;displayfeedback feedbacktype=""Response"" linkrefid=""response_0""/&gt;",IF($AS82&lt;&gt;"","&lt;displayfeedback feedbacktype=""Response"" linkrefid=""qti_feedback_trigger""/&gt;",""))&amp;"&lt;/respcondition&gt;",""))),"")</f>
      </c>
      <c r="AK82" s="46">
        <f>IF($B82,IF(M82="","",IF($C82="qcu",IF(OR(U82,AU82&lt;&gt;"",$AS82&lt;&gt;""),"      &lt;respcondition continue=""Yes""&gt;&lt;conditionvar&gt;&lt;varequal respident=""RESPONSE""&gt;1&lt;/varequal&gt;&lt;/conditionvar&gt;"&amp;"&lt;setvar action=""Add""&gt;"&amp;IF(U82,$H82,0)&amp;"&lt;/setvar&gt;"&amp;IF(AU82&lt;&gt;"","&lt;displayfeedback feedbacktype=""Response"" linkrefid=""response_1""/&gt;",IF($AS82&lt;&gt;"","&lt;displayfeedback feedbacktype=""Response"" linkrefid=""qti_feedback_trigger""/&gt;",""))&amp;"&lt;/respcondition&gt;",""),IF(OR(U82,AU82&lt;&gt;"",$AS82&lt;&gt;""),"      &lt;respcondition continue=""Yes""&gt;&lt;conditionvar&gt;"&amp;IF(U82,"&lt;varequal respident=""RESPONSE""&gt;1&lt;/varequal&gt;","&lt;not&gt;&lt;varequal respident=""RESPONSE""&gt;1&lt;/varequal&gt;&lt;/not&gt;")&amp;"&lt;/conditionvar&gt;&lt;setvar action=""Add""&gt;"&amp;(Saisie_Questions!$N82/$I82)&amp;"&lt;/setvar&gt;"&amp;IF(AU82&lt;&gt;"","&lt;displayfeedback feedbacktype=""Response"" linkrefid=""response_1""/&gt;",IF($AS82&lt;&gt;"","&lt;displayfeedback feedbacktype=""Response"" linkrefid=""qti_feedback_trigger""/&gt;",""))&amp;"&lt;/respcondition&gt;",""))),"")</f>
      </c>
      <c r="AL82" s="46">
        <f>IF($B82,IF(N82="","",IF($C82="qcu",IF(OR(V82,AV82&lt;&gt;"",$AS82&lt;&gt;""),"      &lt;respcondition continue=""Yes""&gt;&lt;conditionvar&gt;&lt;varequal respident=""RESPONSE""&gt;2&lt;/varequal&gt;&lt;/conditionvar&gt;"&amp;"&lt;setvar action=""Add""&gt;"&amp;IF(V82,$H82,0)&amp;"&lt;/setvar&gt;"&amp;IF(AV82&lt;&gt;"","&lt;displayfeedback feedbacktype=""Response"" linkrefid=""response_2""/&gt;",IF($AS82&lt;&gt;"","&lt;displayfeedback feedbacktype=""Response"" linkrefid=""qti_feedback_trigger""/&gt;",""))&amp;"&lt;/respcondition&gt;",""),IF(OR(V82,AV82&lt;&gt;"",$AS82&lt;&gt;""),"      &lt;respcondition continue=""Yes""&gt;&lt;conditionvar&gt;"&amp;IF(V82,"&lt;varequal respident=""RESPONSE""&gt;2&lt;/varequal&gt;","&lt;not&gt;&lt;varequal respident=""RESPONSE""&gt;2&lt;/varequal&gt;&lt;/not&gt;")&amp;"&lt;/conditionvar&gt;&lt;setvar action=""Add""&gt;"&amp;(Saisie_Questions!$N82/$I82)&amp;"&lt;/setvar&gt;"&amp;IF(AV82&lt;&gt;"","&lt;displayfeedback feedbacktype=""Response"" linkrefid=""response_2""/&gt;",IF($AS82&lt;&gt;"","&lt;displayfeedback feedbacktype=""Response"" linkrefid=""qti_feedback_trigger""/&gt;",""))&amp;"&lt;/respcondition&gt;",""))),"")</f>
      </c>
      <c r="AM82" s="46">
        <f>IF($B82,IF(O82="","",IF($C82="qcu",IF(OR(W82,AW82&lt;&gt;"",$AS82&lt;&gt;""),"      &lt;respcondition continue=""Yes""&gt;&lt;conditionvar&gt;&lt;varequal respident=""RESPONSE""&gt;3&lt;/varequal&gt;&lt;/conditionvar&gt;"&amp;"&lt;setvar action=""Add""&gt;"&amp;IF(W82,$H82,0)&amp;"&lt;/setvar&gt;"&amp;IF(AW82&lt;&gt;"","&lt;displayfeedback feedbacktype=""Response"" linkrefid=""response_3""/&gt;",IF($AS82&lt;&gt;"","&lt;displayfeedback feedbacktype=""Response"" linkrefid=""qti_feedback_trigger""/&gt;",""))&amp;"&lt;/respcondition&gt;",""),IF(OR(W82,AW82&lt;&gt;"",$AS82&lt;&gt;""),"      &lt;respcondition continue=""Yes""&gt;&lt;conditionvar&gt;"&amp;IF(W82,"&lt;varequal respident=""RESPONSE""&gt;3&lt;/varequal&gt;","&lt;not&gt;&lt;varequal respident=""RESPONSE""&gt;3&lt;/varequal&gt;&lt;/not&gt;")&amp;"&lt;/conditionvar&gt;&lt;setvar action=""Add""&gt;"&amp;(Saisie_Questions!$N82/$I82)&amp;"&lt;/setvar&gt;"&amp;IF(AW82&lt;&gt;"","&lt;displayfeedback feedbacktype=""Response"" linkrefid=""response_3""/&gt;",IF($AS82&lt;&gt;"","&lt;displayfeedback feedbacktype=""Response"" linkrefid=""qti_feedback_trigger""/&gt;",""))&amp;"&lt;/respcondition&gt;",""))),"")</f>
      </c>
      <c r="AN82" s="46">
        <f>IF($B82,IF(P82="","",IF($C82="qcu",IF(OR(X82,AX82&lt;&gt;"",$AS82&lt;&gt;""),"      &lt;respcondition continue=""Yes""&gt;&lt;conditionvar&gt;&lt;varequal respident=""RESPONSE""&gt;4&lt;/varequal&gt;&lt;/conditionvar&gt;"&amp;"&lt;setvar action=""Add""&gt;"&amp;IF(X82,$H82,0)&amp;"&lt;/setvar&gt;"&amp;IF(AX82&lt;&gt;"","&lt;displayfeedback feedbacktype=""Response"" linkrefid=""response_4""/&gt;",IF($AS82&lt;&gt;"","&lt;displayfeedback feedbacktype=""Response"" linkrefid=""qti_feedback_trigger""/&gt;",""))&amp;"&lt;/respcondition&gt;",""),IF(OR(X82,AX82&lt;&gt;"",$AS82&lt;&gt;""),"      &lt;respcondition continue=""Yes""&gt;&lt;conditionvar&gt;"&amp;IF(X82,"&lt;varequal respident=""RESPONSE""&gt;4&lt;/varequal&gt;","&lt;not&gt;&lt;varequal respident=""RESPONSE""&gt;4&lt;/varequal&gt;&lt;/not&gt;")&amp;"&lt;/conditionvar&gt;&lt;setvar action=""Add""&gt;"&amp;(Saisie_Questions!$N82/$I82)&amp;"&lt;/setvar&gt;"&amp;IF(AX82&lt;&gt;"","&lt;displayfeedback feedbacktype=""Response"" linkrefid=""response_4""/&gt;",IF($AS82&lt;&gt;"","&lt;displayfeedback feedbacktype=""Response"" linkrefid=""qti_feedback_trigger""/&gt;",""))&amp;"&lt;/respcondition&gt;",""))),"")</f>
      </c>
      <c r="AO82" s="46">
        <f>IF($B82,IF(Q82="","",IF($C82="qcu",IF(OR(Y82,AY82&lt;&gt;"",$AS82&lt;&gt;""),"      &lt;respcondition continue=""Yes""&gt;&lt;conditionvar&gt;&lt;varequal respident=""RESPONSE""&gt;5&lt;/varequal&gt;&lt;/conditionvar&gt;"&amp;"&lt;setvar action=""Add""&gt;"&amp;IF(Y82,$H82,0)&amp;"&lt;/setvar&gt;"&amp;IF(AY82&lt;&gt;"","&lt;displayfeedback feedbacktype=""Response"" linkrefid=""response_5""/&gt;",IF($AS82&lt;&gt;"","&lt;displayfeedback feedbacktype=""Response"" linkrefid=""qti_feedback_trigger""/&gt;",""))&amp;"&lt;/respcondition&gt;",""),IF(OR(Y82,AY82&lt;&gt;"",$AS82&lt;&gt;""),"      &lt;respcondition continue=""Yes""&gt;&lt;conditionvar&gt;"&amp;IF(Y82,"&lt;varequal respident=""RESPONSE""&gt;5&lt;/varequal&gt;","&lt;not&gt;&lt;varequal respident=""RESPONSE""&gt;5&lt;/varequal&gt;&lt;/not&gt;")&amp;"&lt;/conditionvar&gt;&lt;setvar action=""Add""&gt;"&amp;(Saisie_Questions!$N82/$I82)&amp;"&lt;/setvar&gt;"&amp;IF(AY82&lt;&gt;"","&lt;displayfeedback feedbacktype=""Response"" linkrefid=""response_5""/&gt;",IF($AS82&lt;&gt;"","&lt;displayfeedback feedbacktype=""Response"" linkrefid=""qti_feedback_trigger""/&gt;",""))&amp;"&lt;/respcondition&gt;",""))),"")</f>
      </c>
      <c r="AP82" s="46">
        <f>IF($B82,IF(R82="","",IF($C82="qcu",IF(OR(Z82,AZ82&lt;&gt;"",$AS82&lt;&gt;""),"      &lt;respcondition continue=""Yes""&gt;&lt;conditionvar&gt;&lt;varequal respident=""RESPONSE""&gt;6&lt;/varequal&gt;&lt;/conditionvar&gt;"&amp;"&lt;setvar action=""Add""&gt;"&amp;IF(Z82,$H82,0)&amp;"&lt;/setvar&gt;"&amp;IF(AZ82&lt;&gt;"","&lt;displayfeedback feedbacktype=""Response"" linkrefid=""response_6""/&gt;",IF($AS82&lt;&gt;"","&lt;displayfeedback feedbacktype=""Response"" linkrefid=""qti_feedback_trigger""/&gt;",""))&amp;"&lt;/respcondition&gt;",""),IF(OR(Z82,AZ82&lt;&gt;"",$AS82&lt;&gt;""),"      &lt;respcondition continue=""Yes""&gt;&lt;conditionvar&gt;"&amp;IF(Z82,"&lt;varequal respident=""RESPONSE""&gt;6&lt;/varequal&gt;","&lt;not&gt;&lt;varequal respident=""RESPONSE""&gt;6&lt;/varequal&gt;&lt;/not&gt;")&amp;"&lt;/conditionvar&gt;&lt;setvar action=""Add""&gt;"&amp;(Saisie_Questions!$N82/$I82)&amp;"&lt;/setvar&gt;"&amp;IF(AZ82&lt;&gt;"","&lt;displayfeedback feedbacktype=""Response"" linkrefid=""response_6""/&gt;",IF($AS82&lt;&gt;"","&lt;displayfeedback feedbacktype=""Response"" linkrefid=""qti_feedback_trigger""/&gt;",""))&amp;"&lt;/respcondition&gt;",""))),"")</f>
      </c>
      <c r="AQ82" s="46">
        <f>IF($B82,IF(S82="","",IF($C82="qcu",IF(OR(AA82,BA82&lt;&gt;"",$AS82&lt;&gt;""),"      &lt;respcondition continue=""Yes""&gt;&lt;conditionvar&gt;&lt;varequal respident=""RESPONSE""&gt;7&lt;/varequal&gt;&lt;/conditionvar&gt;"&amp;"&lt;setvar action=""Add""&gt;"&amp;IF(AA82,$H82,0)&amp;"&lt;/setvar&gt;"&amp;IF(BA82&lt;&gt;"","&lt;displayfeedback feedbacktype=""Response"" linkrefid=""response_7""/&gt;",IF($AS82&lt;&gt;"","&lt;displayfeedback feedbacktype=""Response"" linkrefid=""qti_feedback_trigger""/&gt;",""))&amp;"&lt;/respcondition&gt;",""),IF(OR(AA82,BA82&lt;&gt;"",$AS82&lt;&gt;""),"      &lt;respcondition continue=""Yes""&gt;&lt;conditionvar&gt;"&amp;IF(AA82,"&lt;varequal respident=""RESPONSE""&gt;7&lt;/varequal&gt;","&lt;not&gt;&lt;varequal respident=""RESPONSE""&gt;7&lt;/varequal&gt;&lt;/not&gt;")&amp;"&lt;/conditionvar&gt;&lt;setvar action=""Add""&gt;"&amp;(Saisie_Questions!$N82/$I82)&amp;"&lt;/setvar&gt;"&amp;IF(BA82&lt;&gt;"","&lt;displayfeedback feedbacktype=""Response"" linkrefid=""response_7""/&gt;",IF($AS82&lt;&gt;"","&lt;displayfeedback feedbacktype=""Response"" linkrefid=""qti_feedback_trigger""/&gt;",""))&amp;"&lt;/respcondition&gt;",""))),"")</f>
      </c>
      <c r="AR82" s="46">
        <f>IF(A82="","",SUBSTITUTE(SUBSTITUTE(SUBSTITUTE(SUBSTITUTE(SUBSTITUTE(IF(Saisie_Questions!P82&lt;&gt;"",Saisie_Questions!P82,Interface_Generation!$B$5),"&amp;","&amp;amp;"),"&lt;","&amp;lt;"),"&gt;","&amp;gt;"),CHAR(34),"&amp;quot;"),"'","&amp;apos;"))</f>
        <v/>
      </c>
      <c r="AS82" s="46">
        <f>IF(Saisie_Questions!Q82="","",SUBSTITUTE(SUBSTITUTE(SUBSTITUTE(SUBSTITUTE(SUBSTITUTE(Saisie_Questions!Q82,"&amp;","&amp;amp;"),"&lt;","&amp;lt;"),"&gt;","&amp;gt;"),CHAR(34),"&amp;quot;"),"'","&amp;apos;"))</f>
        <v/>
      </c>
      <c r="AT82" s="46">
        <f>IF(Saisie_Questions!R82="","",SUBSTITUTE(SUBSTITUTE(SUBSTITUTE(SUBSTITUTE(SUBSTITUTE(Saisie_Questions!R82,"&amp;","&amp;amp;"),"&lt;","&amp;lt;"),"&gt;","&amp;gt;"),CHAR(34),"&amp;quot;"),"'","&amp;apos;"))</f>
        <v/>
      </c>
      <c r="AU82" s="46">
        <f>IF(Saisie_Questions!S82="","",SUBSTITUTE(SUBSTITUTE(SUBSTITUTE(SUBSTITUTE(SUBSTITUTE(Saisie_Questions!S82,"&amp;","&amp;amp;"),"&lt;","&amp;lt;"),"&gt;","&amp;gt;"),CHAR(34),"&amp;quot;"),"'","&amp;apos;"))</f>
        <v/>
      </c>
      <c r="AV82" s="46">
        <f>IF(Saisie_Questions!T82="","",SUBSTITUTE(SUBSTITUTE(SUBSTITUTE(SUBSTITUTE(SUBSTITUTE(Saisie_Questions!T82,"&amp;","&amp;amp;"),"&lt;","&amp;lt;"),"&gt;","&amp;gt;"),CHAR(34),"&amp;quot;"),"'","&amp;apos;"))</f>
        <v/>
      </c>
      <c r="AW82" s="46">
        <f>IF(Saisie_Questions!U82="","",SUBSTITUTE(SUBSTITUTE(SUBSTITUTE(SUBSTITUTE(SUBSTITUTE(Saisie_Questions!U82,"&amp;","&amp;amp;"),"&lt;","&amp;lt;"),"&gt;","&amp;gt;"),CHAR(34),"&amp;quot;"),"'","&amp;apos;"))</f>
        <v/>
      </c>
      <c r="AX82" s="46">
        <f>IF(Saisie_Questions!V82="","",SUBSTITUTE(SUBSTITUTE(SUBSTITUTE(SUBSTITUTE(SUBSTITUTE(Saisie_Questions!V82,"&amp;","&amp;amp;"),"&lt;","&amp;lt;"),"&gt;","&amp;gt;"),CHAR(34),"&amp;quot;"),"'","&amp;apos;"))</f>
        <v/>
      </c>
      <c r="AY82" s="46">
        <f>IF(Saisie_Questions!W82="","",SUBSTITUTE(SUBSTITUTE(SUBSTITUTE(SUBSTITUTE(SUBSTITUTE(Saisie_Questions!W82,"&amp;","&amp;amp;"),"&lt;","&amp;lt;"),"&gt;","&amp;gt;"),CHAR(34),"&amp;quot;"),"'","&amp;apos;"))</f>
        <v/>
      </c>
      <c r="AZ82" s="46">
        <f>IF(Saisie_Questions!X82="","",SUBSTITUTE(SUBSTITUTE(SUBSTITUTE(SUBSTITUTE(SUBSTITUTE(Saisie_Questions!X82,"&amp;","&amp;amp;"),"&lt;","&amp;lt;"),"&gt;","&amp;gt;"),CHAR(34),"&amp;quot;"),"'","&amp;apos;"))</f>
        <v/>
      </c>
      <c r="BA82" s="46">
        <f>IF(Saisie_Questions!Y82="","",SUBSTITUTE(SUBSTITUTE(SUBSTITUTE(SUBSTITUTE(SUBSTITUTE(Saisie_Questions!Y82,"&amp;","&amp;amp;"),"&lt;","&amp;lt;"),"&gt;","&amp;gt;"),CHAR(34),"&amp;quot;"),"'","&amp;apos;"))</f>
        <v/>
      </c>
      <c r="BB82" s="46">
        <f>IF($B82,IF($AS82="","","    &lt;itemfeedback ident=""response_allcorrect"" view=""All""&gt;&lt;flow_mat&gt;&lt;material&gt;&lt;mattext texttype=""text/html""&gt;"&amp;$AS82&amp;"&lt;/mattext&gt;&lt;/material&gt;&lt;/flow_mat&gt;&lt;/itemfeedback&gt;"&amp;"    &lt;itemfeedback ident=""response_onenotcorrect"" view=""All""&gt;&lt;flow_mat&gt;&lt;material&gt;&lt;mattext texttype=""text/html""&gt;"&amp;$AS82&amp;"&lt;/mattext&gt;&lt;/material&gt;&lt;/flow_mat&gt;&lt;/itemfeedback&gt;"),"")</f>
      </c>
      <c r="BC82" s="46">
        <f>IF($B82,IF(AT82="","","    &lt;itemfeedback ident=""response_0"" view=""All""&gt;&lt;flow_mat&gt;&lt;material&gt;&lt;mattext texttype=""text/html""&gt;"&amp;AT82&amp;"&lt;/mattext&gt;&lt;/material&gt;&lt;/flow_mat&gt;&lt;/itemfeedback&gt;"),"")</f>
      </c>
      <c r="BD82" s="46">
        <f>IF($B82,IF(AU82="","","    &lt;itemfeedback ident=""response_1"" view=""All""&gt;&lt;flow_mat&gt;&lt;material&gt;&lt;mattext texttype=""text/html""&gt;"&amp;AU82&amp;"&lt;/mattext&gt;&lt;/material&gt;&lt;/flow_mat&gt;&lt;/itemfeedback&gt;"),"")</f>
      </c>
      <c r="BE82" s="46">
        <f>IF($B82,IF(AV82="","","    &lt;itemfeedback ident=""response_2"" view=""All""&gt;&lt;flow_mat&gt;&lt;material&gt;&lt;mattext texttype=""text/html""&gt;"&amp;AV82&amp;"&lt;/mattext&gt;&lt;/material&gt;&lt;/flow_mat&gt;&lt;/itemfeedback&gt;"),"")</f>
      </c>
      <c r="BF82" s="46">
        <f>IF($B82,IF(AW82="","","    &lt;itemfeedback ident=""response_3"" view=""All""&gt;&lt;flow_mat&gt;&lt;material&gt;&lt;mattext texttype=""text/html""&gt;"&amp;AW82&amp;"&lt;/mattext&gt;&lt;/material&gt;&lt;/flow_mat&gt;&lt;/itemfeedback&gt;"),"")</f>
      </c>
      <c r="BG82" s="46">
        <f>IF($B82,IF(AX82="","","    &lt;itemfeedback ident=""response_4"" view=""All""&gt;&lt;flow_mat&gt;&lt;material&gt;&lt;mattext texttype=""text/html""&gt;"&amp;AX82&amp;"&lt;/mattext&gt;&lt;/material&gt;&lt;/flow_mat&gt;&lt;/itemfeedback&gt;"),"")</f>
      </c>
      <c r="BH82" s="46">
        <f>IF($B82,IF(AY82="","","    &lt;itemfeedback ident=""response_5"" view=""All""&gt;&lt;flow_mat&gt;&lt;material&gt;&lt;mattext texttype=""text/html""&gt;"&amp;AY82&amp;"&lt;/mattext&gt;&lt;/material&gt;&lt;/flow_mat&gt;&lt;/itemfeedback&gt;"),"")</f>
      </c>
      <c r="BI82" s="46">
        <f>IF($B82,IF(AZ82="","","    &lt;itemfeedback ident=""response_6"" view=""All""&gt;&lt;flow_mat&gt;&lt;material&gt;&lt;mattext texttype=""text/html""&gt;"&amp;AZ82&amp;"&lt;/mattext&gt;&lt;/material&gt;&lt;/flow_mat&gt;&lt;/itemfeedback&gt;"),"")</f>
      </c>
      <c r="BJ82" s="46">
        <f>IF($B82,IF(BA82="","","    &lt;itemfeedback ident=""response_7"" view=""All""&gt;&lt;flow_mat&gt;&lt;material&gt;&lt;mattext texttype=""text/html""&gt;"&amp;BA82&amp;"&lt;/mattext&gt;&lt;/material&gt;&lt;/flow_mat&gt;&lt;/itemfeedback&gt;"),"")</f>
      </c>
    </row>
    <row r="83" ht="18" customHeight="1" s="17">
      <c r="A83" s="46">
        <f>Saisie_Questions!A83</f>
        <v/>
      </c>
      <c r="B83" s="46">
        <f>Saisie_Questions!O83="OK"</f>
        <v/>
      </c>
      <c r="C83" s="46">
        <f>LOWER(TRIM(Saisie_Questions!B83))</f>
        <v/>
      </c>
      <c r="D83" s="46">
        <f>IF(C83="qcu","SINGLE CHOICE QUESTION","MULTIPLE CHOICE QUESTION")</f>
        <v/>
      </c>
      <c r="E83" s="46">
        <f>IF(C83="qcu","Single","Multiple")</f>
        <v/>
      </c>
      <c r="F83" s="46">
        <f>IF(A83="","",SUBSTITUTE(SUBSTITUTE(SUBSTITUTE(SUBSTITUTE(SUBSTITUTE(IF(Saisie_Questions!C83="", "Question "&amp;A83, Saisie_Questions!C83),"&amp;","&amp;amp;"),"&lt;","&amp;lt;"),"&gt;","&amp;gt;"),CHAR(34),"&amp;quot;"),"'","&amp;apos;"))</f>
        <v/>
      </c>
      <c r="G83" s="46">
        <f>IF(A83="","",SUBSTITUTE(SUBSTITUTE(SUBSTITUTE(SUBSTITUTE(SUBSTITUTE(Saisie_Questions!D83,"&amp;","&amp;amp;"),"&lt;","&amp;lt;"),"&gt;","&amp;gt;"),CHAR(34),"&amp;quot;"),"'","&amp;apos;"))</f>
        <v/>
      </c>
      <c r="H83" s="46">
        <f>Saisie_Questions!N83</f>
        <v/>
      </c>
      <c r="I83" s="46">
        <f>IF(Saisie_Questions!E83="",0,1)+IF(Saisie_Questions!F83="",0,1)+IF(Saisie_Questions!G83="",0,1)+IF(Saisie_Questions!H83="",0,1)+IF(Saisie_Questions!I83="",0,1)+IF(Saisie_Questions!J83="",0,1)+IF(Saisie_Questions!K83="",0,1)+IF(Saisie_Questions!L83="",0,1)</f>
        <v/>
      </c>
      <c r="J83" s="46">
        <f>Saisie_Questions!M83</f>
        <v/>
      </c>
      <c r="K83" s="46">
        <f>Saisie_Questions!O83</f>
        <v/>
      </c>
      <c r="L83" s="46">
        <f>IF(Saisie_Questions!E83="","",SUBSTITUTE(SUBSTITUTE(SUBSTITUTE(SUBSTITUTE(SUBSTITUTE(Saisie_Questions!E83,"&amp;","&amp;amp;"),"&lt;","&amp;lt;"),"&gt;","&amp;gt;"),CHAR(34),"&amp;quot;"),"'","&amp;apos;"))</f>
        <v/>
      </c>
      <c r="M83" s="46">
        <f>IF(Saisie_Questions!F83="","",SUBSTITUTE(SUBSTITUTE(SUBSTITUTE(SUBSTITUTE(SUBSTITUTE(Saisie_Questions!F83,"&amp;","&amp;amp;"),"&lt;","&amp;lt;"),"&gt;","&amp;gt;"),CHAR(34),"&amp;quot;"),"'","&amp;apos;"))</f>
        <v/>
      </c>
      <c r="N83" s="46">
        <f>IF(Saisie_Questions!G83="","",SUBSTITUTE(SUBSTITUTE(SUBSTITUTE(SUBSTITUTE(SUBSTITUTE(Saisie_Questions!G83,"&amp;","&amp;amp;"),"&lt;","&amp;lt;"),"&gt;","&amp;gt;"),CHAR(34),"&amp;quot;"),"'","&amp;apos;"))</f>
        <v/>
      </c>
      <c r="O83" s="46">
        <f>IF(Saisie_Questions!H83="","",SUBSTITUTE(SUBSTITUTE(SUBSTITUTE(SUBSTITUTE(SUBSTITUTE(Saisie_Questions!H83,"&amp;","&amp;amp;"),"&lt;","&amp;lt;"),"&gt;","&amp;gt;"),CHAR(34),"&amp;quot;"),"'","&amp;apos;"))</f>
        <v/>
      </c>
      <c r="P83" s="46">
        <f>IF(Saisie_Questions!I83="","",SUBSTITUTE(SUBSTITUTE(SUBSTITUTE(SUBSTITUTE(SUBSTITUTE(Saisie_Questions!I83,"&amp;","&amp;amp;"),"&lt;","&amp;lt;"),"&gt;","&amp;gt;"),CHAR(34),"&amp;quot;"),"'","&amp;apos;"))</f>
        <v/>
      </c>
      <c r="Q83" s="46">
        <f>IF(Saisie_Questions!J83="","",SUBSTITUTE(SUBSTITUTE(SUBSTITUTE(SUBSTITUTE(SUBSTITUTE(Saisie_Questions!J83,"&amp;","&amp;amp;"),"&lt;","&amp;lt;"),"&gt;","&amp;gt;"),CHAR(34),"&amp;quot;"),"'","&amp;apos;"))</f>
        <v/>
      </c>
      <c r="R83" s="46">
        <f>IF(Saisie_Questions!K83="","",SUBSTITUTE(SUBSTITUTE(SUBSTITUTE(SUBSTITUTE(SUBSTITUTE(Saisie_Questions!K83,"&amp;","&amp;amp;"),"&lt;","&amp;lt;"),"&gt;","&amp;gt;"),CHAR(34),"&amp;quot;"),"'","&amp;apos;"))</f>
        <v/>
      </c>
      <c r="S83" s="46">
        <f>IF(Saisie_Questions!L83="","",SUBSTITUTE(SUBSTITUTE(SUBSTITUTE(SUBSTITUTE(SUBSTITUTE(Saisie_Questions!L83,"&amp;","&amp;amp;"),"&lt;","&amp;lt;"),"&gt;","&amp;gt;"),CHAR(34),"&amp;quot;"),"'","&amp;apos;"))</f>
        <v/>
      </c>
      <c r="T83" s="46">
        <f>ISNUMBER(SEARCH(";"&amp;1&amp;";",";"&amp;$J83&amp;";"))</f>
        <v/>
      </c>
      <c r="U83" s="46">
        <f>ISNUMBER(SEARCH(";"&amp;2&amp;";",";"&amp;$J83&amp;";"))</f>
        <v/>
      </c>
      <c r="V83" s="46">
        <f>ISNUMBER(SEARCH(";"&amp;3&amp;";",";"&amp;$J83&amp;";"))</f>
        <v/>
      </c>
      <c r="W83" s="46">
        <f>ISNUMBER(SEARCH(";"&amp;4&amp;";",";"&amp;$J83&amp;";"))</f>
        <v/>
      </c>
      <c r="X83" s="46">
        <f>ISNUMBER(SEARCH(";"&amp;5&amp;";",";"&amp;$J83&amp;";"))</f>
        <v/>
      </c>
      <c r="Y83" s="46">
        <f>ISNUMBER(SEARCH(";"&amp;6&amp;";",";"&amp;$J83&amp;";"))</f>
        <v/>
      </c>
      <c r="Z83" s="46">
        <f>ISNUMBER(SEARCH(";"&amp;7&amp;";",";"&amp;$J83&amp;";"))</f>
        <v/>
      </c>
      <c r="AA83" s="46">
        <f>ISNUMBER(SEARCH(";"&amp;8&amp;";",";"&amp;$J83&amp;";"))</f>
        <v/>
      </c>
      <c r="AB83" s="46">
        <f>IF($B83,IF(L83="","","        &lt;response_label ident=""0""&gt;&lt;material&gt;&lt;mattext texttype=""text/html""&gt;"&amp;L83&amp;"&lt;/mattext&gt;&lt;/material&gt;&lt;/response_label&gt;"),"")</f>
        <v/>
      </c>
      <c r="AC83" s="46">
        <f>IF($B83,IF(M83="","","        &lt;response_label ident=""1""&gt;&lt;material&gt;&lt;mattext texttype=""text/html""&gt;"&amp;M83&amp;"&lt;/mattext&gt;&lt;/material&gt;&lt;/response_label&gt;"),"")</f>
        <v/>
      </c>
      <c r="AD83" s="46">
        <f>IF($B83,IF(N83="","","        &lt;response_label ident=""2""&gt;&lt;material&gt;&lt;mattext texttype=""text/html""&gt;"&amp;N83&amp;"&lt;/mattext&gt;&lt;/material&gt;&lt;/response_label&gt;"),"")</f>
        <v/>
      </c>
      <c r="AE83" s="46">
        <f>IF($B83,IF(O83="","","        &lt;response_label ident=""3""&gt;&lt;material&gt;&lt;mattext texttype=""text/html""&gt;"&amp;O83&amp;"&lt;/mattext&gt;&lt;/material&gt;&lt;/response_label&gt;"),"")</f>
        <v/>
      </c>
      <c r="AF83" s="46">
        <f>IF($B83,IF(P83="","","        &lt;response_label ident=""4""&gt;&lt;material&gt;&lt;mattext texttype=""text/html""&gt;"&amp;P83&amp;"&lt;/mattext&gt;&lt;/material&gt;&lt;/response_label&gt;"),"")</f>
        <v/>
      </c>
      <c r="AG83" s="46">
        <f>IF($B83,IF(Q83="","","        &lt;response_label ident=""5""&gt;&lt;material&gt;&lt;mattext texttype=""text/html""&gt;"&amp;Q83&amp;"&lt;/mattext&gt;&lt;/material&gt;&lt;/response_label&gt;"),"")</f>
        <v/>
      </c>
      <c r="AH83" s="46">
        <f>IF($B83,IF(R83="","","        &lt;response_label ident=""6""&gt;&lt;material&gt;&lt;mattext texttype=""text/html""&gt;"&amp;R83&amp;"&lt;/mattext&gt;&lt;/material&gt;&lt;/response_label&gt;"),"")</f>
        <v/>
      </c>
      <c r="AI83" s="46">
        <f>IF($B83,IF(S83="","","        &lt;response_label ident=""7""&gt;&lt;material&gt;&lt;mattext texttype=""text/html""&gt;"&amp;S83&amp;"&lt;/mattext&gt;&lt;/material&gt;&lt;/response_label&gt;"),"")</f>
        <v/>
      </c>
      <c r="AJ83" s="46">
        <f>IF($B83,IF(L83="","",IF($C83="qcu",IF(OR(T83,AT83&lt;&gt;"",$AS83&lt;&gt;""),"      &lt;respcondition continue=""Yes""&gt;&lt;conditionvar&gt;&lt;varequal respident=""RESPONSE""&gt;0&lt;/varequal&gt;&lt;/conditionvar&gt;"&amp;"&lt;setvar action=""Add""&gt;"&amp;IF(T83,$H83,0)&amp;"&lt;/setvar&gt;"&amp;IF(AT83&lt;&gt;"","&lt;displayfeedback feedbacktype=""Response"" linkrefid=""response_0""/&gt;",IF($AS83&lt;&gt;"","&lt;displayfeedback feedbacktype=""Response"" linkrefid=""qti_feedback_trigger""/&gt;",""))&amp;"&lt;/respcondition&gt;",""),IF(OR(T83,AT83&lt;&gt;"",$AS83&lt;&gt;""),"      &lt;respcondition continue=""Yes""&gt;&lt;conditionvar&gt;"&amp;IF(T83,"&lt;varequal respident=""RESPONSE""&gt;0&lt;/varequal&gt;","&lt;not&gt;&lt;varequal respident=""RESPONSE""&gt;0&lt;/varequal&gt;&lt;/not&gt;")&amp;"&lt;/conditionvar&gt;&lt;setvar action=""Add""&gt;"&amp;(Saisie_Questions!$N83/$I83)&amp;"&lt;/setvar&gt;"&amp;IF(AT83&lt;&gt;"","&lt;displayfeedback feedbacktype=""Response"" linkrefid=""response_0""/&gt;",IF($AS83&lt;&gt;"","&lt;displayfeedback feedbacktype=""Response"" linkrefid=""qti_feedback_trigger""/&gt;",""))&amp;"&lt;/respcondition&gt;",""))),"")</f>
      </c>
      <c r="AK83" s="46">
        <f>IF($B83,IF(M83="","",IF($C83="qcu",IF(OR(U83,AU83&lt;&gt;"",$AS83&lt;&gt;""),"      &lt;respcondition continue=""Yes""&gt;&lt;conditionvar&gt;&lt;varequal respident=""RESPONSE""&gt;1&lt;/varequal&gt;&lt;/conditionvar&gt;"&amp;"&lt;setvar action=""Add""&gt;"&amp;IF(U83,$H83,0)&amp;"&lt;/setvar&gt;"&amp;IF(AU83&lt;&gt;"","&lt;displayfeedback feedbacktype=""Response"" linkrefid=""response_1""/&gt;",IF($AS83&lt;&gt;"","&lt;displayfeedback feedbacktype=""Response"" linkrefid=""qti_feedback_trigger""/&gt;",""))&amp;"&lt;/respcondition&gt;",""),IF(OR(U83,AU83&lt;&gt;"",$AS83&lt;&gt;""),"      &lt;respcondition continue=""Yes""&gt;&lt;conditionvar&gt;"&amp;IF(U83,"&lt;varequal respident=""RESPONSE""&gt;1&lt;/varequal&gt;","&lt;not&gt;&lt;varequal respident=""RESPONSE""&gt;1&lt;/varequal&gt;&lt;/not&gt;")&amp;"&lt;/conditionvar&gt;&lt;setvar action=""Add""&gt;"&amp;(Saisie_Questions!$N83/$I83)&amp;"&lt;/setvar&gt;"&amp;IF(AU83&lt;&gt;"","&lt;displayfeedback feedbacktype=""Response"" linkrefid=""response_1""/&gt;",IF($AS83&lt;&gt;"","&lt;displayfeedback feedbacktype=""Response"" linkrefid=""qti_feedback_trigger""/&gt;",""))&amp;"&lt;/respcondition&gt;",""))),"")</f>
      </c>
      <c r="AL83" s="46">
        <f>IF($B83,IF(N83="","",IF($C83="qcu",IF(OR(V83,AV83&lt;&gt;"",$AS83&lt;&gt;""),"      &lt;respcondition continue=""Yes""&gt;&lt;conditionvar&gt;&lt;varequal respident=""RESPONSE""&gt;2&lt;/varequal&gt;&lt;/conditionvar&gt;"&amp;"&lt;setvar action=""Add""&gt;"&amp;IF(V83,$H83,0)&amp;"&lt;/setvar&gt;"&amp;IF(AV83&lt;&gt;"","&lt;displayfeedback feedbacktype=""Response"" linkrefid=""response_2""/&gt;",IF($AS83&lt;&gt;"","&lt;displayfeedback feedbacktype=""Response"" linkrefid=""qti_feedback_trigger""/&gt;",""))&amp;"&lt;/respcondition&gt;",""),IF(OR(V83,AV83&lt;&gt;"",$AS83&lt;&gt;""),"      &lt;respcondition continue=""Yes""&gt;&lt;conditionvar&gt;"&amp;IF(V83,"&lt;varequal respident=""RESPONSE""&gt;2&lt;/varequal&gt;","&lt;not&gt;&lt;varequal respident=""RESPONSE""&gt;2&lt;/varequal&gt;&lt;/not&gt;")&amp;"&lt;/conditionvar&gt;&lt;setvar action=""Add""&gt;"&amp;(Saisie_Questions!$N83/$I83)&amp;"&lt;/setvar&gt;"&amp;IF(AV83&lt;&gt;"","&lt;displayfeedback feedbacktype=""Response"" linkrefid=""response_2""/&gt;",IF($AS83&lt;&gt;"","&lt;displayfeedback feedbacktype=""Response"" linkrefid=""qti_feedback_trigger""/&gt;",""))&amp;"&lt;/respcondition&gt;",""))),"")</f>
      </c>
      <c r="AM83" s="46">
        <f>IF($B83,IF(O83="","",IF($C83="qcu",IF(OR(W83,AW83&lt;&gt;"",$AS83&lt;&gt;""),"      &lt;respcondition continue=""Yes""&gt;&lt;conditionvar&gt;&lt;varequal respident=""RESPONSE""&gt;3&lt;/varequal&gt;&lt;/conditionvar&gt;"&amp;"&lt;setvar action=""Add""&gt;"&amp;IF(W83,$H83,0)&amp;"&lt;/setvar&gt;"&amp;IF(AW83&lt;&gt;"","&lt;displayfeedback feedbacktype=""Response"" linkrefid=""response_3""/&gt;",IF($AS83&lt;&gt;"","&lt;displayfeedback feedbacktype=""Response"" linkrefid=""qti_feedback_trigger""/&gt;",""))&amp;"&lt;/respcondition&gt;",""),IF(OR(W83,AW83&lt;&gt;"",$AS83&lt;&gt;""),"      &lt;respcondition continue=""Yes""&gt;&lt;conditionvar&gt;"&amp;IF(W83,"&lt;varequal respident=""RESPONSE""&gt;3&lt;/varequal&gt;","&lt;not&gt;&lt;varequal respident=""RESPONSE""&gt;3&lt;/varequal&gt;&lt;/not&gt;")&amp;"&lt;/conditionvar&gt;&lt;setvar action=""Add""&gt;"&amp;(Saisie_Questions!$N83/$I83)&amp;"&lt;/setvar&gt;"&amp;IF(AW83&lt;&gt;"","&lt;displayfeedback feedbacktype=""Response"" linkrefid=""response_3""/&gt;",IF($AS83&lt;&gt;"","&lt;displayfeedback feedbacktype=""Response"" linkrefid=""qti_feedback_trigger""/&gt;",""))&amp;"&lt;/respcondition&gt;",""))),"")</f>
      </c>
      <c r="AN83" s="46">
        <f>IF($B83,IF(P83="","",IF($C83="qcu",IF(OR(X83,AX83&lt;&gt;"",$AS83&lt;&gt;""),"      &lt;respcondition continue=""Yes""&gt;&lt;conditionvar&gt;&lt;varequal respident=""RESPONSE""&gt;4&lt;/varequal&gt;&lt;/conditionvar&gt;"&amp;"&lt;setvar action=""Add""&gt;"&amp;IF(X83,$H83,0)&amp;"&lt;/setvar&gt;"&amp;IF(AX83&lt;&gt;"","&lt;displayfeedback feedbacktype=""Response"" linkrefid=""response_4""/&gt;",IF($AS83&lt;&gt;"","&lt;displayfeedback feedbacktype=""Response"" linkrefid=""qti_feedback_trigger""/&gt;",""))&amp;"&lt;/respcondition&gt;",""),IF(OR(X83,AX83&lt;&gt;"",$AS83&lt;&gt;""),"      &lt;respcondition continue=""Yes""&gt;&lt;conditionvar&gt;"&amp;IF(X83,"&lt;varequal respident=""RESPONSE""&gt;4&lt;/varequal&gt;","&lt;not&gt;&lt;varequal respident=""RESPONSE""&gt;4&lt;/varequal&gt;&lt;/not&gt;")&amp;"&lt;/conditionvar&gt;&lt;setvar action=""Add""&gt;"&amp;(Saisie_Questions!$N83/$I83)&amp;"&lt;/setvar&gt;"&amp;IF(AX83&lt;&gt;"","&lt;displayfeedback feedbacktype=""Response"" linkrefid=""response_4""/&gt;",IF($AS83&lt;&gt;"","&lt;displayfeedback feedbacktype=""Response"" linkrefid=""qti_feedback_trigger""/&gt;",""))&amp;"&lt;/respcondition&gt;",""))),"")</f>
      </c>
      <c r="AO83" s="46">
        <f>IF($B83,IF(Q83="","",IF($C83="qcu",IF(OR(Y83,AY83&lt;&gt;"",$AS83&lt;&gt;""),"      &lt;respcondition continue=""Yes""&gt;&lt;conditionvar&gt;&lt;varequal respident=""RESPONSE""&gt;5&lt;/varequal&gt;&lt;/conditionvar&gt;"&amp;"&lt;setvar action=""Add""&gt;"&amp;IF(Y83,$H83,0)&amp;"&lt;/setvar&gt;"&amp;IF(AY83&lt;&gt;"","&lt;displayfeedback feedbacktype=""Response"" linkrefid=""response_5""/&gt;",IF($AS83&lt;&gt;"","&lt;displayfeedback feedbacktype=""Response"" linkrefid=""qti_feedback_trigger""/&gt;",""))&amp;"&lt;/respcondition&gt;",""),IF(OR(Y83,AY83&lt;&gt;"",$AS83&lt;&gt;""),"      &lt;respcondition continue=""Yes""&gt;&lt;conditionvar&gt;"&amp;IF(Y83,"&lt;varequal respident=""RESPONSE""&gt;5&lt;/varequal&gt;","&lt;not&gt;&lt;varequal respident=""RESPONSE""&gt;5&lt;/varequal&gt;&lt;/not&gt;")&amp;"&lt;/conditionvar&gt;&lt;setvar action=""Add""&gt;"&amp;(Saisie_Questions!$N83/$I83)&amp;"&lt;/setvar&gt;"&amp;IF(AY83&lt;&gt;"","&lt;displayfeedback feedbacktype=""Response"" linkrefid=""response_5""/&gt;",IF($AS83&lt;&gt;"","&lt;displayfeedback feedbacktype=""Response"" linkrefid=""qti_feedback_trigger""/&gt;",""))&amp;"&lt;/respcondition&gt;",""))),"")</f>
      </c>
      <c r="AP83" s="46">
        <f>IF($B83,IF(R83="","",IF($C83="qcu",IF(OR(Z83,AZ83&lt;&gt;"",$AS83&lt;&gt;""),"      &lt;respcondition continue=""Yes""&gt;&lt;conditionvar&gt;&lt;varequal respident=""RESPONSE""&gt;6&lt;/varequal&gt;&lt;/conditionvar&gt;"&amp;"&lt;setvar action=""Add""&gt;"&amp;IF(Z83,$H83,0)&amp;"&lt;/setvar&gt;"&amp;IF(AZ83&lt;&gt;"","&lt;displayfeedback feedbacktype=""Response"" linkrefid=""response_6""/&gt;",IF($AS83&lt;&gt;"","&lt;displayfeedback feedbacktype=""Response"" linkrefid=""qti_feedback_trigger""/&gt;",""))&amp;"&lt;/respcondition&gt;",""),IF(OR(Z83,AZ83&lt;&gt;"",$AS83&lt;&gt;""),"      &lt;respcondition continue=""Yes""&gt;&lt;conditionvar&gt;"&amp;IF(Z83,"&lt;varequal respident=""RESPONSE""&gt;6&lt;/varequal&gt;","&lt;not&gt;&lt;varequal respident=""RESPONSE""&gt;6&lt;/varequal&gt;&lt;/not&gt;")&amp;"&lt;/conditionvar&gt;&lt;setvar action=""Add""&gt;"&amp;(Saisie_Questions!$N83/$I83)&amp;"&lt;/setvar&gt;"&amp;IF(AZ83&lt;&gt;"","&lt;displayfeedback feedbacktype=""Response"" linkrefid=""response_6""/&gt;",IF($AS83&lt;&gt;"","&lt;displayfeedback feedbacktype=""Response"" linkrefid=""qti_feedback_trigger""/&gt;",""))&amp;"&lt;/respcondition&gt;",""))),"")</f>
      </c>
      <c r="AQ83" s="46">
        <f>IF($B83,IF(S83="","",IF($C83="qcu",IF(OR(AA83,BA83&lt;&gt;"",$AS83&lt;&gt;""),"      &lt;respcondition continue=""Yes""&gt;&lt;conditionvar&gt;&lt;varequal respident=""RESPONSE""&gt;7&lt;/varequal&gt;&lt;/conditionvar&gt;"&amp;"&lt;setvar action=""Add""&gt;"&amp;IF(AA83,$H83,0)&amp;"&lt;/setvar&gt;"&amp;IF(BA83&lt;&gt;"","&lt;displayfeedback feedbacktype=""Response"" linkrefid=""response_7""/&gt;",IF($AS83&lt;&gt;"","&lt;displayfeedback feedbacktype=""Response"" linkrefid=""qti_feedback_trigger""/&gt;",""))&amp;"&lt;/respcondition&gt;",""),IF(OR(AA83,BA83&lt;&gt;"",$AS83&lt;&gt;""),"      &lt;respcondition continue=""Yes""&gt;&lt;conditionvar&gt;"&amp;IF(AA83,"&lt;varequal respident=""RESPONSE""&gt;7&lt;/varequal&gt;","&lt;not&gt;&lt;varequal respident=""RESPONSE""&gt;7&lt;/varequal&gt;&lt;/not&gt;")&amp;"&lt;/conditionvar&gt;&lt;setvar action=""Add""&gt;"&amp;(Saisie_Questions!$N83/$I83)&amp;"&lt;/setvar&gt;"&amp;IF(BA83&lt;&gt;"","&lt;displayfeedback feedbacktype=""Response"" linkrefid=""response_7""/&gt;",IF($AS83&lt;&gt;"","&lt;displayfeedback feedbacktype=""Response"" linkrefid=""qti_feedback_trigger""/&gt;",""))&amp;"&lt;/respcondition&gt;",""))),"")</f>
      </c>
      <c r="AR83" s="46">
        <f>IF(A83="","",SUBSTITUTE(SUBSTITUTE(SUBSTITUTE(SUBSTITUTE(SUBSTITUTE(IF(Saisie_Questions!P83&lt;&gt;"",Saisie_Questions!P83,Interface_Generation!$B$5),"&amp;","&amp;amp;"),"&lt;","&amp;lt;"),"&gt;","&amp;gt;"),CHAR(34),"&amp;quot;"),"'","&amp;apos;"))</f>
        <v/>
      </c>
      <c r="AS83" s="46">
        <f>IF(Saisie_Questions!Q83="","",SUBSTITUTE(SUBSTITUTE(SUBSTITUTE(SUBSTITUTE(SUBSTITUTE(Saisie_Questions!Q83,"&amp;","&amp;amp;"),"&lt;","&amp;lt;"),"&gt;","&amp;gt;"),CHAR(34),"&amp;quot;"),"'","&amp;apos;"))</f>
        <v/>
      </c>
      <c r="AT83" s="46">
        <f>IF(Saisie_Questions!R83="","",SUBSTITUTE(SUBSTITUTE(SUBSTITUTE(SUBSTITUTE(SUBSTITUTE(Saisie_Questions!R83,"&amp;","&amp;amp;"),"&lt;","&amp;lt;"),"&gt;","&amp;gt;"),CHAR(34),"&amp;quot;"),"'","&amp;apos;"))</f>
        <v/>
      </c>
      <c r="AU83" s="46">
        <f>IF(Saisie_Questions!S83="","",SUBSTITUTE(SUBSTITUTE(SUBSTITUTE(SUBSTITUTE(SUBSTITUTE(Saisie_Questions!S83,"&amp;","&amp;amp;"),"&lt;","&amp;lt;"),"&gt;","&amp;gt;"),CHAR(34),"&amp;quot;"),"'","&amp;apos;"))</f>
        <v/>
      </c>
      <c r="AV83" s="46">
        <f>IF(Saisie_Questions!T83="","",SUBSTITUTE(SUBSTITUTE(SUBSTITUTE(SUBSTITUTE(SUBSTITUTE(Saisie_Questions!T83,"&amp;","&amp;amp;"),"&lt;","&amp;lt;"),"&gt;","&amp;gt;"),CHAR(34),"&amp;quot;"),"'","&amp;apos;"))</f>
        <v/>
      </c>
      <c r="AW83" s="46">
        <f>IF(Saisie_Questions!U83="","",SUBSTITUTE(SUBSTITUTE(SUBSTITUTE(SUBSTITUTE(SUBSTITUTE(Saisie_Questions!U83,"&amp;","&amp;amp;"),"&lt;","&amp;lt;"),"&gt;","&amp;gt;"),CHAR(34),"&amp;quot;"),"'","&amp;apos;"))</f>
        <v/>
      </c>
      <c r="AX83" s="46">
        <f>IF(Saisie_Questions!V83="","",SUBSTITUTE(SUBSTITUTE(SUBSTITUTE(SUBSTITUTE(SUBSTITUTE(Saisie_Questions!V83,"&amp;","&amp;amp;"),"&lt;","&amp;lt;"),"&gt;","&amp;gt;"),CHAR(34),"&amp;quot;"),"'","&amp;apos;"))</f>
        <v/>
      </c>
      <c r="AY83" s="46">
        <f>IF(Saisie_Questions!W83="","",SUBSTITUTE(SUBSTITUTE(SUBSTITUTE(SUBSTITUTE(SUBSTITUTE(Saisie_Questions!W83,"&amp;","&amp;amp;"),"&lt;","&amp;lt;"),"&gt;","&amp;gt;"),CHAR(34),"&amp;quot;"),"'","&amp;apos;"))</f>
        <v/>
      </c>
      <c r="AZ83" s="46">
        <f>IF(Saisie_Questions!X83="","",SUBSTITUTE(SUBSTITUTE(SUBSTITUTE(SUBSTITUTE(SUBSTITUTE(Saisie_Questions!X83,"&amp;","&amp;amp;"),"&lt;","&amp;lt;"),"&gt;","&amp;gt;"),CHAR(34),"&amp;quot;"),"'","&amp;apos;"))</f>
        <v/>
      </c>
      <c r="BA83" s="46">
        <f>IF(Saisie_Questions!Y83="","",SUBSTITUTE(SUBSTITUTE(SUBSTITUTE(SUBSTITUTE(SUBSTITUTE(Saisie_Questions!Y83,"&amp;","&amp;amp;"),"&lt;","&amp;lt;"),"&gt;","&amp;gt;"),CHAR(34),"&amp;quot;"),"'","&amp;apos;"))</f>
        <v/>
      </c>
      <c r="BB83" s="46">
        <f>IF($B83,IF($AS83="","","    &lt;itemfeedback ident=""response_allcorrect"" view=""All""&gt;&lt;flow_mat&gt;&lt;material&gt;&lt;mattext texttype=""text/html""&gt;"&amp;$AS83&amp;"&lt;/mattext&gt;&lt;/material&gt;&lt;/flow_mat&gt;&lt;/itemfeedback&gt;"&amp;"    &lt;itemfeedback ident=""response_onenotcorrect"" view=""All""&gt;&lt;flow_mat&gt;&lt;material&gt;&lt;mattext texttype=""text/html""&gt;"&amp;$AS83&amp;"&lt;/mattext&gt;&lt;/material&gt;&lt;/flow_mat&gt;&lt;/itemfeedback&gt;"),"")</f>
      </c>
      <c r="BC83" s="46">
        <f>IF($B83,IF(AT83="","","    &lt;itemfeedback ident=""response_0"" view=""All""&gt;&lt;flow_mat&gt;&lt;material&gt;&lt;mattext texttype=""text/html""&gt;"&amp;AT83&amp;"&lt;/mattext&gt;&lt;/material&gt;&lt;/flow_mat&gt;&lt;/itemfeedback&gt;"),"")</f>
      </c>
      <c r="BD83" s="46">
        <f>IF($B83,IF(AU83="","","    &lt;itemfeedback ident=""response_1"" view=""All""&gt;&lt;flow_mat&gt;&lt;material&gt;&lt;mattext texttype=""text/html""&gt;"&amp;AU83&amp;"&lt;/mattext&gt;&lt;/material&gt;&lt;/flow_mat&gt;&lt;/itemfeedback&gt;"),"")</f>
      </c>
      <c r="BE83" s="46">
        <f>IF($B83,IF(AV83="","","    &lt;itemfeedback ident=""response_2"" view=""All""&gt;&lt;flow_mat&gt;&lt;material&gt;&lt;mattext texttype=""text/html""&gt;"&amp;AV83&amp;"&lt;/mattext&gt;&lt;/material&gt;&lt;/flow_mat&gt;&lt;/itemfeedback&gt;"),"")</f>
      </c>
      <c r="BF83" s="46">
        <f>IF($B83,IF(AW83="","","    &lt;itemfeedback ident=""response_3"" view=""All""&gt;&lt;flow_mat&gt;&lt;material&gt;&lt;mattext texttype=""text/html""&gt;"&amp;AW83&amp;"&lt;/mattext&gt;&lt;/material&gt;&lt;/flow_mat&gt;&lt;/itemfeedback&gt;"),"")</f>
      </c>
      <c r="BG83" s="46">
        <f>IF($B83,IF(AX83="","","    &lt;itemfeedback ident=""response_4"" view=""All""&gt;&lt;flow_mat&gt;&lt;material&gt;&lt;mattext texttype=""text/html""&gt;"&amp;AX83&amp;"&lt;/mattext&gt;&lt;/material&gt;&lt;/flow_mat&gt;&lt;/itemfeedback&gt;"),"")</f>
      </c>
      <c r="BH83" s="46">
        <f>IF($B83,IF(AY83="","","    &lt;itemfeedback ident=""response_5"" view=""All""&gt;&lt;flow_mat&gt;&lt;material&gt;&lt;mattext texttype=""text/html""&gt;"&amp;AY83&amp;"&lt;/mattext&gt;&lt;/material&gt;&lt;/flow_mat&gt;&lt;/itemfeedback&gt;"),"")</f>
      </c>
      <c r="BI83" s="46">
        <f>IF($B83,IF(AZ83="","","    &lt;itemfeedback ident=""response_6"" view=""All""&gt;&lt;flow_mat&gt;&lt;material&gt;&lt;mattext texttype=""text/html""&gt;"&amp;AZ83&amp;"&lt;/mattext&gt;&lt;/material&gt;&lt;/flow_mat&gt;&lt;/itemfeedback&gt;"),"")</f>
      </c>
      <c r="BJ83" s="46">
        <f>IF($B83,IF(BA83="","","    &lt;itemfeedback ident=""response_7"" view=""All""&gt;&lt;flow_mat&gt;&lt;material&gt;&lt;mattext texttype=""text/html""&gt;"&amp;BA83&amp;"&lt;/mattext&gt;&lt;/material&gt;&lt;/flow_mat&gt;&lt;/itemfeedback&gt;"),"")</f>
      </c>
    </row>
    <row r="84" ht="18" customHeight="1" s="17">
      <c r="A84" s="46">
        <f>Saisie_Questions!A84</f>
        <v/>
      </c>
      <c r="B84" s="46">
        <f>Saisie_Questions!O84="OK"</f>
        <v/>
      </c>
      <c r="C84" s="46">
        <f>LOWER(TRIM(Saisie_Questions!B84))</f>
        <v/>
      </c>
      <c r="D84" s="46">
        <f>IF(C84="qcu","SINGLE CHOICE QUESTION","MULTIPLE CHOICE QUESTION")</f>
        <v/>
      </c>
      <c r="E84" s="46">
        <f>IF(C84="qcu","Single","Multiple")</f>
        <v/>
      </c>
      <c r="F84" s="46">
        <f>IF(A84="","",SUBSTITUTE(SUBSTITUTE(SUBSTITUTE(SUBSTITUTE(SUBSTITUTE(IF(Saisie_Questions!C84="", "Question "&amp;A84, Saisie_Questions!C84),"&amp;","&amp;amp;"),"&lt;","&amp;lt;"),"&gt;","&amp;gt;"),CHAR(34),"&amp;quot;"),"'","&amp;apos;"))</f>
        <v/>
      </c>
      <c r="G84" s="46">
        <f>IF(A84="","",SUBSTITUTE(SUBSTITUTE(SUBSTITUTE(SUBSTITUTE(SUBSTITUTE(Saisie_Questions!D84,"&amp;","&amp;amp;"),"&lt;","&amp;lt;"),"&gt;","&amp;gt;"),CHAR(34),"&amp;quot;"),"'","&amp;apos;"))</f>
        <v/>
      </c>
      <c r="H84" s="46">
        <f>Saisie_Questions!N84</f>
        <v/>
      </c>
      <c r="I84" s="46">
        <f>IF(Saisie_Questions!E84="",0,1)+IF(Saisie_Questions!F84="",0,1)+IF(Saisie_Questions!G84="",0,1)+IF(Saisie_Questions!H84="",0,1)+IF(Saisie_Questions!I84="",0,1)+IF(Saisie_Questions!J84="",0,1)+IF(Saisie_Questions!K84="",0,1)+IF(Saisie_Questions!L84="",0,1)</f>
        <v/>
      </c>
      <c r="J84" s="46">
        <f>Saisie_Questions!M84</f>
        <v/>
      </c>
      <c r="K84" s="46">
        <f>Saisie_Questions!O84</f>
        <v/>
      </c>
      <c r="L84" s="46">
        <f>IF(Saisie_Questions!E84="","",SUBSTITUTE(SUBSTITUTE(SUBSTITUTE(SUBSTITUTE(SUBSTITUTE(Saisie_Questions!E84,"&amp;","&amp;amp;"),"&lt;","&amp;lt;"),"&gt;","&amp;gt;"),CHAR(34),"&amp;quot;"),"'","&amp;apos;"))</f>
        <v/>
      </c>
      <c r="M84" s="46">
        <f>IF(Saisie_Questions!F84="","",SUBSTITUTE(SUBSTITUTE(SUBSTITUTE(SUBSTITUTE(SUBSTITUTE(Saisie_Questions!F84,"&amp;","&amp;amp;"),"&lt;","&amp;lt;"),"&gt;","&amp;gt;"),CHAR(34),"&amp;quot;"),"'","&amp;apos;"))</f>
        <v/>
      </c>
      <c r="N84" s="46">
        <f>IF(Saisie_Questions!G84="","",SUBSTITUTE(SUBSTITUTE(SUBSTITUTE(SUBSTITUTE(SUBSTITUTE(Saisie_Questions!G84,"&amp;","&amp;amp;"),"&lt;","&amp;lt;"),"&gt;","&amp;gt;"),CHAR(34),"&amp;quot;"),"'","&amp;apos;"))</f>
        <v/>
      </c>
      <c r="O84" s="46">
        <f>IF(Saisie_Questions!H84="","",SUBSTITUTE(SUBSTITUTE(SUBSTITUTE(SUBSTITUTE(SUBSTITUTE(Saisie_Questions!H84,"&amp;","&amp;amp;"),"&lt;","&amp;lt;"),"&gt;","&amp;gt;"),CHAR(34),"&amp;quot;"),"'","&amp;apos;"))</f>
        <v/>
      </c>
      <c r="P84" s="46">
        <f>IF(Saisie_Questions!I84="","",SUBSTITUTE(SUBSTITUTE(SUBSTITUTE(SUBSTITUTE(SUBSTITUTE(Saisie_Questions!I84,"&amp;","&amp;amp;"),"&lt;","&amp;lt;"),"&gt;","&amp;gt;"),CHAR(34),"&amp;quot;"),"'","&amp;apos;"))</f>
        <v/>
      </c>
      <c r="Q84" s="46">
        <f>IF(Saisie_Questions!J84="","",SUBSTITUTE(SUBSTITUTE(SUBSTITUTE(SUBSTITUTE(SUBSTITUTE(Saisie_Questions!J84,"&amp;","&amp;amp;"),"&lt;","&amp;lt;"),"&gt;","&amp;gt;"),CHAR(34),"&amp;quot;"),"'","&amp;apos;"))</f>
        <v/>
      </c>
      <c r="R84" s="46">
        <f>IF(Saisie_Questions!K84="","",SUBSTITUTE(SUBSTITUTE(SUBSTITUTE(SUBSTITUTE(SUBSTITUTE(Saisie_Questions!K84,"&amp;","&amp;amp;"),"&lt;","&amp;lt;"),"&gt;","&amp;gt;"),CHAR(34),"&amp;quot;"),"'","&amp;apos;"))</f>
        <v/>
      </c>
      <c r="S84" s="46">
        <f>IF(Saisie_Questions!L84="","",SUBSTITUTE(SUBSTITUTE(SUBSTITUTE(SUBSTITUTE(SUBSTITUTE(Saisie_Questions!L84,"&amp;","&amp;amp;"),"&lt;","&amp;lt;"),"&gt;","&amp;gt;"),CHAR(34),"&amp;quot;"),"'","&amp;apos;"))</f>
        <v/>
      </c>
      <c r="T84" s="46">
        <f>ISNUMBER(SEARCH(";"&amp;1&amp;";",";"&amp;$J84&amp;";"))</f>
        <v/>
      </c>
      <c r="U84" s="46">
        <f>ISNUMBER(SEARCH(";"&amp;2&amp;";",";"&amp;$J84&amp;";"))</f>
        <v/>
      </c>
      <c r="V84" s="46">
        <f>ISNUMBER(SEARCH(";"&amp;3&amp;";",";"&amp;$J84&amp;";"))</f>
        <v/>
      </c>
      <c r="W84" s="46">
        <f>ISNUMBER(SEARCH(";"&amp;4&amp;";",";"&amp;$J84&amp;";"))</f>
        <v/>
      </c>
      <c r="X84" s="46">
        <f>ISNUMBER(SEARCH(";"&amp;5&amp;";",";"&amp;$J84&amp;";"))</f>
        <v/>
      </c>
      <c r="Y84" s="46">
        <f>ISNUMBER(SEARCH(";"&amp;6&amp;";",";"&amp;$J84&amp;";"))</f>
        <v/>
      </c>
      <c r="Z84" s="46">
        <f>ISNUMBER(SEARCH(";"&amp;7&amp;";",";"&amp;$J84&amp;";"))</f>
        <v/>
      </c>
      <c r="AA84" s="46">
        <f>ISNUMBER(SEARCH(";"&amp;8&amp;";",";"&amp;$J84&amp;";"))</f>
        <v/>
      </c>
      <c r="AB84" s="46">
        <f>IF($B84,IF(L84="","","        &lt;response_label ident=""0""&gt;&lt;material&gt;&lt;mattext texttype=""text/html""&gt;"&amp;L84&amp;"&lt;/mattext&gt;&lt;/material&gt;&lt;/response_label&gt;"),"")</f>
        <v/>
      </c>
      <c r="AC84" s="46">
        <f>IF($B84,IF(M84="","","        &lt;response_label ident=""1""&gt;&lt;material&gt;&lt;mattext texttype=""text/html""&gt;"&amp;M84&amp;"&lt;/mattext&gt;&lt;/material&gt;&lt;/response_label&gt;"),"")</f>
        <v/>
      </c>
      <c r="AD84" s="46">
        <f>IF($B84,IF(N84="","","        &lt;response_label ident=""2""&gt;&lt;material&gt;&lt;mattext texttype=""text/html""&gt;"&amp;N84&amp;"&lt;/mattext&gt;&lt;/material&gt;&lt;/response_label&gt;"),"")</f>
        <v/>
      </c>
      <c r="AE84" s="46">
        <f>IF($B84,IF(O84="","","        &lt;response_label ident=""3""&gt;&lt;material&gt;&lt;mattext texttype=""text/html""&gt;"&amp;O84&amp;"&lt;/mattext&gt;&lt;/material&gt;&lt;/response_label&gt;"),"")</f>
        <v/>
      </c>
      <c r="AF84" s="46">
        <f>IF($B84,IF(P84="","","        &lt;response_label ident=""4""&gt;&lt;material&gt;&lt;mattext texttype=""text/html""&gt;"&amp;P84&amp;"&lt;/mattext&gt;&lt;/material&gt;&lt;/response_label&gt;"),"")</f>
        <v/>
      </c>
      <c r="AG84" s="46">
        <f>IF($B84,IF(Q84="","","        &lt;response_label ident=""5""&gt;&lt;material&gt;&lt;mattext texttype=""text/html""&gt;"&amp;Q84&amp;"&lt;/mattext&gt;&lt;/material&gt;&lt;/response_label&gt;"),"")</f>
        <v/>
      </c>
      <c r="AH84" s="46">
        <f>IF($B84,IF(R84="","","        &lt;response_label ident=""6""&gt;&lt;material&gt;&lt;mattext texttype=""text/html""&gt;"&amp;R84&amp;"&lt;/mattext&gt;&lt;/material&gt;&lt;/response_label&gt;"),"")</f>
        <v/>
      </c>
      <c r="AI84" s="46">
        <f>IF($B84,IF(S84="","","        &lt;response_label ident=""7""&gt;&lt;material&gt;&lt;mattext texttype=""text/html""&gt;"&amp;S84&amp;"&lt;/mattext&gt;&lt;/material&gt;&lt;/response_label&gt;"),"")</f>
        <v/>
      </c>
      <c r="AJ84" s="46">
        <f>IF($B84,IF(L84="","",IF($C84="qcu",IF(OR(T84,AT84&lt;&gt;"",$AS84&lt;&gt;""),"      &lt;respcondition continue=""Yes""&gt;&lt;conditionvar&gt;&lt;varequal respident=""RESPONSE""&gt;0&lt;/varequal&gt;&lt;/conditionvar&gt;"&amp;"&lt;setvar action=""Add""&gt;"&amp;IF(T84,$H84,0)&amp;"&lt;/setvar&gt;"&amp;IF(AT84&lt;&gt;"","&lt;displayfeedback feedbacktype=""Response"" linkrefid=""response_0""/&gt;",IF($AS84&lt;&gt;"","&lt;displayfeedback feedbacktype=""Response"" linkrefid=""qti_feedback_trigger""/&gt;",""))&amp;"&lt;/respcondition&gt;",""),IF(OR(T84,AT84&lt;&gt;"",$AS84&lt;&gt;""),"      &lt;respcondition continue=""Yes""&gt;&lt;conditionvar&gt;"&amp;IF(T84,"&lt;varequal respident=""RESPONSE""&gt;0&lt;/varequal&gt;","&lt;not&gt;&lt;varequal respident=""RESPONSE""&gt;0&lt;/varequal&gt;&lt;/not&gt;")&amp;"&lt;/conditionvar&gt;&lt;setvar action=""Add""&gt;"&amp;(Saisie_Questions!$N84/$I84)&amp;"&lt;/setvar&gt;"&amp;IF(AT84&lt;&gt;"","&lt;displayfeedback feedbacktype=""Response"" linkrefid=""response_0""/&gt;",IF($AS84&lt;&gt;"","&lt;displayfeedback feedbacktype=""Response"" linkrefid=""qti_feedback_trigger""/&gt;",""))&amp;"&lt;/respcondition&gt;",""))),"")</f>
      </c>
      <c r="AK84" s="46">
        <f>IF($B84,IF(M84="","",IF($C84="qcu",IF(OR(U84,AU84&lt;&gt;"",$AS84&lt;&gt;""),"      &lt;respcondition continue=""Yes""&gt;&lt;conditionvar&gt;&lt;varequal respident=""RESPONSE""&gt;1&lt;/varequal&gt;&lt;/conditionvar&gt;"&amp;"&lt;setvar action=""Add""&gt;"&amp;IF(U84,$H84,0)&amp;"&lt;/setvar&gt;"&amp;IF(AU84&lt;&gt;"","&lt;displayfeedback feedbacktype=""Response"" linkrefid=""response_1""/&gt;",IF($AS84&lt;&gt;"","&lt;displayfeedback feedbacktype=""Response"" linkrefid=""qti_feedback_trigger""/&gt;",""))&amp;"&lt;/respcondition&gt;",""),IF(OR(U84,AU84&lt;&gt;"",$AS84&lt;&gt;""),"      &lt;respcondition continue=""Yes""&gt;&lt;conditionvar&gt;"&amp;IF(U84,"&lt;varequal respident=""RESPONSE""&gt;1&lt;/varequal&gt;","&lt;not&gt;&lt;varequal respident=""RESPONSE""&gt;1&lt;/varequal&gt;&lt;/not&gt;")&amp;"&lt;/conditionvar&gt;&lt;setvar action=""Add""&gt;"&amp;(Saisie_Questions!$N84/$I84)&amp;"&lt;/setvar&gt;"&amp;IF(AU84&lt;&gt;"","&lt;displayfeedback feedbacktype=""Response"" linkrefid=""response_1""/&gt;",IF($AS84&lt;&gt;"","&lt;displayfeedback feedbacktype=""Response"" linkrefid=""qti_feedback_trigger""/&gt;",""))&amp;"&lt;/respcondition&gt;",""))),"")</f>
      </c>
      <c r="AL84" s="46">
        <f>IF($B84,IF(N84="","",IF($C84="qcu",IF(OR(V84,AV84&lt;&gt;"",$AS84&lt;&gt;""),"      &lt;respcondition continue=""Yes""&gt;&lt;conditionvar&gt;&lt;varequal respident=""RESPONSE""&gt;2&lt;/varequal&gt;&lt;/conditionvar&gt;"&amp;"&lt;setvar action=""Add""&gt;"&amp;IF(V84,$H84,0)&amp;"&lt;/setvar&gt;"&amp;IF(AV84&lt;&gt;"","&lt;displayfeedback feedbacktype=""Response"" linkrefid=""response_2""/&gt;",IF($AS84&lt;&gt;"","&lt;displayfeedback feedbacktype=""Response"" linkrefid=""qti_feedback_trigger""/&gt;",""))&amp;"&lt;/respcondition&gt;",""),IF(OR(V84,AV84&lt;&gt;"",$AS84&lt;&gt;""),"      &lt;respcondition continue=""Yes""&gt;&lt;conditionvar&gt;"&amp;IF(V84,"&lt;varequal respident=""RESPONSE""&gt;2&lt;/varequal&gt;","&lt;not&gt;&lt;varequal respident=""RESPONSE""&gt;2&lt;/varequal&gt;&lt;/not&gt;")&amp;"&lt;/conditionvar&gt;&lt;setvar action=""Add""&gt;"&amp;(Saisie_Questions!$N84/$I84)&amp;"&lt;/setvar&gt;"&amp;IF(AV84&lt;&gt;"","&lt;displayfeedback feedbacktype=""Response"" linkrefid=""response_2""/&gt;",IF($AS84&lt;&gt;"","&lt;displayfeedback feedbacktype=""Response"" linkrefid=""qti_feedback_trigger""/&gt;",""))&amp;"&lt;/respcondition&gt;",""))),"")</f>
      </c>
      <c r="AM84" s="46">
        <f>IF($B84,IF(O84="","",IF($C84="qcu",IF(OR(W84,AW84&lt;&gt;"",$AS84&lt;&gt;""),"      &lt;respcondition continue=""Yes""&gt;&lt;conditionvar&gt;&lt;varequal respident=""RESPONSE""&gt;3&lt;/varequal&gt;&lt;/conditionvar&gt;"&amp;"&lt;setvar action=""Add""&gt;"&amp;IF(W84,$H84,0)&amp;"&lt;/setvar&gt;"&amp;IF(AW84&lt;&gt;"","&lt;displayfeedback feedbacktype=""Response"" linkrefid=""response_3""/&gt;",IF($AS84&lt;&gt;"","&lt;displayfeedback feedbacktype=""Response"" linkrefid=""qti_feedback_trigger""/&gt;",""))&amp;"&lt;/respcondition&gt;",""),IF(OR(W84,AW84&lt;&gt;"",$AS84&lt;&gt;""),"      &lt;respcondition continue=""Yes""&gt;&lt;conditionvar&gt;"&amp;IF(W84,"&lt;varequal respident=""RESPONSE""&gt;3&lt;/varequal&gt;","&lt;not&gt;&lt;varequal respident=""RESPONSE""&gt;3&lt;/varequal&gt;&lt;/not&gt;")&amp;"&lt;/conditionvar&gt;&lt;setvar action=""Add""&gt;"&amp;(Saisie_Questions!$N84/$I84)&amp;"&lt;/setvar&gt;"&amp;IF(AW84&lt;&gt;"","&lt;displayfeedback feedbacktype=""Response"" linkrefid=""response_3""/&gt;",IF($AS84&lt;&gt;"","&lt;displayfeedback feedbacktype=""Response"" linkrefid=""qti_feedback_trigger""/&gt;",""))&amp;"&lt;/respcondition&gt;",""))),"")</f>
      </c>
      <c r="AN84" s="46">
        <f>IF($B84,IF(P84="","",IF($C84="qcu",IF(OR(X84,AX84&lt;&gt;"",$AS84&lt;&gt;""),"      &lt;respcondition continue=""Yes""&gt;&lt;conditionvar&gt;&lt;varequal respident=""RESPONSE""&gt;4&lt;/varequal&gt;&lt;/conditionvar&gt;"&amp;"&lt;setvar action=""Add""&gt;"&amp;IF(X84,$H84,0)&amp;"&lt;/setvar&gt;"&amp;IF(AX84&lt;&gt;"","&lt;displayfeedback feedbacktype=""Response"" linkrefid=""response_4""/&gt;",IF($AS84&lt;&gt;"","&lt;displayfeedback feedbacktype=""Response"" linkrefid=""qti_feedback_trigger""/&gt;",""))&amp;"&lt;/respcondition&gt;",""),IF(OR(X84,AX84&lt;&gt;"",$AS84&lt;&gt;""),"      &lt;respcondition continue=""Yes""&gt;&lt;conditionvar&gt;"&amp;IF(X84,"&lt;varequal respident=""RESPONSE""&gt;4&lt;/varequal&gt;","&lt;not&gt;&lt;varequal respident=""RESPONSE""&gt;4&lt;/varequal&gt;&lt;/not&gt;")&amp;"&lt;/conditionvar&gt;&lt;setvar action=""Add""&gt;"&amp;(Saisie_Questions!$N84/$I84)&amp;"&lt;/setvar&gt;"&amp;IF(AX84&lt;&gt;"","&lt;displayfeedback feedbacktype=""Response"" linkrefid=""response_4""/&gt;",IF($AS84&lt;&gt;"","&lt;displayfeedback feedbacktype=""Response"" linkrefid=""qti_feedback_trigger""/&gt;",""))&amp;"&lt;/respcondition&gt;",""))),"")</f>
      </c>
      <c r="AO84" s="46">
        <f>IF($B84,IF(Q84="","",IF($C84="qcu",IF(OR(Y84,AY84&lt;&gt;"",$AS84&lt;&gt;""),"      &lt;respcondition continue=""Yes""&gt;&lt;conditionvar&gt;&lt;varequal respident=""RESPONSE""&gt;5&lt;/varequal&gt;&lt;/conditionvar&gt;"&amp;"&lt;setvar action=""Add""&gt;"&amp;IF(Y84,$H84,0)&amp;"&lt;/setvar&gt;"&amp;IF(AY84&lt;&gt;"","&lt;displayfeedback feedbacktype=""Response"" linkrefid=""response_5""/&gt;",IF($AS84&lt;&gt;"","&lt;displayfeedback feedbacktype=""Response"" linkrefid=""qti_feedback_trigger""/&gt;",""))&amp;"&lt;/respcondition&gt;",""),IF(OR(Y84,AY84&lt;&gt;"",$AS84&lt;&gt;""),"      &lt;respcondition continue=""Yes""&gt;&lt;conditionvar&gt;"&amp;IF(Y84,"&lt;varequal respident=""RESPONSE""&gt;5&lt;/varequal&gt;","&lt;not&gt;&lt;varequal respident=""RESPONSE""&gt;5&lt;/varequal&gt;&lt;/not&gt;")&amp;"&lt;/conditionvar&gt;&lt;setvar action=""Add""&gt;"&amp;(Saisie_Questions!$N84/$I84)&amp;"&lt;/setvar&gt;"&amp;IF(AY84&lt;&gt;"","&lt;displayfeedback feedbacktype=""Response"" linkrefid=""response_5""/&gt;",IF($AS84&lt;&gt;"","&lt;displayfeedback feedbacktype=""Response"" linkrefid=""qti_feedback_trigger""/&gt;",""))&amp;"&lt;/respcondition&gt;",""))),"")</f>
      </c>
      <c r="AP84" s="46">
        <f>IF($B84,IF(R84="","",IF($C84="qcu",IF(OR(Z84,AZ84&lt;&gt;"",$AS84&lt;&gt;""),"      &lt;respcondition continue=""Yes""&gt;&lt;conditionvar&gt;&lt;varequal respident=""RESPONSE""&gt;6&lt;/varequal&gt;&lt;/conditionvar&gt;"&amp;"&lt;setvar action=""Add""&gt;"&amp;IF(Z84,$H84,0)&amp;"&lt;/setvar&gt;"&amp;IF(AZ84&lt;&gt;"","&lt;displayfeedback feedbacktype=""Response"" linkrefid=""response_6""/&gt;",IF($AS84&lt;&gt;"","&lt;displayfeedback feedbacktype=""Response"" linkrefid=""qti_feedback_trigger""/&gt;",""))&amp;"&lt;/respcondition&gt;",""),IF(OR(Z84,AZ84&lt;&gt;"",$AS84&lt;&gt;""),"      &lt;respcondition continue=""Yes""&gt;&lt;conditionvar&gt;"&amp;IF(Z84,"&lt;varequal respident=""RESPONSE""&gt;6&lt;/varequal&gt;","&lt;not&gt;&lt;varequal respident=""RESPONSE""&gt;6&lt;/varequal&gt;&lt;/not&gt;")&amp;"&lt;/conditionvar&gt;&lt;setvar action=""Add""&gt;"&amp;(Saisie_Questions!$N84/$I84)&amp;"&lt;/setvar&gt;"&amp;IF(AZ84&lt;&gt;"","&lt;displayfeedback feedbacktype=""Response"" linkrefid=""response_6""/&gt;",IF($AS84&lt;&gt;"","&lt;displayfeedback feedbacktype=""Response"" linkrefid=""qti_feedback_trigger""/&gt;",""))&amp;"&lt;/respcondition&gt;",""))),"")</f>
      </c>
      <c r="AQ84" s="46">
        <f>IF($B84,IF(S84="","",IF($C84="qcu",IF(OR(AA84,BA84&lt;&gt;"",$AS84&lt;&gt;""),"      &lt;respcondition continue=""Yes""&gt;&lt;conditionvar&gt;&lt;varequal respident=""RESPONSE""&gt;7&lt;/varequal&gt;&lt;/conditionvar&gt;"&amp;"&lt;setvar action=""Add""&gt;"&amp;IF(AA84,$H84,0)&amp;"&lt;/setvar&gt;"&amp;IF(BA84&lt;&gt;"","&lt;displayfeedback feedbacktype=""Response"" linkrefid=""response_7""/&gt;",IF($AS84&lt;&gt;"","&lt;displayfeedback feedbacktype=""Response"" linkrefid=""qti_feedback_trigger""/&gt;",""))&amp;"&lt;/respcondition&gt;",""),IF(OR(AA84,BA84&lt;&gt;"",$AS84&lt;&gt;""),"      &lt;respcondition continue=""Yes""&gt;&lt;conditionvar&gt;"&amp;IF(AA84,"&lt;varequal respident=""RESPONSE""&gt;7&lt;/varequal&gt;","&lt;not&gt;&lt;varequal respident=""RESPONSE""&gt;7&lt;/varequal&gt;&lt;/not&gt;")&amp;"&lt;/conditionvar&gt;&lt;setvar action=""Add""&gt;"&amp;(Saisie_Questions!$N84/$I84)&amp;"&lt;/setvar&gt;"&amp;IF(BA84&lt;&gt;"","&lt;displayfeedback feedbacktype=""Response"" linkrefid=""response_7""/&gt;",IF($AS84&lt;&gt;"","&lt;displayfeedback feedbacktype=""Response"" linkrefid=""qti_feedback_trigger""/&gt;",""))&amp;"&lt;/respcondition&gt;",""))),"")</f>
      </c>
      <c r="AR84" s="46">
        <f>IF(A84="","",SUBSTITUTE(SUBSTITUTE(SUBSTITUTE(SUBSTITUTE(SUBSTITUTE(IF(Saisie_Questions!P84&lt;&gt;"",Saisie_Questions!P84,Interface_Generation!$B$5),"&amp;","&amp;amp;"),"&lt;","&amp;lt;"),"&gt;","&amp;gt;"),CHAR(34),"&amp;quot;"),"'","&amp;apos;"))</f>
        <v/>
      </c>
      <c r="AS84" s="46">
        <f>IF(Saisie_Questions!Q84="","",SUBSTITUTE(SUBSTITUTE(SUBSTITUTE(SUBSTITUTE(SUBSTITUTE(Saisie_Questions!Q84,"&amp;","&amp;amp;"),"&lt;","&amp;lt;"),"&gt;","&amp;gt;"),CHAR(34),"&amp;quot;"),"'","&amp;apos;"))</f>
        <v/>
      </c>
      <c r="AT84" s="46">
        <f>IF(Saisie_Questions!R84="","",SUBSTITUTE(SUBSTITUTE(SUBSTITUTE(SUBSTITUTE(SUBSTITUTE(Saisie_Questions!R84,"&amp;","&amp;amp;"),"&lt;","&amp;lt;"),"&gt;","&amp;gt;"),CHAR(34),"&amp;quot;"),"'","&amp;apos;"))</f>
        <v/>
      </c>
      <c r="AU84" s="46">
        <f>IF(Saisie_Questions!S84="","",SUBSTITUTE(SUBSTITUTE(SUBSTITUTE(SUBSTITUTE(SUBSTITUTE(Saisie_Questions!S84,"&amp;","&amp;amp;"),"&lt;","&amp;lt;"),"&gt;","&amp;gt;"),CHAR(34),"&amp;quot;"),"'","&amp;apos;"))</f>
        <v/>
      </c>
      <c r="AV84" s="46">
        <f>IF(Saisie_Questions!T84="","",SUBSTITUTE(SUBSTITUTE(SUBSTITUTE(SUBSTITUTE(SUBSTITUTE(Saisie_Questions!T84,"&amp;","&amp;amp;"),"&lt;","&amp;lt;"),"&gt;","&amp;gt;"),CHAR(34),"&amp;quot;"),"'","&amp;apos;"))</f>
        <v/>
      </c>
      <c r="AW84" s="46">
        <f>IF(Saisie_Questions!U84="","",SUBSTITUTE(SUBSTITUTE(SUBSTITUTE(SUBSTITUTE(SUBSTITUTE(Saisie_Questions!U84,"&amp;","&amp;amp;"),"&lt;","&amp;lt;"),"&gt;","&amp;gt;"),CHAR(34),"&amp;quot;"),"'","&amp;apos;"))</f>
        <v/>
      </c>
      <c r="AX84" s="46">
        <f>IF(Saisie_Questions!V84="","",SUBSTITUTE(SUBSTITUTE(SUBSTITUTE(SUBSTITUTE(SUBSTITUTE(Saisie_Questions!V84,"&amp;","&amp;amp;"),"&lt;","&amp;lt;"),"&gt;","&amp;gt;"),CHAR(34),"&amp;quot;"),"'","&amp;apos;"))</f>
        <v/>
      </c>
      <c r="AY84" s="46">
        <f>IF(Saisie_Questions!W84="","",SUBSTITUTE(SUBSTITUTE(SUBSTITUTE(SUBSTITUTE(SUBSTITUTE(Saisie_Questions!W84,"&amp;","&amp;amp;"),"&lt;","&amp;lt;"),"&gt;","&amp;gt;"),CHAR(34),"&amp;quot;"),"'","&amp;apos;"))</f>
        <v/>
      </c>
      <c r="AZ84" s="46">
        <f>IF(Saisie_Questions!X84="","",SUBSTITUTE(SUBSTITUTE(SUBSTITUTE(SUBSTITUTE(SUBSTITUTE(Saisie_Questions!X84,"&amp;","&amp;amp;"),"&lt;","&amp;lt;"),"&gt;","&amp;gt;"),CHAR(34),"&amp;quot;"),"'","&amp;apos;"))</f>
        <v/>
      </c>
      <c r="BA84" s="46">
        <f>IF(Saisie_Questions!Y84="","",SUBSTITUTE(SUBSTITUTE(SUBSTITUTE(SUBSTITUTE(SUBSTITUTE(Saisie_Questions!Y84,"&amp;","&amp;amp;"),"&lt;","&amp;lt;"),"&gt;","&amp;gt;"),CHAR(34),"&amp;quot;"),"'","&amp;apos;"))</f>
        <v/>
      </c>
      <c r="BB84" s="46">
        <f>IF($B84,IF($AS84="","","    &lt;itemfeedback ident=""response_allcorrect"" view=""All""&gt;&lt;flow_mat&gt;&lt;material&gt;&lt;mattext texttype=""text/html""&gt;"&amp;$AS84&amp;"&lt;/mattext&gt;&lt;/material&gt;&lt;/flow_mat&gt;&lt;/itemfeedback&gt;"&amp;"    &lt;itemfeedback ident=""response_onenotcorrect"" view=""All""&gt;&lt;flow_mat&gt;&lt;material&gt;&lt;mattext texttype=""text/html""&gt;"&amp;$AS84&amp;"&lt;/mattext&gt;&lt;/material&gt;&lt;/flow_mat&gt;&lt;/itemfeedback&gt;"),"")</f>
      </c>
      <c r="BC84" s="46">
        <f>IF($B84,IF(AT84="","","    &lt;itemfeedback ident=""response_0"" view=""All""&gt;&lt;flow_mat&gt;&lt;material&gt;&lt;mattext texttype=""text/html""&gt;"&amp;AT84&amp;"&lt;/mattext&gt;&lt;/material&gt;&lt;/flow_mat&gt;&lt;/itemfeedback&gt;"),"")</f>
      </c>
      <c r="BD84" s="46">
        <f>IF($B84,IF(AU84="","","    &lt;itemfeedback ident=""response_1"" view=""All""&gt;&lt;flow_mat&gt;&lt;material&gt;&lt;mattext texttype=""text/html""&gt;"&amp;AU84&amp;"&lt;/mattext&gt;&lt;/material&gt;&lt;/flow_mat&gt;&lt;/itemfeedback&gt;"),"")</f>
      </c>
      <c r="BE84" s="46">
        <f>IF($B84,IF(AV84="","","    &lt;itemfeedback ident=""response_2"" view=""All""&gt;&lt;flow_mat&gt;&lt;material&gt;&lt;mattext texttype=""text/html""&gt;"&amp;AV84&amp;"&lt;/mattext&gt;&lt;/material&gt;&lt;/flow_mat&gt;&lt;/itemfeedback&gt;"),"")</f>
      </c>
      <c r="BF84" s="46">
        <f>IF($B84,IF(AW84="","","    &lt;itemfeedback ident=""response_3"" view=""All""&gt;&lt;flow_mat&gt;&lt;material&gt;&lt;mattext texttype=""text/html""&gt;"&amp;AW84&amp;"&lt;/mattext&gt;&lt;/material&gt;&lt;/flow_mat&gt;&lt;/itemfeedback&gt;"),"")</f>
      </c>
      <c r="BG84" s="46">
        <f>IF($B84,IF(AX84="","","    &lt;itemfeedback ident=""response_4"" view=""All""&gt;&lt;flow_mat&gt;&lt;material&gt;&lt;mattext texttype=""text/html""&gt;"&amp;AX84&amp;"&lt;/mattext&gt;&lt;/material&gt;&lt;/flow_mat&gt;&lt;/itemfeedback&gt;"),"")</f>
      </c>
      <c r="BH84" s="46">
        <f>IF($B84,IF(AY84="","","    &lt;itemfeedback ident=""response_5"" view=""All""&gt;&lt;flow_mat&gt;&lt;material&gt;&lt;mattext texttype=""text/html""&gt;"&amp;AY84&amp;"&lt;/mattext&gt;&lt;/material&gt;&lt;/flow_mat&gt;&lt;/itemfeedback&gt;"),"")</f>
      </c>
      <c r="BI84" s="46">
        <f>IF($B84,IF(AZ84="","","    &lt;itemfeedback ident=""response_6"" view=""All""&gt;&lt;flow_mat&gt;&lt;material&gt;&lt;mattext texttype=""text/html""&gt;"&amp;AZ84&amp;"&lt;/mattext&gt;&lt;/material&gt;&lt;/flow_mat&gt;&lt;/itemfeedback&gt;"),"")</f>
      </c>
      <c r="BJ84" s="46">
        <f>IF($B84,IF(BA84="","","    &lt;itemfeedback ident=""response_7"" view=""All""&gt;&lt;flow_mat&gt;&lt;material&gt;&lt;mattext texttype=""text/html""&gt;"&amp;BA84&amp;"&lt;/mattext&gt;&lt;/material&gt;&lt;/flow_mat&gt;&lt;/itemfeedback&gt;"),"")</f>
      </c>
    </row>
    <row r="85" ht="18" customHeight="1" s="17">
      <c r="A85" s="46">
        <f>Saisie_Questions!A85</f>
        <v/>
      </c>
      <c r="B85" s="46">
        <f>Saisie_Questions!O85="OK"</f>
        <v/>
      </c>
      <c r="C85" s="46">
        <f>LOWER(TRIM(Saisie_Questions!B85))</f>
        <v/>
      </c>
      <c r="D85" s="46">
        <f>IF(C85="qcu","SINGLE CHOICE QUESTION","MULTIPLE CHOICE QUESTION")</f>
        <v/>
      </c>
      <c r="E85" s="46">
        <f>IF(C85="qcu","Single","Multiple")</f>
        <v/>
      </c>
      <c r="F85" s="46">
        <f>IF(A85="","",SUBSTITUTE(SUBSTITUTE(SUBSTITUTE(SUBSTITUTE(SUBSTITUTE(IF(Saisie_Questions!C85="", "Question "&amp;A85, Saisie_Questions!C85),"&amp;","&amp;amp;"),"&lt;","&amp;lt;"),"&gt;","&amp;gt;"),CHAR(34),"&amp;quot;"),"'","&amp;apos;"))</f>
        <v/>
      </c>
      <c r="G85" s="46">
        <f>IF(A85="","",SUBSTITUTE(SUBSTITUTE(SUBSTITUTE(SUBSTITUTE(SUBSTITUTE(Saisie_Questions!D85,"&amp;","&amp;amp;"),"&lt;","&amp;lt;"),"&gt;","&amp;gt;"),CHAR(34),"&amp;quot;"),"'","&amp;apos;"))</f>
        <v/>
      </c>
      <c r="H85" s="46">
        <f>Saisie_Questions!N85</f>
        <v/>
      </c>
      <c r="I85" s="46">
        <f>IF(Saisie_Questions!E85="",0,1)+IF(Saisie_Questions!F85="",0,1)+IF(Saisie_Questions!G85="",0,1)+IF(Saisie_Questions!H85="",0,1)+IF(Saisie_Questions!I85="",0,1)+IF(Saisie_Questions!J85="",0,1)+IF(Saisie_Questions!K85="",0,1)+IF(Saisie_Questions!L85="",0,1)</f>
        <v/>
      </c>
      <c r="J85" s="46">
        <f>Saisie_Questions!M85</f>
        <v/>
      </c>
      <c r="K85" s="46">
        <f>Saisie_Questions!O85</f>
        <v/>
      </c>
      <c r="L85" s="46">
        <f>IF(Saisie_Questions!E85="","",SUBSTITUTE(SUBSTITUTE(SUBSTITUTE(SUBSTITUTE(SUBSTITUTE(Saisie_Questions!E85,"&amp;","&amp;amp;"),"&lt;","&amp;lt;"),"&gt;","&amp;gt;"),CHAR(34),"&amp;quot;"),"'","&amp;apos;"))</f>
        <v/>
      </c>
      <c r="M85" s="46">
        <f>IF(Saisie_Questions!F85="","",SUBSTITUTE(SUBSTITUTE(SUBSTITUTE(SUBSTITUTE(SUBSTITUTE(Saisie_Questions!F85,"&amp;","&amp;amp;"),"&lt;","&amp;lt;"),"&gt;","&amp;gt;"),CHAR(34),"&amp;quot;"),"'","&amp;apos;"))</f>
        <v/>
      </c>
      <c r="N85" s="46">
        <f>IF(Saisie_Questions!G85="","",SUBSTITUTE(SUBSTITUTE(SUBSTITUTE(SUBSTITUTE(SUBSTITUTE(Saisie_Questions!G85,"&amp;","&amp;amp;"),"&lt;","&amp;lt;"),"&gt;","&amp;gt;"),CHAR(34),"&amp;quot;"),"'","&amp;apos;"))</f>
        <v/>
      </c>
      <c r="O85" s="46">
        <f>IF(Saisie_Questions!H85="","",SUBSTITUTE(SUBSTITUTE(SUBSTITUTE(SUBSTITUTE(SUBSTITUTE(Saisie_Questions!H85,"&amp;","&amp;amp;"),"&lt;","&amp;lt;"),"&gt;","&amp;gt;"),CHAR(34),"&amp;quot;"),"'","&amp;apos;"))</f>
        <v/>
      </c>
      <c r="P85" s="46">
        <f>IF(Saisie_Questions!I85="","",SUBSTITUTE(SUBSTITUTE(SUBSTITUTE(SUBSTITUTE(SUBSTITUTE(Saisie_Questions!I85,"&amp;","&amp;amp;"),"&lt;","&amp;lt;"),"&gt;","&amp;gt;"),CHAR(34),"&amp;quot;"),"'","&amp;apos;"))</f>
        <v/>
      </c>
      <c r="Q85" s="46">
        <f>IF(Saisie_Questions!J85="","",SUBSTITUTE(SUBSTITUTE(SUBSTITUTE(SUBSTITUTE(SUBSTITUTE(Saisie_Questions!J85,"&amp;","&amp;amp;"),"&lt;","&amp;lt;"),"&gt;","&amp;gt;"),CHAR(34),"&amp;quot;"),"'","&amp;apos;"))</f>
        <v/>
      </c>
      <c r="R85" s="46">
        <f>IF(Saisie_Questions!K85="","",SUBSTITUTE(SUBSTITUTE(SUBSTITUTE(SUBSTITUTE(SUBSTITUTE(Saisie_Questions!K85,"&amp;","&amp;amp;"),"&lt;","&amp;lt;"),"&gt;","&amp;gt;"),CHAR(34),"&amp;quot;"),"'","&amp;apos;"))</f>
        <v/>
      </c>
      <c r="S85" s="46">
        <f>IF(Saisie_Questions!L85="","",SUBSTITUTE(SUBSTITUTE(SUBSTITUTE(SUBSTITUTE(SUBSTITUTE(Saisie_Questions!L85,"&amp;","&amp;amp;"),"&lt;","&amp;lt;"),"&gt;","&amp;gt;"),CHAR(34),"&amp;quot;"),"'","&amp;apos;"))</f>
        <v/>
      </c>
      <c r="T85" s="46">
        <f>ISNUMBER(SEARCH(";"&amp;1&amp;";",";"&amp;$J85&amp;";"))</f>
        <v/>
      </c>
      <c r="U85" s="46">
        <f>ISNUMBER(SEARCH(";"&amp;2&amp;";",";"&amp;$J85&amp;";"))</f>
        <v/>
      </c>
      <c r="V85" s="46">
        <f>ISNUMBER(SEARCH(";"&amp;3&amp;";",";"&amp;$J85&amp;";"))</f>
        <v/>
      </c>
      <c r="W85" s="46">
        <f>ISNUMBER(SEARCH(";"&amp;4&amp;";",";"&amp;$J85&amp;";"))</f>
        <v/>
      </c>
      <c r="X85" s="46">
        <f>ISNUMBER(SEARCH(";"&amp;5&amp;";",";"&amp;$J85&amp;";"))</f>
        <v/>
      </c>
      <c r="Y85" s="46">
        <f>ISNUMBER(SEARCH(";"&amp;6&amp;";",";"&amp;$J85&amp;";"))</f>
        <v/>
      </c>
      <c r="Z85" s="46">
        <f>ISNUMBER(SEARCH(";"&amp;7&amp;";",";"&amp;$J85&amp;";"))</f>
        <v/>
      </c>
      <c r="AA85" s="46">
        <f>ISNUMBER(SEARCH(";"&amp;8&amp;";",";"&amp;$J85&amp;";"))</f>
        <v/>
      </c>
      <c r="AB85" s="46">
        <f>IF($B85,IF(L85="","","        &lt;response_label ident=""0""&gt;&lt;material&gt;&lt;mattext texttype=""text/html""&gt;"&amp;L85&amp;"&lt;/mattext&gt;&lt;/material&gt;&lt;/response_label&gt;"),"")</f>
        <v/>
      </c>
      <c r="AC85" s="46">
        <f>IF($B85,IF(M85="","","        &lt;response_label ident=""1""&gt;&lt;material&gt;&lt;mattext texttype=""text/html""&gt;"&amp;M85&amp;"&lt;/mattext&gt;&lt;/material&gt;&lt;/response_label&gt;"),"")</f>
        <v/>
      </c>
      <c r="AD85" s="46">
        <f>IF($B85,IF(N85="","","        &lt;response_label ident=""2""&gt;&lt;material&gt;&lt;mattext texttype=""text/html""&gt;"&amp;N85&amp;"&lt;/mattext&gt;&lt;/material&gt;&lt;/response_label&gt;"),"")</f>
        <v/>
      </c>
      <c r="AE85" s="46">
        <f>IF($B85,IF(O85="","","        &lt;response_label ident=""3""&gt;&lt;material&gt;&lt;mattext texttype=""text/html""&gt;"&amp;O85&amp;"&lt;/mattext&gt;&lt;/material&gt;&lt;/response_label&gt;"),"")</f>
        <v/>
      </c>
      <c r="AF85" s="46">
        <f>IF($B85,IF(P85="","","        &lt;response_label ident=""4""&gt;&lt;material&gt;&lt;mattext texttype=""text/html""&gt;"&amp;P85&amp;"&lt;/mattext&gt;&lt;/material&gt;&lt;/response_label&gt;"),"")</f>
        <v/>
      </c>
      <c r="AG85" s="46">
        <f>IF($B85,IF(Q85="","","        &lt;response_label ident=""5""&gt;&lt;material&gt;&lt;mattext texttype=""text/html""&gt;"&amp;Q85&amp;"&lt;/mattext&gt;&lt;/material&gt;&lt;/response_label&gt;"),"")</f>
        <v/>
      </c>
      <c r="AH85" s="46">
        <f>IF($B85,IF(R85="","","        &lt;response_label ident=""6""&gt;&lt;material&gt;&lt;mattext texttype=""text/html""&gt;"&amp;R85&amp;"&lt;/mattext&gt;&lt;/material&gt;&lt;/response_label&gt;"),"")</f>
        <v/>
      </c>
      <c r="AI85" s="46">
        <f>IF($B85,IF(S85="","","        &lt;response_label ident=""7""&gt;&lt;material&gt;&lt;mattext texttype=""text/html""&gt;"&amp;S85&amp;"&lt;/mattext&gt;&lt;/material&gt;&lt;/response_label&gt;"),"")</f>
        <v/>
      </c>
      <c r="AJ85" s="46">
        <f>IF($B85,IF(L85="","",IF($C85="qcu",IF(OR(T85,AT85&lt;&gt;"",$AS85&lt;&gt;""),"      &lt;respcondition continue=""Yes""&gt;&lt;conditionvar&gt;&lt;varequal respident=""RESPONSE""&gt;0&lt;/varequal&gt;&lt;/conditionvar&gt;"&amp;"&lt;setvar action=""Add""&gt;"&amp;IF(T85,$H85,0)&amp;"&lt;/setvar&gt;"&amp;IF(AT85&lt;&gt;"","&lt;displayfeedback feedbacktype=""Response"" linkrefid=""response_0""/&gt;",IF($AS85&lt;&gt;"","&lt;displayfeedback feedbacktype=""Response"" linkrefid=""qti_feedback_trigger""/&gt;",""))&amp;"&lt;/respcondition&gt;",""),IF(OR(T85,AT85&lt;&gt;"",$AS85&lt;&gt;""),"      &lt;respcondition continue=""Yes""&gt;&lt;conditionvar&gt;"&amp;IF(T85,"&lt;varequal respident=""RESPONSE""&gt;0&lt;/varequal&gt;","&lt;not&gt;&lt;varequal respident=""RESPONSE""&gt;0&lt;/varequal&gt;&lt;/not&gt;")&amp;"&lt;/conditionvar&gt;&lt;setvar action=""Add""&gt;"&amp;(Saisie_Questions!$N85/$I85)&amp;"&lt;/setvar&gt;"&amp;IF(AT85&lt;&gt;"","&lt;displayfeedback feedbacktype=""Response"" linkrefid=""response_0""/&gt;",IF($AS85&lt;&gt;"","&lt;displayfeedback feedbacktype=""Response"" linkrefid=""qti_feedback_trigger""/&gt;",""))&amp;"&lt;/respcondition&gt;",""))),"")</f>
      </c>
      <c r="AK85" s="46">
        <f>IF($B85,IF(M85="","",IF($C85="qcu",IF(OR(U85,AU85&lt;&gt;"",$AS85&lt;&gt;""),"      &lt;respcondition continue=""Yes""&gt;&lt;conditionvar&gt;&lt;varequal respident=""RESPONSE""&gt;1&lt;/varequal&gt;&lt;/conditionvar&gt;"&amp;"&lt;setvar action=""Add""&gt;"&amp;IF(U85,$H85,0)&amp;"&lt;/setvar&gt;"&amp;IF(AU85&lt;&gt;"","&lt;displayfeedback feedbacktype=""Response"" linkrefid=""response_1""/&gt;",IF($AS85&lt;&gt;"","&lt;displayfeedback feedbacktype=""Response"" linkrefid=""qti_feedback_trigger""/&gt;",""))&amp;"&lt;/respcondition&gt;",""),IF(OR(U85,AU85&lt;&gt;"",$AS85&lt;&gt;""),"      &lt;respcondition continue=""Yes""&gt;&lt;conditionvar&gt;"&amp;IF(U85,"&lt;varequal respident=""RESPONSE""&gt;1&lt;/varequal&gt;","&lt;not&gt;&lt;varequal respident=""RESPONSE""&gt;1&lt;/varequal&gt;&lt;/not&gt;")&amp;"&lt;/conditionvar&gt;&lt;setvar action=""Add""&gt;"&amp;(Saisie_Questions!$N85/$I85)&amp;"&lt;/setvar&gt;"&amp;IF(AU85&lt;&gt;"","&lt;displayfeedback feedbacktype=""Response"" linkrefid=""response_1""/&gt;",IF($AS85&lt;&gt;"","&lt;displayfeedback feedbacktype=""Response"" linkrefid=""qti_feedback_trigger""/&gt;",""))&amp;"&lt;/respcondition&gt;",""))),"")</f>
      </c>
      <c r="AL85" s="46">
        <f>IF($B85,IF(N85="","",IF($C85="qcu",IF(OR(V85,AV85&lt;&gt;"",$AS85&lt;&gt;""),"      &lt;respcondition continue=""Yes""&gt;&lt;conditionvar&gt;&lt;varequal respident=""RESPONSE""&gt;2&lt;/varequal&gt;&lt;/conditionvar&gt;"&amp;"&lt;setvar action=""Add""&gt;"&amp;IF(V85,$H85,0)&amp;"&lt;/setvar&gt;"&amp;IF(AV85&lt;&gt;"","&lt;displayfeedback feedbacktype=""Response"" linkrefid=""response_2""/&gt;",IF($AS85&lt;&gt;"","&lt;displayfeedback feedbacktype=""Response"" linkrefid=""qti_feedback_trigger""/&gt;",""))&amp;"&lt;/respcondition&gt;",""),IF(OR(V85,AV85&lt;&gt;"",$AS85&lt;&gt;""),"      &lt;respcondition continue=""Yes""&gt;&lt;conditionvar&gt;"&amp;IF(V85,"&lt;varequal respident=""RESPONSE""&gt;2&lt;/varequal&gt;","&lt;not&gt;&lt;varequal respident=""RESPONSE""&gt;2&lt;/varequal&gt;&lt;/not&gt;")&amp;"&lt;/conditionvar&gt;&lt;setvar action=""Add""&gt;"&amp;(Saisie_Questions!$N85/$I85)&amp;"&lt;/setvar&gt;"&amp;IF(AV85&lt;&gt;"","&lt;displayfeedback feedbacktype=""Response"" linkrefid=""response_2""/&gt;",IF($AS85&lt;&gt;"","&lt;displayfeedback feedbacktype=""Response"" linkrefid=""qti_feedback_trigger""/&gt;",""))&amp;"&lt;/respcondition&gt;",""))),"")</f>
      </c>
      <c r="AM85" s="46">
        <f>IF($B85,IF(O85="","",IF($C85="qcu",IF(OR(W85,AW85&lt;&gt;"",$AS85&lt;&gt;""),"      &lt;respcondition continue=""Yes""&gt;&lt;conditionvar&gt;&lt;varequal respident=""RESPONSE""&gt;3&lt;/varequal&gt;&lt;/conditionvar&gt;"&amp;"&lt;setvar action=""Add""&gt;"&amp;IF(W85,$H85,0)&amp;"&lt;/setvar&gt;"&amp;IF(AW85&lt;&gt;"","&lt;displayfeedback feedbacktype=""Response"" linkrefid=""response_3""/&gt;",IF($AS85&lt;&gt;"","&lt;displayfeedback feedbacktype=""Response"" linkrefid=""qti_feedback_trigger""/&gt;",""))&amp;"&lt;/respcondition&gt;",""),IF(OR(W85,AW85&lt;&gt;"",$AS85&lt;&gt;""),"      &lt;respcondition continue=""Yes""&gt;&lt;conditionvar&gt;"&amp;IF(W85,"&lt;varequal respident=""RESPONSE""&gt;3&lt;/varequal&gt;","&lt;not&gt;&lt;varequal respident=""RESPONSE""&gt;3&lt;/varequal&gt;&lt;/not&gt;")&amp;"&lt;/conditionvar&gt;&lt;setvar action=""Add""&gt;"&amp;(Saisie_Questions!$N85/$I85)&amp;"&lt;/setvar&gt;"&amp;IF(AW85&lt;&gt;"","&lt;displayfeedback feedbacktype=""Response"" linkrefid=""response_3""/&gt;",IF($AS85&lt;&gt;"","&lt;displayfeedback feedbacktype=""Response"" linkrefid=""qti_feedback_trigger""/&gt;",""))&amp;"&lt;/respcondition&gt;",""))),"")</f>
      </c>
      <c r="AN85" s="46">
        <f>IF($B85,IF(P85="","",IF($C85="qcu",IF(OR(X85,AX85&lt;&gt;"",$AS85&lt;&gt;""),"      &lt;respcondition continue=""Yes""&gt;&lt;conditionvar&gt;&lt;varequal respident=""RESPONSE""&gt;4&lt;/varequal&gt;&lt;/conditionvar&gt;"&amp;"&lt;setvar action=""Add""&gt;"&amp;IF(X85,$H85,0)&amp;"&lt;/setvar&gt;"&amp;IF(AX85&lt;&gt;"","&lt;displayfeedback feedbacktype=""Response"" linkrefid=""response_4""/&gt;",IF($AS85&lt;&gt;"","&lt;displayfeedback feedbacktype=""Response"" linkrefid=""qti_feedback_trigger""/&gt;",""))&amp;"&lt;/respcondition&gt;",""),IF(OR(X85,AX85&lt;&gt;"",$AS85&lt;&gt;""),"      &lt;respcondition continue=""Yes""&gt;&lt;conditionvar&gt;"&amp;IF(X85,"&lt;varequal respident=""RESPONSE""&gt;4&lt;/varequal&gt;","&lt;not&gt;&lt;varequal respident=""RESPONSE""&gt;4&lt;/varequal&gt;&lt;/not&gt;")&amp;"&lt;/conditionvar&gt;&lt;setvar action=""Add""&gt;"&amp;(Saisie_Questions!$N85/$I85)&amp;"&lt;/setvar&gt;"&amp;IF(AX85&lt;&gt;"","&lt;displayfeedback feedbacktype=""Response"" linkrefid=""response_4""/&gt;",IF($AS85&lt;&gt;"","&lt;displayfeedback feedbacktype=""Response"" linkrefid=""qti_feedback_trigger""/&gt;",""))&amp;"&lt;/respcondition&gt;",""))),"")</f>
      </c>
      <c r="AO85" s="46">
        <f>IF($B85,IF(Q85="","",IF($C85="qcu",IF(OR(Y85,AY85&lt;&gt;"",$AS85&lt;&gt;""),"      &lt;respcondition continue=""Yes""&gt;&lt;conditionvar&gt;&lt;varequal respident=""RESPONSE""&gt;5&lt;/varequal&gt;&lt;/conditionvar&gt;"&amp;"&lt;setvar action=""Add""&gt;"&amp;IF(Y85,$H85,0)&amp;"&lt;/setvar&gt;"&amp;IF(AY85&lt;&gt;"","&lt;displayfeedback feedbacktype=""Response"" linkrefid=""response_5""/&gt;",IF($AS85&lt;&gt;"","&lt;displayfeedback feedbacktype=""Response"" linkrefid=""qti_feedback_trigger""/&gt;",""))&amp;"&lt;/respcondition&gt;",""),IF(OR(Y85,AY85&lt;&gt;"",$AS85&lt;&gt;""),"      &lt;respcondition continue=""Yes""&gt;&lt;conditionvar&gt;"&amp;IF(Y85,"&lt;varequal respident=""RESPONSE""&gt;5&lt;/varequal&gt;","&lt;not&gt;&lt;varequal respident=""RESPONSE""&gt;5&lt;/varequal&gt;&lt;/not&gt;")&amp;"&lt;/conditionvar&gt;&lt;setvar action=""Add""&gt;"&amp;(Saisie_Questions!$N85/$I85)&amp;"&lt;/setvar&gt;"&amp;IF(AY85&lt;&gt;"","&lt;displayfeedback feedbacktype=""Response"" linkrefid=""response_5""/&gt;",IF($AS85&lt;&gt;"","&lt;displayfeedback feedbacktype=""Response"" linkrefid=""qti_feedback_trigger""/&gt;",""))&amp;"&lt;/respcondition&gt;",""))),"")</f>
      </c>
      <c r="AP85" s="46">
        <f>IF($B85,IF(R85="","",IF($C85="qcu",IF(OR(Z85,AZ85&lt;&gt;"",$AS85&lt;&gt;""),"      &lt;respcondition continue=""Yes""&gt;&lt;conditionvar&gt;&lt;varequal respident=""RESPONSE""&gt;6&lt;/varequal&gt;&lt;/conditionvar&gt;"&amp;"&lt;setvar action=""Add""&gt;"&amp;IF(Z85,$H85,0)&amp;"&lt;/setvar&gt;"&amp;IF(AZ85&lt;&gt;"","&lt;displayfeedback feedbacktype=""Response"" linkrefid=""response_6""/&gt;",IF($AS85&lt;&gt;"","&lt;displayfeedback feedbacktype=""Response"" linkrefid=""qti_feedback_trigger""/&gt;",""))&amp;"&lt;/respcondition&gt;",""),IF(OR(Z85,AZ85&lt;&gt;"",$AS85&lt;&gt;""),"      &lt;respcondition continue=""Yes""&gt;&lt;conditionvar&gt;"&amp;IF(Z85,"&lt;varequal respident=""RESPONSE""&gt;6&lt;/varequal&gt;","&lt;not&gt;&lt;varequal respident=""RESPONSE""&gt;6&lt;/varequal&gt;&lt;/not&gt;")&amp;"&lt;/conditionvar&gt;&lt;setvar action=""Add""&gt;"&amp;(Saisie_Questions!$N85/$I85)&amp;"&lt;/setvar&gt;"&amp;IF(AZ85&lt;&gt;"","&lt;displayfeedback feedbacktype=""Response"" linkrefid=""response_6""/&gt;",IF($AS85&lt;&gt;"","&lt;displayfeedback feedbacktype=""Response"" linkrefid=""qti_feedback_trigger""/&gt;",""))&amp;"&lt;/respcondition&gt;",""))),"")</f>
      </c>
      <c r="AQ85" s="46">
        <f>IF($B85,IF(S85="","",IF($C85="qcu",IF(OR(AA85,BA85&lt;&gt;"",$AS85&lt;&gt;""),"      &lt;respcondition continue=""Yes""&gt;&lt;conditionvar&gt;&lt;varequal respident=""RESPONSE""&gt;7&lt;/varequal&gt;&lt;/conditionvar&gt;"&amp;"&lt;setvar action=""Add""&gt;"&amp;IF(AA85,$H85,0)&amp;"&lt;/setvar&gt;"&amp;IF(BA85&lt;&gt;"","&lt;displayfeedback feedbacktype=""Response"" linkrefid=""response_7""/&gt;",IF($AS85&lt;&gt;"","&lt;displayfeedback feedbacktype=""Response"" linkrefid=""qti_feedback_trigger""/&gt;",""))&amp;"&lt;/respcondition&gt;",""),IF(OR(AA85,BA85&lt;&gt;"",$AS85&lt;&gt;""),"      &lt;respcondition continue=""Yes""&gt;&lt;conditionvar&gt;"&amp;IF(AA85,"&lt;varequal respident=""RESPONSE""&gt;7&lt;/varequal&gt;","&lt;not&gt;&lt;varequal respident=""RESPONSE""&gt;7&lt;/varequal&gt;&lt;/not&gt;")&amp;"&lt;/conditionvar&gt;&lt;setvar action=""Add""&gt;"&amp;(Saisie_Questions!$N85/$I85)&amp;"&lt;/setvar&gt;"&amp;IF(BA85&lt;&gt;"","&lt;displayfeedback feedbacktype=""Response"" linkrefid=""response_7""/&gt;",IF($AS85&lt;&gt;"","&lt;displayfeedback feedbacktype=""Response"" linkrefid=""qti_feedback_trigger""/&gt;",""))&amp;"&lt;/respcondition&gt;",""))),"")</f>
      </c>
      <c r="AR85" s="46">
        <f>IF(A85="","",SUBSTITUTE(SUBSTITUTE(SUBSTITUTE(SUBSTITUTE(SUBSTITUTE(IF(Saisie_Questions!P85&lt;&gt;"",Saisie_Questions!P85,Interface_Generation!$B$5),"&amp;","&amp;amp;"),"&lt;","&amp;lt;"),"&gt;","&amp;gt;"),CHAR(34),"&amp;quot;"),"'","&amp;apos;"))</f>
        <v/>
      </c>
      <c r="AS85" s="46">
        <f>IF(Saisie_Questions!Q85="","",SUBSTITUTE(SUBSTITUTE(SUBSTITUTE(SUBSTITUTE(SUBSTITUTE(Saisie_Questions!Q85,"&amp;","&amp;amp;"),"&lt;","&amp;lt;"),"&gt;","&amp;gt;"),CHAR(34),"&amp;quot;"),"'","&amp;apos;"))</f>
        <v/>
      </c>
      <c r="AT85" s="46">
        <f>IF(Saisie_Questions!R85="","",SUBSTITUTE(SUBSTITUTE(SUBSTITUTE(SUBSTITUTE(SUBSTITUTE(Saisie_Questions!R85,"&amp;","&amp;amp;"),"&lt;","&amp;lt;"),"&gt;","&amp;gt;"),CHAR(34),"&amp;quot;"),"'","&amp;apos;"))</f>
        <v/>
      </c>
      <c r="AU85" s="46">
        <f>IF(Saisie_Questions!S85="","",SUBSTITUTE(SUBSTITUTE(SUBSTITUTE(SUBSTITUTE(SUBSTITUTE(Saisie_Questions!S85,"&amp;","&amp;amp;"),"&lt;","&amp;lt;"),"&gt;","&amp;gt;"),CHAR(34),"&amp;quot;"),"'","&amp;apos;"))</f>
        <v/>
      </c>
      <c r="AV85" s="46">
        <f>IF(Saisie_Questions!T85="","",SUBSTITUTE(SUBSTITUTE(SUBSTITUTE(SUBSTITUTE(SUBSTITUTE(Saisie_Questions!T85,"&amp;","&amp;amp;"),"&lt;","&amp;lt;"),"&gt;","&amp;gt;"),CHAR(34),"&amp;quot;"),"'","&amp;apos;"))</f>
        <v/>
      </c>
      <c r="AW85" s="46">
        <f>IF(Saisie_Questions!U85="","",SUBSTITUTE(SUBSTITUTE(SUBSTITUTE(SUBSTITUTE(SUBSTITUTE(Saisie_Questions!U85,"&amp;","&amp;amp;"),"&lt;","&amp;lt;"),"&gt;","&amp;gt;"),CHAR(34),"&amp;quot;"),"'","&amp;apos;"))</f>
        <v/>
      </c>
      <c r="AX85" s="46">
        <f>IF(Saisie_Questions!V85="","",SUBSTITUTE(SUBSTITUTE(SUBSTITUTE(SUBSTITUTE(SUBSTITUTE(Saisie_Questions!V85,"&amp;","&amp;amp;"),"&lt;","&amp;lt;"),"&gt;","&amp;gt;"),CHAR(34),"&amp;quot;"),"'","&amp;apos;"))</f>
        <v/>
      </c>
      <c r="AY85" s="46">
        <f>IF(Saisie_Questions!W85="","",SUBSTITUTE(SUBSTITUTE(SUBSTITUTE(SUBSTITUTE(SUBSTITUTE(Saisie_Questions!W85,"&amp;","&amp;amp;"),"&lt;","&amp;lt;"),"&gt;","&amp;gt;"),CHAR(34),"&amp;quot;"),"'","&amp;apos;"))</f>
        <v/>
      </c>
      <c r="AZ85" s="46">
        <f>IF(Saisie_Questions!X85="","",SUBSTITUTE(SUBSTITUTE(SUBSTITUTE(SUBSTITUTE(SUBSTITUTE(Saisie_Questions!X85,"&amp;","&amp;amp;"),"&lt;","&amp;lt;"),"&gt;","&amp;gt;"),CHAR(34),"&amp;quot;"),"'","&amp;apos;"))</f>
        <v/>
      </c>
      <c r="BA85" s="46">
        <f>IF(Saisie_Questions!Y85="","",SUBSTITUTE(SUBSTITUTE(SUBSTITUTE(SUBSTITUTE(SUBSTITUTE(Saisie_Questions!Y85,"&amp;","&amp;amp;"),"&lt;","&amp;lt;"),"&gt;","&amp;gt;"),CHAR(34),"&amp;quot;"),"'","&amp;apos;"))</f>
        <v/>
      </c>
      <c r="BB85" s="46">
        <f>IF($B85,IF($AS85="","","    &lt;itemfeedback ident=""response_allcorrect"" view=""All""&gt;&lt;flow_mat&gt;&lt;material&gt;&lt;mattext texttype=""text/html""&gt;"&amp;$AS85&amp;"&lt;/mattext&gt;&lt;/material&gt;&lt;/flow_mat&gt;&lt;/itemfeedback&gt;"&amp;"    &lt;itemfeedback ident=""response_onenotcorrect"" view=""All""&gt;&lt;flow_mat&gt;&lt;material&gt;&lt;mattext texttype=""text/html""&gt;"&amp;$AS85&amp;"&lt;/mattext&gt;&lt;/material&gt;&lt;/flow_mat&gt;&lt;/itemfeedback&gt;"),"")</f>
      </c>
      <c r="BC85" s="46">
        <f>IF($B85,IF(AT85="","","    &lt;itemfeedback ident=""response_0"" view=""All""&gt;&lt;flow_mat&gt;&lt;material&gt;&lt;mattext texttype=""text/html""&gt;"&amp;AT85&amp;"&lt;/mattext&gt;&lt;/material&gt;&lt;/flow_mat&gt;&lt;/itemfeedback&gt;"),"")</f>
      </c>
      <c r="BD85" s="46">
        <f>IF($B85,IF(AU85="","","    &lt;itemfeedback ident=""response_1"" view=""All""&gt;&lt;flow_mat&gt;&lt;material&gt;&lt;mattext texttype=""text/html""&gt;"&amp;AU85&amp;"&lt;/mattext&gt;&lt;/material&gt;&lt;/flow_mat&gt;&lt;/itemfeedback&gt;"),"")</f>
      </c>
      <c r="BE85" s="46">
        <f>IF($B85,IF(AV85="","","    &lt;itemfeedback ident=""response_2"" view=""All""&gt;&lt;flow_mat&gt;&lt;material&gt;&lt;mattext texttype=""text/html""&gt;"&amp;AV85&amp;"&lt;/mattext&gt;&lt;/material&gt;&lt;/flow_mat&gt;&lt;/itemfeedback&gt;"),"")</f>
      </c>
      <c r="BF85" s="46">
        <f>IF($B85,IF(AW85="","","    &lt;itemfeedback ident=""response_3"" view=""All""&gt;&lt;flow_mat&gt;&lt;material&gt;&lt;mattext texttype=""text/html""&gt;"&amp;AW85&amp;"&lt;/mattext&gt;&lt;/material&gt;&lt;/flow_mat&gt;&lt;/itemfeedback&gt;"),"")</f>
      </c>
      <c r="BG85" s="46">
        <f>IF($B85,IF(AX85="","","    &lt;itemfeedback ident=""response_4"" view=""All""&gt;&lt;flow_mat&gt;&lt;material&gt;&lt;mattext texttype=""text/html""&gt;"&amp;AX85&amp;"&lt;/mattext&gt;&lt;/material&gt;&lt;/flow_mat&gt;&lt;/itemfeedback&gt;"),"")</f>
      </c>
      <c r="BH85" s="46">
        <f>IF($B85,IF(AY85="","","    &lt;itemfeedback ident=""response_5"" view=""All""&gt;&lt;flow_mat&gt;&lt;material&gt;&lt;mattext texttype=""text/html""&gt;"&amp;AY85&amp;"&lt;/mattext&gt;&lt;/material&gt;&lt;/flow_mat&gt;&lt;/itemfeedback&gt;"),"")</f>
      </c>
      <c r="BI85" s="46">
        <f>IF($B85,IF(AZ85="","","    &lt;itemfeedback ident=""response_6"" view=""All""&gt;&lt;flow_mat&gt;&lt;material&gt;&lt;mattext texttype=""text/html""&gt;"&amp;AZ85&amp;"&lt;/mattext&gt;&lt;/material&gt;&lt;/flow_mat&gt;&lt;/itemfeedback&gt;"),"")</f>
      </c>
      <c r="BJ85" s="46">
        <f>IF($B85,IF(BA85="","","    &lt;itemfeedback ident=""response_7"" view=""All""&gt;&lt;flow_mat&gt;&lt;material&gt;&lt;mattext texttype=""text/html""&gt;"&amp;BA85&amp;"&lt;/mattext&gt;&lt;/material&gt;&lt;/flow_mat&gt;&lt;/itemfeedback&gt;"),"")</f>
      </c>
    </row>
    <row r="86" ht="18" customHeight="1" s="17">
      <c r="A86" s="46">
        <f>Saisie_Questions!A86</f>
        <v/>
      </c>
      <c r="B86" s="46">
        <f>Saisie_Questions!O86="OK"</f>
        <v/>
      </c>
      <c r="C86" s="46">
        <f>LOWER(TRIM(Saisie_Questions!B86))</f>
        <v/>
      </c>
      <c r="D86" s="46">
        <f>IF(C86="qcu","SINGLE CHOICE QUESTION","MULTIPLE CHOICE QUESTION")</f>
        <v/>
      </c>
      <c r="E86" s="46">
        <f>IF(C86="qcu","Single","Multiple")</f>
        <v/>
      </c>
      <c r="F86" s="46">
        <f>IF(A86="","",SUBSTITUTE(SUBSTITUTE(SUBSTITUTE(SUBSTITUTE(SUBSTITUTE(IF(Saisie_Questions!C86="", "Question "&amp;A86, Saisie_Questions!C86),"&amp;","&amp;amp;"),"&lt;","&amp;lt;"),"&gt;","&amp;gt;"),CHAR(34),"&amp;quot;"),"'","&amp;apos;"))</f>
        <v/>
      </c>
      <c r="G86" s="46">
        <f>IF(A86="","",SUBSTITUTE(SUBSTITUTE(SUBSTITUTE(SUBSTITUTE(SUBSTITUTE(Saisie_Questions!D86,"&amp;","&amp;amp;"),"&lt;","&amp;lt;"),"&gt;","&amp;gt;"),CHAR(34),"&amp;quot;"),"'","&amp;apos;"))</f>
        <v/>
      </c>
      <c r="H86" s="46">
        <f>Saisie_Questions!N86</f>
        <v/>
      </c>
      <c r="I86" s="46">
        <f>IF(Saisie_Questions!E86="",0,1)+IF(Saisie_Questions!F86="",0,1)+IF(Saisie_Questions!G86="",0,1)+IF(Saisie_Questions!H86="",0,1)+IF(Saisie_Questions!I86="",0,1)+IF(Saisie_Questions!J86="",0,1)+IF(Saisie_Questions!K86="",0,1)+IF(Saisie_Questions!L86="",0,1)</f>
        <v/>
      </c>
      <c r="J86" s="46">
        <f>Saisie_Questions!M86</f>
        <v/>
      </c>
      <c r="K86" s="46">
        <f>Saisie_Questions!O86</f>
        <v/>
      </c>
      <c r="L86" s="46">
        <f>IF(Saisie_Questions!E86="","",SUBSTITUTE(SUBSTITUTE(SUBSTITUTE(SUBSTITUTE(SUBSTITUTE(Saisie_Questions!E86,"&amp;","&amp;amp;"),"&lt;","&amp;lt;"),"&gt;","&amp;gt;"),CHAR(34),"&amp;quot;"),"'","&amp;apos;"))</f>
        <v/>
      </c>
      <c r="M86" s="46">
        <f>IF(Saisie_Questions!F86="","",SUBSTITUTE(SUBSTITUTE(SUBSTITUTE(SUBSTITUTE(SUBSTITUTE(Saisie_Questions!F86,"&amp;","&amp;amp;"),"&lt;","&amp;lt;"),"&gt;","&amp;gt;"),CHAR(34),"&amp;quot;"),"'","&amp;apos;"))</f>
        <v/>
      </c>
      <c r="N86" s="46">
        <f>IF(Saisie_Questions!G86="","",SUBSTITUTE(SUBSTITUTE(SUBSTITUTE(SUBSTITUTE(SUBSTITUTE(Saisie_Questions!G86,"&amp;","&amp;amp;"),"&lt;","&amp;lt;"),"&gt;","&amp;gt;"),CHAR(34),"&amp;quot;"),"'","&amp;apos;"))</f>
        <v/>
      </c>
      <c r="O86" s="46">
        <f>IF(Saisie_Questions!H86="","",SUBSTITUTE(SUBSTITUTE(SUBSTITUTE(SUBSTITUTE(SUBSTITUTE(Saisie_Questions!H86,"&amp;","&amp;amp;"),"&lt;","&amp;lt;"),"&gt;","&amp;gt;"),CHAR(34),"&amp;quot;"),"'","&amp;apos;"))</f>
        <v/>
      </c>
      <c r="P86" s="46">
        <f>IF(Saisie_Questions!I86="","",SUBSTITUTE(SUBSTITUTE(SUBSTITUTE(SUBSTITUTE(SUBSTITUTE(Saisie_Questions!I86,"&amp;","&amp;amp;"),"&lt;","&amp;lt;"),"&gt;","&amp;gt;"),CHAR(34),"&amp;quot;"),"'","&amp;apos;"))</f>
        <v/>
      </c>
      <c r="Q86" s="46">
        <f>IF(Saisie_Questions!J86="","",SUBSTITUTE(SUBSTITUTE(SUBSTITUTE(SUBSTITUTE(SUBSTITUTE(Saisie_Questions!J86,"&amp;","&amp;amp;"),"&lt;","&amp;lt;"),"&gt;","&amp;gt;"),CHAR(34),"&amp;quot;"),"'","&amp;apos;"))</f>
        <v/>
      </c>
      <c r="R86" s="46">
        <f>IF(Saisie_Questions!K86="","",SUBSTITUTE(SUBSTITUTE(SUBSTITUTE(SUBSTITUTE(SUBSTITUTE(Saisie_Questions!K86,"&amp;","&amp;amp;"),"&lt;","&amp;lt;"),"&gt;","&amp;gt;"),CHAR(34),"&amp;quot;"),"'","&amp;apos;"))</f>
        <v/>
      </c>
      <c r="S86" s="46">
        <f>IF(Saisie_Questions!L86="","",SUBSTITUTE(SUBSTITUTE(SUBSTITUTE(SUBSTITUTE(SUBSTITUTE(Saisie_Questions!L86,"&amp;","&amp;amp;"),"&lt;","&amp;lt;"),"&gt;","&amp;gt;"),CHAR(34),"&amp;quot;"),"'","&amp;apos;"))</f>
        <v/>
      </c>
      <c r="T86" s="46">
        <f>ISNUMBER(SEARCH(";"&amp;1&amp;";",";"&amp;$J86&amp;";"))</f>
        <v/>
      </c>
      <c r="U86" s="46">
        <f>ISNUMBER(SEARCH(";"&amp;2&amp;";",";"&amp;$J86&amp;";"))</f>
        <v/>
      </c>
      <c r="V86" s="46">
        <f>ISNUMBER(SEARCH(";"&amp;3&amp;";",";"&amp;$J86&amp;";"))</f>
        <v/>
      </c>
      <c r="W86" s="46">
        <f>ISNUMBER(SEARCH(";"&amp;4&amp;";",";"&amp;$J86&amp;";"))</f>
        <v/>
      </c>
      <c r="X86" s="46">
        <f>ISNUMBER(SEARCH(";"&amp;5&amp;";",";"&amp;$J86&amp;";"))</f>
        <v/>
      </c>
      <c r="Y86" s="46">
        <f>ISNUMBER(SEARCH(";"&amp;6&amp;";",";"&amp;$J86&amp;";"))</f>
        <v/>
      </c>
      <c r="Z86" s="46">
        <f>ISNUMBER(SEARCH(";"&amp;7&amp;";",";"&amp;$J86&amp;";"))</f>
        <v/>
      </c>
      <c r="AA86" s="46">
        <f>ISNUMBER(SEARCH(";"&amp;8&amp;";",";"&amp;$J86&amp;";"))</f>
        <v/>
      </c>
      <c r="AB86" s="46">
        <f>IF($B86,IF(L86="","","        &lt;response_label ident=""0""&gt;&lt;material&gt;&lt;mattext texttype=""text/html""&gt;"&amp;L86&amp;"&lt;/mattext&gt;&lt;/material&gt;&lt;/response_label&gt;"),"")</f>
        <v/>
      </c>
      <c r="AC86" s="46">
        <f>IF($B86,IF(M86="","","        &lt;response_label ident=""1""&gt;&lt;material&gt;&lt;mattext texttype=""text/html""&gt;"&amp;M86&amp;"&lt;/mattext&gt;&lt;/material&gt;&lt;/response_label&gt;"),"")</f>
        <v/>
      </c>
      <c r="AD86" s="46">
        <f>IF($B86,IF(N86="","","        &lt;response_label ident=""2""&gt;&lt;material&gt;&lt;mattext texttype=""text/html""&gt;"&amp;N86&amp;"&lt;/mattext&gt;&lt;/material&gt;&lt;/response_label&gt;"),"")</f>
        <v/>
      </c>
      <c r="AE86" s="46">
        <f>IF($B86,IF(O86="","","        &lt;response_label ident=""3""&gt;&lt;material&gt;&lt;mattext texttype=""text/html""&gt;"&amp;O86&amp;"&lt;/mattext&gt;&lt;/material&gt;&lt;/response_label&gt;"),"")</f>
        <v/>
      </c>
      <c r="AF86" s="46">
        <f>IF($B86,IF(P86="","","        &lt;response_label ident=""4""&gt;&lt;material&gt;&lt;mattext texttype=""text/html""&gt;"&amp;P86&amp;"&lt;/mattext&gt;&lt;/material&gt;&lt;/response_label&gt;"),"")</f>
        <v/>
      </c>
      <c r="AG86" s="46">
        <f>IF($B86,IF(Q86="","","        &lt;response_label ident=""5""&gt;&lt;material&gt;&lt;mattext texttype=""text/html""&gt;"&amp;Q86&amp;"&lt;/mattext&gt;&lt;/material&gt;&lt;/response_label&gt;"),"")</f>
        <v/>
      </c>
      <c r="AH86" s="46">
        <f>IF($B86,IF(R86="","","        &lt;response_label ident=""6""&gt;&lt;material&gt;&lt;mattext texttype=""text/html""&gt;"&amp;R86&amp;"&lt;/mattext&gt;&lt;/material&gt;&lt;/response_label&gt;"),"")</f>
        <v/>
      </c>
      <c r="AI86" s="46">
        <f>IF($B86,IF(S86="","","        &lt;response_label ident=""7""&gt;&lt;material&gt;&lt;mattext texttype=""text/html""&gt;"&amp;S86&amp;"&lt;/mattext&gt;&lt;/material&gt;&lt;/response_label&gt;"),"")</f>
        <v/>
      </c>
      <c r="AJ86" s="46">
        <f>IF($B86,IF(L86="","",IF($C86="qcu",IF(OR(T86,AT86&lt;&gt;"",$AS86&lt;&gt;""),"      &lt;respcondition continue=""Yes""&gt;&lt;conditionvar&gt;&lt;varequal respident=""RESPONSE""&gt;0&lt;/varequal&gt;&lt;/conditionvar&gt;"&amp;"&lt;setvar action=""Add""&gt;"&amp;IF(T86,$H86,0)&amp;"&lt;/setvar&gt;"&amp;IF(AT86&lt;&gt;"","&lt;displayfeedback feedbacktype=""Response"" linkrefid=""response_0""/&gt;",IF($AS86&lt;&gt;"","&lt;displayfeedback feedbacktype=""Response"" linkrefid=""qti_feedback_trigger""/&gt;",""))&amp;"&lt;/respcondition&gt;",""),IF(OR(T86,AT86&lt;&gt;"",$AS86&lt;&gt;""),"      &lt;respcondition continue=""Yes""&gt;&lt;conditionvar&gt;"&amp;IF(T86,"&lt;varequal respident=""RESPONSE""&gt;0&lt;/varequal&gt;","&lt;not&gt;&lt;varequal respident=""RESPONSE""&gt;0&lt;/varequal&gt;&lt;/not&gt;")&amp;"&lt;/conditionvar&gt;&lt;setvar action=""Add""&gt;"&amp;(Saisie_Questions!$N86/$I86)&amp;"&lt;/setvar&gt;"&amp;IF(AT86&lt;&gt;"","&lt;displayfeedback feedbacktype=""Response"" linkrefid=""response_0""/&gt;",IF($AS86&lt;&gt;"","&lt;displayfeedback feedbacktype=""Response"" linkrefid=""qti_feedback_trigger""/&gt;",""))&amp;"&lt;/respcondition&gt;",""))),"")</f>
      </c>
      <c r="AK86" s="46">
        <f>IF($B86,IF(M86="","",IF($C86="qcu",IF(OR(U86,AU86&lt;&gt;"",$AS86&lt;&gt;""),"      &lt;respcondition continue=""Yes""&gt;&lt;conditionvar&gt;&lt;varequal respident=""RESPONSE""&gt;1&lt;/varequal&gt;&lt;/conditionvar&gt;"&amp;"&lt;setvar action=""Add""&gt;"&amp;IF(U86,$H86,0)&amp;"&lt;/setvar&gt;"&amp;IF(AU86&lt;&gt;"","&lt;displayfeedback feedbacktype=""Response"" linkrefid=""response_1""/&gt;",IF($AS86&lt;&gt;"","&lt;displayfeedback feedbacktype=""Response"" linkrefid=""qti_feedback_trigger""/&gt;",""))&amp;"&lt;/respcondition&gt;",""),IF(OR(U86,AU86&lt;&gt;"",$AS86&lt;&gt;""),"      &lt;respcondition continue=""Yes""&gt;&lt;conditionvar&gt;"&amp;IF(U86,"&lt;varequal respident=""RESPONSE""&gt;1&lt;/varequal&gt;","&lt;not&gt;&lt;varequal respident=""RESPONSE""&gt;1&lt;/varequal&gt;&lt;/not&gt;")&amp;"&lt;/conditionvar&gt;&lt;setvar action=""Add""&gt;"&amp;(Saisie_Questions!$N86/$I86)&amp;"&lt;/setvar&gt;"&amp;IF(AU86&lt;&gt;"","&lt;displayfeedback feedbacktype=""Response"" linkrefid=""response_1""/&gt;",IF($AS86&lt;&gt;"","&lt;displayfeedback feedbacktype=""Response"" linkrefid=""qti_feedback_trigger""/&gt;",""))&amp;"&lt;/respcondition&gt;",""))),"")</f>
      </c>
      <c r="AL86" s="46">
        <f>IF($B86,IF(N86="","",IF($C86="qcu",IF(OR(V86,AV86&lt;&gt;"",$AS86&lt;&gt;""),"      &lt;respcondition continue=""Yes""&gt;&lt;conditionvar&gt;&lt;varequal respident=""RESPONSE""&gt;2&lt;/varequal&gt;&lt;/conditionvar&gt;"&amp;"&lt;setvar action=""Add""&gt;"&amp;IF(V86,$H86,0)&amp;"&lt;/setvar&gt;"&amp;IF(AV86&lt;&gt;"","&lt;displayfeedback feedbacktype=""Response"" linkrefid=""response_2""/&gt;",IF($AS86&lt;&gt;"","&lt;displayfeedback feedbacktype=""Response"" linkrefid=""qti_feedback_trigger""/&gt;",""))&amp;"&lt;/respcondition&gt;",""),IF(OR(V86,AV86&lt;&gt;"",$AS86&lt;&gt;""),"      &lt;respcondition continue=""Yes""&gt;&lt;conditionvar&gt;"&amp;IF(V86,"&lt;varequal respident=""RESPONSE""&gt;2&lt;/varequal&gt;","&lt;not&gt;&lt;varequal respident=""RESPONSE""&gt;2&lt;/varequal&gt;&lt;/not&gt;")&amp;"&lt;/conditionvar&gt;&lt;setvar action=""Add""&gt;"&amp;(Saisie_Questions!$N86/$I86)&amp;"&lt;/setvar&gt;"&amp;IF(AV86&lt;&gt;"","&lt;displayfeedback feedbacktype=""Response"" linkrefid=""response_2""/&gt;",IF($AS86&lt;&gt;"","&lt;displayfeedback feedbacktype=""Response"" linkrefid=""qti_feedback_trigger""/&gt;",""))&amp;"&lt;/respcondition&gt;",""))),"")</f>
      </c>
      <c r="AM86" s="46">
        <f>IF($B86,IF(O86="","",IF($C86="qcu",IF(OR(W86,AW86&lt;&gt;"",$AS86&lt;&gt;""),"      &lt;respcondition continue=""Yes""&gt;&lt;conditionvar&gt;&lt;varequal respident=""RESPONSE""&gt;3&lt;/varequal&gt;&lt;/conditionvar&gt;"&amp;"&lt;setvar action=""Add""&gt;"&amp;IF(W86,$H86,0)&amp;"&lt;/setvar&gt;"&amp;IF(AW86&lt;&gt;"","&lt;displayfeedback feedbacktype=""Response"" linkrefid=""response_3""/&gt;",IF($AS86&lt;&gt;"","&lt;displayfeedback feedbacktype=""Response"" linkrefid=""qti_feedback_trigger""/&gt;",""))&amp;"&lt;/respcondition&gt;",""),IF(OR(W86,AW86&lt;&gt;"",$AS86&lt;&gt;""),"      &lt;respcondition continue=""Yes""&gt;&lt;conditionvar&gt;"&amp;IF(W86,"&lt;varequal respident=""RESPONSE""&gt;3&lt;/varequal&gt;","&lt;not&gt;&lt;varequal respident=""RESPONSE""&gt;3&lt;/varequal&gt;&lt;/not&gt;")&amp;"&lt;/conditionvar&gt;&lt;setvar action=""Add""&gt;"&amp;(Saisie_Questions!$N86/$I86)&amp;"&lt;/setvar&gt;"&amp;IF(AW86&lt;&gt;"","&lt;displayfeedback feedbacktype=""Response"" linkrefid=""response_3""/&gt;",IF($AS86&lt;&gt;"","&lt;displayfeedback feedbacktype=""Response"" linkrefid=""qti_feedback_trigger""/&gt;",""))&amp;"&lt;/respcondition&gt;",""))),"")</f>
      </c>
      <c r="AN86" s="46">
        <f>IF($B86,IF(P86="","",IF($C86="qcu",IF(OR(X86,AX86&lt;&gt;"",$AS86&lt;&gt;""),"      &lt;respcondition continue=""Yes""&gt;&lt;conditionvar&gt;&lt;varequal respident=""RESPONSE""&gt;4&lt;/varequal&gt;&lt;/conditionvar&gt;"&amp;"&lt;setvar action=""Add""&gt;"&amp;IF(X86,$H86,0)&amp;"&lt;/setvar&gt;"&amp;IF(AX86&lt;&gt;"","&lt;displayfeedback feedbacktype=""Response"" linkrefid=""response_4""/&gt;",IF($AS86&lt;&gt;"","&lt;displayfeedback feedbacktype=""Response"" linkrefid=""qti_feedback_trigger""/&gt;",""))&amp;"&lt;/respcondition&gt;",""),IF(OR(X86,AX86&lt;&gt;"",$AS86&lt;&gt;""),"      &lt;respcondition continue=""Yes""&gt;&lt;conditionvar&gt;"&amp;IF(X86,"&lt;varequal respident=""RESPONSE""&gt;4&lt;/varequal&gt;","&lt;not&gt;&lt;varequal respident=""RESPONSE""&gt;4&lt;/varequal&gt;&lt;/not&gt;")&amp;"&lt;/conditionvar&gt;&lt;setvar action=""Add""&gt;"&amp;(Saisie_Questions!$N86/$I86)&amp;"&lt;/setvar&gt;"&amp;IF(AX86&lt;&gt;"","&lt;displayfeedback feedbacktype=""Response"" linkrefid=""response_4""/&gt;",IF($AS86&lt;&gt;"","&lt;displayfeedback feedbacktype=""Response"" linkrefid=""qti_feedback_trigger""/&gt;",""))&amp;"&lt;/respcondition&gt;",""))),"")</f>
      </c>
      <c r="AO86" s="46">
        <f>IF($B86,IF(Q86="","",IF($C86="qcu",IF(OR(Y86,AY86&lt;&gt;"",$AS86&lt;&gt;""),"      &lt;respcondition continue=""Yes""&gt;&lt;conditionvar&gt;&lt;varequal respident=""RESPONSE""&gt;5&lt;/varequal&gt;&lt;/conditionvar&gt;"&amp;"&lt;setvar action=""Add""&gt;"&amp;IF(Y86,$H86,0)&amp;"&lt;/setvar&gt;"&amp;IF(AY86&lt;&gt;"","&lt;displayfeedback feedbacktype=""Response"" linkrefid=""response_5""/&gt;",IF($AS86&lt;&gt;"","&lt;displayfeedback feedbacktype=""Response"" linkrefid=""qti_feedback_trigger""/&gt;",""))&amp;"&lt;/respcondition&gt;",""),IF(OR(Y86,AY86&lt;&gt;"",$AS86&lt;&gt;""),"      &lt;respcondition continue=""Yes""&gt;&lt;conditionvar&gt;"&amp;IF(Y86,"&lt;varequal respident=""RESPONSE""&gt;5&lt;/varequal&gt;","&lt;not&gt;&lt;varequal respident=""RESPONSE""&gt;5&lt;/varequal&gt;&lt;/not&gt;")&amp;"&lt;/conditionvar&gt;&lt;setvar action=""Add""&gt;"&amp;(Saisie_Questions!$N86/$I86)&amp;"&lt;/setvar&gt;"&amp;IF(AY86&lt;&gt;"","&lt;displayfeedback feedbacktype=""Response"" linkrefid=""response_5""/&gt;",IF($AS86&lt;&gt;"","&lt;displayfeedback feedbacktype=""Response"" linkrefid=""qti_feedback_trigger""/&gt;",""))&amp;"&lt;/respcondition&gt;",""))),"")</f>
      </c>
      <c r="AP86" s="46">
        <f>IF($B86,IF(R86="","",IF($C86="qcu",IF(OR(Z86,AZ86&lt;&gt;"",$AS86&lt;&gt;""),"      &lt;respcondition continue=""Yes""&gt;&lt;conditionvar&gt;&lt;varequal respident=""RESPONSE""&gt;6&lt;/varequal&gt;&lt;/conditionvar&gt;"&amp;"&lt;setvar action=""Add""&gt;"&amp;IF(Z86,$H86,0)&amp;"&lt;/setvar&gt;"&amp;IF(AZ86&lt;&gt;"","&lt;displayfeedback feedbacktype=""Response"" linkrefid=""response_6""/&gt;",IF($AS86&lt;&gt;"","&lt;displayfeedback feedbacktype=""Response"" linkrefid=""qti_feedback_trigger""/&gt;",""))&amp;"&lt;/respcondition&gt;",""),IF(OR(Z86,AZ86&lt;&gt;"",$AS86&lt;&gt;""),"      &lt;respcondition continue=""Yes""&gt;&lt;conditionvar&gt;"&amp;IF(Z86,"&lt;varequal respident=""RESPONSE""&gt;6&lt;/varequal&gt;","&lt;not&gt;&lt;varequal respident=""RESPONSE""&gt;6&lt;/varequal&gt;&lt;/not&gt;")&amp;"&lt;/conditionvar&gt;&lt;setvar action=""Add""&gt;"&amp;(Saisie_Questions!$N86/$I86)&amp;"&lt;/setvar&gt;"&amp;IF(AZ86&lt;&gt;"","&lt;displayfeedback feedbacktype=""Response"" linkrefid=""response_6""/&gt;",IF($AS86&lt;&gt;"","&lt;displayfeedback feedbacktype=""Response"" linkrefid=""qti_feedback_trigger""/&gt;",""))&amp;"&lt;/respcondition&gt;",""))),"")</f>
      </c>
      <c r="AQ86" s="46">
        <f>IF($B86,IF(S86="","",IF($C86="qcu",IF(OR(AA86,BA86&lt;&gt;"",$AS86&lt;&gt;""),"      &lt;respcondition continue=""Yes""&gt;&lt;conditionvar&gt;&lt;varequal respident=""RESPONSE""&gt;7&lt;/varequal&gt;&lt;/conditionvar&gt;"&amp;"&lt;setvar action=""Add""&gt;"&amp;IF(AA86,$H86,0)&amp;"&lt;/setvar&gt;"&amp;IF(BA86&lt;&gt;"","&lt;displayfeedback feedbacktype=""Response"" linkrefid=""response_7""/&gt;",IF($AS86&lt;&gt;"","&lt;displayfeedback feedbacktype=""Response"" linkrefid=""qti_feedback_trigger""/&gt;",""))&amp;"&lt;/respcondition&gt;",""),IF(OR(AA86,BA86&lt;&gt;"",$AS86&lt;&gt;""),"      &lt;respcondition continue=""Yes""&gt;&lt;conditionvar&gt;"&amp;IF(AA86,"&lt;varequal respident=""RESPONSE""&gt;7&lt;/varequal&gt;","&lt;not&gt;&lt;varequal respident=""RESPONSE""&gt;7&lt;/varequal&gt;&lt;/not&gt;")&amp;"&lt;/conditionvar&gt;&lt;setvar action=""Add""&gt;"&amp;(Saisie_Questions!$N86/$I86)&amp;"&lt;/setvar&gt;"&amp;IF(BA86&lt;&gt;"","&lt;displayfeedback feedbacktype=""Response"" linkrefid=""response_7""/&gt;",IF($AS86&lt;&gt;"","&lt;displayfeedback feedbacktype=""Response"" linkrefid=""qti_feedback_trigger""/&gt;",""))&amp;"&lt;/respcondition&gt;",""))),"")</f>
      </c>
      <c r="AR86" s="46">
        <f>IF(A86="","",SUBSTITUTE(SUBSTITUTE(SUBSTITUTE(SUBSTITUTE(SUBSTITUTE(IF(Saisie_Questions!P86&lt;&gt;"",Saisie_Questions!P86,Interface_Generation!$B$5),"&amp;","&amp;amp;"),"&lt;","&amp;lt;"),"&gt;","&amp;gt;"),CHAR(34),"&amp;quot;"),"'","&amp;apos;"))</f>
        <v/>
      </c>
      <c r="AS86" s="46">
        <f>IF(Saisie_Questions!Q86="","",SUBSTITUTE(SUBSTITUTE(SUBSTITUTE(SUBSTITUTE(SUBSTITUTE(Saisie_Questions!Q86,"&amp;","&amp;amp;"),"&lt;","&amp;lt;"),"&gt;","&amp;gt;"),CHAR(34),"&amp;quot;"),"'","&amp;apos;"))</f>
        <v/>
      </c>
      <c r="AT86" s="46">
        <f>IF(Saisie_Questions!R86="","",SUBSTITUTE(SUBSTITUTE(SUBSTITUTE(SUBSTITUTE(SUBSTITUTE(Saisie_Questions!R86,"&amp;","&amp;amp;"),"&lt;","&amp;lt;"),"&gt;","&amp;gt;"),CHAR(34),"&amp;quot;"),"'","&amp;apos;"))</f>
        <v/>
      </c>
      <c r="AU86" s="46">
        <f>IF(Saisie_Questions!S86="","",SUBSTITUTE(SUBSTITUTE(SUBSTITUTE(SUBSTITUTE(SUBSTITUTE(Saisie_Questions!S86,"&amp;","&amp;amp;"),"&lt;","&amp;lt;"),"&gt;","&amp;gt;"),CHAR(34),"&amp;quot;"),"'","&amp;apos;"))</f>
        <v/>
      </c>
      <c r="AV86" s="46">
        <f>IF(Saisie_Questions!T86="","",SUBSTITUTE(SUBSTITUTE(SUBSTITUTE(SUBSTITUTE(SUBSTITUTE(Saisie_Questions!T86,"&amp;","&amp;amp;"),"&lt;","&amp;lt;"),"&gt;","&amp;gt;"),CHAR(34),"&amp;quot;"),"'","&amp;apos;"))</f>
        <v/>
      </c>
      <c r="AW86" s="46">
        <f>IF(Saisie_Questions!U86="","",SUBSTITUTE(SUBSTITUTE(SUBSTITUTE(SUBSTITUTE(SUBSTITUTE(Saisie_Questions!U86,"&amp;","&amp;amp;"),"&lt;","&amp;lt;"),"&gt;","&amp;gt;"),CHAR(34),"&amp;quot;"),"'","&amp;apos;"))</f>
        <v/>
      </c>
      <c r="AX86" s="46">
        <f>IF(Saisie_Questions!V86="","",SUBSTITUTE(SUBSTITUTE(SUBSTITUTE(SUBSTITUTE(SUBSTITUTE(Saisie_Questions!V86,"&amp;","&amp;amp;"),"&lt;","&amp;lt;"),"&gt;","&amp;gt;"),CHAR(34),"&amp;quot;"),"'","&amp;apos;"))</f>
        <v/>
      </c>
      <c r="AY86" s="46">
        <f>IF(Saisie_Questions!W86="","",SUBSTITUTE(SUBSTITUTE(SUBSTITUTE(SUBSTITUTE(SUBSTITUTE(Saisie_Questions!W86,"&amp;","&amp;amp;"),"&lt;","&amp;lt;"),"&gt;","&amp;gt;"),CHAR(34),"&amp;quot;"),"'","&amp;apos;"))</f>
        <v/>
      </c>
      <c r="AZ86" s="46">
        <f>IF(Saisie_Questions!X86="","",SUBSTITUTE(SUBSTITUTE(SUBSTITUTE(SUBSTITUTE(SUBSTITUTE(Saisie_Questions!X86,"&amp;","&amp;amp;"),"&lt;","&amp;lt;"),"&gt;","&amp;gt;"),CHAR(34),"&amp;quot;"),"'","&amp;apos;"))</f>
        <v/>
      </c>
      <c r="BA86" s="46">
        <f>IF(Saisie_Questions!Y86="","",SUBSTITUTE(SUBSTITUTE(SUBSTITUTE(SUBSTITUTE(SUBSTITUTE(Saisie_Questions!Y86,"&amp;","&amp;amp;"),"&lt;","&amp;lt;"),"&gt;","&amp;gt;"),CHAR(34),"&amp;quot;"),"'","&amp;apos;"))</f>
        <v/>
      </c>
      <c r="BB86" s="46">
        <f>IF($B86,IF($AS86="","","    &lt;itemfeedback ident=""response_allcorrect"" view=""All""&gt;&lt;flow_mat&gt;&lt;material&gt;&lt;mattext texttype=""text/html""&gt;"&amp;$AS86&amp;"&lt;/mattext&gt;&lt;/material&gt;&lt;/flow_mat&gt;&lt;/itemfeedback&gt;"&amp;"    &lt;itemfeedback ident=""response_onenotcorrect"" view=""All""&gt;&lt;flow_mat&gt;&lt;material&gt;&lt;mattext texttype=""text/html""&gt;"&amp;$AS86&amp;"&lt;/mattext&gt;&lt;/material&gt;&lt;/flow_mat&gt;&lt;/itemfeedback&gt;"),"")</f>
      </c>
      <c r="BC86" s="46">
        <f>IF($B86,IF(AT86="","","    &lt;itemfeedback ident=""response_0"" view=""All""&gt;&lt;flow_mat&gt;&lt;material&gt;&lt;mattext texttype=""text/html""&gt;"&amp;AT86&amp;"&lt;/mattext&gt;&lt;/material&gt;&lt;/flow_mat&gt;&lt;/itemfeedback&gt;"),"")</f>
      </c>
      <c r="BD86" s="46">
        <f>IF($B86,IF(AU86="","","    &lt;itemfeedback ident=""response_1"" view=""All""&gt;&lt;flow_mat&gt;&lt;material&gt;&lt;mattext texttype=""text/html""&gt;"&amp;AU86&amp;"&lt;/mattext&gt;&lt;/material&gt;&lt;/flow_mat&gt;&lt;/itemfeedback&gt;"),"")</f>
      </c>
      <c r="BE86" s="46">
        <f>IF($B86,IF(AV86="","","    &lt;itemfeedback ident=""response_2"" view=""All""&gt;&lt;flow_mat&gt;&lt;material&gt;&lt;mattext texttype=""text/html""&gt;"&amp;AV86&amp;"&lt;/mattext&gt;&lt;/material&gt;&lt;/flow_mat&gt;&lt;/itemfeedback&gt;"),"")</f>
      </c>
      <c r="BF86" s="46">
        <f>IF($B86,IF(AW86="","","    &lt;itemfeedback ident=""response_3"" view=""All""&gt;&lt;flow_mat&gt;&lt;material&gt;&lt;mattext texttype=""text/html""&gt;"&amp;AW86&amp;"&lt;/mattext&gt;&lt;/material&gt;&lt;/flow_mat&gt;&lt;/itemfeedback&gt;"),"")</f>
      </c>
      <c r="BG86" s="46">
        <f>IF($B86,IF(AX86="","","    &lt;itemfeedback ident=""response_4"" view=""All""&gt;&lt;flow_mat&gt;&lt;material&gt;&lt;mattext texttype=""text/html""&gt;"&amp;AX86&amp;"&lt;/mattext&gt;&lt;/material&gt;&lt;/flow_mat&gt;&lt;/itemfeedback&gt;"),"")</f>
      </c>
      <c r="BH86" s="46">
        <f>IF($B86,IF(AY86="","","    &lt;itemfeedback ident=""response_5"" view=""All""&gt;&lt;flow_mat&gt;&lt;material&gt;&lt;mattext texttype=""text/html""&gt;"&amp;AY86&amp;"&lt;/mattext&gt;&lt;/material&gt;&lt;/flow_mat&gt;&lt;/itemfeedback&gt;"),"")</f>
      </c>
      <c r="BI86" s="46">
        <f>IF($B86,IF(AZ86="","","    &lt;itemfeedback ident=""response_6"" view=""All""&gt;&lt;flow_mat&gt;&lt;material&gt;&lt;mattext texttype=""text/html""&gt;"&amp;AZ86&amp;"&lt;/mattext&gt;&lt;/material&gt;&lt;/flow_mat&gt;&lt;/itemfeedback&gt;"),"")</f>
      </c>
      <c r="BJ86" s="46">
        <f>IF($B86,IF(BA86="","","    &lt;itemfeedback ident=""response_7"" view=""All""&gt;&lt;flow_mat&gt;&lt;material&gt;&lt;mattext texttype=""text/html""&gt;"&amp;BA86&amp;"&lt;/mattext&gt;&lt;/material&gt;&lt;/flow_mat&gt;&lt;/itemfeedback&gt;"),"")</f>
      </c>
    </row>
    <row r="87" ht="18" customHeight="1" s="17">
      <c r="A87" s="46">
        <f>Saisie_Questions!A87</f>
        <v/>
      </c>
      <c r="B87" s="46">
        <f>Saisie_Questions!O87="OK"</f>
        <v/>
      </c>
      <c r="C87" s="46">
        <f>LOWER(TRIM(Saisie_Questions!B87))</f>
        <v/>
      </c>
      <c r="D87" s="46">
        <f>IF(C87="qcu","SINGLE CHOICE QUESTION","MULTIPLE CHOICE QUESTION")</f>
        <v/>
      </c>
      <c r="E87" s="46">
        <f>IF(C87="qcu","Single","Multiple")</f>
        <v/>
      </c>
      <c r="F87" s="46">
        <f>IF(A87="","",SUBSTITUTE(SUBSTITUTE(SUBSTITUTE(SUBSTITUTE(SUBSTITUTE(IF(Saisie_Questions!C87="", "Question "&amp;A87, Saisie_Questions!C87),"&amp;","&amp;amp;"),"&lt;","&amp;lt;"),"&gt;","&amp;gt;"),CHAR(34),"&amp;quot;"),"'","&amp;apos;"))</f>
        <v/>
      </c>
      <c r="G87" s="46">
        <f>IF(A87="","",SUBSTITUTE(SUBSTITUTE(SUBSTITUTE(SUBSTITUTE(SUBSTITUTE(Saisie_Questions!D87,"&amp;","&amp;amp;"),"&lt;","&amp;lt;"),"&gt;","&amp;gt;"),CHAR(34),"&amp;quot;"),"'","&amp;apos;"))</f>
        <v/>
      </c>
      <c r="H87" s="46">
        <f>Saisie_Questions!N87</f>
        <v/>
      </c>
      <c r="I87" s="46">
        <f>IF(Saisie_Questions!E87="",0,1)+IF(Saisie_Questions!F87="",0,1)+IF(Saisie_Questions!G87="",0,1)+IF(Saisie_Questions!H87="",0,1)+IF(Saisie_Questions!I87="",0,1)+IF(Saisie_Questions!J87="",0,1)+IF(Saisie_Questions!K87="",0,1)+IF(Saisie_Questions!L87="",0,1)</f>
        <v/>
      </c>
      <c r="J87" s="46">
        <f>Saisie_Questions!M87</f>
        <v/>
      </c>
      <c r="K87" s="46">
        <f>Saisie_Questions!O87</f>
        <v/>
      </c>
      <c r="L87" s="46">
        <f>IF(Saisie_Questions!E87="","",SUBSTITUTE(SUBSTITUTE(SUBSTITUTE(SUBSTITUTE(SUBSTITUTE(Saisie_Questions!E87,"&amp;","&amp;amp;"),"&lt;","&amp;lt;"),"&gt;","&amp;gt;"),CHAR(34),"&amp;quot;"),"'","&amp;apos;"))</f>
        <v/>
      </c>
      <c r="M87" s="46">
        <f>IF(Saisie_Questions!F87="","",SUBSTITUTE(SUBSTITUTE(SUBSTITUTE(SUBSTITUTE(SUBSTITUTE(Saisie_Questions!F87,"&amp;","&amp;amp;"),"&lt;","&amp;lt;"),"&gt;","&amp;gt;"),CHAR(34),"&amp;quot;"),"'","&amp;apos;"))</f>
        <v/>
      </c>
      <c r="N87" s="46">
        <f>IF(Saisie_Questions!G87="","",SUBSTITUTE(SUBSTITUTE(SUBSTITUTE(SUBSTITUTE(SUBSTITUTE(Saisie_Questions!G87,"&amp;","&amp;amp;"),"&lt;","&amp;lt;"),"&gt;","&amp;gt;"),CHAR(34),"&amp;quot;"),"'","&amp;apos;"))</f>
        <v/>
      </c>
      <c r="O87" s="46">
        <f>IF(Saisie_Questions!H87="","",SUBSTITUTE(SUBSTITUTE(SUBSTITUTE(SUBSTITUTE(SUBSTITUTE(Saisie_Questions!H87,"&amp;","&amp;amp;"),"&lt;","&amp;lt;"),"&gt;","&amp;gt;"),CHAR(34),"&amp;quot;"),"'","&amp;apos;"))</f>
        <v/>
      </c>
      <c r="P87" s="46">
        <f>IF(Saisie_Questions!I87="","",SUBSTITUTE(SUBSTITUTE(SUBSTITUTE(SUBSTITUTE(SUBSTITUTE(Saisie_Questions!I87,"&amp;","&amp;amp;"),"&lt;","&amp;lt;"),"&gt;","&amp;gt;"),CHAR(34),"&amp;quot;"),"'","&amp;apos;"))</f>
        <v/>
      </c>
      <c r="Q87" s="46">
        <f>IF(Saisie_Questions!J87="","",SUBSTITUTE(SUBSTITUTE(SUBSTITUTE(SUBSTITUTE(SUBSTITUTE(Saisie_Questions!J87,"&amp;","&amp;amp;"),"&lt;","&amp;lt;"),"&gt;","&amp;gt;"),CHAR(34),"&amp;quot;"),"'","&amp;apos;"))</f>
        <v/>
      </c>
      <c r="R87" s="46">
        <f>IF(Saisie_Questions!K87="","",SUBSTITUTE(SUBSTITUTE(SUBSTITUTE(SUBSTITUTE(SUBSTITUTE(Saisie_Questions!K87,"&amp;","&amp;amp;"),"&lt;","&amp;lt;"),"&gt;","&amp;gt;"),CHAR(34),"&amp;quot;"),"'","&amp;apos;"))</f>
        <v/>
      </c>
      <c r="S87" s="46">
        <f>IF(Saisie_Questions!L87="","",SUBSTITUTE(SUBSTITUTE(SUBSTITUTE(SUBSTITUTE(SUBSTITUTE(Saisie_Questions!L87,"&amp;","&amp;amp;"),"&lt;","&amp;lt;"),"&gt;","&amp;gt;"),CHAR(34),"&amp;quot;"),"'","&amp;apos;"))</f>
        <v/>
      </c>
      <c r="T87" s="46">
        <f>ISNUMBER(SEARCH(";"&amp;1&amp;";",";"&amp;$J87&amp;";"))</f>
        <v/>
      </c>
      <c r="U87" s="46">
        <f>ISNUMBER(SEARCH(";"&amp;2&amp;";",";"&amp;$J87&amp;";"))</f>
        <v/>
      </c>
      <c r="V87" s="46">
        <f>ISNUMBER(SEARCH(";"&amp;3&amp;";",";"&amp;$J87&amp;";"))</f>
        <v/>
      </c>
      <c r="W87" s="46">
        <f>ISNUMBER(SEARCH(";"&amp;4&amp;";",";"&amp;$J87&amp;";"))</f>
        <v/>
      </c>
      <c r="X87" s="46">
        <f>ISNUMBER(SEARCH(";"&amp;5&amp;";",";"&amp;$J87&amp;";"))</f>
        <v/>
      </c>
      <c r="Y87" s="46">
        <f>ISNUMBER(SEARCH(";"&amp;6&amp;";",";"&amp;$J87&amp;";"))</f>
        <v/>
      </c>
      <c r="Z87" s="46">
        <f>ISNUMBER(SEARCH(";"&amp;7&amp;";",";"&amp;$J87&amp;";"))</f>
        <v/>
      </c>
      <c r="AA87" s="46">
        <f>ISNUMBER(SEARCH(";"&amp;8&amp;";",";"&amp;$J87&amp;";"))</f>
        <v/>
      </c>
      <c r="AB87" s="46">
        <f>IF($B87,IF(L87="","","        &lt;response_label ident=""0""&gt;&lt;material&gt;&lt;mattext texttype=""text/html""&gt;"&amp;L87&amp;"&lt;/mattext&gt;&lt;/material&gt;&lt;/response_label&gt;"),"")</f>
        <v/>
      </c>
      <c r="AC87" s="46">
        <f>IF($B87,IF(M87="","","        &lt;response_label ident=""1""&gt;&lt;material&gt;&lt;mattext texttype=""text/html""&gt;"&amp;M87&amp;"&lt;/mattext&gt;&lt;/material&gt;&lt;/response_label&gt;"),"")</f>
        <v/>
      </c>
      <c r="AD87" s="46">
        <f>IF($B87,IF(N87="","","        &lt;response_label ident=""2""&gt;&lt;material&gt;&lt;mattext texttype=""text/html""&gt;"&amp;N87&amp;"&lt;/mattext&gt;&lt;/material&gt;&lt;/response_label&gt;"),"")</f>
        <v/>
      </c>
      <c r="AE87" s="46">
        <f>IF($B87,IF(O87="","","        &lt;response_label ident=""3""&gt;&lt;material&gt;&lt;mattext texttype=""text/html""&gt;"&amp;O87&amp;"&lt;/mattext&gt;&lt;/material&gt;&lt;/response_label&gt;"),"")</f>
        <v/>
      </c>
      <c r="AF87" s="46">
        <f>IF($B87,IF(P87="","","        &lt;response_label ident=""4""&gt;&lt;material&gt;&lt;mattext texttype=""text/html""&gt;"&amp;P87&amp;"&lt;/mattext&gt;&lt;/material&gt;&lt;/response_label&gt;"),"")</f>
        <v/>
      </c>
      <c r="AG87" s="46">
        <f>IF($B87,IF(Q87="","","        &lt;response_label ident=""5""&gt;&lt;material&gt;&lt;mattext texttype=""text/html""&gt;"&amp;Q87&amp;"&lt;/mattext&gt;&lt;/material&gt;&lt;/response_label&gt;"),"")</f>
        <v/>
      </c>
      <c r="AH87" s="46">
        <f>IF($B87,IF(R87="","","        &lt;response_label ident=""6""&gt;&lt;material&gt;&lt;mattext texttype=""text/html""&gt;"&amp;R87&amp;"&lt;/mattext&gt;&lt;/material&gt;&lt;/response_label&gt;"),"")</f>
        <v/>
      </c>
      <c r="AI87" s="46">
        <f>IF($B87,IF(S87="","","        &lt;response_label ident=""7""&gt;&lt;material&gt;&lt;mattext texttype=""text/html""&gt;"&amp;S87&amp;"&lt;/mattext&gt;&lt;/material&gt;&lt;/response_label&gt;"),"")</f>
        <v/>
      </c>
      <c r="AJ87" s="46">
        <f>IF($B87,IF(L87="","",IF($C87="qcu",IF(OR(T87,AT87&lt;&gt;"",$AS87&lt;&gt;""),"      &lt;respcondition continue=""Yes""&gt;&lt;conditionvar&gt;&lt;varequal respident=""RESPONSE""&gt;0&lt;/varequal&gt;&lt;/conditionvar&gt;"&amp;"&lt;setvar action=""Add""&gt;"&amp;IF(T87,$H87,0)&amp;"&lt;/setvar&gt;"&amp;IF(AT87&lt;&gt;"","&lt;displayfeedback feedbacktype=""Response"" linkrefid=""response_0""/&gt;",IF($AS87&lt;&gt;"","&lt;displayfeedback feedbacktype=""Response"" linkrefid=""qti_feedback_trigger""/&gt;",""))&amp;"&lt;/respcondition&gt;",""),IF(OR(T87,AT87&lt;&gt;"",$AS87&lt;&gt;""),"      &lt;respcondition continue=""Yes""&gt;&lt;conditionvar&gt;"&amp;IF(T87,"&lt;varequal respident=""RESPONSE""&gt;0&lt;/varequal&gt;","&lt;not&gt;&lt;varequal respident=""RESPONSE""&gt;0&lt;/varequal&gt;&lt;/not&gt;")&amp;"&lt;/conditionvar&gt;&lt;setvar action=""Add""&gt;"&amp;(Saisie_Questions!$N87/$I87)&amp;"&lt;/setvar&gt;"&amp;IF(AT87&lt;&gt;"","&lt;displayfeedback feedbacktype=""Response"" linkrefid=""response_0""/&gt;",IF($AS87&lt;&gt;"","&lt;displayfeedback feedbacktype=""Response"" linkrefid=""qti_feedback_trigger""/&gt;",""))&amp;"&lt;/respcondition&gt;",""))),"")</f>
      </c>
      <c r="AK87" s="46">
        <f>IF($B87,IF(M87="","",IF($C87="qcu",IF(OR(U87,AU87&lt;&gt;"",$AS87&lt;&gt;""),"      &lt;respcondition continue=""Yes""&gt;&lt;conditionvar&gt;&lt;varequal respident=""RESPONSE""&gt;1&lt;/varequal&gt;&lt;/conditionvar&gt;"&amp;"&lt;setvar action=""Add""&gt;"&amp;IF(U87,$H87,0)&amp;"&lt;/setvar&gt;"&amp;IF(AU87&lt;&gt;"","&lt;displayfeedback feedbacktype=""Response"" linkrefid=""response_1""/&gt;",IF($AS87&lt;&gt;"","&lt;displayfeedback feedbacktype=""Response"" linkrefid=""qti_feedback_trigger""/&gt;",""))&amp;"&lt;/respcondition&gt;",""),IF(OR(U87,AU87&lt;&gt;"",$AS87&lt;&gt;""),"      &lt;respcondition continue=""Yes""&gt;&lt;conditionvar&gt;"&amp;IF(U87,"&lt;varequal respident=""RESPONSE""&gt;1&lt;/varequal&gt;","&lt;not&gt;&lt;varequal respident=""RESPONSE""&gt;1&lt;/varequal&gt;&lt;/not&gt;")&amp;"&lt;/conditionvar&gt;&lt;setvar action=""Add""&gt;"&amp;(Saisie_Questions!$N87/$I87)&amp;"&lt;/setvar&gt;"&amp;IF(AU87&lt;&gt;"","&lt;displayfeedback feedbacktype=""Response"" linkrefid=""response_1""/&gt;",IF($AS87&lt;&gt;"","&lt;displayfeedback feedbacktype=""Response"" linkrefid=""qti_feedback_trigger""/&gt;",""))&amp;"&lt;/respcondition&gt;",""))),"")</f>
      </c>
      <c r="AL87" s="46">
        <f>IF($B87,IF(N87="","",IF($C87="qcu",IF(OR(V87,AV87&lt;&gt;"",$AS87&lt;&gt;""),"      &lt;respcondition continue=""Yes""&gt;&lt;conditionvar&gt;&lt;varequal respident=""RESPONSE""&gt;2&lt;/varequal&gt;&lt;/conditionvar&gt;"&amp;"&lt;setvar action=""Add""&gt;"&amp;IF(V87,$H87,0)&amp;"&lt;/setvar&gt;"&amp;IF(AV87&lt;&gt;"","&lt;displayfeedback feedbacktype=""Response"" linkrefid=""response_2""/&gt;",IF($AS87&lt;&gt;"","&lt;displayfeedback feedbacktype=""Response"" linkrefid=""qti_feedback_trigger""/&gt;",""))&amp;"&lt;/respcondition&gt;",""),IF(OR(V87,AV87&lt;&gt;"",$AS87&lt;&gt;""),"      &lt;respcondition continue=""Yes""&gt;&lt;conditionvar&gt;"&amp;IF(V87,"&lt;varequal respident=""RESPONSE""&gt;2&lt;/varequal&gt;","&lt;not&gt;&lt;varequal respident=""RESPONSE""&gt;2&lt;/varequal&gt;&lt;/not&gt;")&amp;"&lt;/conditionvar&gt;&lt;setvar action=""Add""&gt;"&amp;(Saisie_Questions!$N87/$I87)&amp;"&lt;/setvar&gt;"&amp;IF(AV87&lt;&gt;"","&lt;displayfeedback feedbacktype=""Response"" linkrefid=""response_2""/&gt;",IF($AS87&lt;&gt;"","&lt;displayfeedback feedbacktype=""Response"" linkrefid=""qti_feedback_trigger""/&gt;",""))&amp;"&lt;/respcondition&gt;",""))),"")</f>
      </c>
      <c r="AM87" s="46">
        <f>IF($B87,IF(O87="","",IF($C87="qcu",IF(OR(W87,AW87&lt;&gt;"",$AS87&lt;&gt;""),"      &lt;respcondition continue=""Yes""&gt;&lt;conditionvar&gt;&lt;varequal respident=""RESPONSE""&gt;3&lt;/varequal&gt;&lt;/conditionvar&gt;"&amp;"&lt;setvar action=""Add""&gt;"&amp;IF(W87,$H87,0)&amp;"&lt;/setvar&gt;"&amp;IF(AW87&lt;&gt;"","&lt;displayfeedback feedbacktype=""Response"" linkrefid=""response_3""/&gt;",IF($AS87&lt;&gt;"","&lt;displayfeedback feedbacktype=""Response"" linkrefid=""qti_feedback_trigger""/&gt;",""))&amp;"&lt;/respcondition&gt;",""),IF(OR(W87,AW87&lt;&gt;"",$AS87&lt;&gt;""),"      &lt;respcondition continue=""Yes""&gt;&lt;conditionvar&gt;"&amp;IF(W87,"&lt;varequal respident=""RESPONSE""&gt;3&lt;/varequal&gt;","&lt;not&gt;&lt;varequal respident=""RESPONSE""&gt;3&lt;/varequal&gt;&lt;/not&gt;")&amp;"&lt;/conditionvar&gt;&lt;setvar action=""Add""&gt;"&amp;(Saisie_Questions!$N87/$I87)&amp;"&lt;/setvar&gt;"&amp;IF(AW87&lt;&gt;"","&lt;displayfeedback feedbacktype=""Response"" linkrefid=""response_3""/&gt;",IF($AS87&lt;&gt;"","&lt;displayfeedback feedbacktype=""Response"" linkrefid=""qti_feedback_trigger""/&gt;",""))&amp;"&lt;/respcondition&gt;",""))),"")</f>
      </c>
      <c r="AN87" s="46">
        <f>IF($B87,IF(P87="","",IF($C87="qcu",IF(OR(X87,AX87&lt;&gt;"",$AS87&lt;&gt;""),"      &lt;respcondition continue=""Yes""&gt;&lt;conditionvar&gt;&lt;varequal respident=""RESPONSE""&gt;4&lt;/varequal&gt;&lt;/conditionvar&gt;"&amp;"&lt;setvar action=""Add""&gt;"&amp;IF(X87,$H87,0)&amp;"&lt;/setvar&gt;"&amp;IF(AX87&lt;&gt;"","&lt;displayfeedback feedbacktype=""Response"" linkrefid=""response_4""/&gt;",IF($AS87&lt;&gt;"","&lt;displayfeedback feedbacktype=""Response"" linkrefid=""qti_feedback_trigger""/&gt;",""))&amp;"&lt;/respcondition&gt;",""),IF(OR(X87,AX87&lt;&gt;"",$AS87&lt;&gt;""),"      &lt;respcondition continue=""Yes""&gt;&lt;conditionvar&gt;"&amp;IF(X87,"&lt;varequal respident=""RESPONSE""&gt;4&lt;/varequal&gt;","&lt;not&gt;&lt;varequal respident=""RESPONSE""&gt;4&lt;/varequal&gt;&lt;/not&gt;")&amp;"&lt;/conditionvar&gt;&lt;setvar action=""Add""&gt;"&amp;(Saisie_Questions!$N87/$I87)&amp;"&lt;/setvar&gt;"&amp;IF(AX87&lt;&gt;"","&lt;displayfeedback feedbacktype=""Response"" linkrefid=""response_4""/&gt;",IF($AS87&lt;&gt;"","&lt;displayfeedback feedbacktype=""Response"" linkrefid=""qti_feedback_trigger""/&gt;",""))&amp;"&lt;/respcondition&gt;",""))),"")</f>
      </c>
      <c r="AO87" s="46">
        <f>IF($B87,IF(Q87="","",IF($C87="qcu",IF(OR(Y87,AY87&lt;&gt;"",$AS87&lt;&gt;""),"      &lt;respcondition continue=""Yes""&gt;&lt;conditionvar&gt;&lt;varequal respident=""RESPONSE""&gt;5&lt;/varequal&gt;&lt;/conditionvar&gt;"&amp;"&lt;setvar action=""Add""&gt;"&amp;IF(Y87,$H87,0)&amp;"&lt;/setvar&gt;"&amp;IF(AY87&lt;&gt;"","&lt;displayfeedback feedbacktype=""Response"" linkrefid=""response_5""/&gt;",IF($AS87&lt;&gt;"","&lt;displayfeedback feedbacktype=""Response"" linkrefid=""qti_feedback_trigger""/&gt;",""))&amp;"&lt;/respcondition&gt;",""),IF(OR(Y87,AY87&lt;&gt;"",$AS87&lt;&gt;""),"      &lt;respcondition continue=""Yes""&gt;&lt;conditionvar&gt;"&amp;IF(Y87,"&lt;varequal respident=""RESPONSE""&gt;5&lt;/varequal&gt;","&lt;not&gt;&lt;varequal respident=""RESPONSE""&gt;5&lt;/varequal&gt;&lt;/not&gt;")&amp;"&lt;/conditionvar&gt;&lt;setvar action=""Add""&gt;"&amp;(Saisie_Questions!$N87/$I87)&amp;"&lt;/setvar&gt;"&amp;IF(AY87&lt;&gt;"","&lt;displayfeedback feedbacktype=""Response"" linkrefid=""response_5""/&gt;",IF($AS87&lt;&gt;"","&lt;displayfeedback feedbacktype=""Response"" linkrefid=""qti_feedback_trigger""/&gt;",""))&amp;"&lt;/respcondition&gt;",""))),"")</f>
      </c>
      <c r="AP87" s="46">
        <f>IF($B87,IF(R87="","",IF($C87="qcu",IF(OR(Z87,AZ87&lt;&gt;"",$AS87&lt;&gt;""),"      &lt;respcondition continue=""Yes""&gt;&lt;conditionvar&gt;&lt;varequal respident=""RESPONSE""&gt;6&lt;/varequal&gt;&lt;/conditionvar&gt;"&amp;"&lt;setvar action=""Add""&gt;"&amp;IF(Z87,$H87,0)&amp;"&lt;/setvar&gt;"&amp;IF(AZ87&lt;&gt;"","&lt;displayfeedback feedbacktype=""Response"" linkrefid=""response_6""/&gt;",IF($AS87&lt;&gt;"","&lt;displayfeedback feedbacktype=""Response"" linkrefid=""qti_feedback_trigger""/&gt;",""))&amp;"&lt;/respcondition&gt;",""),IF(OR(Z87,AZ87&lt;&gt;"",$AS87&lt;&gt;""),"      &lt;respcondition continue=""Yes""&gt;&lt;conditionvar&gt;"&amp;IF(Z87,"&lt;varequal respident=""RESPONSE""&gt;6&lt;/varequal&gt;","&lt;not&gt;&lt;varequal respident=""RESPONSE""&gt;6&lt;/varequal&gt;&lt;/not&gt;")&amp;"&lt;/conditionvar&gt;&lt;setvar action=""Add""&gt;"&amp;(Saisie_Questions!$N87/$I87)&amp;"&lt;/setvar&gt;"&amp;IF(AZ87&lt;&gt;"","&lt;displayfeedback feedbacktype=""Response"" linkrefid=""response_6""/&gt;",IF($AS87&lt;&gt;"","&lt;displayfeedback feedbacktype=""Response"" linkrefid=""qti_feedback_trigger""/&gt;",""))&amp;"&lt;/respcondition&gt;",""))),"")</f>
      </c>
      <c r="AQ87" s="46">
        <f>IF($B87,IF(S87="","",IF($C87="qcu",IF(OR(AA87,BA87&lt;&gt;"",$AS87&lt;&gt;""),"      &lt;respcondition continue=""Yes""&gt;&lt;conditionvar&gt;&lt;varequal respident=""RESPONSE""&gt;7&lt;/varequal&gt;&lt;/conditionvar&gt;"&amp;"&lt;setvar action=""Add""&gt;"&amp;IF(AA87,$H87,0)&amp;"&lt;/setvar&gt;"&amp;IF(BA87&lt;&gt;"","&lt;displayfeedback feedbacktype=""Response"" linkrefid=""response_7""/&gt;",IF($AS87&lt;&gt;"","&lt;displayfeedback feedbacktype=""Response"" linkrefid=""qti_feedback_trigger""/&gt;",""))&amp;"&lt;/respcondition&gt;",""),IF(OR(AA87,BA87&lt;&gt;"",$AS87&lt;&gt;""),"      &lt;respcondition continue=""Yes""&gt;&lt;conditionvar&gt;"&amp;IF(AA87,"&lt;varequal respident=""RESPONSE""&gt;7&lt;/varequal&gt;","&lt;not&gt;&lt;varequal respident=""RESPONSE""&gt;7&lt;/varequal&gt;&lt;/not&gt;")&amp;"&lt;/conditionvar&gt;&lt;setvar action=""Add""&gt;"&amp;(Saisie_Questions!$N87/$I87)&amp;"&lt;/setvar&gt;"&amp;IF(BA87&lt;&gt;"","&lt;displayfeedback feedbacktype=""Response"" linkrefid=""response_7""/&gt;",IF($AS87&lt;&gt;"","&lt;displayfeedback feedbacktype=""Response"" linkrefid=""qti_feedback_trigger""/&gt;",""))&amp;"&lt;/respcondition&gt;",""))),"")</f>
      </c>
      <c r="AR87" s="46">
        <f>IF(A87="","",SUBSTITUTE(SUBSTITUTE(SUBSTITUTE(SUBSTITUTE(SUBSTITUTE(IF(Saisie_Questions!P87&lt;&gt;"",Saisie_Questions!P87,Interface_Generation!$B$5),"&amp;","&amp;amp;"),"&lt;","&amp;lt;"),"&gt;","&amp;gt;"),CHAR(34),"&amp;quot;"),"'","&amp;apos;"))</f>
        <v/>
      </c>
      <c r="AS87" s="46">
        <f>IF(Saisie_Questions!Q87="","",SUBSTITUTE(SUBSTITUTE(SUBSTITUTE(SUBSTITUTE(SUBSTITUTE(Saisie_Questions!Q87,"&amp;","&amp;amp;"),"&lt;","&amp;lt;"),"&gt;","&amp;gt;"),CHAR(34),"&amp;quot;"),"'","&amp;apos;"))</f>
        <v/>
      </c>
      <c r="AT87" s="46">
        <f>IF(Saisie_Questions!R87="","",SUBSTITUTE(SUBSTITUTE(SUBSTITUTE(SUBSTITUTE(SUBSTITUTE(Saisie_Questions!R87,"&amp;","&amp;amp;"),"&lt;","&amp;lt;"),"&gt;","&amp;gt;"),CHAR(34),"&amp;quot;"),"'","&amp;apos;"))</f>
        <v/>
      </c>
      <c r="AU87" s="46">
        <f>IF(Saisie_Questions!S87="","",SUBSTITUTE(SUBSTITUTE(SUBSTITUTE(SUBSTITUTE(SUBSTITUTE(Saisie_Questions!S87,"&amp;","&amp;amp;"),"&lt;","&amp;lt;"),"&gt;","&amp;gt;"),CHAR(34),"&amp;quot;"),"'","&amp;apos;"))</f>
        <v/>
      </c>
      <c r="AV87" s="46">
        <f>IF(Saisie_Questions!T87="","",SUBSTITUTE(SUBSTITUTE(SUBSTITUTE(SUBSTITUTE(SUBSTITUTE(Saisie_Questions!T87,"&amp;","&amp;amp;"),"&lt;","&amp;lt;"),"&gt;","&amp;gt;"),CHAR(34),"&amp;quot;"),"'","&amp;apos;"))</f>
        <v/>
      </c>
      <c r="AW87" s="46">
        <f>IF(Saisie_Questions!U87="","",SUBSTITUTE(SUBSTITUTE(SUBSTITUTE(SUBSTITUTE(SUBSTITUTE(Saisie_Questions!U87,"&amp;","&amp;amp;"),"&lt;","&amp;lt;"),"&gt;","&amp;gt;"),CHAR(34),"&amp;quot;"),"'","&amp;apos;"))</f>
        <v/>
      </c>
      <c r="AX87" s="46">
        <f>IF(Saisie_Questions!V87="","",SUBSTITUTE(SUBSTITUTE(SUBSTITUTE(SUBSTITUTE(SUBSTITUTE(Saisie_Questions!V87,"&amp;","&amp;amp;"),"&lt;","&amp;lt;"),"&gt;","&amp;gt;"),CHAR(34),"&amp;quot;"),"'","&amp;apos;"))</f>
        <v/>
      </c>
      <c r="AY87" s="46">
        <f>IF(Saisie_Questions!W87="","",SUBSTITUTE(SUBSTITUTE(SUBSTITUTE(SUBSTITUTE(SUBSTITUTE(Saisie_Questions!W87,"&amp;","&amp;amp;"),"&lt;","&amp;lt;"),"&gt;","&amp;gt;"),CHAR(34),"&amp;quot;"),"'","&amp;apos;"))</f>
        <v/>
      </c>
      <c r="AZ87" s="46">
        <f>IF(Saisie_Questions!X87="","",SUBSTITUTE(SUBSTITUTE(SUBSTITUTE(SUBSTITUTE(SUBSTITUTE(Saisie_Questions!X87,"&amp;","&amp;amp;"),"&lt;","&amp;lt;"),"&gt;","&amp;gt;"),CHAR(34),"&amp;quot;"),"'","&amp;apos;"))</f>
        <v/>
      </c>
      <c r="BA87" s="46">
        <f>IF(Saisie_Questions!Y87="","",SUBSTITUTE(SUBSTITUTE(SUBSTITUTE(SUBSTITUTE(SUBSTITUTE(Saisie_Questions!Y87,"&amp;","&amp;amp;"),"&lt;","&amp;lt;"),"&gt;","&amp;gt;"),CHAR(34),"&amp;quot;"),"'","&amp;apos;"))</f>
        <v/>
      </c>
      <c r="BB87" s="46">
        <f>IF($B87,IF($AS87="","","    &lt;itemfeedback ident=""response_allcorrect"" view=""All""&gt;&lt;flow_mat&gt;&lt;material&gt;&lt;mattext texttype=""text/html""&gt;"&amp;$AS87&amp;"&lt;/mattext&gt;&lt;/material&gt;&lt;/flow_mat&gt;&lt;/itemfeedback&gt;"&amp;"    &lt;itemfeedback ident=""response_onenotcorrect"" view=""All""&gt;&lt;flow_mat&gt;&lt;material&gt;&lt;mattext texttype=""text/html""&gt;"&amp;$AS87&amp;"&lt;/mattext&gt;&lt;/material&gt;&lt;/flow_mat&gt;&lt;/itemfeedback&gt;"),"")</f>
      </c>
      <c r="BC87" s="46">
        <f>IF($B87,IF(AT87="","","    &lt;itemfeedback ident=""response_0"" view=""All""&gt;&lt;flow_mat&gt;&lt;material&gt;&lt;mattext texttype=""text/html""&gt;"&amp;AT87&amp;"&lt;/mattext&gt;&lt;/material&gt;&lt;/flow_mat&gt;&lt;/itemfeedback&gt;"),"")</f>
      </c>
      <c r="BD87" s="46">
        <f>IF($B87,IF(AU87="","","    &lt;itemfeedback ident=""response_1"" view=""All""&gt;&lt;flow_mat&gt;&lt;material&gt;&lt;mattext texttype=""text/html""&gt;"&amp;AU87&amp;"&lt;/mattext&gt;&lt;/material&gt;&lt;/flow_mat&gt;&lt;/itemfeedback&gt;"),"")</f>
      </c>
      <c r="BE87" s="46">
        <f>IF($B87,IF(AV87="","","    &lt;itemfeedback ident=""response_2"" view=""All""&gt;&lt;flow_mat&gt;&lt;material&gt;&lt;mattext texttype=""text/html""&gt;"&amp;AV87&amp;"&lt;/mattext&gt;&lt;/material&gt;&lt;/flow_mat&gt;&lt;/itemfeedback&gt;"),"")</f>
      </c>
      <c r="BF87" s="46">
        <f>IF($B87,IF(AW87="","","    &lt;itemfeedback ident=""response_3"" view=""All""&gt;&lt;flow_mat&gt;&lt;material&gt;&lt;mattext texttype=""text/html""&gt;"&amp;AW87&amp;"&lt;/mattext&gt;&lt;/material&gt;&lt;/flow_mat&gt;&lt;/itemfeedback&gt;"),"")</f>
      </c>
      <c r="BG87" s="46">
        <f>IF($B87,IF(AX87="","","    &lt;itemfeedback ident=""response_4"" view=""All""&gt;&lt;flow_mat&gt;&lt;material&gt;&lt;mattext texttype=""text/html""&gt;"&amp;AX87&amp;"&lt;/mattext&gt;&lt;/material&gt;&lt;/flow_mat&gt;&lt;/itemfeedback&gt;"),"")</f>
      </c>
      <c r="BH87" s="46">
        <f>IF($B87,IF(AY87="","","    &lt;itemfeedback ident=""response_5"" view=""All""&gt;&lt;flow_mat&gt;&lt;material&gt;&lt;mattext texttype=""text/html""&gt;"&amp;AY87&amp;"&lt;/mattext&gt;&lt;/material&gt;&lt;/flow_mat&gt;&lt;/itemfeedback&gt;"),"")</f>
      </c>
      <c r="BI87" s="46">
        <f>IF($B87,IF(AZ87="","","    &lt;itemfeedback ident=""response_6"" view=""All""&gt;&lt;flow_mat&gt;&lt;material&gt;&lt;mattext texttype=""text/html""&gt;"&amp;AZ87&amp;"&lt;/mattext&gt;&lt;/material&gt;&lt;/flow_mat&gt;&lt;/itemfeedback&gt;"),"")</f>
      </c>
      <c r="BJ87" s="46">
        <f>IF($B87,IF(BA87="","","    &lt;itemfeedback ident=""response_7"" view=""All""&gt;&lt;flow_mat&gt;&lt;material&gt;&lt;mattext texttype=""text/html""&gt;"&amp;BA87&amp;"&lt;/mattext&gt;&lt;/material&gt;&lt;/flow_mat&gt;&lt;/itemfeedback&gt;"),"")</f>
      </c>
    </row>
    <row r="88" ht="18" customHeight="1" s="17">
      <c r="A88" s="46">
        <f>Saisie_Questions!A88</f>
        <v/>
      </c>
      <c r="B88" s="46">
        <f>Saisie_Questions!O88="OK"</f>
        <v/>
      </c>
      <c r="C88" s="46">
        <f>LOWER(TRIM(Saisie_Questions!B88))</f>
        <v/>
      </c>
      <c r="D88" s="46">
        <f>IF(C88="qcu","SINGLE CHOICE QUESTION","MULTIPLE CHOICE QUESTION")</f>
        <v/>
      </c>
      <c r="E88" s="46">
        <f>IF(C88="qcu","Single","Multiple")</f>
        <v/>
      </c>
      <c r="F88" s="46">
        <f>IF(A88="","",SUBSTITUTE(SUBSTITUTE(SUBSTITUTE(SUBSTITUTE(SUBSTITUTE(IF(Saisie_Questions!C88="", "Question "&amp;A88, Saisie_Questions!C88),"&amp;","&amp;amp;"),"&lt;","&amp;lt;"),"&gt;","&amp;gt;"),CHAR(34),"&amp;quot;"),"'","&amp;apos;"))</f>
        <v/>
      </c>
      <c r="G88" s="46">
        <f>IF(A88="","",SUBSTITUTE(SUBSTITUTE(SUBSTITUTE(SUBSTITUTE(SUBSTITUTE(Saisie_Questions!D88,"&amp;","&amp;amp;"),"&lt;","&amp;lt;"),"&gt;","&amp;gt;"),CHAR(34),"&amp;quot;"),"'","&amp;apos;"))</f>
        <v/>
      </c>
      <c r="H88" s="46">
        <f>Saisie_Questions!N88</f>
        <v/>
      </c>
      <c r="I88" s="46">
        <f>IF(Saisie_Questions!E88="",0,1)+IF(Saisie_Questions!F88="",0,1)+IF(Saisie_Questions!G88="",0,1)+IF(Saisie_Questions!H88="",0,1)+IF(Saisie_Questions!I88="",0,1)+IF(Saisie_Questions!J88="",0,1)+IF(Saisie_Questions!K88="",0,1)+IF(Saisie_Questions!L88="",0,1)</f>
        <v/>
      </c>
      <c r="J88" s="46">
        <f>Saisie_Questions!M88</f>
        <v/>
      </c>
      <c r="K88" s="46">
        <f>Saisie_Questions!O88</f>
        <v/>
      </c>
      <c r="L88" s="46">
        <f>IF(Saisie_Questions!E88="","",SUBSTITUTE(SUBSTITUTE(SUBSTITUTE(SUBSTITUTE(SUBSTITUTE(Saisie_Questions!E88,"&amp;","&amp;amp;"),"&lt;","&amp;lt;"),"&gt;","&amp;gt;"),CHAR(34),"&amp;quot;"),"'","&amp;apos;"))</f>
        <v/>
      </c>
      <c r="M88" s="46">
        <f>IF(Saisie_Questions!F88="","",SUBSTITUTE(SUBSTITUTE(SUBSTITUTE(SUBSTITUTE(SUBSTITUTE(Saisie_Questions!F88,"&amp;","&amp;amp;"),"&lt;","&amp;lt;"),"&gt;","&amp;gt;"),CHAR(34),"&amp;quot;"),"'","&amp;apos;"))</f>
        <v/>
      </c>
      <c r="N88" s="46">
        <f>IF(Saisie_Questions!G88="","",SUBSTITUTE(SUBSTITUTE(SUBSTITUTE(SUBSTITUTE(SUBSTITUTE(Saisie_Questions!G88,"&amp;","&amp;amp;"),"&lt;","&amp;lt;"),"&gt;","&amp;gt;"),CHAR(34),"&amp;quot;"),"'","&amp;apos;"))</f>
        <v/>
      </c>
      <c r="O88" s="46">
        <f>IF(Saisie_Questions!H88="","",SUBSTITUTE(SUBSTITUTE(SUBSTITUTE(SUBSTITUTE(SUBSTITUTE(Saisie_Questions!H88,"&amp;","&amp;amp;"),"&lt;","&amp;lt;"),"&gt;","&amp;gt;"),CHAR(34),"&amp;quot;"),"'","&amp;apos;"))</f>
        <v/>
      </c>
      <c r="P88" s="46">
        <f>IF(Saisie_Questions!I88="","",SUBSTITUTE(SUBSTITUTE(SUBSTITUTE(SUBSTITUTE(SUBSTITUTE(Saisie_Questions!I88,"&amp;","&amp;amp;"),"&lt;","&amp;lt;"),"&gt;","&amp;gt;"),CHAR(34),"&amp;quot;"),"'","&amp;apos;"))</f>
        <v/>
      </c>
      <c r="Q88" s="46">
        <f>IF(Saisie_Questions!J88="","",SUBSTITUTE(SUBSTITUTE(SUBSTITUTE(SUBSTITUTE(SUBSTITUTE(Saisie_Questions!J88,"&amp;","&amp;amp;"),"&lt;","&amp;lt;"),"&gt;","&amp;gt;"),CHAR(34),"&amp;quot;"),"'","&amp;apos;"))</f>
        <v/>
      </c>
      <c r="R88" s="46">
        <f>IF(Saisie_Questions!K88="","",SUBSTITUTE(SUBSTITUTE(SUBSTITUTE(SUBSTITUTE(SUBSTITUTE(Saisie_Questions!K88,"&amp;","&amp;amp;"),"&lt;","&amp;lt;"),"&gt;","&amp;gt;"),CHAR(34),"&amp;quot;"),"'","&amp;apos;"))</f>
        <v/>
      </c>
      <c r="S88" s="46">
        <f>IF(Saisie_Questions!L88="","",SUBSTITUTE(SUBSTITUTE(SUBSTITUTE(SUBSTITUTE(SUBSTITUTE(Saisie_Questions!L88,"&amp;","&amp;amp;"),"&lt;","&amp;lt;"),"&gt;","&amp;gt;"),CHAR(34),"&amp;quot;"),"'","&amp;apos;"))</f>
        <v/>
      </c>
      <c r="T88" s="46">
        <f>ISNUMBER(SEARCH(";"&amp;1&amp;";",";"&amp;$J88&amp;";"))</f>
        <v/>
      </c>
      <c r="U88" s="46">
        <f>ISNUMBER(SEARCH(";"&amp;2&amp;";",";"&amp;$J88&amp;";"))</f>
        <v/>
      </c>
      <c r="V88" s="46">
        <f>ISNUMBER(SEARCH(";"&amp;3&amp;";",";"&amp;$J88&amp;";"))</f>
        <v/>
      </c>
      <c r="W88" s="46">
        <f>ISNUMBER(SEARCH(";"&amp;4&amp;";",";"&amp;$J88&amp;";"))</f>
        <v/>
      </c>
      <c r="X88" s="46">
        <f>ISNUMBER(SEARCH(";"&amp;5&amp;";",";"&amp;$J88&amp;";"))</f>
        <v/>
      </c>
      <c r="Y88" s="46">
        <f>ISNUMBER(SEARCH(";"&amp;6&amp;";",";"&amp;$J88&amp;";"))</f>
        <v/>
      </c>
      <c r="Z88" s="46">
        <f>ISNUMBER(SEARCH(";"&amp;7&amp;";",";"&amp;$J88&amp;";"))</f>
        <v/>
      </c>
      <c r="AA88" s="46">
        <f>ISNUMBER(SEARCH(";"&amp;8&amp;";",";"&amp;$J88&amp;";"))</f>
        <v/>
      </c>
      <c r="AB88" s="46">
        <f>IF($B88,IF(L88="","","        &lt;response_label ident=""0""&gt;&lt;material&gt;&lt;mattext texttype=""text/html""&gt;"&amp;L88&amp;"&lt;/mattext&gt;&lt;/material&gt;&lt;/response_label&gt;"),"")</f>
        <v/>
      </c>
      <c r="AC88" s="46">
        <f>IF($B88,IF(M88="","","        &lt;response_label ident=""1""&gt;&lt;material&gt;&lt;mattext texttype=""text/html""&gt;"&amp;M88&amp;"&lt;/mattext&gt;&lt;/material&gt;&lt;/response_label&gt;"),"")</f>
        <v/>
      </c>
      <c r="AD88" s="46">
        <f>IF($B88,IF(N88="","","        &lt;response_label ident=""2""&gt;&lt;material&gt;&lt;mattext texttype=""text/html""&gt;"&amp;N88&amp;"&lt;/mattext&gt;&lt;/material&gt;&lt;/response_label&gt;"),"")</f>
        <v/>
      </c>
      <c r="AE88" s="46">
        <f>IF($B88,IF(O88="","","        &lt;response_label ident=""3""&gt;&lt;material&gt;&lt;mattext texttype=""text/html""&gt;"&amp;O88&amp;"&lt;/mattext&gt;&lt;/material&gt;&lt;/response_label&gt;"),"")</f>
        <v/>
      </c>
      <c r="AF88" s="46">
        <f>IF($B88,IF(P88="","","        &lt;response_label ident=""4""&gt;&lt;material&gt;&lt;mattext texttype=""text/html""&gt;"&amp;P88&amp;"&lt;/mattext&gt;&lt;/material&gt;&lt;/response_label&gt;"),"")</f>
        <v/>
      </c>
      <c r="AG88" s="46">
        <f>IF($B88,IF(Q88="","","        &lt;response_label ident=""5""&gt;&lt;material&gt;&lt;mattext texttype=""text/html""&gt;"&amp;Q88&amp;"&lt;/mattext&gt;&lt;/material&gt;&lt;/response_label&gt;"),"")</f>
        <v/>
      </c>
      <c r="AH88" s="46">
        <f>IF($B88,IF(R88="","","        &lt;response_label ident=""6""&gt;&lt;material&gt;&lt;mattext texttype=""text/html""&gt;"&amp;R88&amp;"&lt;/mattext&gt;&lt;/material&gt;&lt;/response_label&gt;"),"")</f>
        <v/>
      </c>
      <c r="AI88" s="46">
        <f>IF($B88,IF(S88="","","        &lt;response_label ident=""7""&gt;&lt;material&gt;&lt;mattext texttype=""text/html""&gt;"&amp;S88&amp;"&lt;/mattext&gt;&lt;/material&gt;&lt;/response_label&gt;"),"")</f>
        <v/>
      </c>
      <c r="AJ88" s="46">
        <f>IF($B88,IF(L88="","",IF($C88="qcu",IF(OR(T88,AT88&lt;&gt;"",$AS88&lt;&gt;""),"      &lt;respcondition continue=""Yes""&gt;&lt;conditionvar&gt;&lt;varequal respident=""RESPONSE""&gt;0&lt;/varequal&gt;&lt;/conditionvar&gt;"&amp;"&lt;setvar action=""Add""&gt;"&amp;IF(T88,$H88,0)&amp;"&lt;/setvar&gt;"&amp;IF(AT88&lt;&gt;"","&lt;displayfeedback feedbacktype=""Response"" linkrefid=""response_0""/&gt;",IF($AS88&lt;&gt;"","&lt;displayfeedback feedbacktype=""Response"" linkrefid=""qti_feedback_trigger""/&gt;",""))&amp;"&lt;/respcondition&gt;",""),IF(OR(T88,AT88&lt;&gt;"",$AS88&lt;&gt;""),"      &lt;respcondition continue=""Yes""&gt;&lt;conditionvar&gt;"&amp;IF(T88,"&lt;varequal respident=""RESPONSE""&gt;0&lt;/varequal&gt;","&lt;not&gt;&lt;varequal respident=""RESPONSE""&gt;0&lt;/varequal&gt;&lt;/not&gt;")&amp;"&lt;/conditionvar&gt;&lt;setvar action=""Add""&gt;"&amp;(Saisie_Questions!$N88/$I88)&amp;"&lt;/setvar&gt;"&amp;IF(AT88&lt;&gt;"","&lt;displayfeedback feedbacktype=""Response"" linkrefid=""response_0""/&gt;",IF($AS88&lt;&gt;"","&lt;displayfeedback feedbacktype=""Response"" linkrefid=""qti_feedback_trigger""/&gt;",""))&amp;"&lt;/respcondition&gt;",""))),"")</f>
      </c>
      <c r="AK88" s="46">
        <f>IF($B88,IF(M88="","",IF($C88="qcu",IF(OR(U88,AU88&lt;&gt;"",$AS88&lt;&gt;""),"      &lt;respcondition continue=""Yes""&gt;&lt;conditionvar&gt;&lt;varequal respident=""RESPONSE""&gt;1&lt;/varequal&gt;&lt;/conditionvar&gt;"&amp;"&lt;setvar action=""Add""&gt;"&amp;IF(U88,$H88,0)&amp;"&lt;/setvar&gt;"&amp;IF(AU88&lt;&gt;"","&lt;displayfeedback feedbacktype=""Response"" linkrefid=""response_1""/&gt;",IF($AS88&lt;&gt;"","&lt;displayfeedback feedbacktype=""Response"" linkrefid=""qti_feedback_trigger""/&gt;",""))&amp;"&lt;/respcondition&gt;",""),IF(OR(U88,AU88&lt;&gt;"",$AS88&lt;&gt;""),"      &lt;respcondition continue=""Yes""&gt;&lt;conditionvar&gt;"&amp;IF(U88,"&lt;varequal respident=""RESPONSE""&gt;1&lt;/varequal&gt;","&lt;not&gt;&lt;varequal respident=""RESPONSE""&gt;1&lt;/varequal&gt;&lt;/not&gt;")&amp;"&lt;/conditionvar&gt;&lt;setvar action=""Add""&gt;"&amp;(Saisie_Questions!$N88/$I88)&amp;"&lt;/setvar&gt;"&amp;IF(AU88&lt;&gt;"","&lt;displayfeedback feedbacktype=""Response"" linkrefid=""response_1""/&gt;",IF($AS88&lt;&gt;"","&lt;displayfeedback feedbacktype=""Response"" linkrefid=""qti_feedback_trigger""/&gt;",""))&amp;"&lt;/respcondition&gt;",""))),"")</f>
      </c>
      <c r="AL88" s="46">
        <f>IF($B88,IF(N88="","",IF($C88="qcu",IF(OR(V88,AV88&lt;&gt;"",$AS88&lt;&gt;""),"      &lt;respcondition continue=""Yes""&gt;&lt;conditionvar&gt;&lt;varequal respident=""RESPONSE""&gt;2&lt;/varequal&gt;&lt;/conditionvar&gt;"&amp;"&lt;setvar action=""Add""&gt;"&amp;IF(V88,$H88,0)&amp;"&lt;/setvar&gt;"&amp;IF(AV88&lt;&gt;"","&lt;displayfeedback feedbacktype=""Response"" linkrefid=""response_2""/&gt;",IF($AS88&lt;&gt;"","&lt;displayfeedback feedbacktype=""Response"" linkrefid=""qti_feedback_trigger""/&gt;",""))&amp;"&lt;/respcondition&gt;",""),IF(OR(V88,AV88&lt;&gt;"",$AS88&lt;&gt;""),"      &lt;respcondition continue=""Yes""&gt;&lt;conditionvar&gt;"&amp;IF(V88,"&lt;varequal respident=""RESPONSE""&gt;2&lt;/varequal&gt;","&lt;not&gt;&lt;varequal respident=""RESPONSE""&gt;2&lt;/varequal&gt;&lt;/not&gt;")&amp;"&lt;/conditionvar&gt;&lt;setvar action=""Add""&gt;"&amp;(Saisie_Questions!$N88/$I88)&amp;"&lt;/setvar&gt;"&amp;IF(AV88&lt;&gt;"","&lt;displayfeedback feedbacktype=""Response"" linkrefid=""response_2""/&gt;",IF($AS88&lt;&gt;"","&lt;displayfeedback feedbacktype=""Response"" linkrefid=""qti_feedback_trigger""/&gt;",""))&amp;"&lt;/respcondition&gt;",""))),"")</f>
      </c>
      <c r="AM88" s="46">
        <f>IF($B88,IF(O88="","",IF($C88="qcu",IF(OR(W88,AW88&lt;&gt;"",$AS88&lt;&gt;""),"      &lt;respcondition continue=""Yes""&gt;&lt;conditionvar&gt;&lt;varequal respident=""RESPONSE""&gt;3&lt;/varequal&gt;&lt;/conditionvar&gt;"&amp;"&lt;setvar action=""Add""&gt;"&amp;IF(W88,$H88,0)&amp;"&lt;/setvar&gt;"&amp;IF(AW88&lt;&gt;"","&lt;displayfeedback feedbacktype=""Response"" linkrefid=""response_3""/&gt;",IF($AS88&lt;&gt;"","&lt;displayfeedback feedbacktype=""Response"" linkrefid=""qti_feedback_trigger""/&gt;",""))&amp;"&lt;/respcondition&gt;",""),IF(OR(W88,AW88&lt;&gt;"",$AS88&lt;&gt;""),"      &lt;respcondition continue=""Yes""&gt;&lt;conditionvar&gt;"&amp;IF(W88,"&lt;varequal respident=""RESPONSE""&gt;3&lt;/varequal&gt;","&lt;not&gt;&lt;varequal respident=""RESPONSE""&gt;3&lt;/varequal&gt;&lt;/not&gt;")&amp;"&lt;/conditionvar&gt;&lt;setvar action=""Add""&gt;"&amp;(Saisie_Questions!$N88/$I88)&amp;"&lt;/setvar&gt;"&amp;IF(AW88&lt;&gt;"","&lt;displayfeedback feedbacktype=""Response"" linkrefid=""response_3""/&gt;",IF($AS88&lt;&gt;"","&lt;displayfeedback feedbacktype=""Response"" linkrefid=""qti_feedback_trigger""/&gt;",""))&amp;"&lt;/respcondition&gt;",""))),"")</f>
      </c>
      <c r="AN88" s="46">
        <f>IF($B88,IF(P88="","",IF($C88="qcu",IF(OR(X88,AX88&lt;&gt;"",$AS88&lt;&gt;""),"      &lt;respcondition continue=""Yes""&gt;&lt;conditionvar&gt;&lt;varequal respident=""RESPONSE""&gt;4&lt;/varequal&gt;&lt;/conditionvar&gt;"&amp;"&lt;setvar action=""Add""&gt;"&amp;IF(X88,$H88,0)&amp;"&lt;/setvar&gt;"&amp;IF(AX88&lt;&gt;"","&lt;displayfeedback feedbacktype=""Response"" linkrefid=""response_4""/&gt;",IF($AS88&lt;&gt;"","&lt;displayfeedback feedbacktype=""Response"" linkrefid=""qti_feedback_trigger""/&gt;",""))&amp;"&lt;/respcondition&gt;",""),IF(OR(X88,AX88&lt;&gt;"",$AS88&lt;&gt;""),"      &lt;respcondition continue=""Yes""&gt;&lt;conditionvar&gt;"&amp;IF(X88,"&lt;varequal respident=""RESPONSE""&gt;4&lt;/varequal&gt;","&lt;not&gt;&lt;varequal respident=""RESPONSE""&gt;4&lt;/varequal&gt;&lt;/not&gt;")&amp;"&lt;/conditionvar&gt;&lt;setvar action=""Add""&gt;"&amp;(Saisie_Questions!$N88/$I88)&amp;"&lt;/setvar&gt;"&amp;IF(AX88&lt;&gt;"","&lt;displayfeedback feedbacktype=""Response"" linkrefid=""response_4""/&gt;",IF($AS88&lt;&gt;"","&lt;displayfeedback feedbacktype=""Response"" linkrefid=""qti_feedback_trigger""/&gt;",""))&amp;"&lt;/respcondition&gt;",""))),"")</f>
      </c>
      <c r="AO88" s="46">
        <f>IF($B88,IF(Q88="","",IF($C88="qcu",IF(OR(Y88,AY88&lt;&gt;"",$AS88&lt;&gt;""),"      &lt;respcondition continue=""Yes""&gt;&lt;conditionvar&gt;&lt;varequal respident=""RESPONSE""&gt;5&lt;/varequal&gt;&lt;/conditionvar&gt;"&amp;"&lt;setvar action=""Add""&gt;"&amp;IF(Y88,$H88,0)&amp;"&lt;/setvar&gt;"&amp;IF(AY88&lt;&gt;"","&lt;displayfeedback feedbacktype=""Response"" linkrefid=""response_5""/&gt;",IF($AS88&lt;&gt;"","&lt;displayfeedback feedbacktype=""Response"" linkrefid=""qti_feedback_trigger""/&gt;",""))&amp;"&lt;/respcondition&gt;",""),IF(OR(Y88,AY88&lt;&gt;"",$AS88&lt;&gt;""),"      &lt;respcondition continue=""Yes""&gt;&lt;conditionvar&gt;"&amp;IF(Y88,"&lt;varequal respident=""RESPONSE""&gt;5&lt;/varequal&gt;","&lt;not&gt;&lt;varequal respident=""RESPONSE""&gt;5&lt;/varequal&gt;&lt;/not&gt;")&amp;"&lt;/conditionvar&gt;&lt;setvar action=""Add""&gt;"&amp;(Saisie_Questions!$N88/$I88)&amp;"&lt;/setvar&gt;"&amp;IF(AY88&lt;&gt;"","&lt;displayfeedback feedbacktype=""Response"" linkrefid=""response_5""/&gt;",IF($AS88&lt;&gt;"","&lt;displayfeedback feedbacktype=""Response"" linkrefid=""qti_feedback_trigger""/&gt;",""))&amp;"&lt;/respcondition&gt;",""))),"")</f>
      </c>
      <c r="AP88" s="46">
        <f>IF($B88,IF(R88="","",IF($C88="qcu",IF(OR(Z88,AZ88&lt;&gt;"",$AS88&lt;&gt;""),"      &lt;respcondition continue=""Yes""&gt;&lt;conditionvar&gt;&lt;varequal respident=""RESPONSE""&gt;6&lt;/varequal&gt;&lt;/conditionvar&gt;"&amp;"&lt;setvar action=""Add""&gt;"&amp;IF(Z88,$H88,0)&amp;"&lt;/setvar&gt;"&amp;IF(AZ88&lt;&gt;"","&lt;displayfeedback feedbacktype=""Response"" linkrefid=""response_6""/&gt;",IF($AS88&lt;&gt;"","&lt;displayfeedback feedbacktype=""Response"" linkrefid=""qti_feedback_trigger""/&gt;",""))&amp;"&lt;/respcondition&gt;",""),IF(OR(Z88,AZ88&lt;&gt;"",$AS88&lt;&gt;""),"      &lt;respcondition continue=""Yes""&gt;&lt;conditionvar&gt;"&amp;IF(Z88,"&lt;varequal respident=""RESPONSE""&gt;6&lt;/varequal&gt;","&lt;not&gt;&lt;varequal respident=""RESPONSE""&gt;6&lt;/varequal&gt;&lt;/not&gt;")&amp;"&lt;/conditionvar&gt;&lt;setvar action=""Add""&gt;"&amp;(Saisie_Questions!$N88/$I88)&amp;"&lt;/setvar&gt;"&amp;IF(AZ88&lt;&gt;"","&lt;displayfeedback feedbacktype=""Response"" linkrefid=""response_6""/&gt;",IF($AS88&lt;&gt;"","&lt;displayfeedback feedbacktype=""Response"" linkrefid=""qti_feedback_trigger""/&gt;",""))&amp;"&lt;/respcondition&gt;",""))),"")</f>
      </c>
      <c r="AQ88" s="46">
        <f>IF($B88,IF(S88="","",IF($C88="qcu",IF(OR(AA88,BA88&lt;&gt;"",$AS88&lt;&gt;""),"      &lt;respcondition continue=""Yes""&gt;&lt;conditionvar&gt;&lt;varequal respident=""RESPONSE""&gt;7&lt;/varequal&gt;&lt;/conditionvar&gt;"&amp;"&lt;setvar action=""Add""&gt;"&amp;IF(AA88,$H88,0)&amp;"&lt;/setvar&gt;"&amp;IF(BA88&lt;&gt;"","&lt;displayfeedback feedbacktype=""Response"" linkrefid=""response_7""/&gt;",IF($AS88&lt;&gt;"","&lt;displayfeedback feedbacktype=""Response"" linkrefid=""qti_feedback_trigger""/&gt;",""))&amp;"&lt;/respcondition&gt;",""),IF(OR(AA88,BA88&lt;&gt;"",$AS88&lt;&gt;""),"      &lt;respcondition continue=""Yes""&gt;&lt;conditionvar&gt;"&amp;IF(AA88,"&lt;varequal respident=""RESPONSE""&gt;7&lt;/varequal&gt;","&lt;not&gt;&lt;varequal respident=""RESPONSE""&gt;7&lt;/varequal&gt;&lt;/not&gt;")&amp;"&lt;/conditionvar&gt;&lt;setvar action=""Add""&gt;"&amp;(Saisie_Questions!$N88/$I88)&amp;"&lt;/setvar&gt;"&amp;IF(BA88&lt;&gt;"","&lt;displayfeedback feedbacktype=""Response"" linkrefid=""response_7""/&gt;",IF($AS88&lt;&gt;"","&lt;displayfeedback feedbacktype=""Response"" linkrefid=""qti_feedback_trigger""/&gt;",""))&amp;"&lt;/respcondition&gt;",""))),"")</f>
      </c>
      <c r="AR88" s="46">
        <f>IF(A88="","",SUBSTITUTE(SUBSTITUTE(SUBSTITUTE(SUBSTITUTE(SUBSTITUTE(IF(Saisie_Questions!P88&lt;&gt;"",Saisie_Questions!P88,Interface_Generation!$B$5),"&amp;","&amp;amp;"),"&lt;","&amp;lt;"),"&gt;","&amp;gt;"),CHAR(34),"&amp;quot;"),"'","&amp;apos;"))</f>
        <v/>
      </c>
      <c r="AS88" s="46">
        <f>IF(Saisie_Questions!Q88="","",SUBSTITUTE(SUBSTITUTE(SUBSTITUTE(SUBSTITUTE(SUBSTITUTE(Saisie_Questions!Q88,"&amp;","&amp;amp;"),"&lt;","&amp;lt;"),"&gt;","&amp;gt;"),CHAR(34),"&amp;quot;"),"'","&amp;apos;"))</f>
        <v/>
      </c>
      <c r="AT88" s="46">
        <f>IF(Saisie_Questions!R88="","",SUBSTITUTE(SUBSTITUTE(SUBSTITUTE(SUBSTITUTE(SUBSTITUTE(Saisie_Questions!R88,"&amp;","&amp;amp;"),"&lt;","&amp;lt;"),"&gt;","&amp;gt;"),CHAR(34),"&amp;quot;"),"'","&amp;apos;"))</f>
        <v/>
      </c>
      <c r="AU88" s="46">
        <f>IF(Saisie_Questions!S88="","",SUBSTITUTE(SUBSTITUTE(SUBSTITUTE(SUBSTITUTE(SUBSTITUTE(Saisie_Questions!S88,"&amp;","&amp;amp;"),"&lt;","&amp;lt;"),"&gt;","&amp;gt;"),CHAR(34),"&amp;quot;"),"'","&amp;apos;"))</f>
        <v/>
      </c>
      <c r="AV88" s="46">
        <f>IF(Saisie_Questions!T88="","",SUBSTITUTE(SUBSTITUTE(SUBSTITUTE(SUBSTITUTE(SUBSTITUTE(Saisie_Questions!T88,"&amp;","&amp;amp;"),"&lt;","&amp;lt;"),"&gt;","&amp;gt;"),CHAR(34),"&amp;quot;"),"'","&amp;apos;"))</f>
        <v/>
      </c>
      <c r="AW88" s="46">
        <f>IF(Saisie_Questions!U88="","",SUBSTITUTE(SUBSTITUTE(SUBSTITUTE(SUBSTITUTE(SUBSTITUTE(Saisie_Questions!U88,"&amp;","&amp;amp;"),"&lt;","&amp;lt;"),"&gt;","&amp;gt;"),CHAR(34),"&amp;quot;"),"'","&amp;apos;"))</f>
        <v/>
      </c>
      <c r="AX88" s="46">
        <f>IF(Saisie_Questions!V88="","",SUBSTITUTE(SUBSTITUTE(SUBSTITUTE(SUBSTITUTE(SUBSTITUTE(Saisie_Questions!V88,"&amp;","&amp;amp;"),"&lt;","&amp;lt;"),"&gt;","&amp;gt;"),CHAR(34),"&amp;quot;"),"'","&amp;apos;"))</f>
        <v/>
      </c>
      <c r="AY88" s="46">
        <f>IF(Saisie_Questions!W88="","",SUBSTITUTE(SUBSTITUTE(SUBSTITUTE(SUBSTITUTE(SUBSTITUTE(Saisie_Questions!W88,"&amp;","&amp;amp;"),"&lt;","&amp;lt;"),"&gt;","&amp;gt;"),CHAR(34),"&amp;quot;"),"'","&amp;apos;"))</f>
        <v/>
      </c>
      <c r="AZ88" s="46">
        <f>IF(Saisie_Questions!X88="","",SUBSTITUTE(SUBSTITUTE(SUBSTITUTE(SUBSTITUTE(SUBSTITUTE(Saisie_Questions!X88,"&amp;","&amp;amp;"),"&lt;","&amp;lt;"),"&gt;","&amp;gt;"),CHAR(34),"&amp;quot;"),"'","&amp;apos;"))</f>
        <v/>
      </c>
      <c r="BA88" s="46">
        <f>IF(Saisie_Questions!Y88="","",SUBSTITUTE(SUBSTITUTE(SUBSTITUTE(SUBSTITUTE(SUBSTITUTE(Saisie_Questions!Y88,"&amp;","&amp;amp;"),"&lt;","&amp;lt;"),"&gt;","&amp;gt;"),CHAR(34),"&amp;quot;"),"'","&amp;apos;"))</f>
        <v/>
      </c>
      <c r="BB88" s="46">
        <f>IF($B88,IF($AS88="","","    &lt;itemfeedback ident=""response_allcorrect"" view=""All""&gt;&lt;flow_mat&gt;&lt;material&gt;&lt;mattext texttype=""text/html""&gt;"&amp;$AS88&amp;"&lt;/mattext&gt;&lt;/material&gt;&lt;/flow_mat&gt;&lt;/itemfeedback&gt;"&amp;"    &lt;itemfeedback ident=""response_onenotcorrect"" view=""All""&gt;&lt;flow_mat&gt;&lt;material&gt;&lt;mattext texttype=""text/html""&gt;"&amp;$AS88&amp;"&lt;/mattext&gt;&lt;/material&gt;&lt;/flow_mat&gt;&lt;/itemfeedback&gt;"),"")</f>
      </c>
      <c r="BC88" s="46">
        <f>IF($B88,IF(AT88="","","    &lt;itemfeedback ident=""response_0"" view=""All""&gt;&lt;flow_mat&gt;&lt;material&gt;&lt;mattext texttype=""text/html""&gt;"&amp;AT88&amp;"&lt;/mattext&gt;&lt;/material&gt;&lt;/flow_mat&gt;&lt;/itemfeedback&gt;"),"")</f>
      </c>
      <c r="BD88" s="46">
        <f>IF($B88,IF(AU88="","","    &lt;itemfeedback ident=""response_1"" view=""All""&gt;&lt;flow_mat&gt;&lt;material&gt;&lt;mattext texttype=""text/html""&gt;"&amp;AU88&amp;"&lt;/mattext&gt;&lt;/material&gt;&lt;/flow_mat&gt;&lt;/itemfeedback&gt;"),"")</f>
      </c>
      <c r="BE88" s="46">
        <f>IF($B88,IF(AV88="","","    &lt;itemfeedback ident=""response_2"" view=""All""&gt;&lt;flow_mat&gt;&lt;material&gt;&lt;mattext texttype=""text/html""&gt;"&amp;AV88&amp;"&lt;/mattext&gt;&lt;/material&gt;&lt;/flow_mat&gt;&lt;/itemfeedback&gt;"),"")</f>
      </c>
      <c r="BF88" s="46">
        <f>IF($B88,IF(AW88="","","    &lt;itemfeedback ident=""response_3"" view=""All""&gt;&lt;flow_mat&gt;&lt;material&gt;&lt;mattext texttype=""text/html""&gt;"&amp;AW88&amp;"&lt;/mattext&gt;&lt;/material&gt;&lt;/flow_mat&gt;&lt;/itemfeedback&gt;"),"")</f>
      </c>
      <c r="BG88" s="46">
        <f>IF($B88,IF(AX88="","","    &lt;itemfeedback ident=""response_4"" view=""All""&gt;&lt;flow_mat&gt;&lt;material&gt;&lt;mattext texttype=""text/html""&gt;"&amp;AX88&amp;"&lt;/mattext&gt;&lt;/material&gt;&lt;/flow_mat&gt;&lt;/itemfeedback&gt;"),"")</f>
      </c>
      <c r="BH88" s="46">
        <f>IF($B88,IF(AY88="","","    &lt;itemfeedback ident=""response_5"" view=""All""&gt;&lt;flow_mat&gt;&lt;material&gt;&lt;mattext texttype=""text/html""&gt;"&amp;AY88&amp;"&lt;/mattext&gt;&lt;/material&gt;&lt;/flow_mat&gt;&lt;/itemfeedback&gt;"),"")</f>
      </c>
      <c r="BI88" s="46">
        <f>IF($B88,IF(AZ88="","","    &lt;itemfeedback ident=""response_6"" view=""All""&gt;&lt;flow_mat&gt;&lt;material&gt;&lt;mattext texttype=""text/html""&gt;"&amp;AZ88&amp;"&lt;/mattext&gt;&lt;/material&gt;&lt;/flow_mat&gt;&lt;/itemfeedback&gt;"),"")</f>
      </c>
      <c r="BJ88" s="46">
        <f>IF($B88,IF(BA88="","","    &lt;itemfeedback ident=""response_7"" view=""All""&gt;&lt;flow_mat&gt;&lt;material&gt;&lt;mattext texttype=""text/html""&gt;"&amp;BA88&amp;"&lt;/mattext&gt;&lt;/material&gt;&lt;/flow_mat&gt;&lt;/itemfeedback&gt;"),"")</f>
      </c>
    </row>
    <row r="89" ht="18" customHeight="1" s="17">
      <c r="A89" s="46">
        <f>Saisie_Questions!A89</f>
        <v/>
      </c>
      <c r="B89" s="46">
        <f>Saisie_Questions!O89="OK"</f>
        <v/>
      </c>
      <c r="C89" s="46">
        <f>LOWER(TRIM(Saisie_Questions!B89))</f>
        <v/>
      </c>
      <c r="D89" s="46">
        <f>IF(C89="qcu","SINGLE CHOICE QUESTION","MULTIPLE CHOICE QUESTION")</f>
        <v/>
      </c>
      <c r="E89" s="46">
        <f>IF(C89="qcu","Single","Multiple")</f>
        <v/>
      </c>
      <c r="F89" s="46">
        <f>IF(A89="","",SUBSTITUTE(SUBSTITUTE(SUBSTITUTE(SUBSTITUTE(SUBSTITUTE(IF(Saisie_Questions!C89="", "Question "&amp;A89, Saisie_Questions!C89),"&amp;","&amp;amp;"),"&lt;","&amp;lt;"),"&gt;","&amp;gt;"),CHAR(34),"&amp;quot;"),"'","&amp;apos;"))</f>
        <v/>
      </c>
      <c r="G89" s="46">
        <f>IF(A89="","",SUBSTITUTE(SUBSTITUTE(SUBSTITUTE(SUBSTITUTE(SUBSTITUTE(Saisie_Questions!D89,"&amp;","&amp;amp;"),"&lt;","&amp;lt;"),"&gt;","&amp;gt;"),CHAR(34),"&amp;quot;"),"'","&amp;apos;"))</f>
        <v/>
      </c>
      <c r="H89" s="46">
        <f>Saisie_Questions!N89</f>
        <v/>
      </c>
      <c r="I89" s="46">
        <f>IF(Saisie_Questions!E89="",0,1)+IF(Saisie_Questions!F89="",0,1)+IF(Saisie_Questions!G89="",0,1)+IF(Saisie_Questions!H89="",0,1)+IF(Saisie_Questions!I89="",0,1)+IF(Saisie_Questions!J89="",0,1)+IF(Saisie_Questions!K89="",0,1)+IF(Saisie_Questions!L89="",0,1)</f>
        <v/>
      </c>
      <c r="J89" s="46">
        <f>Saisie_Questions!M89</f>
        <v/>
      </c>
      <c r="K89" s="46">
        <f>Saisie_Questions!O89</f>
        <v/>
      </c>
      <c r="L89" s="46">
        <f>IF(Saisie_Questions!E89="","",SUBSTITUTE(SUBSTITUTE(SUBSTITUTE(SUBSTITUTE(SUBSTITUTE(Saisie_Questions!E89,"&amp;","&amp;amp;"),"&lt;","&amp;lt;"),"&gt;","&amp;gt;"),CHAR(34),"&amp;quot;"),"'","&amp;apos;"))</f>
        <v/>
      </c>
      <c r="M89" s="46">
        <f>IF(Saisie_Questions!F89="","",SUBSTITUTE(SUBSTITUTE(SUBSTITUTE(SUBSTITUTE(SUBSTITUTE(Saisie_Questions!F89,"&amp;","&amp;amp;"),"&lt;","&amp;lt;"),"&gt;","&amp;gt;"),CHAR(34),"&amp;quot;"),"'","&amp;apos;"))</f>
        <v/>
      </c>
      <c r="N89" s="46">
        <f>IF(Saisie_Questions!G89="","",SUBSTITUTE(SUBSTITUTE(SUBSTITUTE(SUBSTITUTE(SUBSTITUTE(Saisie_Questions!G89,"&amp;","&amp;amp;"),"&lt;","&amp;lt;"),"&gt;","&amp;gt;"),CHAR(34),"&amp;quot;"),"'","&amp;apos;"))</f>
        <v/>
      </c>
      <c r="O89" s="46">
        <f>IF(Saisie_Questions!H89="","",SUBSTITUTE(SUBSTITUTE(SUBSTITUTE(SUBSTITUTE(SUBSTITUTE(Saisie_Questions!H89,"&amp;","&amp;amp;"),"&lt;","&amp;lt;"),"&gt;","&amp;gt;"),CHAR(34),"&amp;quot;"),"'","&amp;apos;"))</f>
        <v/>
      </c>
      <c r="P89" s="46">
        <f>IF(Saisie_Questions!I89="","",SUBSTITUTE(SUBSTITUTE(SUBSTITUTE(SUBSTITUTE(SUBSTITUTE(Saisie_Questions!I89,"&amp;","&amp;amp;"),"&lt;","&amp;lt;"),"&gt;","&amp;gt;"),CHAR(34),"&amp;quot;"),"'","&amp;apos;"))</f>
        <v/>
      </c>
      <c r="Q89" s="46">
        <f>IF(Saisie_Questions!J89="","",SUBSTITUTE(SUBSTITUTE(SUBSTITUTE(SUBSTITUTE(SUBSTITUTE(Saisie_Questions!J89,"&amp;","&amp;amp;"),"&lt;","&amp;lt;"),"&gt;","&amp;gt;"),CHAR(34),"&amp;quot;"),"'","&amp;apos;"))</f>
        <v/>
      </c>
      <c r="R89" s="46">
        <f>IF(Saisie_Questions!K89="","",SUBSTITUTE(SUBSTITUTE(SUBSTITUTE(SUBSTITUTE(SUBSTITUTE(Saisie_Questions!K89,"&amp;","&amp;amp;"),"&lt;","&amp;lt;"),"&gt;","&amp;gt;"),CHAR(34),"&amp;quot;"),"'","&amp;apos;"))</f>
        <v/>
      </c>
      <c r="S89" s="46">
        <f>IF(Saisie_Questions!L89="","",SUBSTITUTE(SUBSTITUTE(SUBSTITUTE(SUBSTITUTE(SUBSTITUTE(Saisie_Questions!L89,"&amp;","&amp;amp;"),"&lt;","&amp;lt;"),"&gt;","&amp;gt;"),CHAR(34),"&amp;quot;"),"'","&amp;apos;"))</f>
        <v/>
      </c>
      <c r="T89" s="46">
        <f>ISNUMBER(SEARCH(";"&amp;1&amp;";",";"&amp;$J89&amp;";"))</f>
        <v/>
      </c>
      <c r="U89" s="46">
        <f>ISNUMBER(SEARCH(";"&amp;2&amp;";",";"&amp;$J89&amp;";"))</f>
        <v/>
      </c>
      <c r="V89" s="46">
        <f>ISNUMBER(SEARCH(";"&amp;3&amp;";",";"&amp;$J89&amp;";"))</f>
        <v/>
      </c>
      <c r="W89" s="46">
        <f>ISNUMBER(SEARCH(";"&amp;4&amp;";",";"&amp;$J89&amp;";"))</f>
        <v/>
      </c>
      <c r="X89" s="46">
        <f>ISNUMBER(SEARCH(";"&amp;5&amp;";",";"&amp;$J89&amp;";"))</f>
        <v/>
      </c>
      <c r="Y89" s="46">
        <f>ISNUMBER(SEARCH(";"&amp;6&amp;";",";"&amp;$J89&amp;";"))</f>
        <v/>
      </c>
      <c r="Z89" s="46">
        <f>ISNUMBER(SEARCH(";"&amp;7&amp;";",";"&amp;$J89&amp;";"))</f>
        <v/>
      </c>
      <c r="AA89" s="46">
        <f>ISNUMBER(SEARCH(";"&amp;8&amp;";",";"&amp;$J89&amp;";"))</f>
        <v/>
      </c>
      <c r="AB89" s="46">
        <f>IF($B89,IF(L89="","","        &lt;response_label ident=""0""&gt;&lt;material&gt;&lt;mattext texttype=""text/html""&gt;"&amp;L89&amp;"&lt;/mattext&gt;&lt;/material&gt;&lt;/response_label&gt;"),"")</f>
        <v/>
      </c>
      <c r="AC89" s="46">
        <f>IF($B89,IF(M89="","","        &lt;response_label ident=""1""&gt;&lt;material&gt;&lt;mattext texttype=""text/html""&gt;"&amp;M89&amp;"&lt;/mattext&gt;&lt;/material&gt;&lt;/response_label&gt;"),"")</f>
        <v/>
      </c>
      <c r="AD89" s="46">
        <f>IF($B89,IF(N89="","","        &lt;response_label ident=""2""&gt;&lt;material&gt;&lt;mattext texttype=""text/html""&gt;"&amp;N89&amp;"&lt;/mattext&gt;&lt;/material&gt;&lt;/response_label&gt;"),"")</f>
        <v/>
      </c>
      <c r="AE89" s="46">
        <f>IF($B89,IF(O89="","","        &lt;response_label ident=""3""&gt;&lt;material&gt;&lt;mattext texttype=""text/html""&gt;"&amp;O89&amp;"&lt;/mattext&gt;&lt;/material&gt;&lt;/response_label&gt;"),"")</f>
        <v/>
      </c>
      <c r="AF89" s="46">
        <f>IF($B89,IF(P89="","","        &lt;response_label ident=""4""&gt;&lt;material&gt;&lt;mattext texttype=""text/html""&gt;"&amp;P89&amp;"&lt;/mattext&gt;&lt;/material&gt;&lt;/response_label&gt;"),"")</f>
        <v/>
      </c>
      <c r="AG89" s="46">
        <f>IF($B89,IF(Q89="","","        &lt;response_label ident=""5""&gt;&lt;material&gt;&lt;mattext texttype=""text/html""&gt;"&amp;Q89&amp;"&lt;/mattext&gt;&lt;/material&gt;&lt;/response_label&gt;"),"")</f>
        <v/>
      </c>
      <c r="AH89" s="46">
        <f>IF($B89,IF(R89="","","        &lt;response_label ident=""6""&gt;&lt;material&gt;&lt;mattext texttype=""text/html""&gt;"&amp;R89&amp;"&lt;/mattext&gt;&lt;/material&gt;&lt;/response_label&gt;"),"")</f>
        <v/>
      </c>
      <c r="AI89" s="46">
        <f>IF($B89,IF(S89="","","        &lt;response_label ident=""7""&gt;&lt;material&gt;&lt;mattext texttype=""text/html""&gt;"&amp;S89&amp;"&lt;/mattext&gt;&lt;/material&gt;&lt;/response_label&gt;"),"")</f>
        <v/>
      </c>
      <c r="AJ89" s="46">
        <f>IF($B89,IF(L89="","",IF($C89="qcu",IF(OR(T89,AT89&lt;&gt;"",$AS89&lt;&gt;""),"      &lt;respcondition continue=""Yes""&gt;&lt;conditionvar&gt;&lt;varequal respident=""RESPONSE""&gt;0&lt;/varequal&gt;&lt;/conditionvar&gt;"&amp;"&lt;setvar action=""Add""&gt;"&amp;IF(T89,$H89,0)&amp;"&lt;/setvar&gt;"&amp;IF(AT89&lt;&gt;"","&lt;displayfeedback feedbacktype=""Response"" linkrefid=""response_0""/&gt;",IF($AS89&lt;&gt;"","&lt;displayfeedback feedbacktype=""Response"" linkrefid=""qti_feedback_trigger""/&gt;",""))&amp;"&lt;/respcondition&gt;",""),IF(OR(T89,AT89&lt;&gt;"",$AS89&lt;&gt;""),"      &lt;respcondition continue=""Yes""&gt;&lt;conditionvar&gt;"&amp;IF(T89,"&lt;varequal respident=""RESPONSE""&gt;0&lt;/varequal&gt;","&lt;not&gt;&lt;varequal respident=""RESPONSE""&gt;0&lt;/varequal&gt;&lt;/not&gt;")&amp;"&lt;/conditionvar&gt;&lt;setvar action=""Add""&gt;"&amp;(Saisie_Questions!$N89/$I89)&amp;"&lt;/setvar&gt;"&amp;IF(AT89&lt;&gt;"","&lt;displayfeedback feedbacktype=""Response"" linkrefid=""response_0""/&gt;",IF($AS89&lt;&gt;"","&lt;displayfeedback feedbacktype=""Response"" linkrefid=""qti_feedback_trigger""/&gt;",""))&amp;"&lt;/respcondition&gt;",""))),"")</f>
      </c>
      <c r="AK89" s="46">
        <f>IF($B89,IF(M89="","",IF($C89="qcu",IF(OR(U89,AU89&lt;&gt;"",$AS89&lt;&gt;""),"      &lt;respcondition continue=""Yes""&gt;&lt;conditionvar&gt;&lt;varequal respident=""RESPONSE""&gt;1&lt;/varequal&gt;&lt;/conditionvar&gt;"&amp;"&lt;setvar action=""Add""&gt;"&amp;IF(U89,$H89,0)&amp;"&lt;/setvar&gt;"&amp;IF(AU89&lt;&gt;"","&lt;displayfeedback feedbacktype=""Response"" linkrefid=""response_1""/&gt;",IF($AS89&lt;&gt;"","&lt;displayfeedback feedbacktype=""Response"" linkrefid=""qti_feedback_trigger""/&gt;",""))&amp;"&lt;/respcondition&gt;",""),IF(OR(U89,AU89&lt;&gt;"",$AS89&lt;&gt;""),"      &lt;respcondition continue=""Yes""&gt;&lt;conditionvar&gt;"&amp;IF(U89,"&lt;varequal respident=""RESPONSE""&gt;1&lt;/varequal&gt;","&lt;not&gt;&lt;varequal respident=""RESPONSE""&gt;1&lt;/varequal&gt;&lt;/not&gt;")&amp;"&lt;/conditionvar&gt;&lt;setvar action=""Add""&gt;"&amp;(Saisie_Questions!$N89/$I89)&amp;"&lt;/setvar&gt;"&amp;IF(AU89&lt;&gt;"","&lt;displayfeedback feedbacktype=""Response"" linkrefid=""response_1""/&gt;",IF($AS89&lt;&gt;"","&lt;displayfeedback feedbacktype=""Response"" linkrefid=""qti_feedback_trigger""/&gt;",""))&amp;"&lt;/respcondition&gt;",""))),"")</f>
      </c>
      <c r="AL89" s="46">
        <f>IF($B89,IF(N89="","",IF($C89="qcu",IF(OR(V89,AV89&lt;&gt;"",$AS89&lt;&gt;""),"      &lt;respcondition continue=""Yes""&gt;&lt;conditionvar&gt;&lt;varequal respident=""RESPONSE""&gt;2&lt;/varequal&gt;&lt;/conditionvar&gt;"&amp;"&lt;setvar action=""Add""&gt;"&amp;IF(V89,$H89,0)&amp;"&lt;/setvar&gt;"&amp;IF(AV89&lt;&gt;"","&lt;displayfeedback feedbacktype=""Response"" linkrefid=""response_2""/&gt;",IF($AS89&lt;&gt;"","&lt;displayfeedback feedbacktype=""Response"" linkrefid=""qti_feedback_trigger""/&gt;",""))&amp;"&lt;/respcondition&gt;",""),IF(OR(V89,AV89&lt;&gt;"",$AS89&lt;&gt;""),"      &lt;respcondition continue=""Yes""&gt;&lt;conditionvar&gt;"&amp;IF(V89,"&lt;varequal respident=""RESPONSE""&gt;2&lt;/varequal&gt;","&lt;not&gt;&lt;varequal respident=""RESPONSE""&gt;2&lt;/varequal&gt;&lt;/not&gt;")&amp;"&lt;/conditionvar&gt;&lt;setvar action=""Add""&gt;"&amp;(Saisie_Questions!$N89/$I89)&amp;"&lt;/setvar&gt;"&amp;IF(AV89&lt;&gt;"","&lt;displayfeedback feedbacktype=""Response"" linkrefid=""response_2""/&gt;",IF($AS89&lt;&gt;"","&lt;displayfeedback feedbacktype=""Response"" linkrefid=""qti_feedback_trigger""/&gt;",""))&amp;"&lt;/respcondition&gt;",""))),"")</f>
      </c>
      <c r="AM89" s="46">
        <f>IF($B89,IF(O89="","",IF($C89="qcu",IF(OR(W89,AW89&lt;&gt;"",$AS89&lt;&gt;""),"      &lt;respcondition continue=""Yes""&gt;&lt;conditionvar&gt;&lt;varequal respident=""RESPONSE""&gt;3&lt;/varequal&gt;&lt;/conditionvar&gt;"&amp;"&lt;setvar action=""Add""&gt;"&amp;IF(W89,$H89,0)&amp;"&lt;/setvar&gt;"&amp;IF(AW89&lt;&gt;"","&lt;displayfeedback feedbacktype=""Response"" linkrefid=""response_3""/&gt;",IF($AS89&lt;&gt;"","&lt;displayfeedback feedbacktype=""Response"" linkrefid=""qti_feedback_trigger""/&gt;",""))&amp;"&lt;/respcondition&gt;",""),IF(OR(W89,AW89&lt;&gt;"",$AS89&lt;&gt;""),"      &lt;respcondition continue=""Yes""&gt;&lt;conditionvar&gt;"&amp;IF(W89,"&lt;varequal respident=""RESPONSE""&gt;3&lt;/varequal&gt;","&lt;not&gt;&lt;varequal respident=""RESPONSE""&gt;3&lt;/varequal&gt;&lt;/not&gt;")&amp;"&lt;/conditionvar&gt;&lt;setvar action=""Add""&gt;"&amp;(Saisie_Questions!$N89/$I89)&amp;"&lt;/setvar&gt;"&amp;IF(AW89&lt;&gt;"","&lt;displayfeedback feedbacktype=""Response"" linkrefid=""response_3""/&gt;",IF($AS89&lt;&gt;"","&lt;displayfeedback feedbacktype=""Response"" linkrefid=""qti_feedback_trigger""/&gt;",""))&amp;"&lt;/respcondition&gt;",""))),"")</f>
      </c>
      <c r="AN89" s="46">
        <f>IF($B89,IF(P89="","",IF($C89="qcu",IF(OR(X89,AX89&lt;&gt;"",$AS89&lt;&gt;""),"      &lt;respcondition continue=""Yes""&gt;&lt;conditionvar&gt;&lt;varequal respident=""RESPONSE""&gt;4&lt;/varequal&gt;&lt;/conditionvar&gt;"&amp;"&lt;setvar action=""Add""&gt;"&amp;IF(X89,$H89,0)&amp;"&lt;/setvar&gt;"&amp;IF(AX89&lt;&gt;"","&lt;displayfeedback feedbacktype=""Response"" linkrefid=""response_4""/&gt;",IF($AS89&lt;&gt;"","&lt;displayfeedback feedbacktype=""Response"" linkrefid=""qti_feedback_trigger""/&gt;",""))&amp;"&lt;/respcondition&gt;",""),IF(OR(X89,AX89&lt;&gt;"",$AS89&lt;&gt;""),"      &lt;respcondition continue=""Yes""&gt;&lt;conditionvar&gt;"&amp;IF(X89,"&lt;varequal respident=""RESPONSE""&gt;4&lt;/varequal&gt;","&lt;not&gt;&lt;varequal respident=""RESPONSE""&gt;4&lt;/varequal&gt;&lt;/not&gt;")&amp;"&lt;/conditionvar&gt;&lt;setvar action=""Add""&gt;"&amp;(Saisie_Questions!$N89/$I89)&amp;"&lt;/setvar&gt;"&amp;IF(AX89&lt;&gt;"","&lt;displayfeedback feedbacktype=""Response"" linkrefid=""response_4""/&gt;",IF($AS89&lt;&gt;"","&lt;displayfeedback feedbacktype=""Response"" linkrefid=""qti_feedback_trigger""/&gt;",""))&amp;"&lt;/respcondition&gt;",""))),"")</f>
      </c>
      <c r="AO89" s="46">
        <f>IF($B89,IF(Q89="","",IF($C89="qcu",IF(OR(Y89,AY89&lt;&gt;"",$AS89&lt;&gt;""),"      &lt;respcondition continue=""Yes""&gt;&lt;conditionvar&gt;&lt;varequal respident=""RESPONSE""&gt;5&lt;/varequal&gt;&lt;/conditionvar&gt;"&amp;"&lt;setvar action=""Add""&gt;"&amp;IF(Y89,$H89,0)&amp;"&lt;/setvar&gt;"&amp;IF(AY89&lt;&gt;"","&lt;displayfeedback feedbacktype=""Response"" linkrefid=""response_5""/&gt;",IF($AS89&lt;&gt;"","&lt;displayfeedback feedbacktype=""Response"" linkrefid=""qti_feedback_trigger""/&gt;",""))&amp;"&lt;/respcondition&gt;",""),IF(OR(Y89,AY89&lt;&gt;"",$AS89&lt;&gt;""),"      &lt;respcondition continue=""Yes""&gt;&lt;conditionvar&gt;"&amp;IF(Y89,"&lt;varequal respident=""RESPONSE""&gt;5&lt;/varequal&gt;","&lt;not&gt;&lt;varequal respident=""RESPONSE""&gt;5&lt;/varequal&gt;&lt;/not&gt;")&amp;"&lt;/conditionvar&gt;&lt;setvar action=""Add""&gt;"&amp;(Saisie_Questions!$N89/$I89)&amp;"&lt;/setvar&gt;"&amp;IF(AY89&lt;&gt;"","&lt;displayfeedback feedbacktype=""Response"" linkrefid=""response_5""/&gt;",IF($AS89&lt;&gt;"","&lt;displayfeedback feedbacktype=""Response"" linkrefid=""qti_feedback_trigger""/&gt;",""))&amp;"&lt;/respcondition&gt;",""))),"")</f>
      </c>
      <c r="AP89" s="46">
        <f>IF($B89,IF(R89="","",IF($C89="qcu",IF(OR(Z89,AZ89&lt;&gt;"",$AS89&lt;&gt;""),"      &lt;respcondition continue=""Yes""&gt;&lt;conditionvar&gt;&lt;varequal respident=""RESPONSE""&gt;6&lt;/varequal&gt;&lt;/conditionvar&gt;"&amp;"&lt;setvar action=""Add""&gt;"&amp;IF(Z89,$H89,0)&amp;"&lt;/setvar&gt;"&amp;IF(AZ89&lt;&gt;"","&lt;displayfeedback feedbacktype=""Response"" linkrefid=""response_6""/&gt;",IF($AS89&lt;&gt;"","&lt;displayfeedback feedbacktype=""Response"" linkrefid=""qti_feedback_trigger""/&gt;",""))&amp;"&lt;/respcondition&gt;",""),IF(OR(Z89,AZ89&lt;&gt;"",$AS89&lt;&gt;""),"      &lt;respcondition continue=""Yes""&gt;&lt;conditionvar&gt;"&amp;IF(Z89,"&lt;varequal respident=""RESPONSE""&gt;6&lt;/varequal&gt;","&lt;not&gt;&lt;varequal respident=""RESPONSE""&gt;6&lt;/varequal&gt;&lt;/not&gt;")&amp;"&lt;/conditionvar&gt;&lt;setvar action=""Add""&gt;"&amp;(Saisie_Questions!$N89/$I89)&amp;"&lt;/setvar&gt;"&amp;IF(AZ89&lt;&gt;"","&lt;displayfeedback feedbacktype=""Response"" linkrefid=""response_6""/&gt;",IF($AS89&lt;&gt;"","&lt;displayfeedback feedbacktype=""Response"" linkrefid=""qti_feedback_trigger""/&gt;",""))&amp;"&lt;/respcondition&gt;",""))),"")</f>
      </c>
      <c r="AQ89" s="46">
        <f>IF($B89,IF(S89="","",IF($C89="qcu",IF(OR(AA89,BA89&lt;&gt;"",$AS89&lt;&gt;""),"      &lt;respcondition continue=""Yes""&gt;&lt;conditionvar&gt;&lt;varequal respident=""RESPONSE""&gt;7&lt;/varequal&gt;&lt;/conditionvar&gt;"&amp;"&lt;setvar action=""Add""&gt;"&amp;IF(AA89,$H89,0)&amp;"&lt;/setvar&gt;"&amp;IF(BA89&lt;&gt;"","&lt;displayfeedback feedbacktype=""Response"" linkrefid=""response_7""/&gt;",IF($AS89&lt;&gt;"","&lt;displayfeedback feedbacktype=""Response"" linkrefid=""qti_feedback_trigger""/&gt;",""))&amp;"&lt;/respcondition&gt;",""),IF(OR(AA89,BA89&lt;&gt;"",$AS89&lt;&gt;""),"      &lt;respcondition continue=""Yes""&gt;&lt;conditionvar&gt;"&amp;IF(AA89,"&lt;varequal respident=""RESPONSE""&gt;7&lt;/varequal&gt;","&lt;not&gt;&lt;varequal respident=""RESPONSE""&gt;7&lt;/varequal&gt;&lt;/not&gt;")&amp;"&lt;/conditionvar&gt;&lt;setvar action=""Add""&gt;"&amp;(Saisie_Questions!$N89/$I89)&amp;"&lt;/setvar&gt;"&amp;IF(BA89&lt;&gt;"","&lt;displayfeedback feedbacktype=""Response"" linkrefid=""response_7""/&gt;",IF($AS89&lt;&gt;"","&lt;displayfeedback feedbacktype=""Response"" linkrefid=""qti_feedback_trigger""/&gt;",""))&amp;"&lt;/respcondition&gt;",""))),"")</f>
      </c>
      <c r="AR89" s="46">
        <f>IF(A89="","",SUBSTITUTE(SUBSTITUTE(SUBSTITUTE(SUBSTITUTE(SUBSTITUTE(IF(Saisie_Questions!P89&lt;&gt;"",Saisie_Questions!P89,Interface_Generation!$B$5),"&amp;","&amp;amp;"),"&lt;","&amp;lt;"),"&gt;","&amp;gt;"),CHAR(34),"&amp;quot;"),"'","&amp;apos;"))</f>
        <v/>
      </c>
      <c r="AS89" s="46">
        <f>IF(Saisie_Questions!Q89="","",SUBSTITUTE(SUBSTITUTE(SUBSTITUTE(SUBSTITUTE(SUBSTITUTE(Saisie_Questions!Q89,"&amp;","&amp;amp;"),"&lt;","&amp;lt;"),"&gt;","&amp;gt;"),CHAR(34),"&amp;quot;"),"'","&amp;apos;"))</f>
        <v/>
      </c>
      <c r="AT89" s="46">
        <f>IF(Saisie_Questions!R89="","",SUBSTITUTE(SUBSTITUTE(SUBSTITUTE(SUBSTITUTE(SUBSTITUTE(Saisie_Questions!R89,"&amp;","&amp;amp;"),"&lt;","&amp;lt;"),"&gt;","&amp;gt;"),CHAR(34),"&amp;quot;"),"'","&amp;apos;"))</f>
        <v/>
      </c>
      <c r="AU89" s="46">
        <f>IF(Saisie_Questions!S89="","",SUBSTITUTE(SUBSTITUTE(SUBSTITUTE(SUBSTITUTE(SUBSTITUTE(Saisie_Questions!S89,"&amp;","&amp;amp;"),"&lt;","&amp;lt;"),"&gt;","&amp;gt;"),CHAR(34),"&amp;quot;"),"'","&amp;apos;"))</f>
        <v/>
      </c>
      <c r="AV89" s="46">
        <f>IF(Saisie_Questions!T89="","",SUBSTITUTE(SUBSTITUTE(SUBSTITUTE(SUBSTITUTE(SUBSTITUTE(Saisie_Questions!T89,"&amp;","&amp;amp;"),"&lt;","&amp;lt;"),"&gt;","&amp;gt;"),CHAR(34),"&amp;quot;"),"'","&amp;apos;"))</f>
        <v/>
      </c>
      <c r="AW89" s="46">
        <f>IF(Saisie_Questions!U89="","",SUBSTITUTE(SUBSTITUTE(SUBSTITUTE(SUBSTITUTE(SUBSTITUTE(Saisie_Questions!U89,"&amp;","&amp;amp;"),"&lt;","&amp;lt;"),"&gt;","&amp;gt;"),CHAR(34),"&amp;quot;"),"'","&amp;apos;"))</f>
        <v/>
      </c>
      <c r="AX89" s="46">
        <f>IF(Saisie_Questions!V89="","",SUBSTITUTE(SUBSTITUTE(SUBSTITUTE(SUBSTITUTE(SUBSTITUTE(Saisie_Questions!V89,"&amp;","&amp;amp;"),"&lt;","&amp;lt;"),"&gt;","&amp;gt;"),CHAR(34),"&amp;quot;"),"'","&amp;apos;"))</f>
        <v/>
      </c>
      <c r="AY89" s="46">
        <f>IF(Saisie_Questions!W89="","",SUBSTITUTE(SUBSTITUTE(SUBSTITUTE(SUBSTITUTE(SUBSTITUTE(Saisie_Questions!W89,"&amp;","&amp;amp;"),"&lt;","&amp;lt;"),"&gt;","&amp;gt;"),CHAR(34),"&amp;quot;"),"'","&amp;apos;"))</f>
        <v/>
      </c>
      <c r="AZ89" s="46">
        <f>IF(Saisie_Questions!X89="","",SUBSTITUTE(SUBSTITUTE(SUBSTITUTE(SUBSTITUTE(SUBSTITUTE(Saisie_Questions!X89,"&amp;","&amp;amp;"),"&lt;","&amp;lt;"),"&gt;","&amp;gt;"),CHAR(34),"&amp;quot;"),"'","&amp;apos;"))</f>
        <v/>
      </c>
      <c r="BA89" s="46">
        <f>IF(Saisie_Questions!Y89="","",SUBSTITUTE(SUBSTITUTE(SUBSTITUTE(SUBSTITUTE(SUBSTITUTE(Saisie_Questions!Y89,"&amp;","&amp;amp;"),"&lt;","&amp;lt;"),"&gt;","&amp;gt;"),CHAR(34),"&amp;quot;"),"'","&amp;apos;"))</f>
        <v/>
      </c>
      <c r="BB89" s="46">
        <f>IF($B89,IF($AS89="","","    &lt;itemfeedback ident=""response_allcorrect"" view=""All""&gt;&lt;flow_mat&gt;&lt;material&gt;&lt;mattext texttype=""text/html""&gt;"&amp;$AS89&amp;"&lt;/mattext&gt;&lt;/material&gt;&lt;/flow_mat&gt;&lt;/itemfeedback&gt;"&amp;"    &lt;itemfeedback ident=""response_onenotcorrect"" view=""All""&gt;&lt;flow_mat&gt;&lt;material&gt;&lt;mattext texttype=""text/html""&gt;"&amp;$AS89&amp;"&lt;/mattext&gt;&lt;/material&gt;&lt;/flow_mat&gt;&lt;/itemfeedback&gt;"),"")</f>
      </c>
      <c r="BC89" s="46">
        <f>IF($B89,IF(AT89="","","    &lt;itemfeedback ident=""response_0"" view=""All""&gt;&lt;flow_mat&gt;&lt;material&gt;&lt;mattext texttype=""text/html""&gt;"&amp;AT89&amp;"&lt;/mattext&gt;&lt;/material&gt;&lt;/flow_mat&gt;&lt;/itemfeedback&gt;"),"")</f>
      </c>
      <c r="BD89" s="46">
        <f>IF($B89,IF(AU89="","","    &lt;itemfeedback ident=""response_1"" view=""All""&gt;&lt;flow_mat&gt;&lt;material&gt;&lt;mattext texttype=""text/html""&gt;"&amp;AU89&amp;"&lt;/mattext&gt;&lt;/material&gt;&lt;/flow_mat&gt;&lt;/itemfeedback&gt;"),"")</f>
      </c>
      <c r="BE89" s="46">
        <f>IF($B89,IF(AV89="","","    &lt;itemfeedback ident=""response_2"" view=""All""&gt;&lt;flow_mat&gt;&lt;material&gt;&lt;mattext texttype=""text/html""&gt;"&amp;AV89&amp;"&lt;/mattext&gt;&lt;/material&gt;&lt;/flow_mat&gt;&lt;/itemfeedback&gt;"),"")</f>
      </c>
      <c r="BF89" s="46">
        <f>IF($B89,IF(AW89="","","    &lt;itemfeedback ident=""response_3"" view=""All""&gt;&lt;flow_mat&gt;&lt;material&gt;&lt;mattext texttype=""text/html""&gt;"&amp;AW89&amp;"&lt;/mattext&gt;&lt;/material&gt;&lt;/flow_mat&gt;&lt;/itemfeedback&gt;"),"")</f>
      </c>
      <c r="BG89" s="46">
        <f>IF($B89,IF(AX89="","","    &lt;itemfeedback ident=""response_4"" view=""All""&gt;&lt;flow_mat&gt;&lt;material&gt;&lt;mattext texttype=""text/html""&gt;"&amp;AX89&amp;"&lt;/mattext&gt;&lt;/material&gt;&lt;/flow_mat&gt;&lt;/itemfeedback&gt;"),"")</f>
      </c>
      <c r="BH89" s="46">
        <f>IF($B89,IF(AY89="","","    &lt;itemfeedback ident=""response_5"" view=""All""&gt;&lt;flow_mat&gt;&lt;material&gt;&lt;mattext texttype=""text/html""&gt;"&amp;AY89&amp;"&lt;/mattext&gt;&lt;/material&gt;&lt;/flow_mat&gt;&lt;/itemfeedback&gt;"),"")</f>
      </c>
      <c r="BI89" s="46">
        <f>IF($B89,IF(AZ89="","","    &lt;itemfeedback ident=""response_6"" view=""All""&gt;&lt;flow_mat&gt;&lt;material&gt;&lt;mattext texttype=""text/html""&gt;"&amp;AZ89&amp;"&lt;/mattext&gt;&lt;/material&gt;&lt;/flow_mat&gt;&lt;/itemfeedback&gt;"),"")</f>
      </c>
      <c r="BJ89" s="46">
        <f>IF($B89,IF(BA89="","","    &lt;itemfeedback ident=""response_7"" view=""All""&gt;&lt;flow_mat&gt;&lt;material&gt;&lt;mattext texttype=""text/html""&gt;"&amp;BA89&amp;"&lt;/mattext&gt;&lt;/material&gt;&lt;/flow_mat&gt;&lt;/itemfeedback&gt;"),"")</f>
      </c>
    </row>
    <row r="90" ht="18" customHeight="1" s="17">
      <c r="A90" s="46">
        <f>Saisie_Questions!A90</f>
        <v/>
      </c>
      <c r="B90" s="46">
        <f>Saisie_Questions!O90="OK"</f>
        <v/>
      </c>
      <c r="C90" s="46">
        <f>LOWER(TRIM(Saisie_Questions!B90))</f>
        <v/>
      </c>
      <c r="D90" s="46">
        <f>IF(C90="qcu","SINGLE CHOICE QUESTION","MULTIPLE CHOICE QUESTION")</f>
        <v/>
      </c>
      <c r="E90" s="46">
        <f>IF(C90="qcu","Single","Multiple")</f>
        <v/>
      </c>
      <c r="F90" s="46">
        <f>IF(A90="","",SUBSTITUTE(SUBSTITUTE(SUBSTITUTE(SUBSTITUTE(SUBSTITUTE(IF(Saisie_Questions!C90="", "Question "&amp;A90, Saisie_Questions!C90),"&amp;","&amp;amp;"),"&lt;","&amp;lt;"),"&gt;","&amp;gt;"),CHAR(34),"&amp;quot;"),"'","&amp;apos;"))</f>
        <v/>
      </c>
      <c r="G90" s="46">
        <f>IF(A90="","",SUBSTITUTE(SUBSTITUTE(SUBSTITUTE(SUBSTITUTE(SUBSTITUTE(Saisie_Questions!D90,"&amp;","&amp;amp;"),"&lt;","&amp;lt;"),"&gt;","&amp;gt;"),CHAR(34),"&amp;quot;"),"'","&amp;apos;"))</f>
        <v/>
      </c>
      <c r="H90" s="46">
        <f>Saisie_Questions!N90</f>
        <v/>
      </c>
      <c r="I90" s="46">
        <f>IF(Saisie_Questions!E90="",0,1)+IF(Saisie_Questions!F90="",0,1)+IF(Saisie_Questions!G90="",0,1)+IF(Saisie_Questions!H90="",0,1)+IF(Saisie_Questions!I90="",0,1)+IF(Saisie_Questions!J90="",0,1)+IF(Saisie_Questions!K90="",0,1)+IF(Saisie_Questions!L90="",0,1)</f>
        <v/>
      </c>
      <c r="J90" s="46">
        <f>Saisie_Questions!M90</f>
        <v/>
      </c>
      <c r="K90" s="46">
        <f>Saisie_Questions!O90</f>
        <v/>
      </c>
      <c r="L90" s="46">
        <f>IF(Saisie_Questions!E90="","",SUBSTITUTE(SUBSTITUTE(SUBSTITUTE(SUBSTITUTE(SUBSTITUTE(Saisie_Questions!E90,"&amp;","&amp;amp;"),"&lt;","&amp;lt;"),"&gt;","&amp;gt;"),CHAR(34),"&amp;quot;"),"'","&amp;apos;"))</f>
        <v/>
      </c>
      <c r="M90" s="46">
        <f>IF(Saisie_Questions!F90="","",SUBSTITUTE(SUBSTITUTE(SUBSTITUTE(SUBSTITUTE(SUBSTITUTE(Saisie_Questions!F90,"&amp;","&amp;amp;"),"&lt;","&amp;lt;"),"&gt;","&amp;gt;"),CHAR(34),"&amp;quot;"),"'","&amp;apos;"))</f>
        <v/>
      </c>
      <c r="N90" s="46">
        <f>IF(Saisie_Questions!G90="","",SUBSTITUTE(SUBSTITUTE(SUBSTITUTE(SUBSTITUTE(SUBSTITUTE(Saisie_Questions!G90,"&amp;","&amp;amp;"),"&lt;","&amp;lt;"),"&gt;","&amp;gt;"),CHAR(34),"&amp;quot;"),"'","&amp;apos;"))</f>
        <v/>
      </c>
      <c r="O90" s="46">
        <f>IF(Saisie_Questions!H90="","",SUBSTITUTE(SUBSTITUTE(SUBSTITUTE(SUBSTITUTE(SUBSTITUTE(Saisie_Questions!H90,"&amp;","&amp;amp;"),"&lt;","&amp;lt;"),"&gt;","&amp;gt;"),CHAR(34),"&amp;quot;"),"'","&amp;apos;"))</f>
        <v/>
      </c>
      <c r="P90" s="46">
        <f>IF(Saisie_Questions!I90="","",SUBSTITUTE(SUBSTITUTE(SUBSTITUTE(SUBSTITUTE(SUBSTITUTE(Saisie_Questions!I90,"&amp;","&amp;amp;"),"&lt;","&amp;lt;"),"&gt;","&amp;gt;"),CHAR(34),"&amp;quot;"),"'","&amp;apos;"))</f>
        <v/>
      </c>
      <c r="Q90" s="46">
        <f>IF(Saisie_Questions!J90="","",SUBSTITUTE(SUBSTITUTE(SUBSTITUTE(SUBSTITUTE(SUBSTITUTE(Saisie_Questions!J90,"&amp;","&amp;amp;"),"&lt;","&amp;lt;"),"&gt;","&amp;gt;"),CHAR(34),"&amp;quot;"),"'","&amp;apos;"))</f>
        <v/>
      </c>
      <c r="R90" s="46">
        <f>IF(Saisie_Questions!K90="","",SUBSTITUTE(SUBSTITUTE(SUBSTITUTE(SUBSTITUTE(SUBSTITUTE(Saisie_Questions!K90,"&amp;","&amp;amp;"),"&lt;","&amp;lt;"),"&gt;","&amp;gt;"),CHAR(34),"&amp;quot;"),"'","&amp;apos;"))</f>
        <v/>
      </c>
      <c r="S90" s="46">
        <f>IF(Saisie_Questions!L90="","",SUBSTITUTE(SUBSTITUTE(SUBSTITUTE(SUBSTITUTE(SUBSTITUTE(Saisie_Questions!L90,"&amp;","&amp;amp;"),"&lt;","&amp;lt;"),"&gt;","&amp;gt;"),CHAR(34),"&amp;quot;"),"'","&amp;apos;"))</f>
        <v/>
      </c>
      <c r="T90" s="46">
        <f>ISNUMBER(SEARCH(";"&amp;1&amp;";",";"&amp;$J90&amp;";"))</f>
        <v/>
      </c>
      <c r="U90" s="46">
        <f>ISNUMBER(SEARCH(";"&amp;2&amp;";",";"&amp;$J90&amp;";"))</f>
        <v/>
      </c>
      <c r="V90" s="46">
        <f>ISNUMBER(SEARCH(";"&amp;3&amp;";",";"&amp;$J90&amp;";"))</f>
        <v/>
      </c>
      <c r="W90" s="46">
        <f>ISNUMBER(SEARCH(";"&amp;4&amp;";",";"&amp;$J90&amp;";"))</f>
        <v/>
      </c>
      <c r="X90" s="46">
        <f>ISNUMBER(SEARCH(";"&amp;5&amp;";",";"&amp;$J90&amp;";"))</f>
        <v/>
      </c>
      <c r="Y90" s="46">
        <f>ISNUMBER(SEARCH(";"&amp;6&amp;";",";"&amp;$J90&amp;";"))</f>
        <v/>
      </c>
      <c r="Z90" s="46">
        <f>ISNUMBER(SEARCH(";"&amp;7&amp;";",";"&amp;$J90&amp;";"))</f>
        <v/>
      </c>
      <c r="AA90" s="46">
        <f>ISNUMBER(SEARCH(";"&amp;8&amp;";",";"&amp;$J90&amp;";"))</f>
        <v/>
      </c>
      <c r="AB90" s="46">
        <f>IF($B90,IF(L90="","","        &lt;response_label ident=""0""&gt;&lt;material&gt;&lt;mattext texttype=""text/html""&gt;"&amp;L90&amp;"&lt;/mattext&gt;&lt;/material&gt;&lt;/response_label&gt;"),"")</f>
        <v/>
      </c>
      <c r="AC90" s="46">
        <f>IF($B90,IF(M90="","","        &lt;response_label ident=""1""&gt;&lt;material&gt;&lt;mattext texttype=""text/html""&gt;"&amp;M90&amp;"&lt;/mattext&gt;&lt;/material&gt;&lt;/response_label&gt;"),"")</f>
        <v/>
      </c>
      <c r="AD90" s="46">
        <f>IF($B90,IF(N90="","","        &lt;response_label ident=""2""&gt;&lt;material&gt;&lt;mattext texttype=""text/html""&gt;"&amp;N90&amp;"&lt;/mattext&gt;&lt;/material&gt;&lt;/response_label&gt;"),"")</f>
        <v/>
      </c>
      <c r="AE90" s="46">
        <f>IF($B90,IF(O90="","","        &lt;response_label ident=""3""&gt;&lt;material&gt;&lt;mattext texttype=""text/html""&gt;"&amp;O90&amp;"&lt;/mattext&gt;&lt;/material&gt;&lt;/response_label&gt;"),"")</f>
        <v/>
      </c>
      <c r="AF90" s="46">
        <f>IF($B90,IF(P90="","","        &lt;response_label ident=""4""&gt;&lt;material&gt;&lt;mattext texttype=""text/html""&gt;"&amp;P90&amp;"&lt;/mattext&gt;&lt;/material&gt;&lt;/response_label&gt;"),"")</f>
        <v/>
      </c>
      <c r="AG90" s="46">
        <f>IF($B90,IF(Q90="","","        &lt;response_label ident=""5""&gt;&lt;material&gt;&lt;mattext texttype=""text/html""&gt;"&amp;Q90&amp;"&lt;/mattext&gt;&lt;/material&gt;&lt;/response_label&gt;"),"")</f>
        <v/>
      </c>
      <c r="AH90" s="46">
        <f>IF($B90,IF(R90="","","        &lt;response_label ident=""6""&gt;&lt;material&gt;&lt;mattext texttype=""text/html""&gt;"&amp;R90&amp;"&lt;/mattext&gt;&lt;/material&gt;&lt;/response_label&gt;"),"")</f>
        <v/>
      </c>
      <c r="AI90" s="46">
        <f>IF($B90,IF(S90="","","        &lt;response_label ident=""7""&gt;&lt;material&gt;&lt;mattext texttype=""text/html""&gt;"&amp;S90&amp;"&lt;/mattext&gt;&lt;/material&gt;&lt;/response_label&gt;"),"")</f>
        <v/>
      </c>
      <c r="AJ90" s="46">
        <f>IF($B90,IF(L90="","",IF($C90="qcu",IF(OR(T90,AT90&lt;&gt;"",$AS90&lt;&gt;""),"      &lt;respcondition continue=""Yes""&gt;&lt;conditionvar&gt;&lt;varequal respident=""RESPONSE""&gt;0&lt;/varequal&gt;&lt;/conditionvar&gt;"&amp;"&lt;setvar action=""Add""&gt;"&amp;IF(T90,$H90,0)&amp;"&lt;/setvar&gt;"&amp;IF(AT90&lt;&gt;"","&lt;displayfeedback feedbacktype=""Response"" linkrefid=""response_0""/&gt;",IF($AS90&lt;&gt;"","&lt;displayfeedback feedbacktype=""Response"" linkrefid=""qti_feedback_trigger""/&gt;",""))&amp;"&lt;/respcondition&gt;",""),IF(OR(T90,AT90&lt;&gt;"",$AS90&lt;&gt;""),"      &lt;respcondition continue=""Yes""&gt;&lt;conditionvar&gt;"&amp;IF(T90,"&lt;varequal respident=""RESPONSE""&gt;0&lt;/varequal&gt;","&lt;not&gt;&lt;varequal respident=""RESPONSE""&gt;0&lt;/varequal&gt;&lt;/not&gt;")&amp;"&lt;/conditionvar&gt;&lt;setvar action=""Add""&gt;"&amp;(Saisie_Questions!$N90/$I90)&amp;"&lt;/setvar&gt;"&amp;IF(AT90&lt;&gt;"","&lt;displayfeedback feedbacktype=""Response"" linkrefid=""response_0""/&gt;",IF($AS90&lt;&gt;"","&lt;displayfeedback feedbacktype=""Response"" linkrefid=""qti_feedback_trigger""/&gt;",""))&amp;"&lt;/respcondition&gt;",""))),"")</f>
      </c>
      <c r="AK90" s="46">
        <f>IF($B90,IF(M90="","",IF($C90="qcu",IF(OR(U90,AU90&lt;&gt;"",$AS90&lt;&gt;""),"      &lt;respcondition continue=""Yes""&gt;&lt;conditionvar&gt;&lt;varequal respident=""RESPONSE""&gt;1&lt;/varequal&gt;&lt;/conditionvar&gt;"&amp;"&lt;setvar action=""Add""&gt;"&amp;IF(U90,$H90,0)&amp;"&lt;/setvar&gt;"&amp;IF(AU90&lt;&gt;"","&lt;displayfeedback feedbacktype=""Response"" linkrefid=""response_1""/&gt;",IF($AS90&lt;&gt;"","&lt;displayfeedback feedbacktype=""Response"" linkrefid=""qti_feedback_trigger""/&gt;",""))&amp;"&lt;/respcondition&gt;",""),IF(OR(U90,AU90&lt;&gt;"",$AS90&lt;&gt;""),"      &lt;respcondition continue=""Yes""&gt;&lt;conditionvar&gt;"&amp;IF(U90,"&lt;varequal respident=""RESPONSE""&gt;1&lt;/varequal&gt;","&lt;not&gt;&lt;varequal respident=""RESPONSE""&gt;1&lt;/varequal&gt;&lt;/not&gt;")&amp;"&lt;/conditionvar&gt;&lt;setvar action=""Add""&gt;"&amp;(Saisie_Questions!$N90/$I90)&amp;"&lt;/setvar&gt;"&amp;IF(AU90&lt;&gt;"","&lt;displayfeedback feedbacktype=""Response"" linkrefid=""response_1""/&gt;",IF($AS90&lt;&gt;"","&lt;displayfeedback feedbacktype=""Response"" linkrefid=""qti_feedback_trigger""/&gt;",""))&amp;"&lt;/respcondition&gt;",""))),"")</f>
      </c>
      <c r="AL90" s="46">
        <f>IF($B90,IF(N90="","",IF($C90="qcu",IF(OR(V90,AV90&lt;&gt;"",$AS90&lt;&gt;""),"      &lt;respcondition continue=""Yes""&gt;&lt;conditionvar&gt;&lt;varequal respident=""RESPONSE""&gt;2&lt;/varequal&gt;&lt;/conditionvar&gt;"&amp;"&lt;setvar action=""Add""&gt;"&amp;IF(V90,$H90,0)&amp;"&lt;/setvar&gt;"&amp;IF(AV90&lt;&gt;"","&lt;displayfeedback feedbacktype=""Response"" linkrefid=""response_2""/&gt;",IF($AS90&lt;&gt;"","&lt;displayfeedback feedbacktype=""Response"" linkrefid=""qti_feedback_trigger""/&gt;",""))&amp;"&lt;/respcondition&gt;",""),IF(OR(V90,AV90&lt;&gt;"",$AS90&lt;&gt;""),"      &lt;respcondition continue=""Yes""&gt;&lt;conditionvar&gt;"&amp;IF(V90,"&lt;varequal respident=""RESPONSE""&gt;2&lt;/varequal&gt;","&lt;not&gt;&lt;varequal respident=""RESPONSE""&gt;2&lt;/varequal&gt;&lt;/not&gt;")&amp;"&lt;/conditionvar&gt;&lt;setvar action=""Add""&gt;"&amp;(Saisie_Questions!$N90/$I90)&amp;"&lt;/setvar&gt;"&amp;IF(AV90&lt;&gt;"","&lt;displayfeedback feedbacktype=""Response"" linkrefid=""response_2""/&gt;",IF($AS90&lt;&gt;"","&lt;displayfeedback feedbacktype=""Response"" linkrefid=""qti_feedback_trigger""/&gt;",""))&amp;"&lt;/respcondition&gt;",""))),"")</f>
      </c>
      <c r="AM90" s="46">
        <f>IF($B90,IF(O90="","",IF($C90="qcu",IF(OR(W90,AW90&lt;&gt;"",$AS90&lt;&gt;""),"      &lt;respcondition continue=""Yes""&gt;&lt;conditionvar&gt;&lt;varequal respident=""RESPONSE""&gt;3&lt;/varequal&gt;&lt;/conditionvar&gt;"&amp;"&lt;setvar action=""Add""&gt;"&amp;IF(W90,$H90,0)&amp;"&lt;/setvar&gt;"&amp;IF(AW90&lt;&gt;"","&lt;displayfeedback feedbacktype=""Response"" linkrefid=""response_3""/&gt;",IF($AS90&lt;&gt;"","&lt;displayfeedback feedbacktype=""Response"" linkrefid=""qti_feedback_trigger""/&gt;",""))&amp;"&lt;/respcondition&gt;",""),IF(OR(W90,AW90&lt;&gt;"",$AS90&lt;&gt;""),"      &lt;respcondition continue=""Yes""&gt;&lt;conditionvar&gt;"&amp;IF(W90,"&lt;varequal respident=""RESPONSE""&gt;3&lt;/varequal&gt;","&lt;not&gt;&lt;varequal respident=""RESPONSE""&gt;3&lt;/varequal&gt;&lt;/not&gt;")&amp;"&lt;/conditionvar&gt;&lt;setvar action=""Add""&gt;"&amp;(Saisie_Questions!$N90/$I90)&amp;"&lt;/setvar&gt;"&amp;IF(AW90&lt;&gt;"","&lt;displayfeedback feedbacktype=""Response"" linkrefid=""response_3""/&gt;",IF($AS90&lt;&gt;"","&lt;displayfeedback feedbacktype=""Response"" linkrefid=""qti_feedback_trigger""/&gt;",""))&amp;"&lt;/respcondition&gt;",""))),"")</f>
      </c>
      <c r="AN90" s="46">
        <f>IF($B90,IF(P90="","",IF($C90="qcu",IF(OR(X90,AX90&lt;&gt;"",$AS90&lt;&gt;""),"      &lt;respcondition continue=""Yes""&gt;&lt;conditionvar&gt;&lt;varequal respident=""RESPONSE""&gt;4&lt;/varequal&gt;&lt;/conditionvar&gt;"&amp;"&lt;setvar action=""Add""&gt;"&amp;IF(X90,$H90,0)&amp;"&lt;/setvar&gt;"&amp;IF(AX90&lt;&gt;"","&lt;displayfeedback feedbacktype=""Response"" linkrefid=""response_4""/&gt;",IF($AS90&lt;&gt;"","&lt;displayfeedback feedbacktype=""Response"" linkrefid=""qti_feedback_trigger""/&gt;",""))&amp;"&lt;/respcondition&gt;",""),IF(OR(X90,AX90&lt;&gt;"",$AS90&lt;&gt;""),"      &lt;respcondition continue=""Yes""&gt;&lt;conditionvar&gt;"&amp;IF(X90,"&lt;varequal respident=""RESPONSE""&gt;4&lt;/varequal&gt;","&lt;not&gt;&lt;varequal respident=""RESPONSE""&gt;4&lt;/varequal&gt;&lt;/not&gt;")&amp;"&lt;/conditionvar&gt;&lt;setvar action=""Add""&gt;"&amp;(Saisie_Questions!$N90/$I90)&amp;"&lt;/setvar&gt;"&amp;IF(AX90&lt;&gt;"","&lt;displayfeedback feedbacktype=""Response"" linkrefid=""response_4""/&gt;",IF($AS90&lt;&gt;"","&lt;displayfeedback feedbacktype=""Response"" linkrefid=""qti_feedback_trigger""/&gt;",""))&amp;"&lt;/respcondition&gt;",""))),"")</f>
      </c>
      <c r="AO90" s="46">
        <f>IF($B90,IF(Q90="","",IF($C90="qcu",IF(OR(Y90,AY90&lt;&gt;"",$AS90&lt;&gt;""),"      &lt;respcondition continue=""Yes""&gt;&lt;conditionvar&gt;&lt;varequal respident=""RESPONSE""&gt;5&lt;/varequal&gt;&lt;/conditionvar&gt;"&amp;"&lt;setvar action=""Add""&gt;"&amp;IF(Y90,$H90,0)&amp;"&lt;/setvar&gt;"&amp;IF(AY90&lt;&gt;"","&lt;displayfeedback feedbacktype=""Response"" linkrefid=""response_5""/&gt;",IF($AS90&lt;&gt;"","&lt;displayfeedback feedbacktype=""Response"" linkrefid=""qti_feedback_trigger""/&gt;",""))&amp;"&lt;/respcondition&gt;",""),IF(OR(Y90,AY90&lt;&gt;"",$AS90&lt;&gt;""),"      &lt;respcondition continue=""Yes""&gt;&lt;conditionvar&gt;"&amp;IF(Y90,"&lt;varequal respident=""RESPONSE""&gt;5&lt;/varequal&gt;","&lt;not&gt;&lt;varequal respident=""RESPONSE""&gt;5&lt;/varequal&gt;&lt;/not&gt;")&amp;"&lt;/conditionvar&gt;&lt;setvar action=""Add""&gt;"&amp;(Saisie_Questions!$N90/$I90)&amp;"&lt;/setvar&gt;"&amp;IF(AY90&lt;&gt;"","&lt;displayfeedback feedbacktype=""Response"" linkrefid=""response_5""/&gt;",IF($AS90&lt;&gt;"","&lt;displayfeedback feedbacktype=""Response"" linkrefid=""qti_feedback_trigger""/&gt;",""))&amp;"&lt;/respcondition&gt;",""))),"")</f>
      </c>
      <c r="AP90" s="46">
        <f>IF($B90,IF(R90="","",IF($C90="qcu",IF(OR(Z90,AZ90&lt;&gt;"",$AS90&lt;&gt;""),"      &lt;respcondition continue=""Yes""&gt;&lt;conditionvar&gt;&lt;varequal respident=""RESPONSE""&gt;6&lt;/varequal&gt;&lt;/conditionvar&gt;"&amp;"&lt;setvar action=""Add""&gt;"&amp;IF(Z90,$H90,0)&amp;"&lt;/setvar&gt;"&amp;IF(AZ90&lt;&gt;"","&lt;displayfeedback feedbacktype=""Response"" linkrefid=""response_6""/&gt;",IF($AS90&lt;&gt;"","&lt;displayfeedback feedbacktype=""Response"" linkrefid=""qti_feedback_trigger""/&gt;",""))&amp;"&lt;/respcondition&gt;",""),IF(OR(Z90,AZ90&lt;&gt;"",$AS90&lt;&gt;""),"      &lt;respcondition continue=""Yes""&gt;&lt;conditionvar&gt;"&amp;IF(Z90,"&lt;varequal respident=""RESPONSE""&gt;6&lt;/varequal&gt;","&lt;not&gt;&lt;varequal respident=""RESPONSE""&gt;6&lt;/varequal&gt;&lt;/not&gt;")&amp;"&lt;/conditionvar&gt;&lt;setvar action=""Add""&gt;"&amp;(Saisie_Questions!$N90/$I90)&amp;"&lt;/setvar&gt;"&amp;IF(AZ90&lt;&gt;"","&lt;displayfeedback feedbacktype=""Response"" linkrefid=""response_6""/&gt;",IF($AS90&lt;&gt;"","&lt;displayfeedback feedbacktype=""Response"" linkrefid=""qti_feedback_trigger""/&gt;",""))&amp;"&lt;/respcondition&gt;",""))),"")</f>
      </c>
      <c r="AQ90" s="46">
        <f>IF($B90,IF(S90="","",IF($C90="qcu",IF(OR(AA90,BA90&lt;&gt;"",$AS90&lt;&gt;""),"      &lt;respcondition continue=""Yes""&gt;&lt;conditionvar&gt;&lt;varequal respident=""RESPONSE""&gt;7&lt;/varequal&gt;&lt;/conditionvar&gt;"&amp;"&lt;setvar action=""Add""&gt;"&amp;IF(AA90,$H90,0)&amp;"&lt;/setvar&gt;"&amp;IF(BA90&lt;&gt;"","&lt;displayfeedback feedbacktype=""Response"" linkrefid=""response_7""/&gt;",IF($AS90&lt;&gt;"","&lt;displayfeedback feedbacktype=""Response"" linkrefid=""qti_feedback_trigger""/&gt;",""))&amp;"&lt;/respcondition&gt;",""),IF(OR(AA90,BA90&lt;&gt;"",$AS90&lt;&gt;""),"      &lt;respcondition continue=""Yes""&gt;&lt;conditionvar&gt;"&amp;IF(AA90,"&lt;varequal respident=""RESPONSE""&gt;7&lt;/varequal&gt;","&lt;not&gt;&lt;varequal respident=""RESPONSE""&gt;7&lt;/varequal&gt;&lt;/not&gt;")&amp;"&lt;/conditionvar&gt;&lt;setvar action=""Add""&gt;"&amp;(Saisie_Questions!$N90/$I90)&amp;"&lt;/setvar&gt;"&amp;IF(BA90&lt;&gt;"","&lt;displayfeedback feedbacktype=""Response"" linkrefid=""response_7""/&gt;",IF($AS90&lt;&gt;"","&lt;displayfeedback feedbacktype=""Response"" linkrefid=""qti_feedback_trigger""/&gt;",""))&amp;"&lt;/respcondition&gt;",""))),"")</f>
      </c>
      <c r="AR90" s="46">
        <f>IF(A90="","",SUBSTITUTE(SUBSTITUTE(SUBSTITUTE(SUBSTITUTE(SUBSTITUTE(IF(Saisie_Questions!P90&lt;&gt;"",Saisie_Questions!P90,Interface_Generation!$B$5),"&amp;","&amp;amp;"),"&lt;","&amp;lt;"),"&gt;","&amp;gt;"),CHAR(34),"&amp;quot;"),"'","&amp;apos;"))</f>
        <v/>
      </c>
      <c r="AS90" s="46">
        <f>IF(Saisie_Questions!Q90="","",SUBSTITUTE(SUBSTITUTE(SUBSTITUTE(SUBSTITUTE(SUBSTITUTE(Saisie_Questions!Q90,"&amp;","&amp;amp;"),"&lt;","&amp;lt;"),"&gt;","&amp;gt;"),CHAR(34),"&amp;quot;"),"'","&amp;apos;"))</f>
        <v/>
      </c>
      <c r="AT90" s="46">
        <f>IF(Saisie_Questions!R90="","",SUBSTITUTE(SUBSTITUTE(SUBSTITUTE(SUBSTITUTE(SUBSTITUTE(Saisie_Questions!R90,"&amp;","&amp;amp;"),"&lt;","&amp;lt;"),"&gt;","&amp;gt;"),CHAR(34),"&amp;quot;"),"'","&amp;apos;"))</f>
        <v/>
      </c>
      <c r="AU90" s="46">
        <f>IF(Saisie_Questions!S90="","",SUBSTITUTE(SUBSTITUTE(SUBSTITUTE(SUBSTITUTE(SUBSTITUTE(Saisie_Questions!S90,"&amp;","&amp;amp;"),"&lt;","&amp;lt;"),"&gt;","&amp;gt;"),CHAR(34),"&amp;quot;"),"'","&amp;apos;"))</f>
        <v/>
      </c>
      <c r="AV90" s="46">
        <f>IF(Saisie_Questions!T90="","",SUBSTITUTE(SUBSTITUTE(SUBSTITUTE(SUBSTITUTE(SUBSTITUTE(Saisie_Questions!T90,"&amp;","&amp;amp;"),"&lt;","&amp;lt;"),"&gt;","&amp;gt;"),CHAR(34),"&amp;quot;"),"'","&amp;apos;"))</f>
        <v/>
      </c>
      <c r="AW90" s="46">
        <f>IF(Saisie_Questions!U90="","",SUBSTITUTE(SUBSTITUTE(SUBSTITUTE(SUBSTITUTE(SUBSTITUTE(Saisie_Questions!U90,"&amp;","&amp;amp;"),"&lt;","&amp;lt;"),"&gt;","&amp;gt;"),CHAR(34),"&amp;quot;"),"'","&amp;apos;"))</f>
        <v/>
      </c>
      <c r="AX90" s="46">
        <f>IF(Saisie_Questions!V90="","",SUBSTITUTE(SUBSTITUTE(SUBSTITUTE(SUBSTITUTE(SUBSTITUTE(Saisie_Questions!V90,"&amp;","&amp;amp;"),"&lt;","&amp;lt;"),"&gt;","&amp;gt;"),CHAR(34),"&amp;quot;"),"'","&amp;apos;"))</f>
        <v/>
      </c>
      <c r="AY90" s="46">
        <f>IF(Saisie_Questions!W90="","",SUBSTITUTE(SUBSTITUTE(SUBSTITUTE(SUBSTITUTE(SUBSTITUTE(Saisie_Questions!W90,"&amp;","&amp;amp;"),"&lt;","&amp;lt;"),"&gt;","&amp;gt;"),CHAR(34),"&amp;quot;"),"'","&amp;apos;"))</f>
        <v/>
      </c>
      <c r="AZ90" s="46">
        <f>IF(Saisie_Questions!X90="","",SUBSTITUTE(SUBSTITUTE(SUBSTITUTE(SUBSTITUTE(SUBSTITUTE(Saisie_Questions!X90,"&amp;","&amp;amp;"),"&lt;","&amp;lt;"),"&gt;","&amp;gt;"),CHAR(34),"&amp;quot;"),"'","&amp;apos;"))</f>
        <v/>
      </c>
      <c r="BA90" s="46">
        <f>IF(Saisie_Questions!Y90="","",SUBSTITUTE(SUBSTITUTE(SUBSTITUTE(SUBSTITUTE(SUBSTITUTE(Saisie_Questions!Y90,"&amp;","&amp;amp;"),"&lt;","&amp;lt;"),"&gt;","&amp;gt;"),CHAR(34),"&amp;quot;"),"'","&amp;apos;"))</f>
        <v/>
      </c>
      <c r="BB90" s="46">
        <f>IF($B90,IF($AS90="","","    &lt;itemfeedback ident=""response_allcorrect"" view=""All""&gt;&lt;flow_mat&gt;&lt;material&gt;&lt;mattext texttype=""text/html""&gt;"&amp;$AS90&amp;"&lt;/mattext&gt;&lt;/material&gt;&lt;/flow_mat&gt;&lt;/itemfeedback&gt;"&amp;"    &lt;itemfeedback ident=""response_onenotcorrect"" view=""All""&gt;&lt;flow_mat&gt;&lt;material&gt;&lt;mattext texttype=""text/html""&gt;"&amp;$AS90&amp;"&lt;/mattext&gt;&lt;/material&gt;&lt;/flow_mat&gt;&lt;/itemfeedback&gt;"),"")</f>
      </c>
      <c r="BC90" s="46">
        <f>IF($B90,IF(AT90="","","    &lt;itemfeedback ident=""response_0"" view=""All""&gt;&lt;flow_mat&gt;&lt;material&gt;&lt;mattext texttype=""text/html""&gt;"&amp;AT90&amp;"&lt;/mattext&gt;&lt;/material&gt;&lt;/flow_mat&gt;&lt;/itemfeedback&gt;"),"")</f>
      </c>
      <c r="BD90" s="46">
        <f>IF($B90,IF(AU90="","","    &lt;itemfeedback ident=""response_1"" view=""All""&gt;&lt;flow_mat&gt;&lt;material&gt;&lt;mattext texttype=""text/html""&gt;"&amp;AU90&amp;"&lt;/mattext&gt;&lt;/material&gt;&lt;/flow_mat&gt;&lt;/itemfeedback&gt;"),"")</f>
      </c>
      <c r="BE90" s="46">
        <f>IF($B90,IF(AV90="","","    &lt;itemfeedback ident=""response_2"" view=""All""&gt;&lt;flow_mat&gt;&lt;material&gt;&lt;mattext texttype=""text/html""&gt;"&amp;AV90&amp;"&lt;/mattext&gt;&lt;/material&gt;&lt;/flow_mat&gt;&lt;/itemfeedback&gt;"),"")</f>
      </c>
      <c r="BF90" s="46">
        <f>IF($B90,IF(AW90="","","    &lt;itemfeedback ident=""response_3"" view=""All""&gt;&lt;flow_mat&gt;&lt;material&gt;&lt;mattext texttype=""text/html""&gt;"&amp;AW90&amp;"&lt;/mattext&gt;&lt;/material&gt;&lt;/flow_mat&gt;&lt;/itemfeedback&gt;"),"")</f>
      </c>
      <c r="BG90" s="46">
        <f>IF($B90,IF(AX90="","","    &lt;itemfeedback ident=""response_4"" view=""All""&gt;&lt;flow_mat&gt;&lt;material&gt;&lt;mattext texttype=""text/html""&gt;"&amp;AX90&amp;"&lt;/mattext&gt;&lt;/material&gt;&lt;/flow_mat&gt;&lt;/itemfeedback&gt;"),"")</f>
      </c>
      <c r="BH90" s="46">
        <f>IF($B90,IF(AY90="","","    &lt;itemfeedback ident=""response_5"" view=""All""&gt;&lt;flow_mat&gt;&lt;material&gt;&lt;mattext texttype=""text/html""&gt;"&amp;AY90&amp;"&lt;/mattext&gt;&lt;/material&gt;&lt;/flow_mat&gt;&lt;/itemfeedback&gt;"),"")</f>
      </c>
      <c r="BI90" s="46">
        <f>IF($B90,IF(AZ90="","","    &lt;itemfeedback ident=""response_6"" view=""All""&gt;&lt;flow_mat&gt;&lt;material&gt;&lt;mattext texttype=""text/html""&gt;"&amp;AZ90&amp;"&lt;/mattext&gt;&lt;/material&gt;&lt;/flow_mat&gt;&lt;/itemfeedback&gt;"),"")</f>
      </c>
      <c r="BJ90" s="46">
        <f>IF($B90,IF(BA90="","","    &lt;itemfeedback ident=""response_7"" view=""All""&gt;&lt;flow_mat&gt;&lt;material&gt;&lt;mattext texttype=""text/html""&gt;"&amp;BA90&amp;"&lt;/mattext&gt;&lt;/material&gt;&lt;/flow_mat&gt;&lt;/itemfeedback&gt;"),"")</f>
      </c>
    </row>
    <row r="91" ht="18" customHeight="1" s="17">
      <c r="A91" s="46">
        <f>Saisie_Questions!A91</f>
        <v/>
      </c>
      <c r="B91" s="46">
        <f>Saisie_Questions!O91="OK"</f>
        <v/>
      </c>
      <c r="C91" s="46">
        <f>LOWER(TRIM(Saisie_Questions!B91))</f>
        <v/>
      </c>
      <c r="D91" s="46">
        <f>IF(C91="qcu","SINGLE CHOICE QUESTION","MULTIPLE CHOICE QUESTION")</f>
        <v/>
      </c>
      <c r="E91" s="46">
        <f>IF(C91="qcu","Single","Multiple")</f>
        <v/>
      </c>
      <c r="F91" s="46">
        <f>IF(A91="","",SUBSTITUTE(SUBSTITUTE(SUBSTITUTE(SUBSTITUTE(SUBSTITUTE(IF(Saisie_Questions!C91="", "Question "&amp;A91, Saisie_Questions!C91),"&amp;","&amp;amp;"),"&lt;","&amp;lt;"),"&gt;","&amp;gt;"),CHAR(34),"&amp;quot;"),"'","&amp;apos;"))</f>
        <v/>
      </c>
      <c r="G91" s="46">
        <f>IF(A91="","",SUBSTITUTE(SUBSTITUTE(SUBSTITUTE(SUBSTITUTE(SUBSTITUTE(Saisie_Questions!D91,"&amp;","&amp;amp;"),"&lt;","&amp;lt;"),"&gt;","&amp;gt;"),CHAR(34),"&amp;quot;"),"'","&amp;apos;"))</f>
        <v/>
      </c>
      <c r="H91" s="46">
        <f>Saisie_Questions!N91</f>
        <v/>
      </c>
      <c r="I91" s="46">
        <f>IF(Saisie_Questions!E91="",0,1)+IF(Saisie_Questions!F91="",0,1)+IF(Saisie_Questions!G91="",0,1)+IF(Saisie_Questions!H91="",0,1)+IF(Saisie_Questions!I91="",0,1)+IF(Saisie_Questions!J91="",0,1)+IF(Saisie_Questions!K91="",0,1)+IF(Saisie_Questions!L91="",0,1)</f>
        <v/>
      </c>
      <c r="J91" s="46">
        <f>Saisie_Questions!M91</f>
        <v/>
      </c>
      <c r="K91" s="46">
        <f>Saisie_Questions!O91</f>
        <v/>
      </c>
      <c r="L91" s="46">
        <f>IF(Saisie_Questions!E91="","",SUBSTITUTE(SUBSTITUTE(SUBSTITUTE(SUBSTITUTE(SUBSTITUTE(Saisie_Questions!E91,"&amp;","&amp;amp;"),"&lt;","&amp;lt;"),"&gt;","&amp;gt;"),CHAR(34),"&amp;quot;"),"'","&amp;apos;"))</f>
        <v/>
      </c>
      <c r="M91" s="46">
        <f>IF(Saisie_Questions!F91="","",SUBSTITUTE(SUBSTITUTE(SUBSTITUTE(SUBSTITUTE(SUBSTITUTE(Saisie_Questions!F91,"&amp;","&amp;amp;"),"&lt;","&amp;lt;"),"&gt;","&amp;gt;"),CHAR(34),"&amp;quot;"),"'","&amp;apos;"))</f>
        <v/>
      </c>
      <c r="N91" s="46">
        <f>IF(Saisie_Questions!G91="","",SUBSTITUTE(SUBSTITUTE(SUBSTITUTE(SUBSTITUTE(SUBSTITUTE(Saisie_Questions!G91,"&amp;","&amp;amp;"),"&lt;","&amp;lt;"),"&gt;","&amp;gt;"),CHAR(34),"&amp;quot;"),"'","&amp;apos;"))</f>
        <v/>
      </c>
      <c r="O91" s="46">
        <f>IF(Saisie_Questions!H91="","",SUBSTITUTE(SUBSTITUTE(SUBSTITUTE(SUBSTITUTE(SUBSTITUTE(Saisie_Questions!H91,"&amp;","&amp;amp;"),"&lt;","&amp;lt;"),"&gt;","&amp;gt;"),CHAR(34),"&amp;quot;"),"'","&amp;apos;"))</f>
        <v/>
      </c>
      <c r="P91" s="46">
        <f>IF(Saisie_Questions!I91="","",SUBSTITUTE(SUBSTITUTE(SUBSTITUTE(SUBSTITUTE(SUBSTITUTE(Saisie_Questions!I91,"&amp;","&amp;amp;"),"&lt;","&amp;lt;"),"&gt;","&amp;gt;"),CHAR(34),"&amp;quot;"),"'","&amp;apos;"))</f>
        <v/>
      </c>
      <c r="Q91" s="46">
        <f>IF(Saisie_Questions!J91="","",SUBSTITUTE(SUBSTITUTE(SUBSTITUTE(SUBSTITUTE(SUBSTITUTE(Saisie_Questions!J91,"&amp;","&amp;amp;"),"&lt;","&amp;lt;"),"&gt;","&amp;gt;"),CHAR(34),"&amp;quot;"),"'","&amp;apos;"))</f>
        <v/>
      </c>
      <c r="R91" s="46">
        <f>IF(Saisie_Questions!K91="","",SUBSTITUTE(SUBSTITUTE(SUBSTITUTE(SUBSTITUTE(SUBSTITUTE(Saisie_Questions!K91,"&amp;","&amp;amp;"),"&lt;","&amp;lt;"),"&gt;","&amp;gt;"),CHAR(34),"&amp;quot;"),"'","&amp;apos;"))</f>
        <v/>
      </c>
      <c r="S91" s="46">
        <f>IF(Saisie_Questions!L91="","",SUBSTITUTE(SUBSTITUTE(SUBSTITUTE(SUBSTITUTE(SUBSTITUTE(Saisie_Questions!L91,"&amp;","&amp;amp;"),"&lt;","&amp;lt;"),"&gt;","&amp;gt;"),CHAR(34),"&amp;quot;"),"'","&amp;apos;"))</f>
        <v/>
      </c>
      <c r="T91" s="46">
        <f>ISNUMBER(SEARCH(";"&amp;1&amp;";",";"&amp;$J91&amp;";"))</f>
        <v/>
      </c>
      <c r="U91" s="46">
        <f>ISNUMBER(SEARCH(";"&amp;2&amp;";",";"&amp;$J91&amp;";"))</f>
        <v/>
      </c>
      <c r="V91" s="46">
        <f>ISNUMBER(SEARCH(";"&amp;3&amp;";",";"&amp;$J91&amp;";"))</f>
        <v/>
      </c>
      <c r="W91" s="46">
        <f>ISNUMBER(SEARCH(";"&amp;4&amp;";",";"&amp;$J91&amp;";"))</f>
        <v/>
      </c>
      <c r="X91" s="46">
        <f>ISNUMBER(SEARCH(";"&amp;5&amp;";",";"&amp;$J91&amp;";"))</f>
        <v/>
      </c>
      <c r="Y91" s="46">
        <f>ISNUMBER(SEARCH(";"&amp;6&amp;";",";"&amp;$J91&amp;";"))</f>
        <v/>
      </c>
      <c r="Z91" s="46">
        <f>ISNUMBER(SEARCH(";"&amp;7&amp;";",";"&amp;$J91&amp;";"))</f>
        <v/>
      </c>
      <c r="AA91" s="46">
        <f>ISNUMBER(SEARCH(";"&amp;8&amp;";",";"&amp;$J91&amp;";"))</f>
        <v/>
      </c>
      <c r="AB91" s="46">
        <f>IF($B91,IF(L91="","","        &lt;response_label ident=""0""&gt;&lt;material&gt;&lt;mattext texttype=""text/html""&gt;"&amp;L91&amp;"&lt;/mattext&gt;&lt;/material&gt;&lt;/response_label&gt;"),"")</f>
        <v/>
      </c>
      <c r="AC91" s="46">
        <f>IF($B91,IF(M91="","","        &lt;response_label ident=""1""&gt;&lt;material&gt;&lt;mattext texttype=""text/html""&gt;"&amp;M91&amp;"&lt;/mattext&gt;&lt;/material&gt;&lt;/response_label&gt;"),"")</f>
        <v/>
      </c>
      <c r="AD91" s="46">
        <f>IF($B91,IF(N91="","","        &lt;response_label ident=""2""&gt;&lt;material&gt;&lt;mattext texttype=""text/html""&gt;"&amp;N91&amp;"&lt;/mattext&gt;&lt;/material&gt;&lt;/response_label&gt;"),"")</f>
        <v/>
      </c>
      <c r="AE91" s="46">
        <f>IF($B91,IF(O91="","","        &lt;response_label ident=""3""&gt;&lt;material&gt;&lt;mattext texttype=""text/html""&gt;"&amp;O91&amp;"&lt;/mattext&gt;&lt;/material&gt;&lt;/response_label&gt;"),"")</f>
        <v/>
      </c>
      <c r="AF91" s="46">
        <f>IF($B91,IF(P91="","","        &lt;response_label ident=""4""&gt;&lt;material&gt;&lt;mattext texttype=""text/html""&gt;"&amp;P91&amp;"&lt;/mattext&gt;&lt;/material&gt;&lt;/response_label&gt;"),"")</f>
        <v/>
      </c>
      <c r="AG91" s="46">
        <f>IF($B91,IF(Q91="","","        &lt;response_label ident=""5""&gt;&lt;material&gt;&lt;mattext texttype=""text/html""&gt;"&amp;Q91&amp;"&lt;/mattext&gt;&lt;/material&gt;&lt;/response_label&gt;"),"")</f>
        <v/>
      </c>
      <c r="AH91" s="46">
        <f>IF($B91,IF(R91="","","        &lt;response_label ident=""6""&gt;&lt;material&gt;&lt;mattext texttype=""text/html""&gt;"&amp;R91&amp;"&lt;/mattext&gt;&lt;/material&gt;&lt;/response_label&gt;"),"")</f>
        <v/>
      </c>
      <c r="AI91" s="46">
        <f>IF($B91,IF(S91="","","        &lt;response_label ident=""7""&gt;&lt;material&gt;&lt;mattext texttype=""text/html""&gt;"&amp;S91&amp;"&lt;/mattext&gt;&lt;/material&gt;&lt;/response_label&gt;"),"")</f>
        <v/>
      </c>
      <c r="AJ91" s="46">
        <f>IF($B91,IF(L91="","",IF($C91="qcu",IF(OR(T91,AT91&lt;&gt;"",$AS91&lt;&gt;""),"      &lt;respcondition continue=""Yes""&gt;&lt;conditionvar&gt;&lt;varequal respident=""RESPONSE""&gt;0&lt;/varequal&gt;&lt;/conditionvar&gt;"&amp;"&lt;setvar action=""Add""&gt;"&amp;IF(T91,$H91,0)&amp;"&lt;/setvar&gt;"&amp;IF(AT91&lt;&gt;"","&lt;displayfeedback feedbacktype=""Response"" linkrefid=""response_0""/&gt;",IF($AS91&lt;&gt;"","&lt;displayfeedback feedbacktype=""Response"" linkrefid=""qti_feedback_trigger""/&gt;",""))&amp;"&lt;/respcondition&gt;",""),IF(OR(T91,AT91&lt;&gt;"",$AS91&lt;&gt;""),"      &lt;respcondition continue=""Yes""&gt;&lt;conditionvar&gt;"&amp;IF(T91,"&lt;varequal respident=""RESPONSE""&gt;0&lt;/varequal&gt;","&lt;not&gt;&lt;varequal respident=""RESPONSE""&gt;0&lt;/varequal&gt;&lt;/not&gt;")&amp;"&lt;/conditionvar&gt;&lt;setvar action=""Add""&gt;"&amp;(Saisie_Questions!$N91/$I91)&amp;"&lt;/setvar&gt;"&amp;IF(AT91&lt;&gt;"","&lt;displayfeedback feedbacktype=""Response"" linkrefid=""response_0""/&gt;",IF($AS91&lt;&gt;"","&lt;displayfeedback feedbacktype=""Response"" linkrefid=""qti_feedback_trigger""/&gt;",""))&amp;"&lt;/respcondition&gt;",""))),"")</f>
      </c>
      <c r="AK91" s="46">
        <f>IF($B91,IF(M91="","",IF($C91="qcu",IF(OR(U91,AU91&lt;&gt;"",$AS91&lt;&gt;""),"      &lt;respcondition continue=""Yes""&gt;&lt;conditionvar&gt;&lt;varequal respident=""RESPONSE""&gt;1&lt;/varequal&gt;&lt;/conditionvar&gt;"&amp;"&lt;setvar action=""Add""&gt;"&amp;IF(U91,$H91,0)&amp;"&lt;/setvar&gt;"&amp;IF(AU91&lt;&gt;"","&lt;displayfeedback feedbacktype=""Response"" linkrefid=""response_1""/&gt;",IF($AS91&lt;&gt;"","&lt;displayfeedback feedbacktype=""Response"" linkrefid=""qti_feedback_trigger""/&gt;",""))&amp;"&lt;/respcondition&gt;",""),IF(OR(U91,AU91&lt;&gt;"",$AS91&lt;&gt;""),"      &lt;respcondition continue=""Yes""&gt;&lt;conditionvar&gt;"&amp;IF(U91,"&lt;varequal respident=""RESPONSE""&gt;1&lt;/varequal&gt;","&lt;not&gt;&lt;varequal respident=""RESPONSE""&gt;1&lt;/varequal&gt;&lt;/not&gt;")&amp;"&lt;/conditionvar&gt;&lt;setvar action=""Add""&gt;"&amp;(Saisie_Questions!$N91/$I91)&amp;"&lt;/setvar&gt;"&amp;IF(AU91&lt;&gt;"","&lt;displayfeedback feedbacktype=""Response"" linkrefid=""response_1""/&gt;",IF($AS91&lt;&gt;"","&lt;displayfeedback feedbacktype=""Response"" linkrefid=""qti_feedback_trigger""/&gt;",""))&amp;"&lt;/respcondition&gt;",""))),"")</f>
      </c>
      <c r="AL91" s="46">
        <f>IF($B91,IF(N91="","",IF($C91="qcu",IF(OR(V91,AV91&lt;&gt;"",$AS91&lt;&gt;""),"      &lt;respcondition continue=""Yes""&gt;&lt;conditionvar&gt;&lt;varequal respident=""RESPONSE""&gt;2&lt;/varequal&gt;&lt;/conditionvar&gt;"&amp;"&lt;setvar action=""Add""&gt;"&amp;IF(V91,$H91,0)&amp;"&lt;/setvar&gt;"&amp;IF(AV91&lt;&gt;"","&lt;displayfeedback feedbacktype=""Response"" linkrefid=""response_2""/&gt;",IF($AS91&lt;&gt;"","&lt;displayfeedback feedbacktype=""Response"" linkrefid=""qti_feedback_trigger""/&gt;",""))&amp;"&lt;/respcondition&gt;",""),IF(OR(V91,AV91&lt;&gt;"",$AS91&lt;&gt;""),"      &lt;respcondition continue=""Yes""&gt;&lt;conditionvar&gt;"&amp;IF(V91,"&lt;varequal respident=""RESPONSE""&gt;2&lt;/varequal&gt;","&lt;not&gt;&lt;varequal respident=""RESPONSE""&gt;2&lt;/varequal&gt;&lt;/not&gt;")&amp;"&lt;/conditionvar&gt;&lt;setvar action=""Add""&gt;"&amp;(Saisie_Questions!$N91/$I91)&amp;"&lt;/setvar&gt;"&amp;IF(AV91&lt;&gt;"","&lt;displayfeedback feedbacktype=""Response"" linkrefid=""response_2""/&gt;",IF($AS91&lt;&gt;"","&lt;displayfeedback feedbacktype=""Response"" linkrefid=""qti_feedback_trigger""/&gt;",""))&amp;"&lt;/respcondition&gt;",""))),"")</f>
      </c>
      <c r="AM91" s="46">
        <f>IF($B91,IF(O91="","",IF($C91="qcu",IF(OR(W91,AW91&lt;&gt;"",$AS91&lt;&gt;""),"      &lt;respcondition continue=""Yes""&gt;&lt;conditionvar&gt;&lt;varequal respident=""RESPONSE""&gt;3&lt;/varequal&gt;&lt;/conditionvar&gt;"&amp;"&lt;setvar action=""Add""&gt;"&amp;IF(W91,$H91,0)&amp;"&lt;/setvar&gt;"&amp;IF(AW91&lt;&gt;"","&lt;displayfeedback feedbacktype=""Response"" linkrefid=""response_3""/&gt;",IF($AS91&lt;&gt;"","&lt;displayfeedback feedbacktype=""Response"" linkrefid=""qti_feedback_trigger""/&gt;",""))&amp;"&lt;/respcondition&gt;",""),IF(OR(W91,AW91&lt;&gt;"",$AS91&lt;&gt;""),"      &lt;respcondition continue=""Yes""&gt;&lt;conditionvar&gt;"&amp;IF(W91,"&lt;varequal respident=""RESPONSE""&gt;3&lt;/varequal&gt;","&lt;not&gt;&lt;varequal respident=""RESPONSE""&gt;3&lt;/varequal&gt;&lt;/not&gt;")&amp;"&lt;/conditionvar&gt;&lt;setvar action=""Add""&gt;"&amp;(Saisie_Questions!$N91/$I91)&amp;"&lt;/setvar&gt;"&amp;IF(AW91&lt;&gt;"","&lt;displayfeedback feedbacktype=""Response"" linkrefid=""response_3""/&gt;",IF($AS91&lt;&gt;"","&lt;displayfeedback feedbacktype=""Response"" linkrefid=""qti_feedback_trigger""/&gt;",""))&amp;"&lt;/respcondition&gt;",""))),"")</f>
      </c>
      <c r="AN91" s="46">
        <f>IF($B91,IF(P91="","",IF($C91="qcu",IF(OR(X91,AX91&lt;&gt;"",$AS91&lt;&gt;""),"      &lt;respcondition continue=""Yes""&gt;&lt;conditionvar&gt;&lt;varequal respident=""RESPONSE""&gt;4&lt;/varequal&gt;&lt;/conditionvar&gt;"&amp;"&lt;setvar action=""Add""&gt;"&amp;IF(X91,$H91,0)&amp;"&lt;/setvar&gt;"&amp;IF(AX91&lt;&gt;"","&lt;displayfeedback feedbacktype=""Response"" linkrefid=""response_4""/&gt;",IF($AS91&lt;&gt;"","&lt;displayfeedback feedbacktype=""Response"" linkrefid=""qti_feedback_trigger""/&gt;",""))&amp;"&lt;/respcondition&gt;",""),IF(OR(X91,AX91&lt;&gt;"",$AS91&lt;&gt;""),"      &lt;respcondition continue=""Yes""&gt;&lt;conditionvar&gt;"&amp;IF(X91,"&lt;varequal respident=""RESPONSE""&gt;4&lt;/varequal&gt;","&lt;not&gt;&lt;varequal respident=""RESPONSE""&gt;4&lt;/varequal&gt;&lt;/not&gt;")&amp;"&lt;/conditionvar&gt;&lt;setvar action=""Add""&gt;"&amp;(Saisie_Questions!$N91/$I91)&amp;"&lt;/setvar&gt;"&amp;IF(AX91&lt;&gt;"","&lt;displayfeedback feedbacktype=""Response"" linkrefid=""response_4""/&gt;",IF($AS91&lt;&gt;"","&lt;displayfeedback feedbacktype=""Response"" linkrefid=""qti_feedback_trigger""/&gt;",""))&amp;"&lt;/respcondition&gt;",""))),"")</f>
      </c>
      <c r="AO91" s="46">
        <f>IF($B91,IF(Q91="","",IF($C91="qcu",IF(OR(Y91,AY91&lt;&gt;"",$AS91&lt;&gt;""),"      &lt;respcondition continue=""Yes""&gt;&lt;conditionvar&gt;&lt;varequal respident=""RESPONSE""&gt;5&lt;/varequal&gt;&lt;/conditionvar&gt;"&amp;"&lt;setvar action=""Add""&gt;"&amp;IF(Y91,$H91,0)&amp;"&lt;/setvar&gt;"&amp;IF(AY91&lt;&gt;"","&lt;displayfeedback feedbacktype=""Response"" linkrefid=""response_5""/&gt;",IF($AS91&lt;&gt;"","&lt;displayfeedback feedbacktype=""Response"" linkrefid=""qti_feedback_trigger""/&gt;",""))&amp;"&lt;/respcondition&gt;",""),IF(OR(Y91,AY91&lt;&gt;"",$AS91&lt;&gt;""),"      &lt;respcondition continue=""Yes""&gt;&lt;conditionvar&gt;"&amp;IF(Y91,"&lt;varequal respident=""RESPONSE""&gt;5&lt;/varequal&gt;","&lt;not&gt;&lt;varequal respident=""RESPONSE""&gt;5&lt;/varequal&gt;&lt;/not&gt;")&amp;"&lt;/conditionvar&gt;&lt;setvar action=""Add""&gt;"&amp;(Saisie_Questions!$N91/$I91)&amp;"&lt;/setvar&gt;"&amp;IF(AY91&lt;&gt;"","&lt;displayfeedback feedbacktype=""Response"" linkrefid=""response_5""/&gt;",IF($AS91&lt;&gt;"","&lt;displayfeedback feedbacktype=""Response"" linkrefid=""qti_feedback_trigger""/&gt;",""))&amp;"&lt;/respcondition&gt;",""))),"")</f>
      </c>
      <c r="AP91" s="46">
        <f>IF($B91,IF(R91="","",IF($C91="qcu",IF(OR(Z91,AZ91&lt;&gt;"",$AS91&lt;&gt;""),"      &lt;respcondition continue=""Yes""&gt;&lt;conditionvar&gt;&lt;varequal respident=""RESPONSE""&gt;6&lt;/varequal&gt;&lt;/conditionvar&gt;"&amp;"&lt;setvar action=""Add""&gt;"&amp;IF(Z91,$H91,0)&amp;"&lt;/setvar&gt;"&amp;IF(AZ91&lt;&gt;"","&lt;displayfeedback feedbacktype=""Response"" linkrefid=""response_6""/&gt;",IF($AS91&lt;&gt;"","&lt;displayfeedback feedbacktype=""Response"" linkrefid=""qti_feedback_trigger""/&gt;",""))&amp;"&lt;/respcondition&gt;",""),IF(OR(Z91,AZ91&lt;&gt;"",$AS91&lt;&gt;""),"      &lt;respcondition continue=""Yes""&gt;&lt;conditionvar&gt;"&amp;IF(Z91,"&lt;varequal respident=""RESPONSE""&gt;6&lt;/varequal&gt;","&lt;not&gt;&lt;varequal respident=""RESPONSE""&gt;6&lt;/varequal&gt;&lt;/not&gt;")&amp;"&lt;/conditionvar&gt;&lt;setvar action=""Add""&gt;"&amp;(Saisie_Questions!$N91/$I91)&amp;"&lt;/setvar&gt;"&amp;IF(AZ91&lt;&gt;"","&lt;displayfeedback feedbacktype=""Response"" linkrefid=""response_6""/&gt;",IF($AS91&lt;&gt;"","&lt;displayfeedback feedbacktype=""Response"" linkrefid=""qti_feedback_trigger""/&gt;",""))&amp;"&lt;/respcondition&gt;",""))),"")</f>
      </c>
      <c r="AQ91" s="46">
        <f>IF($B91,IF(S91="","",IF($C91="qcu",IF(OR(AA91,BA91&lt;&gt;"",$AS91&lt;&gt;""),"      &lt;respcondition continue=""Yes""&gt;&lt;conditionvar&gt;&lt;varequal respident=""RESPONSE""&gt;7&lt;/varequal&gt;&lt;/conditionvar&gt;"&amp;"&lt;setvar action=""Add""&gt;"&amp;IF(AA91,$H91,0)&amp;"&lt;/setvar&gt;"&amp;IF(BA91&lt;&gt;"","&lt;displayfeedback feedbacktype=""Response"" linkrefid=""response_7""/&gt;",IF($AS91&lt;&gt;"","&lt;displayfeedback feedbacktype=""Response"" linkrefid=""qti_feedback_trigger""/&gt;",""))&amp;"&lt;/respcondition&gt;",""),IF(OR(AA91,BA91&lt;&gt;"",$AS91&lt;&gt;""),"      &lt;respcondition continue=""Yes""&gt;&lt;conditionvar&gt;"&amp;IF(AA91,"&lt;varequal respident=""RESPONSE""&gt;7&lt;/varequal&gt;","&lt;not&gt;&lt;varequal respident=""RESPONSE""&gt;7&lt;/varequal&gt;&lt;/not&gt;")&amp;"&lt;/conditionvar&gt;&lt;setvar action=""Add""&gt;"&amp;(Saisie_Questions!$N91/$I91)&amp;"&lt;/setvar&gt;"&amp;IF(BA91&lt;&gt;"","&lt;displayfeedback feedbacktype=""Response"" linkrefid=""response_7""/&gt;",IF($AS91&lt;&gt;"","&lt;displayfeedback feedbacktype=""Response"" linkrefid=""qti_feedback_trigger""/&gt;",""))&amp;"&lt;/respcondition&gt;",""))),"")</f>
      </c>
      <c r="AR91" s="46">
        <f>IF(A91="","",SUBSTITUTE(SUBSTITUTE(SUBSTITUTE(SUBSTITUTE(SUBSTITUTE(IF(Saisie_Questions!P91&lt;&gt;"",Saisie_Questions!P91,Interface_Generation!$B$5),"&amp;","&amp;amp;"),"&lt;","&amp;lt;"),"&gt;","&amp;gt;"),CHAR(34),"&amp;quot;"),"'","&amp;apos;"))</f>
        <v/>
      </c>
      <c r="AS91" s="46">
        <f>IF(Saisie_Questions!Q91="","",SUBSTITUTE(SUBSTITUTE(SUBSTITUTE(SUBSTITUTE(SUBSTITUTE(Saisie_Questions!Q91,"&amp;","&amp;amp;"),"&lt;","&amp;lt;"),"&gt;","&amp;gt;"),CHAR(34),"&amp;quot;"),"'","&amp;apos;"))</f>
        <v/>
      </c>
      <c r="AT91" s="46">
        <f>IF(Saisie_Questions!R91="","",SUBSTITUTE(SUBSTITUTE(SUBSTITUTE(SUBSTITUTE(SUBSTITUTE(Saisie_Questions!R91,"&amp;","&amp;amp;"),"&lt;","&amp;lt;"),"&gt;","&amp;gt;"),CHAR(34),"&amp;quot;"),"'","&amp;apos;"))</f>
        <v/>
      </c>
      <c r="AU91" s="46">
        <f>IF(Saisie_Questions!S91="","",SUBSTITUTE(SUBSTITUTE(SUBSTITUTE(SUBSTITUTE(SUBSTITUTE(Saisie_Questions!S91,"&amp;","&amp;amp;"),"&lt;","&amp;lt;"),"&gt;","&amp;gt;"),CHAR(34),"&amp;quot;"),"'","&amp;apos;"))</f>
        <v/>
      </c>
      <c r="AV91" s="46">
        <f>IF(Saisie_Questions!T91="","",SUBSTITUTE(SUBSTITUTE(SUBSTITUTE(SUBSTITUTE(SUBSTITUTE(Saisie_Questions!T91,"&amp;","&amp;amp;"),"&lt;","&amp;lt;"),"&gt;","&amp;gt;"),CHAR(34),"&amp;quot;"),"'","&amp;apos;"))</f>
        <v/>
      </c>
      <c r="AW91" s="46">
        <f>IF(Saisie_Questions!U91="","",SUBSTITUTE(SUBSTITUTE(SUBSTITUTE(SUBSTITUTE(SUBSTITUTE(Saisie_Questions!U91,"&amp;","&amp;amp;"),"&lt;","&amp;lt;"),"&gt;","&amp;gt;"),CHAR(34),"&amp;quot;"),"'","&amp;apos;"))</f>
        <v/>
      </c>
      <c r="AX91" s="46">
        <f>IF(Saisie_Questions!V91="","",SUBSTITUTE(SUBSTITUTE(SUBSTITUTE(SUBSTITUTE(SUBSTITUTE(Saisie_Questions!V91,"&amp;","&amp;amp;"),"&lt;","&amp;lt;"),"&gt;","&amp;gt;"),CHAR(34),"&amp;quot;"),"'","&amp;apos;"))</f>
        <v/>
      </c>
      <c r="AY91" s="46">
        <f>IF(Saisie_Questions!W91="","",SUBSTITUTE(SUBSTITUTE(SUBSTITUTE(SUBSTITUTE(SUBSTITUTE(Saisie_Questions!W91,"&amp;","&amp;amp;"),"&lt;","&amp;lt;"),"&gt;","&amp;gt;"),CHAR(34),"&amp;quot;"),"'","&amp;apos;"))</f>
        <v/>
      </c>
      <c r="AZ91" s="46">
        <f>IF(Saisie_Questions!X91="","",SUBSTITUTE(SUBSTITUTE(SUBSTITUTE(SUBSTITUTE(SUBSTITUTE(Saisie_Questions!X91,"&amp;","&amp;amp;"),"&lt;","&amp;lt;"),"&gt;","&amp;gt;"),CHAR(34),"&amp;quot;"),"'","&amp;apos;"))</f>
        <v/>
      </c>
      <c r="BA91" s="46">
        <f>IF(Saisie_Questions!Y91="","",SUBSTITUTE(SUBSTITUTE(SUBSTITUTE(SUBSTITUTE(SUBSTITUTE(Saisie_Questions!Y91,"&amp;","&amp;amp;"),"&lt;","&amp;lt;"),"&gt;","&amp;gt;"),CHAR(34),"&amp;quot;"),"'","&amp;apos;"))</f>
        <v/>
      </c>
      <c r="BB91" s="46">
        <f>IF($B91,IF($AS91="","","    &lt;itemfeedback ident=""response_allcorrect"" view=""All""&gt;&lt;flow_mat&gt;&lt;material&gt;&lt;mattext texttype=""text/html""&gt;"&amp;$AS91&amp;"&lt;/mattext&gt;&lt;/material&gt;&lt;/flow_mat&gt;&lt;/itemfeedback&gt;"&amp;"    &lt;itemfeedback ident=""response_onenotcorrect"" view=""All""&gt;&lt;flow_mat&gt;&lt;material&gt;&lt;mattext texttype=""text/html""&gt;"&amp;$AS91&amp;"&lt;/mattext&gt;&lt;/material&gt;&lt;/flow_mat&gt;&lt;/itemfeedback&gt;"),"")</f>
      </c>
      <c r="BC91" s="46">
        <f>IF($B91,IF(AT91="","","    &lt;itemfeedback ident=""response_0"" view=""All""&gt;&lt;flow_mat&gt;&lt;material&gt;&lt;mattext texttype=""text/html""&gt;"&amp;AT91&amp;"&lt;/mattext&gt;&lt;/material&gt;&lt;/flow_mat&gt;&lt;/itemfeedback&gt;"),"")</f>
      </c>
      <c r="BD91" s="46">
        <f>IF($B91,IF(AU91="","","    &lt;itemfeedback ident=""response_1"" view=""All""&gt;&lt;flow_mat&gt;&lt;material&gt;&lt;mattext texttype=""text/html""&gt;"&amp;AU91&amp;"&lt;/mattext&gt;&lt;/material&gt;&lt;/flow_mat&gt;&lt;/itemfeedback&gt;"),"")</f>
      </c>
      <c r="BE91" s="46">
        <f>IF($B91,IF(AV91="","","    &lt;itemfeedback ident=""response_2"" view=""All""&gt;&lt;flow_mat&gt;&lt;material&gt;&lt;mattext texttype=""text/html""&gt;"&amp;AV91&amp;"&lt;/mattext&gt;&lt;/material&gt;&lt;/flow_mat&gt;&lt;/itemfeedback&gt;"),"")</f>
      </c>
      <c r="BF91" s="46">
        <f>IF($B91,IF(AW91="","","    &lt;itemfeedback ident=""response_3"" view=""All""&gt;&lt;flow_mat&gt;&lt;material&gt;&lt;mattext texttype=""text/html""&gt;"&amp;AW91&amp;"&lt;/mattext&gt;&lt;/material&gt;&lt;/flow_mat&gt;&lt;/itemfeedback&gt;"),"")</f>
      </c>
      <c r="BG91" s="46">
        <f>IF($B91,IF(AX91="","","    &lt;itemfeedback ident=""response_4"" view=""All""&gt;&lt;flow_mat&gt;&lt;material&gt;&lt;mattext texttype=""text/html""&gt;"&amp;AX91&amp;"&lt;/mattext&gt;&lt;/material&gt;&lt;/flow_mat&gt;&lt;/itemfeedback&gt;"),"")</f>
      </c>
      <c r="BH91" s="46">
        <f>IF($B91,IF(AY91="","","    &lt;itemfeedback ident=""response_5"" view=""All""&gt;&lt;flow_mat&gt;&lt;material&gt;&lt;mattext texttype=""text/html""&gt;"&amp;AY91&amp;"&lt;/mattext&gt;&lt;/material&gt;&lt;/flow_mat&gt;&lt;/itemfeedback&gt;"),"")</f>
      </c>
      <c r="BI91" s="46">
        <f>IF($B91,IF(AZ91="","","    &lt;itemfeedback ident=""response_6"" view=""All""&gt;&lt;flow_mat&gt;&lt;material&gt;&lt;mattext texttype=""text/html""&gt;"&amp;AZ91&amp;"&lt;/mattext&gt;&lt;/material&gt;&lt;/flow_mat&gt;&lt;/itemfeedback&gt;"),"")</f>
      </c>
      <c r="BJ91" s="46">
        <f>IF($B91,IF(BA91="","","    &lt;itemfeedback ident=""response_7"" view=""All""&gt;&lt;flow_mat&gt;&lt;material&gt;&lt;mattext texttype=""text/html""&gt;"&amp;BA91&amp;"&lt;/mattext&gt;&lt;/material&gt;&lt;/flow_mat&gt;&lt;/itemfeedback&gt;"),"")</f>
      </c>
    </row>
    <row r="92" ht="18" customHeight="1" s="17">
      <c r="A92" s="46">
        <f>Saisie_Questions!A92</f>
        <v/>
      </c>
      <c r="B92" s="46">
        <f>Saisie_Questions!O92="OK"</f>
        <v/>
      </c>
      <c r="C92" s="46">
        <f>LOWER(TRIM(Saisie_Questions!B92))</f>
        <v/>
      </c>
      <c r="D92" s="46">
        <f>IF(C92="qcu","SINGLE CHOICE QUESTION","MULTIPLE CHOICE QUESTION")</f>
        <v/>
      </c>
      <c r="E92" s="46">
        <f>IF(C92="qcu","Single","Multiple")</f>
        <v/>
      </c>
      <c r="F92" s="46">
        <f>IF(A92="","",SUBSTITUTE(SUBSTITUTE(SUBSTITUTE(SUBSTITUTE(SUBSTITUTE(IF(Saisie_Questions!C92="", "Question "&amp;A92, Saisie_Questions!C92),"&amp;","&amp;amp;"),"&lt;","&amp;lt;"),"&gt;","&amp;gt;"),CHAR(34),"&amp;quot;"),"'","&amp;apos;"))</f>
        <v/>
      </c>
      <c r="G92" s="46">
        <f>IF(A92="","",SUBSTITUTE(SUBSTITUTE(SUBSTITUTE(SUBSTITUTE(SUBSTITUTE(Saisie_Questions!D92,"&amp;","&amp;amp;"),"&lt;","&amp;lt;"),"&gt;","&amp;gt;"),CHAR(34),"&amp;quot;"),"'","&amp;apos;"))</f>
        <v/>
      </c>
      <c r="H92" s="46">
        <f>Saisie_Questions!N92</f>
        <v/>
      </c>
      <c r="I92" s="46">
        <f>IF(Saisie_Questions!E92="",0,1)+IF(Saisie_Questions!F92="",0,1)+IF(Saisie_Questions!G92="",0,1)+IF(Saisie_Questions!H92="",0,1)+IF(Saisie_Questions!I92="",0,1)+IF(Saisie_Questions!J92="",0,1)+IF(Saisie_Questions!K92="",0,1)+IF(Saisie_Questions!L92="",0,1)</f>
        <v/>
      </c>
      <c r="J92" s="46">
        <f>Saisie_Questions!M92</f>
        <v/>
      </c>
      <c r="K92" s="46">
        <f>Saisie_Questions!O92</f>
        <v/>
      </c>
      <c r="L92" s="46">
        <f>IF(Saisie_Questions!E92="","",SUBSTITUTE(SUBSTITUTE(SUBSTITUTE(SUBSTITUTE(SUBSTITUTE(Saisie_Questions!E92,"&amp;","&amp;amp;"),"&lt;","&amp;lt;"),"&gt;","&amp;gt;"),CHAR(34),"&amp;quot;"),"'","&amp;apos;"))</f>
        <v/>
      </c>
      <c r="M92" s="46">
        <f>IF(Saisie_Questions!F92="","",SUBSTITUTE(SUBSTITUTE(SUBSTITUTE(SUBSTITUTE(SUBSTITUTE(Saisie_Questions!F92,"&amp;","&amp;amp;"),"&lt;","&amp;lt;"),"&gt;","&amp;gt;"),CHAR(34),"&amp;quot;"),"'","&amp;apos;"))</f>
        <v/>
      </c>
      <c r="N92" s="46">
        <f>IF(Saisie_Questions!G92="","",SUBSTITUTE(SUBSTITUTE(SUBSTITUTE(SUBSTITUTE(SUBSTITUTE(Saisie_Questions!G92,"&amp;","&amp;amp;"),"&lt;","&amp;lt;"),"&gt;","&amp;gt;"),CHAR(34),"&amp;quot;"),"'","&amp;apos;"))</f>
        <v/>
      </c>
      <c r="O92" s="46">
        <f>IF(Saisie_Questions!H92="","",SUBSTITUTE(SUBSTITUTE(SUBSTITUTE(SUBSTITUTE(SUBSTITUTE(Saisie_Questions!H92,"&amp;","&amp;amp;"),"&lt;","&amp;lt;"),"&gt;","&amp;gt;"),CHAR(34),"&amp;quot;"),"'","&amp;apos;"))</f>
        <v/>
      </c>
      <c r="P92" s="46">
        <f>IF(Saisie_Questions!I92="","",SUBSTITUTE(SUBSTITUTE(SUBSTITUTE(SUBSTITUTE(SUBSTITUTE(Saisie_Questions!I92,"&amp;","&amp;amp;"),"&lt;","&amp;lt;"),"&gt;","&amp;gt;"),CHAR(34),"&amp;quot;"),"'","&amp;apos;"))</f>
        <v/>
      </c>
      <c r="Q92" s="46">
        <f>IF(Saisie_Questions!J92="","",SUBSTITUTE(SUBSTITUTE(SUBSTITUTE(SUBSTITUTE(SUBSTITUTE(Saisie_Questions!J92,"&amp;","&amp;amp;"),"&lt;","&amp;lt;"),"&gt;","&amp;gt;"),CHAR(34),"&amp;quot;"),"'","&amp;apos;"))</f>
        <v/>
      </c>
      <c r="R92" s="46">
        <f>IF(Saisie_Questions!K92="","",SUBSTITUTE(SUBSTITUTE(SUBSTITUTE(SUBSTITUTE(SUBSTITUTE(Saisie_Questions!K92,"&amp;","&amp;amp;"),"&lt;","&amp;lt;"),"&gt;","&amp;gt;"),CHAR(34),"&amp;quot;"),"'","&amp;apos;"))</f>
        <v/>
      </c>
      <c r="S92" s="46">
        <f>IF(Saisie_Questions!L92="","",SUBSTITUTE(SUBSTITUTE(SUBSTITUTE(SUBSTITUTE(SUBSTITUTE(Saisie_Questions!L92,"&amp;","&amp;amp;"),"&lt;","&amp;lt;"),"&gt;","&amp;gt;"),CHAR(34),"&amp;quot;"),"'","&amp;apos;"))</f>
        <v/>
      </c>
      <c r="T92" s="46">
        <f>ISNUMBER(SEARCH(";"&amp;1&amp;";",";"&amp;$J92&amp;";"))</f>
        <v/>
      </c>
      <c r="U92" s="46">
        <f>ISNUMBER(SEARCH(";"&amp;2&amp;";",";"&amp;$J92&amp;";"))</f>
        <v/>
      </c>
      <c r="V92" s="46">
        <f>ISNUMBER(SEARCH(";"&amp;3&amp;";",";"&amp;$J92&amp;";"))</f>
        <v/>
      </c>
      <c r="W92" s="46">
        <f>ISNUMBER(SEARCH(";"&amp;4&amp;";",";"&amp;$J92&amp;";"))</f>
        <v/>
      </c>
      <c r="X92" s="46">
        <f>ISNUMBER(SEARCH(";"&amp;5&amp;";",";"&amp;$J92&amp;";"))</f>
        <v/>
      </c>
      <c r="Y92" s="46">
        <f>ISNUMBER(SEARCH(";"&amp;6&amp;";",";"&amp;$J92&amp;";"))</f>
        <v/>
      </c>
      <c r="Z92" s="46">
        <f>ISNUMBER(SEARCH(";"&amp;7&amp;";",";"&amp;$J92&amp;";"))</f>
        <v/>
      </c>
      <c r="AA92" s="46">
        <f>ISNUMBER(SEARCH(";"&amp;8&amp;";",";"&amp;$J92&amp;";"))</f>
        <v/>
      </c>
      <c r="AB92" s="46">
        <f>IF($B92,IF(L92="","","        &lt;response_label ident=""0""&gt;&lt;material&gt;&lt;mattext texttype=""text/html""&gt;"&amp;L92&amp;"&lt;/mattext&gt;&lt;/material&gt;&lt;/response_label&gt;"),"")</f>
        <v/>
      </c>
      <c r="AC92" s="46">
        <f>IF($B92,IF(M92="","","        &lt;response_label ident=""1""&gt;&lt;material&gt;&lt;mattext texttype=""text/html""&gt;"&amp;M92&amp;"&lt;/mattext&gt;&lt;/material&gt;&lt;/response_label&gt;"),"")</f>
        <v/>
      </c>
      <c r="AD92" s="46">
        <f>IF($B92,IF(N92="","","        &lt;response_label ident=""2""&gt;&lt;material&gt;&lt;mattext texttype=""text/html""&gt;"&amp;N92&amp;"&lt;/mattext&gt;&lt;/material&gt;&lt;/response_label&gt;"),"")</f>
        <v/>
      </c>
      <c r="AE92" s="46">
        <f>IF($B92,IF(O92="","","        &lt;response_label ident=""3""&gt;&lt;material&gt;&lt;mattext texttype=""text/html""&gt;"&amp;O92&amp;"&lt;/mattext&gt;&lt;/material&gt;&lt;/response_label&gt;"),"")</f>
        <v/>
      </c>
      <c r="AF92" s="46">
        <f>IF($B92,IF(P92="","","        &lt;response_label ident=""4""&gt;&lt;material&gt;&lt;mattext texttype=""text/html""&gt;"&amp;P92&amp;"&lt;/mattext&gt;&lt;/material&gt;&lt;/response_label&gt;"),"")</f>
        <v/>
      </c>
      <c r="AG92" s="46">
        <f>IF($B92,IF(Q92="","","        &lt;response_label ident=""5""&gt;&lt;material&gt;&lt;mattext texttype=""text/html""&gt;"&amp;Q92&amp;"&lt;/mattext&gt;&lt;/material&gt;&lt;/response_label&gt;"),"")</f>
        <v/>
      </c>
      <c r="AH92" s="46">
        <f>IF($B92,IF(R92="","","        &lt;response_label ident=""6""&gt;&lt;material&gt;&lt;mattext texttype=""text/html""&gt;"&amp;R92&amp;"&lt;/mattext&gt;&lt;/material&gt;&lt;/response_label&gt;"),"")</f>
        <v/>
      </c>
      <c r="AI92" s="46">
        <f>IF($B92,IF(S92="","","        &lt;response_label ident=""7""&gt;&lt;material&gt;&lt;mattext texttype=""text/html""&gt;"&amp;S92&amp;"&lt;/mattext&gt;&lt;/material&gt;&lt;/response_label&gt;"),"")</f>
        <v/>
      </c>
      <c r="AJ92" s="46">
        <f>IF($B92,IF(L92="","",IF($C92="qcu",IF(OR(T92,AT92&lt;&gt;"",$AS92&lt;&gt;""),"      &lt;respcondition continue=""Yes""&gt;&lt;conditionvar&gt;&lt;varequal respident=""RESPONSE""&gt;0&lt;/varequal&gt;&lt;/conditionvar&gt;"&amp;"&lt;setvar action=""Add""&gt;"&amp;IF(T92,$H92,0)&amp;"&lt;/setvar&gt;"&amp;IF(AT92&lt;&gt;"","&lt;displayfeedback feedbacktype=""Response"" linkrefid=""response_0""/&gt;",IF($AS92&lt;&gt;"","&lt;displayfeedback feedbacktype=""Response"" linkrefid=""qti_feedback_trigger""/&gt;",""))&amp;"&lt;/respcondition&gt;",""),IF(OR(T92,AT92&lt;&gt;"",$AS92&lt;&gt;""),"      &lt;respcondition continue=""Yes""&gt;&lt;conditionvar&gt;"&amp;IF(T92,"&lt;varequal respident=""RESPONSE""&gt;0&lt;/varequal&gt;","&lt;not&gt;&lt;varequal respident=""RESPONSE""&gt;0&lt;/varequal&gt;&lt;/not&gt;")&amp;"&lt;/conditionvar&gt;&lt;setvar action=""Add""&gt;"&amp;(Saisie_Questions!$N92/$I92)&amp;"&lt;/setvar&gt;"&amp;IF(AT92&lt;&gt;"","&lt;displayfeedback feedbacktype=""Response"" linkrefid=""response_0""/&gt;",IF($AS92&lt;&gt;"","&lt;displayfeedback feedbacktype=""Response"" linkrefid=""qti_feedback_trigger""/&gt;",""))&amp;"&lt;/respcondition&gt;",""))),"")</f>
      </c>
      <c r="AK92" s="46">
        <f>IF($B92,IF(M92="","",IF($C92="qcu",IF(OR(U92,AU92&lt;&gt;"",$AS92&lt;&gt;""),"      &lt;respcondition continue=""Yes""&gt;&lt;conditionvar&gt;&lt;varequal respident=""RESPONSE""&gt;1&lt;/varequal&gt;&lt;/conditionvar&gt;"&amp;"&lt;setvar action=""Add""&gt;"&amp;IF(U92,$H92,0)&amp;"&lt;/setvar&gt;"&amp;IF(AU92&lt;&gt;"","&lt;displayfeedback feedbacktype=""Response"" linkrefid=""response_1""/&gt;",IF($AS92&lt;&gt;"","&lt;displayfeedback feedbacktype=""Response"" linkrefid=""qti_feedback_trigger""/&gt;",""))&amp;"&lt;/respcondition&gt;",""),IF(OR(U92,AU92&lt;&gt;"",$AS92&lt;&gt;""),"      &lt;respcondition continue=""Yes""&gt;&lt;conditionvar&gt;"&amp;IF(U92,"&lt;varequal respident=""RESPONSE""&gt;1&lt;/varequal&gt;","&lt;not&gt;&lt;varequal respident=""RESPONSE""&gt;1&lt;/varequal&gt;&lt;/not&gt;")&amp;"&lt;/conditionvar&gt;&lt;setvar action=""Add""&gt;"&amp;(Saisie_Questions!$N92/$I92)&amp;"&lt;/setvar&gt;"&amp;IF(AU92&lt;&gt;"","&lt;displayfeedback feedbacktype=""Response"" linkrefid=""response_1""/&gt;",IF($AS92&lt;&gt;"","&lt;displayfeedback feedbacktype=""Response"" linkrefid=""qti_feedback_trigger""/&gt;",""))&amp;"&lt;/respcondition&gt;",""))),"")</f>
      </c>
      <c r="AL92" s="46">
        <f>IF($B92,IF(N92="","",IF($C92="qcu",IF(OR(V92,AV92&lt;&gt;"",$AS92&lt;&gt;""),"      &lt;respcondition continue=""Yes""&gt;&lt;conditionvar&gt;&lt;varequal respident=""RESPONSE""&gt;2&lt;/varequal&gt;&lt;/conditionvar&gt;"&amp;"&lt;setvar action=""Add""&gt;"&amp;IF(V92,$H92,0)&amp;"&lt;/setvar&gt;"&amp;IF(AV92&lt;&gt;"","&lt;displayfeedback feedbacktype=""Response"" linkrefid=""response_2""/&gt;",IF($AS92&lt;&gt;"","&lt;displayfeedback feedbacktype=""Response"" linkrefid=""qti_feedback_trigger""/&gt;",""))&amp;"&lt;/respcondition&gt;",""),IF(OR(V92,AV92&lt;&gt;"",$AS92&lt;&gt;""),"      &lt;respcondition continue=""Yes""&gt;&lt;conditionvar&gt;"&amp;IF(V92,"&lt;varequal respident=""RESPONSE""&gt;2&lt;/varequal&gt;","&lt;not&gt;&lt;varequal respident=""RESPONSE""&gt;2&lt;/varequal&gt;&lt;/not&gt;")&amp;"&lt;/conditionvar&gt;&lt;setvar action=""Add""&gt;"&amp;(Saisie_Questions!$N92/$I92)&amp;"&lt;/setvar&gt;"&amp;IF(AV92&lt;&gt;"","&lt;displayfeedback feedbacktype=""Response"" linkrefid=""response_2""/&gt;",IF($AS92&lt;&gt;"","&lt;displayfeedback feedbacktype=""Response"" linkrefid=""qti_feedback_trigger""/&gt;",""))&amp;"&lt;/respcondition&gt;",""))),"")</f>
      </c>
      <c r="AM92" s="46">
        <f>IF($B92,IF(O92="","",IF($C92="qcu",IF(OR(W92,AW92&lt;&gt;"",$AS92&lt;&gt;""),"      &lt;respcondition continue=""Yes""&gt;&lt;conditionvar&gt;&lt;varequal respident=""RESPONSE""&gt;3&lt;/varequal&gt;&lt;/conditionvar&gt;"&amp;"&lt;setvar action=""Add""&gt;"&amp;IF(W92,$H92,0)&amp;"&lt;/setvar&gt;"&amp;IF(AW92&lt;&gt;"","&lt;displayfeedback feedbacktype=""Response"" linkrefid=""response_3""/&gt;",IF($AS92&lt;&gt;"","&lt;displayfeedback feedbacktype=""Response"" linkrefid=""qti_feedback_trigger""/&gt;",""))&amp;"&lt;/respcondition&gt;",""),IF(OR(W92,AW92&lt;&gt;"",$AS92&lt;&gt;""),"      &lt;respcondition continue=""Yes""&gt;&lt;conditionvar&gt;"&amp;IF(W92,"&lt;varequal respident=""RESPONSE""&gt;3&lt;/varequal&gt;","&lt;not&gt;&lt;varequal respident=""RESPONSE""&gt;3&lt;/varequal&gt;&lt;/not&gt;")&amp;"&lt;/conditionvar&gt;&lt;setvar action=""Add""&gt;"&amp;(Saisie_Questions!$N92/$I92)&amp;"&lt;/setvar&gt;"&amp;IF(AW92&lt;&gt;"","&lt;displayfeedback feedbacktype=""Response"" linkrefid=""response_3""/&gt;",IF($AS92&lt;&gt;"","&lt;displayfeedback feedbacktype=""Response"" linkrefid=""qti_feedback_trigger""/&gt;",""))&amp;"&lt;/respcondition&gt;",""))),"")</f>
      </c>
      <c r="AN92" s="46">
        <f>IF($B92,IF(P92="","",IF($C92="qcu",IF(OR(X92,AX92&lt;&gt;"",$AS92&lt;&gt;""),"      &lt;respcondition continue=""Yes""&gt;&lt;conditionvar&gt;&lt;varequal respident=""RESPONSE""&gt;4&lt;/varequal&gt;&lt;/conditionvar&gt;"&amp;"&lt;setvar action=""Add""&gt;"&amp;IF(X92,$H92,0)&amp;"&lt;/setvar&gt;"&amp;IF(AX92&lt;&gt;"","&lt;displayfeedback feedbacktype=""Response"" linkrefid=""response_4""/&gt;",IF($AS92&lt;&gt;"","&lt;displayfeedback feedbacktype=""Response"" linkrefid=""qti_feedback_trigger""/&gt;",""))&amp;"&lt;/respcondition&gt;",""),IF(OR(X92,AX92&lt;&gt;"",$AS92&lt;&gt;""),"      &lt;respcondition continue=""Yes""&gt;&lt;conditionvar&gt;"&amp;IF(X92,"&lt;varequal respident=""RESPONSE""&gt;4&lt;/varequal&gt;","&lt;not&gt;&lt;varequal respident=""RESPONSE""&gt;4&lt;/varequal&gt;&lt;/not&gt;")&amp;"&lt;/conditionvar&gt;&lt;setvar action=""Add""&gt;"&amp;(Saisie_Questions!$N92/$I92)&amp;"&lt;/setvar&gt;"&amp;IF(AX92&lt;&gt;"","&lt;displayfeedback feedbacktype=""Response"" linkrefid=""response_4""/&gt;",IF($AS92&lt;&gt;"","&lt;displayfeedback feedbacktype=""Response"" linkrefid=""qti_feedback_trigger""/&gt;",""))&amp;"&lt;/respcondition&gt;",""))),"")</f>
      </c>
      <c r="AO92" s="46">
        <f>IF($B92,IF(Q92="","",IF($C92="qcu",IF(OR(Y92,AY92&lt;&gt;"",$AS92&lt;&gt;""),"      &lt;respcondition continue=""Yes""&gt;&lt;conditionvar&gt;&lt;varequal respident=""RESPONSE""&gt;5&lt;/varequal&gt;&lt;/conditionvar&gt;"&amp;"&lt;setvar action=""Add""&gt;"&amp;IF(Y92,$H92,0)&amp;"&lt;/setvar&gt;"&amp;IF(AY92&lt;&gt;"","&lt;displayfeedback feedbacktype=""Response"" linkrefid=""response_5""/&gt;",IF($AS92&lt;&gt;"","&lt;displayfeedback feedbacktype=""Response"" linkrefid=""qti_feedback_trigger""/&gt;",""))&amp;"&lt;/respcondition&gt;",""),IF(OR(Y92,AY92&lt;&gt;"",$AS92&lt;&gt;""),"      &lt;respcondition continue=""Yes""&gt;&lt;conditionvar&gt;"&amp;IF(Y92,"&lt;varequal respident=""RESPONSE""&gt;5&lt;/varequal&gt;","&lt;not&gt;&lt;varequal respident=""RESPONSE""&gt;5&lt;/varequal&gt;&lt;/not&gt;")&amp;"&lt;/conditionvar&gt;&lt;setvar action=""Add""&gt;"&amp;(Saisie_Questions!$N92/$I92)&amp;"&lt;/setvar&gt;"&amp;IF(AY92&lt;&gt;"","&lt;displayfeedback feedbacktype=""Response"" linkrefid=""response_5""/&gt;",IF($AS92&lt;&gt;"","&lt;displayfeedback feedbacktype=""Response"" linkrefid=""qti_feedback_trigger""/&gt;",""))&amp;"&lt;/respcondition&gt;",""))),"")</f>
      </c>
      <c r="AP92" s="46">
        <f>IF($B92,IF(R92="","",IF($C92="qcu",IF(OR(Z92,AZ92&lt;&gt;"",$AS92&lt;&gt;""),"      &lt;respcondition continue=""Yes""&gt;&lt;conditionvar&gt;&lt;varequal respident=""RESPONSE""&gt;6&lt;/varequal&gt;&lt;/conditionvar&gt;"&amp;"&lt;setvar action=""Add""&gt;"&amp;IF(Z92,$H92,0)&amp;"&lt;/setvar&gt;"&amp;IF(AZ92&lt;&gt;"","&lt;displayfeedback feedbacktype=""Response"" linkrefid=""response_6""/&gt;",IF($AS92&lt;&gt;"","&lt;displayfeedback feedbacktype=""Response"" linkrefid=""qti_feedback_trigger""/&gt;",""))&amp;"&lt;/respcondition&gt;",""),IF(OR(Z92,AZ92&lt;&gt;"",$AS92&lt;&gt;""),"      &lt;respcondition continue=""Yes""&gt;&lt;conditionvar&gt;"&amp;IF(Z92,"&lt;varequal respident=""RESPONSE""&gt;6&lt;/varequal&gt;","&lt;not&gt;&lt;varequal respident=""RESPONSE""&gt;6&lt;/varequal&gt;&lt;/not&gt;")&amp;"&lt;/conditionvar&gt;&lt;setvar action=""Add""&gt;"&amp;(Saisie_Questions!$N92/$I92)&amp;"&lt;/setvar&gt;"&amp;IF(AZ92&lt;&gt;"","&lt;displayfeedback feedbacktype=""Response"" linkrefid=""response_6""/&gt;",IF($AS92&lt;&gt;"","&lt;displayfeedback feedbacktype=""Response"" linkrefid=""qti_feedback_trigger""/&gt;",""))&amp;"&lt;/respcondition&gt;",""))),"")</f>
      </c>
      <c r="AQ92" s="46">
        <f>IF($B92,IF(S92="","",IF($C92="qcu",IF(OR(AA92,BA92&lt;&gt;"",$AS92&lt;&gt;""),"      &lt;respcondition continue=""Yes""&gt;&lt;conditionvar&gt;&lt;varequal respident=""RESPONSE""&gt;7&lt;/varequal&gt;&lt;/conditionvar&gt;"&amp;"&lt;setvar action=""Add""&gt;"&amp;IF(AA92,$H92,0)&amp;"&lt;/setvar&gt;"&amp;IF(BA92&lt;&gt;"","&lt;displayfeedback feedbacktype=""Response"" linkrefid=""response_7""/&gt;",IF($AS92&lt;&gt;"","&lt;displayfeedback feedbacktype=""Response"" linkrefid=""qti_feedback_trigger""/&gt;",""))&amp;"&lt;/respcondition&gt;",""),IF(OR(AA92,BA92&lt;&gt;"",$AS92&lt;&gt;""),"      &lt;respcondition continue=""Yes""&gt;&lt;conditionvar&gt;"&amp;IF(AA92,"&lt;varequal respident=""RESPONSE""&gt;7&lt;/varequal&gt;","&lt;not&gt;&lt;varequal respident=""RESPONSE""&gt;7&lt;/varequal&gt;&lt;/not&gt;")&amp;"&lt;/conditionvar&gt;&lt;setvar action=""Add""&gt;"&amp;(Saisie_Questions!$N92/$I92)&amp;"&lt;/setvar&gt;"&amp;IF(BA92&lt;&gt;"","&lt;displayfeedback feedbacktype=""Response"" linkrefid=""response_7""/&gt;",IF($AS92&lt;&gt;"","&lt;displayfeedback feedbacktype=""Response"" linkrefid=""qti_feedback_trigger""/&gt;",""))&amp;"&lt;/respcondition&gt;",""))),"")</f>
      </c>
      <c r="AR92" s="46">
        <f>IF(A92="","",SUBSTITUTE(SUBSTITUTE(SUBSTITUTE(SUBSTITUTE(SUBSTITUTE(IF(Saisie_Questions!P92&lt;&gt;"",Saisie_Questions!P92,Interface_Generation!$B$5),"&amp;","&amp;amp;"),"&lt;","&amp;lt;"),"&gt;","&amp;gt;"),CHAR(34),"&amp;quot;"),"'","&amp;apos;"))</f>
        <v/>
      </c>
      <c r="AS92" s="46">
        <f>IF(Saisie_Questions!Q92="","",SUBSTITUTE(SUBSTITUTE(SUBSTITUTE(SUBSTITUTE(SUBSTITUTE(Saisie_Questions!Q92,"&amp;","&amp;amp;"),"&lt;","&amp;lt;"),"&gt;","&amp;gt;"),CHAR(34),"&amp;quot;"),"'","&amp;apos;"))</f>
        <v/>
      </c>
      <c r="AT92" s="46">
        <f>IF(Saisie_Questions!R92="","",SUBSTITUTE(SUBSTITUTE(SUBSTITUTE(SUBSTITUTE(SUBSTITUTE(Saisie_Questions!R92,"&amp;","&amp;amp;"),"&lt;","&amp;lt;"),"&gt;","&amp;gt;"),CHAR(34),"&amp;quot;"),"'","&amp;apos;"))</f>
        <v/>
      </c>
      <c r="AU92" s="46">
        <f>IF(Saisie_Questions!S92="","",SUBSTITUTE(SUBSTITUTE(SUBSTITUTE(SUBSTITUTE(SUBSTITUTE(Saisie_Questions!S92,"&amp;","&amp;amp;"),"&lt;","&amp;lt;"),"&gt;","&amp;gt;"),CHAR(34),"&amp;quot;"),"'","&amp;apos;"))</f>
        <v/>
      </c>
      <c r="AV92" s="46">
        <f>IF(Saisie_Questions!T92="","",SUBSTITUTE(SUBSTITUTE(SUBSTITUTE(SUBSTITUTE(SUBSTITUTE(Saisie_Questions!T92,"&amp;","&amp;amp;"),"&lt;","&amp;lt;"),"&gt;","&amp;gt;"),CHAR(34),"&amp;quot;"),"'","&amp;apos;"))</f>
        <v/>
      </c>
      <c r="AW92" s="46">
        <f>IF(Saisie_Questions!U92="","",SUBSTITUTE(SUBSTITUTE(SUBSTITUTE(SUBSTITUTE(SUBSTITUTE(Saisie_Questions!U92,"&amp;","&amp;amp;"),"&lt;","&amp;lt;"),"&gt;","&amp;gt;"),CHAR(34),"&amp;quot;"),"'","&amp;apos;"))</f>
        <v/>
      </c>
      <c r="AX92" s="46">
        <f>IF(Saisie_Questions!V92="","",SUBSTITUTE(SUBSTITUTE(SUBSTITUTE(SUBSTITUTE(SUBSTITUTE(Saisie_Questions!V92,"&amp;","&amp;amp;"),"&lt;","&amp;lt;"),"&gt;","&amp;gt;"),CHAR(34),"&amp;quot;"),"'","&amp;apos;"))</f>
        <v/>
      </c>
      <c r="AY92" s="46">
        <f>IF(Saisie_Questions!W92="","",SUBSTITUTE(SUBSTITUTE(SUBSTITUTE(SUBSTITUTE(SUBSTITUTE(Saisie_Questions!W92,"&amp;","&amp;amp;"),"&lt;","&amp;lt;"),"&gt;","&amp;gt;"),CHAR(34),"&amp;quot;"),"'","&amp;apos;"))</f>
        <v/>
      </c>
      <c r="AZ92" s="46">
        <f>IF(Saisie_Questions!X92="","",SUBSTITUTE(SUBSTITUTE(SUBSTITUTE(SUBSTITUTE(SUBSTITUTE(Saisie_Questions!X92,"&amp;","&amp;amp;"),"&lt;","&amp;lt;"),"&gt;","&amp;gt;"),CHAR(34),"&amp;quot;"),"'","&amp;apos;"))</f>
        <v/>
      </c>
      <c r="BA92" s="46">
        <f>IF(Saisie_Questions!Y92="","",SUBSTITUTE(SUBSTITUTE(SUBSTITUTE(SUBSTITUTE(SUBSTITUTE(Saisie_Questions!Y92,"&amp;","&amp;amp;"),"&lt;","&amp;lt;"),"&gt;","&amp;gt;"),CHAR(34),"&amp;quot;"),"'","&amp;apos;"))</f>
        <v/>
      </c>
      <c r="BB92" s="46">
        <f>IF($B92,IF($AS92="","","    &lt;itemfeedback ident=""response_allcorrect"" view=""All""&gt;&lt;flow_mat&gt;&lt;material&gt;&lt;mattext texttype=""text/html""&gt;"&amp;$AS92&amp;"&lt;/mattext&gt;&lt;/material&gt;&lt;/flow_mat&gt;&lt;/itemfeedback&gt;"&amp;"    &lt;itemfeedback ident=""response_onenotcorrect"" view=""All""&gt;&lt;flow_mat&gt;&lt;material&gt;&lt;mattext texttype=""text/html""&gt;"&amp;$AS92&amp;"&lt;/mattext&gt;&lt;/material&gt;&lt;/flow_mat&gt;&lt;/itemfeedback&gt;"),"")</f>
      </c>
      <c r="BC92" s="46">
        <f>IF($B92,IF(AT92="","","    &lt;itemfeedback ident=""response_0"" view=""All""&gt;&lt;flow_mat&gt;&lt;material&gt;&lt;mattext texttype=""text/html""&gt;"&amp;AT92&amp;"&lt;/mattext&gt;&lt;/material&gt;&lt;/flow_mat&gt;&lt;/itemfeedback&gt;"),"")</f>
      </c>
      <c r="BD92" s="46">
        <f>IF($B92,IF(AU92="","","    &lt;itemfeedback ident=""response_1"" view=""All""&gt;&lt;flow_mat&gt;&lt;material&gt;&lt;mattext texttype=""text/html""&gt;"&amp;AU92&amp;"&lt;/mattext&gt;&lt;/material&gt;&lt;/flow_mat&gt;&lt;/itemfeedback&gt;"),"")</f>
      </c>
      <c r="BE92" s="46">
        <f>IF($B92,IF(AV92="","","    &lt;itemfeedback ident=""response_2"" view=""All""&gt;&lt;flow_mat&gt;&lt;material&gt;&lt;mattext texttype=""text/html""&gt;"&amp;AV92&amp;"&lt;/mattext&gt;&lt;/material&gt;&lt;/flow_mat&gt;&lt;/itemfeedback&gt;"),"")</f>
      </c>
      <c r="BF92" s="46">
        <f>IF($B92,IF(AW92="","","    &lt;itemfeedback ident=""response_3"" view=""All""&gt;&lt;flow_mat&gt;&lt;material&gt;&lt;mattext texttype=""text/html""&gt;"&amp;AW92&amp;"&lt;/mattext&gt;&lt;/material&gt;&lt;/flow_mat&gt;&lt;/itemfeedback&gt;"),"")</f>
      </c>
      <c r="BG92" s="46">
        <f>IF($B92,IF(AX92="","","    &lt;itemfeedback ident=""response_4"" view=""All""&gt;&lt;flow_mat&gt;&lt;material&gt;&lt;mattext texttype=""text/html""&gt;"&amp;AX92&amp;"&lt;/mattext&gt;&lt;/material&gt;&lt;/flow_mat&gt;&lt;/itemfeedback&gt;"),"")</f>
      </c>
      <c r="BH92" s="46">
        <f>IF($B92,IF(AY92="","","    &lt;itemfeedback ident=""response_5"" view=""All""&gt;&lt;flow_mat&gt;&lt;material&gt;&lt;mattext texttype=""text/html""&gt;"&amp;AY92&amp;"&lt;/mattext&gt;&lt;/material&gt;&lt;/flow_mat&gt;&lt;/itemfeedback&gt;"),"")</f>
      </c>
      <c r="BI92" s="46">
        <f>IF($B92,IF(AZ92="","","    &lt;itemfeedback ident=""response_6"" view=""All""&gt;&lt;flow_mat&gt;&lt;material&gt;&lt;mattext texttype=""text/html""&gt;"&amp;AZ92&amp;"&lt;/mattext&gt;&lt;/material&gt;&lt;/flow_mat&gt;&lt;/itemfeedback&gt;"),"")</f>
      </c>
      <c r="BJ92" s="46">
        <f>IF($B92,IF(BA92="","","    &lt;itemfeedback ident=""response_7"" view=""All""&gt;&lt;flow_mat&gt;&lt;material&gt;&lt;mattext texttype=""text/html""&gt;"&amp;BA92&amp;"&lt;/mattext&gt;&lt;/material&gt;&lt;/flow_mat&gt;&lt;/itemfeedback&gt;"),"")</f>
      </c>
    </row>
    <row r="93" ht="18" customHeight="1" s="17">
      <c r="A93" s="46">
        <f>Saisie_Questions!A93</f>
        <v/>
      </c>
      <c r="B93" s="46">
        <f>Saisie_Questions!O93="OK"</f>
        <v/>
      </c>
      <c r="C93" s="46">
        <f>LOWER(TRIM(Saisie_Questions!B93))</f>
        <v/>
      </c>
      <c r="D93" s="46">
        <f>IF(C93="qcu","SINGLE CHOICE QUESTION","MULTIPLE CHOICE QUESTION")</f>
        <v/>
      </c>
      <c r="E93" s="46">
        <f>IF(C93="qcu","Single","Multiple")</f>
        <v/>
      </c>
      <c r="F93" s="46">
        <f>IF(A93="","",SUBSTITUTE(SUBSTITUTE(SUBSTITUTE(SUBSTITUTE(SUBSTITUTE(IF(Saisie_Questions!C93="", "Question "&amp;A93, Saisie_Questions!C93),"&amp;","&amp;amp;"),"&lt;","&amp;lt;"),"&gt;","&amp;gt;"),CHAR(34),"&amp;quot;"),"'","&amp;apos;"))</f>
        <v/>
      </c>
      <c r="G93" s="46">
        <f>IF(A93="","",SUBSTITUTE(SUBSTITUTE(SUBSTITUTE(SUBSTITUTE(SUBSTITUTE(Saisie_Questions!D93,"&amp;","&amp;amp;"),"&lt;","&amp;lt;"),"&gt;","&amp;gt;"),CHAR(34),"&amp;quot;"),"'","&amp;apos;"))</f>
        <v/>
      </c>
      <c r="H93" s="46">
        <f>Saisie_Questions!N93</f>
        <v/>
      </c>
      <c r="I93" s="46">
        <f>IF(Saisie_Questions!E93="",0,1)+IF(Saisie_Questions!F93="",0,1)+IF(Saisie_Questions!G93="",0,1)+IF(Saisie_Questions!H93="",0,1)+IF(Saisie_Questions!I93="",0,1)+IF(Saisie_Questions!J93="",0,1)+IF(Saisie_Questions!K93="",0,1)+IF(Saisie_Questions!L93="",0,1)</f>
        <v/>
      </c>
      <c r="J93" s="46">
        <f>Saisie_Questions!M93</f>
        <v/>
      </c>
      <c r="K93" s="46">
        <f>Saisie_Questions!O93</f>
        <v/>
      </c>
      <c r="L93" s="46">
        <f>IF(Saisie_Questions!E93="","",SUBSTITUTE(SUBSTITUTE(SUBSTITUTE(SUBSTITUTE(SUBSTITUTE(Saisie_Questions!E93,"&amp;","&amp;amp;"),"&lt;","&amp;lt;"),"&gt;","&amp;gt;"),CHAR(34),"&amp;quot;"),"'","&amp;apos;"))</f>
        <v/>
      </c>
      <c r="M93" s="46">
        <f>IF(Saisie_Questions!F93="","",SUBSTITUTE(SUBSTITUTE(SUBSTITUTE(SUBSTITUTE(SUBSTITUTE(Saisie_Questions!F93,"&amp;","&amp;amp;"),"&lt;","&amp;lt;"),"&gt;","&amp;gt;"),CHAR(34),"&amp;quot;"),"'","&amp;apos;"))</f>
        <v/>
      </c>
      <c r="N93" s="46">
        <f>IF(Saisie_Questions!G93="","",SUBSTITUTE(SUBSTITUTE(SUBSTITUTE(SUBSTITUTE(SUBSTITUTE(Saisie_Questions!G93,"&amp;","&amp;amp;"),"&lt;","&amp;lt;"),"&gt;","&amp;gt;"),CHAR(34),"&amp;quot;"),"'","&amp;apos;"))</f>
        <v/>
      </c>
      <c r="O93" s="46">
        <f>IF(Saisie_Questions!H93="","",SUBSTITUTE(SUBSTITUTE(SUBSTITUTE(SUBSTITUTE(SUBSTITUTE(Saisie_Questions!H93,"&amp;","&amp;amp;"),"&lt;","&amp;lt;"),"&gt;","&amp;gt;"),CHAR(34),"&amp;quot;"),"'","&amp;apos;"))</f>
        <v/>
      </c>
      <c r="P93" s="46">
        <f>IF(Saisie_Questions!I93="","",SUBSTITUTE(SUBSTITUTE(SUBSTITUTE(SUBSTITUTE(SUBSTITUTE(Saisie_Questions!I93,"&amp;","&amp;amp;"),"&lt;","&amp;lt;"),"&gt;","&amp;gt;"),CHAR(34),"&amp;quot;"),"'","&amp;apos;"))</f>
        <v/>
      </c>
      <c r="Q93" s="46">
        <f>IF(Saisie_Questions!J93="","",SUBSTITUTE(SUBSTITUTE(SUBSTITUTE(SUBSTITUTE(SUBSTITUTE(Saisie_Questions!J93,"&amp;","&amp;amp;"),"&lt;","&amp;lt;"),"&gt;","&amp;gt;"),CHAR(34),"&amp;quot;"),"'","&amp;apos;"))</f>
        <v/>
      </c>
      <c r="R93" s="46">
        <f>IF(Saisie_Questions!K93="","",SUBSTITUTE(SUBSTITUTE(SUBSTITUTE(SUBSTITUTE(SUBSTITUTE(Saisie_Questions!K93,"&amp;","&amp;amp;"),"&lt;","&amp;lt;"),"&gt;","&amp;gt;"),CHAR(34),"&amp;quot;"),"'","&amp;apos;"))</f>
        <v/>
      </c>
      <c r="S93" s="46">
        <f>IF(Saisie_Questions!L93="","",SUBSTITUTE(SUBSTITUTE(SUBSTITUTE(SUBSTITUTE(SUBSTITUTE(Saisie_Questions!L93,"&amp;","&amp;amp;"),"&lt;","&amp;lt;"),"&gt;","&amp;gt;"),CHAR(34),"&amp;quot;"),"'","&amp;apos;"))</f>
        <v/>
      </c>
      <c r="T93" s="46">
        <f>ISNUMBER(SEARCH(";"&amp;1&amp;";",";"&amp;$J93&amp;";"))</f>
        <v/>
      </c>
      <c r="U93" s="46">
        <f>ISNUMBER(SEARCH(";"&amp;2&amp;";",";"&amp;$J93&amp;";"))</f>
        <v/>
      </c>
      <c r="V93" s="46">
        <f>ISNUMBER(SEARCH(";"&amp;3&amp;";",";"&amp;$J93&amp;";"))</f>
        <v/>
      </c>
      <c r="W93" s="46">
        <f>ISNUMBER(SEARCH(";"&amp;4&amp;";",";"&amp;$J93&amp;";"))</f>
        <v/>
      </c>
      <c r="X93" s="46">
        <f>ISNUMBER(SEARCH(";"&amp;5&amp;";",";"&amp;$J93&amp;";"))</f>
        <v/>
      </c>
      <c r="Y93" s="46">
        <f>ISNUMBER(SEARCH(";"&amp;6&amp;";",";"&amp;$J93&amp;";"))</f>
        <v/>
      </c>
      <c r="Z93" s="46">
        <f>ISNUMBER(SEARCH(";"&amp;7&amp;";",";"&amp;$J93&amp;";"))</f>
        <v/>
      </c>
      <c r="AA93" s="46">
        <f>ISNUMBER(SEARCH(";"&amp;8&amp;";",";"&amp;$J93&amp;";"))</f>
        <v/>
      </c>
      <c r="AB93" s="46">
        <f>IF($B93,IF(L93="","","        &lt;response_label ident=""0""&gt;&lt;material&gt;&lt;mattext texttype=""text/html""&gt;"&amp;L93&amp;"&lt;/mattext&gt;&lt;/material&gt;&lt;/response_label&gt;"),"")</f>
        <v/>
      </c>
      <c r="AC93" s="46">
        <f>IF($B93,IF(M93="","","        &lt;response_label ident=""1""&gt;&lt;material&gt;&lt;mattext texttype=""text/html""&gt;"&amp;M93&amp;"&lt;/mattext&gt;&lt;/material&gt;&lt;/response_label&gt;"),"")</f>
        <v/>
      </c>
      <c r="AD93" s="46">
        <f>IF($B93,IF(N93="","","        &lt;response_label ident=""2""&gt;&lt;material&gt;&lt;mattext texttype=""text/html""&gt;"&amp;N93&amp;"&lt;/mattext&gt;&lt;/material&gt;&lt;/response_label&gt;"),"")</f>
        <v/>
      </c>
      <c r="AE93" s="46">
        <f>IF($B93,IF(O93="","","        &lt;response_label ident=""3""&gt;&lt;material&gt;&lt;mattext texttype=""text/html""&gt;"&amp;O93&amp;"&lt;/mattext&gt;&lt;/material&gt;&lt;/response_label&gt;"),"")</f>
        <v/>
      </c>
      <c r="AF93" s="46">
        <f>IF($B93,IF(P93="","","        &lt;response_label ident=""4""&gt;&lt;material&gt;&lt;mattext texttype=""text/html""&gt;"&amp;P93&amp;"&lt;/mattext&gt;&lt;/material&gt;&lt;/response_label&gt;"),"")</f>
        <v/>
      </c>
      <c r="AG93" s="46">
        <f>IF($B93,IF(Q93="","","        &lt;response_label ident=""5""&gt;&lt;material&gt;&lt;mattext texttype=""text/html""&gt;"&amp;Q93&amp;"&lt;/mattext&gt;&lt;/material&gt;&lt;/response_label&gt;"),"")</f>
        <v/>
      </c>
      <c r="AH93" s="46">
        <f>IF($B93,IF(R93="","","        &lt;response_label ident=""6""&gt;&lt;material&gt;&lt;mattext texttype=""text/html""&gt;"&amp;R93&amp;"&lt;/mattext&gt;&lt;/material&gt;&lt;/response_label&gt;"),"")</f>
        <v/>
      </c>
      <c r="AI93" s="46">
        <f>IF($B93,IF(S93="","","        &lt;response_label ident=""7""&gt;&lt;material&gt;&lt;mattext texttype=""text/html""&gt;"&amp;S93&amp;"&lt;/mattext&gt;&lt;/material&gt;&lt;/response_label&gt;"),"")</f>
        <v/>
      </c>
      <c r="AJ93" s="46">
        <f>IF($B93,IF(L93="","",IF($C93="qcu",IF(OR(T93,AT93&lt;&gt;"",$AS93&lt;&gt;""),"      &lt;respcondition continue=""Yes""&gt;&lt;conditionvar&gt;&lt;varequal respident=""RESPONSE""&gt;0&lt;/varequal&gt;&lt;/conditionvar&gt;"&amp;"&lt;setvar action=""Add""&gt;"&amp;IF(T93,$H93,0)&amp;"&lt;/setvar&gt;"&amp;IF(AT93&lt;&gt;"","&lt;displayfeedback feedbacktype=""Response"" linkrefid=""response_0""/&gt;",IF($AS93&lt;&gt;"","&lt;displayfeedback feedbacktype=""Response"" linkrefid=""qti_feedback_trigger""/&gt;",""))&amp;"&lt;/respcondition&gt;",""),IF(OR(T93,AT93&lt;&gt;"",$AS93&lt;&gt;""),"      &lt;respcondition continue=""Yes""&gt;&lt;conditionvar&gt;"&amp;IF(T93,"&lt;varequal respident=""RESPONSE""&gt;0&lt;/varequal&gt;","&lt;not&gt;&lt;varequal respident=""RESPONSE""&gt;0&lt;/varequal&gt;&lt;/not&gt;")&amp;"&lt;/conditionvar&gt;&lt;setvar action=""Add""&gt;"&amp;(Saisie_Questions!$N93/$I93)&amp;"&lt;/setvar&gt;"&amp;IF(AT93&lt;&gt;"","&lt;displayfeedback feedbacktype=""Response"" linkrefid=""response_0""/&gt;",IF($AS93&lt;&gt;"","&lt;displayfeedback feedbacktype=""Response"" linkrefid=""qti_feedback_trigger""/&gt;",""))&amp;"&lt;/respcondition&gt;",""))),"")</f>
      </c>
      <c r="AK93" s="46">
        <f>IF($B93,IF(M93="","",IF($C93="qcu",IF(OR(U93,AU93&lt;&gt;"",$AS93&lt;&gt;""),"      &lt;respcondition continue=""Yes""&gt;&lt;conditionvar&gt;&lt;varequal respident=""RESPONSE""&gt;1&lt;/varequal&gt;&lt;/conditionvar&gt;"&amp;"&lt;setvar action=""Add""&gt;"&amp;IF(U93,$H93,0)&amp;"&lt;/setvar&gt;"&amp;IF(AU93&lt;&gt;"","&lt;displayfeedback feedbacktype=""Response"" linkrefid=""response_1""/&gt;",IF($AS93&lt;&gt;"","&lt;displayfeedback feedbacktype=""Response"" linkrefid=""qti_feedback_trigger""/&gt;",""))&amp;"&lt;/respcondition&gt;",""),IF(OR(U93,AU93&lt;&gt;"",$AS93&lt;&gt;""),"      &lt;respcondition continue=""Yes""&gt;&lt;conditionvar&gt;"&amp;IF(U93,"&lt;varequal respident=""RESPONSE""&gt;1&lt;/varequal&gt;","&lt;not&gt;&lt;varequal respident=""RESPONSE""&gt;1&lt;/varequal&gt;&lt;/not&gt;")&amp;"&lt;/conditionvar&gt;&lt;setvar action=""Add""&gt;"&amp;(Saisie_Questions!$N93/$I93)&amp;"&lt;/setvar&gt;"&amp;IF(AU93&lt;&gt;"","&lt;displayfeedback feedbacktype=""Response"" linkrefid=""response_1""/&gt;",IF($AS93&lt;&gt;"","&lt;displayfeedback feedbacktype=""Response"" linkrefid=""qti_feedback_trigger""/&gt;",""))&amp;"&lt;/respcondition&gt;",""))),"")</f>
      </c>
      <c r="AL93" s="46">
        <f>IF($B93,IF(N93="","",IF($C93="qcu",IF(OR(V93,AV93&lt;&gt;"",$AS93&lt;&gt;""),"      &lt;respcondition continue=""Yes""&gt;&lt;conditionvar&gt;&lt;varequal respident=""RESPONSE""&gt;2&lt;/varequal&gt;&lt;/conditionvar&gt;"&amp;"&lt;setvar action=""Add""&gt;"&amp;IF(V93,$H93,0)&amp;"&lt;/setvar&gt;"&amp;IF(AV93&lt;&gt;"","&lt;displayfeedback feedbacktype=""Response"" linkrefid=""response_2""/&gt;",IF($AS93&lt;&gt;"","&lt;displayfeedback feedbacktype=""Response"" linkrefid=""qti_feedback_trigger""/&gt;",""))&amp;"&lt;/respcondition&gt;",""),IF(OR(V93,AV93&lt;&gt;"",$AS93&lt;&gt;""),"      &lt;respcondition continue=""Yes""&gt;&lt;conditionvar&gt;"&amp;IF(V93,"&lt;varequal respident=""RESPONSE""&gt;2&lt;/varequal&gt;","&lt;not&gt;&lt;varequal respident=""RESPONSE""&gt;2&lt;/varequal&gt;&lt;/not&gt;")&amp;"&lt;/conditionvar&gt;&lt;setvar action=""Add""&gt;"&amp;(Saisie_Questions!$N93/$I93)&amp;"&lt;/setvar&gt;"&amp;IF(AV93&lt;&gt;"","&lt;displayfeedback feedbacktype=""Response"" linkrefid=""response_2""/&gt;",IF($AS93&lt;&gt;"","&lt;displayfeedback feedbacktype=""Response"" linkrefid=""qti_feedback_trigger""/&gt;",""))&amp;"&lt;/respcondition&gt;",""))),"")</f>
      </c>
      <c r="AM93" s="46">
        <f>IF($B93,IF(O93="","",IF($C93="qcu",IF(OR(W93,AW93&lt;&gt;"",$AS93&lt;&gt;""),"      &lt;respcondition continue=""Yes""&gt;&lt;conditionvar&gt;&lt;varequal respident=""RESPONSE""&gt;3&lt;/varequal&gt;&lt;/conditionvar&gt;"&amp;"&lt;setvar action=""Add""&gt;"&amp;IF(W93,$H93,0)&amp;"&lt;/setvar&gt;"&amp;IF(AW93&lt;&gt;"","&lt;displayfeedback feedbacktype=""Response"" linkrefid=""response_3""/&gt;",IF($AS93&lt;&gt;"","&lt;displayfeedback feedbacktype=""Response"" linkrefid=""qti_feedback_trigger""/&gt;",""))&amp;"&lt;/respcondition&gt;",""),IF(OR(W93,AW93&lt;&gt;"",$AS93&lt;&gt;""),"      &lt;respcondition continue=""Yes""&gt;&lt;conditionvar&gt;"&amp;IF(W93,"&lt;varequal respident=""RESPONSE""&gt;3&lt;/varequal&gt;","&lt;not&gt;&lt;varequal respident=""RESPONSE""&gt;3&lt;/varequal&gt;&lt;/not&gt;")&amp;"&lt;/conditionvar&gt;&lt;setvar action=""Add""&gt;"&amp;(Saisie_Questions!$N93/$I93)&amp;"&lt;/setvar&gt;"&amp;IF(AW93&lt;&gt;"","&lt;displayfeedback feedbacktype=""Response"" linkrefid=""response_3""/&gt;",IF($AS93&lt;&gt;"","&lt;displayfeedback feedbacktype=""Response"" linkrefid=""qti_feedback_trigger""/&gt;",""))&amp;"&lt;/respcondition&gt;",""))),"")</f>
      </c>
      <c r="AN93" s="46">
        <f>IF($B93,IF(P93="","",IF($C93="qcu",IF(OR(X93,AX93&lt;&gt;"",$AS93&lt;&gt;""),"      &lt;respcondition continue=""Yes""&gt;&lt;conditionvar&gt;&lt;varequal respident=""RESPONSE""&gt;4&lt;/varequal&gt;&lt;/conditionvar&gt;"&amp;"&lt;setvar action=""Add""&gt;"&amp;IF(X93,$H93,0)&amp;"&lt;/setvar&gt;"&amp;IF(AX93&lt;&gt;"","&lt;displayfeedback feedbacktype=""Response"" linkrefid=""response_4""/&gt;",IF($AS93&lt;&gt;"","&lt;displayfeedback feedbacktype=""Response"" linkrefid=""qti_feedback_trigger""/&gt;",""))&amp;"&lt;/respcondition&gt;",""),IF(OR(X93,AX93&lt;&gt;"",$AS93&lt;&gt;""),"      &lt;respcondition continue=""Yes""&gt;&lt;conditionvar&gt;"&amp;IF(X93,"&lt;varequal respident=""RESPONSE""&gt;4&lt;/varequal&gt;","&lt;not&gt;&lt;varequal respident=""RESPONSE""&gt;4&lt;/varequal&gt;&lt;/not&gt;")&amp;"&lt;/conditionvar&gt;&lt;setvar action=""Add""&gt;"&amp;(Saisie_Questions!$N93/$I93)&amp;"&lt;/setvar&gt;"&amp;IF(AX93&lt;&gt;"","&lt;displayfeedback feedbacktype=""Response"" linkrefid=""response_4""/&gt;",IF($AS93&lt;&gt;"","&lt;displayfeedback feedbacktype=""Response"" linkrefid=""qti_feedback_trigger""/&gt;",""))&amp;"&lt;/respcondition&gt;",""))),"")</f>
      </c>
      <c r="AO93" s="46">
        <f>IF($B93,IF(Q93="","",IF($C93="qcu",IF(OR(Y93,AY93&lt;&gt;"",$AS93&lt;&gt;""),"      &lt;respcondition continue=""Yes""&gt;&lt;conditionvar&gt;&lt;varequal respident=""RESPONSE""&gt;5&lt;/varequal&gt;&lt;/conditionvar&gt;"&amp;"&lt;setvar action=""Add""&gt;"&amp;IF(Y93,$H93,0)&amp;"&lt;/setvar&gt;"&amp;IF(AY93&lt;&gt;"","&lt;displayfeedback feedbacktype=""Response"" linkrefid=""response_5""/&gt;",IF($AS93&lt;&gt;"","&lt;displayfeedback feedbacktype=""Response"" linkrefid=""qti_feedback_trigger""/&gt;",""))&amp;"&lt;/respcondition&gt;",""),IF(OR(Y93,AY93&lt;&gt;"",$AS93&lt;&gt;""),"      &lt;respcondition continue=""Yes""&gt;&lt;conditionvar&gt;"&amp;IF(Y93,"&lt;varequal respident=""RESPONSE""&gt;5&lt;/varequal&gt;","&lt;not&gt;&lt;varequal respident=""RESPONSE""&gt;5&lt;/varequal&gt;&lt;/not&gt;")&amp;"&lt;/conditionvar&gt;&lt;setvar action=""Add""&gt;"&amp;(Saisie_Questions!$N93/$I93)&amp;"&lt;/setvar&gt;"&amp;IF(AY93&lt;&gt;"","&lt;displayfeedback feedbacktype=""Response"" linkrefid=""response_5""/&gt;",IF($AS93&lt;&gt;"","&lt;displayfeedback feedbacktype=""Response"" linkrefid=""qti_feedback_trigger""/&gt;",""))&amp;"&lt;/respcondition&gt;",""))),"")</f>
      </c>
      <c r="AP93" s="46">
        <f>IF($B93,IF(R93="","",IF($C93="qcu",IF(OR(Z93,AZ93&lt;&gt;"",$AS93&lt;&gt;""),"      &lt;respcondition continue=""Yes""&gt;&lt;conditionvar&gt;&lt;varequal respident=""RESPONSE""&gt;6&lt;/varequal&gt;&lt;/conditionvar&gt;"&amp;"&lt;setvar action=""Add""&gt;"&amp;IF(Z93,$H93,0)&amp;"&lt;/setvar&gt;"&amp;IF(AZ93&lt;&gt;"","&lt;displayfeedback feedbacktype=""Response"" linkrefid=""response_6""/&gt;",IF($AS93&lt;&gt;"","&lt;displayfeedback feedbacktype=""Response"" linkrefid=""qti_feedback_trigger""/&gt;",""))&amp;"&lt;/respcondition&gt;",""),IF(OR(Z93,AZ93&lt;&gt;"",$AS93&lt;&gt;""),"      &lt;respcondition continue=""Yes""&gt;&lt;conditionvar&gt;"&amp;IF(Z93,"&lt;varequal respident=""RESPONSE""&gt;6&lt;/varequal&gt;","&lt;not&gt;&lt;varequal respident=""RESPONSE""&gt;6&lt;/varequal&gt;&lt;/not&gt;")&amp;"&lt;/conditionvar&gt;&lt;setvar action=""Add""&gt;"&amp;(Saisie_Questions!$N93/$I93)&amp;"&lt;/setvar&gt;"&amp;IF(AZ93&lt;&gt;"","&lt;displayfeedback feedbacktype=""Response"" linkrefid=""response_6""/&gt;",IF($AS93&lt;&gt;"","&lt;displayfeedback feedbacktype=""Response"" linkrefid=""qti_feedback_trigger""/&gt;",""))&amp;"&lt;/respcondition&gt;",""))),"")</f>
      </c>
      <c r="AQ93" s="46">
        <f>IF($B93,IF(S93="","",IF($C93="qcu",IF(OR(AA93,BA93&lt;&gt;"",$AS93&lt;&gt;""),"      &lt;respcondition continue=""Yes""&gt;&lt;conditionvar&gt;&lt;varequal respident=""RESPONSE""&gt;7&lt;/varequal&gt;&lt;/conditionvar&gt;"&amp;"&lt;setvar action=""Add""&gt;"&amp;IF(AA93,$H93,0)&amp;"&lt;/setvar&gt;"&amp;IF(BA93&lt;&gt;"","&lt;displayfeedback feedbacktype=""Response"" linkrefid=""response_7""/&gt;",IF($AS93&lt;&gt;"","&lt;displayfeedback feedbacktype=""Response"" linkrefid=""qti_feedback_trigger""/&gt;",""))&amp;"&lt;/respcondition&gt;",""),IF(OR(AA93,BA93&lt;&gt;"",$AS93&lt;&gt;""),"      &lt;respcondition continue=""Yes""&gt;&lt;conditionvar&gt;"&amp;IF(AA93,"&lt;varequal respident=""RESPONSE""&gt;7&lt;/varequal&gt;","&lt;not&gt;&lt;varequal respident=""RESPONSE""&gt;7&lt;/varequal&gt;&lt;/not&gt;")&amp;"&lt;/conditionvar&gt;&lt;setvar action=""Add""&gt;"&amp;(Saisie_Questions!$N93/$I93)&amp;"&lt;/setvar&gt;"&amp;IF(BA93&lt;&gt;"","&lt;displayfeedback feedbacktype=""Response"" linkrefid=""response_7""/&gt;",IF($AS93&lt;&gt;"","&lt;displayfeedback feedbacktype=""Response"" linkrefid=""qti_feedback_trigger""/&gt;",""))&amp;"&lt;/respcondition&gt;",""))),"")</f>
      </c>
      <c r="AR93" s="46">
        <f>IF(A93="","",SUBSTITUTE(SUBSTITUTE(SUBSTITUTE(SUBSTITUTE(SUBSTITUTE(IF(Saisie_Questions!P93&lt;&gt;"",Saisie_Questions!P93,Interface_Generation!$B$5),"&amp;","&amp;amp;"),"&lt;","&amp;lt;"),"&gt;","&amp;gt;"),CHAR(34),"&amp;quot;"),"'","&amp;apos;"))</f>
        <v/>
      </c>
      <c r="AS93" s="46">
        <f>IF(Saisie_Questions!Q93="","",SUBSTITUTE(SUBSTITUTE(SUBSTITUTE(SUBSTITUTE(SUBSTITUTE(Saisie_Questions!Q93,"&amp;","&amp;amp;"),"&lt;","&amp;lt;"),"&gt;","&amp;gt;"),CHAR(34),"&amp;quot;"),"'","&amp;apos;"))</f>
        <v/>
      </c>
      <c r="AT93" s="46">
        <f>IF(Saisie_Questions!R93="","",SUBSTITUTE(SUBSTITUTE(SUBSTITUTE(SUBSTITUTE(SUBSTITUTE(Saisie_Questions!R93,"&amp;","&amp;amp;"),"&lt;","&amp;lt;"),"&gt;","&amp;gt;"),CHAR(34),"&amp;quot;"),"'","&amp;apos;"))</f>
        <v/>
      </c>
      <c r="AU93" s="46">
        <f>IF(Saisie_Questions!S93="","",SUBSTITUTE(SUBSTITUTE(SUBSTITUTE(SUBSTITUTE(SUBSTITUTE(Saisie_Questions!S93,"&amp;","&amp;amp;"),"&lt;","&amp;lt;"),"&gt;","&amp;gt;"),CHAR(34),"&amp;quot;"),"'","&amp;apos;"))</f>
        <v/>
      </c>
      <c r="AV93" s="46">
        <f>IF(Saisie_Questions!T93="","",SUBSTITUTE(SUBSTITUTE(SUBSTITUTE(SUBSTITUTE(SUBSTITUTE(Saisie_Questions!T93,"&amp;","&amp;amp;"),"&lt;","&amp;lt;"),"&gt;","&amp;gt;"),CHAR(34),"&amp;quot;"),"'","&amp;apos;"))</f>
        <v/>
      </c>
      <c r="AW93" s="46">
        <f>IF(Saisie_Questions!U93="","",SUBSTITUTE(SUBSTITUTE(SUBSTITUTE(SUBSTITUTE(SUBSTITUTE(Saisie_Questions!U93,"&amp;","&amp;amp;"),"&lt;","&amp;lt;"),"&gt;","&amp;gt;"),CHAR(34),"&amp;quot;"),"'","&amp;apos;"))</f>
        <v/>
      </c>
      <c r="AX93" s="46">
        <f>IF(Saisie_Questions!V93="","",SUBSTITUTE(SUBSTITUTE(SUBSTITUTE(SUBSTITUTE(SUBSTITUTE(Saisie_Questions!V93,"&amp;","&amp;amp;"),"&lt;","&amp;lt;"),"&gt;","&amp;gt;"),CHAR(34),"&amp;quot;"),"'","&amp;apos;"))</f>
        <v/>
      </c>
      <c r="AY93" s="46">
        <f>IF(Saisie_Questions!W93="","",SUBSTITUTE(SUBSTITUTE(SUBSTITUTE(SUBSTITUTE(SUBSTITUTE(Saisie_Questions!W93,"&amp;","&amp;amp;"),"&lt;","&amp;lt;"),"&gt;","&amp;gt;"),CHAR(34),"&amp;quot;"),"'","&amp;apos;"))</f>
        <v/>
      </c>
      <c r="AZ93" s="46">
        <f>IF(Saisie_Questions!X93="","",SUBSTITUTE(SUBSTITUTE(SUBSTITUTE(SUBSTITUTE(SUBSTITUTE(Saisie_Questions!X93,"&amp;","&amp;amp;"),"&lt;","&amp;lt;"),"&gt;","&amp;gt;"),CHAR(34),"&amp;quot;"),"'","&amp;apos;"))</f>
        <v/>
      </c>
      <c r="BA93" s="46">
        <f>IF(Saisie_Questions!Y93="","",SUBSTITUTE(SUBSTITUTE(SUBSTITUTE(SUBSTITUTE(SUBSTITUTE(Saisie_Questions!Y93,"&amp;","&amp;amp;"),"&lt;","&amp;lt;"),"&gt;","&amp;gt;"),CHAR(34),"&amp;quot;"),"'","&amp;apos;"))</f>
        <v/>
      </c>
      <c r="BB93" s="46">
        <f>IF($B93,IF($AS93="","","    &lt;itemfeedback ident=""response_allcorrect"" view=""All""&gt;&lt;flow_mat&gt;&lt;material&gt;&lt;mattext texttype=""text/html""&gt;"&amp;$AS93&amp;"&lt;/mattext&gt;&lt;/material&gt;&lt;/flow_mat&gt;&lt;/itemfeedback&gt;"&amp;"    &lt;itemfeedback ident=""response_onenotcorrect"" view=""All""&gt;&lt;flow_mat&gt;&lt;material&gt;&lt;mattext texttype=""text/html""&gt;"&amp;$AS93&amp;"&lt;/mattext&gt;&lt;/material&gt;&lt;/flow_mat&gt;&lt;/itemfeedback&gt;"),"")</f>
      </c>
      <c r="BC93" s="46">
        <f>IF($B93,IF(AT93="","","    &lt;itemfeedback ident=""response_0"" view=""All""&gt;&lt;flow_mat&gt;&lt;material&gt;&lt;mattext texttype=""text/html""&gt;"&amp;AT93&amp;"&lt;/mattext&gt;&lt;/material&gt;&lt;/flow_mat&gt;&lt;/itemfeedback&gt;"),"")</f>
      </c>
      <c r="BD93" s="46">
        <f>IF($B93,IF(AU93="","","    &lt;itemfeedback ident=""response_1"" view=""All""&gt;&lt;flow_mat&gt;&lt;material&gt;&lt;mattext texttype=""text/html""&gt;"&amp;AU93&amp;"&lt;/mattext&gt;&lt;/material&gt;&lt;/flow_mat&gt;&lt;/itemfeedback&gt;"),"")</f>
      </c>
      <c r="BE93" s="46">
        <f>IF($B93,IF(AV93="","","    &lt;itemfeedback ident=""response_2"" view=""All""&gt;&lt;flow_mat&gt;&lt;material&gt;&lt;mattext texttype=""text/html""&gt;"&amp;AV93&amp;"&lt;/mattext&gt;&lt;/material&gt;&lt;/flow_mat&gt;&lt;/itemfeedback&gt;"),"")</f>
      </c>
      <c r="BF93" s="46">
        <f>IF($B93,IF(AW93="","","    &lt;itemfeedback ident=""response_3"" view=""All""&gt;&lt;flow_mat&gt;&lt;material&gt;&lt;mattext texttype=""text/html""&gt;"&amp;AW93&amp;"&lt;/mattext&gt;&lt;/material&gt;&lt;/flow_mat&gt;&lt;/itemfeedback&gt;"),"")</f>
      </c>
      <c r="BG93" s="46">
        <f>IF($B93,IF(AX93="","","    &lt;itemfeedback ident=""response_4"" view=""All""&gt;&lt;flow_mat&gt;&lt;material&gt;&lt;mattext texttype=""text/html""&gt;"&amp;AX93&amp;"&lt;/mattext&gt;&lt;/material&gt;&lt;/flow_mat&gt;&lt;/itemfeedback&gt;"),"")</f>
      </c>
      <c r="BH93" s="46">
        <f>IF($B93,IF(AY93="","","    &lt;itemfeedback ident=""response_5"" view=""All""&gt;&lt;flow_mat&gt;&lt;material&gt;&lt;mattext texttype=""text/html""&gt;"&amp;AY93&amp;"&lt;/mattext&gt;&lt;/material&gt;&lt;/flow_mat&gt;&lt;/itemfeedback&gt;"),"")</f>
      </c>
      <c r="BI93" s="46">
        <f>IF($B93,IF(AZ93="","","    &lt;itemfeedback ident=""response_6"" view=""All""&gt;&lt;flow_mat&gt;&lt;material&gt;&lt;mattext texttype=""text/html""&gt;"&amp;AZ93&amp;"&lt;/mattext&gt;&lt;/material&gt;&lt;/flow_mat&gt;&lt;/itemfeedback&gt;"),"")</f>
      </c>
      <c r="BJ93" s="46">
        <f>IF($B93,IF(BA93="","","    &lt;itemfeedback ident=""response_7"" view=""All""&gt;&lt;flow_mat&gt;&lt;material&gt;&lt;mattext texttype=""text/html""&gt;"&amp;BA93&amp;"&lt;/mattext&gt;&lt;/material&gt;&lt;/flow_mat&gt;&lt;/itemfeedback&gt;"),"")</f>
      </c>
    </row>
    <row r="94" ht="18" customHeight="1" s="17">
      <c r="A94" s="46">
        <f>Saisie_Questions!A94</f>
        <v/>
      </c>
      <c r="B94" s="46">
        <f>Saisie_Questions!O94="OK"</f>
        <v/>
      </c>
      <c r="C94" s="46">
        <f>LOWER(TRIM(Saisie_Questions!B94))</f>
        <v/>
      </c>
      <c r="D94" s="46">
        <f>IF(C94="qcu","SINGLE CHOICE QUESTION","MULTIPLE CHOICE QUESTION")</f>
        <v/>
      </c>
      <c r="E94" s="46">
        <f>IF(C94="qcu","Single","Multiple")</f>
        <v/>
      </c>
      <c r="F94" s="46">
        <f>IF(A94="","",SUBSTITUTE(SUBSTITUTE(SUBSTITUTE(SUBSTITUTE(SUBSTITUTE(IF(Saisie_Questions!C94="", "Question "&amp;A94, Saisie_Questions!C94),"&amp;","&amp;amp;"),"&lt;","&amp;lt;"),"&gt;","&amp;gt;"),CHAR(34),"&amp;quot;"),"'","&amp;apos;"))</f>
        <v/>
      </c>
      <c r="G94" s="46">
        <f>IF(A94="","",SUBSTITUTE(SUBSTITUTE(SUBSTITUTE(SUBSTITUTE(SUBSTITUTE(Saisie_Questions!D94,"&amp;","&amp;amp;"),"&lt;","&amp;lt;"),"&gt;","&amp;gt;"),CHAR(34),"&amp;quot;"),"'","&amp;apos;"))</f>
        <v/>
      </c>
      <c r="H94" s="46">
        <f>Saisie_Questions!N94</f>
        <v/>
      </c>
      <c r="I94" s="46">
        <f>IF(Saisie_Questions!E94="",0,1)+IF(Saisie_Questions!F94="",0,1)+IF(Saisie_Questions!G94="",0,1)+IF(Saisie_Questions!H94="",0,1)+IF(Saisie_Questions!I94="",0,1)+IF(Saisie_Questions!J94="",0,1)+IF(Saisie_Questions!K94="",0,1)+IF(Saisie_Questions!L94="",0,1)</f>
        <v/>
      </c>
      <c r="J94" s="46">
        <f>Saisie_Questions!M94</f>
        <v/>
      </c>
      <c r="K94" s="46">
        <f>Saisie_Questions!O94</f>
        <v/>
      </c>
      <c r="L94" s="46">
        <f>IF(Saisie_Questions!E94="","",SUBSTITUTE(SUBSTITUTE(SUBSTITUTE(SUBSTITUTE(SUBSTITUTE(Saisie_Questions!E94,"&amp;","&amp;amp;"),"&lt;","&amp;lt;"),"&gt;","&amp;gt;"),CHAR(34),"&amp;quot;"),"'","&amp;apos;"))</f>
        <v/>
      </c>
      <c r="M94" s="46">
        <f>IF(Saisie_Questions!F94="","",SUBSTITUTE(SUBSTITUTE(SUBSTITUTE(SUBSTITUTE(SUBSTITUTE(Saisie_Questions!F94,"&amp;","&amp;amp;"),"&lt;","&amp;lt;"),"&gt;","&amp;gt;"),CHAR(34),"&amp;quot;"),"'","&amp;apos;"))</f>
        <v/>
      </c>
      <c r="N94" s="46">
        <f>IF(Saisie_Questions!G94="","",SUBSTITUTE(SUBSTITUTE(SUBSTITUTE(SUBSTITUTE(SUBSTITUTE(Saisie_Questions!G94,"&amp;","&amp;amp;"),"&lt;","&amp;lt;"),"&gt;","&amp;gt;"),CHAR(34),"&amp;quot;"),"'","&amp;apos;"))</f>
        <v/>
      </c>
      <c r="O94" s="46">
        <f>IF(Saisie_Questions!H94="","",SUBSTITUTE(SUBSTITUTE(SUBSTITUTE(SUBSTITUTE(SUBSTITUTE(Saisie_Questions!H94,"&amp;","&amp;amp;"),"&lt;","&amp;lt;"),"&gt;","&amp;gt;"),CHAR(34),"&amp;quot;"),"'","&amp;apos;"))</f>
        <v/>
      </c>
      <c r="P94" s="46">
        <f>IF(Saisie_Questions!I94="","",SUBSTITUTE(SUBSTITUTE(SUBSTITUTE(SUBSTITUTE(SUBSTITUTE(Saisie_Questions!I94,"&amp;","&amp;amp;"),"&lt;","&amp;lt;"),"&gt;","&amp;gt;"),CHAR(34),"&amp;quot;"),"'","&amp;apos;"))</f>
        <v/>
      </c>
      <c r="Q94" s="46">
        <f>IF(Saisie_Questions!J94="","",SUBSTITUTE(SUBSTITUTE(SUBSTITUTE(SUBSTITUTE(SUBSTITUTE(Saisie_Questions!J94,"&amp;","&amp;amp;"),"&lt;","&amp;lt;"),"&gt;","&amp;gt;"),CHAR(34),"&amp;quot;"),"'","&amp;apos;"))</f>
        <v/>
      </c>
      <c r="R94" s="46">
        <f>IF(Saisie_Questions!K94="","",SUBSTITUTE(SUBSTITUTE(SUBSTITUTE(SUBSTITUTE(SUBSTITUTE(Saisie_Questions!K94,"&amp;","&amp;amp;"),"&lt;","&amp;lt;"),"&gt;","&amp;gt;"),CHAR(34),"&amp;quot;"),"'","&amp;apos;"))</f>
        <v/>
      </c>
      <c r="S94" s="46">
        <f>IF(Saisie_Questions!L94="","",SUBSTITUTE(SUBSTITUTE(SUBSTITUTE(SUBSTITUTE(SUBSTITUTE(Saisie_Questions!L94,"&amp;","&amp;amp;"),"&lt;","&amp;lt;"),"&gt;","&amp;gt;"),CHAR(34),"&amp;quot;"),"'","&amp;apos;"))</f>
        <v/>
      </c>
      <c r="T94" s="46">
        <f>ISNUMBER(SEARCH(";"&amp;1&amp;";",";"&amp;$J94&amp;";"))</f>
        <v/>
      </c>
      <c r="U94" s="46">
        <f>ISNUMBER(SEARCH(";"&amp;2&amp;";",";"&amp;$J94&amp;";"))</f>
        <v/>
      </c>
      <c r="V94" s="46">
        <f>ISNUMBER(SEARCH(";"&amp;3&amp;";",";"&amp;$J94&amp;";"))</f>
        <v/>
      </c>
      <c r="W94" s="46">
        <f>ISNUMBER(SEARCH(";"&amp;4&amp;";",";"&amp;$J94&amp;";"))</f>
        <v/>
      </c>
      <c r="X94" s="46">
        <f>ISNUMBER(SEARCH(";"&amp;5&amp;";",";"&amp;$J94&amp;";"))</f>
        <v/>
      </c>
      <c r="Y94" s="46">
        <f>ISNUMBER(SEARCH(";"&amp;6&amp;";",";"&amp;$J94&amp;";"))</f>
        <v/>
      </c>
      <c r="Z94" s="46">
        <f>ISNUMBER(SEARCH(";"&amp;7&amp;";",";"&amp;$J94&amp;";"))</f>
        <v/>
      </c>
      <c r="AA94" s="46">
        <f>ISNUMBER(SEARCH(";"&amp;8&amp;";",";"&amp;$J94&amp;";"))</f>
        <v/>
      </c>
      <c r="AB94" s="46">
        <f>IF($B94,IF(L94="","","        &lt;response_label ident=""0""&gt;&lt;material&gt;&lt;mattext texttype=""text/html""&gt;"&amp;L94&amp;"&lt;/mattext&gt;&lt;/material&gt;&lt;/response_label&gt;"),"")</f>
        <v/>
      </c>
      <c r="AC94" s="46">
        <f>IF($B94,IF(M94="","","        &lt;response_label ident=""1""&gt;&lt;material&gt;&lt;mattext texttype=""text/html""&gt;"&amp;M94&amp;"&lt;/mattext&gt;&lt;/material&gt;&lt;/response_label&gt;"),"")</f>
        <v/>
      </c>
      <c r="AD94" s="46">
        <f>IF($B94,IF(N94="","","        &lt;response_label ident=""2""&gt;&lt;material&gt;&lt;mattext texttype=""text/html""&gt;"&amp;N94&amp;"&lt;/mattext&gt;&lt;/material&gt;&lt;/response_label&gt;"),"")</f>
        <v/>
      </c>
      <c r="AE94" s="46">
        <f>IF($B94,IF(O94="","","        &lt;response_label ident=""3""&gt;&lt;material&gt;&lt;mattext texttype=""text/html""&gt;"&amp;O94&amp;"&lt;/mattext&gt;&lt;/material&gt;&lt;/response_label&gt;"),"")</f>
        <v/>
      </c>
      <c r="AF94" s="46">
        <f>IF($B94,IF(P94="","","        &lt;response_label ident=""4""&gt;&lt;material&gt;&lt;mattext texttype=""text/html""&gt;"&amp;P94&amp;"&lt;/mattext&gt;&lt;/material&gt;&lt;/response_label&gt;"),"")</f>
        <v/>
      </c>
      <c r="AG94" s="46">
        <f>IF($B94,IF(Q94="","","        &lt;response_label ident=""5""&gt;&lt;material&gt;&lt;mattext texttype=""text/html""&gt;"&amp;Q94&amp;"&lt;/mattext&gt;&lt;/material&gt;&lt;/response_label&gt;"),"")</f>
        <v/>
      </c>
      <c r="AH94" s="46">
        <f>IF($B94,IF(R94="","","        &lt;response_label ident=""6""&gt;&lt;material&gt;&lt;mattext texttype=""text/html""&gt;"&amp;R94&amp;"&lt;/mattext&gt;&lt;/material&gt;&lt;/response_label&gt;"),"")</f>
        <v/>
      </c>
      <c r="AI94" s="46">
        <f>IF($B94,IF(S94="","","        &lt;response_label ident=""7""&gt;&lt;material&gt;&lt;mattext texttype=""text/html""&gt;"&amp;S94&amp;"&lt;/mattext&gt;&lt;/material&gt;&lt;/response_label&gt;"),"")</f>
        <v/>
      </c>
      <c r="AJ94" s="46">
        <f>IF($B94,IF(L94="","",IF($C94="qcu",IF(OR(T94,AT94&lt;&gt;"",$AS94&lt;&gt;""),"      &lt;respcondition continue=""Yes""&gt;&lt;conditionvar&gt;&lt;varequal respident=""RESPONSE""&gt;0&lt;/varequal&gt;&lt;/conditionvar&gt;"&amp;"&lt;setvar action=""Add""&gt;"&amp;IF(T94,$H94,0)&amp;"&lt;/setvar&gt;"&amp;IF(AT94&lt;&gt;"","&lt;displayfeedback feedbacktype=""Response"" linkrefid=""response_0""/&gt;",IF($AS94&lt;&gt;"","&lt;displayfeedback feedbacktype=""Response"" linkrefid=""qti_feedback_trigger""/&gt;",""))&amp;"&lt;/respcondition&gt;",""),IF(OR(T94,AT94&lt;&gt;"",$AS94&lt;&gt;""),"      &lt;respcondition continue=""Yes""&gt;&lt;conditionvar&gt;"&amp;IF(T94,"&lt;varequal respident=""RESPONSE""&gt;0&lt;/varequal&gt;","&lt;not&gt;&lt;varequal respident=""RESPONSE""&gt;0&lt;/varequal&gt;&lt;/not&gt;")&amp;"&lt;/conditionvar&gt;&lt;setvar action=""Add""&gt;"&amp;(Saisie_Questions!$N94/$I94)&amp;"&lt;/setvar&gt;"&amp;IF(AT94&lt;&gt;"","&lt;displayfeedback feedbacktype=""Response"" linkrefid=""response_0""/&gt;",IF($AS94&lt;&gt;"","&lt;displayfeedback feedbacktype=""Response"" linkrefid=""qti_feedback_trigger""/&gt;",""))&amp;"&lt;/respcondition&gt;",""))),"")</f>
      </c>
      <c r="AK94" s="46">
        <f>IF($B94,IF(M94="","",IF($C94="qcu",IF(OR(U94,AU94&lt;&gt;"",$AS94&lt;&gt;""),"      &lt;respcondition continue=""Yes""&gt;&lt;conditionvar&gt;&lt;varequal respident=""RESPONSE""&gt;1&lt;/varequal&gt;&lt;/conditionvar&gt;"&amp;"&lt;setvar action=""Add""&gt;"&amp;IF(U94,$H94,0)&amp;"&lt;/setvar&gt;"&amp;IF(AU94&lt;&gt;"","&lt;displayfeedback feedbacktype=""Response"" linkrefid=""response_1""/&gt;",IF($AS94&lt;&gt;"","&lt;displayfeedback feedbacktype=""Response"" linkrefid=""qti_feedback_trigger""/&gt;",""))&amp;"&lt;/respcondition&gt;",""),IF(OR(U94,AU94&lt;&gt;"",$AS94&lt;&gt;""),"      &lt;respcondition continue=""Yes""&gt;&lt;conditionvar&gt;"&amp;IF(U94,"&lt;varequal respident=""RESPONSE""&gt;1&lt;/varequal&gt;","&lt;not&gt;&lt;varequal respident=""RESPONSE""&gt;1&lt;/varequal&gt;&lt;/not&gt;")&amp;"&lt;/conditionvar&gt;&lt;setvar action=""Add""&gt;"&amp;(Saisie_Questions!$N94/$I94)&amp;"&lt;/setvar&gt;"&amp;IF(AU94&lt;&gt;"","&lt;displayfeedback feedbacktype=""Response"" linkrefid=""response_1""/&gt;",IF($AS94&lt;&gt;"","&lt;displayfeedback feedbacktype=""Response"" linkrefid=""qti_feedback_trigger""/&gt;",""))&amp;"&lt;/respcondition&gt;",""))),"")</f>
      </c>
      <c r="AL94" s="46">
        <f>IF($B94,IF(N94="","",IF($C94="qcu",IF(OR(V94,AV94&lt;&gt;"",$AS94&lt;&gt;""),"      &lt;respcondition continue=""Yes""&gt;&lt;conditionvar&gt;&lt;varequal respident=""RESPONSE""&gt;2&lt;/varequal&gt;&lt;/conditionvar&gt;"&amp;"&lt;setvar action=""Add""&gt;"&amp;IF(V94,$H94,0)&amp;"&lt;/setvar&gt;"&amp;IF(AV94&lt;&gt;"","&lt;displayfeedback feedbacktype=""Response"" linkrefid=""response_2""/&gt;",IF($AS94&lt;&gt;"","&lt;displayfeedback feedbacktype=""Response"" linkrefid=""qti_feedback_trigger""/&gt;",""))&amp;"&lt;/respcondition&gt;",""),IF(OR(V94,AV94&lt;&gt;"",$AS94&lt;&gt;""),"      &lt;respcondition continue=""Yes""&gt;&lt;conditionvar&gt;"&amp;IF(V94,"&lt;varequal respident=""RESPONSE""&gt;2&lt;/varequal&gt;","&lt;not&gt;&lt;varequal respident=""RESPONSE""&gt;2&lt;/varequal&gt;&lt;/not&gt;")&amp;"&lt;/conditionvar&gt;&lt;setvar action=""Add""&gt;"&amp;(Saisie_Questions!$N94/$I94)&amp;"&lt;/setvar&gt;"&amp;IF(AV94&lt;&gt;"","&lt;displayfeedback feedbacktype=""Response"" linkrefid=""response_2""/&gt;",IF($AS94&lt;&gt;"","&lt;displayfeedback feedbacktype=""Response"" linkrefid=""qti_feedback_trigger""/&gt;",""))&amp;"&lt;/respcondition&gt;",""))),"")</f>
      </c>
      <c r="AM94" s="46">
        <f>IF($B94,IF(O94="","",IF($C94="qcu",IF(OR(W94,AW94&lt;&gt;"",$AS94&lt;&gt;""),"      &lt;respcondition continue=""Yes""&gt;&lt;conditionvar&gt;&lt;varequal respident=""RESPONSE""&gt;3&lt;/varequal&gt;&lt;/conditionvar&gt;"&amp;"&lt;setvar action=""Add""&gt;"&amp;IF(W94,$H94,0)&amp;"&lt;/setvar&gt;"&amp;IF(AW94&lt;&gt;"","&lt;displayfeedback feedbacktype=""Response"" linkrefid=""response_3""/&gt;",IF($AS94&lt;&gt;"","&lt;displayfeedback feedbacktype=""Response"" linkrefid=""qti_feedback_trigger""/&gt;",""))&amp;"&lt;/respcondition&gt;",""),IF(OR(W94,AW94&lt;&gt;"",$AS94&lt;&gt;""),"      &lt;respcondition continue=""Yes""&gt;&lt;conditionvar&gt;"&amp;IF(W94,"&lt;varequal respident=""RESPONSE""&gt;3&lt;/varequal&gt;","&lt;not&gt;&lt;varequal respident=""RESPONSE""&gt;3&lt;/varequal&gt;&lt;/not&gt;")&amp;"&lt;/conditionvar&gt;&lt;setvar action=""Add""&gt;"&amp;(Saisie_Questions!$N94/$I94)&amp;"&lt;/setvar&gt;"&amp;IF(AW94&lt;&gt;"","&lt;displayfeedback feedbacktype=""Response"" linkrefid=""response_3""/&gt;",IF($AS94&lt;&gt;"","&lt;displayfeedback feedbacktype=""Response"" linkrefid=""qti_feedback_trigger""/&gt;",""))&amp;"&lt;/respcondition&gt;",""))),"")</f>
      </c>
      <c r="AN94" s="46">
        <f>IF($B94,IF(P94="","",IF($C94="qcu",IF(OR(X94,AX94&lt;&gt;"",$AS94&lt;&gt;""),"      &lt;respcondition continue=""Yes""&gt;&lt;conditionvar&gt;&lt;varequal respident=""RESPONSE""&gt;4&lt;/varequal&gt;&lt;/conditionvar&gt;"&amp;"&lt;setvar action=""Add""&gt;"&amp;IF(X94,$H94,0)&amp;"&lt;/setvar&gt;"&amp;IF(AX94&lt;&gt;"","&lt;displayfeedback feedbacktype=""Response"" linkrefid=""response_4""/&gt;",IF($AS94&lt;&gt;"","&lt;displayfeedback feedbacktype=""Response"" linkrefid=""qti_feedback_trigger""/&gt;",""))&amp;"&lt;/respcondition&gt;",""),IF(OR(X94,AX94&lt;&gt;"",$AS94&lt;&gt;""),"      &lt;respcondition continue=""Yes""&gt;&lt;conditionvar&gt;"&amp;IF(X94,"&lt;varequal respident=""RESPONSE""&gt;4&lt;/varequal&gt;","&lt;not&gt;&lt;varequal respident=""RESPONSE""&gt;4&lt;/varequal&gt;&lt;/not&gt;")&amp;"&lt;/conditionvar&gt;&lt;setvar action=""Add""&gt;"&amp;(Saisie_Questions!$N94/$I94)&amp;"&lt;/setvar&gt;"&amp;IF(AX94&lt;&gt;"","&lt;displayfeedback feedbacktype=""Response"" linkrefid=""response_4""/&gt;",IF($AS94&lt;&gt;"","&lt;displayfeedback feedbacktype=""Response"" linkrefid=""qti_feedback_trigger""/&gt;",""))&amp;"&lt;/respcondition&gt;",""))),"")</f>
      </c>
      <c r="AO94" s="46">
        <f>IF($B94,IF(Q94="","",IF($C94="qcu",IF(OR(Y94,AY94&lt;&gt;"",$AS94&lt;&gt;""),"      &lt;respcondition continue=""Yes""&gt;&lt;conditionvar&gt;&lt;varequal respident=""RESPONSE""&gt;5&lt;/varequal&gt;&lt;/conditionvar&gt;"&amp;"&lt;setvar action=""Add""&gt;"&amp;IF(Y94,$H94,0)&amp;"&lt;/setvar&gt;"&amp;IF(AY94&lt;&gt;"","&lt;displayfeedback feedbacktype=""Response"" linkrefid=""response_5""/&gt;",IF($AS94&lt;&gt;"","&lt;displayfeedback feedbacktype=""Response"" linkrefid=""qti_feedback_trigger""/&gt;",""))&amp;"&lt;/respcondition&gt;",""),IF(OR(Y94,AY94&lt;&gt;"",$AS94&lt;&gt;""),"      &lt;respcondition continue=""Yes""&gt;&lt;conditionvar&gt;"&amp;IF(Y94,"&lt;varequal respident=""RESPONSE""&gt;5&lt;/varequal&gt;","&lt;not&gt;&lt;varequal respident=""RESPONSE""&gt;5&lt;/varequal&gt;&lt;/not&gt;")&amp;"&lt;/conditionvar&gt;&lt;setvar action=""Add""&gt;"&amp;(Saisie_Questions!$N94/$I94)&amp;"&lt;/setvar&gt;"&amp;IF(AY94&lt;&gt;"","&lt;displayfeedback feedbacktype=""Response"" linkrefid=""response_5""/&gt;",IF($AS94&lt;&gt;"","&lt;displayfeedback feedbacktype=""Response"" linkrefid=""qti_feedback_trigger""/&gt;",""))&amp;"&lt;/respcondition&gt;",""))),"")</f>
      </c>
      <c r="AP94" s="46">
        <f>IF($B94,IF(R94="","",IF($C94="qcu",IF(OR(Z94,AZ94&lt;&gt;"",$AS94&lt;&gt;""),"      &lt;respcondition continue=""Yes""&gt;&lt;conditionvar&gt;&lt;varequal respident=""RESPONSE""&gt;6&lt;/varequal&gt;&lt;/conditionvar&gt;"&amp;"&lt;setvar action=""Add""&gt;"&amp;IF(Z94,$H94,0)&amp;"&lt;/setvar&gt;"&amp;IF(AZ94&lt;&gt;"","&lt;displayfeedback feedbacktype=""Response"" linkrefid=""response_6""/&gt;",IF($AS94&lt;&gt;"","&lt;displayfeedback feedbacktype=""Response"" linkrefid=""qti_feedback_trigger""/&gt;",""))&amp;"&lt;/respcondition&gt;",""),IF(OR(Z94,AZ94&lt;&gt;"",$AS94&lt;&gt;""),"      &lt;respcondition continue=""Yes""&gt;&lt;conditionvar&gt;"&amp;IF(Z94,"&lt;varequal respident=""RESPONSE""&gt;6&lt;/varequal&gt;","&lt;not&gt;&lt;varequal respident=""RESPONSE""&gt;6&lt;/varequal&gt;&lt;/not&gt;")&amp;"&lt;/conditionvar&gt;&lt;setvar action=""Add""&gt;"&amp;(Saisie_Questions!$N94/$I94)&amp;"&lt;/setvar&gt;"&amp;IF(AZ94&lt;&gt;"","&lt;displayfeedback feedbacktype=""Response"" linkrefid=""response_6""/&gt;",IF($AS94&lt;&gt;"","&lt;displayfeedback feedbacktype=""Response"" linkrefid=""qti_feedback_trigger""/&gt;",""))&amp;"&lt;/respcondition&gt;",""))),"")</f>
      </c>
      <c r="AQ94" s="46">
        <f>IF($B94,IF(S94="","",IF($C94="qcu",IF(OR(AA94,BA94&lt;&gt;"",$AS94&lt;&gt;""),"      &lt;respcondition continue=""Yes""&gt;&lt;conditionvar&gt;&lt;varequal respident=""RESPONSE""&gt;7&lt;/varequal&gt;&lt;/conditionvar&gt;"&amp;"&lt;setvar action=""Add""&gt;"&amp;IF(AA94,$H94,0)&amp;"&lt;/setvar&gt;"&amp;IF(BA94&lt;&gt;"","&lt;displayfeedback feedbacktype=""Response"" linkrefid=""response_7""/&gt;",IF($AS94&lt;&gt;"","&lt;displayfeedback feedbacktype=""Response"" linkrefid=""qti_feedback_trigger""/&gt;",""))&amp;"&lt;/respcondition&gt;",""),IF(OR(AA94,BA94&lt;&gt;"",$AS94&lt;&gt;""),"      &lt;respcondition continue=""Yes""&gt;&lt;conditionvar&gt;"&amp;IF(AA94,"&lt;varequal respident=""RESPONSE""&gt;7&lt;/varequal&gt;","&lt;not&gt;&lt;varequal respident=""RESPONSE""&gt;7&lt;/varequal&gt;&lt;/not&gt;")&amp;"&lt;/conditionvar&gt;&lt;setvar action=""Add""&gt;"&amp;(Saisie_Questions!$N94/$I94)&amp;"&lt;/setvar&gt;"&amp;IF(BA94&lt;&gt;"","&lt;displayfeedback feedbacktype=""Response"" linkrefid=""response_7""/&gt;",IF($AS94&lt;&gt;"","&lt;displayfeedback feedbacktype=""Response"" linkrefid=""qti_feedback_trigger""/&gt;",""))&amp;"&lt;/respcondition&gt;",""))),"")</f>
      </c>
      <c r="AR94" s="46">
        <f>IF(A94="","",SUBSTITUTE(SUBSTITUTE(SUBSTITUTE(SUBSTITUTE(SUBSTITUTE(IF(Saisie_Questions!P94&lt;&gt;"",Saisie_Questions!P94,Interface_Generation!$B$5),"&amp;","&amp;amp;"),"&lt;","&amp;lt;"),"&gt;","&amp;gt;"),CHAR(34),"&amp;quot;"),"'","&amp;apos;"))</f>
        <v/>
      </c>
      <c r="AS94" s="46">
        <f>IF(Saisie_Questions!Q94="","",SUBSTITUTE(SUBSTITUTE(SUBSTITUTE(SUBSTITUTE(SUBSTITUTE(Saisie_Questions!Q94,"&amp;","&amp;amp;"),"&lt;","&amp;lt;"),"&gt;","&amp;gt;"),CHAR(34),"&amp;quot;"),"'","&amp;apos;"))</f>
        <v/>
      </c>
      <c r="AT94" s="46">
        <f>IF(Saisie_Questions!R94="","",SUBSTITUTE(SUBSTITUTE(SUBSTITUTE(SUBSTITUTE(SUBSTITUTE(Saisie_Questions!R94,"&amp;","&amp;amp;"),"&lt;","&amp;lt;"),"&gt;","&amp;gt;"),CHAR(34),"&amp;quot;"),"'","&amp;apos;"))</f>
        <v/>
      </c>
      <c r="AU94" s="46">
        <f>IF(Saisie_Questions!S94="","",SUBSTITUTE(SUBSTITUTE(SUBSTITUTE(SUBSTITUTE(SUBSTITUTE(Saisie_Questions!S94,"&amp;","&amp;amp;"),"&lt;","&amp;lt;"),"&gt;","&amp;gt;"),CHAR(34),"&amp;quot;"),"'","&amp;apos;"))</f>
        <v/>
      </c>
      <c r="AV94" s="46">
        <f>IF(Saisie_Questions!T94="","",SUBSTITUTE(SUBSTITUTE(SUBSTITUTE(SUBSTITUTE(SUBSTITUTE(Saisie_Questions!T94,"&amp;","&amp;amp;"),"&lt;","&amp;lt;"),"&gt;","&amp;gt;"),CHAR(34),"&amp;quot;"),"'","&amp;apos;"))</f>
        <v/>
      </c>
      <c r="AW94" s="46">
        <f>IF(Saisie_Questions!U94="","",SUBSTITUTE(SUBSTITUTE(SUBSTITUTE(SUBSTITUTE(SUBSTITUTE(Saisie_Questions!U94,"&amp;","&amp;amp;"),"&lt;","&amp;lt;"),"&gt;","&amp;gt;"),CHAR(34),"&amp;quot;"),"'","&amp;apos;"))</f>
        <v/>
      </c>
      <c r="AX94" s="46">
        <f>IF(Saisie_Questions!V94="","",SUBSTITUTE(SUBSTITUTE(SUBSTITUTE(SUBSTITUTE(SUBSTITUTE(Saisie_Questions!V94,"&amp;","&amp;amp;"),"&lt;","&amp;lt;"),"&gt;","&amp;gt;"),CHAR(34),"&amp;quot;"),"'","&amp;apos;"))</f>
        <v/>
      </c>
      <c r="AY94" s="46">
        <f>IF(Saisie_Questions!W94="","",SUBSTITUTE(SUBSTITUTE(SUBSTITUTE(SUBSTITUTE(SUBSTITUTE(Saisie_Questions!W94,"&amp;","&amp;amp;"),"&lt;","&amp;lt;"),"&gt;","&amp;gt;"),CHAR(34),"&amp;quot;"),"'","&amp;apos;"))</f>
        <v/>
      </c>
      <c r="AZ94" s="46">
        <f>IF(Saisie_Questions!X94="","",SUBSTITUTE(SUBSTITUTE(SUBSTITUTE(SUBSTITUTE(SUBSTITUTE(Saisie_Questions!X94,"&amp;","&amp;amp;"),"&lt;","&amp;lt;"),"&gt;","&amp;gt;"),CHAR(34),"&amp;quot;"),"'","&amp;apos;"))</f>
        <v/>
      </c>
      <c r="BA94" s="46">
        <f>IF(Saisie_Questions!Y94="","",SUBSTITUTE(SUBSTITUTE(SUBSTITUTE(SUBSTITUTE(SUBSTITUTE(Saisie_Questions!Y94,"&amp;","&amp;amp;"),"&lt;","&amp;lt;"),"&gt;","&amp;gt;"),CHAR(34),"&amp;quot;"),"'","&amp;apos;"))</f>
        <v/>
      </c>
      <c r="BB94" s="46">
        <f>IF($B94,IF($AS94="","","    &lt;itemfeedback ident=""response_allcorrect"" view=""All""&gt;&lt;flow_mat&gt;&lt;material&gt;&lt;mattext texttype=""text/html""&gt;"&amp;$AS94&amp;"&lt;/mattext&gt;&lt;/material&gt;&lt;/flow_mat&gt;&lt;/itemfeedback&gt;"&amp;"    &lt;itemfeedback ident=""response_onenotcorrect"" view=""All""&gt;&lt;flow_mat&gt;&lt;material&gt;&lt;mattext texttype=""text/html""&gt;"&amp;$AS94&amp;"&lt;/mattext&gt;&lt;/material&gt;&lt;/flow_mat&gt;&lt;/itemfeedback&gt;"),"")</f>
      </c>
      <c r="BC94" s="46">
        <f>IF($B94,IF(AT94="","","    &lt;itemfeedback ident=""response_0"" view=""All""&gt;&lt;flow_mat&gt;&lt;material&gt;&lt;mattext texttype=""text/html""&gt;"&amp;AT94&amp;"&lt;/mattext&gt;&lt;/material&gt;&lt;/flow_mat&gt;&lt;/itemfeedback&gt;"),"")</f>
      </c>
      <c r="BD94" s="46">
        <f>IF($B94,IF(AU94="","","    &lt;itemfeedback ident=""response_1"" view=""All""&gt;&lt;flow_mat&gt;&lt;material&gt;&lt;mattext texttype=""text/html""&gt;"&amp;AU94&amp;"&lt;/mattext&gt;&lt;/material&gt;&lt;/flow_mat&gt;&lt;/itemfeedback&gt;"),"")</f>
      </c>
      <c r="BE94" s="46">
        <f>IF($B94,IF(AV94="","","    &lt;itemfeedback ident=""response_2"" view=""All""&gt;&lt;flow_mat&gt;&lt;material&gt;&lt;mattext texttype=""text/html""&gt;"&amp;AV94&amp;"&lt;/mattext&gt;&lt;/material&gt;&lt;/flow_mat&gt;&lt;/itemfeedback&gt;"),"")</f>
      </c>
      <c r="BF94" s="46">
        <f>IF($B94,IF(AW94="","","    &lt;itemfeedback ident=""response_3"" view=""All""&gt;&lt;flow_mat&gt;&lt;material&gt;&lt;mattext texttype=""text/html""&gt;"&amp;AW94&amp;"&lt;/mattext&gt;&lt;/material&gt;&lt;/flow_mat&gt;&lt;/itemfeedback&gt;"),"")</f>
      </c>
      <c r="BG94" s="46">
        <f>IF($B94,IF(AX94="","","    &lt;itemfeedback ident=""response_4"" view=""All""&gt;&lt;flow_mat&gt;&lt;material&gt;&lt;mattext texttype=""text/html""&gt;"&amp;AX94&amp;"&lt;/mattext&gt;&lt;/material&gt;&lt;/flow_mat&gt;&lt;/itemfeedback&gt;"),"")</f>
      </c>
      <c r="BH94" s="46">
        <f>IF($B94,IF(AY94="","","    &lt;itemfeedback ident=""response_5"" view=""All""&gt;&lt;flow_mat&gt;&lt;material&gt;&lt;mattext texttype=""text/html""&gt;"&amp;AY94&amp;"&lt;/mattext&gt;&lt;/material&gt;&lt;/flow_mat&gt;&lt;/itemfeedback&gt;"),"")</f>
      </c>
      <c r="BI94" s="46">
        <f>IF($B94,IF(AZ94="","","    &lt;itemfeedback ident=""response_6"" view=""All""&gt;&lt;flow_mat&gt;&lt;material&gt;&lt;mattext texttype=""text/html""&gt;"&amp;AZ94&amp;"&lt;/mattext&gt;&lt;/material&gt;&lt;/flow_mat&gt;&lt;/itemfeedback&gt;"),"")</f>
      </c>
      <c r="BJ94" s="46">
        <f>IF($B94,IF(BA94="","","    &lt;itemfeedback ident=""response_7"" view=""All""&gt;&lt;flow_mat&gt;&lt;material&gt;&lt;mattext texttype=""text/html""&gt;"&amp;BA94&amp;"&lt;/mattext&gt;&lt;/material&gt;&lt;/flow_mat&gt;&lt;/itemfeedback&gt;"),"")</f>
      </c>
    </row>
    <row r="95" ht="18" customHeight="1" s="17">
      <c r="A95" s="46">
        <f>Saisie_Questions!A95</f>
        <v/>
      </c>
      <c r="B95" s="46">
        <f>Saisie_Questions!O95="OK"</f>
        <v/>
      </c>
      <c r="C95" s="46">
        <f>LOWER(TRIM(Saisie_Questions!B95))</f>
        <v/>
      </c>
      <c r="D95" s="46">
        <f>IF(C95="qcu","SINGLE CHOICE QUESTION","MULTIPLE CHOICE QUESTION")</f>
        <v/>
      </c>
      <c r="E95" s="46">
        <f>IF(C95="qcu","Single","Multiple")</f>
        <v/>
      </c>
      <c r="F95" s="46">
        <f>IF(A95="","",SUBSTITUTE(SUBSTITUTE(SUBSTITUTE(SUBSTITUTE(SUBSTITUTE(IF(Saisie_Questions!C95="", "Question "&amp;A95, Saisie_Questions!C95),"&amp;","&amp;amp;"),"&lt;","&amp;lt;"),"&gt;","&amp;gt;"),CHAR(34),"&amp;quot;"),"'","&amp;apos;"))</f>
        <v/>
      </c>
      <c r="G95" s="46">
        <f>IF(A95="","",SUBSTITUTE(SUBSTITUTE(SUBSTITUTE(SUBSTITUTE(SUBSTITUTE(Saisie_Questions!D95,"&amp;","&amp;amp;"),"&lt;","&amp;lt;"),"&gt;","&amp;gt;"),CHAR(34),"&amp;quot;"),"'","&amp;apos;"))</f>
        <v/>
      </c>
      <c r="H95" s="46">
        <f>Saisie_Questions!N95</f>
        <v/>
      </c>
      <c r="I95" s="46">
        <f>IF(Saisie_Questions!E95="",0,1)+IF(Saisie_Questions!F95="",0,1)+IF(Saisie_Questions!G95="",0,1)+IF(Saisie_Questions!H95="",0,1)+IF(Saisie_Questions!I95="",0,1)+IF(Saisie_Questions!J95="",0,1)+IF(Saisie_Questions!K95="",0,1)+IF(Saisie_Questions!L95="",0,1)</f>
        <v/>
      </c>
      <c r="J95" s="46">
        <f>Saisie_Questions!M95</f>
        <v/>
      </c>
      <c r="K95" s="46">
        <f>Saisie_Questions!O95</f>
        <v/>
      </c>
      <c r="L95" s="46">
        <f>IF(Saisie_Questions!E95="","",SUBSTITUTE(SUBSTITUTE(SUBSTITUTE(SUBSTITUTE(SUBSTITUTE(Saisie_Questions!E95,"&amp;","&amp;amp;"),"&lt;","&amp;lt;"),"&gt;","&amp;gt;"),CHAR(34),"&amp;quot;"),"'","&amp;apos;"))</f>
        <v/>
      </c>
      <c r="M95" s="46">
        <f>IF(Saisie_Questions!F95="","",SUBSTITUTE(SUBSTITUTE(SUBSTITUTE(SUBSTITUTE(SUBSTITUTE(Saisie_Questions!F95,"&amp;","&amp;amp;"),"&lt;","&amp;lt;"),"&gt;","&amp;gt;"),CHAR(34),"&amp;quot;"),"'","&amp;apos;"))</f>
        <v/>
      </c>
      <c r="N95" s="46">
        <f>IF(Saisie_Questions!G95="","",SUBSTITUTE(SUBSTITUTE(SUBSTITUTE(SUBSTITUTE(SUBSTITUTE(Saisie_Questions!G95,"&amp;","&amp;amp;"),"&lt;","&amp;lt;"),"&gt;","&amp;gt;"),CHAR(34),"&amp;quot;"),"'","&amp;apos;"))</f>
        <v/>
      </c>
      <c r="O95" s="46">
        <f>IF(Saisie_Questions!H95="","",SUBSTITUTE(SUBSTITUTE(SUBSTITUTE(SUBSTITUTE(SUBSTITUTE(Saisie_Questions!H95,"&amp;","&amp;amp;"),"&lt;","&amp;lt;"),"&gt;","&amp;gt;"),CHAR(34),"&amp;quot;"),"'","&amp;apos;"))</f>
        <v/>
      </c>
      <c r="P95" s="46">
        <f>IF(Saisie_Questions!I95="","",SUBSTITUTE(SUBSTITUTE(SUBSTITUTE(SUBSTITUTE(SUBSTITUTE(Saisie_Questions!I95,"&amp;","&amp;amp;"),"&lt;","&amp;lt;"),"&gt;","&amp;gt;"),CHAR(34),"&amp;quot;"),"'","&amp;apos;"))</f>
        <v/>
      </c>
      <c r="Q95" s="46">
        <f>IF(Saisie_Questions!J95="","",SUBSTITUTE(SUBSTITUTE(SUBSTITUTE(SUBSTITUTE(SUBSTITUTE(Saisie_Questions!J95,"&amp;","&amp;amp;"),"&lt;","&amp;lt;"),"&gt;","&amp;gt;"),CHAR(34),"&amp;quot;"),"'","&amp;apos;"))</f>
        <v/>
      </c>
      <c r="R95" s="46">
        <f>IF(Saisie_Questions!K95="","",SUBSTITUTE(SUBSTITUTE(SUBSTITUTE(SUBSTITUTE(SUBSTITUTE(Saisie_Questions!K95,"&amp;","&amp;amp;"),"&lt;","&amp;lt;"),"&gt;","&amp;gt;"),CHAR(34),"&amp;quot;"),"'","&amp;apos;"))</f>
        <v/>
      </c>
      <c r="S95" s="46">
        <f>IF(Saisie_Questions!L95="","",SUBSTITUTE(SUBSTITUTE(SUBSTITUTE(SUBSTITUTE(SUBSTITUTE(Saisie_Questions!L95,"&amp;","&amp;amp;"),"&lt;","&amp;lt;"),"&gt;","&amp;gt;"),CHAR(34),"&amp;quot;"),"'","&amp;apos;"))</f>
        <v/>
      </c>
      <c r="T95" s="46">
        <f>ISNUMBER(SEARCH(";"&amp;1&amp;";",";"&amp;$J95&amp;";"))</f>
        <v/>
      </c>
      <c r="U95" s="46">
        <f>ISNUMBER(SEARCH(";"&amp;2&amp;";",";"&amp;$J95&amp;";"))</f>
        <v/>
      </c>
      <c r="V95" s="46">
        <f>ISNUMBER(SEARCH(";"&amp;3&amp;";",";"&amp;$J95&amp;";"))</f>
        <v/>
      </c>
      <c r="W95" s="46">
        <f>ISNUMBER(SEARCH(";"&amp;4&amp;";",";"&amp;$J95&amp;";"))</f>
        <v/>
      </c>
      <c r="X95" s="46">
        <f>ISNUMBER(SEARCH(";"&amp;5&amp;";",";"&amp;$J95&amp;";"))</f>
        <v/>
      </c>
      <c r="Y95" s="46">
        <f>ISNUMBER(SEARCH(";"&amp;6&amp;";",";"&amp;$J95&amp;";"))</f>
        <v/>
      </c>
      <c r="Z95" s="46">
        <f>ISNUMBER(SEARCH(";"&amp;7&amp;";",";"&amp;$J95&amp;";"))</f>
        <v/>
      </c>
      <c r="AA95" s="46">
        <f>ISNUMBER(SEARCH(";"&amp;8&amp;";",";"&amp;$J95&amp;";"))</f>
        <v/>
      </c>
      <c r="AB95" s="46">
        <f>IF($B95,IF(L95="","","        &lt;response_label ident=""0""&gt;&lt;material&gt;&lt;mattext texttype=""text/html""&gt;"&amp;L95&amp;"&lt;/mattext&gt;&lt;/material&gt;&lt;/response_label&gt;"),"")</f>
        <v/>
      </c>
      <c r="AC95" s="46">
        <f>IF($B95,IF(M95="","","        &lt;response_label ident=""1""&gt;&lt;material&gt;&lt;mattext texttype=""text/html""&gt;"&amp;M95&amp;"&lt;/mattext&gt;&lt;/material&gt;&lt;/response_label&gt;"),"")</f>
        <v/>
      </c>
      <c r="AD95" s="46">
        <f>IF($B95,IF(N95="","","        &lt;response_label ident=""2""&gt;&lt;material&gt;&lt;mattext texttype=""text/html""&gt;"&amp;N95&amp;"&lt;/mattext&gt;&lt;/material&gt;&lt;/response_label&gt;"),"")</f>
        <v/>
      </c>
      <c r="AE95" s="46">
        <f>IF($B95,IF(O95="","","        &lt;response_label ident=""3""&gt;&lt;material&gt;&lt;mattext texttype=""text/html""&gt;"&amp;O95&amp;"&lt;/mattext&gt;&lt;/material&gt;&lt;/response_label&gt;"),"")</f>
        <v/>
      </c>
      <c r="AF95" s="46">
        <f>IF($B95,IF(P95="","","        &lt;response_label ident=""4""&gt;&lt;material&gt;&lt;mattext texttype=""text/html""&gt;"&amp;P95&amp;"&lt;/mattext&gt;&lt;/material&gt;&lt;/response_label&gt;"),"")</f>
        <v/>
      </c>
      <c r="AG95" s="46">
        <f>IF($B95,IF(Q95="","","        &lt;response_label ident=""5""&gt;&lt;material&gt;&lt;mattext texttype=""text/html""&gt;"&amp;Q95&amp;"&lt;/mattext&gt;&lt;/material&gt;&lt;/response_label&gt;"),"")</f>
        <v/>
      </c>
      <c r="AH95" s="46">
        <f>IF($B95,IF(R95="","","        &lt;response_label ident=""6""&gt;&lt;material&gt;&lt;mattext texttype=""text/html""&gt;"&amp;R95&amp;"&lt;/mattext&gt;&lt;/material&gt;&lt;/response_label&gt;"),"")</f>
        <v/>
      </c>
      <c r="AI95" s="46">
        <f>IF($B95,IF(S95="","","        &lt;response_label ident=""7""&gt;&lt;material&gt;&lt;mattext texttype=""text/html""&gt;"&amp;S95&amp;"&lt;/mattext&gt;&lt;/material&gt;&lt;/response_label&gt;"),"")</f>
        <v/>
      </c>
      <c r="AJ95" s="46">
        <f>IF($B95,IF(L95="","",IF($C95="qcu",IF(OR(T95,AT95&lt;&gt;"",$AS95&lt;&gt;""),"      &lt;respcondition continue=""Yes""&gt;&lt;conditionvar&gt;&lt;varequal respident=""RESPONSE""&gt;0&lt;/varequal&gt;&lt;/conditionvar&gt;"&amp;"&lt;setvar action=""Add""&gt;"&amp;IF(T95,$H95,0)&amp;"&lt;/setvar&gt;"&amp;IF(AT95&lt;&gt;"","&lt;displayfeedback feedbacktype=""Response"" linkrefid=""response_0""/&gt;",IF($AS95&lt;&gt;"","&lt;displayfeedback feedbacktype=""Response"" linkrefid=""qti_feedback_trigger""/&gt;",""))&amp;"&lt;/respcondition&gt;",""),IF(OR(T95,AT95&lt;&gt;"",$AS95&lt;&gt;""),"      &lt;respcondition continue=""Yes""&gt;&lt;conditionvar&gt;"&amp;IF(T95,"&lt;varequal respident=""RESPONSE""&gt;0&lt;/varequal&gt;","&lt;not&gt;&lt;varequal respident=""RESPONSE""&gt;0&lt;/varequal&gt;&lt;/not&gt;")&amp;"&lt;/conditionvar&gt;&lt;setvar action=""Add""&gt;"&amp;(Saisie_Questions!$N95/$I95)&amp;"&lt;/setvar&gt;"&amp;IF(AT95&lt;&gt;"","&lt;displayfeedback feedbacktype=""Response"" linkrefid=""response_0""/&gt;",IF($AS95&lt;&gt;"","&lt;displayfeedback feedbacktype=""Response"" linkrefid=""qti_feedback_trigger""/&gt;",""))&amp;"&lt;/respcondition&gt;",""))),"")</f>
      </c>
      <c r="AK95" s="46">
        <f>IF($B95,IF(M95="","",IF($C95="qcu",IF(OR(U95,AU95&lt;&gt;"",$AS95&lt;&gt;""),"      &lt;respcondition continue=""Yes""&gt;&lt;conditionvar&gt;&lt;varequal respident=""RESPONSE""&gt;1&lt;/varequal&gt;&lt;/conditionvar&gt;"&amp;"&lt;setvar action=""Add""&gt;"&amp;IF(U95,$H95,0)&amp;"&lt;/setvar&gt;"&amp;IF(AU95&lt;&gt;"","&lt;displayfeedback feedbacktype=""Response"" linkrefid=""response_1""/&gt;",IF($AS95&lt;&gt;"","&lt;displayfeedback feedbacktype=""Response"" linkrefid=""qti_feedback_trigger""/&gt;",""))&amp;"&lt;/respcondition&gt;",""),IF(OR(U95,AU95&lt;&gt;"",$AS95&lt;&gt;""),"      &lt;respcondition continue=""Yes""&gt;&lt;conditionvar&gt;"&amp;IF(U95,"&lt;varequal respident=""RESPONSE""&gt;1&lt;/varequal&gt;","&lt;not&gt;&lt;varequal respident=""RESPONSE""&gt;1&lt;/varequal&gt;&lt;/not&gt;")&amp;"&lt;/conditionvar&gt;&lt;setvar action=""Add""&gt;"&amp;(Saisie_Questions!$N95/$I95)&amp;"&lt;/setvar&gt;"&amp;IF(AU95&lt;&gt;"","&lt;displayfeedback feedbacktype=""Response"" linkrefid=""response_1""/&gt;",IF($AS95&lt;&gt;"","&lt;displayfeedback feedbacktype=""Response"" linkrefid=""qti_feedback_trigger""/&gt;",""))&amp;"&lt;/respcondition&gt;",""))),"")</f>
      </c>
      <c r="AL95" s="46">
        <f>IF($B95,IF(N95="","",IF($C95="qcu",IF(OR(V95,AV95&lt;&gt;"",$AS95&lt;&gt;""),"      &lt;respcondition continue=""Yes""&gt;&lt;conditionvar&gt;&lt;varequal respident=""RESPONSE""&gt;2&lt;/varequal&gt;&lt;/conditionvar&gt;"&amp;"&lt;setvar action=""Add""&gt;"&amp;IF(V95,$H95,0)&amp;"&lt;/setvar&gt;"&amp;IF(AV95&lt;&gt;"","&lt;displayfeedback feedbacktype=""Response"" linkrefid=""response_2""/&gt;",IF($AS95&lt;&gt;"","&lt;displayfeedback feedbacktype=""Response"" linkrefid=""qti_feedback_trigger""/&gt;",""))&amp;"&lt;/respcondition&gt;",""),IF(OR(V95,AV95&lt;&gt;"",$AS95&lt;&gt;""),"      &lt;respcondition continue=""Yes""&gt;&lt;conditionvar&gt;"&amp;IF(V95,"&lt;varequal respident=""RESPONSE""&gt;2&lt;/varequal&gt;","&lt;not&gt;&lt;varequal respident=""RESPONSE""&gt;2&lt;/varequal&gt;&lt;/not&gt;")&amp;"&lt;/conditionvar&gt;&lt;setvar action=""Add""&gt;"&amp;(Saisie_Questions!$N95/$I95)&amp;"&lt;/setvar&gt;"&amp;IF(AV95&lt;&gt;"","&lt;displayfeedback feedbacktype=""Response"" linkrefid=""response_2""/&gt;",IF($AS95&lt;&gt;"","&lt;displayfeedback feedbacktype=""Response"" linkrefid=""qti_feedback_trigger""/&gt;",""))&amp;"&lt;/respcondition&gt;",""))),"")</f>
      </c>
      <c r="AM95" s="46">
        <f>IF($B95,IF(O95="","",IF($C95="qcu",IF(OR(W95,AW95&lt;&gt;"",$AS95&lt;&gt;""),"      &lt;respcondition continue=""Yes""&gt;&lt;conditionvar&gt;&lt;varequal respident=""RESPONSE""&gt;3&lt;/varequal&gt;&lt;/conditionvar&gt;"&amp;"&lt;setvar action=""Add""&gt;"&amp;IF(W95,$H95,0)&amp;"&lt;/setvar&gt;"&amp;IF(AW95&lt;&gt;"","&lt;displayfeedback feedbacktype=""Response"" linkrefid=""response_3""/&gt;",IF($AS95&lt;&gt;"","&lt;displayfeedback feedbacktype=""Response"" linkrefid=""qti_feedback_trigger""/&gt;",""))&amp;"&lt;/respcondition&gt;",""),IF(OR(W95,AW95&lt;&gt;"",$AS95&lt;&gt;""),"      &lt;respcondition continue=""Yes""&gt;&lt;conditionvar&gt;"&amp;IF(W95,"&lt;varequal respident=""RESPONSE""&gt;3&lt;/varequal&gt;","&lt;not&gt;&lt;varequal respident=""RESPONSE""&gt;3&lt;/varequal&gt;&lt;/not&gt;")&amp;"&lt;/conditionvar&gt;&lt;setvar action=""Add""&gt;"&amp;(Saisie_Questions!$N95/$I95)&amp;"&lt;/setvar&gt;"&amp;IF(AW95&lt;&gt;"","&lt;displayfeedback feedbacktype=""Response"" linkrefid=""response_3""/&gt;",IF($AS95&lt;&gt;"","&lt;displayfeedback feedbacktype=""Response"" linkrefid=""qti_feedback_trigger""/&gt;",""))&amp;"&lt;/respcondition&gt;",""))),"")</f>
      </c>
      <c r="AN95" s="46">
        <f>IF($B95,IF(P95="","",IF($C95="qcu",IF(OR(X95,AX95&lt;&gt;"",$AS95&lt;&gt;""),"      &lt;respcondition continue=""Yes""&gt;&lt;conditionvar&gt;&lt;varequal respident=""RESPONSE""&gt;4&lt;/varequal&gt;&lt;/conditionvar&gt;"&amp;"&lt;setvar action=""Add""&gt;"&amp;IF(X95,$H95,0)&amp;"&lt;/setvar&gt;"&amp;IF(AX95&lt;&gt;"","&lt;displayfeedback feedbacktype=""Response"" linkrefid=""response_4""/&gt;",IF($AS95&lt;&gt;"","&lt;displayfeedback feedbacktype=""Response"" linkrefid=""qti_feedback_trigger""/&gt;",""))&amp;"&lt;/respcondition&gt;",""),IF(OR(X95,AX95&lt;&gt;"",$AS95&lt;&gt;""),"      &lt;respcondition continue=""Yes""&gt;&lt;conditionvar&gt;"&amp;IF(X95,"&lt;varequal respident=""RESPONSE""&gt;4&lt;/varequal&gt;","&lt;not&gt;&lt;varequal respident=""RESPONSE""&gt;4&lt;/varequal&gt;&lt;/not&gt;")&amp;"&lt;/conditionvar&gt;&lt;setvar action=""Add""&gt;"&amp;(Saisie_Questions!$N95/$I95)&amp;"&lt;/setvar&gt;"&amp;IF(AX95&lt;&gt;"","&lt;displayfeedback feedbacktype=""Response"" linkrefid=""response_4""/&gt;",IF($AS95&lt;&gt;"","&lt;displayfeedback feedbacktype=""Response"" linkrefid=""qti_feedback_trigger""/&gt;",""))&amp;"&lt;/respcondition&gt;",""))),"")</f>
      </c>
      <c r="AO95" s="46">
        <f>IF($B95,IF(Q95="","",IF($C95="qcu",IF(OR(Y95,AY95&lt;&gt;"",$AS95&lt;&gt;""),"      &lt;respcondition continue=""Yes""&gt;&lt;conditionvar&gt;&lt;varequal respident=""RESPONSE""&gt;5&lt;/varequal&gt;&lt;/conditionvar&gt;"&amp;"&lt;setvar action=""Add""&gt;"&amp;IF(Y95,$H95,0)&amp;"&lt;/setvar&gt;"&amp;IF(AY95&lt;&gt;"","&lt;displayfeedback feedbacktype=""Response"" linkrefid=""response_5""/&gt;",IF($AS95&lt;&gt;"","&lt;displayfeedback feedbacktype=""Response"" linkrefid=""qti_feedback_trigger""/&gt;",""))&amp;"&lt;/respcondition&gt;",""),IF(OR(Y95,AY95&lt;&gt;"",$AS95&lt;&gt;""),"      &lt;respcondition continue=""Yes""&gt;&lt;conditionvar&gt;"&amp;IF(Y95,"&lt;varequal respident=""RESPONSE""&gt;5&lt;/varequal&gt;","&lt;not&gt;&lt;varequal respident=""RESPONSE""&gt;5&lt;/varequal&gt;&lt;/not&gt;")&amp;"&lt;/conditionvar&gt;&lt;setvar action=""Add""&gt;"&amp;(Saisie_Questions!$N95/$I95)&amp;"&lt;/setvar&gt;"&amp;IF(AY95&lt;&gt;"","&lt;displayfeedback feedbacktype=""Response"" linkrefid=""response_5""/&gt;",IF($AS95&lt;&gt;"","&lt;displayfeedback feedbacktype=""Response"" linkrefid=""qti_feedback_trigger""/&gt;",""))&amp;"&lt;/respcondition&gt;",""))),"")</f>
      </c>
      <c r="AP95" s="46">
        <f>IF($B95,IF(R95="","",IF($C95="qcu",IF(OR(Z95,AZ95&lt;&gt;"",$AS95&lt;&gt;""),"      &lt;respcondition continue=""Yes""&gt;&lt;conditionvar&gt;&lt;varequal respident=""RESPONSE""&gt;6&lt;/varequal&gt;&lt;/conditionvar&gt;"&amp;"&lt;setvar action=""Add""&gt;"&amp;IF(Z95,$H95,0)&amp;"&lt;/setvar&gt;"&amp;IF(AZ95&lt;&gt;"","&lt;displayfeedback feedbacktype=""Response"" linkrefid=""response_6""/&gt;",IF($AS95&lt;&gt;"","&lt;displayfeedback feedbacktype=""Response"" linkrefid=""qti_feedback_trigger""/&gt;",""))&amp;"&lt;/respcondition&gt;",""),IF(OR(Z95,AZ95&lt;&gt;"",$AS95&lt;&gt;""),"      &lt;respcondition continue=""Yes""&gt;&lt;conditionvar&gt;"&amp;IF(Z95,"&lt;varequal respident=""RESPONSE""&gt;6&lt;/varequal&gt;","&lt;not&gt;&lt;varequal respident=""RESPONSE""&gt;6&lt;/varequal&gt;&lt;/not&gt;")&amp;"&lt;/conditionvar&gt;&lt;setvar action=""Add""&gt;"&amp;(Saisie_Questions!$N95/$I95)&amp;"&lt;/setvar&gt;"&amp;IF(AZ95&lt;&gt;"","&lt;displayfeedback feedbacktype=""Response"" linkrefid=""response_6""/&gt;",IF($AS95&lt;&gt;"","&lt;displayfeedback feedbacktype=""Response"" linkrefid=""qti_feedback_trigger""/&gt;",""))&amp;"&lt;/respcondition&gt;",""))),"")</f>
      </c>
      <c r="AQ95" s="46">
        <f>IF($B95,IF(S95="","",IF($C95="qcu",IF(OR(AA95,BA95&lt;&gt;"",$AS95&lt;&gt;""),"      &lt;respcondition continue=""Yes""&gt;&lt;conditionvar&gt;&lt;varequal respident=""RESPONSE""&gt;7&lt;/varequal&gt;&lt;/conditionvar&gt;"&amp;"&lt;setvar action=""Add""&gt;"&amp;IF(AA95,$H95,0)&amp;"&lt;/setvar&gt;"&amp;IF(BA95&lt;&gt;"","&lt;displayfeedback feedbacktype=""Response"" linkrefid=""response_7""/&gt;",IF($AS95&lt;&gt;"","&lt;displayfeedback feedbacktype=""Response"" linkrefid=""qti_feedback_trigger""/&gt;",""))&amp;"&lt;/respcondition&gt;",""),IF(OR(AA95,BA95&lt;&gt;"",$AS95&lt;&gt;""),"      &lt;respcondition continue=""Yes""&gt;&lt;conditionvar&gt;"&amp;IF(AA95,"&lt;varequal respident=""RESPONSE""&gt;7&lt;/varequal&gt;","&lt;not&gt;&lt;varequal respident=""RESPONSE""&gt;7&lt;/varequal&gt;&lt;/not&gt;")&amp;"&lt;/conditionvar&gt;&lt;setvar action=""Add""&gt;"&amp;(Saisie_Questions!$N95/$I95)&amp;"&lt;/setvar&gt;"&amp;IF(BA95&lt;&gt;"","&lt;displayfeedback feedbacktype=""Response"" linkrefid=""response_7""/&gt;",IF($AS95&lt;&gt;"","&lt;displayfeedback feedbacktype=""Response"" linkrefid=""qti_feedback_trigger""/&gt;",""))&amp;"&lt;/respcondition&gt;",""))),"")</f>
      </c>
      <c r="AR95" s="46">
        <f>IF(A95="","",SUBSTITUTE(SUBSTITUTE(SUBSTITUTE(SUBSTITUTE(SUBSTITUTE(IF(Saisie_Questions!P95&lt;&gt;"",Saisie_Questions!P95,Interface_Generation!$B$5),"&amp;","&amp;amp;"),"&lt;","&amp;lt;"),"&gt;","&amp;gt;"),CHAR(34),"&amp;quot;"),"'","&amp;apos;"))</f>
        <v/>
      </c>
      <c r="AS95" s="46">
        <f>IF(Saisie_Questions!Q95="","",SUBSTITUTE(SUBSTITUTE(SUBSTITUTE(SUBSTITUTE(SUBSTITUTE(Saisie_Questions!Q95,"&amp;","&amp;amp;"),"&lt;","&amp;lt;"),"&gt;","&amp;gt;"),CHAR(34),"&amp;quot;"),"'","&amp;apos;"))</f>
        <v/>
      </c>
      <c r="AT95" s="46">
        <f>IF(Saisie_Questions!R95="","",SUBSTITUTE(SUBSTITUTE(SUBSTITUTE(SUBSTITUTE(SUBSTITUTE(Saisie_Questions!R95,"&amp;","&amp;amp;"),"&lt;","&amp;lt;"),"&gt;","&amp;gt;"),CHAR(34),"&amp;quot;"),"'","&amp;apos;"))</f>
        <v/>
      </c>
      <c r="AU95" s="46">
        <f>IF(Saisie_Questions!S95="","",SUBSTITUTE(SUBSTITUTE(SUBSTITUTE(SUBSTITUTE(SUBSTITUTE(Saisie_Questions!S95,"&amp;","&amp;amp;"),"&lt;","&amp;lt;"),"&gt;","&amp;gt;"),CHAR(34),"&amp;quot;"),"'","&amp;apos;"))</f>
        <v/>
      </c>
      <c r="AV95" s="46">
        <f>IF(Saisie_Questions!T95="","",SUBSTITUTE(SUBSTITUTE(SUBSTITUTE(SUBSTITUTE(SUBSTITUTE(Saisie_Questions!T95,"&amp;","&amp;amp;"),"&lt;","&amp;lt;"),"&gt;","&amp;gt;"),CHAR(34),"&amp;quot;"),"'","&amp;apos;"))</f>
        <v/>
      </c>
      <c r="AW95" s="46">
        <f>IF(Saisie_Questions!U95="","",SUBSTITUTE(SUBSTITUTE(SUBSTITUTE(SUBSTITUTE(SUBSTITUTE(Saisie_Questions!U95,"&amp;","&amp;amp;"),"&lt;","&amp;lt;"),"&gt;","&amp;gt;"),CHAR(34),"&amp;quot;"),"'","&amp;apos;"))</f>
        <v/>
      </c>
      <c r="AX95" s="46">
        <f>IF(Saisie_Questions!V95="","",SUBSTITUTE(SUBSTITUTE(SUBSTITUTE(SUBSTITUTE(SUBSTITUTE(Saisie_Questions!V95,"&amp;","&amp;amp;"),"&lt;","&amp;lt;"),"&gt;","&amp;gt;"),CHAR(34),"&amp;quot;"),"'","&amp;apos;"))</f>
        <v/>
      </c>
      <c r="AY95" s="46">
        <f>IF(Saisie_Questions!W95="","",SUBSTITUTE(SUBSTITUTE(SUBSTITUTE(SUBSTITUTE(SUBSTITUTE(Saisie_Questions!W95,"&amp;","&amp;amp;"),"&lt;","&amp;lt;"),"&gt;","&amp;gt;"),CHAR(34),"&amp;quot;"),"'","&amp;apos;"))</f>
        <v/>
      </c>
      <c r="AZ95" s="46">
        <f>IF(Saisie_Questions!X95="","",SUBSTITUTE(SUBSTITUTE(SUBSTITUTE(SUBSTITUTE(SUBSTITUTE(Saisie_Questions!X95,"&amp;","&amp;amp;"),"&lt;","&amp;lt;"),"&gt;","&amp;gt;"),CHAR(34),"&amp;quot;"),"'","&amp;apos;"))</f>
        <v/>
      </c>
      <c r="BA95" s="46">
        <f>IF(Saisie_Questions!Y95="","",SUBSTITUTE(SUBSTITUTE(SUBSTITUTE(SUBSTITUTE(SUBSTITUTE(Saisie_Questions!Y95,"&amp;","&amp;amp;"),"&lt;","&amp;lt;"),"&gt;","&amp;gt;"),CHAR(34),"&amp;quot;"),"'","&amp;apos;"))</f>
        <v/>
      </c>
      <c r="BB95" s="46">
        <f>IF($B95,IF($AS95="","","    &lt;itemfeedback ident=""response_allcorrect"" view=""All""&gt;&lt;flow_mat&gt;&lt;material&gt;&lt;mattext texttype=""text/html""&gt;"&amp;$AS95&amp;"&lt;/mattext&gt;&lt;/material&gt;&lt;/flow_mat&gt;&lt;/itemfeedback&gt;"&amp;"    &lt;itemfeedback ident=""response_onenotcorrect"" view=""All""&gt;&lt;flow_mat&gt;&lt;material&gt;&lt;mattext texttype=""text/html""&gt;"&amp;$AS95&amp;"&lt;/mattext&gt;&lt;/material&gt;&lt;/flow_mat&gt;&lt;/itemfeedback&gt;"),"")</f>
      </c>
      <c r="BC95" s="46">
        <f>IF($B95,IF(AT95="","","    &lt;itemfeedback ident=""response_0"" view=""All""&gt;&lt;flow_mat&gt;&lt;material&gt;&lt;mattext texttype=""text/html""&gt;"&amp;AT95&amp;"&lt;/mattext&gt;&lt;/material&gt;&lt;/flow_mat&gt;&lt;/itemfeedback&gt;"),"")</f>
      </c>
      <c r="BD95" s="46">
        <f>IF($B95,IF(AU95="","","    &lt;itemfeedback ident=""response_1"" view=""All""&gt;&lt;flow_mat&gt;&lt;material&gt;&lt;mattext texttype=""text/html""&gt;"&amp;AU95&amp;"&lt;/mattext&gt;&lt;/material&gt;&lt;/flow_mat&gt;&lt;/itemfeedback&gt;"),"")</f>
      </c>
      <c r="BE95" s="46">
        <f>IF($B95,IF(AV95="","","    &lt;itemfeedback ident=""response_2"" view=""All""&gt;&lt;flow_mat&gt;&lt;material&gt;&lt;mattext texttype=""text/html""&gt;"&amp;AV95&amp;"&lt;/mattext&gt;&lt;/material&gt;&lt;/flow_mat&gt;&lt;/itemfeedback&gt;"),"")</f>
      </c>
      <c r="BF95" s="46">
        <f>IF($B95,IF(AW95="","","    &lt;itemfeedback ident=""response_3"" view=""All""&gt;&lt;flow_mat&gt;&lt;material&gt;&lt;mattext texttype=""text/html""&gt;"&amp;AW95&amp;"&lt;/mattext&gt;&lt;/material&gt;&lt;/flow_mat&gt;&lt;/itemfeedback&gt;"),"")</f>
      </c>
      <c r="BG95" s="46">
        <f>IF($B95,IF(AX95="","","    &lt;itemfeedback ident=""response_4"" view=""All""&gt;&lt;flow_mat&gt;&lt;material&gt;&lt;mattext texttype=""text/html""&gt;"&amp;AX95&amp;"&lt;/mattext&gt;&lt;/material&gt;&lt;/flow_mat&gt;&lt;/itemfeedback&gt;"),"")</f>
      </c>
      <c r="BH95" s="46">
        <f>IF($B95,IF(AY95="","","    &lt;itemfeedback ident=""response_5"" view=""All""&gt;&lt;flow_mat&gt;&lt;material&gt;&lt;mattext texttype=""text/html""&gt;"&amp;AY95&amp;"&lt;/mattext&gt;&lt;/material&gt;&lt;/flow_mat&gt;&lt;/itemfeedback&gt;"),"")</f>
      </c>
      <c r="BI95" s="46">
        <f>IF($B95,IF(AZ95="","","    &lt;itemfeedback ident=""response_6"" view=""All""&gt;&lt;flow_mat&gt;&lt;material&gt;&lt;mattext texttype=""text/html""&gt;"&amp;AZ95&amp;"&lt;/mattext&gt;&lt;/material&gt;&lt;/flow_mat&gt;&lt;/itemfeedback&gt;"),"")</f>
      </c>
      <c r="BJ95" s="46">
        <f>IF($B95,IF(BA95="","","    &lt;itemfeedback ident=""response_7"" view=""All""&gt;&lt;flow_mat&gt;&lt;material&gt;&lt;mattext texttype=""text/html""&gt;"&amp;BA95&amp;"&lt;/mattext&gt;&lt;/material&gt;&lt;/flow_mat&gt;&lt;/itemfeedback&gt;"),"")</f>
      </c>
    </row>
    <row r="96" ht="18" customHeight="1" s="17">
      <c r="A96" s="46">
        <f>Saisie_Questions!A96</f>
        <v/>
      </c>
      <c r="B96" s="46">
        <f>Saisie_Questions!O96="OK"</f>
        <v/>
      </c>
      <c r="C96" s="46">
        <f>LOWER(TRIM(Saisie_Questions!B96))</f>
        <v/>
      </c>
      <c r="D96" s="46">
        <f>IF(C96="qcu","SINGLE CHOICE QUESTION","MULTIPLE CHOICE QUESTION")</f>
        <v/>
      </c>
      <c r="E96" s="46">
        <f>IF(C96="qcu","Single","Multiple")</f>
        <v/>
      </c>
      <c r="F96" s="46">
        <f>IF(A96="","",SUBSTITUTE(SUBSTITUTE(SUBSTITUTE(SUBSTITUTE(SUBSTITUTE(IF(Saisie_Questions!C96="", "Question "&amp;A96, Saisie_Questions!C96),"&amp;","&amp;amp;"),"&lt;","&amp;lt;"),"&gt;","&amp;gt;"),CHAR(34),"&amp;quot;"),"'","&amp;apos;"))</f>
        <v/>
      </c>
      <c r="G96" s="46">
        <f>IF(A96="","",SUBSTITUTE(SUBSTITUTE(SUBSTITUTE(SUBSTITUTE(SUBSTITUTE(Saisie_Questions!D96,"&amp;","&amp;amp;"),"&lt;","&amp;lt;"),"&gt;","&amp;gt;"),CHAR(34),"&amp;quot;"),"'","&amp;apos;"))</f>
        <v/>
      </c>
      <c r="H96" s="46">
        <f>Saisie_Questions!N96</f>
        <v/>
      </c>
      <c r="I96" s="46">
        <f>IF(Saisie_Questions!E96="",0,1)+IF(Saisie_Questions!F96="",0,1)+IF(Saisie_Questions!G96="",0,1)+IF(Saisie_Questions!H96="",0,1)+IF(Saisie_Questions!I96="",0,1)+IF(Saisie_Questions!J96="",0,1)+IF(Saisie_Questions!K96="",0,1)+IF(Saisie_Questions!L96="",0,1)</f>
        <v/>
      </c>
      <c r="J96" s="46">
        <f>Saisie_Questions!M96</f>
        <v/>
      </c>
      <c r="K96" s="46">
        <f>Saisie_Questions!O96</f>
        <v/>
      </c>
      <c r="L96" s="46">
        <f>IF(Saisie_Questions!E96="","",SUBSTITUTE(SUBSTITUTE(SUBSTITUTE(SUBSTITUTE(SUBSTITUTE(Saisie_Questions!E96,"&amp;","&amp;amp;"),"&lt;","&amp;lt;"),"&gt;","&amp;gt;"),CHAR(34),"&amp;quot;"),"'","&amp;apos;"))</f>
        <v/>
      </c>
      <c r="M96" s="46">
        <f>IF(Saisie_Questions!F96="","",SUBSTITUTE(SUBSTITUTE(SUBSTITUTE(SUBSTITUTE(SUBSTITUTE(Saisie_Questions!F96,"&amp;","&amp;amp;"),"&lt;","&amp;lt;"),"&gt;","&amp;gt;"),CHAR(34),"&amp;quot;"),"'","&amp;apos;"))</f>
        <v/>
      </c>
      <c r="N96" s="46">
        <f>IF(Saisie_Questions!G96="","",SUBSTITUTE(SUBSTITUTE(SUBSTITUTE(SUBSTITUTE(SUBSTITUTE(Saisie_Questions!G96,"&amp;","&amp;amp;"),"&lt;","&amp;lt;"),"&gt;","&amp;gt;"),CHAR(34),"&amp;quot;"),"'","&amp;apos;"))</f>
        <v/>
      </c>
      <c r="O96" s="46">
        <f>IF(Saisie_Questions!H96="","",SUBSTITUTE(SUBSTITUTE(SUBSTITUTE(SUBSTITUTE(SUBSTITUTE(Saisie_Questions!H96,"&amp;","&amp;amp;"),"&lt;","&amp;lt;"),"&gt;","&amp;gt;"),CHAR(34),"&amp;quot;"),"'","&amp;apos;"))</f>
        <v/>
      </c>
      <c r="P96" s="46">
        <f>IF(Saisie_Questions!I96="","",SUBSTITUTE(SUBSTITUTE(SUBSTITUTE(SUBSTITUTE(SUBSTITUTE(Saisie_Questions!I96,"&amp;","&amp;amp;"),"&lt;","&amp;lt;"),"&gt;","&amp;gt;"),CHAR(34),"&amp;quot;"),"'","&amp;apos;"))</f>
        <v/>
      </c>
      <c r="Q96" s="46">
        <f>IF(Saisie_Questions!J96="","",SUBSTITUTE(SUBSTITUTE(SUBSTITUTE(SUBSTITUTE(SUBSTITUTE(Saisie_Questions!J96,"&amp;","&amp;amp;"),"&lt;","&amp;lt;"),"&gt;","&amp;gt;"),CHAR(34),"&amp;quot;"),"'","&amp;apos;"))</f>
        <v/>
      </c>
      <c r="R96" s="46">
        <f>IF(Saisie_Questions!K96="","",SUBSTITUTE(SUBSTITUTE(SUBSTITUTE(SUBSTITUTE(SUBSTITUTE(Saisie_Questions!K96,"&amp;","&amp;amp;"),"&lt;","&amp;lt;"),"&gt;","&amp;gt;"),CHAR(34),"&amp;quot;"),"'","&amp;apos;"))</f>
        <v/>
      </c>
      <c r="S96" s="46">
        <f>IF(Saisie_Questions!L96="","",SUBSTITUTE(SUBSTITUTE(SUBSTITUTE(SUBSTITUTE(SUBSTITUTE(Saisie_Questions!L96,"&amp;","&amp;amp;"),"&lt;","&amp;lt;"),"&gt;","&amp;gt;"),CHAR(34),"&amp;quot;"),"'","&amp;apos;"))</f>
        <v/>
      </c>
      <c r="T96" s="46">
        <f>ISNUMBER(SEARCH(";"&amp;1&amp;";",";"&amp;$J96&amp;";"))</f>
        <v/>
      </c>
      <c r="U96" s="46">
        <f>ISNUMBER(SEARCH(";"&amp;2&amp;";",";"&amp;$J96&amp;";"))</f>
        <v/>
      </c>
      <c r="V96" s="46">
        <f>ISNUMBER(SEARCH(";"&amp;3&amp;";",";"&amp;$J96&amp;";"))</f>
        <v/>
      </c>
      <c r="W96" s="46">
        <f>ISNUMBER(SEARCH(";"&amp;4&amp;";",";"&amp;$J96&amp;";"))</f>
        <v/>
      </c>
      <c r="X96" s="46">
        <f>ISNUMBER(SEARCH(";"&amp;5&amp;";",";"&amp;$J96&amp;";"))</f>
        <v/>
      </c>
      <c r="Y96" s="46">
        <f>ISNUMBER(SEARCH(";"&amp;6&amp;";",";"&amp;$J96&amp;";"))</f>
        <v/>
      </c>
      <c r="Z96" s="46">
        <f>ISNUMBER(SEARCH(";"&amp;7&amp;";",";"&amp;$J96&amp;";"))</f>
        <v/>
      </c>
      <c r="AA96" s="46">
        <f>ISNUMBER(SEARCH(";"&amp;8&amp;";",";"&amp;$J96&amp;";"))</f>
        <v/>
      </c>
      <c r="AB96" s="46">
        <f>IF($B96,IF(L96="","","        &lt;response_label ident=""0""&gt;&lt;material&gt;&lt;mattext texttype=""text/html""&gt;"&amp;L96&amp;"&lt;/mattext&gt;&lt;/material&gt;&lt;/response_label&gt;"),"")</f>
        <v/>
      </c>
      <c r="AC96" s="46">
        <f>IF($B96,IF(M96="","","        &lt;response_label ident=""1""&gt;&lt;material&gt;&lt;mattext texttype=""text/html""&gt;"&amp;M96&amp;"&lt;/mattext&gt;&lt;/material&gt;&lt;/response_label&gt;"),"")</f>
        <v/>
      </c>
      <c r="AD96" s="46">
        <f>IF($B96,IF(N96="","","        &lt;response_label ident=""2""&gt;&lt;material&gt;&lt;mattext texttype=""text/html""&gt;"&amp;N96&amp;"&lt;/mattext&gt;&lt;/material&gt;&lt;/response_label&gt;"),"")</f>
        <v/>
      </c>
      <c r="AE96" s="46">
        <f>IF($B96,IF(O96="","","        &lt;response_label ident=""3""&gt;&lt;material&gt;&lt;mattext texttype=""text/html""&gt;"&amp;O96&amp;"&lt;/mattext&gt;&lt;/material&gt;&lt;/response_label&gt;"),"")</f>
        <v/>
      </c>
      <c r="AF96" s="46">
        <f>IF($B96,IF(P96="","","        &lt;response_label ident=""4""&gt;&lt;material&gt;&lt;mattext texttype=""text/html""&gt;"&amp;P96&amp;"&lt;/mattext&gt;&lt;/material&gt;&lt;/response_label&gt;"),"")</f>
        <v/>
      </c>
      <c r="AG96" s="46">
        <f>IF($B96,IF(Q96="","","        &lt;response_label ident=""5""&gt;&lt;material&gt;&lt;mattext texttype=""text/html""&gt;"&amp;Q96&amp;"&lt;/mattext&gt;&lt;/material&gt;&lt;/response_label&gt;"),"")</f>
        <v/>
      </c>
      <c r="AH96" s="46">
        <f>IF($B96,IF(R96="","","        &lt;response_label ident=""6""&gt;&lt;material&gt;&lt;mattext texttype=""text/html""&gt;"&amp;R96&amp;"&lt;/mattext&gt;&lt;/material&gt;&lt;/response_label&gt;"),"")</f>
        <v/>
      </c>
      <c r="AI96" s="46">
        <f>IF($B96,IF(S96="","","        &lt;response_label ident=""7""&gt;&lt;material&gt;&lt;mattext texttype=""text/html""&gt;"&amp;S96&amp;"&lt;/mattext&gt;&lt;/material&gt;&lt;/response_label&gt;"),"")</f>
        <v/>
      </c>
      <c r="AJ96" s="46">
        <f>IF($B96,IF(L96="","",IF($C96="qcu",IF(OR(T96,AT96&lt;&gt;"",$AS96&lt;&gt;""),"      &lt;respcondition continue=""Yes""&gt;&lt;conditionvar&gt;&lt;varequal respident=""RESPONSE""&gt;0&lt;/varequal&gt;&lt;/conditionvar&gt;"&amp;"&lt;setvar action=""Add""&gt;"&amp;IF(T96,$H96,0)&amp;"&lt;/setvar&gt;"&amp;IF(AT96&lt;&gt;"","&lt;displayfeedback feedbacktype=""Response"" linkrefid=""response_0""/&gt;",IF($AS96&lt;&gt;"","&lt;displayfeedback feedbacktype=""Response"" linkrefid=""qti_feedback_trigger""/&gt;",""))&amp;"&lt;/respcondition&gt;",""),IF(OR(T96,AT96&lt;&gt;"",$AS96&lt;&gt;""),"      &lt;respcondition continue=""Yes""&gt;&lt;conditionvar&gt;"&amp;IF(T96,"&lt;varequal respident=""RESPONSE""&gt;0&lt;/varequal&gt;","&lt;not&gt;&lt;varequal respident=""RESPONSE""&gt;0&lt;/varequal&gt;&lt;/not&gt;")&amp;"&lt;/conditionvar&gt;&lt;setvar action=""Add""&gt;"&amp;(Saisie_Questions!$N96/$I96)&amp;"&lt;/setvar&gt;"&amp;IF(AT96&lt;&gt;"","&lt;displayfeedback feedbacktype=""Response"" linkrefid=""response_0""/&gt;",IF($AS96&lt;&gt;"","&lt;displayfeedback feedbacktype=""Response"" linkrefid=""qti_feedback_trigger""/&gt;",""))&amp;"&lt;/respcondition&gt;",""))),"")</f>
      </c>
      <c r="AK96" s="46">
        <f>IF($B96,IF(M96="","",IF($C96="qcu",IF(OR(U96,AU96&lt;&gt;"",$AS96&lt;&gt;""),"      &lt;respcondition continue=""Yes""&gt;&lt;conditionvar&gt;&lt;varequal respident=""RESPONSE""&gt;1&lt;/varequal&gt;&lt;/conditionvar&gt;"&amp;"&lt;setvar action=""Add""&gt;"&amp;IF(U96,$H96,0)&amp;"&lt;/setvar&gt;"&amp;IF(AU96&lt;&gt;"","&lt;displayfeedback feedbacktype=""Response"" linkrefid=""response_1""/&gt;",IF($AS96&lt;&gt;"","&lt;displayfeedback feedbacktype=""Response"" linkrefid=""qti_feedback_trigger""/&gt;",""))&amp;"&lt;/respcondition&gt;",""),IF(OR(U96,AU96&lt;&gt;"",$AS96&lt;&gt;""),"      &lt;respcondition continue=""Yes""&gt;&lt;conditionvar&gt;"&amp;IF(U96,"&lt;varequal respident=""RESPONSE""&gt;1&lt;/varequal&gt;","&lt;not&gt;&lt;varequal respident=""RESPONSE""&gt;1&lt;/varequal&gt;&lt;/not&gt;")&amp;"&lt;/conditionvar&gt;&lt;setvar action=""Add""&gt;"&amp;(Saisie_Questions!$N96/$I96)&amp;"&lt;/setvar&gt;"&amp;IF(AU96&lt;&gt;"","&lt;displayfeedback feedbacktype=""Response"" linkrefid=""response_1""/&gt;",IF($AS96&lt;&gt;"","&lt;displayfeedback feedbacktype=""Response"" linkrefid=""qti_feedback_trigger""/&gt;",""))&amp;"&lt;/respcondition&gt;",""))),"")</f>
      </c>
      <c r="AL96" s="46">
        <f>IF($B96,IF(N96="","",IF($C96="qcu",IF(OR(V96,AV96&lt;&gt;"",$AS96&lt;&gt;""),"      &lt;respcondition continue=""Yes""&gt;&lt;conditionvar&gt;&lt;varequal respident=""RESPONSE""&gt;2&lt;/varequal&gt;&lt;/conditionvar&gt;"&amp;"&lt;setvar action=""Add""&gt;"&amp;IF(V96,$H96,0)&amp;"&lt;/setvar&gt;"&amp;IF(AV96&lt;&gt;"","&lt;displayfeedback feedbacktype=""Response"" linkrefid=""response_2""/&gt;",IF($AS96&lt;&gt;"","&lt;displayfeedback feedbacktype=""Response"" linkrefid=""qti_feedback_trigger""/&gt;",""))&amp;"&lt;/respcondition&gt;",""),IF(OR(V96,AV96&lt;&gt;"",$AS96&lt;&gt;""),"      &lt;respcondition continue=""Yes""&gt;&lt;conditionvar&gt;"&amp;IF(V96,"&lt;varequal respident=""RESPONSE""&gt;2&lt;/varequal&gt;","&lt;not&gt;&lt;varequal respident=""RESPONSE""&gt;2&lt;/varequal&gt;&lt;/not&gt;")&amp;"&lt;/conditionvar&gt;&lt;setvar action=""Add""&gt;"&amp;(Saisie_Questions!$N96/$I96)&amp;"&lt;/setvar&gt;"&amp;IF(AV96&lt;&gt;"","&lt;displayfeedback feedbacktype=""Response"" linkrefid=""response_2""/&gt;",IF($AS96&lt;&gt;"","&lt;displayfeedback feedbacktype=""Response"" linkrefid=""qti_feedback_trigger""/&gt;",""))&amp;"&lt;/respcondition&gt;",""))),"")</f>
      </c>
      <c r="AM96" s="46">
        <f>IF($B96,IF(O96="","",IF($C96="qcu",IF(OR(W96,AW96&lt;&gt;"",$AS96&lt;&gt;""),"      &lt;respcondition continue=""Yes""&gt;&lt;conditionvar&gt;&lt;varequal respident=""RESPONSE""&gt;3&lt;/varequal&gt;&lt;/conditionvar&gt;"&amp;"&lt;setvar action=""Add""&gt;"&amp;IF(W96,$H96,0)&amp;"&lt;/setvar&gt;"&amp;IF(AW96&lt;&gt;"","&lt;displayfeedback feedbacktype=""Response"" linkrefid=""response_3""/&gt;",IF($AS96&lt;&gt;"","&lt;displayfeedback feedbacktype=""Response"" linkrefid=""qti_feedback_trigger""/&gt;",""))&amp;"&lt;/respcondition&gt;",""),IF(OR(W96,AW96&lt;&gt;"",$AS96&lt;&gt;""),"      &lt;respcondition continue=""Yes""&gt;&lt;conditionvar&gt;"&amp;IF(W96,"&lt;varequal respident=""RESPONSE""&gt;3&lt;/varequal&gt;","&lt;not&gt;&lt;varequal respident=""RESPONSE""&gt;3&lt;/varequal&gt;&lt;/not&gt;")&amp;"&lt;/conditionvar&gt;&lt;setvar action=""Add""&gt;"&amp;(Saisie_Questions!$N96/$I96)&amp;"&lt;/setvar&gt;"&amp;IF(AW96&lt;&gt;"","&lt;displayfeedback feedbacktype=""Response"" linkrefid=""response_3""/&gt;",IF($AS96&lt;&gt;"","&lt;displayfeedback feedbacktype=""Response"" linkrefid=""qti_feedback_trigger""/&gt;",""))&amp;"&lt;/respcondition&gt;",""))),"")</f>
      </c>
      <c r="AN96" s="46">
        <f>IF($B96,IF(P96="","",IF($C96="qcu",IF(OR(X96,AX96&lt;&gt;"",$AS96&lt;&gt;""),"      &lt;respcondition continue=""Yes""&gt;&lt;conditionvar&gt;&lt;varequal respident=""RESPONSE""&gt;4&lt;/varequal&gt;&lt;/conditionvar&gt;"&amp;"&lt;setvar action=""Add""&gt;"&amp;IF(X96,$H96,0)&amp;"&lt;/setvar&gt;"&amp;IF(AX96&lt;&gt;"","&lt;displayfeedback feedbacktype=""Response"" linkrefid=""response_4""/&gt;",IF($AS96&lt;&gt;"","&lt;displayfeedback feedbacktype=""Response"" linkrefid=""qti_feedback_trigger""/&gt;",""))&amp;"&lt;/respcondition&gt;",""),IF(OR(X96,AX96&lt;&gt;"",$AS96&lt;&gt;""),"      &lt;respcondition continue=""Yes""&gt;&lt;conditionvar&gt;"&amp;IF(X96,"&lt;varequal respident=""RESPONSE""&gt;4&lt;/varequal&gt;","&lt;not&gt;&lt;varequal respident=""RESPONSE""&gt;4&lt;/varequal&gt;&lt;/not&gt;")&amp;"&lt;/conditionvar&gt;&lt;setvar action=""Add""&gt;"&amp;(Saisie_Questions!$N96/$I96)&amp;"&lt;/setvar&gt;"&amp;IF(AX96&lt;&gt;"","&lt;displayfeedback feedbacktype=""Response"" linkrefid=""response_4""/&gt;",IF($AS96&lt;&gt;"","&lt;displayfeedback feedbacktype=""Response"" linkrefid=""qti_feedback_trigger""/&gt;",""))&amp;"&lt;/respcondition&gt;",""))),"")</f>
      </c>
      <c r="AO96" s="46">
        <f>IF($B96,IF(Q96="","",IF($C96="qcu",IF(OR(Y96,AY96&lt;&gt;"",$AS96&lt;&gt;""),"      &lt;respcondition continue=""Yes""&gt;&lt;conditionvar&gt;&lt;varequal respident=""RESPONSE""&gt;5&lt;/varequal&gt;&lt;/conditionvar&gt;"&amp;"&lt;setvar action=""Add""&gt;"&amp;IF(Y96,$H96,0)&amp;"&lt;/setvar&gt;"&amp;IF(AY96&lt;&gt;"","&lt;displayfeedback feedbacktype=""Response"" linkrefid=""response_5""/&gt;",IF($AS96&lt;&gt;"","&lt;displayfeedback feedbacktype=""Response"" linkrefid=""qti_feedback_trigger""/&gt;",""))&amp;"&lt;/respcondition&gt;",""),IF(OR(Y96,AY96&lt;&gt;"",$AS96&lt;&gt;""),"      &lt;respcondition continue=""Yes""&gt;&lt;conditionvar&gt;"&amp;IF(Y96,"&lt;varequal respident=""RESPONSE""&gt;5&lt;/varequal&gt;","&lt;not&gt;&lt;varequal respident=""RESPONSE""&gt;5&lt;/varequal&gt;&lt;/not&gt;")&amp;"&lt;/conditionvar&gt;&lt;setvar action=""Add""&gt;"&amp;(Saisie_Questions!$N96/$I96)&amp;"&lt;/setvar&gt;"&amp;IF(AY96&lt;&gt;"","&lt;displayfeedback feedbacktype=""Response"" linkrefid=""response_5""/&gt;",IF($AS96&lt;&gt;"","&lt;displayfeedback feedbacktype=""Response"" linkrefid=""qti_feedback_trigger""/&gt;",""))&amp;"&lt;/respcondition&gt;",""))),"")</f>
      </c>
      <c r="AP96" s="46">
        <f>IF($B96,IF(R96="","",IF($C96="qcu",IF(OR(Z96,AZ96&lt;&gt;"",$AS96&lt;&gt;""),"      &lt;respcondition continue=""Yes""&gt;&lt;conditionvar&gt;&lt;varequal respident=""RESPONSE""&gt;6&lt;/varequal&gt;&lt;/conditionvar&gt;"&amp;"&lt;setvar action=""Add""&gt;"&amp;IF(Z96,$H96,0)&amp;"&lt;/setvar&gt;"&amp;IF(AZ96&lt;&gt;"","&lt;displayfeedback feedbacktype=""Response"" linkrefid=""response_6""/&gt;",IF($AS96&lt;&gt;"","&lt;displayfeedback feedbacktype=""Response"" linkrefid=""qti_feedback_trigger""/&gt;",""))&amp;"&lt;/respcondition&gt;",""),IF(OR(Z96,AZ96&lt;&gt;"",$AS96&lt;&gt;""),"      &lt;respcondition continue=""Yes""&gt;&lt;conditionvar&gt;"&amp;IF(Z96,"&lt;varequal respident=""RESPONSE""&gt;6&lt;/varequal&gt;","&lt;not&gt;&lt;varequal respident=""RESPONSE""&gt;6&lt;/varequal&gt;&lt;/not&gt;")&amp;"&lt;/conditionvar&gt;&lt;setvar action=""Add""&gt;"&amp;(Saisie_Questions!$N96/$I96)&amp;"&lt;/setvar&gt;"&amp;IF(AZ96&lt;&gt;"","&lt;displayfeedback feedbacktype=""Response"" linkrefid=""response_6""/&gt;",IF($AS96&lt;&gt;"","&lt;displayfeedback feedbacktype=""Response"" linkrefid=""qti_feedback_trigger""/&gt;",""))&amp;"&lt;/respcondition&gt;",""))),"")</f>
      </c>
      <c r="AQ96" s="46">
        <f>IF($B96,IF(S96="","",IF($C96="qcu",IF(OR(AA96,BA96&lt;&gt;"",$AS96&lt;&gt;""),"      &lt;respcondition continue=""Yes""&gt;&lt;conditionvar&gt;&lt;varequal respident=""RESPONSE""&gt;7&lt;/varequal&gt;&lt;/conditionvar&gt;"&amp;"&lt;setvar action=""Add""&gt;"&amp;IF(AA96,$H96,0)&amp;"&lt;/setvar&gt;"&amp;IF(BA96&lt;&gt;"","&lt;displayfeedback feedbacktype=""Response"" linkrefid=""response_7""/&gt;",IF($AS96&lt;&gt;"","&lt;displayfeedback feedbacktype=""Response"" linkrefid=""qti_feedback_trigger""/&gt;",""))&amp;"&lt;/respcondition&gt;",""),IF(OR(AA96,BA96&lt;&gt;"",$AS96&lt;&gt;""),"      &lt;respcondition continue=""Yes""&gt;&lt;conditionvar&gt;"&amp;IF(AA96,"&lt;varequal respident=""RESPONSE""&gt;7&lt;/varequal&gt;","&lt;not&gt;&lt;varequal respident=""RESPONSE""&gt;7&lt;/varequal&gt;&lt;/not&gt;")&amp;"&lt;/conditionvar&gt;&lt;setvar action=""Add""&gt;"&amp;(Saisie_Questions!$N96/$I96)&amp;"&lt;/setvar&gt;"&amp;IF(BA96&lt;&gt;"","&lt;displayfeedback feedbacktype=""Response"" linkrefid=""response_7""/&gt;",IF($AS96&lt;&gt;"","&lt;displayfeedback feedbacktype=""Response"" linkrefid=""qti_feedback_trigger""/&gt;",""))&amp;"&lt;/respcondition&gt;",""))),"")</f>
      </c>
      <c r="AR96" s="46">
        <f>IF(A96="","",SUBSTITUTE(SUBSTITUTE(SUBSTITUTE(SUBSTITUTE(SUBSTITUTE(IF(Saisie_Questions!P96&lt;&gt;"",Saisie_Questions!P96,Interface_Generation!$B$5),"&amp;","&amp;amp;"),"&lt;","&amp;lt;"),"&gt;","&amp;gt;"),CHAR(34),"&amp;quot;"),"'","&amp;apos;"))</f>
        <v/>
      </c>
      <c r="AS96" s="46">
        <f>IF(Saisie_Questions!Q96="","",SUBSTITUTE(SUBSTITUTE(SUBSTITUTE(SUBSTITUTE(SUBSTITUTE(Saisie_Questions!Q96,"&amp;","&amp;amp;"),"&lt;","&amp;lt;"),"&gt;","&amp;gt;"),CHAR(34),"&amp;quot;"),"'","&amp;apos;"))</f>
        <v/>
      </c>
      <c r="AT96" s="46">
        <f>IF(Saisie_Questions!R96="","",SUBSTITUTE(SUBSTITUTE(SUBSTITUTE(SUBSTITUTE(SUBSTITUTE(Saisie_Questions!R96,"&amp;","&amp;amp;"),"&lt;","&amp;lt;"),"&gt;","&amp;gt;"),CHAR(34),"&amp;quot;"),"'","&amp;apos;"))</f>
        <v/>
      </c>
      <c r="AU96" s="46">
        <f>IF(Saisie_Questions!S96="","",SUBSTITUTE(SUBSTITUTE(SUBSTITUTE(SUBSTITUTE(SUBSTITUTE(Saisie_Questions!S96,"&amp;","&amp;amp;"),"&lt;","&amp;lt;"),"&gt;","&amp;gt;"),CHAR(34),"&amp;quot;"),"'","&amp;apos;"))</f>
        <v/>
      </c>
      <c r="AV96" s="46">
        <f>IF(Saisie_Questions!T96="","",SUBSTITUTE(SUBSTITUTE(SUBSTITUTE(SUBSTITUTE(SUBSTITUTE(Saisie_Questions!T96,"&amp;","&amp;amp;"),"&lt;","&amp;lt;"),"&gt;","&amp;gt;"),CHAR(34),"&amp;quot;"),"'","&amp;apos;"))</f>
        <v/>
      </c>
      <c r="AW96" s="46">
        <f>IF(Saisie_Questions!U96="","",SUBSTITUTE(SUBSTITUTE(SUBSTITUTE(SUBSTITUTE(SUBSTITUTE(Saisie_Questions!U96,"&amp;","&amp;amp;"),"&lt;","&amp;lt;"),"&gt;","&amp;gt;"),CHAR(34),"&amp;quot;"),"'","&amp;apos;"))</f>
        <v/>
      </c>
      <c r="AX96" s="46">
        <f>IF(Saisie_Questions!V96="","",SUBSTITUTE(SUBSTITUTE(SUBSTITUTE(SUBSTITUTE(SUBSTITUTE(Saisie_Questions!V96,"&amp;","&amp;amp;"),"&lt;","&amp;lt;"),"&gt;","&amp;gt;"),CHAR(34),"&amp;quot;"),"'","&amp;apos;"))</f>
        <v/>
      </c>
      <c r="AY96" s="46">
        <f>IF(Saisie_Questions!W96="","",SUBSTITUTE(SUBSTITUTE(SUBSTITUTE(SUBSTITUTE(SUBSTITUTE(Saisie_Questions!W96,"&amp;","&amp;amp;"),"&lt;","&amp;lt;"),"&gt;","&amp;gt;"),CHAR(34),"&amp;quot;"),"'","&amp;apos;"))</f>
        <v/>
      </c>
      <c r="AZ96" s="46">
        <f>IF(Saisie_Questions!X96="","",SUBSTITUTE(SUBSTITUTE(SUBSTITUTE(SUBSTITUTE(SUBSTITUTE(Saisie_Questions!X96,"&amp;","&amp;amp;"),"&lt;","&amp;lt;"),"&gt;","&amp;gt;"),CHAR(34),"&amp;quot;"),"'","&amp;apos;"))</f>
        <v/>
      </c>
      <c r="BA96" s="46">
        <f>IF(Saisie_Questions!Y96="","",SUBSTITUTE(SUBSTITUTE(SUBSTITUTE(SUBSTITUTE(SUBSTITUTE(Saisie_Questions!Y96,"&amp;","&amp;amp;"),"&lt;","&amp;lt;"),"&gt;","&amp;gt;"),CHAR(34),"&amp;quot;"),"'","&amp;apos;"))</f>
        <v/>
      </c>
      <c r="BB96" s="46">
        <f>IF($B96,IF($AS96="","","    &lt;itemfeedback ident=""response_allcorrect"" view=""All""&gt;&lt;flow_mat&gt;&lt;material&gt;&lt;mattext texttype=""text/html""&gt;"&amp;$AS96&amp;"&lt;/mattext&gt;&lt;/material&gt;&lt;/flow_mat&gt;&lt;/itemfeedback&gt;"&amp;"    &lt;itemfeedback ident=""response_onenotcorrect"" view=""All""&gt;&lt;flow_mat&gt;&lt;material&gt;&lt;mattext texttype=""text/html""&gt;"&amp;$AS96&amp;"&lt;/mattext&gt;&lt;/material&gt;&lt;/flow_mat&gt;&lt;/itemfeedback&gt;"),"")</f>
      </c>
      <c r="BC96" s="46">
        <f>IF($B96,IF(AT96="","","    &lt;itemfeedback ident=""response_0"" view=""All""&gt;&lt;flow_mat&gt;&lt;material&gt;&lt;mattext texttype=""text/html""&gt;"&amp;AT96&amp;"&lt;/mattext&gt;&lt;/material&gt;&lt;/flow_mat&gt;&lt;/itemfeedback&gt;"),"")</f>
      </c>
      <c r="BD96" s="46">
        <f>IF($B96,IF(AU96="","","    &lt;itemfeedback ident=""response_1"" view=""All""&gt;&lt;flow_mat&gt;&lt;material&gt;&lt;mattext texttype=""text/html""&gt;"&amp;AU96&amp;"&lt;/mattext&gt;&lt;/material&gt;&lt;/flow_mat&gt;&lt;/itemfeedback&gt;"),"")</f>
      </c>
      <c r="BE96" s="46">
        <f>IF($B96,IF(AV96="","","    &lt;itemfeedback ident=""response_2"" view=""All""&gt;&lt;flow_mat&gt;&lt;material&gt;&lt;mattext texttype=""text/html""&gt;"&amp;AV96&amp;"&lt;/mattext&gt;&lt;/material&gt;&lt;/flow_mat&gt;&lt;/itemfeedback&gt;"),"")</f>
      </c>
      <c r="BF96" s="46">
        <f>IF($B96,IF(AW96="","","    &lt;itemfeedback ident=""response_3"" view=""All""&gt;&lt;flow_mat&gt;&lt;material&gt;&lt;mattext texttype=""text/html""&gt;"&amp;AW96&amp;"&lt;/mattext&gt;&lt;/material&gt;&lt;/flow_mat&gt;&lt;/itemfeedback&gt;"),"")</f>
      </c>
      <c r="BG96" s="46">
        <f>IF($B96,IF(AX96="","","    &lt;itemfeedback ident=""response_4"" view=""All""&gt;&lt;flow_mat&gt;&lt;material&gt;&lt;mattext texttype=""text/html""&gt;"&amp;AX96&amp;"&lt;/mattext&gt;&lt;/material&gt;&lt;/flow_mat&gt;&lt;/itemfeedback&gt;"),"")</f>
      </c>
      <c r="BH96" s="46">
        <f>IF($B96,IF(AY96="","","    &lt;itemfeedback ident=""response_5"" view=""All""&gt;&lt;flow_mat&gt;&lt;material&gt;&lt;mattext texttype=""text/html""&gt;"&amp;AY96&amp;"&lt;/mattext&gt;&lt;/material&gt;&lt;/flow_mat&gt;&lt;/itemfeedback&gt;"),"")</f>
      </c>
      <c r="BI96" s="46">
        <f>IF($B96,IF(AZ96="","","    &lt;itemfeedback ident=""response_6"" view=""All""&gt;&lt;flow_mat&gt;&lt;material&gt;&lt;mattext texttype=""text/html""&gt;"&amp;AZ96&amp;"&lt;/mattext&gt;&lt;/material&gt;&lt;/flow_mat&gt;&lt;/itemfeedback&gt;"),"")</f>
      </c>
      <c r="BJ96" s="46">
        <f>IF($B96,IF(BA96="","","    &lt;itemfeedback ident=""response_7"" view=""All""&gt;&lt;flow_mat&gt;&lt;material&gt;&lt;mattext texttype=""text/html""&gt;"&amp;BA96&amp;"&lt;/mattext&gt;&lt;/material&gt;&lt;/flow_mat&gt;&lt;/itemfeedback&gt;"),"")</f>
      </c>
    </row>
    <row r="97" ht="18" customHeight="1" s="17">
      <c r="A97" s="46">
        <f>Saisie_Questions!A97</f>
        <v/>
      </c>
      <c r="B97" s="46">
        <f>Saisie_Questions!O97="OK"</f>
        <v/>
      </c>
      <c r="C97" s="46">
        <f>LOWER(TRIM(Saisie_Questions!B97))</f>
        <v/>
      </c>
      <c r="D97" s="46">
        <f>IF(C97="qcu","SINGLE CHOICE QUESTION","MULTIPLE CHOICE QUESTION")</f>
        <v/>
      </c>
      <c r="E97" s="46">
        <f>IF(C97="qcu","Single","Multiple")</f>
        <v/>
      </c>
      <c r="F97" s="46">
        <f>IF(A97="","",SUBSTITUTE(SUBSTITUTE(SUBSTITUTE(SUBSTITUTE(SUBSTITUTE(IF(Saisie_Questions!C97="", "Question "&amp;A97, Saisie_Questions!C97),"&amp;","&amp;amp;"),"&lt;","&amp;lt;"),"&gt;","&amp;gt;"),CHAR(34),"&amp;quot;"),"'","&amp;apos;"))</f>
        <v/>
      </c>
      <c r="G97" s="46">
        <f>IF(A97="","",SUBSTITUTE(SUBSTITUTE(SUBSTITUTE(SUBSTITUTE(SUBSTITUTE(Saisie_Questions!D97,"&amp;","&amp;amp;"),"&lt;","&amp;lt;"),"&gt;","&amp;gt;"),CHAR(34),"&amp;quot;"),"'","&amp;apos;"))</f>
        <v/>
      </c>
      <c r="H97" s="46">
        <f>Saisie_Questions!N97</f>
        <v/>
      </c>
      <c r="I97" s="46">
        <f>IF(Saisie_Questions!E97="",0,1)+IF(Saisie_Questions!F97="",0,1)+IF(Saisie_Questions!G97="",0,1)+IF(Saisie_Questions!H97="",0,1)+IF(Saisie_Questions!I97="",0,1)+IF(Saisie_Questions!J97="",0,1)+IF(Saisie_Questions!K97="",0,1)+IF(Saisie_Questions!L97="",0,1)</f>
        <v/>
      </c>
      <c r="J97" s="46">
        <f>Saisie_Questions!M97</f>
        <v/>
      </c>
      <c r="K97" s="46">
        <f>Saisie_Questions!O97</f>
        <v/>
      </c>
      <c r="L97" s="46">
        <f>IF(Saisie_Questions!E97="","",SUBSTITUTE(SUBSTITUTE(SUBSTITUTE(SUBSTITUTE(SUBSTITUTE(Saisie_Questions!E97,"&amp;","&amp;amp;"),"&lt;","&amp;lt;"),"&gt;","&amp;gt;"),CHAR(34),"&amp;quot;"),"'","&amp;apos;"))</f>
        <v/>
      </c>
      <c r="M97" s="46">
        <f>IF(Saisie_Questions!F97="","",SUBSTITUTE(SUBSTITUTE(SUBSTITUTE(SUBSTITUTE(SUBSTITUTE(Saisie_Questions!F97,"&amp;","&amp;amp;"),"&lt;","&amp;lt;"),"&gt;","&amp;gt;"),CHAR(34),"&amp;quot;"),"'","&amp;apos;"))</f>
        <v/>
      </c>
      <c r="N97" s="46">
        <f>IF(Saisie_Questions!G97="","",SUBSTITUTE(SUBSTITUTE(SUBSTITUTE(SUBSTITUTE(SUBSTITUTE(Saisie_Questions!G97,"&amp;","&amp;amp;"),"&lt;","&amp;lt;"),"&gt;","&amp;gt;"),CHAR(34),"&amp;quot;"),"'","&amp;apos;"))</f>
        <v/>
      </c>
      <c r="O97" s="46">
        <f>IF(Saisie_Questions!H97="","",SUBSTITUTE(SUBSTITUTE(SUBSTITUTE(SUBSTITUTE(SUBSTITUTE(Saisie_Questions!H97,"&amp;","&amp;amp;"),"&lt;","&amp;lt;"),"&gt;","&amp;gt;"),CHAR(34),"&amp;quot;"),"'","&amp;apos;"))</f>
        <v/>
      </c>
      <c r="P97" s="46">
        <f>IF(Saisie_Questions!I97="","",SUBSTITUTE(SUBSTITUTE(SUBSTITUTE(SUBSTITUTE(SUBSTITUTE(Saisie_Questions!I97,"&amp;","&amp;amp;"),"&lt;","&amp;lt;"),"&gt;","&amp;gt;"),CHAR(34),"&amp;quot;"),"'","&amp;apos;"))</f>
        <v/>
      </c>
      <c r="Q97" s="46">
        <f>IF(Saisie_Questions!J97="","",SUBSTITUTE(SUBSTITUTE(SUBSTITUTE(SUBSTITUTE(SUBSTITUTE(Saisie_Questions!J97,"&amp;","&amp;amp;"),"&lt;","&amp;lt;"),"&gt;","&amp;gt;"),CHAR(34),"&amp;quot;"),"'","&amp;apos;"))</f>
        <v/>
      </c>
      <c r="R97" s="46">
        <f>IF(Saisie_Questions!K97="","",SUBSTITUTE(SUBSTITUTE(SUBSTITUTE(SUBSTITUTE(SUBSTITUTE(Saisie_Questions!K97,"&amp;","&amp;amp;"),"&lt;","&amp;lt;"),"&gt;","&amp;gt;"),CHAR(34),"&amp;quot;"),"'","&amp;apos;"))</f>
        <v/>
      </c>
      <c r="S97" s="46">
        <f>IF(Saisie_Questions!L97="","",SUBSTITUTE(SUBSTITUTE(SUBSTITUTE(SUBSTITUTE(SUBSTITUTE(Saisie_Questions!L97,"&amp;","&amp;amp;"),"&lt;","&amp;lt;"),"&gt;","&amp;gt;"),CHAR(34),"&amp;quot;"),"'","&amp;apos;"))</f>
        <v/>
      </c>
      <c r="T97" s="46">
        <f>ISNUMBER(SEARCH(";"&amp;1&amp;";",";"&amp;$J97&amp;";"))</f>
        <v/>
      </c>
      <c r="U97" s="46">
        <f>ISNUMBER(SEARCH(";"&amp;2&amp;";",";"&amp;$J97&amp;";"))</f>
        <v/>
      </c>
      <c r="V97" s="46">
        <f>ISNUMBER(SEARCH(";"&amp;3&amp;";",";"&amp;$J97&amp;";"))</f>
        <v/>
      </c>
      <c r="W97" s="46">
        <f>ISNUMBER(SEARCH(";"&amp;4&amp;";",";"&amp;$J97&amp;";"))</f>
        <v/>
      </c>
      <c r="X97" s="46">
        <f>ISNUMBER(SEARCH(";"&amp;5&amp;";",";"&amp;$J97&amp;";"))</f>
        <v/>
      </c>
      <c r="Y97" s="46">
        <f>ISNUMBER(SEARCH(";"&amp;6&amp;";",";"&amp;$J97&amp;";"))</f>
        <v/>
      </c>
      <c r="Z97" s="46">
        <f>ISNUMBER(SEARCH(";"&amp;7&amp;";",";"&amp;$J97&amp;";"))</f>
        <v/>
      </c>
      <c r="AA97" s="46">
        <f>ISNUMBER(SEARCH(";"&amp;8&amp;";",";"&amp;$J97&amp;";"))</f>
        <v/>
      </c>
      <c r="AB97" s="46">
        <f>IF($B97,IF(L97="","","        &lt;response_label ident=""0""&gt;&lt;material&gt;&lt;mattext texttype=""text/html""&gt;"&amp;L97&amp;"&lt;/mattext&gt;&lt;/material&gt;&lt;/response_label&gt;"),"")</f>
        <v/>
      </c>
      <c r="AC97" s="46">
        <f>IF($B97,IF(M97="","","        &lt;response_label ident=""1""&gt;&lt;material&gt;&lt;mattext texttype=""text/html""&gt;"&amp;M97&amp;"&lt;/mattext&gt;&lt;/material&gt;&lt;/response_label&gt;"),"")</f>
        <v/>
      </c>
      <c r="AD97" s="46">
        <f>IF($B97,IF(N97="","","        &lt;response_label ident=""2""&gt;&lt;material&gt;&lt;mattext texttype=""text/html""&gt;"&amp;N97&amp;"&lt;/mattext&gt;&lt;/material&gt;&lt;/response_label&gt;"),"")</f>
        <v/>
      </c>
      <c r="AE97" s="46">
        <f>IF($B97,IF(O97="","","        &lt;response_label ident=""3""&gt;&lt;material&gt;&lt;mattext texttype=""text/html""&gt;"&amp;O97&amp;"&lt;/mattext&gt;&lt;/material&gt;&lt;/response_label&gt;"),"")</f>
        <v/>
      </c>
      <c r="AF97" s="46">
        <f>IF($B97,IF(P97="","","        &lt;response_label ident=""4""&gt;&lt;material&gt;&lt;mattext texttype=""text/html""&gt;"&amp;P97&amp;"&lt;/mattext&gt;&lt;/material&gt;&lt;/response_label&gt;"),"")</f>
        <v/>
      </c>
      <c r="AG97" s="46">
        <f>IF($B97,IF(Q97="","","        &lt;response_label ident=""5""&gt;&lt;material&gt;&lt;mattext texttype=""text/html""&gt;"&amp;Q97&amp;"&lt;/mattext&gt;&lt;/material&gt;&lt;/response_label&gt;"),"")</f>
        <v/>
      </c>
      <c r="AH97" s="46">
        <f>IF($B97,IF(R97="","","        &lt;response_label ident=""6""&gt;&lt;material&gt;&lt;mattext texttype=""text/html""&gt;"&amp;R97&amp;"&lt;/mattext&gt;&lt;/material&gt;&lt;/response_label&gt;"),"")</f>
        <v/>
      </c>
      <c r="AI97" s="46">
        <f>IF($B97,IF(S97="","","        &lt;response_label ident=""7""&gt;&lt;material&gt;&lt;mattext texttype=""text/html""&gt;"&amp;S97&amp;"&lt;/mattext&gt;&lt;/material&gt;&lt;/response_label&gt;"),"")</f>
        <v/>
      </c>
      <c r="AJ97" s="46">
        <f>IF($B97,IF(L97="","",IF($C97="qcu",IF(OR(T97,AT97&lt;&gt;"",$AS97&lt;&gt;""),"      &lt;respcondition continue=""Yes""&gt;&lt;conditionvar&gt;&lt;varequal respident=""RESPONSE""&gt;0&lt;/varequal&gt;&lt;/conditionvar&gt;"&amp;"&lt;setvar action=""Add""&gt;"&amp;IF(T97,$H97,0)&amp;"&lt;/setvar&gt;"&amp;IF(AT97&lt;&gt;"","&lt;displayfeedback feedbacktype=""Response"" linkrefid=""response_0""/&gt;",IF($AS97&lt;&gt;"","&lt;displayfeedback feedbacktype=""Response"" linkrefid=""qti_feedback_trigger""/&gt;",""))&amp;"&lt;/respcondition&gt;",""),IF(OR(T97,AT97&lt;&gt;"",$AS97&lt;&gt;""),"      &lt;respcondition continue=""Yes""&gt;&lt;conditionvar&gt;"&amp;IF(T97,"&lt;varequal respident=""RESPONSE""&gt;0&lt;/varequal&gt;","&lt;not&gt;&lt;varequal respident=""RESPONSE""&gt;0&lt;/varequal&gt;&lt;/not&gt;")&amp;"&lt;/conditionvar&gt;&lt;setvar action=""Add""&gt;"&amp;(Saisie_Questions!$N97/$I97)&amp;"&lt;/setvar&gt;"&amp;IF(AT97&lt;&gt;"","&lt;displayfeedback feedbacktype=""Response"" linkrefid=""response_0""/&gt;",IF($AS97&lt;&gt;"","&lt;displayfeedback feedbacktype=""Response"" linkrefid=""qti_feedback_trigger""/&gt;",""))&amp;"&lt;/respcondition&gt;",""))),"")</f>
      </c>
      <c r="AK97" s="46">
        <f>IF($B97,IF(M97="","",IF($C97="qcu",IF(OR(U97,AU97&lt;&gt;"",$AS97&lt;&gt;""),"      &lt;respcondition continue=""Yes""&gt;&lt;conditionvar&gt;&lt;varequal respident=""RESPONSE""&gt;1&lt;/varequal&gt;&lt;/conditionvar&gt;"&amp;"&lt;setvar action=""Add""&gt;"&amp;IF(U97,$H97,0)&amp;"&lt;/setvar&gt;"&amp;IF(AU97&lt;&gt;"","&lt;displayfeedback feedbacktype=""Response"" linkrefid=""response_1""/&gt;",IF($AS97&lt;&gt;"","&lt;displayfeedback feedbacktype=""Response"" linkrefid=""qti_feedback_trigger""/&gt;",""))&amp;"&lt;/respcondition&gt;",""),IF(OR(U97,AU97&lt;&gt;"",$AS97&lt;&gt;""),"      &lt;respcondition continue=""Yes""&gt;&lt;conditionvar&gt;"&amp;IF(U97,"&lt;varequal respident=""RESPONSE""&gt;1&lt;/varequal&gt;","&lt;not&gt;&lt;varequal respident=""RESPONSE""&gt;1&lt;/varequal&gt;&lt;/not&gt;")&amp;"&lt;/conditionvar&gt;&lt;setvar action=""Add""&gt;"&amp;(Saisie_Questions!$N97/$I97)&amp;"&lt;/setvar&gt;"&amp;IF(AU97&lt;&gt;"","&lt;displayfeedback feedbacktype=""Response"" linkrefid=""response_1""/&gt;",IF($AS97&lt;&gt;"","&lt;displayfeedback feedbacktype=""Response"" linkrefid=""qti_feedback_trigger""/&gt;",""))&amp;"&lt;/respcondition&gt;",""))),"")</f>
      </c>
      <c r="AL97" s="46">
        <f>IF($B97,IF(N97="","",IF($C97="qcu",IF(OR(V97,AV97&lt;&gt;"",$AS97&lt;&gt;""),"      &lt;respcondition continue=""Yes""&gt;&lt;conditionvar&gt;&lt;varequal respident=""RESPONSE""&gt;2&lt;/varequal&gt;&lt;/conditionvar&gt;"&amp;"&lt;setvar action=""Add""&gt;"&amp;IF(V97,$H97,0)&amp;"&lt;/setvar&gt;"&amp;IF(AV97&lt;&gt;"","&lt;displayfeedback feedbacktype=""Response"" linkrefid=""response_2""/&gt;",IF($AS97&lt;&gt;"","&lt;displayfeedback feedbacktype=""Response"" linkrefid=""qti_feedback_trigger""/&gt;",""))&amp;"&lt;/respcondition&gt;",""),IF(OR(V97,AV97&lt;&gt;"",$AS97&lt;&gt;""),"      &lt;respcondition continue=""Yes""&gt;&lt;conditionvar&gt;"&amp;IF(V97,"&lt;varequal respident=""RESPONSE""&gt;2&lt;/varequal&gt;","&lt;not&gt;&lt;varequal respident=""RESPONSE""&gt;2&lt;/varequal&gt;&lt;/not&gt;")&amp;"&lt;/conditionvar&gt;&lt;setvar action=""Add""&gt;"&amp;(Saisie_Questions!$N97/$I97)&amp;"&lt;/setvar&gt;"&amp;IF(AV97&lt;&gt;"","&lt;displayfeedback feedbacktype=""Response"" linkrefid=""response_2""/&gt;",IF($AS97&lt;&gt;"","&lt;displayfeedback feedbacktype=""Response"" linkrefid=""qti_feedback_trigger""/&gt;",""))&amp;"&lt;/respcondition&gt;",""))),"")</f>
      </c>
      <c r="AM97" s="46">
        <f>IF($B97,IF(O97="","",IF($C97="qcu",IF(OR(W97,AW97&lt;&gt;"",$AS97&lt;&gt;""),"      &lt;respcondition continue=""Yes""&gt;&lt;conditionvar&gt;&lt;varequal respident=""RESPONSE""&gt;3&lt;/varequal&gt;&lt;/conditionvar&gt;"&amp;"&lt;setvar action=""Add""&gt;"&amp;IF(W97,$H97,0)&amp;"&lt;/setvar&gt;"&amp;IF(AW97&lt;&gt;"","&lt;displayfeedback feedbacktype=""Response"" linkrefid=""response_3""/&gt;",IF($AS97&lt;&gt;"","&lt;displayfeedback feedbacktype=""Response"" linkrefid=""qti_feedback_trigger""/&gt;",""))&amp;"&lt;/respcondition&gt;",""),IF(OR(W97,AW97&lt;&gt;"",$AS97&lt;&gt;""),"      &lt;respcondition continue=""Yes""&gt;&lt;conditionvar&gt;"&amp;IF(W97,"&lt;varequal respident=""RESPONSE""&gt;3&lt;/varequal&gt;","&lt;not&gt;&lt;varequal respident=""RESPONSE""&gt;3&lt;/varequal&gt;&lt;/not&gt;")&amp;"&lt;/conditionvar&gt;&lt;setvar action=""Add""&gt;"&amp;(Saisie_Questions!$N97/$I97)&amp;"&lt;/setvar&gt;"&amp;IF(AW97&lt;&gt;"","&lt;displayfeedback feedbacktype=""Response"" linkrefid=""response_3""/&gt;",IF($AS97&lt;&gt;"","&lt;displayfeedback feedbacktype=""Response"" linkrefid=""qti_feedback_trigger""/&gt;",""))&amp;"&lt;/respcondition&gt;",""))),"")</f>
      </c>
      <c r="AN97" s="46">
        <f>IF($B97,IF(P97="","",IF($C97="qcu",IF(OR(X97,AX97&lt;&gt;"",$AS97&lt;&gt;""),"      &lt;respcondition continue=""Yes""&gt;&lt;conditionvar&gt;&lt;varequal respident=""RESPONSE""&gt;4&lt;/varequal&gt;&lt;/conditionvar&gt;"&amp;"&lt;setvar action=""Add""&gt;"&amp;IF(X97,$H97,0)&amp;"&lt;/setvar&gt;"&amp;IF(AX97&lt;&gt;"","&lt;displayfeedback feedbacktype=""Response"" linkrefid=""response_4""/&gt;",IF($AS97&lt;&gt;"","&lt;displayfeedback feedbacktype=""Response"" linkrefid=""qti_feedback_trigger""/&gt;",""))&amp;"&lt;/respcondition&gt;",""),IF(OR(X97,AX97&lt;&gt;"",$AS97&lt;&gt;""),"      &lt;respcondition continue=""Yes""&gt;&lt;conditionvar&gt;"&amp;IF(X97,"&lt;varequal respident=""RESPONSE""&gt;4&lt;/varequal&gt;","&lt;not&gt;&lt;varequal respident=""RESPONSE""&gt;4&lt;/varequal&gt;&lt;/not&gt;")&amp;"&lt;/conditionvar&gt;&lt;setvar action=""Add""&gt;"&amp;(Saisie_Questions!$N97/$I97)&amp;"&lt;/setvar&gt;"&amp;IF(AX97&lt;&gt;"","&lt;displayfeedback feedbacktype=""Response"" linkrefid=""response_4""/&gt;",IF($AS97&lt;&gt;"","&lt;displayfeedback feedbacktype=""Response"" linkrefid=""qti_feedback_trigger""/&gt;",""))&amp;"&lt;/respcondition&gt;",""))),"")</f>
      </c>
      <c r="AO97" s="46">
        <f>IF($B97,IF(Q97="","",IF($C97="qcu",IF(OR(Y97,AY97&lt;&gt;"",$AS97&lt;&gt;""),"      &lt;respcondition continue=""Yes""&gt;&lt;conditionvar&gt;&lt;varequal respident=""RESPONSE""&gt;5&lt;/varequal&gt;&lt;/conditionvar&gt;"&amp;"&lt;setvar action=""Add""&gt;"&amp;IF(Y97,$H97,0)&amp;"&lt;/setvar&gt;"&amp;IF(AY97&lt;&gt;"","&lt;displayfeedback feedbacktype=""Response"" linkrefid=""response_5""/&gt;",IF($AS97&lt;&gt;"","&lt;displayfeedback feedbacktype=""Response"" linkrefid=""qti_feedback_trigger""/&gt;",""))&amp;"&lt;/respcondition&gt;",""),IF(OR(Y97,AY97&lt;&gt;"",$AS97&lt;&gt;""),"      &lt;respcondition continue=""Yes""&gt;&lt;conditionvar&gt;"&amp;IF(Y97,"&lt;varequal respident=""RESPONSE""&gt;5&lt;/varequal&gt;","&lt;not&gt;&lt;varequal respident=""RESPONSE""&gt;5&lt;/varequal&gt;&lt;/not&gt;")&amp;"&lt;/conditionvar&gt;&lt;setvar action=""Add""&gt;"&amp;(Saisie_Questions!$N97/$I97)&amp;"&lt;/setvar&gt;"&amp;IF(AY97&lt;&gt;"","&lt;displayfeedback feedbacktype=""Response"" linkrefid=""response_5""/&gt;",IF($AS97&lt;&gt;"","&lt;displayfeedback feedbacktype=""Response"" linkrefid=""qti_feedback_trigger""/&gt;",""))&amp;"&lt;/respcondition&gt;",""))),"")</f>
      </c>
      <c r="AP97" s="46">
        <f>IF($B97,IF(R97="","",IF($C97="qcu",IF(OR(Z97,AZ97&lt;&gt;"",$AS97&lt;&gt;""),"      &lt;respcondition continue=""Yes""&gt;&lt;conditionvar&gt;&lt;varequal respident=""RESPONSE""&gt;6&lt;/varequal&gt;&lt;/conditionvar&gt;"&amp;"&lt;setvar action=""Add""&gt;"&amp;IF(Z97,$H97,0)&amp;"&lt;/setvar&gt;"&amp;IF(AZ97&lt;&gt;"","&lt;displayfeedback feedbacktype=""Response"" linkrefid=""response_6""/&gt;",IF($AS97&lt;&gt;"","&lt;displayfeedback feedbacktype=""Response"" linkrefid=""qti_feedback_trigger""/&gt;",""))&amp;"&lt;/respcondition&gt;",""),IF(OR(Z97,AZ97&lt;&gt;"",$AS97&lt;&gt;""),"      &lt;respcondition continue=""Yes""&gt;&lt;conditionvar&gt;"&amp;IF(Z97,"&lt;varequal respident=""RESPONSE""&gt;6&lt;/varequal&gt;","&lt;not&gt;&lt;varequal respident=""RESPONSE""&gt;6&lt;/varequal&gt;&lt;/not&gt;")&amp;"&lt;/conditionvar&gt;&lt;setvar action=""Add""&gt;"&amp;(Saisie_Questions!$N97/$I97)&amp;"&lt;/setvar&gt;"&amp;IF(AZ97&lt;&gt;"","&lt;displayfeedback feedbacktype=""Response"" linkrefid=""response_6""/&gt;",IF($AS97&lt;&gt;"","&lt;displayfeedback feedbacktype=""Response"" linkrefid=""qti_feedback_trigger""/&gt;",""))&amp;"&lt;/respcondition&gt;",""))),"")</f>
      </c>
      <c r="AQ97" s="46">
        <f>IF($B97,IF(S97="","",IF($C97="qcu",IF(OR(AA97,BA97&lt;&gt;"",$AS97&lt;&gt;""),"      &lt;respcondition continue=""Yes""&gt;&lt;conditionvar&gt;&lt;varequal respident=""RESPONSE""&gt;7&lt;/varequal&gt;&lt;/conditionvar&gt;"&amp;"&lt;setvar action=""Add""&gt;"&amp;IF(AA97,$H97,0)&amp;"&lt;/setvar&gt;"&amp;IF(BA97&lt;&gt;"","&lt;displayfeedback feedbacktype=""Response"" linkrefid=""response_7""/&gt;",IF($AS97&lt;&gt;"","&lt;displayfeedback feedbacktype=""Response"" linkrefid=""qti_feedback_trigger""/&gt;",""))&amp;"&lt;/respcondition&gt;",""),IF(OR(AA97,BA97&lt;&gt;"",$AS97&lt;&gt;""),"      &lt;respcondition continue=""Yes""&gt;&lt;conditionvar&gt;"&amp;IF(AA97,"&lt;varequal respident=""RESPONSE""&gt;7&lt;/varequal&gt;","&lt;not&gt;&lt;varequal respident=""RESPONSE""&gt;7&lt;/varequal&gt;&lt;/not&gt;")&amp;"&lt;/conditionvar&gt;&lt;setvar action=""Add""&gt;"&amp;(Saisie_Questions!$N97/$I97)&amp;"&lt;/setvar&gt;"&amp;IF(BA97&lt;&gt;"","&lt;displayfeedback feedbacktype=""Response"" linkrefid=""response_7""/&gt;",IF($AS97&lt;&gt;"","&lt;displayfeedback feedbacktype=""Response"" linkrefid=""qti_feedback_trigger""/&gt;",""))&amp;"&lt;/respcondition&gt;",""))),"")</f>
      </c>
      <c r="AR97" s="46">
        <f>IF(A97="","",SUBSTITUTE(SUBSTITUTE(SUBSTITUTE(SUBSTITUTE(SUBSTITUTE(IF(Saisie_Questions!P97&lt;&gt;"",Saisie_Questions!P97,Interface_Generation!$B$5),"&amp;","&amp;amp;"),"&lt;","&amp;lt;"),"&gt;","&amp;gt;"),CHAR(34),"&amp;quot;"),"'","&amp;apos;"))</f>
        <v/>
      </c>
      <c r="AS97" s="46">
        <f>IF(Saisie_Questions!Q97="","",SUBSTITUTE(SUBSTITUTE(SUBSTITUTE(SUBSTITUTE(SUBSTITUTE(Saisie_Questions!Q97,"&amp;","&amp;amp;"),"&lt;","&amp;lt;"),"&gt;","&amp;gt;"),CHAR(34),"&amp;quot;"),"'","&amp;apos;"))</f>
        <v/>
      </c>
      <c r="AT97" s="46">
        <f>IF(Saisie_Questions!R97="","",SUBSTITUTE(SUBSTITUTE(SUBSTITUTE(SUBSTITUTE(SUBSTITUTE(Saisie_Questions!R97,"&amp;","&amp;amp;"),"&lt;","&amp;lt;"),"&gt;","&amp;gt;"),CHAR(34),"&amp;quot;"),"'","&amp;apos;"))</f>
        <v/>
      </c>
      <c r="AU97" s="46">
        <f>IF(Saisie_Questions!S97="","",SUBSTITUTE(SUBSTITUTE(SUBSTITUTE(SUBSTITUTE(SUBSTITUTE(Saisie_Questions!S97,"&amp;","&amp;amp;"),"&lt;","&amp;lt;"),"&gt;","&amp;gt;"),CHAR(34),"&amp;quot;"),"'","&amp;apos;"))</f>
        <v/>
      </c>
      <c r="AV97" s="46">
        <f>IF(Saisie_Questions!T97="","",SUBSTITUTE(SUBSTITUTE(SUBSTITUTE(SUBSTITUTE(SUBSTITUTE(Saisie_Questions!T97,"&amp;","&amp;amp;"),"&lt;","&amp;lt;"),"&gt;","&amp;gt;"),CHAR(34),"&amp;quot;"),"'","&amp;apos;"))</f>
        <v/>
      </c>
      <c r="AW97" s="46">
        <f>IF(Saisie_Questions!U97="","",SUBSTITUTE(SUBSTITUTE(SUBSTITUTE(SUBSTITUTE(SUBSTITUTE(Saisie_Questions!U97,"&amp;","&amp;amp;"),"&lt;","&amp;lt;"),"&gt;","&amp;gt;"),CHAR(34),"&amp;quot;"),"'","&amp;apos;"))</f>
        <v/>
      </c>
      <c r="AX97" s="46">
        <f>IF(Saisie_Questions!V97="","",SUBSTITUTE(SUBSTITUTE(SUBSTITUTE(SUBSTITUTE(SUBSTITUTE(Saisie_Questions!V97,"&amp;","&amp;amp;"),"&lt;","&amp;lt;"),"&gt;","&amp;gt;"),CHAR(34),"&amp;quot;"),"'","&amp;apos;"))</f>
        <v/>
      </c>
      <c r="AY97" s="46">
        <f>IF(Saisie_Questions!W97="","",SUBSTITUTE(SUBSTITUTE(SUBSTITUTE(SUBSTITUTE(SUBSTITUTE(Saisie_Questions!W97,"&amp;","&amp;amp;"),"&lt;","&amp;lt;"),"&gt;","&amp;gt;"),CHAR(34),"&amp;quot;"),"'","&amp;apos;"))</f>
        <v/>
      </c>
      <c r="AZ97" s="46">
        <f>IF(Saisie_Questions!X97="","",SUBSTITUTE(SUBSTITUTE(SUBSTITUTE(SUBSTITUTE(SUBSTITUTE(Saisie_Questions!X97,"&amp;","&amp;amp;"),"&lt;","&amp;lt;"),"&gt;","&amp;gt;"),CHAR(34),"&amp;quot;"),"'","&amp;apos;"))</f>
        <v/>
      </c>
      <c r="BA97" s="46">
        <f>IF(Saisie_Questions!Y97="","",SUBSTITUTE(SUBSTITUTE(SUBSTITUTE(SUBSTITUTE(SUBSTITUTE(Saisie_Questions!Y97,"&amp;","&amp;amp;"),"&lt;","&amp;lt;"),"&gt;","&amp;gt;"),CHAR(34),"&amp;quot;"),"'","&amp;apos;"))</f>
        <v/>
      </c>
      <c r="BB97" s="46">
        <f>IF($B97,IF($AS97="","","    &lt;itemfeedback ident=""response_allcorrect"" view=""All""&gt;&lt;flow_mat&gt;&lt;material&gt;&lt;mattext texttype=""text/html""&gt;"&amp;$AS97&amp;"&lt;/mattext&gt;&lt;/material&gt;&lt;/flow_mat&gt;&lt;/itemfeedback&gt;"&amp;"    &lt;itemfeedback ident=""response_onenotcorrect"" view=""All""&gt;&lt;flow_mat&gt;&lt;material&gt;&lt;mattext texttype=""text/html""&gt;"&amp;$AS97&amp;"&lt;/mattext&gt;&lt;/material&gt;&lt;/flow_mat&gt;&lt;/itemfeedback&gt;"),"")</f>
      </c>
      <c r="BC97" s="46">
        <f>IF($B97,IF(AT97="","","    &lt;itemfeedback ident=""response_0"" view=""All""&gt;&lt;flow_mat&gt;&lt;material&gt;&lt;mattext texttype=""text/html""&gt;"&amp;AT97&amp;"&lt;/mattext&gt;&lt;/material&gt;&lt;/flow_mat&gt;&lt;/itemfeedback&gt;"),"")</f>
      </c>
      <c r="BD97" s="46">
        <f>IF($B97,IF(AU97="","","    &lt;itemfeedback ident=""response_1"" view=""All""&gt;&lt;flow_mat&gt;&lt;material&gt;&lt;mattext texttype=""text/html""&gt;"&amp;AU97&amp;"&lt;/mattext&gt;&lt;/material&gt;&lt;/flow_mat&gt;&lt;/itemfeedback&gt;"),"")</f>
      </c>
      <c r="BE97" s="46">
        <f>IF($B97,IF(AV97="","","    &lt;itemfeedback ident=""response_2"" view=""All""&gt;&lt;flow_mat&gt;&lt;material&gt;&lt;mattext texttype=""text/html""&gt;"&amp;AV97&amp;"&lt;/mattext&gt;&lt;/material&gt;&lt;/flow_mat&gt;&lt;/itemfeedback&gt;"),"")</f>
      </c>
      <c r="BF97" s="46">
        <f>IF($B97,IF(AW97="","","    &lt;itemfeedback ident=""response_3"" view=""All""&gt;&lt;flow_mat&gt;&lt;material&gt;&lt;mattext texttype=""text/html""&gt;"&amp;AW97&amp;"&lt;/mattext&gt;&lt;/material&gt;&lt;/flow_mat&gt;&lt;/itemfeedback&gt;"),"")</f>
      </c>
      <c r="BG97" s="46">
        <f>IF($B97,IF(AX97="","","    &lt;itemfeedback ident=""response_4"" view=""All""&gt;&lt;flow_mat&gt;&lt;material&gt;&lt;mattext texttype=""text/html""&gt;"&amp;AX97&amp;"&lt;/mattext&gt;&lt;/material&gt;&lt;/flow_mat&gt;&lt;/itemfeedback&gt;"),"")</f>
      </c>
      <c r="BH97" s="46">
        <f>IF($B97,IF(AY97="","","    &lt;itemfeedback ident=""response_5"" view=""All""&gt;&lt;flow_mat&gt;&lt;material&gt;&lt;mattext texttype=""text/html""&gt;"&amp;AY97&amp;"&lt;/mattext&gt;&lt;/material&gt;&lt;/flow_mat&gt;&lt;/itemfeedback&gt;"),"")</f>
      </c>
      <c r="BI97" s="46">
        <f>IF($B97,IF(AZ97="","","    &lt;itemfeedback ident=""response_6"" view=""All""&gt;&lt;flow_mat&gt;&lt;material&gt;&lt;mattext texttype=""text/html""&gt;"&amp;AZ97&amp;"&lt;/mattext&gt;&lt;/material&gt;&lt;/flow_mat&gt;&lt;/itemfeedback&gt;"),"")</f>
      </c>
      <c r="BJ97" s="46">
        <f>IF($B97,IF(BA97="","","    &lt;itemfeedback ident=""response_7"" view=""All""&gt;&lt;flow_mat&gt;&lt;material&gt;&lt;mattext texttype=""text/html""&gt;"&amp;BA97&amp;"&lt;/mattext&gt;&lt;/material&gt;&lt;/flow_mat&gt;&lt;/itemfeedback&gt;"),"")</f>
      </c>
    </row>
    <row r="98" ht="18" customHeight="1" s="17">
      <c r="A98" s="46">
        <f>Saisie_Questions!A98</f>
        <v/>
      </c>
      <c r="B98" s="46">
        <f>Saisie_Questions!O98="OK"</f>
        <v/>
      </c>
      <c r="C98" s="46">
        <f>LOWER(TRIM(Saisie_Questions!B98))</f>
        <v/>
      </c>
      <c r="D98" s="46">
        <f>IF(C98="qcu","SINGLE CHOICE QUESTION","MULTIPLE CHOICE QUESTION")</f>
        <v/>
      </c>
      <c r="E98" s="46">
        <f>IF(C98="qcu","Single","Multiple")</f>
        <v/>
      </c>
      <c r="F98" s="46">
        <f>IF(A98="","",SUBSTITUTE(SUBSTITUTE(SUBSTITUTE(SUBSTITUTE(SUBSTITUTE(IF(Saisie_Questions!C98="", "Question "&amp;A98, Saisie_Questions!C98),"&amp;","&amp;amp;"),"&lt;","&amp;lt;"),"&gt;","&amp;gt;"),CHAR(34),"&amp;quot;"),"'","&amp;apos;"))</f>
        <v/>
      </c>
      <c r="G98" s="46">
        <f>IF(A98="","",SUBSTITUTE(SUBSTITUTE(SUBSTITUTE(SUBSTITUTE(SUBSTITUTE(Saisie_Questions!D98,"&amp;","&amp;amp;"),"&lt;","&amp;lt;"),"&gt;","&amp;gt;"),CHAR(34),"&amp;quot;"),"'","&amp;apos;"))</f>
        <v/>
      </c>
      <c r="H98" s="46">
        <f>Saisie_Questions!N98</f>
        <v/>
      </c>
      <c r="I98" s="46">
        <f>IF(Saisie_Questions!E98="",0,1)+IF(Saisie_Questions!F98="",0,1)+IF(Saisie_Questions!G98="",0,1)+IF(Saisie_Questions!H98="",0,1)+IF(Saisie_Questions!I98="",0,1)+IF(Saisie_Questions!J98="",0,1)+IF(Saisie_Questions!K98="",0,1)+IF(Saisie_Questions!L98="",0,1)</f>
        <v/>
      </c>
      <c r="J98" s="46">
        <f>Saisie_Questions!M98</f>
        <v/>
      </c>
      <c r="K98" s="46">
        <f>Saisie_Questions!O98</f>
        <v/>
      </c>
      <c r="L98" s="46">
        <f>IF(Saisie_Questions!E98="","",SUBSTITUTE(SUBSTITUTE(SUBSTITUTE(SUBSTITUTE(SUBSTITUTE(Saisie_Questions!E98,"&amp;","&amp;amp;"),"&lt;","&amp;lt;"),"&gt;","&amp;gt;"),CHAR(34),"&amp;quot;"),"'","&amp;apos;"))</f>
        <v/>
      </c>
      <c r="M98" s="46">
        <f>IF(Saisie_Questions!F98="","",SUBSTITUTE(SUBSTITUTE(SUBSTITUTE(SUBSTITUTE(SUBSTITUTE(Saisie_Questions!F98,"&amp;","&amp;amp;"),"&lt;","&amp;lt;"),"&gt;","&amp;gt;"),CHAR(34),"&amp;quot;"),"'","&amp;apos;"))</f>
        <v/>
      </c>
      <c r="N98" s="46">
        <f>IF(Saisie_Questions!G98="","",SUBSTITUTE(SUBSTITUTE(SUBSTITUTE(SUBSTITUTE(SUBSTITUTE(Saisie_Questions!G98,"&amp;","&amp;amp;"),"&lt;","&amp;lt;"),"&gt;","&amp;gt;"),CHAR(34),"&amp;quot;"),"'","&amp;apos;"))</f>
        <v/>
      </c>
      <c r="O98" s="46">
        <f>IF(Saisie_Questions!H98="","",SUBSTITUTE(SUBSTITUTE(SUBSTITUTE(SUBSTITUTE(SUBSTITUTE(Saisie_Questions!H98,"&amp;","&amp;amp;"),"&lt;","&amp;lt;"),"&gt;","&amp;gt;"),CHAR(34),"&amp;quot;"),"'","&amp;apos;"))</f>
        <v/>
      </c>
      <c r="P98" s="46">
        <f>IF(Saisie_Questions!I98="","",SUBSTITUTE(SUBSTITUTE(SUBSTITUTE(SUBSTITUTE(SUBSTITUTE(Saisie_Questions!I98,"&amp;","&amp;amp;"),"&lt;","&amp;lt;"),"&gt;","&amp;gt;"),CHAR(34),"&amp;quot;"),"'","&amp;apos;"))</f>
        <v/>
      </c>
      <c r="Q98" s="46">
        <f>IF(Saisie_Questions!J98="","",SUBSTITUTE(SUBSTITUTE(SUBSTITUTE(SUBSTITUTE(SUBSTITUTE(Saisie_Questions!J98,"&amp;","&amp;amp;"),"&lt;","&amp;lt;"),"&gt;","&amp;gt;"),CHAR(34),"&amp;quot;"),"'","&amp;apos;"))</f>
        <v/>
      </c>
      <c r="R98" s="46">
        <f>IF(Saisie_Questions!K98="","",SUBSTITUTE(SUBSTITUTE(SUBSTITUTE(SUBSTITUTE(SUBSTITUTE(Saisie_Questions!K98,"&amp;","&amp;amp;"),"&lt;","&amp;lt;"),"&gt;","&amp;gt;"),CHAR(34),"&amp;quot;"),"'","&amp;apos;"))</f>
        <v/>
      </c>
      <c r="S98" s="46">
        <f>IF(Saisie_Questions!L98="","",SUBSTITUTE(SUBSTITUTE(SUBSTITUTE(SUBSTITUTE(SUBSTITUTE(Saisie_Questions!L98,"&amp;","&amp;amp;"),"&lt;","&amp;lt;"),"&gt;","&amp;gt;"),CHAR(34),"&amp;quot;"),"'","&amp;apos;"))</f>
        <v/>
      </c>
      <c r="T98" s="46">
        <f>ISNUMBER(SEARCH(";"&amp;1&amp;";",";"&amp;$J98&amp;";"))</f>
        <v/>
      </c>
      <c r="U98" s="46">
        <f>ISNUMBER(SEARCH(";"&amp;2&amp;";",";"&amp;$J98&amp;";"))</f>
        <v/>
      </c>
      <c r="V98" s="46">
        <f>ISNUMBER(SEARCH(";"&amp;3&amp;";",";"&amp;$J98&amp;";"))</f>
        <v/>
      </c>
      <c r="W98" s="46">
        <f>ISNUMBER(SEARCH(";"&amp;4&amp;";",";"&amp;$J98&amp;";"))</f>
        <v/>
      </c>
      <c r="X98" s="46">
        <f>ISNUMBER(SEARCH(";"&amp;5&amp;";",";"&amp;$J98&amp;";"))</f>
        <v/>
      </c>
      <c r="Y98" s="46">
        <f>ISNUMBER(SEARCH(";"&amp;6&amp;";",";"&amp;$J98&amp;";"))</f>
        <v/>
      </c>
      <c r="Z98" s="46">
        <f>ISNUMBER(SEARCH(";"&amp;7&amp;";",";"&amp;$J98&amp;";"))</f>
        <v/>
      </c>
      <c r="AA98" s="46">
        <f>ISNUMBER(SEARCH(";"&amp;8&amp;";",";"&amp;$J98&amp;";"))</f>
        <v/>
      </c>
      <c r="AB98" s="46">
        <f>IF($B98,IF(L98="","","        &lt;response_label ident=""0""&gt;&lt;material&gt;&lt;mattext texttype=""text/html""&gt;"&amp;L98&amp;"&lt;/mattext&gt;&lt;/material&gt;&lt;/response_label&gt;"),"")</f>
        <v/>
      </c>
      <c r="AC98" s="46">
        <f>IF($B98,IF(M98="","","        &lt;response_label ident=""1""&gt;&lt;material&gt;&lt;mattext texttype=""text/html""&gt;"&amp;M98&amp;"&lt;/mattext&gt;&lt;/material&gt;&lt;/response_label&gt;"),"")</f>
        <v/>
      </c>
      <c r="AD98" s="46">
        <f>IF($B98,IF(N98="","","        &lt;response_label ident=""2""&gt;&lt;material&gt;&lt;mattext texttype=""text/html""&gt;"&amp;N98&amp;"&lt;/mattext&gt;&lt;/material&gt;&lt;/response_label&gt;"),"")</f>
        <v/>
      </c>
      <c r="AE98" s="46">
        <f>IF($B98,IF(O98="","","        &lt;response_label ident=""3""&gt;&lt;material&gt;&lt;mattext texttype=""text/html""&gt;"&amp;O98&amp;"&lt;/mattext&gt;&lt;/material&gt;&lt;/response_label&gt;"),"")</f>
        <v/>
      </c>
      <c r="AF98" s="46">
        <f>IF($B98,IF(P98="","","        &lt;response_label ident=""4""&gt;&lt;material&gt;&lt;mattext texttype=""text/html""&gt;"&amp;P98&amp;"&lt;/mattext&gt;&lt;/material&gt;&lt;/response_label&gt;"),"")</f>
        <v/>
      </c>
      <c r="AG98" s="46">
        <f>IF($B98,IF(Q98="","","        &lt;response_label ident=""5""&gt;&lt;material&gt;&lt;mattext texttype=""text/html""&gt;"&amp;Q98&amp;"&lt;/mattext&gt;&lt;/material&gt;&lt;/response_label&gt;"),"")</f>
        <v/>
      </c>
      <c r="AH98" s="46">
        <f>IF($B98,IF(R98="","","        &lt;response_label ident=""6""&gt;&lt;material&gt;&lt;mattext texttype=""text/html""&gt;"&amp;R98&amp;"&lt;/mattext&gt;&lt;/material&gt;&lt;/response_label&gt;"),"")</f>
        <v/>
      </c>
      <c r="AI98" s="46">
        <f>IF($B98,IF(S98="","","        &lt;response_label ident=""7""&gt;&lt;material&gt;&lt;mattext texttype=""text/html""&gt;"&amp;S98&amp;"&lt;/mattext&gt;&lt;/material&gt;&lt;/response_label&gt;"),"")</f>
        <v/>
      </c>
      <c r="AJ98" s="46">
        <f>IF($B98,IF(L98="","",IF($C98="qcu",IF(OR(T98,AT98&lt;&gt;"",$AS98&lt;&gt;""),"      &lt;respcondition continue=""Yes""&gt;&lt;conditionvar&gt;&lt;varequal respident=""RESPONSE""&gt;0&lt;/varequal&gt;&lt;/conditionvar&gt;"&amp;"&lt;setvar action=""Add""&gt;"&amp;IF(T98,$H98,0)&amp;"&lt;/setvar&gt;"&amp;IF(AT98&lt;&gt;"","&lt;displayfeedback feedbacktype=""Response"" linkrefid=""response_0""/&gt;",IF($AS98&lt;&gt;"","&lt;displayfeedback feedbacktype=""Response"" linkrefid=""qti_feedback_trigger""/&gt;",""))&amp;"&lt;/respcondition&gt;",""),IF(OR(T98,AT98&lt;&gt;"",$AS98&lt;&gt;""),"      &lt;respcondition continue=""Yes""&gt;&lt;conditionvar&gt;"&amp;IF(T98,"&lt;varequal respident=""RESPONSE""&gt;0&lt;/varequal&gt;","&lt;not&gt;&lt;varequal respident=""RESPONSE""&gt;0&lt;/varequal&gt;&lt;/not&gt;")&amp;"&lt;/conditionvar&gt;&lt;setvar action=""Add""&gt;"&amp;(Saisie_Questions!$N98/$I98)&amp;"&lt;/setvar&gt;"&amp;IF(AT98&lt;&gt;"","&lt;displayfeedback feedbacktype=""Response"" linkrefid=""response_0""/&gt;",IF($AS98&lt;&gt;"","&lt;displayfeedback feedbacktype=""Response"" linkrefid=""qti_feedback_trigger""/&gt;",""))&amp;"&lt;/respcondition&gt;",""))),"")</f>
      </c>
      <c r="AK98" s="46">
        <f>IF($B98,IF(M98="","",IF($C98="qcu",IF(OR(U98,AU98&lt;&gt;"",$AS98&lt;&gt;""),"      &lt;respcondition continue=""Yes""&gt;&lt;conditionvar&gt;&lt;varequal respident=""RESPONSE""&gt;1&lt;/varequal&gt;&lt;/conditionvar&gt;"&amp;"&lt;setvar action=""Add""&gt;"&amp;IF(U98,$H98,0)&amp;"&lt;/setvar&gt;"&amp;IF(AU98&lt;&gt;"","&lt;displayfeedback feedbacktype=""Response"" linkrefid=""response_1""/&gt;",IF($AS98&lt;&gt;"","&lt;displayfeedback feedbacktype=""Response"" linkrefid=""qti_feedback_trigger""/&gt;",""))&amp;"&lt;/respcondition&gt;",""),IF(OR(U98,AU98&lt;&gt;"",$AS98&lt;&gt;""),"      &lt;respcondition continue=""Yes""&gt;&lt;conditionvar&gt;"&amp;IF(U98,"&lt;varequal respident=""RESPONSE""&gt;1&lt;/varequal&gt;","&lt;not&gt;&lt;varequal respident=""RESPONSE""&gt;1&lt;/varequal&gt;&lt;/not&gt;")&amp;"&lt;/conditionvar&gt;&lt;setvar action=""Add""&gt;"&amp;(Saisie_Questions!$N98/$I98)&amp;"&lt;/setvar&gt;"&amp;IF(AU98&lt;&gt;"","&lt;displayfeedback feedbacktype=""Response"" linkrefid=""response_1""/&gt;",IF($AS98&lt;&gt;"","&lt;displayfeedback feedbacktype=""Response"" linkrefid=""qti_feedback_trigger""/&gt;",""))&amp;"&lt;/respcondition&gt;",""))),"")</f>
      </c>
      <c r="AL98" s="46">
        <f>IF($B98,IF(N98="","",IF($C98="qcu",IF(OR(V98,AV98&lt;&gt;"",$AS98&lt;&gt;""),"      &lt;respcondition continue=""Yes""&gt;&lt;conditionvar&gt;&lt;varequal respident=""RESPONSE""&gt;2&lt;/varequal&gt;&lt;/conditionvar&gt;"&amp;"&lt;setvar action=""Add""&gt;"&amp;IF(V98,$H98,0)&amp;"&lt;/setvar&gt;"&amp;IF(AV98&lt;&gt;"","&lt;displayfeedback feedbacktype=""Response"" linkrefid=""response_2""/&gt;",IF($AS98&lt;&gt;"","&lt;displayfeedback feedbacktype=""Response"" linkrefid=""qti_feedback_trigger""/&gt;",""))&amp;"&lt;/respcondition&gt;",""),IF(OR(V98,AV98&lt;&gt;"",$AS98&lt;&gt;""),"      &lt;respcondition continue=""Yes""&gt;&lt;conditionvar&gt;"&amp;IF(V98,"&lt;varequal respident=""RESPONSE""&gt;2&lt;/varequal&gt;","&lt;not&gt;&lt;varequal respident=""RESPONSE""&gt;2&lt;/varequal&gt;&lt;/not&gt;")&amp;"&lt;/conditionvar&gt;&lt;setvar action=""Add""&gt;"&amp;(Saisie_Questions!$N98/$I98)&amp;"&lt;/setvar&gt;"&amp;IF(AV98&lt;&gt;"","&lt;displayfeedback feedbacktype=""Response"" linkrefid=""response_2""/&gt;",IF($AS98&lt;&gt;"","&lt;displayfeedback feedbacktype=""Response"" linkrefid=""qti_feedback_trigger""/&gt;",""))&amp;"&lt;/respcondition&gt;",""))),"")</f>
      </c>
      <c r="AM98" s="46">
        <f>IF($B98,IF(O98="","",IF($C98="qcu",IF(OR(W98,AW98&lt;&gt;"",$AS98&lt;&gt;""),"      &lt;respcondition continue=""Yes""&gt;&lt;conditionvar&gt;&lt;varequal respident=""RESPONSE""&gt;3&lt;/varequal&gt;&lt;/conditionvar&gt;"&amp;"&lt;setvar action=""Add""&gt;"&amp;IF(W98,$H98,0)&amp;"&lt;/setvar&gt;"&amp;IF(AW98&lt;&gt;"","&lt;displayfeedback feedbacktype=""Response"" linkrefid=""response_3""/&gt;",IF($AS98&lt;&gt;"","&lt;displayfeedback feedbacktype=""Response"" linkrefid=""qti_feedback_trigger""/&gt;",""))&amp;"&lt;/respcondition&gt;",""),IF(OR(W98,AW98&lt;&gt;"",$AS98&lt;&gt;""),"      &lt;respcondition continue=""Yes""&gt;&lt;conditionvar&gt;"&amp;IF(W98,"&lt;varequal respident=""RESPONSE""&gt;3&lt;/varequal&gt;","&lt;not&gt;&lt;varequal respident=""RESPONSE""&gt;3&lt;/varequal&gt;&lt;/not&gt;")&amp;"&lt;/conditionvar&gt;&lt;setvar action=""Add""&gt;"&amp;(Saisie_Questions!$N98/$I98)&amp;"&lt;/setvar&gt;"&amp;IF(AW98&lt;&gt;"","&lt;displayfeedback feedbacktype=""Response"" linkrefid=""response_3""/&gt;",IF($AS98&lt;&gt;"","&lt;displayfeedback feedbacktype=""Response"" linkrefid=""qti_feedback_trigger""/&gt;",""))&amp;"&lt;/respcondition&gt;",""))),"")</f>
      </c>
      <c r="AN98" s="46">
        <f>IF($B98,IF(P98="","",IF($C98="qcu",IF(OR(X98,AX98&lt;&gt;"",$AS98&lt;&gt;""),"      &lt;respcondition continue=""Yes""&gt;&lt;conditionvar&gt;&lt;varequal respident=""RESPONSE""&gt;4&lt;/varequal&gt;&lt;/conditionvar&gt;"&amp;"&lt;setvar action=""Add""&gt;"&amp;IF(X98,$H98,0)&amp;"&lt;/setvar&gt;"&amp;IF(AX98&lt;&gt;"","&lt;displayfeedback feedbacktype=""Response"" linkrefid=""response_4""/&gt;",IF($AS98&lt;&gt;"","&lt;displayfeedback feedbacktype=""Response"" linkrefid=""qti_feedback_trigger""/&gt;",""))&amp;"&lt;/respcondition&gt;",""),IF(OR(X98,AX98&lt;&gt;"",$AS98&lt;&gt;""),"      &lt;respcondition continue=""Yes""&gt;&lt;conditionvar&gt;"&amp;IF(X98,"&lt;varequal respident=""RESPONSE""&gt;4&lt;/varequal&gt;","&lt;not&gt;&lt;varequal respident=""RESPONSE""&gt;4&lt;/varequal&gt;&lt;/not&gt;")&amp;"&lt;/conditionvar&gt;&lt;setvar action=""Add""&gt;"&amp;(Saisie_Questions!$N98/$I98)&amp;"&lt;/setvar&gt;"&amp;IF(AX98&lt;&gt;"","&lt;displayfeedback feedbacktype=""Response"" linkrefid=""response_4""/&gt;",IF($AS98&lt;&gt;"","&lt;displayfeedback feedbacktype=""Response"" linkrefid=""qti_feedback_trigger""/&gt;",""))&amp;"&lt;/respcondition&gt;",""))),"")</f>
      </c>
      <c r="AO98" s="46">
        <f>IF($B98,IF(Q98="","",IF($C98="qcu",IF(OR(Y98,AY98&lt;&gt;"",$AS98&lt;&gt;""),"      &lt;respcondition continue=""Yes""&gt;&lt;conditionvar&gt;&lt;varequal respident=""RESPONSE""&gt;5&lt;/varequal&gt;&lt;/conditionvar&gt;"&amp;"&lt;setvar action=""Add""&gt;"&amp;IF(Y98,$H98,0)&amp;"&lt;/setvar&gt;"&amp;IF(AY98&lt;&gt;"","&lt;displayfeedback feedbacktype=""Response"" linkrefid=""response_5""/&gt;",IF($AS98&lt;&gt;"","&lt;displayfeedback feedbacktype=""Response"" linkrefid=""qti_feedback_trigger""/&gt;",""))&amp;"&lt;/respcondition&gt;",""),IF(OR(Y98,AY98&lt;&gt;"",$AS98&lt;&gt;""),"      &lt;respcondition continue=""Yes""&gt;&lt;conditionvar&gt;"&amp;IF(Y98,"&lt;varequal respident=""RESPONSE""&gt;5&lt;/varequal&gt;","&lt;not&gt;&lt;varequal respident=""RESPONSE""&gt;5&lt;/varequal&gt;&lt;/not&gt;")&amp;"&lt;/conditionvar&gt;&lt;setvar action=""Add""&gt;"&amp;(Saisie_Questions!$N98/$I98)&amp;"&lt;/setvar&gt;"&amp;IF(AY98&lt;&gt;"","&lt;displayfeedback feedbacktype=""Response"" linkrefid=""response_5""/&gt;",IF($AS98&lt;&gt;"","&lt;displayfeedback feedbacktype=""Response"" linkrefid=""qti_feedback_trigger""/&gt;",""))&amp;"&lt;/respcondition&gt;",""))),"")</f>
      </c>
      <c r="AP98" s="46">
        <f>IF($B98,IF(R98="","",IF($C98="qcu",IF(OR(Z98,AZ98&lt;&gt;"",$AS98&lt;&gt;""),"      &lt;respcondition continue=""Yes""&gt;&lt;conditionvar&gt;&lt;varequal respident=""RESPONSE""&gt;6&lt;/varequal&gt;&lt;/conditionvar&gt;"&amp;"&lt;setvar action=""Add""&gt;"&amp;IF(Z98,$H98,0)&amp;"&lt;/setvar&gt;"&amp;IF(AZ98&lt;&gt;"","&lt;displayfeedback feedbacktype=""Response"" linkrefid=""response_6""/&gt;",IF($AS98&lt;&gt;"","&lt;displayfeedback feedbacktype=""Response"" linkrefid=""qti_feedback_trigger""/&gt;",""))&amp;"&lt;/respcondition&gt;",""),IF(OR(Z98,AZ98&lt;&gt;"",$AS98&lt;&gt;""),"      &lt;respcondition continue=""Yes""&gt;&lt;conditionvar&gt;"&amp;IF(Z98,"&lt;varequal respident=""RESPONSE""&gt;6&lt;/varequal&gt;","&lt;not&gt;&lt;varequal respident=""RESPONSE""&gt;6&lt;/varequal&gt;&lt;/not&gt;")&amp;"&lt;/conditionvar&gt;&lt;setvar action=""Add""&gt;"&amp;(Saisie_Questions!$N98/$I98)&amp;"&lt;/setvar&gt;"&amp;IF(AZ98&lt;&gt;"","&lt;displayfeedback feedbacktype=""Response"" linkrefid=""response_6""/&gt;",IF($AS98&lt;&gt;"","&lt;displayfeedback feedbacktype=""Response"" linkrefid=""qti_feedback_trigger""/&gt;",""))&amp;"&lt;/respcondition&gt;",""))),"")</f>
      </c>
      <c r="AQ98" s="46">
        <f>IF($B98,IF(S98="","",IF($C98="qcu",IF(OR(AA98,BA98&lt;&gt;"",$AS98&lt;&gt;""),"      &lt;respcondition continue=""Yes""&gt;&lt;conditionvar&gt;&lt;varequal respident=""RESPONSE""&gt;7&lt;/varequal&gt;&lt;/conditionvar&gt;"&amp;"&lt;setvar action=""Add""&gt;"&amp;IF(AA98,$H98,0)&amp;"&lt;/setvar&gt;"&amp;IF(BA98&lt;&gt;"","&lt;displayfeedback feedbacktype=""Response"" linkrefid=""response_7""/&gt;",IF($AS98&lt;&gt;"","&lt;displayfeedback feedbacktype=""Response"" linkrefid=""qti_feedback_trigger""/&gt;",""))&amp;"&lt;/respcondition&gt;",""),IF(OR(AA98,BA98&lt;&gt;"",$AS98&lt;&gt;""),"      &lt;respcondition continue=""Yes""&gt;&lt;conditionvar&gt;"&amp;IF(AA98,"&lt;varequal respident=""RESPONSE""&gt;7&lt;/varequal&gt;","&lt;not&gt;&lt;varequal respident=""RESPONSE""&gt;7&lt;/varequal&gt;&lt;/not&gt;")&amp;"&lt;/conditionvar&gt;&lt;setvar action=""Add""&gt;"&amp;(Saisie_Questions!$N98/$I98)&amp;"&lt;/setvar&gt;"&amp;IF(BA98&lt;&gt;"","&lt;displayfeedback feedbacktype=""Response"" linkrefid=""response_7""/&gt;",IF($AS98&lt;&gt;"","&lt;displayfeedback feedbacktype=""Response"" linkrefid=""qti_feedback_trigger""/&gt;",""))&amp;"&lt;/respcondition&gt;",""))),"")</f>
      </c>
      <c r="AR98" s="46">
        <f>IF(A98="","",SUBSTITUTE(SUBSTITUTE(SUBSTITUTE(SUBSTITUTE(SUBSTITUTE(IF(Saisie_Questions!P98&lt;&gt;"",Saisie_Questions!P98,Interface_Generation!$B$5),"&amp;","&amp;amp;"),"&lt;","&amp;lt;"),"&gt;","&amp;gt;"),CHAR(34),"&amp;quot;"),"'","&amp;apos;"))</f>
        <v/>
      </c>
      <c r="AS98" s="46">
        <f>IF(Saisie_Questions!Q98="","",SUBSTITUTE(SUBSTITUTE(SUBSTITUTE(SUBSTITUTE(SUBSTITUTE(Saisie_Questions!Q98,"&amp;","&amp;amp;"),"&lt;","&amp;lt;"),"&gt;","&amp;gt;"),CHAR(34),"&amp;quot;"),"'","&amp;apos;"))</f>
        <v/>
      </c>
      <c r="AT98" s="46">
        <f>IF(Saisie_Questions!R98="","",SUBSTITUTE(SUBSTITUTE(SUBSTITUTE(SUBSTITUTE(SUBSTITUTE(Saisie_Questions!R98,"&amp;","&amp;amp;"),"&lt;","&amp;lt;"),"&gt;","&amp;gt;"),CHAR(34),"&amp;quot;"),"'","&amp;apos;"))</f>
        <v/>
      </c>
      <c r="AU98" s="46">
        <f>IF(Saisie_Questions!S98="","",SUBSTITUTE(SUBSTITUTE(SUBSTITUTE(SUBSTITUTE(SUBSTITUTE(Saisie_Questions!S98,"&amp;","&amp;amp;"),"&lt;","&amp;lt;"),"&gt;","&amp;gt;"),CHAR(34),"&amp;quot;"),"'","&amp;apos;"))</f>
        <v/>
      </c>
      <c r="AV98" s="46">
        <f>IF(Saisie_Questions!T98="","",SUBSTITUTE(SUBSTITUTE(SUBSTITUTE(SUBSTITUTE(SUBSTITUTE(Saisie_Questions!T98,"&amp;","&amp;amp;"),"&lt;","&amp;lt;"),"&gt;","&amp;gt;"),CHAR(34),"&amp;quot;"),"'","&amp;apos;"))</f>
        <v/>
      </c>
      <c r="AW98" s="46">
        <f>IF(Saisie_Questions!U98="","",SUBSTITUTE(SUBSTITUTE(SUBSTITUTE(SUBSTITUTE(SUBSTITUTE(Saisie_Questions!U98,"&amp;","&amp;amp;"),"&lt;","&amp;lt;"),"&gt;","&amp;gt;"),CHAR(34),"&amp;quot;"),"'","&amp;apos;"))</f>
        <v/>
      </c>
      <c r="AX98" s="46">
        <f>IF(Saisie_Questions!V98="","",SUBSTITUTE(SUBSTITUTE(SUBSTITUTE(SUBSTITUTE(SUBSTITUTE(Saisie_Questions!V98,"&amp;","&amp;amp;"),"&lt;","&amp;lt;"),"&gt;","&amp;gt;"),CHAR(34),"&amp;quot;"),"'","&amp;apos;"))</f>
        <v/>
      </c>
      <c r="AY98" s="46">
        <f>IF(Saisie_Questions!W98="","",SUBSTITUTE(SUBSTITUTE(SUBSTITUTE(SUBSTITUTE(SUBSTITUTE(Saisie_Questions!W98,"&amp;","&amp;amp;"),"&lt;","&amp;lt;"),"&gt;","&amp;gt;"),CHAR(34),"&amp;quot;"),"'","&amp;apos;"))</f>
        <v/>
      </c>
      <c r="AZ98" s="46">
        <f>IF(Saisie_Questions!X98="","",SUBSTITUTE(SUBSTITUTE(SUBSTITUTE(SUBSTITUTE(SUBSTITUTE(Saisie_Questions!X98,"&amp;","&amp;amp;"),"&lt;","&amp;lt;"),"&gt;","&amp;gt;"),CHAR(34),"&amp;quot;"),"'","&amp;apos;"))</f>
        <v/>
      </c>
      <c r="BA98" s="46">
        <f>IF(Saisie_Questions!Y98="","",SUBSTITUTE(SUBSTITUTE(SUBSTITUTE(SUBSTITUTE(SUBSTITUTE(Saisie_Questions!Y98,"&amp;","&amp;amp;"),"&lt;","&amp;lt;"),"&gt;","&amp;gt;"),CHAR(34),"&amp;quot;"),"'","&amp;apos;"))</f>
        <v/>
      </c>
      <c r="BB98" s="46">
        <f>IF($B98,IF($AS98="","","    &lt;itemfeedback ident=""response_allcorrect"" view=""All""&gt;&lt;flow_mat&gt;&lt;material&gt;&lt;mattext texttype=""text/html""&gt;"&amp;$AS98&amp;"&lt;/mattext&gt;&lt;/material&gt;&lt;/flow_mat&gt;&lt;/itemfeedback&gt;"&amp;"    &lt;itemfeedback ident=""response_onenotcorrect"" view=""All""&gt;&lt;flow_mat&gt;&lt;material&gt;&lt;mattext texttype=""text/html""&gt;"&amp;$AS98&amp;"&lt;/mattext&gt;&lt;/material&gt;&lt;/flow_mat&gt;&lt;/itemfeedback&gt;"),"")</f>
      </c>
      <c r="BC98" s="46">
        <f>IF($B98,IF(AT98="","","    &lt;itemfeedback ident=""response_0"" view=""All""&gt;&lt;flow_mat&gt;&lt;material&gt;&lt;mattext texttype=""text/html""&gt;"&amp;AT98&amp;"&lt;/mattext&gt;&lt;/material&gt;&lt;/flow_mat&gt;&lt;/itemfeedback&gt;"),"")</f>
      </c>
      <c r="BD98" s="46">
        <f>IF($B98,IF(AU98="","","    &lt;itemfeedback ident=""response_1"" view=""All""&gt;&lt;flow_mat&gt;&lt;material&gt;&lt;mattext texttype=""text/html""&gt;"&amp;AU98&amp;"&lt;/mattext&gt;&lt;/material&gt;&lt;/flow_mat&gt;&lt;/itemfeedback&gt;"),"")</f>
      </c>
      <c r="BE98" s="46">
        <f>IF($B98,IF(AV98="","","    &lt;itemfeedback ident=""response_2"" view=""All""&gt;&lt;flow_mat&gt;&lt;material&gt;&lt;mattext texttype=""text/html""&gt;"&amp;AV98&amp;"&lt;/mattext&gt;&lt;/material&gt;&lt;/flow_mat&gt;&lt;/itemfeedback&gt;"),"")</f>
      </c>
      <c r="BF98" s="46">
        <f>IF($B98,IF(AW98="","","    &lt;itemfeedback ident=""response_3"" view=""All""&gt;&lt;flow_mat&gt;&lt;material&gt;&lt;mattext texttype=""text/html""&gt;"&amp;AW98&amp;"&lt;/mattext&gt;&lt;/material&gt;&lt;/flow_mat&gt;&lt;/itemfeedback&gt;"),"")</f>
      </c>
      <c r="BG98" s="46">
        <f>IF($B98,IF(AX98="","","    &lt;itemfeedback ident=""response_4"" view=""All""&gt;&lt;flow_mat&gt;&lt;material&gt;&lt;mattext texttype=""text/html""&gt;"&amp;AX98&amp;"&lt;/mattext&gt;&lt;/material&gt;&lt;/flow_mat&gt;&lt;/itemfeedback&gt;"),"")</f>
      </c>
      <c r="BH98" s="46">
        <f>IF($B98,IF(AY98="","","    &lt;itemfeedback ident=""response_5"" view=""All""&gt;&lt;flow_mat&gt;&lt;material&gt;&lt;mattext texttype=""text/html""&gt;"&amp;AY98&amp;"&lt;/mattext&gt;&lt;/material&gt;&lt;/flow_mat&gt;&lt;/itemfeedback&gt;"),"")</f>
      </c>
      <c r="BI98" s="46">
        <f>IF($B98,IF(AZ98="","","    &lt;itemfeedback ident=""response_6"" view=""All""&gt;&lt;flow_mat&gt;&lt;material&gt;&lt;mattext texttype=""text/html""&gt;"&amp;AZ98&amp;"&lt;/mattext&gt;&lt;/material&gt;&lt;/flow_mat&gt;&lt;/itemfeedback&gt;"),"")</f>
      </c>
      <c r="BJ98" s="46">
        <f>IF($B98,IF(BA98="","","    &lt;itemfeedback ident=""response_7"" view=""All""&gt;&lt;flow_mat&gt;&lt;material&gt;&lt;mattext texttype=""text/html""&gt;"&amp;BA98&amp;"&lt;/mattext&gt;&lt;/material&gt;&lt;/flow_mat&gt;&lt;/itemfeedback&gt;"),"")</f>
      </c>
    </row>
    <row r="99" ht="18" customHeight="1" s="17">
      <c r="A99" s="46">
        <f>Saisie_Questions!A99</f>
        <v/>
      </c>
      <c r="B99" s="46">
        <f>Saisie_Questions!O99="OK"</f>
        <v/>
      </c>
      <c r="C99" s="46">
        <f>LOWER(TRIM(Saisie_Questions!B99))</f>
        <v/>
      </c>
      <c r="D99" s="46">
        <f>IF(C99="qcu","SINGLE CHOICE QUESTION","MULTIPLE CHOICE QUESTION")</f>
        <v/>
      </c>
      <c r="E99" s="46">
        <f>IF(C99="qcu","Single","Multiple")</f>
        <v/>
      </c>
      <c r="F99" s="46">
        <f>IF(A99="","",SUBSTITUTE(SUBSTITUTE(SUBSTITUTE(SUBSTITUTE(SUBSTITUTE(IF(Saisie_Questions!C99="", "Question "&amp;A99, Saisie_Questions!C99),"&amp;","&amp;amp;"),"&lt;","&amp;lt;"),"&gt;","&amp;gt;"),CHAR(34),"&amp;quot;"),"'","&amp;apos;"))</f>
        <v/>
      </c>
      <c r="G99" s="46">
        <f>IF(A99="","",SUBSTITUTE(SUBSTITUTE(SUBSTITUTE(SUBSTITUTE(SUBSTITUTE(Saisie_Questions!D99,"&amp;","&amp;amp;"),"&lt;","&amp;lt;"),"&gt;","&amp;gt;"),CHAR(34),"&amp;quot;"),"'","&amp;apos;"))</f>
        <v/>
      </c>
      <c r="H99" s="46">
        <f>Saisie_Questions!N99</f>
        <v/>
      </c>
      <c r="I99" s="46">
        <f>IF(Saisie_Questions!E99="",0,1)+IF(Saisie_Questions!F99="",0,1)+IF(Saisie_Questions!G99="",0,1)+IF(Saisie_Questions!H99="",0,1)+IF(Saisie_Questions!I99="",0,1)+IF(Saisie_Questions!J99="",0,1)+IF(Saisie_Questions!K99="",0,1)+IF(Saisie_Questions!L99="",0,1)</f>
        <v/>
      </c>
      <c r="J99" s="46">
        <f>Saisie_Questions!M99</f>
        <v/>
      </c>
      <c r="K99" s="46">
        <f>Saisie_Questions!O99</f>
        <v/>
      </c>
      <c r="L99" s="46">
        <f>IF(Saisie_Questions!E99="","",SUBSTITUTE(SUBSTITUTE(SUBSTITUTE(SUBSTITUTE(SUBSTITUTE(Saisie_Questions!E99,"&amp;","&amp;amp;"),"&lt;","&amp;lt;"),"&gt;","&amp;gt;"),CHAR(34),"&amp;quot;"),"'","&amp;apos;"))</f>
        <v/>
      </c>
      <c r="M99" s="46">
        <f>IF(Saisie_Questions!F99="","",SUBSTITUTE(SUBSTITUTE(SUBSTITUTE(SUBSTITUTE(SUBSTITUTE(Saisie_Questions!F99,"&amp;","&amp;amp;"),"&lt;","&amp;lt;"),"&gt;","&amp;gt;"),CHAR(34),"&amp;quot;"),"'","&amp;apos;"))</f>
        <v/>
      </c>
      <c r="N99" s="46">
        <f>IF(Saisie_Questions!G99="","",SUBSTITUTE(SUBSTITUTE(SUBSTITUTE(SUBSTITUTE(SUBSTITUTE(Saisie_Questions!G99,"&amp;","&amp;amp;"),"&lt;","&amp;lt;"),"&gt;","&amp;gt;"),CHAR(34),"&amp;quot;"),"'","&amp;apos;"))</f>
        <v/>
      </c>
      <c r="O99" s="46">
        <f>IF(Saisie_Questions!H99="","",SUBSTITUTE(SUBSTITUTE(SUBSTITUTE(SUBSTITUTE(SUBSTITUTE(Saisie_Questions!H99,"&amp;","&amp;amp;"),"&lt;","&amp;lt;"),"&gt;","&amp;gt;"),CHAR(34),"&amp;quot;"),"'","&amp;apos;"))</f>
        <v/>
      </c>
      <c r="P99" s="46">
        <f>IF(Saisie_Questions!I99="","",SUBSTITUTE(SUBSTITUTE(SUBSTITUTE(SUBSTITUTE(SUBSTITUTE(Saisie_Questions!I99,"&amp;","&amp;amp;"),"&lt;","&amp;lt;"),"&gt;","&amp;gt;"),CHAR(34),"&amp;quot;"),"'","&amp;apos;"))</f>
        <v/>
      </c>
      <c r="Q99" s="46">
        <f>IF(Saisie_Questions!J99="","",SUBSTITUTE(SUBSTITUTE(SUBSTITUTE(SUBSTITUTE(SUBSTITUTE(Saisie_Questions!J99,"&amp;","&amp;amp;"),"&lt;","&amp;lt;"),"&gt;","&amp;gt;"),CHAR(34),"&amp;quot;"),"'","&amp;apos;"))</f>
        <v/>
      </c>
      <c r="R99" s="46">
        <f>IF(Saisie_Questions!K99="","",SUBSTITUTE(SUBSTITUTE(SUBSTITUTE(SUBSTITUTE(SUBSTITUTE(Saisie_Questions!K99,"&amp;","&amp;amp;"),"&lt;","&amp;lt;"),"&gt;","&amp;gt;"),CHAR(34),"&amp;quot;"),"'","&amp;apos;"))</f>
        <v/>
      </c>
      <c r="S99" s="46">
        <f>IF(Saisie_Questions!L99="","",SUBSTITUTE(SUBSTITUTE(SUBSTITUTE(SUBSTITUTE(SUBSTITUTE(Saisie_Questions!L99,"&amp;","&amp;amp;"),"&lt;","&amp;lt;"),"&gt;","&amp;gt;"),CHAR(34),"&amp;quot;"),"'","&amp;apos;"))</f>
        <v/>
      </c>
      <c r="T99" s="46">
        <f>ISNUMBER(SEARCH(";"&amp;1&amp;";",";"&amp;$J99&amp;";"))</f>
        <v/>
      </c>
      <c r="U99" s="46">
        <f>ISNUMBER(SEARCH(";"&amp;2&amp;";",";"&amp;$J99&amp;";"))</f>
        <v/>
      </c>
      <c r="V99" s="46">
        <f>ISNUMBER(SEARCH(";"&amp;3&amp;";",";"&amp;$J99&amp;";"))</f>
        <v/>
      </c>
      <c r="W99" s="46">
        <f>ISNUMBER(SEARCH(";"&amp;4&amp;";",";"&amp;$J99&amp;";"))</f>
        <v/>
      </c>
      <c r="X99" s="46">
        <f>ISNUMBER(SEARCH(";"&amp;5&amp;";",";"&amp;$J99&amp;";"))</f>
        <v/>
      </c>
      <c r="Y99" s="46">
        <f>ISNUMBER(SEARCH(";"&amp;6&amp;";",";"&amp;$J99&amp;";"))</f>
        <v/>
      </c>
      <c r="Z99" s="46">
        <f>ISNUMBER(SEARCH(";"&amp;7&amp;";",";"&amp;$J99&amp;";"))</f>
        <v/>
      </c>
      <c r="AA99" s="46">
        <f>ISNUMBER(SEARCH(";"&amp;8&amp;";",";"&amp;$J99&amp;";"))</f>
        <v/>
      </c>
      <c r="AB99" s="46">
        <f>IF($B99,IF(L99="","","        &lt;response_label ident=""0""&gt;&lt;material&gt;&lt;mattext texttype=""text/html""&gt;"&amp;L99&amp;"&lt;/mattext&gt;&lt;/material&gt;&lt;/response_label&gt;"),"")</f>
        <v/>
      </c>
      <c r="AC99" s="46">
        <f>IF($B99,IF(M99="","","        &lt;response_label ident=""1""&gt;&lt;material&gt;&lt;mattext texttype=""text/html""&gt;"&amp;M99&amp;"&lt;/mattext&gt;&lt;/material&gt;&lt;/response_label&gt;"),"")</f>
        <v/>
      </c>
      <c r="AD99" s="46">
        <f>IF($B99,IF(N99="","","        &lt;response_label ident=""2""&gt;&lt;material&gt;&lt;mattext texttype=""text/html""&gt;"&amp;N99&amp;"&lt;/mattext&gt;&lt;/material&gt;&lt;/response_label&gt;"),"")</f>
        <v/>
      </c>
      <c r="AE99" s="46">
        <f>IF($B99,IF(O99="","","        &lt;response_label ident=""3""&gt;&lt;material&gt;&lt;mattext texttype=""text/html""&gt;"&amp;O99&amp;"&lt;/mattext&gt;&lt;/material&gt;&lt;/response_label&gt;"),"")</f>
        <v/>
      </c>
      <c r="AF99" s="46">
        <f>IF($B99,IF(P99="","","        &lt;response_label ident=""4""&gt;&lt;material&gt;&lt;mattext texttype=""text/html""&gt;"&amp;P99&amp;"&lt;/mattext&gt;&lt;/material&gt;&lt;/response_label&gt;"),"")</f>
        <v/>
      </c>
      <c r="AG99" s="46">
        <f>IF($B99,IF(Q99="","","        &lt;response_label ident=""5""&gt;&lt;material&gt;&lt;mattext texttype=""text/html""&gt;"&amp;Q99&amp;"&lt;/mattext&gt;&lt;/material&gt;&lt;/response_label&gt;"),"")</f>
        <v/>
      </c>
      <c r="AH99" s="46">
        <f>IF($B99,IF(R99="","","        &lt;response_label ident=""6""&gt;&lt;material&gt;&lt;mattext texttype=""text/html""&gt;"&amp;R99&amp;"&lt;/mattext&gt;&lt;/material&gt;&lt;/response_label&gt;"),"")</f>
        <v/>
      </c>
      <c r="AI99" s="46">
        <f>IF($B99,IF(S99="","","        &lt;response_label ident=""7""&gt;&lt;material&gt;&lt;mattext texttype=""text/html""&gt;"&amp;S99&amp;"&lt;/mattext&gt;&lt;/material&gt;&lt;/response_label&gt;"),"")</f>
        <v/>
      </c>
      <c r="AJ99" s="46">
        <f>IF($B99,IF(L99="","",IF($C99="qcu",IF(OR(T99,AT99&lt;&gt;"",$AS99&lt;&gt;""),"      &lt;respcondition continue=""Yes""&gt;&lt;conditionvar&gt;&lt;varequal respident=""RESPONSE""&gt;0&lt;/varequal&gt;&lt;/conditionvar&gt;"&amp;"&lt;setvar action=""Add""&gt;"&amp;IF(T99,$H99,0)&amp;"&lt;/setvar&gt;"&amp;IF(AT99&lt;&gt;"","&lt;displayfeedback feedbacktype=""Response"" linkrefid=""response_0""/&gt;",IF($AS99&lt;&gt;"","&lt;displayfeedback feedbacktype=""Response"" linkrefid=""qti_feedback_trigger""/&gt;",""))&amp;"&lt;/respcondition&gt;",""),IF(OR(T99,AT99&lt;&gt;"",$AS99&lt;&gt;""),"      &lt;respcondition continue=""Yes""&gt;&lt;conditionvar&gt;"&amp;IF(T99,"&lt;varequal respident=""RESPONSE""&gt;0&lt;/varequal&gt;","&lt;not&gt;&lt;varequal respident=""RESPONSE""&gt;0&lt;/varequal&gt;&lt;/not&gt;")&amp;"&lt;/conditionvar&gt;&lt;setvar action=""Add""&gt;"&amp;(Saisie_Questions!$N99/$I99)&amp;"&lt;/setvar&gt;"&amp;IF(AT99&lt;&gt;"","&lt;displayfeedback feedbacktype=""Response"" linkrefid=""response_0""/&gt;",IF($AS99&lt;&gt;"","&lt;displayfeedback feedbacktype=""Response"" linkrefid=""qti_feedback_trigger""/&gt;",""))&amp;"&lt;/respcondition&gt;",""))),"")</f>
      </c>
      <c r="AK99" s="46">
        <f>IF($B99,IF(M99="","",IF($C99="qcu",IF(OR(U99,AU99&lt;&gt;"",$AS99&lt;&gt;""),"      &lt;respcondition continue=""Yes""&gt;&lt;conditionvar&gt;&lt;varequal respident=""RESPONSE""&gt;1&lt;/varequal&gt;&lt;/conditionvar&gt;"&amp;"&lt;setvar action=""Add""&gt;"&amp;IF(U99,$H99,0)&amp;"&lt;/setvar&gt;"&amp;IF(AU99&lt;&gt;"","&lt;displayfeedback feedbacktype=""Response"" linkrefid=""response_1""/&gt;",IF($AS99&lt;&gt;"","&lt;displayfeedback feedbacktype=""Response"" linkrefid=""qti_feedback_trigger""/&gt;",""))&amp;"&lt;/respcondition&gt;",""),IF(OR(U99,AU99&lt;&gt;"",$AS99&lt;&gt;""),"      &lt;respcondition continue=""Yes""&gt;&lt;conditionvar&gt;"&amp;IF(U99,"&lt;varequal respident=""RESPONSE""&gt;1&lt;/varequal&gt;","&lt;not&gt;&lt;varequal respident=""RESPONSE""&gt;1&lt;/varequal&gt;&lt;/not&gt;")&amp;"&lt;/conditionvar&gt;&lt;setvar action=""Add""&gt;"&amp;(Saisie_Questions!$N99/$I99)&amp;"&lt;/setvar&gt;"&amp;IF(AU99&lt;&gt;"","&lt;displayfeedback feedbacktype=""Response"" linkrefid=""response_1""/&gt;",IF($AS99&lt;&gt;"","&lt;displayfeedback feedbacktype=""Response"" linkrefid=""qti_feedback_trigger""/&gt;",""))&amp;"&lt;/respcondition&gt;",""))),"")</f>
      </c>
      <c r="AL99" s="46">
        <f>IF($B99,IF(N99="","",IF($C99="qcu",IF(OR(V99,AV99&lt;&gt;"",$AS99&lt;&gt;""),"      &lt;respcondition continue=""Yes""&gt;&lt;conditionvar&gt;&lt;varequal respident=""RESPONSE""&gt;2&lt;/varequal&gt;&lt;/conditionvar&gt;"&amp;"&lt;setvar action=""Add""&gt;"&amp;IF(V99,$H99,0)&amp;"&lt;/setvar&gt;"&amp;IF(AV99&lt;&gt;"","&lt;displayfeedback feedbacktype=""Response"" linkrefid=""response_2""/&gt;",IF($AS99&lt;&gt;"","&lt;displayfeedback feedbacktype=""Response"" linkrefid=""qti_feedback_trigger""/&gt;",""))&amp;"&lt;/respcondition&gt;",""),IF(OR(V99,AV99&lt;&gt;"",$AS99&lt;&gt;""),"      &lt;respcondition continue=""Yes""&gt;&lt;conditionvar&gt;"&amp;IF(V99,"&lt;varequal respident=""RESPONSE""&gt;2&lt;/varequal&gt;","&lt;not&gt;&lt;varequal respident=""RESPONSE""&gt;2&lt;/varequal&gt;&lt;/not&gt;")&amp;"&lt;/conditionvar&gt;&lt;setvar action=""Add""&gt;"&amp;(Saisie_Questions!$N99/$I99)&amp;"&lt;/setvar&gt;"&amp;IF(AV99&lt;&gt;"","&lt;displayfeedback feedbacktype=""Response"" linkrefid=""response_2""/&gt;",IF($AS99&lt;&gt;"","&lt;displayfeedback feedbacktype=""Response"" linkrefid=""qti_feedback_trigger""/&gt;",""))&amp;"&lt;/respcondition&gt;",""))),"")</f>
      </c>
      <c r="AM99" s="46">
        <f>IF($B99,IF(O99="","",IF($C99="qcu",IF(OR(W99,AW99&lt;&gt;"",$AS99&lt;&gt;""),"      &lt;respcondition continue=""Yes""&gt;&lt;conditionvar&gt;&lt;varequal respident=""RESPONSE""&gt;3&lt;/varequal&gt;&lt;/conditionvar&gt;"&amp;"&lt;setvar action=""Add""&gt;"&amp;IF(W99,$H99,0)&amp;"&lt;/setvar&gt;"&amp;IF(AW99&lt;&gt;"","&lt;displayfeedback feedbacktype=""Response"" linkrefid=""response_3""/&gt;",IF($AS99&lt;&gt;"","&lt;displayfeedback feedbacktype=""Response"" linkrefid=""qti_feedback_trigger""/&gt;",""))&amp;"&lt;/respcondition&gt;",""),IF(OR(W99,AW99&lt;&gt;"",$AS99&lt;&gt;""),"      &lt;respcondition continue=""Yes""&gt;&lt;conditionvar&gt;"&amp;IF(W99,"&lt;varequal respident=""RESPONSE""&gt;3&lt;/varequal&gt;","&lt;not&gt;&lt;varequal respident=""RESPONSE""&gt;3&lt;/varequal&gt;&lt;/not&gt;")&amp;"&lt;/conditionvar&gt;&lt;setvar action=""Add""&gt;"&amp;(Saisie_Questions!$N99/$I99)&amp;"&lt;/setvar&gt;"&amp;IF(AW99&lt;&gt;"","&lt;displayfeedback feedbacktype=""Response"" linkrefid=""response_3""/&gt;",IF($AS99&lt;&gt;"","&lt;displayfeedback feedbacktype=""Response"" linkrefid=""qti_feedback_trigger""/&gt;",""))&amp;"&lt;/respcondition&gt;",""))),"")</f>
      </c>
      <c r="AN99" s="46">
        <f>IF($B99,IF(P99="","",IF($C99="qcu",IF(OR(X99,AX99&lt;&gt;"",$AS99&lt;&gt;""),"      &lt;respcondition continue=""Yes""&gt;&lt;conditionvar&gt;&lt;varequal respident=""RESPONSE""&gt;4&lt;/varequal&gt;&lt;/conditionvar&gt;"&amp;"&lt;setvar action=""Add""&gt;"&amp;IF(X99,$H99,0)&amp;"&lt;/setvar&gt;"&amp;IF(AX99&lt;&gt;"","&lt;displayfeedback feedbacktype=""Response"" linkrefid=""response_4""/&gt;",IF($AS99&lt;&gt;"","&lt;displayfeedback feedbacktype=""Response"" linkrefid=""qti_feedback_trigger""/&gt;",""))&amp;"&lt;/respcondition&gt;",""),IF(OR(X99,AX99&lt;&gt;"",$AS99&lt;&gt;""),"      &lt;respcondition continue=""Yes""&gt;&lt;conditionvar&gt;"&amp;IF(X99,"&lt;varequal respident=""RESPONSE""&gt;4&lt;/varequal&gt;","&lt;not&gt;&lt;varequal respident=""RESPONSE""&gt;4&lt;/varequal&gt;&lt;/not&gt;")&amp;"&lt;/conditionvar&gt;&lt;setvar action=""Add""&gt;"&amp;(Saisie_Questions!$N99/$I99)&amp;"&lt;/setvar&gt;"&amp;IF(AX99&lt;&gt;"","&lt;displayfeedback feedbacktype=""Response"" linkrefid=""response_4""/&gt;",IF($AS99&lt;&gt;"","&lt;displayfeedback feedbacktype=""Response"" linkrefid=""qti_feedback_trigger""/&gt;",""))&amp;"&lt;/respcondition&gt;",""))),"")</f>
      </c>
      <c r="AO99" s="46">
        <f>IF($B99,IF(Q99="","",IF($C99="qcu",IF(OR(Y99,AY99&lt;&gt;"",$AS99&lt;&gt;""),"      &lt;respcondition continue=""Yes""&gt;&lt;conditionvar&gt;&lt;varequal respident=""RESPONSE""&gt;5&lt;/varequal&gt;&lt;/conditionvar&gt;"&amp;"&lt;setvar action=""Add""&gt;"&amp;IF(Y99,$H99,0)&amp;"&lt;/setvar&gt;"&amp;IF(AY99&lt;&gt;"","&lt;displayfeedback feedbacktype=""Response"" linkrefid=""response_5""/&gt;",IF($AS99&lt;&gt;"","&lt;displayfeedback feedbacktype=""Response"" linkrefid=""qti_feedback_trigger""/&gt;",""))&amp;"&lt;/respcondition&gt;",""),IF(OR(Y99,AY99&lt;&gt;"",$AS99&lt;&gt;""),"      &lt;respcondition continue=""Yes""&gt;&lt;conditionvar&gt;"&amp;IF(Y99,"&lt;varequal respident=""RESPONSE""&gt;5&lt;/varequal&gt;","&lt;not&gt;&lt;varequal respident=""RESPONSE""&gt;5&lt;/varequal&gt;&lt;/not&gt;")&amp;"&lt;/conditionvar&gt;&lt;setvar action=""Add""&gt;"&amp;(Saisie_Questions!$N99/$I99)&amp;"&lt;/setvar&gt;"&amp;IF(AY99&lt;&gt;"","&lt;displayfeedback feedbacktype=""Response"" linkrefid=""response_5""/&gt;",IF($AS99&lt;&gt;"","&lt;displayfeedback feedbacktype=""Response"" linkrefid=""qti_feedback_trigger""/&gt;",""))&amp;"&lt;/respcondition&gt;",""))),"")</f>
      </c>
      <c r="AP99" s="46">
        <f>IF($B99,IF(R99="","",IF($C99="qcu",IF(OR(Z99,AZ99&lt;&gt;"",$AS99&lt;&gt;""),"      &lt;respcondition continue=""Yes""&gt;&lt;conditionvar&gt;&lt;varequal respident=""RESPONSE""&gt;6&lt;/varequal&gt;&lt;/conditionvar&gt;"&amp;"&lt;setvar action=""Add""&gt;"&amp;IF(Z99,$H99,0)&amp;"&lt;/setvar&gt;"&amp;IF(AZ99&lt;&gt;"","&lt;displayfeedback feedbacktype=""Response"" linkrefid=""response_6""/&gt;",IF($AS99&lt;&gt;"","&lt;displayfeedback feedbacktype=""Response"" linkrefid=""qti_feedback_trigger""/&gt;",""))&amp;"&lt;/respcondition&gt;",""),IF(OR(Z99,AZ99&lt;&gt;"",$AS99&lt;&gt;""),"      &lt;respcondition continue=""Yes""&gt;&lt;conditionvar&gt;"&amp;IF(Z99,"&lt;varequal respident=""RESPONSE""&gt;6&lt;/varequal&gt;","&lt;not&gt;&lt;varequal respident=""RESPONSE""&gt;6&lt;/varequal&gt;&lt;/not&gt;")&amp;"&lt;/conditionvar&gt;&lt;setvar action=""Add""&gt;"&amp;(Saisie_Questions!$N99/$I99)&amp;"&lt;/setvar&gt;"&amp;IF(AZ99&lt;&gt;"","&lt;displayfeedback feedbacktype=""Response"" linkrefid=""response_6""/&gt;",IF($AS99&lt;&gt;"","&lt;displayfeedback feedbacktype=""Response"" linkrefid=""qti_feedback_trigger""/&gt;",""))&amp;"&lt;/respcondition&gt;",""))),"")</f>
      </c>
      <c r="AQ99" s="46">
        <f>IF($B99,IF(S99="","",IF($C99="qcu",IF(OR(AA99,BA99&lt;&gt;"",$AS99&lt;&gt;""),"      &lt;respcondition continue=""Yes""&gt;&lt;conditionvar&gt;&lt;varequal respident=""RESPONSE""&gt;7&lt;/varequal&gt;&lt;/conditionvar&gt;"&amp;"&lt;setvar action=""Add""&gt;"&amp;IF(AA99,$H99,0)&amp;"&lt;/setvar&gt;"&amp;IF(BA99&lt;&gt;"","&lt;displayfeedback feedbacktype=""Response"" linkrefid=""response_7""/&gt;",IF($AS99&lt;&gt;"","&lt;displayfeedback feedbacktype=""Response"" linkrefid=""qti_feedback_trigger""/&gt;",""))&amp;"&lt;/respcondition&gt;",""),IF(OR(AA99,BA99&lt;&gt;"",$AS99&lt;&gt;""),"      &lt;respcondition continue=""Yes""&gt;&lt;conditionvar&gt;"&amp;IF(AA99,"&lt;varequal respident=""RESPONSE""&gt;7&lt;/varequal&gt;","&lt;not&gt;&lt;varequal respident=""RESPONSE""&gt;7&lt;/varequal&gt;&lt;/not&gt;")&amp;"&lt;/conditionvar&gt;&lt;setvar action=""Add""&gt;"&amp;(Saisie_Questions!$N99/$I99)&amp;"&lt;/setvar&gt;"&amp;IF(BA99&lt;&gt;"","&lt;displayfeedback feedbacktype=""Response"" linkrefid=""response_7""/&gt;",IF($AS99&lt;&gt;"","&lt;displayfeedback feedbacktype=""Response"" linkrefid=""qti_feedback_trigger""/&gt;",""))&amp;"&lt;/respcondition&gt;",""))),"")</f>
      </c>
      <c r="AR99" s="46">
        <f>IF(A99="","",SUBSTITUTE(SUBSTITUTE(SUBSTITUTE(SUBSTITUTE(SUBSTITUTE(IF(Saisie_Questions!P99&lt;&gt;"",Saisie_Questions!P99,Interface_Generation!$B$5),"&amp;","&amp;amp;"),"&lt;","&amp;lt;"),"&gt;","&amp;gt;"),CHAR(34),"&amp;quot;"),"'","&amp;apos;"))</f>
        <v/>
      </c>
      <c r="AS99" s="46">
        <f>IF(Saisie_Questions!Q99="","",SUBSTITUTE(SUBSTITUTE(SUBSTITUTE(SUBSTITUTE(SUBSTITUTE(Saisie_Questions!Q99,"&amp;","&amp;amp;"),"&lt;","&amp;lt;"),"&gt;","&amp;gt;"),CHAR(34),"&amp;quot;"),"'","&amp;apos;"))</f>
        <v/>
      </c>
      <c r="AT99" s="46">
        <f>IF(Saisie_Questions!R99="","",SUBSTITUTE(SUBSTITUTE(SUBSTITUTE(SUBSTITUTE(SUBSTITUTE(Saisie_Questions!R99,"&amp;","&amp;amp;"),"&lt;","&amp;lt;"),"&gt;","&amp;gt;"),CHAR(34),"&amp;quot;"),"'","&amp;apos;"))</f>
        <v/>
      </c>
      <c r="AU99" s="46">
        <f>IF(Saisie_Questions!S99="","",SUBSTITUTE(SUBSTITUTE(SUBSTITUTE(SUBSTITUTE(SUBSTITUTE(Saisie_Questions!S99,"&amp;","&amp;amp;"),"&lt;","&amp;lt;"),"&gt;","&amp;gt;"),CHAR(34),"&amp;quot;"),"'","&amp;apos;"))</f>
        <v/>
      </c>
      <c r="AV99" s="46">
        <f>IF(Saisie_Questions!T99="","",SUBSTITUTE(SUBSTITUTE(SUBSTITUTE(SUBSTITUTE(SUBSTITUTE(Saisie_Questions!T99,"&amp;","&amp;amp;"),"&lt;","&amp;lt;"),"&gt;","&amp;gt;"),CHAR(34),"&amp;quot;"),"'","&amp;apos;"))</f>
        <v/>
      </c>
      <c r="AW99" s="46">
        <f>IF(Saisie_Questions!U99="","",SUBSTITUTE(SUBSTITUTE(SUBSTITUTE(SUBSTITUTE(SUBSTITUTE(Saisie_Questions!U99,"&amp;","&amp;amp;"),"&lt;","&amp;lt;"),"&gt;","&amp;gt;"),CHAR(34),"&amp;quot;"),"'","&amp;apos;"))</f>
        <v/>
      </c>
      <c r="AX99" s="46">
        <f>IF(Saisie_Questions!V99="","",SUBSTITUTE(SUBSTITUTE(SUBSTITUTE(SUBSTITUTE(SUBSTITUTE(Saisie_Questions!V99,"&amp;","&amp;amp;"),"&lt;","&amp;lt;"),"&gt;","&amp;gt;"),CHAR(34),"&amp;quot;"),"'","&amp;apos;"))</f>
        <v/>
      </c>
      <c r="AY99" s="46">
        <f>IF(Saisie_Questions!W99="","",SUBSTITUTE(SUBSTITUTE(SUBSTITUTE(SUBSTITUTE(SUBSTITUTE(Saisie_Questions!W99,"&amp;","&amp;amp;"),"&lt;","&amp;lt;"),"&gt;","&amp;gt;"),CHAR(34),"&amp;quot;"),"'","&amp;apos;"))</f>
        <v/>
      </c>
      <c r="AZ99" s="46">
        <f>IF(Saisie_Questions!X99="","",SUBSTITUTE(SUBSTITUTE(SUBSTITUTE(SUBSTITUTE(SUBSTITUTE(Saisie_Questions!X99,"&amp;","&amp;amp;"),"&lt;","&amp;lt;"),"&gt;","&amp;gt;"),CHAR(34),"&amp;quot;"),"'","&amp;apos;"))</f>
        <v/>
      </c>
      <c r="BA99" s="46">
        <f>IF(Saisie_Questions!Y99="","",SUBSTITUTE(SUBSTITUTE(SUBSTITUTE(SUBSTITUTE(SUBSTITUTE(Saisie_Questions!Y99,"&amp;","&amp;amp;"),"&lt;","&amp;lt;"),"&gt;","&amp;gt;"),CHAR(34),"&amp;quot;"),"'","&amp;apos;"))</f>
        <v/>
      </c>
      <c r="BB99" s="46">
        <f>IF($B99,IF($AS99="","","    &lt;itemfeedback ident=""response_allcorrect"" view=""All""&gt;&lt;flow_mat&gt;&lt;material&gt;&lt;mattext texttype=""text/html""&gt;"&amp;$AS99&amp;"&lt;/mattext&gt;&lt;/material&gt;&lt;/flow_mat&gt;&lt;/itemfeedback&gt;"&amp;"    &lt;itemfeedback ident=""response_onenotcorrect"" view=""All""&gt;&lt;flow_mat&gt;&lt;material&gt;&lt;mattext texttype=""text/html""&gt;"&amp;$AS99&amp;"&lt;/mattext&gt;&lt;/material&gt;&lt;/flow_mat&gt;&lt;/itemfeedback&gt;"),"")</f>
      </c>
      <c r="BC99" s="46">
        <f>IF($B99,IF(AT99="","","    &lt;itemfeedback ident=""response_0"" view=""All""&gt;&lt;flow_mat&gt;&lt;material&gt;&lt;mattext texttype=""text/html""&gt;"&amp;AT99&amp;"&lt;/mattext&gt;&lt;/material&gt;&lt;/flow_mat&gt;&lt;/itemfeedback&gt;"),"")</f>
      </c>
      <c r="BD99" s="46">
        <f>IF($B99,IF(AU99="","","    &lt;itemfeedback ident=""response_1"" view=""All""&gt;&lt;flow_mat&gt;&lt;material&gt;&lt;mattext texttype=""text/html""&gt;"&amp;AU99&amp;"&lt;/mattext&gt;&lt;/material&gt;&lt;/flow_mat&gt;&lt;/itemfeedback&gt;"),"")</f>
      </c>
      <c r="BE99" s="46">
        <f>IF($B99,IF(AV99="","","    &lt;itemfeedback ident=""response_2"" view=""All""&gt;&lt;flow_mat&gt;&lt;material&gt;&lt;mattext texttype=""text/html""&gt;"&amp;AV99&amp;"&lt;/mattext&gt;&lt;/material&gt;&lt;/flow_mat&gt;&lt;/itemfeedback&gt;"),"")</f>
      </c>
      <c r="BF99" s="46">
        <f>IF($B99,IF(AW99="","","    &lt;itemfeedback ident=""response_3"" view=""All""&gt;&lt;flow_mat&gt;&lt;material&gt;&lt;mattext texttype=""text/html""&gt;"&amp;AW99&amp;"&lt;/mattext&gt;&lt;/material&gt;&lt;/flow_mat&gt;&lt;/itemfeedback&gt;"),"")</f>
      </c>
      <c r="BG99" s="46">
        <f>IF($B99,IF(AX99="","","    &lt;itemfeedback ident=""response_4"" view=""All""&gt;&lt;flow_mat&gt;&lt;material&gt;&lt;mattext texttype=""text/html""&gt;"&amp;AX99&amp;"&lt;/mattext&gt;&lt;/material&gt;&lt;/flow_mat&gt;&lt;/itemfeedback&gt;"),"")</f>
      </c>
      <c r="BH99" s="46">
        <f>IF($B99,IF(AY99="","","    &lt;itemfeedback ident=""response_5"" view=""All""&gt;&lt;flow_mat&gt;&lt;material&gt;&lt;mattext texttype=""text/html""&gt;"&amp;AY99&amp;"&lt;/mattext&gt;&lt;/material&gt;&lt;/flow_mat&gt;&lt;/itemfeedback&gt;"),"")</f>
      </c>
      <c r="BI99" s="46">
        <f>IF($B99,IF(AZ99="","","    &lt;itemfeedback ident=""response_6"" view=""All""&gt;&lt;flow_mat&gt;&lt;material&gt;&lt;mattext texttype=""text/html""&gt;"&amp;AZ99&amp;"&lt;/mattext&gt;&lt;/material&gt;&lt;/flow_mat&gt;&lt;/itemfeedback&gt;"),"")</f>
      </c>
      <c r="BJ99" s="46">
        <f>IF($B99,IF(BA99="","","    &lt;itemfeedback ident=""response_7"" view=""All""&gt;&lt;flow_mat&gt;&lt;material&gt;&lt;mattext texttype=""text/html""&gt;"&amp;BA99&amp;"&lt;/mattext&gt;&lt;/material&gt;&lt;/flow_mat&gt;&lt;/itemfeedback&gt;"),"")</f>
      </c>
    </row>
    <row r="100" ht="18" customHeight="1" s="17">
      <c r="A100" s="46">
        <f>Saisie_Questions!A100</f>
        <v/>
      </c>
      <c r="B100" s="46">
        <f>Saisie_Questions!O100="OK"</f>
        <v/>
      </c>
      <c r="C100" s="46">
        <f>LOWER(TRIM(Saisie_Questions!B100))</f>
        <v/>
      </c>
      <c r="D100" s="46">
        <f>IF(C100="qcu","SINGLE CHOICE QUESTION","MULTIPLE CHOICE QUESTION")</f>
        <v/>
      </c>
      <c r="E100" s="46">
        <f>IF(C100="qcu","Single","Multiple")</f>
        <v/>
      </c>
      <c r="F100" s="46">
        <f>IF(A100="","",SUBSTITUTE(SUBSTITUTE(SUBSTITUTE(SUBSTITUTE(SUBSTITUTE(IF(Saisie_Questions!C100="", "Question "&amp;A100, Saisie_Questions!C100),"&amp;","&amp;amp;"),"&lt;","&amp;lt;"),"&gt;","&amp;gt;"),CHAR(34),"&amp;quot;"),"'","&amp;apos;"))</f>
        <v/>
      </c>
      <c r="G100" s="46">
        <f>IF(A100="","",SUBSTITUTE(SUBSTITUTE(SUBSTITUTE(SUBSTITUTE(SUBSTITUTE(Saisie_Questions!D100,"&amp;","&amp;amp;"),"&lt;","&amp;lt;"),"&gt;","&amp;gt;"),CHAR(34),"&amp;quot;"),"'","&amp;apos;"))</f>
        <v/>
      </c>
      <c r="H100" s="46">
        <f>Saisie_Questions!N100</f>
        <v/>
      </c>
      <c r="I100" s="46">
        <f>IF(Saisie_Questions!E100="",0,1)+IF(Saisie_Questions!F100="",0,1)+IF(Saisie_Questions!G100="",0,1)+IF(Saisie_Questions!H100="",0,1)+IF(Saisie_Questions!I100="",0,1)+IF(Saisie_Questions!J100="",0,1)+IF(Saisie_Questions!K100="",0,1)+IF(Saisie_Questions!L100="",0,1)</f>
        <v/>
      </c>
      <c r="J100" s="46">
        <f>Saisie_Questions!M100</f>
        <v/>
      </c>
      <c r="K100" s="46">
        <f>Saisie_Questions!O100</f>
        <v/>
      </c>
      <c r="L100" s="46">
        <f>IF(Saisie_Questions!E100="","",SUBSTITUTE(SUBSTITUTE(SUBSTITUTE(SUBSTITUTE(SUBSTITUTE(Saisie_Questions!E100,"&amp;","&amp;amp;"),"&lt;","&amp;lt;"),"&gt;","&amp;gt;"),CHAR(34),"&amp;quot;"),"'","&amp;apos;"))</f>
        <v/>
      </c>
      <c r="M100" s="46">
        <f>IF(Saisie_Questions!F100="","",SUBSTITUTE(SUBSTITUTE(SUBSTITUTE(SUBSTITUTE(SUBSTITUTE(Saisie_Questions!F100,"&amp;","&amp;amp;"),"&lt;","&amp;lt;"),"&gt;","&amp;gt;"),CHAR(34),"&amp;quot;"),"'","&amp;apos;"))</f>
        <v/>
      </c>
      <c r="N100" s="46">
        <f>IF(Saisie_Questions!G100="","",SUBSTITUTE(SUBSTITUTE(SUBSTITUTE(SUBSTITUTE(SUBSTITUTE(Saisie_Questions!G100,"&amp;","&amp;amp;"),"&lt;","&amp;lt;"),"&gt;","&amp;gt;"),CHAR(34),"&amp;quot;"),"'","&amp;apos;"))</f>
        <v/>
      </c>
      <c r="O100" s="46">
        <f>IF(Saisie_Questions!H100="","",SUBSTITUTE(SUBSTITUTE(SUBSTITUTE(SUBSTITUTE(SUBSTITUTE(Saisie_Questions!H100,"&amp;","&amp;amp;"),"&lt;","&amp;lt;"),"&gt;","&amp;gt;"),CHAR(34),"&amp;quot;"),"'","&amp;apos;"))</f>
        <v/>
      </c>
      <c r="P100" s="46">
        <f>IF(Saisie_Questions!I100="","",SUBSTITUTE(SUBSTITUTE(SUBSTITUTE(SUBSTITUTE(SUBSTITUTE(Saisie_Questions!I100,"&amp;","&amp;amp;"),"&lt;","&amp;lt;"),"&gt;","&amp;gt;"),CHAR(34),"&amp;quot;"),"'","&amp;apos;"))</f>
        <v/>
      </c>
      <c r="Q100" s="46">
        <f>IF(Saisie_Questions!J100="","",SUBSTITUTE(SUBSTITUTE(SUBSTITUTE(SUBSTITUTE(SUBSTITUTE(Saisie_Questions!J100,"&amp;","&amp;amp;"),"&lt;","&amp;lt;"),"&gt;","&amp;gt;"),CHAR(34),"&amp;quot;"),"'","&amp;apos;"))</f>
        <v/>
      </c>
      <c r="R100" s="46">
        <f>IF(Saisie_Questions!K100="","",SUBSTITUTE(SUBSTITUTE(SUBSTITUTE(SUBSTITUTE(SUBSTITUTE(Saisie_Questions!K100,"&amp;","&amp;amp;"),"&lt;","&amp;lt;"),"&gt;","&amp;gt;"),CHAR(34),"&amp;quot;"),"'","&amp;apos;"))</f>
        <v/>
      </c>
      <c r="S100" s="46">
        <f>IF(Saisie_Questions!L100="","",SUBSTITUTE(SUBSTITUTE(SUBSTITUTE(SUBSTITUTE(SUBSTITUTE(Saisie_Questions!L100,"&amp;","&amp;amp;"),"&lt;","&amp;lt;"),"&gt;","&amp;gt;"),CHAR(34),"&amp;quot;"),"'","&amp;apos;"))</f>
        <v/>
      </c>
      <c r="T100" s="46">
        <f>ISNUMBER(SEARCH(";"&amp;1&amp;";",";"&amp;$J100&amp;";"))</f>
        <v/>
      </c>
      <c r="U100" s="46">
        <f>ISNUMBER(SEARCH(";"&amp;2&amp;";",";"&amp;$J100&amp;";"))</f>
        <v/>
      </c>
      <c r="V100" s="46">
        <f>ISNUMBER(SEARCH(";"&amp;3&amp;";",";"&amp;$J100&amp;";"))</f>
        <v/>
      </c>
      <c r="W100" s="46">
        <f>ISNUMBER(SEARCH(";"&amp;4&amp;";",";"&amp;$J100&amp;";"))</f>
        <v/>
      </c>
      <c r="X100" s="46">
        <f>ISNUMBER(SEARCH(";"&amp;5&amp;";",";"&amp;$J100&amp;";"))</f>
        <v/>
      </c>
      <c r="Y100" s="46">
        <f>ISNUMBER(SEARCH(";"&amp;6&amp;";",";"&amp;$J100&amp;";"))</f>
        <v/>
      </c>
      <c r="Z100" s="46">
        <f>ISNUMBER(SEARCH(";"&amp;7&amp;";",";"&amp;$J100&amp;";"))</f>
        <v/>
      </c>
      <c r="AA100" s="46">
        <f>ISNUMBER(SEARCH(";"&amp;8&amp;";",";"&amp;$J100&amp;";"))</f>
        <v/>
      </c>
      <c r="AB100" s="46">
        <f>IF($B100,IF(L100="","","        &lt;response_label ident=""0""&gt;&lt;material&gt;&lt;mattext texttype=""text/html""&gt;"&amp;L100&amp;"&lt;/mattext&gt;&lt;/material&gt;&lt;/response_label&gt;"),"")</f>
        <v/>
      </c>
      <c r="AC100" s="46">
        <f>IF($B100,IF(M100="","","        &lt;response_label ident=""1""&gt;&lt;material&gt;&lt;mattext texttype=""text/html""&gt;"&amp;M100&amp;"&lt;/mattext&gt;&lt;/material&gt;&lt;/response_label&gt;"),"")</f>
        <v/>
      </c>
      <c r="AD100" s="46">
        <f>IF($B100,IF(N100="","","        &lt;response_label ident=""2""&gt;&lt;material&gt;&lt;mattext texttype=""text/html""&gt;"&amp;N100&amp;"&lt;/mattext&gt;&lt;/material&gt;&lt;/response_label&gt;"),"")</f>
        <v/>
      </c>
      <c r="AE100" s="46">
        <f>IF($B100,IF(O100="","","        &lt;response_label ident=""3""&gt;&lt;material&gt;&lt;mattext texttype=""text/html""&gt;"&amp;O100&amp;"&lt;/mattext&gt;&lt;/material&gt;&lt;/response_label&gt;"),"")</f>
        <v/>
      </c>
      <c r="AF100" s="46">
        <f>IF($B100,IF(P100="","","        &lt;response_label ident=""4""&gt;&lt;material&gt;&lt;mattext texttype=""text/html""&gt;"&amp;P100&amp;"&lt;/mattext&gt;&lt;/material&gt;&lt;/response_label&gt;"),"")</f>
        <v/>
      </c>
      <c r="AG100" s="46">
        <f>IF($B100,IF(Q100="","","        &lt;response_label ident=""5""&gt;&lt;material&gt;&lt;mattext texttype=""text/html""&gt;"&amp;Q100&amp;"&lt;/mattext&gt;&lt;/material&gt;&lt;/response_label&gt;"),"")</f>
        <v/>
      </c>
      <c r="AH100" s="46">
        <f>IF($B100,IF(R100="","","        &lt;response_label ident=""6""&gt;&lt;material&gt;&lt;mattext texttype=""text/html""&gt;"&amp;R100&amp;"&lt;/mattext&gt;&lt;/material&gt;&lt;/response_label&gt;"),"")</f>
        <v/>
      </c>
      <c r="AI100" s="46">
        <f>IF($B100,IF(S100="","","        &lt;response_label ident=""7""&gt;&lt;material&gt;&lt;mattext texttype=""text/html""&gt;"&amp;S100&amp;"&lt;/mattext&gt;&lt;/material&gt;&lt;/response_label&gt;"),"")</f>
        <v/>
      </c>
      <c r="AJ100" s="46">
        <f>IF($B100,IF(L100="","",IF($C100="qcu",IF(OR(T100,AT100&lt;&gt;"",$AS100&lt;&gt;""),"      &lt;respcondition continue=""Yes""&gt;&lt;conditionvar&gt;&lt;varequal respident=""RESPONSE""&gt;0&lt;/varequal&gt;&lt;/conditionvar&gt;"&amp;"&lt;setvar action=""Add""&gt;"&amp;IF(T100,$H100,0)&amp;"&lt;/setvar&gt;"&amp;IF(AT100&lt;&gt;"","&lt;displayfeedback feedbacktype=""Response"" linkrefid=""response_0""/&gt;",IF($AS100&lt;&gt;"","&lt;displayfeedback feedbacktype=""Response"" linkrefid=""qti_feedback_trigger""/&gt;",""))&amp;"&lt;/respcondition&gt;",""),IF(OR(T100,AT100&lt;&gt;"",$AS100&lt;&gt;""),"      &lt;respcondition continue=""Yes""&gt;&lt;conditionvar&gt;"&amp;IF(T100,"&lt;varequal respident=""RESPONSE""&gt;0&lt;/varequal&gt;","&lt;not&gt;&lt;varequal respident=""RESPONSE""&gt;0&lt;/varequal&gt;&lt;/not&gt;")&amp;"&lt;/conditionvar&gt;&lt;setvar action=""Add""&gt;"&amp;(Saisie_Questions!$N100/$I100)&amp;"&lt;/setvar&gt;"&amp;IF(AT100&lt;&gt;"","&lt;displayfeedback feedbacktype=""Response"" linkrefid=""response_0""/&gt;",IF($AS100&lt;&gt;"","&lt;displayfeedback feedbacktype=""Response"" linkrefid=""qti_feedback_trigger""/&gt;",""))&amp;"&lt;/respcondition&gt;",""))),"")</f>
      </c>
      <c r="AK100" s="46">
        <f>IF($B100,IF(M100="","",IF($C100="qcu",IF(OR(U100,AU100&lt;&gt;"",$AS100&lt;&gt;""),"      &lt;respcondition continue=""Yes""&gt;&lt;conditionvar&gt;&lt;varequal respident=""RESPONSE""&gt;1&lt;/varequal&gt;&lt;/conditionvar&gt;"&amp;"&lt;setvar action=""Add""&gt;"&amp;IF(U100,$H100,0)&amp;"&lt;/setvar&gt;"&amp;IF(AU100&lt;&gt;"","&lt;displayfeedback feedbacktype=""Response"" linkrefid=""response_1""/&gt;",IF($AS100&lt;&gt;"","&lt;displayfeedback feedbacktype=""Response"" linkrefid=""qti_feedback_trigger""/&gt;",""))&amp;"&lt;/respcondition&gt;",""),IF(OR(U100,AU100&lt;&gt;"",$AS100&lt;&gt;""),"      &lt;respcondition continue=""Yes""&gt;&lt;conditionvar&gt;"&amp;IF(U100,"&lt;varequal respident=""RESPONSE""&gt;1&lt;/varequal&gt;","&lt;not&gt;&lt;varequal respident=""RESPONSE""&gt;1&lt;/varequal&gt;&lt;/not&gt;")&amp;"&lt;/conditionvar&gt;&lt;setvar action=""Add""&gt;"&amp;(Saisie_Questions!$N100/$I100)&amp;"&lt;/setvar&gt;"&amp;IF(AU100&lt;&gt;"","&lt;displayfeedback feedbacktype=""Response"" linkrefid=""response_1""/&gt;",IF($AS100&lt;&gt;"","&lt;displayfeedback feedbacktype=""Response"" linkrefid=""qti_feedback_trigger""/&gt;",""))&amp;"&lt;/respcondition&gt;",""))),"")</f>
      </c>
      <c r="AL100" s="46">
        <f>IF($B100,IF(N100="","",IF($C100="qcu",IF(OR(V100,AV100&lt;&gt;"",$AS100&lt;&gt;""),"      &lt;respcondition continue=""Yes""&gt;&lt;conditionvar&gt;&lt;varequal respident=""RESPONSE""&gt;2&lt;/varequal&gt;&lt;/conditionvar&gt;"&amp;"&lt;setvar action=""Add""&gt;"&amp;IF(V100,$H100,0)&amp;"&lt;/setvar&gt;"&amp;IF(AV100&lt;&gt;"","&lt;displayfeedback feedbacktype=""Response"" linkrefid=""response_2""/&gt;",IF($AS100&lt;&gt;"","&lt;displayfeedback feedbacktype=""Response"" linkrefid=""qti_feedback_trigger""/&gt;",""))&amp;"&lt;/respcondition&gt;",""),IF(OR(V100,AV100&lt;&gt;"",$AS100&lt;&gt;""),"      &lt;respcondition continue=""Yes""&gt;&lt;conditionvar&gt;"&amp;IF(V100,"&lt;varequal respident=""RESPONSE""&gt;2&lt;/varequal&gt;","&lt;not&gt;&lt;varequal respident=""RESPONSE""&gt;2&lt;/varequal&gt;&lt;/not&gt;")&amp;"&lt;/conditionvar&gt;&lt;setvar action=""Add""&gt;"&amp;(Saisie_Questions!$N100/$I100)&amp;"&lt;/setvar&gt;"&amp;IF(AV100&lt;&gt;"","&lt;displayfeedback feedbacktype=""Response"" linkrefid=""response_2""/&gt;",IF($AS100&lt;&gt;"","&lt;displayfeedback feedbacktype=""Response"" linkrefid=""qti_feedback_trigger""/&gt;",""))&amp;"&lt;/respcondition&gt;",""))),"")</f>
      </c>
      <c r="AM100" s="46">
        <f>IF($B100,IF(O100="","",IF($C100="qcu",IF(OR(W100,AW100&lt;&gt;"",$AS100&lt;&gt;""),"      &lt;respcondition continue=""Yes""&gt;&lt;conditionvar&gt;&lt;varequal respident=""RESPONSE""&gt;3&lt;/varequal&gt;&lt;/conditionvar&gt;"&amp;"&lt;setvar action=""Add""&gt;"&amp;IF(W100,$H100,0)&amp;"&lt;/setvar&gt;"&amp;IF(AW100&lt;&gt;"","&lt;displayfeedback feedbacktype=""Response"" linkrefid=""response_3""/&gt;",IF($AS100&lt;&gt;"","&lt;displayfeedback feedbacktype=""Response"" linkrefid=""qti_feedback_trigger""/&gt;",""))&amp;"&lt;/respcondition&gt;",""),IF(OR(W100,AW100&lt;&gt;"",$AS100&lt;&gt;""),"      &lt;respcondition continue=""Yes""&gt;&lt;conditionvar&gt;"&amp;IF(W100,"&lt;varequal respident=""RESPONSE""&gt;3&lt;/varequal&gt;","&lt;not&gt;&lt;varequal respident=""RESPONSE""&gt;3&lt;/varequal&gt;&lt;/not&gt;")&amp;"&lt;/conditionvar&gt;&lt;setvar action=""Add""&gt;"&amp;(Saisie_Questions!$N100/$I100)&amp;"&lt;/setvar&gt;"&amp;IF(AW100&lt;&gt;"","&lt;displayfeedback feedbacktype=""Response"" linkrefid=""response_3""/&gt;",IF($AS100&lt;&gt;"","&lt;displayfeedback feedbacktype=""Response"" linkrefid=""qti_feedback_trigger""/&gt;",""))&amp;"&lt;/respcondition&gt;",""))),"")</f>
      </c>
      <c r="AN100" s="46">
        <f>IF($B100,IF(P100="","",IF($C100="qcu",IF(OR(X100,AX100&lt;&gt;"",$AS100&lt;&gt;""),"      &lt;respcondition continue=""Yes""&gt;&lt;conditionvar&gt;&lt;varequal respident=""RESPONSE""&gt;4&lt;/varequal&gt;&lt;/conditionvar&gt;"&amp;"&lt;setvar action=""Add""&gt;"&amp;IF(X100,$H100,0)&amp;"&lt;/setvar&gt;"&amp;IF(AX100&lt;&gt;"","&lt;displayfeedback feedbacktype=""Response"" linkrefid=""response_4""/&gt;",IF($AS100&lt;&gt;"","&lt;displayfeedback feedbacktype=""Response"" linkrefid=""qti_feedback_trigger""/&gt;",""))&amp;"&lt;/respcondition&gt;",""),IF(OR(X100,AX100&lt;&gt;"",$AS100&lt;&gt;""),"      &lt;respcondition continue=""Yes""&gt;&lt;conditionvar&gt;"&amp;IF(X100,"&lt;varequal respident=""RESPONSE""&gt;4&lt;/varequal&gt;","&lt;not&gt;&lt;varequal respident=""RESPONSE""&gt;4&lt;/varequal&gt;&lt;/not&gt;")&amp;"&lt;/conditionvar&gt;&lt;setvar action=""Add""&gt;"&amp;(Saisie_Questions!$N100/$I100)&amp;"&lt;/setvar&gt;"&amp;IF(AX100&lt;&gt;"","&lt;displayfeedback feedbacktype=""Response"" linkrefid=""response_4""/&gt;",IF($AS100&lt;&gt;"","&lt;displayfeedback feedbacktype=""Response"" linkrefid=""qti_feedback_trigger""/&gt;",""))&amp;"&lt;/respcondition&gt;",""))),"")</f>
      </c>
      <c r="AO100" s="46">
        <f>IF($B100,IF(Q100="","",IF($C100="qcu",IF(OR(Y100,AY100&lt;&gt;"",$AS100&lt;&gt;""),"      &lt;respcondition continue=""Yes""&gt;&lt;conditionvar&gt;&lt;varequal respident=""RESPONSE""&gt;5&lt;/varequal&gt;&lt;/conditionvar&gt;"&amp;"&lt;setvar action=""Add""&gt;"&amp;IF(Y100,$H100,0)&amp;"&lt;/setvar&gt;"&amp;IF(AY100&lt;&gt;"","&lt;displayfeedback feedbacktype=""Response"" linkrefid=""response_5""/&gt;",IF($AS100&lt;&gt;"","&lt;displayfeedback feedbacktype=""Response"" linkrefid=""qti_feedback_trigger""/&gt;",""))&amp;"&lt;/respcondition&gt;",""),IF(OR(Y100,AY100&lt;&gt;"",$AS100&lt;&gt;""),"      &lt;respcondition continue=""Yes""&gt;&lt;conditionvar&gt;"&amp;IF(Y100,"&lt;varequal respident=""RESPONSE""&gt;5&lt;/varequal&gt;","&lt;not&gt;&lt;varequal respident=""RESPONSE""&gt;5&lt;/varequal&gt;&lt;/not&gt;")&amp;"&lt;/conditionvar&gt;&lt;setvar action=""Add""&gt;"&amp;(Saisie_Questions!$N100/$I100)&amp;"&lt;/setvar&gt;"&amp;IF(AY100&lt;&gt;"","&lt;displayfeedback feedbacktype=""Response"" linkrefid=""response_5""/&gt;",IF($AS100&lt;&gt;"","&lt;displayfeedback feedbacktype=""Response"" linkrefid=""qti_feedback_trigger""/&gt;",""))&amp;"&lt;/respcondition&gt;",""))),"")</f>
      </c>
      <c r="AP100" s="46">
        <f>IF($B100,IF(R100="","",IF($C100="qcu",IF(OR(Z100,AZ100&lt;&gt;"",$AS100&lt;&gt;""),"      &lt;respcondition continue=""Yes""&gt;&lt;conditionvar&gt;&lt;varequal respident=""RESPONSE""&gt;6&lt;/varequal&gt;&lt;/conditionvar&gt;"&amp;"&lt;setvar action=""Add""&gt;"&amp;IF(Z100,$H100,0)&amp;"&lt;/setvar&gt;"&amp;IF(AZ100&lt;&gt;"","&lt;displayfeedback feedbacktype=""Response"" linkrefid=""response_6""/&gt;",IF($AS100&lt;&gt;"","&lt;displayfeedback feedbacktype=""Response"" linkrefid=""qti_feedback_trigger""/&gt;",""))&amp;"&lt;/respcondition&gt;",""),IF(OR(Z100,AZ100&lt;&gt;"",$AS100&lt;&gt;""),"      &lt;respcondition continue=""Yes""&gt;&lt;conditionvar&gt;"&amp;IF(Z100,"&lt;varequal respident=""RESPONSE""&gt;6&lt;/varequal&gt;","&lt;not&gt;&lt;varequal respident=""RESPONSE""&gt;6&lt;/varequal&gt;&lt;/not&gt;")&amp;"&lt;/conditionvar&gt;&lt;setvar action=""Add""&gt;"&amp;(Saisie_Questions!$N100/$I100)&amp;"&lt;/setvar&gt;"&amp;IF(AZ100&lt;&gt;"","&lt;displayfeedback feedbacktype=""Response"" linkrefid=""response_6""/&gt;",IF($AS100&lt;&gt;"","&lt;displayfeedback feedbacktype=""Response"" linkrefid=""qti_feedback_trigger""/&gt;",""))&amp;"&lt;/respcondition&gt;",""))),"")</f>
      </c>
      <c r="AQ100" s="46">
        <f>IF($B100,IF(S100="","",IF($C100="qcu",IF(OR(AA100,BA100&lt;&gt;"",$AS100&lt;&gt;""),"      &lt;respcondition continue=""Yes""&gt;&lt;conditionvar&gt;&lt;varequal respident=""RESPONSE""&gt;7&lt;/varequal&gt;&lt;/conditionvar&gt;"&amp;"&lt;setvar action=""Add""&gt;"&amp;IF(AA100,$H100,0)&amp;"&lt;/setvar&gt;"&amp;IF(BA100&lt;&gt;"","&lt;displayfeedback feedbacktype=""Response"" linkrefid=""response_7""/&gt;",IF($AS100&lt;&gt;"","&lt;displayfeedback feedbacktype=""Response"" linkrefid=""qti_feedback_trigger""/&gt;",""))&amp;"&lt;/respcondition&gt;",""),IF(OR(AA100,BA100&lt;&gt;"",$AS100&lt;&gt;""),"      &lt;respcondition continue=""Yes""&gt;&lt;conditionvar&gt;"&amp;IF(AA100,"&lt;varequal respident=""RESPONSE""&gt;7&lt;/varequal&gt;","&lt;not&gt;&lt;varequal respident=""RESPONSE""&gt;7&lt;/varequal&gt;&lt;/not&gt;")&amp;"&lt;/conditionvar&gt;&lt;setvar action=""Add""&gt;"&amp;(Saisie_Questions!$N100/$I100)&amp;"&lt;/setvar&gt;"&amp;IF(BA100&lt;&gt;"","&lt;displayfeedback feedbacktype=""Response"" linkrefid=""response_7""/&gt;",IF($AS100&lt;&gt;"","&lt;displayfeedback feedbacktype=""Response"" linkrefid=""qti_feedback_trigger""/&gt;",""))&amp;"&lt;/respcondition&gt;",""))),"")</f>
      </c>
      <c r="AR100" s="46">
        <f>IF(A100="","",SUBSTITUTE(SUBSTITUTE(SUBSTITUTE(SUBSTITUTE(SUBSTITUTE(IF(Saisie_Questions!P100&lt;&gt;"",Saisie_Questions!P100,Interface_Generation!$B$5),"&amp;","&amp;amp;"),"&lt;","&amp;lt;"),"&gt;","&amp;gt;"),CHAR(34),"&amp;quot;"),"'","&amp;apos;"))</f>
        <v/>
      </c>
      <c r="AS100" s="46">
        <f>IF(Saisie_Questions!Q100="","",SUBSTITUTE(SUBSTITUTE(SUBSTITUTE(SUBSTITUTE(SUBSTITUTE(Saisie_Questions!Q100,"&amp;","&amp;amp;"),"&lt;","&amp;lt;"),"&gt;","&amp;gt;"),CHAR(34),"&amp;quot;"),"'","&amp;apos;"))</f>
        <v/>
      </c>
      <c r="AT100" s="46">
        <f>IF(Saisie_Questions!R100="","",SUBSTITUTE(SUBSTITUTE(SUBSTITUTE(SUBSTITUTE(SUBSTITUTE(Saisie_Questions!R100,"&amp;","&amp;amp;"),"&lt;","&amp;lt;"),"&gt;","&amp;gt;"),CHAR(34),"&amp;quot;"),"'","&amp;apos;"))</f>
        <v/>
      </c>
      <c r="AU100" s="46">
        <f>IF(Saisie_Questions!S100="","",SUBSTITUTE(SUBSTITUTE(SUBSTITUTE(SUBSTITUTE(SUBSTITUTE(Saisie_Questions!S100,"&amp;","&amp;amp;"),"&lt;","&amp;lt;"),"&gt;","&amp;gt;"),CHAR(34),"&amp;quot;"),"'","&amp;apos;"))</f>
        <v/>
      </c>
      <c r="AV100" s="46">
        <f>IF(Saisie_Questions!T100="","",SUBSTITUTE(SUBSTITUTE(SUBSTITUTE(SUBSTITUTE(SUBSTITUTE(Saisie_Questions!T100,"&amp;","&amp;amp;"),"&lt;","&amp;lt;"),"&gt;","&amp;gt;"),CHAR(34),"&amp;quot;"),"'","&amp;apos;"))</f>
        <v/>
      </c>
      <c r="AW100" s="46">
        <f>IF(Saisie_Questions!U100="","",SUBSTITUTE(SUBSTITUTE(SUBSTITUTE(SUBSTITUTE(SUBSTITUTE(Saisie_Questions!U100,"&amp;","&amp;amp;"),"&lt;","&amp;lt;"),"&gt;","&amp;gt;"),CHAR(34),"&amp;quot;"),"'","&amp;apos;"))</f>
        <v/>
      </c>
      <c r="AX100" s="46">
        <f>IF(Saisie_Questions!V100="","",SUBSTITUTE(SUBSTITUTE(SUBSTITUTE(SUBSTITUTE(SUBSTITUTE(Saisie_Questions!V100,"&amp;","&amp;amp;"),"&lt;","&amp;lt;"),"&gt;","&amp;gt;"),CHAR(34),"&amp;quot;"),"'","&amp;apos;"))</f>
        <v/>
      </c>
      <c r="AY100" s="46">
        <f>IF(Saisie_Questions!W100="","",SUBSTITUTE(SUBSTITUTE(SUBSTITUTE(SUBSTITUTE(SUBSTITUTE(Saisie_Questions!W100,"&amp;","&amp;amp;"),"&lt;","&amp;lt;"),"&gt;","&amp;gt;"),CHAR(34),"&amp;quot;"),"'","&amp;apos;"))</f>
        <v/>
      </c>
      <c r="AZ100" s="46">
        <f>IF(Saisie_Questions!X100="","",SUBSTITUTE(SUBSTITUTE(SUBSTITUTE(SUBSTITUTE(SUBSTITUTE(Saisie_Questions!X100,"&amp;","&amp;amp;"),"&lt;","&amp;lt;"),"&gt;","&amp;gt;"),CHAR(34),"&amp;quot;"),"'","&amp;apos;"))</f>
        <v/>
      </c>
      <c r="BA100" s="46">
        <f>IF(Saisie_Questions!Y100="","",SUBSTITUTE(SUBSTITUTE(SUBSTITUTE(SUBSTITUTE(SUBSTITUTE(Saisie_Questions!Y100,"&amp;","&amp;amp;"),"&lt;","&amp;lt;"),"&gt;","&amp;gt;"),CHAR(34),"&amp;quot;"),"'","&amp;apos;"))</f>
        <v/>
      </c>
      <c r="BB100" s="46">
        <f>IF($B100,IF($AS100="","","    &lt;itemfeedback ident=""response_allcorrect"" view=""All""&gt;&lt;flow_mat&gt;&lt;material&gt;&lt;mattext texttype=""text/html""&gt;"&amp;$AS100&amp;"&lt;/mattext&gt;&lt;/material&gt;&lt;/flow_mat&gt;&lt;/itemfeedback&gt;"&amp;"    &lt;itemfeedback ident=""response_onenotcorrect"" view=""All""&gt;&lt;flow_mat&gt;&lt;material&gt;&lt;mattext texttype=""text/html""&gt;"&amp;$AS100&amp;"&lt;/mattext&gt;&lt;/material&gt;&lt;/flow_mat&gt;&lt;/itemfeedback&gt;"),"")</f>
      </c>
      <c r="BC100" s="46">
        <f>IF($B100,IF(AT100="","","    &lt;itemfeedback ident=""response_0"" view=""All""&gt;&lt;flow_mat&gt;&lt;material&gt;&lt;mattext texttype=""text/html""&gt;"&amp;AT100&amp;"&lt;/mattext&gt;&lt;/material&gt;&lt;/flow_mat&gt;&lt;/itemfeedback&gt;"),"")</f>
      </c>
      <c r="BD100" s="46">
        <f>IF($B100,IF(AU100="","","    &lt;itemfeedback ident=""response_1"" view=""All""&gt;&lt;flow_mat&gt;&lt;material&gt;&lt;mattext texttype=""text/html""&gt;"&amp;AU100&amp;"&lt;/mattext&gt;&lt;/material&gt;&lt;/flow_mat&gt;&lt;/itemfeedback&gt;"),"")</f>
      </c>
      <c r="BE100" s="46">
        <f>IF($B100,IF(AV100="","","    &lt;itemfeedback ident=""response_2"" view=""All""&gt;&lt;flow_mat&gt;&lt;material&gt;&lt;mattext texttype=""text/html""&gt;"&amp;AV100&amp;"&lt;/mattext&gt;&lt;/material&gt;&lt;/flow_mat&gt;&lt;/itemfeedback&gt;"),"")</f>
      </c>
      <c r="BF100" s="46">
        <f>IF($B100,IF(AW100="","","    &lt;itemfeedback ident=""response_3"" view=""All""&gt;&lt;flow_mat&gt;&lt;material&gt;&lt;mattext texttype=""text/html""&gt;"&amp;AW100&amp;"&lt;/mattext&gt;&lt;/material&gt;&lt;/flow_mat&gt;&lt;/itemfeedback&gt;"),"")</f>
      </c>
      <c r="BG100" s="46">
        <f>IF($B100,IF(AX100="","","    &lt;itemfeedback ident=""response_4"" view=""All""&gt;&lt;flow_mat&gt;&lt;material&gt;&lt;mattext texttype=""text/html""&gt;"&amp;AX100&amp;"&lt;/mattext&gt;&lt;/material&gt;&lt;/flow_mat&gt;&lt;/itemfeedback&gt;"),"")</f>
      </c>
      <c r="BH100" s="46">
        <f>IF($B100,IF(AY100="","","    &lt;itemfeedback ident=""response_5"" view=""All""&gt;&lt;flow_mat&gt;&lt;material&gt;&lt;mattext texttype=""text/html""&gt;"&amp;AY100&amp;"&lt;/mattext&gt;&lt;/material&gt;&lt;/flow_mat&gt;&lt;/itemfeedback&gt;"),"")</f>
      </c>
      <c r="BI100" s="46">
        <f>IF($B100,IF(AZ100="","","    &lt;itemfeedback ident=""response_6"" view=""All""&gt;&lt;flow_mat&gt;&lt;material&gt;&lt;mattext texttype=""text/html""&gt;"&amp;AZ100&amp;"&lt;/mattext&gt;&lt;/material&gt;&lt;/flow_mat&gt;&lt;/itemfeedback&gt;"),"")</f>
      </c>
      <c r="BJ100" s="46">
        <f>IF($B100,IF(BA100="","","    &lt;itemfeedback ident=""response_7"" view=""All""&gt;&lt;flow_mat&gt;&lt;material&gt;&lt;mattext texttype=""text/html""&gt;"&amp;BA100&amp;"&lt;/mattext&gt;&lt;/material&gt;&lt;/flow_mat&gt;&lt;/itemfeedback&gt;"),"")</f>
      </c>
    </row>
    <row r="101" ht="18" customHeight="1" s="17">
      <c r="A101" s="46">
        <f>Saisie_Questions!A101</f>
        <v/>
      </c>
      <c r="B101" s="46">
        <f>Saisie_Questions!O101="OK"</f>
        <v/>
      </c>
      <c r="C101" s="46">
        <f>LOWER(TRIM(Saisie_Questions!B101))</f>
        <v/>
      </c>
      <c r="D101" s="46">
        <f>IF(C101="qcu","SINGLE CHOICE QUESTION","MULTIPLE CHOICE QUESTION")</f>
        <v/>
      </c>
      <c r="E101" s="46">
        <f>IF(C101="qcu","Single","Multiple")</f>
        <v/>
      </c>
      <c r="F101" s="46">
        <f>IF(A101="","",SUBSTITUTE(SUBSTITUTE(SUBSTITUTE(SUBSTITUTE(SUBSTITUTE(IF(Saisie_Questions!C101="", "Question "&amp;A101, Saisie_Questions!C101),"&amp;","&amp;amp;"),"&lt;","&amp;lt;"),"&gt;","&amp;gt;"),CHAR(34),"&amp;quot;"),"'","&amp;apos;"))</f>
        <v/>
      </c>
      <c r="G101" s="46">
        <f>IF(A101="","",SUBSTITUTE(SUBSTITUTE(SUBSTITUTE(SUBSTITUTE(SUBSTITUTE(Saisie_Questions!D101,"&amp;","&amp;amp;"),"&lt;","&amp;lt;"),"&gt;","&amp;gt;"),CHAR(34),"&amp;quot;"),"'","&amp;apos;"))</f>
        <v/>
      </c>
      <c r="H101" s="46">
        <f>Saisie_Questions!N101</f>
        <v/>
      </c>
      <c r="I101" s="46">
        <f>IF(Saisie_Questions!E101="",0,1)+IF(Saisie_Questions!F101="",0,1)+IF(Saisie_Questions!G101="",0,1)+IF(Saisie_Questions!H101="",0,1)+IF(Saisie_Questions!I101="",0,1)+IF(Saisie_Questions!J101="",0,1)+IF(Saisie_Questions!K101="",0,1)+IF(Saisie_Questions!L101="",0,1)</f>
        <v/>
      </c>
      <c r="J101" s="46">
        <f>Saisie_Questions!M101</f>
        <v/>
      </c>
      <c r="K101" s="46">
        <f>Saisie_Questions!O101</f>
        <v/>
      </c>
      <c r="L101" s="46">
        <f>IF(Saisie_Questions!E101="","",SUBSTITUTE(SUBSTITUTE(SUBSTITUTE(SUBSTITUTE(SUBSTITUTE(Saisie_Questions!E101,"&amp;","&amp;amp;"),"&lt;","&amp;lt;"),"&gt;","&amp;gt;"),CHAR(34),"&amp;quot;"),"'","&amp;apos;"))</f>
        <v/>
      </c>
      <c r="M101" s="46">
        <f>IF(Saisie_Questions!F101="","",SUBSTITUTE(SUBSTITUTE(SUBSTITUTE(SUBSTITUTE(SUBSTITUTE(Saisie_Questions!F101,"&amp;","&amp;amp;"),"&lt;","&amp;lt;"),"&gt;","&amp;gt;"),CHAR(34),"&amp;quot;"),"'","&amp;apos;"))</f>
        <v/>
      </c>
      <c r="N101" s="46">
        <f>IF(Saisie_Questions!G101="","",SUBSTITUTE(SUBSTITUTE(SUBSTITUTE(SUBSTITUTE(SUBSTITUTE(Saisie_Questions!G101,"&amp;","&amp;amp;"),"&lt;","&amp;lt;"),"&gt;","&amp;gt;"),CHAR(34),"&amp;quot;"),"'","&amp;apos;"))</f>
        <v/>
      </c>
      <c r="O101" s="46">
        <f>IF(Saisie_Questions!H101="","",SUBSTITUTE(SUBSTITUTE(SUBSTITUTE(SUBSTITUTE(SUBSTITUTE(Saisie_Questions!H101,"&amp;","&amp;amp;"),"&lt;","&amp;lt;"),"&gt;","&amp;gt;"),CHAR(34),"&amp;quot;"),"'","&amp;apos;"))</f>
        <v/>
      </c>
      <c r="P101" s="46">
        <f>IF(Saisie_Questions!I101="","",SUBSTITUTE(SUBSTITUTE(SUBSTITUTE(SUBSTITUTE(SUBSTITUTE(Saisie_Questions!I101,"&amp;","&amp;amp;"),"&lt;","&amp;lt;"),"&gt;","&amp;gt;"),CHAR(34),"&amp;quot;"),"'","&amp;apos;"))</f>
        <v/>
      </c>
      <c r="Q101" s="46">
        <f>IF(Saisie_Questions!J101="","",SUBSTITUTE(SUBSTITUTE(SUBSTITUTE(SUBSTITUTE(SUBSTITUTE(Saisie_Questions!J101,"&amp;","&amp;amp;"),"&lt;","&amp;lt;"),"&gt;","&amp;gt;"),CHAR(34),"&amp;quot;"),"'","&amp;apos;"))</f>
        <v/>
      </c>
      <c r="R101" s="46">
        <f>IF(Saisie_Questions!K101="","",SUBSTITUTE(SUBSTITUTE(SUBSTITUTE(SUBSTITUTE(SUBSTITUTE(Saisie_Questions!K101,"&amp;","&amp;amp;"),"&lt;","&amp;lt;"),"&gt;","&amp;gt;"),CHAR(34),"&amp;quot;"),"'","&amp;apos;"))</f>
        <v/>
      </c>
      <c r="S101" s="46">
        <f>IF(Saisie_Questions!L101="","",SUBSTITUTE(SUBSTITUTE(SUBSTITUTE(SUBSTITUTE(SUBSTITUTE(Saisie_Questions!L101,"&amp;","&amp;amp;"),"&lt;","&amp;lt;"),"&gt;","&amp;gt;"),CHAR(34),"&amp;quot;"),"'","&amp;apos;"))</f>
        <v/>
      </c>
      <c r="T101" s="46">
        <f>ISNUMBER(SEARCH(";"&amp;1&amp;";",";"&amp;$J101&amp;";"))</f>
        <v/>
      </c>
      <c r="U101" s="46">
        <f>ISNUMBER(SEARCH(";"&amp;2&amp;";",";"&amp;$J101&amp;";"))</f>
        <v/>
      </c>
      <c r="V101" s="46">
        <f>ISNUMBER(SEARCH(";"&amp;3&amp;";",";"&amp;$J101&amp;";"))</f>
        <v/>
      </c>
      <c r="W101" s="46">
        <f>ISNUMBER(SEARCH(";"&amp;4&amp;";",";"&amp;$J101&amp;";"))</f>
        <v/>
      </c>
      <c r="X101" s="46">
        <f>ISNUMBER(SEARCH(";"&amp;5&amp;";",";"&amp;$J101&amp;";"))</f>
        <v/>
      </c>
      <c r="Y101" s="46">
        <f>ISNUMBER(SEARCH(";"&amp;6&amp;";",";"&amp;$J101&amp;";"))</f>
        <v/>
      </c>
      <c r="Z101" s="46">
        <f>ISNUMBER(SEARCH(";"&amp;7&amp;";",";"&amp;$J101&amp;";"))</f>
        <v/>
      </c>
      <c r="AA101" s="46">
        <f>ISNUMBER(SEARCH(";"&amp;8&amp;";",";"&amp;$J101&amp;";"))</f>
        <v/>
      </c>
      <c r="AB101" s="46">
        <f>IF($B101,IF(L101="","","        &lt;response_label ident=""0""&gt;&lt;material&gt;&lt;mattext texttype=""text/html""&gt;"&amp;L101&amp;"&lt;/mattext&gt;&lt;/material&gt;&lt;/response_label&gt;"),"")</f>
        <v/>
      </c>
      <c r="AC101" s="46">
        <f>IF($B101,IF(M101="","","        &lt;response_label ident=""1""&gt;&lt;material&gt;&lt;mattext texttype=""text/html""&gt;"&amp;M101&amp;"&lt;/mattext&gt;&lt;/material&gt;&lt;/response_label&gt;"),"")</f>
        <v/>
      </c>
      <c r="AD101" s="46">
        <f>IF($B101,IF(N101="","","        &lt;response_label ident=""2""&gt;&lt;material&gt;&lt;mattext texttype=""text/html""&gt;"&amp;N101&amp;"&lt;/mattext&gt;&lt;/material&gt;&lt;/response_label&gt;"),"")</f>
        <v/>
      </c>
      <c r="AE101" s="46">
        <f>IF($B101,IF(O101="","","        &lt;response_label ident=""3""&gt;&lt;material&gt;&lt;mattext texttype=""text/html""&gt;"&amp;O101&amp;"&lt;/mattext&gt;&lt;/material&gt;&lt;/response_label&gt;"),"")</f>
        <v/>
      </c>
      <c r="AF101" s="46">
        <f>IF($B101,IF(P101="","","        &lt;response_label ident=""4""&gt;&lt;material&gt;&lt;mattext texttype=""text/html""&gt;"&amp;P101&amp;"&lt;/mattext&gt;&lt;/material&gt;&lt;/response_label&gt;"),"")</f>
        <v/>
      </c>
      <c r="AG101" s="46">
        <f>IF($B101,IF(Q101="","","        &lt;response_label ident=""5""&gt;&lt;material&gt;&lt;mattext texttype=""text/html""&gt;"&amp;Q101&amp;"&lt;/mattext&gt;&lt;/material&gt;&lt;/response_label&gt;"),"")</f>
        <v/>
      </c>
      <c r="AH101" s="46">
        <f>IF($B101,IF(R101="","","        &lt;response_label ident=""6""&gt;&lt;material&gt;&lt;mattext texttype=""text/html""&gt;"&amp;R101&amp;"&lt;/mattext&gt;&lt;/material&gt;&lt;/response_label&gt;"),"")</f>
        <v/>
      </c>
      <c r="AI101" s="46">
        <f>IF($B101,IF(S101="","","        &lt;response_label ident=""7""&gt;&lt;material&gt;&lt;mattext texttype=""text/html""&gt;"&amp;S101&amp;"&lt;/mattext&gt;&lt;/material&gt;&lt;/response_label&gt;"),"")</f>
        <v/>
      </c>
      <c r="AJ101" s="46">
        <f>IF($B101,IF(L101="","",IF($C101="qcu",IF(OR(T101,AT101&lt;&gt;"",$AS101&lt;&gt;""),"      &lt;respcondition continue=""Yes""&gt;&lt;conditionvar&gt;&lt;varequal respident=""RESPONSE""&gt;0&lt;/varequal&gt;&lt;/conditionvar&gt;"&amp;"&lt;setvar action=""Add""&gt;"&amp;IF(T101,$H101,0)&amp;"&lt;/setvar&gt;"&amp;IF(AT101&lt;&gt;"","&lt;displayfeedback feedbacktype=""Response"" linkrefid=""response_0""/&gt;",IF($AS101&lt;&gt;"","&lt;displayfeedback feedbacktype=""Response"" linkrefid=""qti_feedback_trigger""/&gt;",""))&amp;"&lt;/respcondition&gt;",""),IF(OR(T101,AT101&lt;&gt;"",$AS101&lt;&gt;""),"      &lt;respcondition continue=""Yes""&gt;&lt;conditionvar&gt;"&amp;IF(T101,"&lt;varequal respident=""RESPONSE""&gt;0&lt;/varequal&gt;","&lt;not&gt;&lt;varequal respident=""RESPONSE""&gt;0&lt;/varequal&gt;&lt;/not&gt;")&amp;"&lt;/conditionvar&gt;&lt;setvar action=""Add""&gt;"&amp;(Saisie_Questions!$N101/$I101)&amp;"&lt;/setvar&gt;"&amp;IF(AT101&lt;&gt;"","&lt;displayfeedback feedbacktype=""Response"" linkrefid=""response_0""/&gt;",IF($AS101&lt;&gt;"","&lt;displayfeedback feedbacktype=""Response"" linkrefid=""qti_feedback_trigger""/&gt;",""))&amp;"&lt;/respcondition&gt;",""))),"")</f>
      </c>
      <c r="AK101" s="46">
        <f>IF($B101,IF(M101="","",IF($C101="qcu",IF(OR(U101,AU101&lt;&gt;"",$AS101&lt;&gt;""),"      &lt;respcondition continue=""Yes""&gt;&lt;conditionvar&gt;&lt;varequal respident=""RESPONSE""&gt;1&lt;/varequal&gt;&lt;/conditionvar&gt;"&amp;"&lt;setvar action=""Add""&gt;"&amp;IF(U101,$H101,0)&amp;"&lt;/setvar&gt;"&amp;IF(AU101&lt;&gt;"","&lt;displayfeedback feedbacktype=""Response"" linkrefid=""response_1""/&gt;",IF($AS101&lt;&gt;"","&lt;displayfeedback feedbacktype=""Response"" linkrefid=""qti_feedback_trigger""/&gt;",""))&amp;"&lt;/respcondition&gt;",""),IF(OR(U101,AU101&lt;&gt;"",$AS101&lt;&gt;""),"      &lt;respcondition continue=""Yes""&gt;&lt;conditionvar&gt;"&amp;IF(U101,"&lt;varequal respident=""RESPONSE""&gt;1&lt;/varequal&gt;","&lt;not&gt;&lt;varequal respident=""RESPONSE""&gt;1&lt;/varequal&gt;&lt;/not&gt;")&amp;"&lt;/conditionvar&gt;&lt;setvar action=""Add""&gt;"&amp;(Saisie_Questions!$N101/$I101)&amp;"&lt;/setvar&gt;"&amp;IF(AU101&lt;&gt;"","&lt;displayfeedback feedbacktype=""Response"" linkrefid=""response_1""/&gt;",IF($AS101&lt;&gt;"","&lt;displayfeedback feedbacktype=""Response"" linkrefid=""qti_feedback_trigger""/&gt;",""))&amp;"&lt;/respcondition&gt;",""))),"")</f>
      </c>
      <c r="AL101" s="46">
        <f>IF($B101,IF(N101="","",IF($C101="qcu",IF(OR(V101,AV101&lt;&gt;"",$AS101&lt;&gt;""),"      &lt;respcondition continue=""Yes""&gt;&lt;conditionvar&gt;&lt;varequal respident=""RESPONSE""&gt;2&lt;/varequal&gt;&lt;/conditionvar&gt;"&amp;"&lt;setvar action=""Add""&gt;"&amp;IF(V101,$H101,0)&amp;"&lt;/setvar&gt;"&amp;IF(AV101&lt;&gt;"","&lt;displayfeedback feedbacktype=""Response"" linkrefid=""response_2""/&gt;",IF($AS101&lt;&gt;"","&lt;displayfeedback feedbacktype=""Response"" linkrefid=""qti_feedback_trigger""/&gt;",""))&amp;"&lt;/respcondition&gt;",""),IF(OR(V101,AV101&lt;&gt;"",$AS101&lt;&gt;""),"      &lt;respcondition continue=""Yes""&gt;&lt;conditionvar&gt;"&amp;IF(V101,"&lt;varequal respident=""RESPONSE""&gt;2&lt;/varequal&gt;","&lt;not&gt;&lt;varequal respident=""RESPONSE""&gt;2&lt;/varequal&gt;&lt;/not&gt;")&amp;"&lt;/conditionvar&gt;&lt;setvar action=""Add""&gt;"&amp;(Saisie_Questions!$N101/$I101)&amp;"&lt;/setvar&gt;"&amp;IF(AV101&lt;&gt;"","&lt;displayfeedback feedbacktype=""Response"" linkrefid=""response_2""/&gt;",IF($AS101&lt;&gt;"","&lt;displayfeedback feedbacktype=""Response"" linkrefid=""qti_feedback_trigger""/&gt;",""))&amp;"&lt;/respcondition&gt;",""))),"")</f>
      </c>
      <c r="AM101" s="46">
        <f>IF($B101,IF(O101="","",IF($C101="qcu",IF(OR(W101,AW101&lt;&gt;"",$AS101&lt;&gt;""),"      &lt;respcondition continue=""Yes""&gt;&lt;conditionvar&gt;&lt;varequal respident=""RESPONSE""&gt;3&lt;/varequal&gt;&lt;/conditionvar&gt;"&amp;"&lt;setvar action=""Add""&gt;"&amp;IF(W101,$H101,0)&amp;"&lt;/setvar&gt;"&amp;IF(AW101&lt;&gt;"","&lt;displayfeedback feedbacktype=""Response"" linkrefid=""response_3""/&gt;",IF($AS101&lt;&gt;"","&lt;displayfeedback feedbacktype=""Response"" linkrefid=""qti_feedback_trigger""/&gt;",""))&amp;"&lt;/respcondition&gt;",""),IF(OR(W101,AW101&lt;&gt;"",$AS101&lt;&gt;""),"      &lt;respcondition continue=""Yes""&gt;&lt;conditionvar&gt;"&amp;IF(W101,"&lt;varequal respident=""RESPONSE""&gt;3&lt;/varequal&gt;","&lt;not&gt;&lt;varequal respident=""RESPONSE""&gt;3&lt;/varequal&gt;&lt;/not&gt;")&amp;"&lt;/conditionvar&gt;&lt;setvar action=""Add""&gt;"&amp;(Saisie_Questions!$N101/$I101)&amp;"&lt;/setvar&gt;"&amp;IF(AW101&lt;&gt;"","&lt;displayfeedback feedbacktype=""Response"" linkrefid=""response_3""/&gt;",IF($AS101&lt;&gt;"","&lt;displayfeedback feedbacktype=""Response"" linkrefid=""qti_feedback_trigger""/&gt;",""))&amp;"&lt;/respcondition&gt;",""))),"")</f>
      </c>
      <c r="AN101" s="46">
        <f>IF($B101,IF(P101="","",IF($C101="qcu",IF(OR(X101,AX101&lt;&gt;"",$AS101&lt;&gt;""),"      &lt;respcondition continue=""Yes""&gt;&lt;conditionvar&gt;&lt;varequal respident=""RESPONSE""&gt;4&lt;/varequal&gt;&lt;/conditionvar&gt;"&amp;"&lt;setvar action=""Add""&gt;"&amp;IF(X101,$H101,0)&amp;"&lt;/setvar&gt;"&amp;IF(AX101&lt;&gt;"","&lt;displayfeedback feedbacktype=""Response"" linkrefid=""response_4""/&gt;",IF($AS101&lt;&gt;"","&lt;displayfeedback feedbacktype=""Response"" linkrefid=""qti_feedback_trigger""/&gt;",""))&amp;"&lt;/respcondition&gt;",""),IF(OR(X101,AX101&lt;&gt;"",$AS101&lt;&gt;""),"      &lt;respcondition continue=""Yes""&gt;&lt;conditionvar&gt;"&amp;IF(X101,"&lt;varequal respident=""RESPONSE""&gt;4&lt;/varequal&gt;","&lt;not&gt;&lt;varequal respident=""RESPONSE""&gt;4&lt;/varequal&gt;&lt;/not&gt;")&amp;"&lt;/conditionvar&gt;&lt;setvar action=""Add""&gt;"&amp;(Saisie_Questions!$N101/$I101)&amp;"&lt;/setvar&gt;"&amp;IF(AX101&lt;&gt;"","&lt;displayfeedback feedbacktype=""Response"" linkrefid=""response_4""/&gt;",IF($AS101&lt;&gt;"","&lt;displayfeedback feedbacktype=""Response"" linkrefid=""qti_feedback_trigger""/&gt;",""))&amp;"&lt;/respcondition&gt;",""))),"")</f>
      </c>
      <c r="AO101" s="46">
        <f>IF($B101,IF(Q101="","",IF($C101="qcu",IF(OR(Y101,AY101&lt;&gt;"",$AS101&lt;&gt;""),"      &lt;respcondition continue=""Yes""&gt;&lt;conditionvar&gt;&lt;varequal respident=""RESPONSE""&gt;5&lt;/varequal&gt;&lt;/conditionvar&gt;"&amp;"&lt;setvar action=""Add""&gt;"&amp;IF(Y101,$H101,0)&amp;"&lt;/setvar&gt;"&amp;IF(AY101&lt;&gt;"","&lt;displayfeedback feedbacktype=""Response"" linkrefid=""response_5""/&gt;",IF($AS101&lt;&gt;"","&lt;displayfeedback feedbacktype=""Response"" linkrefid=""qti_feedback_trigger""/&gt;",""))&amp;"&lt;/respcondition&gt;",""),IF(OR(Y101,AY101&lt;&gt;"",$AS101&lt;&gt;""),"      &lt;respcondition continue=""Yes""&gt;&lt;conditionvar&gt;"&amp;IF(Y101,"&lt;varequal respident=""RESPONSE""&gt;5&lt;/varequal&gt;","&lt;not&gt;&lt;varequal respident=""RESPONSE""&gt;5&lt;/varequal&gt;&lt;/not&gt;")&amp;"&lt;/conditionvar&gt;&lt;setvar action=""Add""&gt;"&amp;(Saisie_Questions!$N101/$I101)&amp;"&lt;/setvar&gt;"&amp;IF(AY101&lt;&gt;"","&lt;displayfeedback feedbacktype=""Response"" linkrefid=""response_5""/&gt;",IF($AS101&lt;&gt;"","&lt;displayfeedback feedbacktype=""Response"" linkrefid=""qti_feedback_trigger""/&gt;",""))&amp;"&lt;/respcondition&gt;",""))),"")</f>
      </c>
      <c r="AP101" s="46">
        <f>IF($B101,IF(R101="","",IF($C101="qcu",IF(OR(Z101,AZ101&lt;&gt;"",$AS101&lt;&gt;""),"      &lt;respcondition continue=""Yes""&gt;&lt;conditionvar&gt;&lt;varequal respident=""RESPONSE""&gt;6&lt;/varequal&gt;&lt;/conditionvar&gt;"&amp;"&lt;setvar action=""Add""&gt;"&amp;IF(Z101,$H101,0)&amp;"&lt;/setvar&gt;"&amp;IF(AZ101&lt;&gt;"","&lt;displayfeedback feedbacktype=""Response"" linkrefid=""response_6""/&gt;",IF($AS101&lt;&gt;"","&lt;displayfeedback feedbacktype=""Response"" linkrefid=""qti_feedback_trigger""/&gt;",""))&amp;"&lt;/respcondition&gt;",""),IF(OR(Z101,AZ101&lt;&gt;"",$AS101&lt;&gt;""),"      &lt;respcondition continue=""Yes""&gt;&lt;conditionvar&gt;"&amp;IF(Z101,"&lt;varequal respident=""RESPONSE""&gt;6&lt;/varequal&gt;","&lt;not&gt;&lt;varequal respident=""RESPONSE""&gt;6&lt;/varequal&gt;&lt;/not&gt;")&amp;"&lt;/conditionvar&gt;&lt;setvar action=""Add""&gt;"&amp;(Saisie_Questions!$N101/$I101)&amp;"&lt;/setvar&gt;"&amp;IF(AZ101&lt;&gt;"","&lt;displayfeedback feedbacktype=""Response"" linkrefid=""response_6""/&gt;",IF($AS101&lt;&gt;"","&lt;displayfeedback feedbacktype=""Response"" linkrefid=""qti_feedback_trigger""/&gt;",""))&amp;"&lt;/respcondition&gt;",""))),"")</f>
      </c>
      <c r="AQ101" s="46">
        <f>IF($B101,IF(S101="","",IF($C101="qcu",IF(OR(AA101,BA101&lt;&gt;"",$AS101&lt;&gt;""),"      &lt;respcondition continue=""Yes""&gt;&lt;conditionvar&gt;&lt;varequal respident=""RESPONSE""&gt;7&lt;/varequal&gt;&lt;/conditionvar&gt;"&amp;"&lt;setvar action=""Add""&gt;"&amp;IF(AA101,$H101,0)&amp;"&lt;/setvar&gt;"&amp;IF(BA101&lt;&gt;"","&lt;displayfeedback feedbacktype=""Response"" linkrefid=""response_7""/&gt;",IF($AS101&lt;&gt;"","&lt;displayfeedback feedbacktype=""Response"" linkrefid=""qti_feedback_trigger""/&gt;",""))&amp;"&lt;/respcondition&gt;",""),IF(OR(AA101,BA101&lt;&gt;"",$AS101&lt;&gt;""),"      &lt;respcondition continue=""Yes""&gt;&lt;conditionvar&gt;"&amp;IF(AA101,"&lt;varequal respident=""RESPONSE""&gt;7&lt;/varequal&gt;","&lt;not&gt;&lt;varequal respident=""RESPONSE""&gt;7&lt;/varequal&gt;&lt;/not&gt;")&amp;"&lt;/conditionvar&gt;&lt;setvar action=""Add""&gt;"&amp;(Saisie_Questions!$N101/$I101)&amp;"&lt;/setvar&gt;"&amp;IF(BA101&lt;&gt;"","&lt;displayfeedback feedbacktype=""Response"" linkrefid=""response_7""/&gt;",IF($AS101&lt;&gt;"","&lt;displayfeedback feedbacktype=""Response"" linkrefid=""qti_feedback_trigger""/&gt;",""))&amp;"&lt;/respcondition&gt;",""))),"")</f>
      </c>
      <c r="AR101" s="46">
        <f>IF(A101="","",SUBSTITUTE(SUBSTITUTE(SUBSTITUTE(SUBSTITUTE(SUBSTITUTE(IF(Saisie_Questions!P101&lt;&gt;"",Saisie_Questions!P101,Interface_Generation!$B$5),"&amp;","&amp;amp;"),"&lt;","&amp;lt;"),"&gt;","&amp;gt;"),CHAR(34),"&amp;quot;"),"'","&amp;apos;"))</f>
        <v/>
      </c>
      <c r="AS101" s="46">
        <f>IF(Saisie_Questions!Q101="","",SUBSTITUTE(SUBSTITUTE(SUBSTITUTE(SUBSTITUTE(SUBSTITUTE(Saisie_Questions!Q101,"&amp;","&amp;amp;"),"&lt;","&amp;lt;"),"&gt;","&amp;gt;"),CHAR(34),"&amp;quot;"),"'","&amp;apos;"))</f>
        <v/>
      </c>
      <c r="AT101" s="46">
        <f>IF(Saisie_Questions!R101="","",SUBSTITUTE(SUBSTITUTE(SUBSTITUTE(SUBSTITUTE(SUBSTITUTE(Saisie_Questions!R101,"&amp;","&amp;amp;"),"&lt;","&amp;lt;"),"&gt;","&amp;gt;"),CHAR(34),"&amp;quot;"),"'","&amp;apos;"))</f>
        <v/>
      </c>
      <c r="AU101" s="46">
        <f>IF(Saisie_Questions!S101="","",SUBSTITUTE(SUBSTITUTE(SUBSTITUTE(SUBSTITUTE(SUBSTITUTE(Saisie_Questions!S101,"&amp;","&amp;amp;"),"&lt;","&amp;lt;"),"&gt;","&amp;gt;"),CHAR(34),"&amp;quot;"),"'","&amp;apos;"))</f>
        <v/>
      </c>
      <c r="AV101" s="46">
        <f>IF(Saisie_Questions!T101="","",SUBSTITUTE(SUBSTITUTE(SUBSTITUTE(SUBSTITUTE(SUBSTITUTE(Saisie_Questions!T101,"&amp;","&amp;amp;"),"&lt;","&amp;lt;"),"&gt;","&amp;gt;"),CHAR(34),"&amp;quot;"),"'","&amp;apos;"))</f>
        <v/>
      </c>
      <c r="AW101" s="46">
        <f>IF(Saisie_Questions!U101="","",SUBSTITUTE(SUBSTITUTE(SUBSTITUTE(SUBSTITUTE(SUBSTITUTE(Saisie_Questions!U101,"&amp;","&amp;amp;"),"&lt;","&amp;lt;"),"&gt;","&amp;gt;"),CHAR(34),"&amp;quot;"),"'","&amp;apos;"))</f>
        <v/>
      </c>
      <c r="AX101" s="46">
        <f>IF(Saisie_Questions!V101="","",SUBSTITUTE(SUBSTITUTE(SUBSTITUTE(SUBSTITUTE(SUBSTITUTE(Saisie_Questions!V101,"&amp;","&amp;amp;"),"&lt;","&amp;lt;"),"&gt;","&amp;gt;"),CHAR(34),"&amp;quot;"),"'","&amp;apos;"))</f>
        <v/>
      </c>
      <c r="AY101" s="46">
        <f>IF(Saisie_Questions!W101="","",SUBSTITUTE(SUBSTITUTE(SUBSTITUTE(SUBSTITUTE(SUBSTITUTE(Saisie_Questions!W101,"&amp;","&amp;amp;"),"&lt;","&amp;lt;"),"&gt;","&amp;gt;"),CHAR(34),"&amp;quot;"),"'","&amp;apos;"))</f>
        <v/>
      </c>
      <c r="AZ101" s="46">
        <f>IF(Saisie_Questions!X101="","",SUBSTITUTE(SUBSTITUTE(SUBSTITUTE(SUBSTITUTE(SUBSTITUTE(Saisie_Questions!X101,"&amp;","&amp;amp;"),"&lt;","&amp;lt;"),"&gt;","&amp;gt;"),CHAR(34),"&amp;quot;"),"'","&amp;apos;"))</f>
        <v/>
      </c>
      <c r="BA101" s="46">
        <f>IF(Saisie_Questions!Y101="","",SUBSTITUTE(SUBSTITUTE(SUBSTITUTE(SUBSTITUTE(SUBSTITUTE(Saisie_Questions!Y101,"&amp;","&amp;amp;"),"&lt;","&amp;lt;"),"&gt;","&amp;gt;"),CHAR(34),"&amp;quot;"),"'","&amp;apos;"))</f>
        <v/>
      </c>
      <c r="BB101" s="46">
        <f>IF($B101,IF($AS101="","","    &lt;itemfeedback ident=""response_allcorrect"" view=""All""&gt;&lt;flow_mat&gt;&lt;material&gt;&lt;mattext texttype=""text/html""&gt;"&amp;$AS101&amp;"&lt;/mattext&gt;&lt;/material&gt;&lt;/flow_mat&gt;&lt;/itemfeedback&gt;"&amp;"    &lt;itemfeedback ident=""response_onenotcorrect"" view=""All""&gt;&lt;flow_mat&gt;&lt;material&gt;&lt;mattext texttype=""text/html""&gt;"&amp;$AS101&amp;"&lt;/mattext&gt;&lt;/material&gt;&lt;/flow_mat&gt;&lt;/itemfeedback&gt;"),"")</f>
      </c>
      <c r="BC101" s="46">
        <f>IF($B101,IF(AT101="","","    &lt;itemfeedback ident=""response_0"" view=""All""&gt;&lt;flow_mat&gt;&lt;material&gt;&lt;mattext texttype=""text/html""&gt;"&amp;AT101&amp;"&lt;/mattext&gt;&lt;/material&gt;&lt;/flow_mat&gt;&lt;/itemfeedback&gt;"),"")</f>
      </c>
      <c r="BD101" s="46">
        <f>IF($B101,IF(AU101="","","    &lt;itemfeedback ident=""response_1"" view=""All""&gt;&lt;flow_mat&gt;&lt;material&gt;&lt;mattext texttype=""text/html""&gt;"&amp;AU101&amp;"&lt;/mattext&gt;&lt;/material&gt;&lt;/flow_mat&gt;&lt;/itemfeedback&gt;"),"")</f>
      </c>
      <c r="BE101" s="46">
        <f>IF($B101,IF(AV101="","","    &lt;itemfeedback ident=""response_2"" view=""All""&gt;&lt;flow_mat&gt;&lt;material&gt;&lt;mattext texttype=""text/html""&gt;"&amp;AV101&amp;"&lt;/mattext&gt;&lt;/material&gt;&lt;/flow_mat&gt;&lt;/itemfeedback&gt;"),"")</f>
      </c>
      <c r="BF101" s="46">
        <f>IF($B101,IF(AW101="","","    &lt;itemfeedback ident=""response_3"" view=""All""&gt;&lt;flow_mat&gt;&lt;material&gt;&lt;mattext texttype=""text/html""&gt;"&amp;AW101&amp;"&lt;/mattext&gt;&lt;/material&gt;&lt;/flow_mat&gt;&lt;/itemfeedback&gt;"),"")</f>
      </c>
      <c r="BG101" s="46">
        <f>IF($B101,IF(AX101="","","    &lt;itemfeedback ident=""response_4"" view=""All""&gt;&lt;flow_mat&gt;&lt;material&gt;&lt;mattext texttype=""text/html""&gt;"&amp;AX101&amp;"&lt;/mattext&gt;&lt;/material&gt;&lt;/flow_mat&gt;&lt;/itemfeedback&gt;"),"")</f>
      </c>
      <c r="BH101" s="46">
        <f>IF($B101,IF(AY101="","","    &lt;itemfeedback ident=""response_5"" view=""All""&gt;&lt;flow_mat&gt;&lt;material&gt;&lt;mattext texttype=""text/html""&gt;"&amp;AY101&amp;"&lt;/mattext&gt;&lt;/material&gt;&lt;/flow_mat&gt;&lt;/itemfeedback&gt;"),"")</f>
      </c>
      <c r="BI101" s="46">
        <f>IF($B101,IF(AZ101="","","    &lt;itemfeedback ident=""response_6"" view=""All""&gt;&lt;flow_mat&gt;&lt;material&gt;&lt;mattext texttype=""text/html""&gt;"&amp;AZ101&amp;"&lt;/mattext&gt;&lt;/material&gt;&lt;/flow_mat&gt;&lt;/itemfeedback&gt;"),"")</f>
      </c>
      <c r="BJ101" s="46">
        <f>IF($B101,IF(BA101="","","    &lt;itemfeedback ident=""response_7"" view=""All""&gt;&lt;flow_mat&gt;&lt;material&gt;&lt;mattext texttype=""text/html""&gt;"&amp;BA101&amp;"&lt;/mattext&gt;&lt;/material&gt;&lt;/flow_mat&gt;&lt;/itemfeedback&gt;"),"")</f>
      </c>
    </row>
    <row r="102" ht="18" customHeight="1" s="17">
      <c r="A102" s="46">
        <f>Saisie_Questions!A102</f>
        <v/>
      </c>
      <c r="B102" s="46">
        <f>Saisie_Questions!O102="OK"</f>
        <v/>
      </c>
      <c r="C102" s="46">
        <f>LOWER(TRIM(Saisie_Questions!B102))</f>
        <v/>
      </c>
      <c r="D102" s="46">
        <f>IF(C102="qcu","SINGLE CHOICE QUESTION","MULTIPLE CHOICE QUESTION")</f>
        <v/>
      </c>
      <c r="E102" s="46">
        <f>IF(C102="qcu","Single","Multiple")</f>
        <v/>
      </c>
      <c r="F102" s="46">
        <f>IF(A102="","",SUBSTITUTE(SUBSTITUTE(SUBSTITUTE(SUBSTITUTE(SUBSTITUTE(IF(Saisie_Questions!C102="", "Question "&amp;A102, Saisie_Questions!C102),"&amp;","&amp;amp;"),"&lt;","&amp;lt;"),"&gt;","&amp;gt;"),CHAR(34),"&amp;quot;"),"'","&amp;apos;"))</f>
        <v/>
      </c>
      <c r="G102" s="46">
        <f>IF(A102="","",SUBSTITUTE(SUBSTITUTE(SUBSTITUTE(SUBSTITUTE(SUBSTITUTE(Saisie_Questions!D102,"&amp;","&amp;amp;"),"&lt;","&amp;lt;"),"&gt;","&amp;gt;"),CHAR(34),"&amp;quot;"),"'","&amp;apos;"))</f>
        <v/>
      </c>
      <c r="H102" s="46">
        <f>Saisie_Questions!N102</f>
        <v/>
      </c>
      <c r="I102" s="46">
        <f>IF(Saisie_Questions!E102="",0,1)+IF(Saisie_Questions!F102="",0,1)+IF(Saisie_Questions!G102="",0,1)+IF(Saisie_Questions!H102="",0,1)+IF(Saisie_Questions!I102="",0,1)+IF(Saisie_Questions!J102="",0,1)+IF(Saisie_Questions!K102="",0,1)+IF(Saisie_Questions!L102="",0,1)</f>
        <v/>
      </c>
      <c r="J102" s="46">
        <f>Saisie_Questions!M102</f>
        <v/>
      </c>
      <c r="K102" s="46">
        <f>Saisie_Questions!O102</f>
        <v/>
      </c>
      <c r="L102" s="46">
        <f>IF(Saisie_Questions!E102="","",SUBSTITUTE(SUBSTITUTE(SUBSTITUTE(SUBSTITUTE(SUBSTITUTE(Saisie_Questions!E102,"&amp;","&amp;amp;"),"&lt;","&amp;lt;"),"&gt;","&amp;gt;"),CHAR(34),"&amp;quot;"),"'","&amp;apos;"))</f>
        <v/>
      </c>
      <c r="M102" s="46">
        <f>IF(Saisie_Questions!F102="","",SUBSTITUTE(SUBSTITUTE(SUBSTITUTE(SUBSTITUTE(SUBSTITUTE(Saisie_Questions!F102,"&amp;","&amp;amp;"),"&lt;","&amp;lt;"),"&gt;","&amp;gt;"),CHAR(34),"&amp;quot;"),"'","&amp;apos;"))</f>
        <v/>
      </c>
      <c r="N102" s="46">
        <f>IF(Saisie_Questions!G102="","",SUBSTITUTE(SUBSTITUTE(SUBSTITUTE(SUBSTITUTE(SUBSTITUTE(Saisie_Questions!G102,"&amp;","&amp;amp;"),"&lt;","&amp;lt;"),"&gt;","&amp;gt;"),CHAR(34),"&amp;quot;"),"'","&amp;apos;"))</f>
        <v/>
      </c>
      <c r="O102" s="46">
        <f>IF(Saisie_Questions!H102="","",SUBSTITUTE(SUBSTITUTE(SUBSTITUTE(SUBSTITUTE(SUBSTITUTE(Saisie_Questions!H102,"&amp;","&amp;amp;"),"&lt;","&amp;lt;"),"&gt;","&amp;gt;"),CHAR(34),"&amp;quot;"),"'","&amp;apos;"))</f>
        <v/>
      </c>
      <c r="P102" s="46">
        <f>IF(Saisie_Questions!I102="","",SUBSTITUTE(SUBSTITUTE(SUBSTITUTE(SUBSTITUTE(SUBSTITUTE(Saisie_Questions!I102,"&amp;","&amp;amp;"),"&lt;","&amp;lt;"),"&gt;","&amp;gt;"),CHAR(34),"&amp;quot;"),"'","&amp;apos;"))</f>
        <v/>
      </c>
      <c r="Q102" s="46">
        <f>IF(Saisie_Questions!J102="","",SUBSTITUTE(SUBSTITUTE(SUBSTITUTE(SUBSTITUTE(SUBSTITUTE(Saisie_Questions!J102,"&amp;","&amp;amp;"),"&lt;","&amp;lt;"),"&gt;","&amp;gt;"),CHAR(34),"&amp;quot;"),"'","&amp;apos;"))</f>
        <v/>
      </c>
      <c r="R102" s="46">
        <f>IF(Saisie_Questions!K102="","",SUBSTITUTE(SUBSTITUTE(SUBSTITUTE(SUBSTITUTE(SUBSTITUTE(Saisie_Questions!K102,"&amp;","&amp;amp;"),"&lt;","&amp;lt;"),"&gt;","&amp;gt;"),CHAR(34),"&amp;quot;"),"'","&amp;apos;"))</f>
        <v/>
      </c>
      <c r="S102" s="46">
        <f>IF(Saisie_Questions!L102="","",SUBSTITUTE(SUBSTITUTE(SUBSTITUTE(SUBSTITUTE(SUBSTITUTE(Saisie_Questions!L102,"&amp;","&amp;amp;"),"&lt;","&amp;lt;"),"&gt;","&amp;gt;"),CHAR(34),"&amp;quot;"),"'","&amp;apos;"))</f>
        <v/>
      </c>
      <c r="T102" s="46">
        <f>ISNUMBER(SEARCH(";"&amp;1&amp;";",";"&amp;$J102&amp;";"))</f>
        <v/>
      </c>
      <c r="U102" s="46">
        <f>ISNUMBER(SEARCH(";"&amp;2&amp;";",";"&amp;$J102&amp;";"))</f>
        <v/>
      </c>
      <c r="V102" s="46">
        <f>ISNUMBER(SEARCH(";"&amp;3&amp;";",";"&amp;$J102&amp;";"))</f>
        <v/>
      </c>
      <c r="W102" s="46">
        <f>ISNUMBER(SEARCH(";"&amp;4&amp;";",";"&amp;$J102&amp;";"))</f>
        <v/>
      </c>
      <c r="X102" s="46">
        <f>ISNUMBER(SEARCH(";"&amp;5&amp;";",";"&amp;$J102&amp;";"))</f>
        <v/>
      </c>
      <c r="Y102" s="46">
        <f>ISNUMBER(SEARCH(";"&amp;6&amp;";",";"&amp;$J102&amp;";"))</f>
        <v/>
      </c>
      <c r="Z102" s="46">
        <f>ISNUMBER(SEARCH(";"&amp;7&amp;";",";"&amp;$J102&amp;";"))</f>
        <v/>
      </c>
      <c r="AA102" s="46">
        <f>ISNUMBER(SEARCH(";"&amp;8&amp;";",";"&amp;$J102&amp;";"))</f>
        <v/>
      </c>
      <c r="AB102" s="46">
        <f>IF($B102,IF(L102="","","        &lt;response_label ident=""0""&gt;&lt;material&gt;&lt;mattext texttype=""text/html""&gt;"&amp;L102&amp;"&lt;/mattext&gt;&lt;/material&gt;&lt;/response_label&gt;"),"")</f>
        <v/>
      </c>
      <c r="AC102" s="46">
        <f>IF($B102,IF(M102="","","        &lt;response_label ident=""1""&gt;&lt;material&gt;&lt;mattext texttype=""text/html""&gt;"&amp;M102&amp;"&lt;/mattext&gt;&lt;/material&gt;&lt;/response_label&gt;"),"")</f>
        <v/>
      </c>
      <c r="AD102" s="46">
        <f>IF($B102,IF(N102="","","        &lt;response_label ident=""2""&gt;&lt;material&gt;&lt;mattext texttype=""text/html""&gt;"&amp;N102&amp;"&lt;/mattext&gt;&lt;/material&gt;&lt;/response_label&gt;"),"")</f>
        <v/>
      </c>
      <c r="AE102" s="46">
        <f>IF($B102,IF(O102="","","        &lt;response_label ident=""3""&gt;&lt;material&gt;&lt;mattext texttype=""text/html""&gt;"&amp;O102&amp;"&lt;/mattext&gt;&lt;/material&gt;&lt;/response_label&gt;"),"")</f>
        <v/>
      </c>
      <c r="AF102" s="46">
        <f>IF($B102,IF(P102="","","        &lt;response_label ident=""4""&gt;&lt;material&gt;&lt;mattext texttype=""text/html""&gt;"&amp;P102&amp;"&lt;/mattext&gt;&lt;/material&gt;&lt;/response_label&gt;"),"")</f>
        <v/>
      </c>
      <c r="AG102" s="46">
        <f>IF($B102,IF(Q102="","","        &lt;response_label ident=""5""&gt;&lt;material&gt;&lt;mattext texttype=""text/html""&gt;"&amp;Q102&amp;"&lt;/mattext&gt;&lt;/material&gt;&lt;/response_label&gt;"),"")</f>
        <v/>
      </c>
      <c r="AH102" s="46">
        <f>IF($B102,IF(R102="","","        &lt;response_label ident=""6""&gt;&lt;material&gt;&lt;mattext texttype=""text/html""&gt;"&amp;R102&amp;"&lt;/mattext&gt;&lt;/material&gt;&lt;/response_label&gt;"),"")</f>
        <v/>
      </c>
      <c r="AI102" s="46">
        <f>IF($B102,IF(S102="","","        &lt;response_label ident=""7""&gt;&lt;material&gt;&lt;mattext texttype=""text/html""&gt;"&amp;S102&amp;"&lt;/mattext&gt;&lt;/material&gt;&lt;/response_label&gt;"),"")</f>
        <v/>
      </c>
      <c r="AJ102" s="46">
        <f>IF($B102,IF(L102="","",IF($C102="qcu",IF(OR(T102,AT102&lt;&gt;"",$AS102&lt;&gt;""),"      &lt;respcondition continue=""Yes""&gt;&lt;conditionvar&gt;&lt;varequal respident=""RESPONSE""&gt;0&lt;/varequal&gt;&lt;/conditionvar&gt;"&amp;"&lt;setvar action=""Add""&gt;"&amp;IF(T102,$H102,0)&amp;"&lt;/setvar&gt;"&amp;IF(AT102&lt;&gt;"","&lt;displayfeedback feedbacktype=""Response"" linkrefid=""response_0""/&gt;",IF($AS102&lt;&gt;"","&lt;displayfeedback feedbacktype=""Response"" linkrefid=""qti_feedback_trigger""/&gt;",""))&amp;"&lt;/respcondition&gt;",""),IF(OR(T102,AT102&lt;&gt;"",$AS102&lt;&gt;""),"      &lt;respcondition continue=""Yes""&gt;&lt;conditionvar&gt;"&amp;IF(T102,"&lt;varequal respident=""RESPONSE""&gt;0&lt;/varequal&gt;","&lt;not&gt;&lt;varequal respident=""RESPONSE""&gt;0&lt;/varequal&gt;&lt;/not&gt;")&amp;"&lt;/conditionvar&gt;&lt;setvar action=""Add""&gt;"&amp;(Saisie_Questions!$N102/$I102)&amp;"&lt;/setvar&gt;"&amp;IF(AT102&lt;&gt;"","&lt;displayfeedback feedbacktype=""Response"" linkrefid=""response_0""/&gt;",IF($AS102&lt;&gt;"","&lt;displayfeedback feedbacktype=""Response"" linkrefid=""qti_feedback_trigger""/&gt;",""))&amp;"&lt;/respcondition&gt;",""))),"")</f>
      </c>
      <c r="AK102" s="46">
        <f>IF($B102,IF(M102="","",IF($C102="qcu",IF(OR(U102,AU102&lt;&gt;"",$AS102&lt;&gt;""),"      &lt;respcondition continue=""Yes""&gt;&lt;conditionvar&gt;&lt;varequal respident=""RESPONSE""&gt;1&lt;/varequal&gt;&lt;/conditionvar&gt;"&amp;"&lt;setvar action=""Add""&gt;"&amp;IF(U102,$H102,0)&amp;"&lt;/setvar&gt;"&amp;IF(AU102&lt;&gt;"","&lt;displayfeedback feedbacktype=""Response"" linkrefid=""response_1""/&gt;",IF($AS102&lt;&gt;"","&lt;displayfeedback feedbacktype=""Response"" linkrefid=""qti_feedback_trigger""/&gt;",""))&amp;"&lt;/respcondition&gt;",""),IF(OR(U102,AU102&lt;&gt;"",$AS102&lt;&gt;""),"      &lt;respcondition continue=""Yes""&gt;&lt;conditionvar&gt;"&amp;IF(U102,"&lt;varequal respident=""RESPONSE""&gt;1&lt;/varequal&gt;","&lt;not&gt;&lt;varequal respident=""RESPONSE""&gt;1&lt;/varequal&gt;&lt;/not&gt;")&amp;"&lt;/conditionvar&gt;&lt;setvar action=""Add""&gt;"&amp;(Saisie_Questions!$N102/$I102)&amp;"&lt;/setvar&gt;"&amp;IF(AU102&lt;&gt;"","&lt;displayfeedback feedbacktype=""Response"" linkrefid=""response_1""/&gt;",IF($AS102&lt;&gt;"","&lt;displayfeedback feedbacktype=""Response"" linkrefid=""qti_feedback_trigger""/&gt;",""))&amp;"&lt;/respcondition&gt;",""))),"")</f>
      </c>
      <c r="AL102" s="46">
        <f>IF($B102,IF(N102="","",IF($C102="qcu",IF(OR(V102,AV102&lt;&gt;"",$AS102&lt;&gt;""),"      &lt;respcondition continue=""Yes""&gt;&lt;conditionvar&gt;&lt;varequal respident=""RESPONSE""&gt;2&lt;/varequal&gt;&lt;/conditionvar&gt;"&amp;"&lt;setvar action=""Add""&gt;"&amp;IF(V102,$H102,0)&amp;"&lt;/setvar&gt;"&amp;IF(AV102&lt;&gt;"","&lt;displayfeedback feedbacktype=""Response"" linkrefid=""response_2""/&gt;",IF($AS102&lt;&gt;"","&lt;displayfeedback feedbacktype=""Response"" linkrefid=""qti_feedback_trigger""/&gt;",""))&amp;"&lt;/respcondition&gt;",""),IF(OR(V102,AV102&lt;&gt;"",$AS102&lt;&gt;""),"      &lt;respcondition continue=""Yes""&gt;&lt;conditionvar&gt;"&amp;IF(V102,"&lt;varequal respident=""RESPONSE""&gt;2&lt;/varequal&gt;","&lt;not&gt;&lt;varequal respident=""RESPONSE""&gt;2&lt;/varequal&gt;&lt;/not&gt;")&amp;"&lt;/conditionvar&gt;&lt;setvar action=""Add""&gt;"&amp;(Saisie_Questions!$N102/$I102)&amp;"&lt;/setvar&gt;"&amp;IF(AV102&lt;&gt;"","&lt;displayfeedback feedbacktype=""Response"" linkrefid=""response_2""/&gt;",IF($AS102&lt;&gt;"","&lt;displayfeedback feedbacktype=""Response"" linkrefid=""qti_feedback_trigger""/&gt;",""))&amp;"&lt;/respcondition&gt;",""))),"")</f>
      </c>
      <c r="AM102" s="46">
        <f>IF($B102,IF(O102="","",IF($C102="qcu",IF(OR(W102,AW102&lt;&gt;"",$AS102&lt;&gt;""),"      &lt;respcondition continue=""Yes""&gt;&lt;conditionvar&gt;&lt;varequal respident=""RESPONSE""&gt;3&lt;/varequal&gt;&lt;/conditionvar&gt;"&amp;"&lt;setvar action=""Add""&gt;"&amp;IF(W102,$H102,0)&amp;"&lt;/setvar&gt;"&amp;IF(AW102&lt;&gt;"","&lt;displayfeedback feedbacktype=""Response"" linkrefid=""response_3""/&gt;",IF($AS102&lt;&gt;"","&lt;displayfeedback feedbacktype=""Response"" linkrefid=""qti_feedback_trigger""/&gt;",""))&amp;"&lt;/respcondition&gt;",""),IF(OR(W102,AW102&lt;&gt;"",$AS102&lt;&gt;""),"      &lt;respcondition continue=""Yes""&gt;&lt;conditionvar&gt;"&amp;IF(W102,"&lt;varequal respident=""RESPONSE""&gt;3&lt;/varequal&gt;","&lt;not&gt;&lt;varequal respident=""RESPONSE""&gt;3&lt;/varequal&gt;&lt;/not&gt;")&amp;"&lt;/conditionvar&gt;&lt;setvar action=""Add""&gt;"&amp;(Saisie_Questions!$N102/$I102)&amp;"&lt;/setvar&gt;"&amp;IF(AW102&lt;&gt;"","&lt;displayfeedback feedbacktype=""Response"" linkrefid=""response_3""/&gt;",IF($AS102&lt;&gt;"","&lt;displayfeedback feedbacktype=""Response"" linkrefid=""qti_feedback_trigger""/&gt;",""))&amp;"&lt;/respcondition&gt;",""))),"")</f>
      </c>
      <c r="AN102" s="46">
        <f>IF($B102,IF(P102="","",IF($C102="qcu",IF(OR(X102,AX102&lt;&gt;"",$AS102&lt;&gt;""),"      &lt;respcondition continue=""Yes""&gt;&lt;conditionvar&gt;&lt;varequal respident=""RESPONSE""&gt;4&lt;/varequal&gt;&lt;/conditionvar&gt;"&amp;"&lt;setvar action=""Add""&gt;"&amp;IF(X102,$H102,0)&amp;"&lt;/setvar&gt;"&amp;IF(AX102&lt;&gt;"","&lt;displayfeedback feedbacktype=""Response"" linkrefid=""response_4""/&gt;",IF($AS102&lt;&gt;"","&lt;displayfeedback feedbacktype=""Response"" linkrefid=""qti_feedback_trigger""/&gt;",""))&amp;"&lt;/respcondition&gt;",""),IF(OR(X102,AX102&lt;&gt;"",$AS102&lt;&gt;""),"      &lt;respcondition continue=""Yes""&gt;&lt;conditionvar&gt;"&amp;IF(X102,"&lt;varequal respident=""RESPONSE""&gt;4&lt;/varequal&gt;","&lt;not&gt;&lt;varequal respident=""RESPONSE""&gt;4&lt;/varequal&gt;&lt;/not&gt;")&amp;"&lt;/conditionvar&gt;&lt;setvar action=""Add""&gt;"&amp;(Saisie_Questions!$N102/$I102)&amp;"&lt;/setvar&gt;"&amp;IF(AX102&lt;&gt;"","&lt;displayfeedback feedbacktype=""Response"" linkrefid=""response_4""/&gt;",IF($AS102&lt;&gt;"","&lt;displayfeedback feedbacktype=""Response"" linkrefid=""qti_feedback_trigger""/&gt;",""))&amp;"&lt;/respcondition&gt;",""))),"")</f>
      </c>
      <c r="AO102" s="46">
        <f>IF($B102,IF(Q102="","",IF($C102="qcu",IF(OR(Y102,AY102&lt;&gt;"",$AS102&lt;&gt;""),"      &lt;respcondition continue=""Yes""&gt;&lt;conditionvar&gt;&lt;varequal respident=""RESPONSE""&gt;5&lt;/varequal&gt;&lt;/conditionvar&gt;"&amp;"&lt;setvar action=""Add""&gt;"&amp;IF(Y102,$H102,0)&amp;"&lt;/setvar&gt;"&amp;IF(AY102&lt;&gt;"","&lt;displayfeedback feedbacktype=""Response"" linkrefid=""response_5""/&gt;",IF($AS102&lt;&gt;"","&lt;displayfeedback feedbacktype=""Response"" linkrefid=""qti_feedback_trigger""/&gt;",""))&amp;"&lt;/respcondition&gt;",""),IF(OR(Y102,AY102&lt;&gt;"",$AS102&lt;&gt;""),"      &lt;respcondition continue=""Yes""&gt;&lt;conditionvar&gt;"&amp;IF(Y102,"&lt;varequal respident=""RESPONSE""&gt;5&lt;/varequal&gt;","&lt;not&gt;&lt;varequal respident=""RESPONSE""&gt;5&lt;/varequal&gt;&lt;/not&gt;")&amp;"&lt;/conditionvar&gt;&lt;setvar action=""Add""&gt;"&amp;(Saisie_Questions!$N102/$I102)&amp;"&lt;/setvar&gt;"&amp;IF(AY102&lt;&gt;"","&lt;displayfeedback feedbacktype=""Response"" linkrefid=""response_5""/&gt;",IF($AS102&lt;&gt;"","&lt;displayfeedback feedbacktype=""Response"" linkrefid=""qti_feedback_trigger""/&gt;",""))&amp;"&lt;/respcondition&gt;",""))),"")</f>
      </c>
      <c r="AP102" s="46">
        <f>IF($B102,IF(R102="","",IF($C102="qcu",IF(OR(Z102,AZ102&lt;&gt;"",$AS102&lt;&gt;""),"      &lt;respcondition continue=""Yes""&gt;&lt;conditionvar&gt;&lt;varequal respident=""RESPONSE""&gt;6&lt;/varequal&gt;&lt;/conditionvar&gt;"&amp;"&lt;setvar action=""Add""&gt;"&amp;IF(Z102,$H102,0)&amp;"&lt;/setvar&gt;"&amp;IF(AZ102&lt;&gt;"","&lt;displayfeedback feedbacktype=""Response"" linkrefid=""response_6""/&gt;",IF($AS102&lt;&gt;"","&lt;displayfeedback feedbacktype=""Response"" linkrefid=""qti_feedback_trigger""/&gt;",""))&amp;"&lt;/respcondition&gt;",""),IF(OR(Z102,AZ102&lt;&gt;"",$AS102&lt;&gt;""),"      &lt;respcondition continue=""Yes""&gt;&lt;conditionvar&gt;"&amp;IF(Z102,"&lt;varequal respident=""RESPONSE""&gt;6&lt;/varequal&gt;","&lt;not&gt;&lt;varequal respident=""RESPONSE""&gt;6&lt;/varequal&gt;&lt;/not&gt;")&amp;"&lt;/conditionvar&gt;&lt;setvar action=""Add""&gt;"&amp;(Saisie_Questions!$N102/$I102)&amp;"&lt;/setvar&gt;"&amp;IF(AZ102&lt;&gt;"","&lt;displayfeedback feedbacktype=""Response"" linkrefid=""response_6""/&gt;",IF($AS102&lt;&gt;"","&lt;displayfeedback feedbacktype=""Response"" linkrefid=""qti_feedback_trigger""/&gt;",""))&amp;"&lt;/respcondition&gt;",""))),"")</f>
      </c>
      <c r="AQ102" s="46">
        <f>IF($B102,IF(S102="","",IF($C102="qcu",IF(OR(AA102,BA102&lt;&gt;"",$AS102&lt;&gt;""),"      &lt;respcondition continue=""Yes""&gt;&lt;conditionvar&gt;&lt;varequal respident=""RESPONSE""&gt;7&lt;/varequal&gt;&lt;/conditionvar&gt;"&amp;"&lt;setvar action=""Add""&gt;"&amp;IF(AA102,$H102,0)&amp;"&lt;/setvar&gt;"&amp;IF(BA102&lt;&gt;"","&lt;displayfeedback feedbacktype=""Response"" linkrefid=""response_7""/&gt;",IF($AS102&lt;&gt;"","&lt;displayfeedback feedbacktype=""Response"" linkrefid=""qti_feedback_trigger""/&gt;",""))&amp;"&lt;/respcondition&gt;",""),IF(OR(AA102,BA102&lt;&gt;"",$AS102&lt;&gt;""),"      &lt;respcondition continue=""Yes""&gt;&lt;conditionvar&gt;"&amp;IF(AA102,"&lt;varequal respident=""RESPONSE""&gt;7&lt;/varequal&gt;","&lt;not&gt;&lt;varequal respident=""RESPONSE""&gt;7&lt;/varequal&gt;&lt;/not&gt;")&amp;"&lt;/conditionvar&gt;&lt;setvar action=""Add""&gt;"&amp;(Saisie_Questions!$N102/$I102)&amp;"&lt;/setvar&gt;"&amp;IF(BA102&lt;&gt;"","&lt;displayfeedback feedbacktype=""Response"" linkrefid=""response_7""/&gt;",IF($AS102&lt;&gt;"","&lt;displayfeedback feedbacktype=""Response"" linkrefid=""qti_feedback_trigger""/&gt;",""))&amp;"&lt;/respcondition&gt;",""))),"")</f>
      </c>
      <c r="AR102" s="46">
        <f>IF(A102="","",SUBSTITUTE(SUBSTITUTE(SUBSTITUTE(SUBSTITUTE(SUBSTITUTE(IF(Saisie_Questions!P102&lt;&gt;"",Saisie_Questions!P102,Interface_Generation!$B$5),"&amp;","&amp;amp;"),"&lt;","&amp;lt;"),"&gt;","&amp;gt;"),CHAR(34),"&amp;quot;"),"'","&amp;apos;"))</f>
        <v/>
      </c>
      <c r="AS102" s="46">
        <f>IF(Saisie_Questions!Q102="","",SUBSTITUTE(SUBSTITUTE(SUBSTITUTE(SUBSTITUTE(SUBSTITUTE(Saisie_Questions!Q102,"&amp;","&amp;amp;"),"&lt;","&amp;lt;"),"&gt;","&amp;gt;"),CHAR(34),"&amp;quot;"),"'","&amp;apos;"))</f>
        <v/>
      </c>
      <c r="AT102" s="46">
        <f>IF(Saisie_Questions!R102="","",SUBSTITUTE(SUBSTITUTE(SUBSTITUTE(SUBSTITUTE(SUBSTITUTE(Saisie_Questions!R102,"&amp;","&amp;amp;"),"&lt;","&amp;lt;"),"&gt;","&amp;gt;"),CHAR(34),"&amp;quot;"),"'","&amp;apos;"))</f>
        <v/>
      </c>
      <c r="AU102" s="46">
        <f>IF(Saisie_Questions!S102="","",SUBSTITUTE(SUBSTITUTE(SUBSTITUTE(SUBSTITUTE(SUBSTITUTE(Saisie_Questions!S102,"&amp;","&amp;amp;"),"&lt;","&amp;lt;"),"&gt;","&amp;gt;"),CHAR(34),"&amp;quot;"),"'","&amp;apos;"))</f>
        <v/>
      </c>
      <c r="AV102" s="46">
        <f>IF(Saisie_Questions!T102="","",SUBSTITUTE(SUBSTITUTE(SUBSTITUTE(SUBSTITUTE(SUBSTITUTE(Saisie_Questions!T102,"&amp;","&amp;amp;"),"&lt;","&amp;lt;"),"&gt;","&amp;gt;"),CHAR(34),"&amp;quot;"),"'","&amp;apos;"))</f>
        <v/>
      </c>
      <c r="AW102" s="46">
        <f>IF(Saisie_Questions!U102="","",SUBSTITUTE(SUBSTITUTE(SUBSTITUTE(SUBSTITUTE(SUBSTITUTE(Saisie_Questions!U102,"&amp;","&amp;amp;"),"&lt;","&amp;lt;"),"&gt;","&amp;gt;"),CHAR(34),"&amp;quot;"),"'","&amp;apos;"))</f>
        <v/>
      </c>
      <c r="AX102" s="46">
        <f>IF(Saisie_Questions!V102="","",SUBSTITUTE(SUBSTITUTE(SUBSTITUTE(SUBSTITUTE(SUBSTITUTE(Saisie_Questions!V102,"&amp;","&amp;amp;"),"&lt;","&amp;lt;"),"&gt;","&amp;gt;"),CHAR(34),"&amp;quot;"),"'","&amp;apos;"))</f>
        <v/>
      </c>
      <c r="AY102" s="46">
        <f>IF(Saisie_Questions!W102="","",SUBSTITUTE(SUBSTITUTE(SUBSTITUTE(SUBSTITUTE(SUBSTITUTE(Saisie_Questions!W102,"&amp;","&amp;amp;"),"&lt;","&amp;lt;"),"&gt;","&amp;gt;"),CHAR(34),"&amp;quot;"),"'","&amp;apos;"))</f>
        <v/>
      </c>
      <c r="AZ102" s="46">
        <f>IF(Saisie_Questions!X102="","",SUBSTITUTE(SUBSTITUTE(SUBSTITUTE(SUBSTITUTE(SUBSTITUTE(Saisie_Questions!X102,"&amp;","&amp;amp;"),"&lt;","&amp;lt;"),"&gt;","&amp;gt;"),CHAR(34),"&amp;quot;"),"'","&amp;apos;"))</f>
        <v/>
      </c>
      <c r="BA102" s="46">
        <f>IF(Saisie_Questions!Y102="","",SUBSTITUTE(SUBSTITUTE(SUBSTITUTE(SUBSTITUTE(SUBSTITUTE(Saisie_Questions!Y102,"&amp;","&amp;amp;"),"&lt;","&amp;lt;"),"&gt;","&amp;gt;"),CHAR(34),"&amp;quot;"),"'","&amp;apos;"))</f>
        <v/>
      </c>
      <c r="BB102" s="46">
        <f>IF($B102,IF($AS102="","","    &lt;itemfeedback ident=""response_allcorrect"" view=""All""&gt;&lt;flow_mat&gt;&lt;material&gt;&lt;mattext texttype=""text/html""&gt;"&amp;$AS102&amp;"&lt;/mattext&gt;&lt;/material&gt;&lt;/flow_mat&gt;&lt;/itemfeedback&gt;"&amp;"    &lt;itemfeedback ident=""response_onenotcorrect"" view=""All""&gt;&lt;flow_mat&gt;&lt;material&gt;&lt;mattext texttype=""text/html""&gt;"&amp;$AS102&amp;"&lt;/mattext&gt;&lt;/material&gt;&lt;/flow_mat&gt;&lt;/itemfeedback&gt;"),"")</f>
      </c>
      <c r="BC102" s="46">
        <f>IF($B102,IF(AT102="","","    &lt;itemfeedback ident=""response_0"" view=""All""&gt;&lt;flow_mat&gt;&lt;material&gt;&lt;mattext texttype=""text/html""&gt;"&amp;AT102&amp;"&lt;/mattext&gt;&lt;/material&gt;&lt;/flow_mat&gt;&lt;/itemfeedback&gt;"),"")</f>
      </c>
      <c r="BD102" s="46">
        <f>IF($B102,IF(AU102="","","    &lt;itemfeedback ident=""response_1"" view=""All""&gt;&lt;flow_mat&gt;&lt;material&gt;&lt;mattext texttype=""text/html""&gt;"&amp;AU102&amp;"&lt;/mattext&gt;&lt;/material&gt;&lt;/flow_mat&gt;&lt;/itemfeedback&gt;"),"")</f>
      </c>
      <c r="BE102" s="46">
        <f>IF($B102,IF(AV102="","","    &lt;itemfeedback ident=""response_2"" view=""All""&gt;&lt;flow_mat&gt;&lt;material&gt;&lt;mattext texttype=""text/html""&gt;"&amp;AV102&amp;"&lt;/mattext&gt;&lt;/material&gt;&lt;/flow_mat&gt;&lt;/itemfeedback&gt;"),"")</f>
      </c>
      <c r="BF102" s="46">
        <f>IF($B102,IF(AW102="","","    &lt;itemfeedback ident=""response_3"" view=""All""&gt;&lt;flow_mat&gt;&lt;material&gt;&lt;mattext texttype=""text/html""&gt;"&amp;AW102&amp;"&lt;/mattext&gt;&lt;/material&gt;&lt;/flow_mat&gt;&lt;/itemfeedback&gt;"),"")</f>
      </c>
      <c r="BG102" s="46">
        <f>IF($B102,IF(AX102="","","    &lt;itemfeedback ident=""response_4"" view=""All""&gt;&lt;flow_mat&gt;&lt;material&gt;&lt;mattext texttype=""text/html""&gt;"&amp;AX102&amp;"&lt;/mattext&gt;&lt;/material&gt;&lt;/flow_mat&gt;&lt;/itemfeedback&gt;"),"")</f>
      </c>
      <c r="BH102" s="46">
        <f>IF($B102,IF(AY102="","","    &lt;itemfeedback ident=""response_5"" view=""All""&gt;&lt;flow_mat&gt;&lt;material&gt;&lt;mattext texttype=""text/html""&gt;"&amp;AY102&amp;"&lt;/mattext&gt;&lt;/material&gt;&lt;/flow_mat&gt;&lt;/itemfeedback&gt;"),"")</f>
      </c>
      <c r="BI102" s="46">
        <f>IF($B102,IF(AZ102="","","    &lt;itemfeedback ident=""response_6"" view=""All""&gt;&lt;flow_mat&gt;&lt;material&gt;&lt;mattext texttype=""text/html""&gt;"&amp;AZ102&amp;"&lt;/mattext&gt;&lt;/material&gt;&lt;/flow_mat&gt;&lt;/itemfeedback&gt;"),"")</f>
      </c>
      <c r="BJ102" s="46">
        <f>IF($B102,IF(BA102="","","    &lt;itemfeedback ident=""response_7"" view=""All""&gt;&lt;flow_mat&gt;&lt;material&gt;&lt;mattext texttype=""text/html""&gt;"&amp;BA102&amp;"&lt;/mattext&gt;&lt;/material&gt;&lt;/flow_mat&gt;&lt;/itemfeedback&gt;"),"")</f>
      </c>
    </row>
    <row r="103" ht="18" customHeight="1" s="17">
      <c r="A103" s="46">
        <f>Saisie_Questions!A103</f>
        <v/>
      </c>
      <c r="B103" s="46">
        <f>Saisie_Questions!O103="OK"</f>
        <v/>
      </c>
      <c r="C103" s="46">
        <f>LOWER(TRIM(Saisie_Questions!B103))</f>
        <v/>
      </c>
      <c r="D103" s="46">
        <f>IF(C103="qcu","SINGLE CHOICE QUESTION","MULTIPLE CHOICE QUESTION")</f>
        <v/>
      </c>
      <c r="E103" s="46">
        <f>IF(C103="qcu","Single","Multiple")</f>
        <v/>
      </c>
      <c r="F103" s="46">
        <f>IF(A103="","",SUBSTITUTE(SUBSTITUTE(SUBSTITUTE(SUBSTITUTE(SUBSTITUTE(IF(Saisie_Questions!C103="", "Question "&amp;A103, Saisie_Questions!C103),"&amp;","&amp;amp;"),"&lt;","&amp;lt;"),"&gt;","&amp;gt;"),CHAR(34),"&amp;quot;"),"'","&amp;apos;"))</f>
        <v/>
      </c>
      <c r="G103" s="46">
        <f>IF(A103="","",SUBSTITUTE(SUBSTITUTE(SUBSTITUTE(SUBSTITUTE(SUBSTITUTE(Saisie_Questions!D103,"&amp;","&amp;amp;"),"&lt;","&amp;lt;"),"&gt;","&amp;gt;"),CHAR(34),"&amp;quot;"),"'","&amp;apos;"))</f>
        <v/>
      </c>
      <c r="H103" s="46">
        <f>Saisie_Questions!N103</f>
        <v/>
      </c>
      <c r="I103" s="46">
        <f>IF(Saisie_Questions!E103="",0,1)+IF(Saisie_Questions!F103="",0,1)+IF(Saisie_Questions!G103="",0,1)+IF(Saisie_Questions!H103="",0,1)+IF(Saisie_Questions!I103="",0,1)+IF(Saisie_Questions!J103="",0,1)+IF(Saisie_Questions!K103="",0,1)+IF(Saisie_Questions!L103="",0,1)</f>
        <v/>
      </c>
      <c r="J103" s="46">
        <f>Saisie_Questions!M103</f>
        <v/>
      </c>
      <c r="K103" s="46">
        <f>Saisie_Questions!O103</f>
        <v/>
      </c>
      <c r="L103" s="46">
        <f>IF(Saisie_Questions!E103="","",SUBSTITUTE(SUBSTITUTE(SUBSTITUTE(SUBSTITUTE(SUBSTITUTE(Saisie_Questions!E103,"&amp;","&amp;amp;"),"&lt;","&amp;lt;"),"&gt;","&amp;gt;"),CHAR(34),"&amp;quot;"),"'","&amp;apos;"))</f>
        <v/>
      </c>
      <c r="M103" s="46">
        <f>IF(Saisie_Questions!F103="","",SUBSTITUTE(SUBSTITUTE(SUBSTITUTE(SUBSTITUTE(SUBSTITUTE(Saisie_Questions!F103,"&amp;","&amp;amp;"),"&lt;","&amp;lt;"),"&gt;","&amp;gt;"),CHAR(34),"&amp;quot;"),"'","&amp;apos;"))</f>
        <v/>
      </c>
      <c r="N103" s="46">
        <f>IF(Saisie_Questions!G103="","",SUBSTITUTE(SUBSTITUTE(SUBSTITUTE(SUBSTITUTE(SUBSTITUTE(Saisie_Questions!G103,"&amp;","&amp;amp;"),"&lt;","&amp;lt;"),"&gt;","&amp;gt;"),CHAR(34),"&amp;quot;"),"'","&amp;apos;"))</f>
        <v/>
      </c>
      <c r="O103" s="46">
        <f>IF(Saisie_Questions!H103="","",SUBSTITUTE(SUBSTITUTE(SUBSTITUTE(SUBSTITUTE(SUBSTITUTE(Saisie_Questions!H103,"&amp;","&amp;amp;"),"&lt;","&amp;lt;"),"&gt;","&amp;gt;"),CHAR(34),"&amp;quot;"),"'","&amp;apos;"))</f>
        <v/>
      </c>
      <c r="P103" s="46">
        <f>IF(Saisie_Questions!I103="","",SUBSTITUTE(SUBSTITUTE(SUBSTITUTE(SUBSTITUTE(SUBSTITUTE(Saisie_Questions!I103,"&amp;","&amp;amp;"),"&lt;","&amp;lt;"),"&gt;","&amp;gt;"),CHAR(34),"&amp;quot;"),"'","&amp;apos;"))</f>
        <v/>
      </c>
      <c r="Q103" s="46">
        <f>IF(Saisie_Questions!J103="","",SUBSTITUTE(SUBSTITUTE(SUBSTITUTE(SUBSTITUTE(SUBSTITUTE(Saisie_Questions!J103,"&amp;","&amp;amp;"),"&lt;","&amp;lt;"),"&gt;","&amp;gt;"),CHAR(34),"&amp;quot;"),"'","&amp;apos;"))</f>
        <v/>
      </c>
      <c r="R103" s="46">
        <f>IF(Saisie_Questions!K103="","",SUBSTITUTE(SUBSTITUTE(SUBSTITUTE(SUBSTITUTE(SUBSTITUTE(Saisie_Questions!K103,"&amp;","&amp;amp;"),"&lt;","&amp;lt;"),"&gt;","&amp;gt;"),CHAR(34),"&amp;quot;"),"'","&amp;apos;"))</f>
        <v/>
      </c>
      <c r="S103" s="46">
        <f>IF(Saisie_Questions!L103="","",SUBSTITUTE(SUBSTITUTE(SUBSTITUTE(SUBSTITUTE(SUBSTITUTE(Saisie_Questions!L103,"&amp;","&amp;amp;"),"&lt;","&amp;lt;"),"&gt;","&amp;gt;"),CHAR(34),"&amp;quot;"),"'","&amp;apos;"))</f>
        <v/>
      </c>
      <c r="T103" s="46">
        <f>ISNUMBER(SEARCH(";"&amp;1&amp;";",";"&amp;$J103&amp;";"))</f>
        <v/>
      </c>
      <c r="U103" s="46">
        <f>ISNUMBER(SEARCH(";"&amp;2&amp;";",";"&amp;$J103&amp;";"))</f>
        <v/>
      </c>
      <c r="V103" s="46">
        <f>ISNUMBER(SEARCH(";"&amp;3&amp;";",";"&amp;$J103&amp;";"))</f>
        <v/>
      </c>
      <c r="W103" s="46">
        <f>ISNUMBER(SEARCH(";"&amp;4&amp;";",";"&amp;$J103&amp;";"))</f>
        <v/>
      </c>
      <c r="X103" s="46">
        <f>ISNUMBER(SEARCH(";"&amp;5&amp;";",";"&amp;$J103&amp;";"))</f>
        <v/>
      </c>
      <c r="Y103" s="46">
        <f>ISNUMBER(SEARCH(";"&amp;6&amp;";",";"&amp;$J103&amp;";"))</f>
        <v/>
      </c>
      <c r="Z103" s="46">
        <f>ISNUMBER(SEARCH(";"&amp;7&amp;";",";"&amp;$J103&amp;";"))</f>
        <v/>
      </c>
      <c r="AA103" s="46">
        <f>ISNUMBER(SEARCH(";"&amp;8&amp;";",";"&amp;$J103&amp;";"))</f>
        <v/>
      </c>
      <c r="AB103" s="46">
        <f>IF($B103,IF(L103="","","        &lt;response_label ident=""0""&gt;&lt;material&gt;&lt;mattext texttype=""text/html""&gt;"&amp;L103&amp;"&lt;/mattext&gt;&lt;/material&gt;&lt;/response_label&gt;"),"")</f>
        <v/>
      </c>
      <c r="AC103" s="46">
        <f>IF($B103,IF(M103="","","        &lt;response_label ident=""1""&gt;&lt;material&gt;&lt;mattext texttype=""text/html""&gt;"&amp;M103&amp;"&lt;/mattext&gt;&lt;/material&gt;&lt;/response_label&gt;"),"")</f>
        <v/>
      </c>
      <c r="AD103" s="46">
        <f>IF($B103,IF(N103="","","        &lt;response_label ident=""2""&gt;&lt;material&gt;&lt;mattext texttype=""text/html""&gt;"&amp;N103&amp;"&lt;/mattext&gt;&lt;/material&gt;&lt;/response_label&gt;"),"")</f>
        <v/>
      </c>
      <c r="AE103" s="46">
        <f>IF($B103,IF(O103="","","        &lt;response_label ident=""3""&gt;&lt;material&gt;&lt;mattext texttype=""text/html""&gt;"&amp;O103&amp;"&lt;/mattext&gt;&lt;/material&gt;&lt;/response_label&gt;"),"")</f>
        <v/>
      </c>
      <c r="AF103" s="46">
        <f>IF($B103,IF(P103="","","        &lt;response_label ident=""4""&gt;&lt;material&gt;&lt;mattext texttype=""text/html""&gt;"&amp;P103&amp;"&lt;/mattext&gt;&lt;/material&gt;&lt;/response_label&gt;"),"")</f>
        <v/>
      </c>
      <c r="AG103" s="46">
        <f>IF($B103,IF(Q103="","","        &lt;response_label ident=""5""&gt;&lt;material&gt;&lt;mattext texttype=""text/html""&gt;"&amp;Q103&amp;"&lt;/mattext&gt;&lt;/material&gt;&lt;/response_label&gt;"),"")</f>
        <v/>
      </c>
      <c r="AH103" s="46">
        <f>IF($B103,IF(R103="","","        &lt;response_label ident=""6""&gt;&lt;material&gt;&lt;mattext texttype=""text/html""&gt;"&amp;R103&amp;"&lt;/mattext&gt;&lt;/material&gt;&lt;/response_label&gt;"),"")</f>
        <v/>
      </c>
      <c r="AI103" s="46">
        <f>IF($B103,IF(S103="","","        &lt;response_label ident=""7""&gt;&lt;material&gt;&lt;mattext texttype=""text/html""&gt;"&amp;S103&amp;"&lt;/mattext&gt;&lt;/material&gt;&lt;/response_label&gt;"),"")</f>
        <v/>
      </c>
      <c r="AJ103" s="46">
        <f>IF($B103,IF(L103="","",IF($C103="qcu",IF(OR(T103,AT103&lt;&gt;"",$AS103&lt;&gt;""),"      &lt;respcondition continue=""Yes""&gt;&lt;conditionvar&gt;&lt;varequal respident=""RESPONSE""&gt;0&lt;/varequal&gt;&lt;/conditionvar&gt;"&amp;"&lt;setvar action=""Add""&gt;"&amp;IF(T103,$H103,0)&amp;"&lt;/setvar&gt;"&amp;IF(AT103&lt;&gt;"","&lt;displayfeedback feedbacktype=""Response"" linkrefid=""response_0""/&gt;",IF($AS103&lt;&gt;"","&lt;displayfeedback feedbacktype=""Response"" linkrefid=""qti_feedback_trigger""/&gt;",""))&amp;"&lt;/respcondition&gt;",""),IF(OR(T103,AT103&lt;&gt;"",$AS103&lt;&gt;""),"      &lt;respcondition continue=""Yes""&gt;&lt;conditionvar&gt;"&amp;IF(T103,"&lt;varequal respident=""RESPONSE""&gt;0&lt;/varequal&gt;","&lt;not&gt;&lt;varequal respident=""RESPONSE""&gt;0&lt;/varequal&gt;&lt;/not&gt;")&amp;"&lt;/conditionvar&gt;&lt;setvar action=""Add""&gt;"&amp;(Saisie_Questions!$N103/$I103)&amp;"&lt;/setvar&gt;"&amp;IF(AT103&lt;&gt;"","&lt;displayfeedback feedbacktype=""Response"" linkrefid=""response_0""/&gt;",IF($AS103&lt;&gt;"","&lt;displayfeedback feedbacktype=""Response"" linkrefid=""qti_feedback_trigger""/&gt;",""))&amp;"&lt;/respcondition&gt;",""))),"")</f>
      </c>
      <c r="AK103" s="46">
        <f>IF($B103,IF(M103="","",IF($C103="qcu",IF(OR(U103,AU103&lt;&gt;"",$AS103&lt;&gt;""),"      &lt;respcondition continue=""Yes""&gt;&lt;conditionvar&gt;&lt;varequal respident=""RESPONSE""&gt;1&lt;/varequal&gt;&lt;/conditionvar&gt;"&amp;"&lt;setvar action=""Add""&gt;"&amp;IF(U103,$H103,0)&amp;"&lt;/setvar&gt;"&amp;IF(AU103&lt;&gt;"","&lt;displayfeedback feedbacktype=""Response"" linkrefid=""response_1""/&gt;",IF($AS103&lt;&gt;"","&lt;displayfeedback feedbacktype=""Response"" linkrefid=""qti_feedback_trigger""/&gt;",""))&amp;"&lt;/respcondition&gt;",""),IF(OR(U103,AU103&lt;&gt;"",$AS103&lt;&gt;""),"      &lt;respcondition continue=""Yes""&gt;&lt;conditionvar&gt;"&amp;IF(U103,"&lt;varequal respident=""RESPONSE""&gt;1&lt;/varequal&gt;","&lt;not&gt;&lt;varequal respident=""RESPONSE""&gt;1&lt;/varequal&gt;&lt;/not&gt;")&amp;"&lt;/conditionvar&gt;&lt;setvar action=""Add""&gt;"&amp;(Saisie_Questions!$N103/$I103)&amp;"&lt;/setvar&gt;"&amp;IF(AU103&lt;&gt;"","&lt;displayfeedback feedbacktype=""Response"" linkrefid=""response_1""/&gt;",IF($AS103&lt;&gt;"","&lt;displayfeedback feedbacktype=""Response"" linkrefid=""qti_feedback_trigger""/&gt;",""))&amp;"&lt;/respcondition&gt;",""))),"")</f>
      </c>
      <c r="AL103" s="46">
        <f>IF($B103,IF(N103="","",IF($C103="qcu",IF(OR(V103,AV103&lt;&gt;"",$AS103&lt;&gt;""),"      &lt;respcondition continue=""Yes""&gt;&lt;conditionvar&gt;&lt;varequal respident=""RESPONSE""&gt;2&lt;/varequal&gt;&lt;/conditionvar&gt;"&amp;"&lt;setvar action=""Add""&gt;"&amp;IF(V103,$H103,0)&amp;"&lt;/setvar&gt;"&amp;IF(AV103&lt;&gt;"","&lt;displayfeedback feedbacktype=""Response"" linkrefid=""response_2""/&gt;",IF($AS103&lt;&gt;"","&lt;displayfeedback feedbacktype=""Response"" linkrefid=""qti_feedback_trigger""/&gt;",""))&amp;"&lt;/respcondition&gt;",""),IF(OR(V103,AV103&lt;&gt;"",$AS103&lt;&gt;""),"      &lt;respcondition continue=""Yes""&gt;&lt;conditionvar&gt;"&amp;IF(V103,"&lt;varequal respident=""RESPONSE""&gt;2&lt;/varequal&gt;","&lt;not&gt;&lt;varequal respident=""RESPONSE""&gt;2&lt;/varequal&gt;&lt;/not&gt;")&amp;"&lt;/conditionvar&gt;&lt;setvar action=""Add""&gt;"&amp;(Saisie_Questions!$N103/$I103)&amp;"&lt;/setvar&gt;"&amp;IF(AV103&lt;&gt;"","&lt;displayfeedback feedbacktype=""Response"" linkrefid=""response_2""/&gt;",IF($AS103&lt;&gt;"","&lt;displayfeedback feedbacktype=""Response"" linkrefid=""qti_feedback_trigger""/&gt;",""))&amp;"&lt;/respcondition&gt;",""))),"")</f>
      </c>
      <c r="AM103" s="46">
        <f>IF($B103,IF(O103="","",IF($C103="qcu",IF(OR(W103,AW103&lt;&gt;"",$AS103&lt;&gt;""),"      &lt;respcondition continue=""Yes""&gt;&lt;conditionvar&gt;&lt;varequal respident=""RESPONSE""&gt;3&lt;/varequal&gt;&lt;/conditionvar&gt;"&amp;"&lt;setvar action=""Add""&gt;"&amp;IF(W103,$H103,0)&amp;"&lt;/setvar&gt;"&amp;IF(AW103&lt;&gt;"","&lt;displayfeedback feedbacktype=""Response"" linkrefid=""response_3""/&gt;",IF($AS103&lt;&gt;"","&lt;displayfeedback feedbacktype=""Response"" linkrefid=""qti_feedback_trigger""/&gt;",""))&amp;"&lt;/respcondition&gt;",""),IF(OR(W103,AW103&lt;&gt;"",$AS103&lt;&gt;""),"      &lt;respcondition continue=""Yes""&gt;&lt;conditionvar&gt;"&amp;IF(W103,"&lt;varequal respident=""RESPONSE""&gt;3&lt;/varequal&gt;","&lt;not&gt;&lt;varequal respident=""RESPONSE""&gt;3&lt;/varequal&gt;&lt;/not&gt;")&amp;"&lt;/conditionvar&gt;&lt;setvar action=""Add""&gt;"&amp;(Saisie_Questions!$N103/$I103)&amp;"&lt;/setvar&gt;"&amp;IF(AW103&lt;&gt;"","&lt;displayfeedback feedbacktype=""Response"" linkrefid=""response_3""/&gt;",IF($AS103&lt;&gt;"","&lt;displayfeedback feedbacktype=""Response"" linkrefid=""qti_feedback_trigger""/&gt;",""))&amp;"&lt;/respcondition&gt;",""))),"")</f>
      </c>
      <c r="AN103" s="46">
        <f>IF($B103,IF(P103="","",IF($C103="qcu",IF(OR(X103,AX103&lt;&gt;"",$AS103&lt;&gt;""),"      &lt;respcondition continue=""Yes""&gt;&lt;conditionvar&gt;&lt;varequal respident=""RESPONSE""&gt;4&lt;/varequal&gt;&lt;/conditionvar&gt;"&amp;"&lt;setvar action=""Add""&gt;"&amp;IF(X103,$H103,0)&amp;"&lt;/setvar&gt;"&amp;IF(AX103&lt;&gt;"","&lt;displayfeedback feedbacktype=""Response"" linkrefid=""response_4""/&gt;",IF($AS103&lt;&gt;"","&lt;displayfeedback feedbacktype=""Response"" linkrefid=""qti_feedback_trigger""/&gt;",""))&amp;"&lt;/respcondition&gt;",""),IF(OR(X103,AX103&lt;&gt;"",$AS103&lt;&gt;""),"      &lt;respcondition continue=""Yes""&gt;&lt;conditionvar&gt;"&amp;IF(X103,"&lt;varequal respident=""RESPONSE""&gt;4&lt;/varequal&gt;","&lt;not&gt;&lt;varequal respident=""RESPONSE""&gt;4&lt;/varequal&gt;&lt;/not&gt;")&amp;"&lt;/conditionvar&gt;&lt;setvar action=""Add""&gt;"&amp;(Saisie_Questions!$N103/$I103)&amp;"&lt;/setvar&gt;"&amp;IF(AX103&lt;&gt;"","&lt;displayfeedback feedbacktype=""Response"" linkrefid=""response_4""/&gt;",IF($AS103&lt;&gt;"","&lt;displayfeedback feedbacktype=""Response"" linkrefid=""qti_feedback_trigger""/&gt;",""))&amp;"&lt;/respcondition&gt;",""))),"")</f>
      </c>
      <c r="AO103" s="46">
        <f>IF($B103,IF(Q103="","",IF($C103="qcu",IF(OR(Y103,AY103&lt;&gt;"",$AS103&lt;&gt;""),"      &lt;respcondition continue=""Yes""&gt;&lt;conditionvar&gt;&lt;varequal respident=""RESPONSE""&gt;5&lt;/varequal&gt;&lt;/conditionvar&gt;"&amp;"&lt;setvar action=""Add""&gt;"&amp;IF(Y103,$H103,0)&amp;"&lt;/setvar&gt;"&amp;IF(AY103&lt;&gt;"","&lt;displayfeedback feedbacktype=""Response"" linkrefid=""response_5""/&gt;",IF($AS103&lt;&gt;"","&lt;displayfeedback feedbacktype=""Response"" linkrefid=""qti_feedback_trigger""/&gt;",""))&amp;"&lt;/respcondition&gt;",""),IF(OR(Y103,AY103&lt;&gt;"",$AS103&lt;&gt;""),"      &lt;respcondition continue=""Yes""&gt;&lt;conditionvar&gt;"&amp;IF(Y103,"&lt;varequal respident=""RESPONSE""&gt;5&lt;/varequal&gt;","&lt;not&gt;&lt;varequal respident=""RESPONSE""&gt;5&lt;/varequal&gt;&lt;/not&gt;")&amp;"&lt;/conditionvar&gt;&lt;setvar action=""Add""&gt;"&amp;(Saisie_Questions!$N103/$I103)&amp;"&lt;/setvar&gt;"&amp;IF(AY103&lt;&gt;"","&lt;displayfeedback feedbacktype=""Response"" linkrefid=""response_5""/&gt;",IF($AS103&lt;&gt;"","&lt;displayfeedback feedbacktype=""Response"" linkrefid=""qti_feedback_trigger""/&gt;",""))&amp;"&lt;/respcondition&gt;",""))),"")</f>
      </c>
      <c r="AP103" s="46">
        <f>IF($B103,IF(R103="","",IF($C103="qcu",IF(OR(Z103,AZ103&lt;&gt;"",$AS103&lt;&gt;""),"      &lt;respcondition continue=""Yes""&gt;&lt;conditionvar&gt;&lt;varequal respident=""RESPONSE""&gt;6&lt;/varequal&gt;&lt;/conditionvar&gt;"&amp;"&lt;setvar action=""Add""&gt;"&amp;IF(Z103,$H103,0)&amp;"&lt;/setvar&gt;"&amp;IF(AZ103&lt;&gt;"","&lt;displayfeedback feedbacktype=""Response"" linkrefid=""response_6""/&gt;",IF($AS103&lt;&gt;"","&lt;displayfeedback feedbacktype=""Response"" linkrefid=""qti_feedback_trigger""/&gt;",""))&amp;"&lt;/respcondition&gt;",""),IF(OR(Z103,AZ103&lt;&gt;"",$AS103&lt;&gt;""),"      &lt;respcondition continue=""Yes""&gt;&lt;conditionvar&gt;"&amp;IF(Z103,"&lt;varequal respident=""RESPONSE""&gt;6&lt;/varequal&gt;","&lt;not&gt;&lt;varequal respident=""RESPONSE""&gt;6&lt;/varequal&gt;&lt;/not&gt;")&amp;"&lt;/conditionvar&gt;&lt;setvar action=""Add""&gt;"&amp;(Saisie_Questions!$N103/$I103)&amp;"&lt;/setvar&gt;"&amp;IF(AZ103&lt;&gt;"","&lt;displayfeedback feedbacktype=""Response"" linkrefid=""response_6""/&gt;",IF($AS103&lt;&gt;"","&lt;displayfeedback feedbacktype=""Response"" linkrefid=""qti_feedback_trigger""/&gt;",""))&amp;"&lt;/respcondition&gt;",""))),"")</f>
      </c>
      <c r="AQ103" s="46">
        <f>IF($B103,IF(S103="","",IF($C103="qcu",IF(OR(AA103,BA103&lt;&gt;"",$AS103&lt;&gt;""),"      &lt;respcondition continue=""Yes""&gt;&lt;conditionvar&gt;&lt;varequal respident=""RESPONSE""&gt;7&lt;/varequal&gt;&lt;/conditionvar&gt;"&amp;"&lt;setvar action=""Add""&gt;"&amp;IF(AA103,$H103,0)&amp;"&lt;/setvar&gt;"&amp;IF(BA103&lt;&gt;"","&lt;displayfeedback feedbacktype=""Response"" linkrefid=""response_7""/&gt;",IF($AS103&lt;&gt;"","&lt;displayfeedback feedbacktype=""Response"" linkrefid=""qti_feedback_trigger""/&gt;",""))&amp;"&lt;/respcondition&gt;",""),IF(OR(AA103,BA103&lt;&gt;"",$AS103&lt;&gt;""),"      &lt;respcondition continue=""Yes""&gt;&lt;conditionvar&gt;"&amp;IF(AA103,"&lt;varequal respident=""RESPONSE""&gt;7&lt;/varequal&gt;","&lt;not&gt;&lt;varequal respident=""RESPONSE""&gt;7&lt;/varequal&gt;&lt;/not&gt;")&amp;"&lt;/conditionvar&gt;&lt;setvar action=""Add""&gt;"&amp;(Saisie_Questions!$N103/$I103)&amp;"&lt;/setvar&gt;"&amp;IF(BA103&lt;&gt;"","&lt;displayfeedback feedbacktype=""Response"" linkrefid=""response_7""/&gt;",IF($AS103&lt;&gt;"","&lt;displayfeedback feedbacktype=""Response"" linkrefid=""qti_feedback_trigger""/&gt;",""))&amp;"&lt;/respcondition&gt;",""))),"")</f>
      </c>
      <c r="AR103" s="46">
        <f>IF(A103="","",SUBSTITUTE(SUBSTITUTE(SUBSTITUTE(SUBSTITUTE(SUBSTITUTE(IF(Saisie_Questions!P103&lt;&gt;"",Saisie_Questions!P103,Interface_Generation!$B$5),"&amp;","&amp;amp;"),"&lt;","&amp;lt;"),"&gt;","&amp;gt;"),CHAR(34),"&amp;quot;"),"'","&amp;apos;"))</f>
        <v/>
      </c>
      <c r="AS103" s="46">
        <f>IF(Saisie_Questions!Q103="","",SUBSTITUTE(SUBSTITUTE(SUBSTITUTE(SUBSTITUTE(SUBSTITUTE(Saisie_Questions!Q103,"&amp;","&amp;amp;"),"&lt;","&amp;lt;"),"&gt;","&amp;gt;"),CHAR(34),"&amp;quot;"),"'","&amp;apos;"))</f>
        <v/>
      </c>
      <c r="AT103" s="46">
        <f>IF(Saisie_Questions!R103="","",SUBSTITUTE(SUBSTITUTE(SUBSTITUTE(SUBSTITUTE(SUBSTITUTE(Saisie_Questions!R103,"&amp;","&amp;amp;"),"&lt;","&amp;lt;"),"&gt;","&amp;gt;"),CHAR(34),"&amp;quot;"),"'","&amp;apos;"))</f>
        <v/>
      </c>
      <c r="AU103" s="46">
        <f>IF(Saisie_Questions!S103="","",SUBSTITUTE(SUBSTITUTE(SUBSTITUTE(SUBSTITUTE(SUBSTITUTE(Saisie_Questions!S103,"&amp;","&amp;amp;"),"&lt;","&amp;lt;"),"&gt;","&amp;gt;"),CHAR(34),"&amp;quot;"),"'","&amp;apos;"))</f>
        <v/>
      </c>
      <c r="AV103" s="46">
        <f>IF(Saisie_Questions!T103="","",SUBSTITUTE(SUBSTITUTE(SUBSTITUTE(SUBSTITUTE(SUBSTITUTE(Saisie_Questions!T103,"&amp;","&amp;amp;"),"&lt;","&amp;lt;"),"&gt;","&amp;gt;"),CHAR(34),"&amp;quot;"),"'","&amp;apos;"))</f>
        <v/>
      </c>
      <c r="AW103" s="46">
        <f>IF(Saisie_Questions!U103="","",SUBSTITUTE(SUBSTITUTE(SUBSTITUTE(SUBSTITUTE(SUBSTITUTE(Saisie_Questions!U103,"&amp;","&amp;amp;"),"&lt;","&amp;lt;"),"&gt;","&amp;gt;"),CHAR(34),"&amp;quot;"),"'","&amp;apos;"))</f>
        <v/>
      </c>
      <c r="AX103" s="46">
        <f>IF(Saisie_Questions!V103="","",SUBSTITUTE(SUBSTITUTE(SUBSTITUTE(SUBSTITUTE(SUBSTITUTE(Saisie_Questions!V103,"&amp;","&amp;amp;"),"&lt;","&amp;lt;"),"&gt;","&amp;gt;"),CHAR(34),"&amp;quot;"),"'","&amp;apos;"))</f>
        <v/>
      </c>
      <c r="AY103" s="46">
        <f>IF(Saisie_Questions!W103="","",SUBSTITUTE(SUBSTITUTE(SUBSTITUTE(SUBSTITUTE(SUBSTITUTE(Saisie_Questions!W103,"&amp;","&amp;amp;"),"&lt;","&amp;lt;"),"&gt;","&amp;gt;"),CHAR(34),"&amp;quot;"),"'","&amp;apos;"))</f>
        <v/>
      </c>
      <c r="AZ103" s="46">
        <f>IF(Saisie_Questions!X103="","",SUBSTITUTE(SUBSTITUTE(SUBSTITUTE(SUBSTITUTE(SUBSTITUTE(Saisie_Questions!X103,"&amp;","&amp;amp;"),"&lt;","&amp;lt;"),"&gt;","&amp;gt;"),CHAR(34),"&amp;quot;"),"'","&amp;apos;"))</f>
        <v/>
      </c>
      <c r="BA103" s="46">
        <f>IF(Saisie_Questions!Y103="","",SUBSTITUTE(SUBSTITUTE(SUBSTITUTE(SUBSTITUTE(SUBSTITUTE(Saisie_Questions!Y103,"&amp;","&amp;amp;"),"&lt;","&amp;lt;"),"&gt;","&amp;gt;"),CHAR(34),"&amp;quot;"),"'","&amp;apos;"))</f>
        <v/>
      </c>
      <c r="BB103" s="46">
        <f>IF($B103,IF($AS103="","","    &lt;itemfeedback ident=""response_allcorrect"" view=""All""&gt;&lt;flow_mat&gt;&lt;material&gt;&lt;mattext texttype=""text/html""&gt;"&amp;$AS103&amp;"&lt;/mattext&gt;&lt;/material&gt;&lt;/flow_mat&gt;&lt;/itemfeedback&gt;"&amp;"    &lt;itemfeedback ident=""response_onenotcorrect"" view=""All""&gt;&lt;flow_mat&gt;&lt;material&gt;&lt;mattext texttype=""text/html""&gt;"&amp;$AS103&amp;"&lt;/mattext&gt;&lt;/material&gt;&lt;/flow_mat&gt;&lt;/itemfeedback&gt;"),"")</f>
      </c>
      <c r="BC103" s="46">
        <f>IF($B103,IF(AT103="","","    &lt;itemfeedback ident=""response_0"" view=""All""&gt;&lt;flow_mat&gt;&lt;material&gt;&lt;mattext texttype=""text/html""&gt;"&amp;AT103&amp;"&lt;/mattext&gt;&lt;/material&gt;&lt;/flow_mat&gt;&lt;/itemfeedback&gt;"),"")</f>
      </c>
      <c r="BD103" s="46">
        <f>IF($B103,IF(AU103="","","    &lt;itemfeedback ident=""response_1"" view=""All""&gt;&lt;flow_mat&gt;&lt;material&gt;&lt;mattext texttype=""text/html""&gt;"&amp;AU103&amp;"&lt;/mattext&gt;&lt;/material&gt;&lt;/flow_mat&gt;&lt;/itemfeedback&gt;"),"")</f>
      </c>
      <c r="BE103" s="46">
        <f>IF($B103,IF(AV103="","","    &lt;itemfeedback ident=""response_2"" view=""All""&gt;&lt;flow_mat&gt;&lt;material&gt;&lt;mattext texttype=""text/html""&gt;"&amp;AV103&amp;"&lt;/mattext&gt;&lt;/material&gt;&lt;/flow_mat&gt;&lt;/itemfeedback&gt;"),"")</f>
      </c>
      <c r="BF103" s="46">
        <f>IF($B103,IF(AW103="","","    &lt;itemfeedback ident=""response_3"" view=""All""&gt;&lt;flow_mat&gt;&lt;material&gt;&lt;mattext texttype=""text/html""&gt;"&amp;AW103&amp;"&lt;/mattext&gt;&lt;/material&gt;&lt;/flow_mat&gt;&lt;/itemfeedback&gt;"),"")</f>
      </c>
      <c r="BG103" s="46">
        <f>IF($B103,IF(AX103="","","    &lt;itemfeedback ident=""response_4"" view=""All""&gt;&lt;flow_mat&gt;&lt;material&gt;&lt;mattext texttype=""text/html""&gt;"&amp;AX103&amp;"&lt;/mattext&gt;&lt;/material&gt;&lt;/flow_mat&gt;&lt;/itemfeedback&gt;"),"")</f>
      </c>
      <c r="BH103" s="46">
        <f>IF($B103,IF(AY103="","","    &lt;itemfeedback ident=""response_5"" view=""All""&gt;&lt;flow_mat&gt;&lt;material&gt;&lt;mattext texttype=""text/html""&gt;"&amp;AY103&amp;"&lt;/mattext&gt;&lt;/material&gt;&lt;/flow_mat&gt;&lt;/itemfeedback&gt;"),"")</f>
      </c>
      <c r="BI103" s="46">
        <f>IF($B103,IF(AZ103="","","    &lt;itemfeedback ident=""response_6"" view=""All""&gt;&lt;flow_mat&gt;&lt;material&gt;&lt;mattext texttype=""text/html""&gt;"&amp;AZ103&amp;"&lt;/mattext&gt;&lt;/material&gt;&lt;/flow_mat&gt;&lt;/itemfeedback&gt;"),"")</f>
      </c>
      <c r="BJ103" s="46">
        <f>IF($B103,IF(BA103="","","    &lt;itemfeedback ident=""response_7"" view=""All""&gt;&lt;flow_mat&gt;&lt;material&gt;&lt;mattext texttype=""text/html""&gt;"&amp;BA103&amp;"&lt;/mattext&gt;&lt;/material&gt;&lt;/flow_mat&gt;&lt;/itemfeedback&gt;"),"")</f>
      </c>
    </row>
    <row r="104" ht="18" customHeight="1" s="17">
      <c r="A104" s="46">
        <f>Saisie_Questions!A104</f>
        <v/>
      </c>
      <c r="B104" s="46">
        <f>Saisie_Questions!O104="OK"</f>
        <v/>
      </c>
      <c r="C104" s="46">
        <f>LOWER(TRIM(Saisie_Questions!B104))</f>
        <v/>
      </c>
      <c r="D104" s="46">
        <f>IF(C104="qcu","SINGLE CHOICE QUESTION","MULTIPLE CHOICE QUESTION")</f>
        <v/>
      </c>
      <c r="E104" s="46">
        <f>IF(C104="qcu","Single","Multiple")</f>
        <v/>
      </c>
      <c r="F104" s="46">
        <f>IF(A104="","",SUBSTITUTE(SUBSTITUTE(SUBSTITUTE(SUBSTITUTE(SUBSTITUTE(IF(Saisie_Questions!C104="", "Question "&amp;A104, Saisie_Questions!C104),"&amp;","&amp;amp;"),"&lt;","&amp;lt;"),"&gt;","&amp;gt;"),CHAR(34),"&amp;quot;"),"'","&amp;apos;"))</f>
        <v/>
      </c>
      <c r="G104" s="46">
        <f>IF(A104="","",SUBSTITUTE(SUBSTITUTE(SUBSTITUTE(SUBSTITUTE(SUBSTITUTE(Saisie_Questions!D104,"&amp;","&amp;amp;"),"&lt;","&amp;lt;"),"&gt;","&amp;gt;"),CHAR(34),"&amp;quot;"),"'","&amp;apos;"))</f>
        <v/>
      </c>
      <c r="H104" s="46">
        <f>Saisie_Questions!N104</f>
        <v/>
      </c>
      <c r="I104" s="46">
        <f>IF(Saisie_Questions!E104="",0,1)+IF(Saisie_Questions!F104="",0,1)+IF(Saisie_Questions!G104="",0,1)+IF(Saisie_Questions!H104="",0,1)+IF(Saisie_Questions!I104="",0,1)+IF(Saisie_Questions!J104="",0,1)+IF(Saisie_Questions!K104="",0,1)+IF(Saisie_Questions!L104="",0,1)</f>
        <v/>
      </c>
      <c r="J104" s="46">
        <f>Saisie_Questions!M104</f>
        <v/>
      </c>
      <c r="K104" s="46">
        <f>Saisie_Questions!O104</f>
        <v/>
      </c>
      <c r="L104" s="46">
        <f>IF(Saisie_Questions!E104="","",SUBSTITUTE(SUBSTITUTE(SUBSTITUTE(SUBSTITUTE(SUBSTITUTE(Saisie_Questions!E104,"&amp;","&amp;amp;"),"&lt;","&amp;lt;"),"&gt;","&amp;gt;"),CHAR(34),"&amp;quot;"),"'","&amp;apos;"))</f>
        <v/>
      </c>
      <c r="M104" s="46">
        <f>IF(Saisie_Questions!F104="","",SUBSTITUTE(SUBSTITUTE(SUBSTITUTE(SUBSTITUTE(SUBSTITUTE(Saisie_Questions!F104,"&amp;","&amp;amp;"),"&lt;","&amp;lt;"),"&gt;","&amp;gt;"),CHAR(34),"&amp;quot;"),"'","&amp;apos;"))</f>
        <v/>
      </c>
      <c r="N104" s="46">
        <f>IF(Saisie_Questions!G104="","",SUBSTITUTE(SUBSTITUTE(SUBSTITUTE(SUBSTITUTE(SUBSTITUTE(Saisie_Questions!G104,"&amp;","&amp;amp;"),"&lt;","&amp;lt;"),"&gt;","&amp;gt;"),CHAR(34),"&amp;quot;"),"'","&amp;apos;"))</f>
        <v/>
      </c>
      <c r="O104" s="46">
        <f>IF(Saisie_Questions!H104="","",SUBSTITUTE(SUBSTITUTE(SUBSTITUTE(SUBSTITUTE(SUBSTITUTE(Saisie_Questions!H104,"&amp;","&amp;amp;"),"&lt;","&amp;lt;"),"&gt;","&amp;gt;"),CHAR(34),"&amp;quot;"),"'","&amp;apos;"))</f>
        <v/>
      </c>
      <c r="P104" s="46">
        <f>IF(Saisie_Questions!I104="","",SUBSTITUTE(SUBSTITUTE(SUBSTITUTE(SUBSTITUTE(SUBSTITUTE(Saisie_Questions!I104,"&amp;","&amp;amp;"),"&lt;","&amp;lt;"),"&gt;","&amp;gt;"),CHAR(34),"&amp;quot;"),"'","&amp;apos;"))</f>
        <v/>
      </c>
      <c r="Q104" s="46">
        <f>IF(Saisie_Questions!J104="","",SUBSTITUTE(SUBSTITUTE(SUBSTITUTE(SUBSTITUTE(SUBSTITUTE(Saisie_Questions!J104,"&amp;","&amp;amp;"),"&lt;","&amp;lt;"),"&gt;","&amp;gt;"),CHAR(34),"&amp;quot;"),"'","&amp;apos;"))</f>
        <v/>
      </c>
      <c r="R104" s="46">
        <f>IF(Saisie_Questions!K104="","",SUBSTITUTE(SUBSTITUTE(SUBSTITUTE(SUBSTITUTE(SUBSTITUTE(Saisie_Questions!K104,"&amp;","&amp;amp;"),"&lt;","&amp;lt;"),"&gt;","&amp;gt;"),CHAR(34),"&amp;quot;"),"'","&amp;apos;"))</f>
        <v/>
      </c>
      <c r="S104" s="46">
        <f>IF(Saisie_Questions!L104="","",SUBSTITUTE(SUBSTITUTE(SUBSTITUTE(SUBSTITUTE(SUBSTITUTE(Saisie_Questions!L104,"&amp;","&amp;amp;"),"&lt;","&amp;lt;"),"&gt;","&amp;gt;"),CHAR(34),"&amp;quot;"),"'","&amp;apos;"))</f>
        <v/>
      </c>
      <c r="T104" s="46">
        <f>ISNUMBER(SEARCH(";"&amp;1&amp;";",";"&amp;$J104&amp;";"))</f>
        <v/>
      </c>
      <c r="U104" s="46">
        <f>ISNUMBER(SEARCH(";"&amp;2&amp;";",";"&amp;$J104&amp;";"))</f>
        <v/>
      </c>
      <c r="V104" s="46">
        <f>ISNUMBER(SEARCH(";"&amp;3&amp;";",";"&amp;$J104&amp;";"))</f>
        <v/>
      </c>
      <c r="W104" s="46">
        <f>ISNUMBER(SEARCH(";"&amp;4&amp;";",";"&amp;$J104&amp;";"))</f>
        <v/>
      </c>
      <c r="X104" s="46">
        <f>ISNUMBER(SEARCH(";"&amp;5&amp;";",";"&amp;$J104&amp;";"))</f>
        <v/>
      </c>
      <c r="Y104" s="46">
        <f>ISNUMBER(SEARCH(";"&amp;6&amp;";",";"&amp;$J104&amp;";"))</f>
        <v/>
      </c>
      <c r="Z104" s="46">
        <f>ISNUMBER(SEARCH(";"&amp;7&amp;";",";"&amp;$J104&amp;";"))</f>
        <v/>
      </c>
      <c r="AA104" s="46">
        <f>ISNUMBER(SEARCH(";"&amp;8&amp;";",";"&amp;$J104&amp;";"))</f>
        <v/>
      </c>
      <c r="AB104" s="46">
        <f>IF($B104,IF(L104="","","        &lt;response_label ident=""0""&gt;&lt;material&gt;&lt;mattext texttype=""text/html""&gt;"&amp;L104&amp;"&lt;/mattext&gt;&lt;/material&gt;&lt;/response_label&gt;"),"")</f>
        <v/>
      </c>
      <c r="AC104" s="46">
        <f>IF($B104,IF(M104="","","        &lt;response_label ident=""1""&gt;&lt;material&gt;&lt;mattext texttype=""text/html""&gt;"&amp;M104&amp;"&lt;/mattext&gt;&lt;/material&gt;&lt;/response_label&gt;"),"")</f>
        <v/>
      </c>
      <c r="AD104" s="46">
        <f>IF($B104,IF(N104="","","        &lt;response_label ident=""2""&gt;&lt;material&gt;&lt;mattext texttype=""text/html""&gt;"&amp;N104&amp;"&lt;/mattext&gt;&lt;/material&gt;&lt;/response_label&gt;"),"")</f>
        <v/>
      </c>
      <c r="AE104" s="46">
        <f>IF($B104,IF(O104="","","        &lt;response_label ident=""3""&gt;&lt;material&gt;&lt;mattext texttype=""text/html""&gt;"&amp;O104&amp;"&lt;/mattext&gt;&lt;/material&gt;&lt;/response_label&gt;"),"")</f>
        <v/>
      </c>
      <c r="AF104" s="46">
        <f>IF($B104,IF(P104="","","        &lt;response_label ident=""4""&gt;&lt;material&gt;&lt;mattext texttype=""text/html""&gt;"&amp;P104&amp;"&lt;/mattext&gt;&lt;/material&gt;&lt;/response_label&gt;"),"")</f>
        <v/>
      </c>
      <c r="AG104" s="46">
        <f>IF($B104,IF(Q104="","","        &lt;response_label ident=""5""&gt;&lt;material&gt;&lt;mattext texttype=""text/html""&gt;"&amp;Q104&amp;"&lt;/mattext&gt;&lt;/material&gt;&lt;/response_label&gt;"),"")</f>
        <v/>
      </c>
      <c r="AH104" s="46">
        <f>IF($B104,IF(R104="","","        &lt;response_label ident=""6""&gt;&lt;material&gt;&lt;mattext texttype=""text/html""&gt;"&amp;R104&amp;"&lt;/mattext&gt;&lt;/material&gt;&lt;/response_label&gt;"),"")</f>
        <v/>
      </c>
      <c r="AI104" s="46">
        <f>IF($B104,IF(S104="","","        &lt;response_label ident=""7""&gt;&lt;material&gt;&lt;mattext texttype=""text/html""&gt;"&amp;S104&amp;"&lt;/mattext&gt;&lt;/material&gt;&lt;/response_label&gt;"),"")</f>
        <v/>
      </c>
      <c r="AJ104" s="46">
        <f>IF($B104,IF(L104="","",IF($C104="qcu",IF(OR(T104,AT104&lt;&gt;"",$AS104&lt;&gt;""),"      &lt;respcondition continue=""Yes""&gt;&lt;conditionvar&gt;&lt;varequal respident=""RESPONSE""&gt;0&lt;/varequal&gt;&lt;/conditionvar&gt;"&amp;"&lt;setvar action=""Add""&gt;"&amp;IF(T104,$H104,0)&amp;"&lt;/setvar&gt;"&amp;IF(AT104&lt;&gt;"","&lt;displayfeedback feedbacktype=""Response"" linkrefid=""response_0""/&gt;",IF($AS104&lt;&gt;"","&lt;displayfeedback feedbacktype=""Response"" linkrefid=""qti_feedback_trigger""/&gt;",""))&amp;"&lt;/respcondition&gt;",""),IF(OR(T104,AT104&lt;&gt;"",$AS104&lt;&gt;""),"      &lt;respcondition continue=""Yes""&gt;&lt;conditionvar&gt;"&amp;IF(T104,"&lt;varequal respident=""RESPONSE""&gt;0&lt;/varequal&gt;","&lt;not&gt;&lt;varequal respident=""RESPONSE""&gt;0&lt;/varequal&gt;&lt;/not&gt;")&amp;"&lt;/conditionvar&gt;&lt;setvar action=""Add""&gt;"&amp;(Saisie_Questions!$N104/$I104)&amp;"&lt;/setvar&gt;"&amp;IF(AT104&lt;&gt;"","&lt;displayfeedback feedbacktype=""Response"" linkrefid=""response_0""/&gt;",IF($AS104&lt;&gt;"","&lt;displayfeedback feedbacktype=""Response"" linkrefid=""qti_feedback_trigger""/&gt;",""))&amp;"&lt;/respcondition&gt;",""))),"")</f>
      </c>
      <c r="AK104" s="46">
        <f>IF($B104,IF(M104="","",IF($C104="qcu",IF(OR(U104,AU104&lt;&gt;"",$AS104&lt;&gt;""),"      &lt;respcondition continue=""Yes""&gt;&lt;conditionvar&gt;&lt;varequal respident=""RESPONSE""&gt;1&lt;/varequal&gt;&lt;/conditionvar&gt;"&amp;"&lt;setvar action=""Add""&gt;"&amp;IF(U104,$H104,0)&amp;"&lt;/setvar&gt;"&amp;IF(AU104&lt;&gt;"","&lt;displayfeedback feedbacktype=""Response"" linkrefid=""response_1""/&gt;",IF($AS104&lt;&gt;"","&lt;displayfeedback feedbacktype=""Response"" linkrefid=""qti_feedback_trigger""/&gt;",""))&amp;"&lt;/respcondition&gt;",""),IF(OR(U104,AU104&lt;&gt;"",$AS104&lt;&gt;""),"      &lt;respcondition continue=""Yes""&gt;&lt;conditionvar&gt;"&amp;IF(U104,"&lt;varequal respident=""RESPONSE""&gt;1&lt;/varequal&gt;","&lt;not&gt;&lt;varequal respident=""RESPONSE""&gt;1&lt;/varequal&gt;&lt;/not&gt;")&amp;"&lt;/conditionvar&gt;&lt;setvar action=""Add""&gt;"&amp;(Saisie_Questions!$N104/$I104)&amp;"&lt;/setvar&gt;"&amp;IF(AU104&lt;&gt;"","&lt;displayfeedback feedbacktype=""Response"" linkrefid=""response_1""/&gt;",IF($AS104&lt;&gt;"","&lt;displayfeedback feedbacktype=""Response"" linkrefid=""qti_feedback_trigger""/&gt;",""))&amp;"&lt;/respcondition&gt;",""))),"")</f>
      </c>
      <c r="AL104" s="46">
        <f>IF($B104,IF(N104="","",IF($C104="qcu",IF(OR(V104,AV104&lt;&gt;"",$AS104&lt;&gt;""),"      &lt;respcondition continue=""Yes""&gt;&lt;conditionvar&gt;&lt;varequal respident=""RESPONSE""&gt;2&lt;/varequal&gt;&lt;/conditionvar&gt;"&amp;"&lt;setvar action=""Add""&gt;"&amp;IF(V104,$H104,0)&amp;"&lt;/setvar&gt;"&amp;IF(AV104&lt;&gt;"","&lt;displayfeedback feedbacktype=""Response"" linkrefid=""response_2""/&gt;",IF($AS104&lt;&gt;"","&lt;displayfeedback feedbacktype=""Response"" linkrefid=""qti_feedback_trigger""/&gt;",""))&amp;"&lt;/respcondition&gt;",""),IF(OR(V104,AV104&lt;&gt;"",$AS104&lt;&gt;""),"      &lt;respcondition continue=""Yes""&gt;&lt;conditionvar&gt;"&amp;IF(V104,"&lt;varequal respident=""RESPONSE""&gt;2&lt;/varequal&gt;","&lt;not&gt;&lt;varequal respident=""RESPONSE""&gt;2&lt;/varequal&gt;&lt;/not&gt;")&amp;"&lt;/conditionvar&gt;&lt;setvar action=""Add""&gt;"&amp;(Saisie_Questions!$N104/$I104)&amp;"&lt;/setvar&gt;"&amp;IF(AV104&lt;&gt;"","&lt;displayfeedback feedbacktype=""Response"" linkrefid=""response_2""/&gt;",IF($AS104&lt;&gt;"","&lt;displayfeedback feedbacktype=""Response"" linkrefid=""qti_feedback_trigger""/&gt;",""))&amp;"&lt;/respcondition&gt;",""))),"")</f>
      </c>
      <c r="AM104" s="46">
        <f>IF($B104,IF(O104="","",IF($C104="qcu",IF(OR(W104,AW104&lt;&gt;"",$AS104&lt;&gt;""),"      &lt;respcondition continue=""Yes""&gt;&lt;conditionvar&gt;&lt;varequal respident=""RESPONSE""&gt;3&lt;/varequal&gt;&lt;/conditionvar&gt;"&amp;"&lt;setvar action=""Add""&gt;"&amp;IF(W104,$H104,0)&amp;"&lt;/setvar&gt;"&amp;IF(AW104&lt;&gt;"","&lt;displayfeedback feedbacktype=""Response"" linkrefid=""response_3""/&gt;",IF($AS104&lt;&gt;"","&lt;displayfeedback feedbacktype=""Response"" linkrefid=""qti_feedback_trigger""/&gt;",""))&amp;"&lt;/respcondition&gt;",""),IF(OR(W104,AW104&lt;&gt;"",$AS104&lt;&gt;""),"      &lt;respcondition continue=""Yes""&gt;&lt;conditionvar&gt;"&amp;IF(W104,"&lt;varequal respident=""RESPONSE""&gt;3&lt;/varequal&gt;","&lt;not&gt;&lt;varequal respident=""RESPONSE""&gt;3&lt;/varequal&gt;&lt;/not&gt;")&amp;"&lt;/conditionvar&gt;&lt;setvar action=""Add""&gt;"&amp;(Saisie_Questions!$N104/$I104)&amp;"&lt;/setvar&gt;"&amp;IF(AW104&lt;&gt;"","&lt;displayfeedback feedbacktype=""Response"" linkrefid=""response_3""/&gt;",IF($AS104&lt;&gt;"","&lt;displayfeedback feedbacktype=""Response"" linkrefid=""qti_feedback_trigger""/&gt;",""))&amp;"&lt;/respcondition&gt;",""))),"")</f>
      </c>
      <c r="AN104" s="46">
        <f>IF($B104,IF(P104="","",IF($C104="qcu",IF(OR(X104,AX104&lt;&gt;"",$AS104&lt;&gt;""),"      &lt;respcondition continue=""Yes""&gt;&lt;conditionvar&gt;&lt;varequal respident=""RESPONSE""&gt;4&lt;/varequal&gt;&lt;/conditionvar&gt;"&amp;"&lt;setvar action=""Add""&gt;"&amp;IF(X104,$H104,0)&amp;"&lt;/setvar&gt;"&amp;IF(AX104&lt;&gt;"","&lt;displayfeedback feedbacktype=""Response"" linkrefid=""response_4""/&gt;",IF($AS104&lt;&gt;"","&lt;displayfeedback feedbacktype=""Response"" linkrefid=""qti_feedback_trigger""/&gt;",""))&amp;"&lt;/respcondition&gt;",""),IF(OR(X104,AX104&lt;&gt;"",$AS104&lt;&gt;""),"      &lt;respcondition continue=""Yes""&gt;&lt;conditionvar&gt;"&amp;IF(X104,"&lt;varequal respident=""RESPONSE""&gt;4&lt;/varequal&gt;","&lt;not&gt;&lt;varequal respident=""RESPONSE""&gt;4&lt;/varequal&gt;&lt;/not&gt;")&amp;"&lt;/conditionvar&gt;&lt;setvar action=""Add""&gt;"&amp;(Saisie_Questions!$N104/$I104)&amp;"&lt;/setvar&gt;"&amp;IF(AX104&lt;&gt;"","&lt;displayfeedback feedbacktype=""Response"" linkrefid=""response_4""/&gt;",IF($AS104&lt;&gt;"","&lt;displayfeedback feedbacktype=""Response"" linkrefid=""qti_feedback_trigger""/&gt;",""))&amp;"&lt;/respcondition&gt;",""))),"")</f>
      </c>
      <c r="AO104" s="46">
        <f>IF($B104,IF(Q104="","",IF($C104="qcu",IF(OR(Y104,AY104&lt;&gt;"",$AS104&lt;&gt;""),"      &lt;respcondition continue=""Yes""&gt;&lt;conditionvar&gt;&lt;varequal respident=""RESPONSE""&gt;5&lt;/varequal&gt;&lt;/conditionvar&gt;"&amp;"&lt;setvar action=""Add""&gt;"&amp;IF(Y104,$H104,0)&amp;"&lt;/setvar&gt;"&amp;IF(AY104&lt;&gt;"","&lt;displayfeedback feedbacktype=""Response"" linkrefid=""response_5""/&gt;",IF($AS104&lt;&gt;"","&lt;displayfeedback feedbacktype=""Response"" linkrefid=""qti_feedback_trigger""/&gt;",""))&amp;"&lt;/respcondition&gt;",""),IF(OR(Y104,AY104&lt;&gt;"",$AS104&lt;&gt;""),"      &lt;respcondition continue=""Yes""&gt;&lt;conditionvar&gt;"&amp;IF(Y104,"&lt;varequal respident=""RESPONSE""&gt;5&lt;/varequal&gt;","&lt;not&gt;&lt;varequal respident=""RESPONSE""&gt;5&lt;/varequal&gt;&lt;/not&gt;")&amp;"&lt;/conditionvar&gt;&lt;setvar action=""Add""&gt;"&amp;(Saisie_Questions!$N104/$I104)&amp;"&lt;/setvar&gt;"&amp;IF(AY104&lt;&gt;"","&lt;displayfeedback feedbacktype=""Response"" linkrefid=""response_5""/&gt;",IF($AS104&lt;&gt;"","&lt;displayfeedback feedbacktype=""Response"" linkrefid=""qti_feedback_trigger""/&gt;",""))&amp;"&lt;/respcondition&gt;",""))),"")</f>
      </c>
      <c r="AP104" s="46">
        <f>IF($B104,IF(R104="","",IF($C104="qcu",IF(OR(Z104,AZ104&lt;&gt;"",$AS104&lt;&gt;""),"      &lt;respcondition continue=""Yes""&gt;&lt;conditionvar&gt;&lt;varequal respident=""RESPONSE""&gt;6&lt;/varequal&gt;&lt;/conditionvar&gt;"&amp;"&lt;setvar action=""Add""&gt;"&amp;IF(Z104,$H104,0)&amp;"&lt;/setvar&gt;"&amp;IF(AZ104&lt;&gt;"","&lt;displayfeedback feedbacktype=""Response"" linkrefid=""response_6""/&gt;",IF($AS104&lt;&gt;"","&lt;displayfeedback feedbacktype=""Response"" linkrefid=""qti_feedback_trigger""/&gt;",""))&amp;"&lt;/respcondition&gt;",""),IF(OR(Z104,AZ104&lt;&gt;"",$AS104&lt;&gt;""),"      &lt;respcondition continue=""Yes""&gt;&lt;conditionvar&gt;"&amp;IF(Z104,"&lt;varequal respident=""RESPONSE""&gt;6&lt;/varequal&gt;","&lt;not&gt;&lt;varequal respident=""RESPONSE""&gt;6&lt;/varequal&gt;&lt;/not&gt;")&amp;"&lt;/conditionvar&gt;&lt;setvar action=""Add""&gt;"&amp;(Saisie_Questions!$N104/$I104)&amp;"&lt;/setvar&gt;"&amp;IF(AZ104&lt;&gt;"","&lt;displayfeedback feedbacktype=""Response"" linkrefid=""response_6""/&gt;",IF($AS104&lt;&gt;"","&lt;displayfeedback feedbacktype=""Response"" linkrefid=""qti_feedback_trigger""/&gt;",""))&amp;"&lt;/respcondition&gt;",""))),"")</f>
      </c>
      <c r="AQ104" s="46">
        <f>IF($B104,IF(S104="","",IF($C104="qcu",IF(OR(AA104,BA104&lt;&gt;"",$AS104&lt;&gt;""),"      &lt;respcondition continue=""Yes""&gt;&lt;conditionvar&gt;&lt;varequal respident=""RESPONSE""&gt;7&lt;/varequal&gt;&lt;/conditionvar&gt;"&amp;"&lt;setvar action=""Add""&gt;"&amp;IF(AA104,$H104,0)&amp;"&lt;/setvar&gt;"&amp;IF(BA104&lt;&gt;"","&lt;displayfeedback feedbacktype=""Response"" linkrefid=""response_7""/&gt;",IF($AS104&lt;&gt;"","&lt;displayfeedback feedbacktype=""Response"" linkrefid=""qti_feedback_trigger""/&gt;",""))&amp;"&lt;/respcondition&gt;",""),IF(OR(AA104,BA104&lt;&gt;"",$AS104&lt;&gt;""),"      &lt;respcondition continue=""Yes""&gt;&lt;conditionvar&gt;"&amp;IF(AA104,"&lt;varequal respident=""RESPONSE""&gt;7&lt;/varequal&gt;","&lt;not&gt;&lt;varequal respident=""RESPONSE""&gt;7&lt;/varequal&gt;&lt;/not&gt;")&amp;"&lt;/conditionvar&gt;&lt;setvar action=""Add""&gt;"&amp;(Saisie_Questions!$N104/$I104)&amp;"&lt;/setvar&gt;"&amp;IF(BA104&lt;&gt;"","&lt;displayfeedback feedbacktype=""Response"" linkrefid=""response_7""/&gt;",IF($AS104&lt;&gt;"","&lt;displayfeedback feedbacktype=""Response"" linkrefid=""qti_feedback_trigger""/&gt;",""))&amp;"&lt;/respcondition&gt;",""))),"")</f>
      </c>
      <c r="AR104" s="46">
        <f>IF(A104="","",SUBSTITUTE(SUBSTITUTE(SUBSTITUTE(SUBSTITUTE(SUBSTITUTE(IF(Saisie_Questions!P104&lt;&gt;"",Saisie_Questions!P104,Interface_Generation!$B$5),"&amp;","&amp;amp;"),"&lt;","&amp;lt;"),"&gt;","&amp;gt;"),CHAR(34),"&amp;quot;"),"'","&amp;apos;"))</f>
        <v/>
      </c>
      <c r="AS104" s="46">
        <f>IF(Saisie_Questions!Q104="","",SUBSTITUTE(SUBSTITUTE(SUBSTITUTE(SUBSTITUTE(SUBSTITUTE(Saisie_Questions!Q104,"&amp;","&amp;amp;"),"&lt;","&amp;lt;"),"&gt;","&amp;gt;"),CHAR(34),"&amp;quot;"),"'","&amp;apos;"))</f>
        <v/>
      </c>
      <c r="AT104" s="46">
        <f>IF(Saisie_Questions!R104="","",SUBSTITUTE(SUBSTITUTE(SUBSTITUTE(SUBSTITUTE(SUBSTITUTE(Saisie_Questions!R104,"&amp;","&amp;amp;"),"&lt;","&amp;lt;"),"&gt;","&amp;gt;"),CHAR(34),"&amp;quot;"),"'","&amp;apos;"))</f>
        <v/>
      </c>
      <c r="AU104" s="46">
        <f>IF(Saisie_Questions!S104="","",SUBSTITUTE(SUBSTITUTE(SUBSTITUTE(SUBSTITUTE(SUBSTITUTE(Saisie_Questions!S104,"&amp;","&amp;amp;"),"&lt;","&amp;lt;"),"&gt;","&amp;gt;"),CHAR(34),"&amp;quot;"),"'","&amp;apos;"))</f>
        <v/>
      </c>
      <c r="AV104" s="46">
        <f>IF(Saisie_Questions!T104="","",SUBSTITUTE(SUBSTITUTE(SUBSTITUTE(SUBSTITUTE(SUBSTITUTE(Saisie_Questions!T104,"&amp;","&amp;amp;"),"&lt;","&amp;lt;"),"&gt;","&amp;gt;"),CHAR(34),"&amp;quot;"),"'","&amp;apos;"))</f>
        <v/>
      </c>
      <c r="AW104" s="46">
        <f>IF(Saisie_Questions!U104="","",SUBSTITUTE(SUBSTITUTE(SUBSTITUTE(SUBSTITUTE(SUBSTITUTE(Saisie_Questions!U104,"&amp;","&amp;amp;"),"&lt;","&amp;lt;"),"&gt;","&amp;gt;"),CHAR(34),"&amp;quot;"),"'","&amp;apos;"))</f>
        <v/>
      </c>
      <c r="AX104" s="46">
        <f>IF(Saisie_Questions!V104="","",SUBSTITUTE(SUBSTITUTE(SUBSTITUTE(SUBSTITUTE(SUBSTITUTE(Saisie_Questions!V104,"&amp;","&amp;amp;"),"&lt;","&amp;lt;"),"&gt;","&amp;gt;"),CHAR(34),"&amp;quot;"),"'","&amp;apos;"))</f>
        <v/>
      </c>
      <c r="AY104" s="46">
        <f>IF(Saisie_Questions!W104="","",SUBSTITUTE(SUBSTITUTE(SUBSTITUTE(SUBSTITUTE(SUBSTITUTE(Saisie_Questions!W104,"&amp;","&amp;amp;"),"&lt;","&amp;lt;"),"&gt;","&amp;gt;"),CHAR(34),"&amp;quot;"),"'","&amp;apos;"))</f>
        <v/>
      </c>
      <c r="AZ104" s="46">
        <f>IF(Saisie_Questions!X104="","",SUBSTITUTE(SUBSTITUTE(SUBSTITUTE(SUBSTITUTE(SUBSTITUTE(Saisie_Questions!X104,"&amp;","&amp;amp;"),"&lt;","&amp;lt;"),"&gt;","&amp;gt;"),CHAR(34),"&amp;quot;"),"'","&amp;apos;"))</f>
        <v/>
      </c>
      <c r="BA104" s="46">
        <f>IF(Saisie_Questions!Y104="","",SUBSTITUTE(SUBSTITUTE(SUBSTITUTE(SUBSTITUTE(SUBSTITUTE(Saisie_Questions!Y104,"&amp;","&amp;amp;"),"&lt;","&amp;lt;"),"&gt;","&amp;gt;"),CHAR(34),"&amp;quot;"),"'","&amp;apos;"))</f>
        <v/>
      </c>
      <c r="BB104" s="46">
        <f>IF($B104,IF($AS104="","","    &lt;itemfeedback ident=""response_allcorrect"" view=""All""&gt;&lt;flow_mat&gt;&lt;material&gt;&lt;mattext texttype=""text/html""&gt;"&amp;$AS104&amp;"&lt;/mattext&gt;&lt;/material&gt;&lt;/flow_mat&gt;&lt;/itemfeedback&gt;"&amp;"    &lt;itemfeedback ident=""response_onenotcorrect"" view=""All""&gt;&lt;flow_mat&gt;&lt;material&gt;&lt;mattext texttype=""text/html""&gt;"&amp;$AS104&amp;"&lt;/mattext&gt;&lt;/material&gt;&lt;/flow_mat&gt;&lt;/itemfeedback&gt;"),"")</f>
      </c>
      <c r="BC104" s="46">
        <f>IF($B104,IF(AT104="","","    &lt;itemfeedback ident=""response_0"" view=""All""&gt;&lt;flow_mat&gt;&lt;material&gt;&lt;mattext texttype=""text/html""&gt;"&amp;AT104&amp;"&lt;/mattext&gt;&lt;/material&gt;&lt;/flow_mat&gt;&lt;/itemfeedback&gt;"),"")</f>
      </c>
      <c r="BD104" s="46">
        <f>IF($B104,IF(AU104="","","    &lt;itemfeedback ident=""response_1"" view=""All""&gt;&lt;flow_mat&gt;&lt;material&gt;&lt;mattext texttype=""text/html""&gt;"&amp;AU104&amp;"&lt;/mattext&gt;&lt;/material&gt;&lt;/flow_mat&gt;&lt;/itemfeedback&gt;"),"")</f>
      </c>
      <c r="BE104" s="46">
        <f>IF($B104,IF(AV104="","","    &lt;itemfeedback ident=""response_2"" view=""All""&gt;&lt;flow_mat&gt;&lt;material&gt;&lt;mattext texttype=""text/html""&gt;"&amp;AV104&amp;"&lt;/mattext&gt;&lt;/material&gt;&lt;/flow_mat&gt;&lt;/itemfeedback&gt;"),"")</f>
      </c>
      <c r="BF104" s="46">
        <f>IF($B104,IF(AW104="","","    &lt;itemfeedback ident=""response_3"" view=""All""&gt;&lt;flow_mat&gt;&lt;material&gt;&lt;mattext texttype=""text/html""&gt;"&amp;AW104&amp;"&lt;/mattext&gt;&lt;/material&gt;&lt;/flow_mat&gt;&lt;/itemfeedback&gt;"),"")</f>
      </c>
      <c r="BG104" s="46">
        <f>IF($B104,IF(AX104="","","    &lt;itemfeedback ident=""response_4"" view=""All""&gt;&lt;flow_mat&gt;&lt;material&gt;&lt;mattext texttype=""text/html""&gt;"&amp;AX104&amp;"&lt;/mattext&gt;&lt;/material&gt;&lt;/flow_mat&gt;&lt;/itemfeedback&gt;"),"")</f>
      </c>
      <c r="BH104" s="46">
        <f>IF($B104,IF(AY104="","","    &lt;itemfeedback ident=""response_5"" view=""All""&gt;&lt;flow_mat&gt;&lt;material&gt;&lt;mattext texttype=""text/html""&gt;"&amp;AY104&amp;"&lt;/mattext&gt;&lt;/material&gt;&lt;/flow_mat&gt;&lt;/itemfeedback&gt;"),"")</f>
      </c>
      <c r="BI104" s="46">
        <f>IF($B104,IF(AZ104="","","    &lt;itemfeedback ident=""response_6"" view=""All""&gt;&lt;flow_mat&gt;&lt;material&gt;&lt;mattext texttype=""text/html""&gt;"&amp;AZ104&amp;"&lt;/mattext&gt;&lt;/material&gt;&lt;/flow_mat&gt;&lt;/itemfeedback&gt;"),"")</f>
      </c>
      <c r="BJ104" s="46">
        <f>IF($B104,IF(BA104="","","    &lt;itemfeedback ident=""response_7"" view=""All""&gt;&lt;flow_mat&gt;&lt;material&gt;&lt;mattext texttype=""text/html""&gt;"&amp;BA104&amp;"&lt;/mattext&gt;&lt;/material&gt;&lt;/flow_mat&gt;&lt;/itemfeedback&gt;"),"")</f>
      </c>
    </row>
    <row r="105" ht="18" customHeight="1" s="17"/>
    <row r="106" ht="18" customHeight="1" s="17"/>
    <row r="107" ht="18" customHeight="1" s="17"/>
    <row r="108" ht="18" customHeight="1" s="17"/>
    <row r="109" ht="18" customHeight="1" s="17"/>
    <row r="110" ht="18" customHeight="1" s="17"/>
    <row r="111" ht="18" customHeight="1" s="17"/>
    <row r="112" ht="18" customHeight="1" s="17"/>
    <row r="113" ht="18" customHeight="1" s="17"/>
    <row r="114" ht="18" customHeight="1" s="17"/>
    <row r="115" ht="18" customHeight="1" s="17"/>
    <row r="116" ht="18" customHeight="1" s="17"/>
    <row r="117" ht="18" customHeight="1" s="17"/>
    <row r="118" ht="18" customHeight="1" s="17"/>
    <row r="119" ht="18" customHeight="1" s="17"/>
    <row r="120" ht="18" customHeight="1" s="17"/>
    <row r="121" ht="18" customHeight="1" s="17"/>
    <row r="122" ht="18" customHeight="1" s="17"/>
    <row r="123" ht="18" customHeight="1" s="17"/>
    <row r="124" ht="18" customHeight="1" s="17"/>
    <row r="125" ht="18" customHeight="1" s="17"/>
    <row r="126" ht="18" customHeight="1" s="17"/>
    <row r="127" ht="18" customHeight="1" s="17"/>
    <row r="128" ht="18" customHeight="1" s="17"/>
    <row r="129" ht="18" customHeight="1" s="17"/>
    <row r="130" ht="18" customHeight="1" s="17"/>
    <row r="131" ht="18" customHeight="1" s="17"/>
    <row r="132" ht="18" customHeight="1" s="17"/>
    <row r="133" ht="18" customHeight="1" s="17"/>
    <row r="134" ht="18" customHeight="1" s="17"/>
    <row r="135" ht="18" customHeight="1" s="17"/>
    <row r="136" ht="18" customHeight="1" s="17"/>
    <row r="137" ht="18" customHeight="1" s="17"/>
    <row r="138" ht="18" customHeight="1" s="17"/>
    <row r="139" ht="18" customHeight="1" s="17"/>
    <row r="140" ht="18" customHeight="1" s="17"/>
    <row r="141" ht="18" customHeight="1" s="17"/>
    <row r="142" ht="18" customHeight="1" s="17"/>
    <row r="143" ht="18" customHeight="1" s="17"/>
    <row r="144" ht="18" customHeight="1" s="17"/>
    <row r="145" ht="18" customHeight="1" s="17"/>
    <row r="146" ht="18" customHeight="1" s="17"/>
    <row r="147" ht="18" customHeight="1" s="17"/>
    <row r="148" ht="18" customHeight="1" s="17"/>
    <row r="149" ht="18" customHeight="1" s="17"/>
    <row r="150" ht="18" customHeight="1" s="17"/>
    <row r="151" ht="18" customHeight="1" s="17"/>
    <row r="152" ht="18" customHeight="1" s="17"/>
    <row r="153" ht="18" customHeight="1" s="17"/>
    <row r="154" ht="18" customHeight="1" s="17"/>
    <row r="155" ht="18" customHeight="1" s="17"/>
    <row r="156" ht="18" customHeight="1" s="17"/>
    <row r="157" ht="18" customHeight="1" s="17"/>
    <row r="158" ht="18" customHeight="1" s="17"/>
    <row r="159" ht="18" customHeight="1" s="17"/>
    <row r="160" ht="18" customHeight="1" s="17"/>
    <row r="161" ht="18" customHeight="1" s="17"/>
    <row r="162" ht="18" customHeight="1" s="17"/>
    <row r="163" ht="18" customHeight="1" s="17"/>
    <row r="164" ht="18" customHeight="1" s="17"/>
    <row r="165" ht="18" customHeight="1" s="17"/>
    <row r="166" ht="18" customHeight="1" s="17"/>
    <row r="167" ht="18" customHeight="1" s="17"/>
    <row r="168" ht="18" customHeight="1" s="17"/>
    <row r="169" ht="18" customHeight="1" s="17"/>
    <row r="170" ht="18" customHeight="1" s="17"/>
    <row r="171" ht="18" customHeight="1" s="17"/>
    <row r="172" ht="18" customHeight="1" s="17"/>
    <row r="173" ht="18" customHeight="1" s="17"/>
    <row r="174" ht="18" customHeight="1" s="17"/>
    <row r="175" ht="18" customHeight="1" s="17"/>
    <row r="176" ht="18" customHeight="1" s="17"/>
    <row r="177" ht="18" customHeight="1" s="17"/>
    <row r="178" ht="18" customHeight="1" s="17"/>
    <row r="179" ht="18" customHeight="1" s="17"/>
    <row r="180" ht="18" customHeight="1" s="17"/>
    <row r="181" ht="18" customHeight="1" s="17"/>
    <row r="182" ht="18" customHeight="1" s="17"/>
    <row r="183" ht="18" customHeight="1" s="17"/>
    <row r="184" ht="18" customHeight="1" s="17"/>
    <row r="185" ht="18" customHeight="1" s="17"/>
    <row r="186" ht="18" customHeight="1" s="17"/>
    <row r="187" ht="18" customHeight="1" s="17"/>
    <row r="188" ht="18" customHeight="1" s="17"/>
    <row r="189" ht="18" customHeight="1" s="17"/>
    <row r="190" ht="18" customHeight="1" s="17"/>
    <row r="191" ht="18" customHeight="1" s="17"/>
    <row r="192" ht="18" customHeight="1" s="17"/>
    <row r="193" ht="18" customHeight="1" s="17"/>
    <row r="194" ht="18" customHeight="1" s="17"/>
    <row r="195" ht="18" customHeight="1" s="17"/>
    <row r="196" ht="18" customHeight="1" s="17"/>
    <row r="197" ht="18" customHeight="1" s="17"/>
    <row r="198" ht="18" customHeight="1" s="17"/>
    <row r="199" ht="18" customHeight="1" s="17"/>
    <row r="200" ht="18" customHeight="1" s="17"/>
    <row r="201" ht="18" customHeight="1" s="17"/>
    <row r="202" ht="18" customHeight="1" s="17"/>
    <row r="203" ht="18" customHeight="1" s="17"/>
    <row r="204" ht="18" customHeight="1" s="17"/>
    <row r="205" ht="18" customHeight="1" s="17"/>
    <row r="206" ht="18" customHeight="1" s="17"/>
    <row r="207" ht="18" customHeight="1" s="17"/>
    <row r="208" ht="18" customHeight="1" s="17"/>
    <row r="209" ht="18" customHeight="1" s="17"/>
    <row r="210" ht="18" customHeight="1" s="17"/>
    <row r="211" ht="18" customHeight="1" s="17"/>
    <row r="212" ht="18" customHeight="1" s="17"/>
    <row r="213" ht="18" customHeight="1" s="17"/>
    <row r="214" ht="18" customHeight="1" s="17"/>
    <row r="215" ht="18" customHeight="1" s="17"/>
    <row r="216" ht="18" customHeight="1" s="17"/>
    <row r="217" ht="18" customHeight="1" s="17"/>
    <row r="218" ht="18" customHeight="1" s="17"/>
    <row r="219" ht="18" customHeight="1" s="17"/>
    <row r="220" ht="18" customHeight="1" s="17"/>
    <row r="221" ht="18" customHeight="1" s="17"/>
    <row r="222" ht="18" customHeight="1" s="17"/>
    <row r="223" ht="18" customHeight="1" s="17"/>
    <row r="224" ht="18" customHeight="1" s="17"/>
    <row r="225" ht="18" customHeight="1" s="17"/>
    <row r="226" ht="18" customHeight="1" s="17"/>
    <row r="227" ht="18" customHeight="1" s="17"/>
    <row r="228" ht="18" customHeight="1" s="17"/>
    <row r="229" ht="18" customHeight="1" s="17"/>
    <row r="230" ht="18" customHeight="1" s="17"/>
    <row r="231" ht="18" customHeight="1" s="17"/>
    <row r="232" ht="18" customHeight="1" s="17"/>
    <row r="233" ht="18" customHeight="1" s="17"/>
    <row r="234" ht="18" customHeight="1" s="17"/>
    <row r="235" ht="18" customHeight="1" s="17"/>
    <row r="236" ht="18" customHeight="1" s="17"/>
    <row r="237" ht="18" customHeight="1" s="17"/>
    <row r="238" ht="18" customHeight="1" s="17"/>
    <row r="239" ht="18" customHeight="1" s="17"/>
    <row r="240" ht="18" customHeight="1" s="17"/>
    <row r="241" ht="18" customHeight="1" s="17"/>
    <row r="242" ht="18" customHeight="1" s="17"/>
    <row r="243" ht="18" customHeight="1" s="17"/>
    <row r="244" ht="18" customHeight="1" s="17"/>
    <row r="245" ht="18" customHeight="1" s="17"/>
    <row r="246" ht="18" customHeight="1" s="17"/>
    <row r="247" ht="18" customHeight="1" s="17"/>
    <row r="248" ht="18" customHeight="1" s="17"/>
    <row r="249" ht="18" customHeight="1" s="17"/>
    <row r="250" ht="18" customHeight="1" s="17"/>
    <row r="251" ht="18" customHeight="1" s="17"/>
    <row r="252" ht="18" customHeight="1" s="17"/>
    <row r="253" ht="18" customHeight="1" s="17"/>
    <row r="254" ht="18" customHeight="1" s="17"/>
    <row r="255" ht="18" customHeight="1" s="17"/>
    <row r="256" ht="18" customHeight="1" s="17"/>
    <row r="257" ht="18" customHeight="1" s="17"/>
    <row r="258" ht="18" customHeight="1" s="17"/>
    <row r="259" ht="18" customHeight="1" s="17"/>
    <row r="260" ht="18" customHeight="1" s="17"/>
    <row r="261" ht="18" customHeight="1" s="17"/>
    <row r="262" ht="18" customHeight="1" s="17"/>
    <row r="263" ht="18" customHeight="1" s="17"/>
    <row r="264" ht="18" customHeight="1" s="17"/>
    <row r="265" ht="18" customHeight="1" s="17"/>
    <row r="266" ht="18" customHeight="1" s="17"/>
    <row r="267" ht="18" customHeight="1" s="17"/>
    <row r="268" ht="18" customHeight="1" s="17"/>
    <row r="269" ht="18" customHeight="1" s="17"/>
    <row r="270" ht="18" customHeight="1" s="17"/>
    <row r="271" ht="18" customHeight="1" s="17"/>
    <row r="272" ht="18" customHeight="1" s="17"/>
    <row r="273" ht="18" customHeight="1" s="17"/>
    <row r="274" ht="18" customHeight="1" s="17"/>
    <row r="275" ht="18" customHeight="1" s="17"/>
    <row r="276" ht="18" customHeight="1" s="17"/>
    <row r="277" ht="18" customHeight="1" s="17"/>
    <row r="278" ht="18" customHeight="1" s="17"/>
    <row r="279" ht="18" customHeight="1" s="17"/>
    <row r="280" ht="18" customHeight="1" s="17"/>
    <row r="281" ht="18" customHeight="1" s="17"/>
    <row r="282" ht="18" customHeight="1" s="17"/>
    <row r="283" ht="18" customHeight="1" s="17"/>
    <row r="284" ht="18" customHeight="1" s="17"/>
    <row r="285" ht="18" customHeight="1" s="17"/>
    <row r="286" ht="18" customHeight="1" s="17"/>
    <row r="287" ht="18" customHeight="1" s="17"/>
    <row r="288" ht="18" customHeight="1" s="17"/>
    <row r="289" ht="18" customHeight="1" s="17"/>
    <row r="290" ht="18" customHeight="1" s="17"/>
    <row r="291" ht="18" customHeight="1" s="17"/>
    <row r="292" ht="18" customHeight="1" s="17"/>
    <row r="293" ht="18" customHeight="1" s="17"/>
    <row r="294" ht="18" customHeight="1" s="17"/>
    <row r="295" ht="18" customHeight="1" s="17"/>
    <row r="296" ht="18" customHeight="1" s="17"/>
    <row r="297" ht="18" customHeight="1" s="17"/>
    <row r="298" ht="18" customHeight="1" s="17"/>
    <row r="299" ht="18" customHeight="1" s="17"/>
    <row r="300" ht="18" customHeight="1" s="17"/>
    <row r="301" ht="18" customHeight="1" s="17"/>
    <row r="302" ht="18" customHeight="1" s="17"/>
    <row r="303" ht="18" customHeight="1" s="17"/>
    <row r="304" ht="18" customHeight="1" s="17"/>
    <row r="305" ht="18" customHeight="1" s="17"/>
    <row r="306" ht="18" customHeight="1" s="17"/>
    <row r="307" ht="18" customHeight="1" s="17"/>
    <row r="308" ht="18" customHeight="1" s="17"/>
    <row r="309" ht="18" customHeight="1" s="17"/>
    <row r="310" ht="18" customHeight="1" s="17"/>
    <row r="311" ht="18" customHeight="1" s="17"/>
    <row r="312" ht="18" customHeight="1" s="17"/>
    <row r="313" ht="18" customHeight="1" s="17"/>
    <row r="314" ht="18" customHeight="1" s="17"/>
    <row r="315" ht="18" customHeight="1" s="17"/>
    <row r="316" ht="18" customHeight="1" s="17"/>
    <row r="317" ht="18" customHeight="1" s="17"/>
    <row r="318" ht="18" customHeight="1" s="17"/>
    <row r="319" ht="18" customHeight="1" s="17"/>
    <row r="320" ht="18" customHeight="1" s="17"/>
    <row r="321" ht="18" customHeight="1" s="17"/>
    <row r="322" ht="18" customHeight="1" s="17"/>
    <row r="323" ht="18" customHeight="1" s="17"/>
    <row r="324" ht="18" customHeight="1" s="17"/>
    <row r="325" ht="18" customHeight="1" s="17"/>
    <row r="326" ht="18" customHeight="1" s="17"/>
    <row r="327" ht="18" customHeight="1" s="17"/>
    <row r="328" ht="18" customHeight="1" s="17"/>
    <row r="329" ht="18" customHeight="1" s="17"/>
    <row r="330" ht="18" customHeight="1" s="17"/>
    <row r="331" ht="18" customHeight="1" s="17"/>
    <row r="332" ht="18" customHeight="1" s="17"/>
    <row r="333" ht="18" customHeight="1" s="17"/>
    <row r="334" ht="18" customHeight="1" s="17"/>
    <row r="335" ht="18" customHeight="1" s="17"/>
    <row r="336" ht="18" customHeight="1" s="17"/>
    <row r="337" ht="18" customHeight="1" s="17"/>
    <row r="338" ht="18" customHeight="1" s="17"/>
    <row r="339" ht="18" customHeight="1" s="17"/>
    <row r="340" ht="18" customHeight="1" s="17"/>
    <row r="341" ht="18" customHeight="1" s="17"/>
    <row r="342" ht="18" customHeight="1" s="17"/>
    <row r="343" ht="18" customHeight="1" s="17"/>
    <row r="344" ht="18" customHeight="1" s="17"/>
    <row r="345" ht="18" customHeight="1" s="17"/>
    <row r="346" ht="18" customHeight="1" s="17"/>
    <row r="347" ht="18" customHeight="1" s="17"/>
    <row r="348" ht="18" customHeight="1" s="17"/>
    <row r="349" ht="18" customHeight="1" s="17"/>
    <row r="350" ht="18" customHeight="1" s="17"/>
    <row r="351" ht="18" customHeight="1" s="17"/>
    <row r="352" ht="18" customHeight="1" s="17"/>
    <row r="353" ht="18" customHeight="1" s="17"/>
    <row r="354" ht="18" customHeight="1" s="17"/>
    <row r="355" ht="18" customHeight="1" s="17"/>
    <row r="356" ht="18" customHeight="1" s="17"/>
    <row r="357" ht="18" customHeight="1" s="17"/>
    <row r="358" ht="18" customHeight="1" s="17"/>
    <row r="359" ht="18" customHeight="1" s="17"/>
    <row r="360" ht="18" customHeight="1" s="17"/>
    <row r="361" ht="18" customHeight="1" s="17"/>
    <row r="362" ht="18" customHeight="1" s="17"/>
    <row r="363" ht="18" customHeight="1" s="17"/>
    <row r="364" ht="18" customHeight="1" s="17"/>
    <row r="365" ht="18" customHeight="1" s="17"/>
    <row r="366" ht="18" customHeight="1" s="17"/>
    <row r="367" ht="18" customHeight="1" s="17"/>
    <row r="368" ht="18" customHeight="1" s="17"/>
    <row r="369" ht="18" customHeight="1" s="17"/>
    <row r="370" ht="18" customHeight="1" s="17"/>
    <row r="371" ht="18" customHeight="1" s="17"/>
    <row r="372" ht="18" customHeight="1" s="17"/>
    <row r="373" ht="18" customHeight="1" s="17"/>
    <row r="374" ht="18" customHeight="1" s="17"/>
    <row r="375" ht="18" customHeight="1" s="17"/>
    <row r="376" ht="18" customHeight="1" s="17"/>
    <row r="377" ht="18" customHeight="1" s="17"/>
    <row r="378" ht="18" customHeight="1" s="17"/>
    <row r="379" ht="18" customHeight="1" s="17"/>
    <row r="380" ht="18" customHeight="1" s="17"/>
    <row r="381" ht="18" customHeight="1" s="17"/>
    <row r="382" ht="18" customHeight="1" s="17"/>
    <row r="383" ht="18" customHeight="1" s="17"/>
    <row r="384" ht="18" customHeight="1" s="17"/>
    <row r="385" ht="18" customHeight="1" s="17"/>
    <row r="386" ht="18" customHeight="1" s="17"/>
    <row r="387" ht="18" customHeight="1" s="17"/>
    <row r="388" ht="18" customHeight="1" s="17"/>
    <row r="389" ht="18" customHeight="1" s="17"/>
    <row r="390" ht="18" customHeight="1" s="17"/>
    <row r="391" ht="18" customHeight="1" s="17"/>
    <row r="392" ht="18" customHeight="1" s="17"/>
    <row r="393" ht="18" customHeight="1" s="17"/>
    <row r="394" ht="18" customHeight="1" s="17"/>
    <row r="395" ht="18" customHeight="1" s="17"/>
    <row r="396" ht="18" customHeight="1" s="17"/>
    <row r="397" ht="18" customHeight="1" s="17"/>
    <row r="398" ht="18" customHeight="1" s="17"/>
    <row r="399" ht="18" customHeight="1" s="17"/>
    <row r="400" ht="18" customHeight="1" s="17"/>
    <row r="401" ht="18" customHeight="1" s="17"/>
    <row r="402" ht="18" customHeight="1" s="17"/>
    <row r="403" ht="18" customHeight="1" s="17"/>
    <row r="404" ht="18" customHeight="1" s="17"/>
    <row r="405" ht="18" customHeight="1" s="17"/>
    <row r="406" ht="18" customHeight="1" s="17"/>
    <row r="407" ht="18" customHeight="1" s="17"/>
    <row r="408" ht="18" customHeight="1" s="17"/>
    <row r="409" ht="18" customHeight="1" s="17"/>
    <row r="410" ht="18" customHeight="1" s="17"/>
    <row r="411" ht="18" customHeight="1" s="17"/>
    <row r="412" ht="18" customHeight="1" s="17"/>
    <row r="413" ht="18" customHeight="1" s="17"/>
    <row r="414" ht="18" customHeight="1" s="17"/>
    <row r="415" ht="18" customHeight="1" s="17"/>
    <row r="416" ht="18" customHeight="1" s="17"/>
    <row r="417" ht="18" customHeight="1" s="17"/>
    <row r="418" ht="18" customHeight="1" s="17"/>
    <row r="419" ht="18" customHeight="1" s="17"/>
    <row r="420" ht="18" customHeight="1" s="17"/>
    <row r="421" ht="18" customHeight="1" s="17"/>
    <row r="422" ht="18" customHeight="1" s="17"/>
    <row r="423" ht="18" customHeight="1" s="17"/>
    <row r="424" ht="18" customHeight="1" s="17"/>
    <row r="425" ht="18" customHeight="1" s="17"/>
    <row r="426" ht="18" customHeight="1" s="17"/>
    <row r="427" ht="18" customHeight="1" s="17"/>
    <row r="428" ht="18" customHeight="1" s="17"/>
    <row r="429" ht="18" customHeight="1" s="17"/>
    <row r="430" ht="18" customHeight="1" s="17"/>
    <row r="431" ht="18" customHeight="1" s="17"/>
    <row r="432" ht="18" customHeight="1" s="17"/>
    <row r="433" ht="18" customHeight="1" s="17"/>
    <row r="434" ht="18" customHeight="1" s="17"/>
    <row r="435" ht="18" customHeight="1" s="17"/>
    <row r="436" ht="18" customHeight="1" s="17"/>
    <row r="437" ht="18" customHeight="1" s="17"/>
    <row r="438" ht="18" customHeight="1" s="17"/>
    <row r="439" ht="18" customHeight="1" s="17"/>
    <row r="440" ht="18" customHeight="1" s="17"/>
    <row r="441" ht="18" customHeight="1" s="17"/>
    <row r="442" ht="18" customHeight="1" s="17"/>
    <row r="443" ht="18" customHeight="1" s="17"/>
    <row r="444" ht="18" customHeight="1" s="17"/>
    <row r="445" ht="18" customHeight="1" s="17"/>
    <row r="446" ht="18" customHeight="1" s="17"/>
    <row r="447" ht="18" customHeight="1" s="17"/>
    <row r="448" ht="18" customHeight="1" s="17"/>
    <row r="449" ht="18" customHeight="1" s="17"/>
    <row r="450" ht="18" customHeight="1" s="17"/>
    <row r="451" ht="18" customHeight="1" s="17"/>
    <row r="452" ht="18" customHeight="1" s="17"/>
    <row r="453" ht="18" customHeight="1" s="17"/>
    <row r="454" ht="18" customHeight="1" s="17"/>
    <row r="455" ht="18" customHeight="1" s="17"/>
    <row r="456" ht="18" customHeight="1" s="17"/>
    <row r="457" ht="18" customHeight="1" s="17"/>
    <row r="458" ht="18" customHeight="1" s="17"/>
    <row r="459" ht="18" customHeight="1" s="17"/>
    <row r="460" ht="18" customHeight="1" s="17"/>
    <row r="461" ht="18" customHeight="1" s="17"/>
    <row r="462" ht="18" customHeight="1" s="17"/>
    <row r="463" ht="18" customHeight="1" s="17"/>
    <row r="464" ht="18" customHeight="1" s="17"/>
    <row r="465" ht="18" customHeight="1" s="17"/>
    <row r="466" ht="18" customHeight="1" s="17"/>
    <row r="467" ht="18" customHeight="1" s="17"/>
    <row r="468" ht="18" customHeight="1" s="17"/>
    <row r="469" ht="18" customHeight="1" s="17"/>
    <row r="470" ht="18" customHeight="1" s="17"/>
    <row r="471" ht="18" customHeight="1" s="17"/>
    <row r="472" ht="18" customHeight="1" s="17"/>
    <row r="473" ht="18" customHeight="1" s="17"/>
    <row r="474" ht="18" customHeight="1" s="17"/>
    <row r="475" ht="18" customHeight="1" s="17"/>
    <row r="476" ht="18" customHeight="1" s="17"/>
    <row r="477" ht="18" customHeight="1" s="17"/>
    <row r="478" ht="18" customHeight="1" s="17"/>
    <row r="479" ht="18" customHeight="1" s="17"/>
    <row r="480" ht="18" customHeight="1" s="17"/>
    <row r="481" ht="18" customHeight="1" s="17"/>
    <row r="482" ht="18" customHeight="1" s="17"/>
    <row r="483" ht="18" customHeight="1" s="17"/>
    <row r="484" ht="18" customHeight="1" s="17"/>
    <row r="485" ht="18" customHeight="1" s="17"/>
    <row r="486" ht="18" customHeight="1" s="17"/>
    <row r="487" ht="18" customHeight="1" s="17"/>
    <row r="488" ht="18" customHeight="1" s="17"/>
    <row r="489" ht="18" customHeight="1" s="17"/>
    <row r="490" ht="18" customHeight="1" s="17"/>
    <row r="491" ht="18" customHeight="1" s="17"/>
    <row r="492" ht="18" customHeight="1" s="17"/>
    <row r="493" ht="18" customHeight="1" s="17"/>
    <row r="494" ht="18" customHeight="1" s="17"/>
    <row r="495" ht="18" customHeight="1" s="17"/>
    <row r="496" ht="18" customHeight="1" s="17"/>
    <row r="497" ht="18" customHeight="1" s="17"/>
    <row r="498" ht="18" customHeight="1" s="17"/>
    <row r="499" ht="18" customHeight="1" s="17"/>
    <row r="500" ht="18" customHeight="1" s="17"/>
    <row r="501" ht="18" customHeight="1" s="17"/>
    <row r="502" ht="18" customHeight="1" s="17"/>
    <row r="503" ht="18" customHeight="1" s="17"/>
    <row r="504" ht="18" customHeight="1" s="17"/>
    <row r="505" ht="18" customHeight="1" s="17"/>
    <row r="506" ht="18" customHeight="1" s="17"/>
    <row r="507" ht="18" customHeight="1" s="17"/>
    <row r="508" ht="18" customHeight="1" s="17"/>
    <row r="509" ht="18" customHeight="1" s="17"/>
    <row r="510" ht="18" customHeight="1" s="17"/>
    <row r="511" ht="18" customHeight="1" s="17"/>
    <row r="512" ht="18" customHeight="1" s="17"/>
    <row r="513" ht="18" customHeight="1" s="17"/>
    <row r="514" ht="18" customHeight="1" s="17"/>
    <row r="515" ht="18" customHeight="1" s="17"/>
    <row r="516" ht="18" customHeight="1" s="17"/>
    <row r="517" ht="18" customHeight="1" s="17"/>
    <row r="518" ht="18" customHeight="1" s="17"/>
    <row r="519" ht="18" customHeight="1" s="17"/>
    <row r="520" ht="18" customHeight="1" s="17"/>
    <row r="521" ht="18" customHeight="1" s="17"/>
    <row r="522" ht="18" customHeight="1" s="17"/>
    <row r="523" ht="18" customHeight="1" s="17"/>
    <row r="524" ht="18" customHeight="1" s="17"/>
    <row r="525" ht="18" customHeight="1" s="17"/>
    <row r="526" ht="18" customHeight="1" s="17"/>
    <row r="527" ht="18" customHeight="1" s="17"/>
    <row r="528" ht="18" customHeight="1" s="17"/>
    <row r="529" ht="18" customHeight="1" s="17"/>
    <row r="530" ht="18" customHeight="1" s="17"/>
    <row r="531" ht="18" customHeight="1" s="17"/>
    <row r="532" ht="18" customHeight="1" s="17"/>
    <row r="533" ht="18" customHeight="1" s="17"/>
    <row r="534" ht="18" customHeight="1" s="17"/>
    <row r="535" ht="18" customHeight="1" s="17"/>
    <row r="536" ht="18" customHeight="1" s="17"/>
    <row r="537" ht="18" customHeight="1" s="17"/>
    <row r="538" ht="18" customHeight="1" s="17"/>
    <row r="539" ht="18" customHeight="1" s="17"/>
    <row r="540" ht="18" customHeight="1" s="17"/>
    <row r="541" ht="18" customHeight="1" s="17"/>
    <row r="542" ht="18" customHeight="1" s="17"/>
    <row r="543" ht="18" customHeight="1" s="17"/>
    <row r="544" ht="18" customHeight="1" s="17"/>
    <row r="545" ht="18" customHeight="1" s="17"/>
    <row r="546" ht="18" customHeight="1" s="17"/>
    <row r="547" ht="18" customHeight="1" s="17"/>
    <row r="548" ht="18" customHeight="1" s="17"/>
    <row r="549" ht="18" customHeight="1" s="17"/>
    <row r="550" ht="18" customHeight="1" s="17"/>
    <row r="551" ht="18" customHeight="1" s="17"/>
    <row r="552" ht="18" customHeight="1" s="17"/>
    <row r="553" ht="18" customHeight="1" s="17"/>
    <row r="554" ht="18" customHeight="1" s="17"/>
    <row r="555" ht="18" customHeight="1" s="17"/>
    <row r="556" ht="18" customHeight="1" s="17"/>
    <row r="557" ht="18" customHeight="1" s="17"/>
    <row r="558" ht="18" customHeight="1" s="17"/>
    <row r="559" ht="18" customHeight="1" s="17"/>
    <row r="560" ht="18" customHeight="1" s="17"/>
    <row r="561" ht="18" customHeight="1" s="17"/>
    <row r="562" ht="18" customHeight="1" s="17"/>
    <row r="563" ht="18" customHeight="1" s="17"/>
    <row r="564" ht="18" customHeight="1" s="17"/>
    <row r="565" ht="18" customHeight="1" s="17"/>
    <row r="566" ht="18" customHeight="1" s="17"/>
    <row r="567" ht="18" customHeight="1" s="17"/>
    <row r="568" ht="18" customHeight="1" s="17"/>
    <row r="569" ht="18" customHeight="1" s="17"/>
    <row r="570" ht="18" customHeight="1" s="17"/>
    <row r="571" ht="18" customHeight="1" s="17"/>
    <row r="572" ht="18" customHeight="1" s="17"/>
    <row r="573" ht="18" customHeight="1" s="17"/>
    <row r="574" ht="18" customHeight="1" s="17"/>
    <row r="575" ht="18" customHeight="1" s="17"/>
    <row r="576" ht="18" customHeight="1" s="17"/>
    <row r="577" ht="18" customHeight="1" s="17"/>
    <row r="578" ht="18" customHeight="1" s="17"/>
    <row r="579" ht="18" customHeight="1" s="17"/>
    <row r="580" ht="18" customHeight="1" s="17"/>
    <row r="581" ht="18" customHeight="1" s="17"/>
    <row r="582" ht="18" customHeight="1" s="17"/>
    <row r="583" ht="18" customHeight="1" s="17"/>
    <row r="584" ht="18" customHeight="1" s="17"/>
    <row r="585" ht="18" customHeight="1" s="17"/>
    <row r="586" ht="18" customHeight="1" s="17"/>
    <row r="587" ht="18" customHeight="1" s="17"/>
    <row r="588" ht="18" customHeight="1" s="17"/>
    <row r="589" ht="18" customHeight="1" s="17"/>
    <row r="590" ht="18" customHeight="1" s="17"/>
    <row r="591" ht="18" customHeight="1" s="17"/>
    <row r="592" ht="18" customHeight="1" s="17"/>
    <row r="593" ht="18" customHeight="1" s="17"/>
    <row r="594" ht="18" customHeight="1" s="17"/>
    <row r="595" ht="18" customHeight="1" s="17"/>
    <row r="596" ht="18" customHeight="1" s="17"/>
    <row r="597" ht="18" customHeight="1" s="17"/>
    <row r="598" ht="18" customHeight="1" s="17"/>
    <row r="599" ht="18" customHeight="1" s="17"/>
    <row r="600" ht="18" customHeight="1" s="17"/>
    <row r="601" ht="18" customHeight="1" s="17"/>
    <row r="602" ht="18" customHeight="1" s="17"/>
    <row r="603" ht="18" customHeight="1" s="17"/>
    <row r="604" ht="18" customHeight="1" s="17"/>
    <row r="605" ht="18" customHeight="1" s="17"/>
    <row r="606" ht="18" customHeight="1" s="17"/>
    <row r="607" ht="18" customHeight="1" s="17"/>
    <row r="608" ht="18" customHeight="1" s="17"/>
    <row r="609" ht="18" customHeight="1" s="17"/>
    <row r="610" ht="18" customHeight="1" s="17"/>
    <row r="611" ht="18" customHeight="1" s="17"/>
    <row r="612" ht="18" customHeight="1" s="17"/>
    <row r="613" ht="18" customHeight="1" s="17"/>
    <row r="614" ht="18" customHeight="1" s="17"/>
    <row r="615" ht="18" customHeight="1" s="17"/>
    <row r="616" ht="18" customHeight="1" s="17"/>
    <row r="617" ht="18" customHeight="1" s="17"/>
    <row r="618" ht="18" customHeight="1" s="17"/>
    <row r="619" ht="18" customHeight="1" s="17"/>
    <row r="620" ht="18" customHeight="1" s="17"/>
    <row r="621" ht="18" customHeight="1" s="17"/>
    <row r="622" ht="18" customHeight="1" s="17"/>
    <row r="623" ht="18" customHeight="1" s="17"/>
    <row r="624" ht="18" customHeight="1" s="17"/>
    <row r="625" ht="18" customHeight="1" s="17"/>
    <row r="626" ht="18" customHeight="1" s="17"/>
    <row r="627" ht="18" customHeight="1" s="17"/>
    <row r="628" ht="18" customHeight="1" s="17"/>
    <row r="629" ht="18" customHeight="1" s="17"/>
    <row r="630" ht="18" customHeight="1" s="17"/>
    <row r="631" ht="18" customHeight="1" s="17"/>
    <row r="632" ht="18" customHeight="1" s="17"/>
    <row r="633" ht="18" customHeight="1" s="17"/>
    <row r="634" ht="18" customHeight="1" s="17"/>
    <row r="635" ht="18" customHeight="1" s="17"/>
    <row r="636" ht="18" customHeight="1" s="17"/>
    <row r="637" ht="18" customHeight="1" s="17"/>
    <row r="638" ht="18" customHeight="1" s="17"/>
    <row r="639" ht="18" customHeight="1" s="17"/>
    <row r="640" ht="18" customHeight="1" s="17"/>
    <row r="641" ht="18" customHeight="1" s="17"/>
    <row r="642" ht="18" customHeight="1" s="17"/>
    <row r="643" ht="18" customHeight="1" s="17"/>
    <row r="644" ht="18" customHeight="1" s="17"/>
    <row r="645" ht="18" customHeight="1" s="17"/>
    <row r="646" ht="18" customHeight="1" s="17"/>
    <row r="647" ht="18" customHeight="1" s="17"/>
    <row r="648" ht="18" customHeight="1" s="17"/>
    <row r="649" ht="18" customHeight="1" s="17"/>
    <row r="650" ht="18" customHeight="1" s="17"/>
    <row r="651" ht="18" customHeight="1" s="17"/>
    <row r="652" ht="18" customHeight="1" s="17"/>
    <row r="653" ht="18" customHeight="1" s="17"/>
    <row r="654" ht="18" customHeight="1" s="17"/>
    <row r="655" ht="18" customHeight="1" s="17"/>
    <row r="656" ht="18" customHeight="1" s="17"/>
    <row r="657" ht="18" customHeight="1" s="17"/>
    <row r="658" ht="18" customHeight="1" s="17"/>
    <row r="659" ht="18" customHeight="1" s="17"/>
    <row r="660" ht="18" customHeight="1" s="17"/>
    <row r="661" ht="18" customHeight="1" s="17"/>
    <row r="662" ht="18" customHeight="1" s="17"/>
    <row r="663" ht="18" customHeight="1" s="17"/>
    <row r="664" ht="18" customHeight="1" s="17"/>
    <row r="665" ht="18" customHeight="1" s="17"/>
    <row r="666" ht="18" customHeight="1" s="17"/>
    <row r="667" ht="18" customHeight="1" s="17"/>
    <row r="668" ht="18" customHeight="1" s="17"/>
    <row r="669" ht="18" customHeight="1" s="17"/>
    <row r="670" ht="18" customHeight="1" s="17"/>
    <row r="671" ht="18" customHeight="1" s="17"/>
    <row r="672" ht="18" customHeight="1" s="17"/>
    <row r="673" ht="18" customHeight="1" s="17"/>
    <row r="674" ht="18" customHeight="1" s="17"/>
    <row r="675" ht="18" customHeight="1" s="17"/>
    <row r="676" ht="18" customHeight="1" s="17"/>
    <row r="677" ht="18" customHeight="1" s="17"/>
    <row r="678" ht="18" customHeight="1" s="17"/>
    <row r="679" ht="18" customHeight="1" s="17"/>
    <row r="680" ht="18" customHeight="1" s="17"/>
    <row r="681" ht="18" customHeight="1" s="17"/>
    <row r="682" ht="18" customHeight="1" s="17"/>
    <row r="683" ht="18" customHeight="1" s="17"/>
    <row r="684" ht="18" customHeight="1" s="17"/>
    <row r="685" ht="18" customHeight="1" s="17"/>
    <row r="686" ht="18" customHeight="1" s="17"/>
    <row r="687" ht="18" customHeight="1" s="17"/>
    <row r="688" ht="18" customHeight="1" s="17"/>
    <row r="689" ht="18" customHeight="1" s="17"/>
    <row r="690" ht="18" customHeight="1" s="17"/>
    <row r="691" ht="18" customHeight="1" s="17"/>
    <row r="692" ht="18" customHeight="1" s="17"/>
    <row r="693" ht="18" customHeight="1" s="17"/>
    <row r="694" ht="18" customHeight="1" s="17"/>
    <row r="695" ht="18" customHeight="1" s="17"/>
    <row r="696" ht="18" customHeight="1" s="17"/>
    <row r="697" ht="18" customHeight="1" s="17"/>
    <row r="698" ht="18" customHeight="1" s="17"/>
    <row r="699" ht="18" customHeight="1" s="17"/>
    <row r="700" ht="18" customHeight="1" s="17"/>
    <row r="701" ht="18" customHeight="1" s="17"/>
    <row r="702" ht="18" customHeight="1" s="17"/>
    <row r="703" ht="18" customHeight="1" s="17"/>
    <row r="704" ht="18" customHeight="1" s="17"/>
    <row r="705" ht="18" customHeight="1" s="17"/>
    <row r="706" ht="18" customHeight="1" s="17"/>
    <row r="707" ht="18" customHeight="1" s="17"/>
    <row r="708" ht="18" customHeight="1" s="17"/>
    <row r="709" ht="18" customHeight="1" s="17"/>
    <row r="710" ht="18" customHeight="1" s="17"/>
    <row r="711" ht="18" customHeight="1" s="17"/>
    <row r="712" ht="18" customHeight="1" s="17"/>
    <row r="713" ht="18" customHeight="1" s="17"/>
    <row r="714" ht="18" customHeight="1" s="17"/>
    <row r="715" ht="18" customHeight="1" s="17"/>
    <row r="716" ht="18" customHeight="1" s="17"/>
    <row r="717" ht="18" customHeight="1" s="17"/>
    <row r="718" ht="18" customHeight="1" s="17"/>
    <row r="719" ht="18" customHeight="1" s="17"/>
    <row r="720" ht="18" customHeight="1" s="17"/>
    <row r="721" ht="18" customHeight="1" s="17"/>
    <row r="722" ht="18" customHeight="1" s="17"/>
    <row r="723" ht="18" customHeight="1" s="17"/>
    <row r="724" ht="18" customHeight="1" s="17"/>
    <row r="725" ht="18" customHeight="1" s="17"/>
    <row r="726" ht="18" customHeight="1" s="17"/>
    <row r="727" ht="18" customHeight="1" s="17"/>
    <row r="728" ht="18" customHeight="1" s="17"/>
    <row r="729" ht="18" customHeight="1" s="17"/>
    <row r="730" ht="18" customHeight="1" s="17"/>
    <row r="731" ht="18" customHeight="1" s="17"/>
    <row r="732" ht="18" customHeight="1" s="17"/>
    <row r="733" ht="18" customHeight="1" s="17"/>
    <row r="734" ht="18" customHeight="1" s="17"/>
    <row r="735" ht="18" customHeight="1" s="17"/>
    <row r="736" ht="18" customHeight="1" s="17"/>
    <row r="737" ht="18" customHeight="1" s="17"/>
    <row r="738" ht="18" customHeight="1" s="17"/>
    <row r="739" ht="18" customHeight="1" s="17"/>
    <row r="740" ht="18" customHeight="1" s="17"/>
    <row r="741" ht="18" customHeight="1" s="17"/>
    <row r="742" ht="18" customHeight="1" s="17"/>
    <row r="743" ht="18" customHeight="1" s="17"/>
    <row r="744" ht="18" customHeight="1" s="17"/>
    <row r="745" ht="18" customHeight="1" s="17"/>
    <row r="746" ht="18" customHeight="1" s="17"/>
    <row r="747" ht="18" customHeight="1" s="17"/>
    <row r="748" ht="18" customHeight="1" s="17"/>
    <row r="749" ht="18" customHeight="1" s="17"/>
    <row r="750" ht="18" customHeight="1" s="17"/>
    <row r="751" ht="18" customHeight="1" s="17"/>
    <row r="752" ht="18" customHeight="1" s="17"/>
    <row r="753" ht="18" customHeight="1" s="17"/>
    <row r="754" ht="18" customHeight="1" s="17"/>
    <row r="755" ht="18" customHeight="1" s="17"/>
    <row r="756" ht="18" customHeight="1" s="17"/>
    <row r="757" ht="18" customHeight="1" s="17"/>
    <row r="758" ht="18" customHeight="1" s="17"/>
    <row r="759" ht="18" customHeight="1" s="17"/>
    <row r="760" ht="18" customHeight="1" s="17"/>
    <row r="761" ht="18" customHeight="1" s="17"/>
    <row r="762" ht="18" customHeight="1" s="17"/>
    <row r="763" ht="18" customHeight="1" s="17"/>
    <row r="764" ht="18" customHeight="1" s="17"/>
    <row r="765" ht="18" customHeight="1" s="17"/>
    <row r="766" ht="18" customHeight="1" s="17"/>
    <row r="767" ht="18" customHeight="1" s="17"/>
    <row r="768" ht="18" customHeight="1" s="17"/>
    <row r="769" ht="18" customHeight="1" s="17"/>
    <row r="770" ht="18" customHeight="1" s="17"/>
    <row r="771" ht="18" customHeight="1" s="17"/>
    <row r="772" ht="18" customHeight="1" s="17"/>
    <row r="773" ht="18" customHeight="1" s="17"/>
    <row r="774" ht="18" customHeight="1" s="17"/>
    <row r="775" ht="18" customHeight="1" s="17"/>
    <row r="776" ht="18" customHeight="1" s="17"/>
    <row r="777" ht="18" customHeight="1" s="17"/>
    <row r="778" ht="18" customHeight="1" s="17"/>
    <row r="779" ht="18" customHeight="1" s="17"/>
    <row r="780" ht="18" customHeight="1" s="17"/>
    <row r="781" ht="18" customHeight="1" s="17"/>
    <row r="782" ht="18" customHeight="1" s="17"/>
    <row r="783" ht="18" customHeight="1" s="17"/>
    <row r="784" ht="18" customHeight="1" s="17"/>
    <row r="785" ht="18" customHeight="1" s="17"/>
    <row r="786" ht="18" customHeight="1" s="17"/>
    <row r="787" ht="18" customHeight="1" s="17"/>
    <row r="788" ht="18" customHeight="1" s="17"/>
    <row r="789" ht="18" customHeight="1" s="17"/>
    <row r="790" ht="18" customHeight="1" s="17"/>
    <row r="791" ht="18" customHeight="1" s="17"/>
    <row r="792" ht="18" customHeight="1" s="17"/>
    <row r="793" ht="18" customHeight="1" s="17"/>
    <row r="794" ht="18" customHeight="1" s="17"/>
    <row r="795" ht="18" customHeight="1" s="17"/>
    <row r="796" ht="18" customHeight="1" s="17"/>
    <row r="797" ht="18" customHeight="1" s="17"/>
    <row r="798" ht="18" customHeight="1" s="17"/>
    <row r="799" ht="18" customHeight="1" s="17"/>
    <row r="800" ht="18" customHeight="1" s="17"/>
    <row r="801" ht="18" customHeight="1" s="17"/>
    <row r="802" ht="18" customHeight="1" s="17"/>
    <row r="803" ht="18" customHeight="1" s="17"/>
    <row r="804" ht="18" customHeight="1" s="17"/>
    <row r="805" ht="18" customHeight="1" s="17"/>
    <row r="806" ht="18" customHeight="1" s="17"/>
    <row r="807" ht="18" customHeight="1" s="17"/>
    <row r="808" ht="18" customHeight="1" s="17"/>
    <row r="809" ht="18" customHeight="1" s="17"/>
    <row r="810" ht="18" customHeight="1" s="17"/>
    <row r="811" ht="18" customHeight="1" s="17"/>
    <row r="812" ht="18" customHeight="1" s="17"/>
    <row r="813" ht="18" customHeight="1" s="17"/>
    <row r="814" ht="18" customHeight="1" s="17"/>
    <row r="815" ht="18" customHeight="1" s="17"/>
    <row r="816" ht="18" customHeight="1" s="17"/>
    <row r="817" ht="18" customHeight="1" s="17"/>
    <row r="818" ht="18" customHeight="1" s="17"/>
    <row r="819" ht="18" customHeight="1" s="17"/>
    <row r="820" ht="18" customHeight="1" s="17"/>
    <row r="821" ht="18" customHeight="1" s="17"/>
    <row r="822" ht="18" customHeight="1" s="17"/>
    <row r="823" ht="18" customHeight="1" s="17"/>
    <row r="824" ht="18" customHeight="1" s="17"/>
    <row r="825" ht="18" customHeight="1" s="17"/>
    <row r="826" ht="18" customHeight="1" s="17"/>
    <row r="827" ht="18" customHeight="1" s="17"/>
    <row r="828" ht="18" customHeight="1" s="17"/>
    <row r="829" ht="18" customHeight="1" s="17"/>
    <row r="830" ht="18" customHeight="1" s="17"/>
    <row r="831" ht="18" customHeight="1" s="17"/>
    <row r="832" ht="18" customHeight="1" s="17"/>
    <row r="833" ht="18" customHeight="1" s="17"/>
    <row r="834" ht="18" customHeight="1" s="17"/>
    <row r="835" ht="18" customHeight="1" s="17"/>
    <row r="836" ht="18" customHeight="1" s="17"/>
    <row r="837" ht="18" customHeight="1" s="17"/>
    <row r="838" ht="18" customHeight="1" s="17"/>
    <row r="839" ht="18" customHeight="1" s="17"/>
    <row r="840" ht="18" customHeight="1" s="17"/>
    <row r="841" ht="18" customHeight="1" s="17"/>
    <row r="842" ht="18" customHeight="1" s="17"/>
    <row r="843" ht="18" customHeight="1" s="17"/>
    <row r="844" ht="18" customHeight="1" s="17"/>
    <row r="845" ht="18" customHeight="1" s="17"/>
    <row r="846" ht="18" customHeight="1" s="17"/>
    <row r="847" ht="18" customHeight="1" s="17"/>
    <row r="848" ht="18" customHeight="1" s="17"/>
    <row r="849" ht="18" customHeight="1" s="17"/>
    <row r="850" ht="18" customHeight="1" s="17"/>
    <row r="851" ht="18" customHeight="1" s="17"/>
    <row r="852" ht="18" customHeight="1" s="17"/>
    <row r="853" ht="18" customHeight="1" s="17"/>
    <row r="854" ht="18" customHeight="1" s="17"/>
    <row r="855" ht="18" customHeight="1" s="17"/>
    <row r="856" ht="18" customHeight="1" s="17"/>
    <row r="857" ht="18" customHeight="1" s="17"/>
    <row r="858" ht="18" customHeight="1" s="17"/>
    <row r="859" ht="18" customHeight="1" s="17"/>
    <row r="860" ht="18" customHeight="1" s="17"/>
    <row r="861" ht="18" customHeight="1" s="17"/>
    <row r="862" ht="18" customHeight="1" s="17"/>
    <row r="863" ht="18" customHeight="1" s="17"/>
    <row r="864" ht="18" customHeight="1" s="17"/>
    <row r="865" ht="18" customHeight="1" s="17"/>
    <row r="866" ht="18" customHeight="1" s="17"/>
    <row r="867" ht="18" customHeight="1" s="17"/>
    <row r="868" ht="18" customHeight="1" s="17"/>
    <row r="869" ht="18" customHeight="1" s="17"/>
    <row r="870" ht="18" customHeight="1" s="17"/>
    <row r="871" ht="18" customHeight="1" s="17"/>
    <row r="872" ht="18" customHeight="1" s="17"/>
    <row r="873" ht="18" customHeight="1" s="17"/>
    <row r="874" ht="18" customHeight="1" s="17"/>
    <row r="875" ht="18" customHeight="1" s="17"/>
    <row r="876" ht="18" customHeight="1" s="17"/>
    <row r="877" ht="18" customHeight="1" s="17"/>
    <row r="878" ht="18" customHeight="1" s="17"/>
    <row r="879" ht="18" customHeight="1" s="17"/>
    <row r="880" ht="18" customHeight="1" s="17"/>
    <row r="881" ht="18" customHeight="1" s="17"/>
    <row r="882" ht="18" customHeight="1" s="17"/>
    <row r="883" ht="18" customHeight="1" s="17"/>
    <row r="884" ht="18" customHeight="1" s="17"/>
    <row r="885" ht="18" customHeight="1" s="17"/>
    <row r="886" ht="18" customHeight="1" s="17"/>
    <row r="887" ht="18" customHeight="1" s="17"/>
    <row r="888" ht="18" customHeight="1" s="17"/>
    <row r="889" ht="18" customHeight="1" s="17"/>
    <row r="890" ht="18" customHeight="1" s="17"/>
    <row r="891" ht="18" customHeight="1" s="17"/>
    <row r="892" ht="18" customHeight="1" s="17"/>
    <row r="893" ht="18" customHeight="1" s="17"/>
    <row r="894" ht="18" customHeight="1" s="17"/>
    <row r="895" ht="18" customHeight="1" s="17"/>
    <row r="896" ht="18" customHeight="1" s="17"/>
    <row r="897" ht="18" customHeight="1" s="17"/>
    <row r="898" ht="18" customHeight="1" s="17"/>
    <row r="899" ht="18" customHeight="1" s="17"/>
    <row r="900" ht="18" customHeight="1" s="17"/>
    <row r="901" ht="18" customHeight="1" s="17"/>
    <row r="902" ht="18" customHeight="1" s="17"/>
    <row r="903" ht="18" customHeight="1" s="17"/>
    <row r="904" ht="18" customHeight="1" s="17"/>
    <row r="905" ht="18" customHeight="1" s="17"/>
    <row r="906" ht="18" customHeight="1" s="17"/>
    <row r="907" ht="18" customHeight="1" s="17"/>
    <row r="908" ht="18" customHeight="1" s="17"/>
    <row r="909" ht="18" customHeight="1" s="17"/>
    <row r="910" ht="18" customHeight="1" s="17"/>
    <row r="911" ht="18" customHeight="1" s="17"/>
    <row r="912" ht="18" customHeight="1" s="17"/>
    <row r="913" ht="18" customHeight="1" s="17"/>
    <row r="914" ht="18" customHeight="1" s="17"/>
    <row r="915" ht="18" customHeight="1" s="17"/>
    <row r="916" ht="18" customHeight="1" s="17"/>
    <row r="917" ht="18" customHeight="1" s="17"/>
    <row r="918" ht="18" customHeight="1" s="17"/>
    <row r="919" ht="18" customHeight="1" s="17"/>
    <row r="920" ht="18" customHeight="1" s="17"/>
    <row r="921" ht="18" customHeight="1" s="17"/>
    <row r="922" ht="18" customHeight="1" s="17"/>
    <row r="923" ht="18" customHeight="1" s="17"/>
    <row r="924" ht="18" customHeight="1" s="17"/>
    <row r="925" ht="18" customHeight="1" s="17"/>
    <row r="926" ht="18" customHeight="1" s="17"/>
    <row r="927" ht="18" customHeight="1" s="17"/>
    <row r="928" ht="18" customHeight="1" s="17"/>
    <row r="929" ht="18" customHeight="1" s="17"/>
    <row r="930" ht="18" customHeight="1" s="17"/>
    <row r="931" ht="18" customHeight="1" s="17"/>
    <row r="932" ht="18" customHeight="1" s="17"/>
    <row r="933" ht="18" customHeight="1" s="17"/>
    <row r="934" ht="18" customHeight="1" s="17"/>
    <row r="935" ht="18" customHeight="1" s="17"/>
    <row r="936" ht="18" customHeight="1" s="17"/>
    <row r="937" ht="18" customHeight="1" s="17"/>
    <row r="938" ht="18" customHeight="1" s="17"/>
    <row r="939" ht="18" customHeight="1" s="17"/>
    <row r="940" ht="18" customHeight="1" s="17"/>
    <row r="941" ht="18" customHeight="1" s="17"/>
    <row r="942" ht="18" customHeight="1" s="17"/>
    <row r="943" ht="18" customHeight="1" s="17"/>
    <row r="944" ht="18" customHeight="1" s="17"/>
    <row r="945" ht="18" customHeight="1" s="17"/>
    <row r="946" ht="18" customHeight="1" s="17"/>
    <row r="947" ht="18" customHeight="1" s="17"/>
    <row r="948" ht="18" customHeight="1" s="17"/>
    <row r="949" ht="18" customHeight="1" s="17"/>
    <row r="950" ht="18" customHeight="1" s="17"/>
    <row r="951" ht="18" customHeight="1" s="17"/>
    <row r="952" ht="18" customHeight="1" s="17"/>
    <row r="953" ht="18" customHeight="1" s="17"/>
    <row r="954" ht="18" customHeight="1" s="17"/>
    <row r="955" ht="18" customHeight="1" s="17"/>
    <row r="956" ht="18" customHeight="1" s="17"/>
    <row r="957" ht="18" customHeight="1" s="17"/>
    <row r="958" ht="18" customHeight="1" s="17"/>
    <row r="959" ht="18" customHeight="1" s="17"/>
    <row r="960" ht="18" customHeight="1" s="17"/>
    <row r="961" ht="18" customHeight="1" s="17"/>
    <row r="962" ht="18" customHeight="1" s="17"/>
    <row r="963" ht="18" customHeight="1" s="17"/>
    <row r="964" ht="18" customHeight="1" s="17"/>
    <row r="965" ht="18" customHeight="1" s="17"/>
    <row r="966" ht="18" customHeight="1" s="17"/>
    <row r="967" ht="18" customHeight="1" s="17"/>
    <row r="968" ht="18" customHeight="1" s="17"/>
    <row r="969" ht="18" customHeight="1" s="17"/>
    <row r="970" ht="18" customHeight="1" s="17"/>
    <row r="971" ht="18" customHeight="1" s="17"/>
    <row r="972" ht="18" customHeight="1" s="17"/>
    <row r="973" ht="18" customHeight="1" s="17"/>
    <row r="974" ht="18" customHeight="1" s="17"/>
    <row r="975" ht="18" customHeight="1" s="17"/>
    <row r="976" ht="18" customHeight="1" s="17"/>
    <row r="977" ht="18" customHeight="1" s="17"/>
    <row r="978" ht="18" customHeight="1" s="17"/>
    <row r="979" ht="18" customHeight="1" s="17"/>
    <row r="980" ht="18" customHeight="1" s="17"/>
    <row r="981" ht="18" customHeight="1" s="17"/>
    <row r="982" ht="18" customHeight="1" s="17"/>
    <row r="983" ht="18" customHeight="1" s="17"/>
    <row r="984" ht="18" customHeight="1" s="17"/>
    <row r="985" ht="18" customHeight="1" s="17"/>
    <row r="986" ht="18" customHeight="1" s="17"/>
    <row r="987" ht="18" customHeight="1" s="17"/>
    <row r="988" ht="18" customHeight="1" s="17"/>
    <row r="989" ht="18" customHeight="1" s="17"/>
    <row r="990" ht="18" customHeight="1" s="17"/>
    <row r="991" ht="18" customHeight="1" s="17"/>
    <row r="992" ht="18" customHeight="1" s="17"/>
    <row r="993" ht="18" customHeight="1" s="17"/>
    <row r="994" ht="18" customHeight="1" s="17"/>
    <row r="995" ht="18" customHeight="1" s="17"/>
    <row r="996" ht="18" customHeight="1" s="17"/>
    <row r="997" ht="18" customHeight="1" s="17"/>
    <row r="998" ht="18" customHeight="1" s="17"/>
    <row r="999" ht="18" customHeight="1" s="17"/>
    <row r="1000" ht="18" customHeight="1" s="17"/>
    <row r="1001" ht="18" customHeight="1" s="17"/>
    <row r="1002" ht="18" customHeight="1" s="17"/>
    <row r="1003" ht="18" customHeight="1" s="17"/>
    <row r="1004" ht="18" customHeight="1" s="17"/>
    <row r="1005" ht="18" customHeight="1" s="17"/>
    <row r="1006" ht="18" customHeight="1" s="17"/>
    <row r="1007" ht="18" customHeight="1" s="17"/>
    <row r="1008" ht="18" customHeight="1" s="17"/>
    <row r="1009" ht="18" customHeight="1" s="17"/>
    <row r="1010" ht="18" customHeight="1" s="17"/>
    <row r="1011" ht="18" customHeight="1" s="17"/>
    <row r="1012" ht="18" customHeight="1" s="17"/>
    <row r="1013" ht="18" customHeight="1" s="17"/>
    <row r="1014" ht="18" customHeight="1" s="17"/>
    <row r="1015" ht="18" customHeight="1" s="17"/>
    <row r="1016" ht="18" customHeight="1" s="17"/>
    <row r="1017" ht="18" customHeight="1" s="17"/>
    <row r="1018" ht="18" customHeight="1" s="17"/>
    <row r="1019" ht="18" customHeight="1" s="17"/>
    <row r="1020" ht="18" customHeight="1" s="17"/>
    <row r="1021" ht="18" customHeight="1" s="17"/>
    <row r="1022" ht="18" customHeight="1" s="17"/>
    <row r="1023" ht="18" customHeight="1" s="17"/>
    <row r="1024" ht="18" customHeight="1" s="17"/>
    <row r="1025" ht="18" customHeight="1" s="17"/>
    <row r="1026" ht="18" customHeight="1" s="17"/>
    <row r="1027" ht="18" customHeight="1" s="17"/>
    <row r="1028" ht="18" customHeight="1" s="17"/>
    <row r="1029" ht="18" customHeight="1" s="17"/>
    <row r="1030" ht="18" customHeight="1" s="17"/>
    <row r="1031" ht="18" customHeight="1" s="17"/>
    <row r="1032" ht="18" customHeight="1" s="17"/>
    <row r="1033" ht="18" customHeight="1" s="17"/>
    <row r="1034" ht="18" customHeight="1" s="17"/>
    <row r="1035" ht="18" customHeight="1" s="17"/>
    <row r="1036" ht="18" customHeight="1" s="17"/>
    <row r="1037" ht="18" customHeight="1" s="17"/>
    <row r="1038" ht="18" customHeight="1" s="17"/>
    <row r="1039" ht="18" customHeight="1" s="17"/>
    <row r="1040" ht="18" customHeight="1" s="17"/>
    <row r="1041" ht="18" customHeight="1" s="17"/>
    <row r="1042" ht="18" customHeight="1" s="17"/>
    <row r="1043" ht="18" customHeight="1" s="17"/>
    <row r="1044" ht="18" customHeight="1" s="17"/>
    <row r="1045" ht="18" customHeight="1" s="17"/>
    <row r="1046" ht="18" customHeight="1" s="17"/>
    <row r="1047" ht="18" customHeight="1" s="17"/>
    <row r="1048" ht="18" customHeight="1" s="17"/>
    <row r="1049" ht="18" customHeight="1" s="17"/>
    <row r="1050" ht="18" customHeight="1" s="17"/>
    <row r="1051" ht="18" customHeight="1" s="17"/>
    <row r="1052" ht="18" customHeight="1" s="17"/>
    <row r="1053" ht="18" customHeight="1" s="17"/>
    <row r="1054" ht="18" customHeight="1" s="17"/>
    <row r="1055" ht="18" customHeight="1" s="17"/>
    <row r="1056" ht="18" customHeight="1" s="17"/>
    <row r="1057" ht="18" customHeight="1" s="17"/>
    <row r="1058" ht="18" customHeight="1" s="17"/>
    <row r="1059" ht="18" customHeight="1" s="17"/>
    <row r="1060" ht="18" customHeight="1" s="17"/>
    <row r="1061" ht="18" customHeight="1" s="17"/>
    <row r="1062" ht="18" customHeight="1" s="17"/>
    <row r="1063" ht="18" customHeight="1" s="17"/>
    <row r="1064" ht="18" customHeight="1" s="17"/>
    <row r="1065" ht="18" customHeight="1" s="17"/>
    <row r="1066" ht="18" customHeight="1" s="17"/>
    <row r="1067" ht="18" customHeight="1" s="17"/>
    <row r="1068" ht="18" customHeight="1" s="17"/>
    <row r="1069" ht="18" customHeight="1" s="17"/>
    <row r="1070" ht="18" customHeight="1" s="17"/>
    <row r="1071" ht="18" customHeight="1" s="17"/>
    <row r="1072" ht="18" customHeight="1" s="17"/>
    <row r="1073" ht="18" customHeight="1" s="17"/>
    <row r="1074" ht="18" customHeight="1" s="17"/>
    <row r="1075" ht="18" customHeight="1" s="17"/>
    <row r="1076" ht="18" customHeight="1" s="17"/>
    <row r="1077" ht="18" customHeight="1" s="17"/>
    <row r="1078" ht="18" customHeight="1" s="17"/>
    <row r="1079" ht="18" customHeight="1" s="17"/>
    <row r="1080" ht="18" customHeight="1" s="17"/>
    <row r="1081" ht="18" customHeight="1" s="17"/>
    <row r="1082" ht="18" customHeight="1" s="17"/>
    <row r="1083" ht="18" customHeight="1" s="17"/>
    <row r="1084" ht="18" customHeight="1" s="17"/>
    <row r="1085" ht="18" customHeight="1" s="17"/>
    <row r="1086" ht="18" customHeight="1" s="17"/>
    <row r="1087" ht="18" customHeight="1" s="17"/>
    <row r="1088" ht="18" customHeight="1" s="17"/>
    <row r="1089" ht="18" customHeight="1" s="17"/>
    <row r="1090" ht="18" customHeight="1" s="17"/>
    <row r="1091" ht="18" customHeight="1" s="17"/>
    <row r="1092" ht="18" customHeight="1" s="17"/>
    <row r="1093" ht="18" customHeight="1" s="17"/>
    <row r="1094" ht="18" customHeight="1" s="17"/>
    <row r="1095" ht="18" customHeight="1" s="17"/>
    <row r="1096" ht="18" customHeight="1" s="17"/>
    <row r="1097" ht="18" customHeight="1" s="17"/>
    <row r="1098" ht="18" customHeight="1" s="17"/>
    <row r="1099" ht="18" customHeight="1" s="17"/>
    <row r="1100" ht="18" customHeight="1" s="17"/>
    <row r="1101" ht="18" customHeight="1" s="17"/>
    <row r="1102" ht="18" customHeight="1" s="17"/>
    <row r="1103" ht="18" customHeight="1" s="17"/>
    <row r="1104" ht="18" customHeight="1" s="17"/>
    <row r="1105" ht="18" customHeight="1" s="17"/>
    <row r="1106" ht="18" customHeight="1" s="17"/>
    <row r="1107" ht="18" customHeight="1" s="17"/>
    <row r="1108" ht="18" customHeight="1" s="17"/>
    <row r="1109" ht="18" customHeight="1" s="17"/>
    <row r="1110" ht="18" customHeight="1" s="17"/>
    <row r="1111" ht="18" customHeight="1" s="17"/>
    <row r="1112" ht="18" customHeight="1" s="17"/>
    <row r="1113" ht="18" customHeight="1" s="17"/>
    <row r="1114" ht="18" customHeight="1" s="17"/>
    <row r="1115" ht="18" customHeight="1" s="17"/>
    <row r="1116" ht="18" customHeight="1" s="17"/>
    <row r="1117" ht="18" customHeight="1" s="17"/>
    <row r="1118" ht="18" customHeight="1" s="17"/>
    <row r="1119" ht="18" customHeight="1" s="17"/>
    <row r="1120" ht="18" customHeight="1" s="17"/>
    <row r="1121" ht="18" customHeight="1" s="17"/>
    <row r="1122" ht="18" customHeight="1" s="17"/>
    <row r="1123" ht="18" customHeight="1" s="17"/>
    <row r="1124" ht="18" customHeight="1" s="17"/>
    <row r="1125" ht="18" customHeight="1" s="17"/>
    <row r="1126" ht="18" customHeight="1" s="17"/>
    <row r="1127" ht="18" customHeight="1" s="17"/>
    <row r="1128" ht="18" customHeight="1" s="17"/>
    <row r="1129" ht="18" customHeight="1" s="17"/>
    <row r="1130" ht="18" customHeight="1" s="17"/>
    <row r="1131" ht="18" customHeight="1" s="17"/>
    <row r="1132" ht="18" customHeight="1" s="17"/>
    <row r="1133" ht="18" customHeight="1" s="17"/>
    <row r="1134" ht="18" customHeight="1" s="17"/>
    <row r="1135" ht="18" customHeight="1" s="17"/>
    <row r="1136" ht="18" customHeight="1" s="17"/>
    <row r="1137" ht="18" customHeight="1" s="17"/>
    <row r="1138" ht="18" customHeight="1" s="17"/>
    <row r="1139" ht="18" customHeight="1" s="17"/>
    <row r="1140" ht="18" customHeight="1" s="17"/>
    <row r="1141" ht="18" customHeight="1" s="17"/>
    <row r="1142" ht="18" customHeight="1" s="17"/>
    <row r="1143" ht="18" customHeight="1" s="17"/>
    <row r="1144" ht="18" customHeight="1" s="17"/>
    <row r="1145" ht="18" customHeight="1" s="17"/>
    <row r="1146" ht="18" customHeight="1" s="17"/>
    <row r="1147" ht="18" customHeight="1" s="17"/>
    <row r="1148" ht="18" customHeight="1" s="17"/>
    <row r="1149" ht="18" customHeight="1" s="17"/>
    <row r="1150" ht="18" customHeight="1" s="17"/>
    <row r="1151" ht="18" customHeight="1" s="17"/>
    <row r="1152" ht="18" customHeight="1" s="17"/>
    <row r="1153" ht="18" customHeight="1" s="17"/>
    <row r="1154" ht="18" customHeight="1" s="17"/>
    <row r="1155" ht="18" customHeight="1" s="17"/>
    <row r="1156" ht="18" customHeight="1" s="17"/>
    <row r="1157" ht="18" customHeight="1" s="17"/>
    <row r="1158" ht="18" customHeight="1" s="17"/>
    <row r="1159" ht="18" customHeight="1" s="17"/>
    <row r="1160" ht="18" customHeight="1" s="17"/>
    <row r="1161" ht="18" customHeight="1" s="17"/>
    <row r="1162" ht="18" customHeight="1" s="17"/>
    <row r="1163" ht="18" customHeight="1" s="17"/>
    <row r="1164" ht="18" customHeight="1" s="17"/>
    <row r="1165" ht="18" customHeight="1" s="17"/>
    <row r="1166" ht="18" customHeight="1" s="17"/>
    <row r="1167" ht="18" customHeight="1" s="17"/>
    <row r="1168" ht="18" customHeight="1" s="17"/>
    <row r="1169" ht="18" customHeight="1" s="17"/>
    <row r="1170" ht="18" customHeight="1" s="17"/>
    <row r="1171" ht="18" customHeight="1" s="17"/>
    <row r="1172" ht="18" customHeight="1" s="17"/>
    <row r="1173" ht="18" customHeight="1" s="17"/>
    <row r="1174" ht="18" customHeight="1" s="17"/>
    <row r="1175" ht="18" customHeight="1" s="17"/>
    <row r="1176" ht="18" customHeight="1" s="17"/>
    <row r="1177" ht="18" customHeight="1" s="17"/>
    <row r="1178" ht="18" customHeight="1" s="17"/>
    <row r="1179" ht="18" customHeight="1" s="17"/>
    <row r="1180" ht="18" customHeight="1" s="17"/>
    <row r="1181" ht="18" customHeight="1" s="17"/>
    <row r="1182" ht="18" customHeight="1" s="17"/>
    <row r="1183" ht="18" customHeight="1" s="17"/>
    <row r="1184" ht="18" customHeight="1" s="17"/>
    <row r="1185" ht="18" customHeight="1" s="17"/>
    <row r="1186" ht="18" customHeight="1" s="17"/>
    <row r="1187" ht="18" customHeight="1" s="17"/>
    <row r="1188" ht="18" customHeight="1" s="17"/>
    <row r="1189" ht="18" customHeight="1" s="17"/>
    <row r="1190" ht="18" customHeight="1" s="17"/>
    <row r="1191" ht="18" customHeight="1" s="17"/>
    <row r="1192" ht="18" customHeight="1" s="17"/>
    <row r="1193" ht="18" customHeight="1" s="17"/>
    <row r="1194" ht="18" customHeight="1" s="17"/>
    <row r="1195" ht="18" customHeight="1" s="17"/>
    <row r="1196" ht="18" customHeight="1" s="17"/>
    <row r="1197" ht="18" customHeight="1" s="17"/>
    <row r="1198" ht="18" customHeight="1" s="17"/>
    <row r="1199" ht="18" customHeight="1" s="17"/>
    <row r="1200" ht="18" customHeight="1" s="17"/>
    <row r="1201" ht="18" customHeight="1" s="17"/>
    <row r="1202" ht="18" customHeight="1" s="17"/>
    <row r="1203" ht="18" customHeight="1" s="17"/>
    <row r="1204" ht="18" customHeight="1" s="17"/>
    <row r="1205" ht="18" customHeight="1" s="17"/>
    <row r="1206" ht="18" customHeight="1" s="17"/>
    <row r="1207" ht="18" customHeight="1" s="17"/>
    <row r="1208" ht="18" customHeight="1" s="17"/>
    <row r="1209" ht="18" customHeight="1" s="17"/>
    <row r="1210" ht="18" customHeight="1" s="17"/>
    <row r="1211" ht="18" customHeight="1" s="17"/>
    <row r="1212" ht="18" customHeight="1" s="17"/>
    <row r="1213" ht="18" customHeight="1" s="17"/>
    <row r="1214" ht="18" customHeight="1" s="17"/>
    <row r="1215" ht="18" customHeight="1" s="17"/>
    <row r="1216" ht="18" customHeight="1" s="17"/>
    <row r="1217" ht="18" customHeight="1" s="17"/>
    <row r="1218" ht="18" customHeight="1" s="17"/>
    <row r="1219" ht="18" customHeight="1" s="17"/>
    <row r="1220" ht="18" customHeight="1" s="17"/>
    <row r="1221" ht="18" customHeight="1" s="17"/>
    <row r="1222" ht="18" customHeight="1" s="17"/>
    <row r="1223" ht="18" customHeight="1" s="17"/>
    <row r="1224" ht="18" customHeight="1" s="17"/>
    <row r="1225" ht="18" customHeight="1" s="17"/>
    <row r="1226" ht="18" customHeight="1" s="17"/>
    <row r="1227" ht="18" customHeight="1" s="17"/>
    <row r="1228" ht="18" customHeight="1" s="17"/>
    <row r="1229" ht="18" customHeight="1" s="17"/>
    <row r="1230" ht="18" customHeight="1" s="17"/>
    <row r="1231" ht="18" customHeight="1" s="17"/>
    <row r="1232" ht="18" customHeight="1" s="17"/>
    <row r="1233" ht="18" customHeight="1" s="17"/>
    <row r="1234" ht="18" customHeight="1" s="17"/>
    <row r="1235" ht="18" customHeight="1" s="17"/>
    <row r="1236" ht="18" customHeight="1" s="17"/>
    <row r="1237" ht="18" customHeight="1" s="17"/>
    <row r="1238" ht="18" customHeight="1" s="17"/>
    <row r="1239" ht="18" customHeight="1" s="17"/>
    <row r="1240" ht="18" customHeight="1" s="17"/>
    <row r="1241" ht="18" customHeight="1" s="17"/>
    <row r="1242" ht="18" customHeight="1" s="17"/>
    <row r="1243" ht="18" customHeight="1" s="17"/>
    <row r="1244" ht="18" customHeight="1" s="17"/>
    <row r="1245" ht="18" customHeight="1" s="17"/>
    <row r="1246" ht="18" customHeight="1" s="17"/>
    <row r="1247" ht="18" customHeight="1" s="17"/>
    <row r="1248" ht="18" customHeight="1" s="17"/>
    <row r="1249" ht="18" customHeight="1" s="17"/>
    <row r="1250" ht="18" customHeight="1" s="17"/>
    <row r="1251" ht="18" customHeight="1" s="17"/>
    <row r="1252" ht="18" customHeight="1" s="17"/>
    <row r="1253" ht="18" customHeight="1" s="17"/>
    <row r="1254" ht="18" customHeight="1" s="17"/>
    <row r="1255" ht="18" customHeight="1" s="17"/>
    <row r="1256" ht="18" customHeight="1" s="17"/>
    <row r="1257" ht="18" customHeight="1" s="17"/>
    <row r="1258" ht="18" customHeight="1" s="17"/>
    <row r="1259" ht="18" customHeight="1" s="17"/>
    <row r="1260" ht="18" customHeight="1" s="17"/>
    <row r="1261" ht="18" customHeight="1" s="17"/>
    <row r="1262" ht="18" customHeight="1" s="17"/>
    <row r="1263" ht="18" customHeight="1" s="17"/>
    <row r="1264" ht="18" customHeight="1" s="17"/>
    <row r="1265" ht="18" customHeight="1" s="17"/>
    <row r="1266" ht="18" customHeight="1" s="17"/>
    <row r="1267" ht="18" customHeight="1" s="17"/>
    <row r="1268" ht="18" customHeight="1" s="17"/>
    <row r="1269" ht="18" customHeight="1" s="17"/>
    <row r="1270" ht="18" customHeight="1" s="17"/>
    <row r="1271" ht="18" customHeight="1" s="17"/>
    <row r="1272" ht="18" customHeight="1" s="17"/>
    <row r="1273" ht="18" customHeight="1" s="17"/>
    <row r="1274" ht="18" customHeight="1" s="17"/>
    <row r="1275" ht="18" customHeight="1" s="17"/>
    <row r="1276" ht="18" customHeight="1" s="17"/>
    <row r="1277" ht="18" customHeight="1" s="17"/>
    <row r="1278" ht="18" customHeight="1" s="17"/>
    <row r="1279" ht="18" customHeight="1" s="17"/>
    <row r="1280" ht="18" customHeight="1" s="17"/>
    <row r="1281" ht="18" customHeight="1" s="17"/>
    <row r="1282" ht="18" customHeight="1" s="17"/>
    <row r="1283" ht="18" customHeight="1" s="17"/>
    <row r="1284" ht="18" customHeight="1" s="17"/>
    <row r="1285" ht="18" customHeight="1" s="17"/>
    <row r="1286" ht="18" customHeight="1" s="17"/>
    <row r="1287" ht="18" customHeight="1" s="17"/>
    <row r="1288" ht="18" customHeight="1" s="17"/>
    <row r="1289" ht="18" customHeight="1" s="17"/>
    <row r="1290" ht="18" customHeight="1" s="17"/>
    <row r="1291" ht="18" customHeight="1" s="17"/>
    <row r="1292" ht="18" customHeight="1" s="17"/>
    <row r="1293" ht="18" customHeight="1" s="17"/>
    <row r="1294" ht="18" customHeight="1" s="17"/>
    <row r="1295" ht="18" customHeight="1" s="17"/>
    <row r="1296" ht="18" customHeight="1" s="17"/>
    <row r="1297" ht="18" customHeight="1" s="17"/>
    <row r="1298" ht="18" customHeight="1" s="17"/>
    <row r="1299" ht="18" customHeight="1" s="17"/>
    <row r="1300" ht="18" customHeight="1" s="17"/>
    <row r="1301" ht="18" customHeight="1" s="17"/>
    <row r="1302" ht="18" customHeight="1" s="17"/>
    <row r="1303" ht="18" customHeight="1" s="17"/>
    <row r="1304" ht="18" customHeight="1" s="17"/>
    <row r="1305" ht="18" customHeight="1" s="17"/>
    <row r="1306" ht="18" customHeight="1" s="17"/>
    <row r="1307" ht="18" customHeight="1" s="17"/>
    <row r="1308" ht="18" customHeight="1" s="17"/>
    <row r="1309" ht="18" customHeight="1" s="17"/>
    <row r="1310" ht="18" customHeight="1" s="17"/>
    <row r="1311" ht="18" customHeight="1" s="17"/>
    <row r="1312" ht="18" customHeight="1" s="17"/>
    <row r="1313" ht="18" customHeight="1" s="17"/>
    <row r="1314" ht="18" customHeight="1" s="17"/>
    <row r="1315" ht="18" customHeight="1" s="17"/>
    <row r="1316" ht="18" customHeight="1" s="17"/>
    <row r="1317" ht="18" customHeight="1" s="17"/>
    <row r="1318" ht="18" customHeight="1" s="17"/>
    <row r="1319" ht="18" customHeight="1" s="17"/>
    <row r="1320" ht="18" customHeight="1" s="17"/>
    <row r="1321" ht="18" customHeight="1" s="17"/>
    <row r="1322" ht="18" customHeight="1" s="17"/>
    <row r="1323" ht="18" customHeight="1" s="17"/>
    <row r="1324" ht="18" customHeight="1" s="17"/>
    <row r="1325" ht="18" customHeight="1" s="17"/>
    <row r="1326" ht="18" customHeight="1" s="17"/>
    <row r="1327" ht="18" customHeight="1" s="17"/>
    <row r="1328" ht="18" customHeight="1" s="17"/>
    <row r="1329" ht="18" customHeight="1" s="17"/>
    <row r="1330" ht="18" customHeight="1" s="17"/>
    <row r="1331" ht="18" customHeight="1" s="17"/>
    <row r="1332" ht="18" customHeight="1" s="17"/>
    <row r="1333" ht="18" customHeight="1" s="17"/>
    <row r="1334" ht="18" customHeight="1" s="17"/>
    <row r="1335" ht="18" customHeight="1" s="17"/>
    <row r="1336" ht="18" customHeight="1" s="17"/>
    <row r="1337" ht="18" customHeight="1" s="17"/>
    <row r="1338" ht="18" customHeight="1" s="17"/>
    <row r="1339" ht="18" customHeight="1" s="17"/>
    <row r="1340" ht="18" customHeight="1" s="17"/>
    <row r="1341" ht="18" customHeight="1" s="17"/>
    <row r="1342" ht="18" customHeight="1" s="17"/>
    <row r="1343" ht="18" customHeight="1" s="17"/>
    <row r="1344" ht="18" customHeight="1" s="17"/>
    <row r="1345" ht="18" customHeight="1" s="17"/>
    <row r="1346" ht="18" customHeight="1" s="17"/>
    <row r="1347" ht="18" customHeight="1" s="17"/>
    <row r="1348" ht="18" customHeight="1" s="17"/>
    <row r="1349" ht="18" customHeight="1" s="17"/>
    <row r="1350" ht="18" customHeight="1" s="17"/>
    <row r="1351" ht="18" customHeight="1" s="17"/>
    <row r="1352" ht="18" customHeight="1" s="17"/>
    <row r="1353" ht="18" customHeight="1" s="17"/>
    <row r="1354" ht="18" customHeight="1" s="17"/>
    <row r="1355" ht="18" customHeight="1" s="17"/>
    <row r="1356" ht="18" customHeight="1" s="17"/>
    <row r="1357" ht="18" customHeight="1" s="17"/>
    <row r="1358" ht="18" customHeight="1" s="17"/>
    <row r="1359" ht="18" customHeight="1" s="17"/>
    <row r="1360" ht="18" customHeight="1" s="17"/>
    <row r="1361" ht="18" customHeight="1" s="17"/>
    <row r="1362" ht="18" customHeight="1" s="17"/>
    <row r="1363" ht="18" customHeight="1" s="17"/>
    <row r="1364" ht="18" customHeight="1" s="17"/>
    <row r="1365" ht="18" customHeight="1" s="17"/>
    <row r="1366" ht="18" customHeight="1" s="17"/>
    <row r="1367" ht="18" customHeight="1" s="17"/>
    <row r="1368" ht="18" customHeight="1" s="17"/>
    <row r="1369" ht="18" customHeight="1" s="17"/>
    <row r="1370" ht="18" customHeight="1" s="17"/>
    <row r="1371" ht="18" customHeight="1" s="17"/>
    <row r="1372" ht="18" customHeight="1" s="17"/>
    <row r="1373" ht="18" customHeight="1" s="17"/>
    <row r="1374" ht="18" customHeight="1" s="17"/>
    <row r="1375" ht="18" customHeight="1" s="17"/>
    <row r="1376" ht="18" customHeight="1" s="17"/>
    <row r="1377" ht="18" customHeight="1" s="17"/>
    <row r="1378" ht="18" customHeight="1" s="17"/>
    <row r="1379" ht="18" customHeight="1" s="17"/>
    <row r="1380" ht="18" customHeight="1" s="17"/>
    <row r="1381" ht="18" customHeight="1" s="17"/>
    <row r="1382" ht="18" customHeight="1" s="17"/>
    <row r="1383" ht="18" customHeight="1" s="17"/>
    <row r="1384" ht="18" customHeight="1" s="17"/>
    <row r="1385" ht="18" customHeight="1" s="17"/>
    <row r="1386" ht="18" customHeight="1" s="17"/>
    <row r="1387" ht="18" customHeight="1" s="17"/>
    <row r="1388" ht="18" customHeight="1" s="17"/>
    <row r="1389" ht="18" customHeight="1" s="17"/>
    <row r="1390" ht="18" customHeight="1" s="17"/>
    <row r="1391" ht="18" customHeight="1" s="17"/>
    <row r="1392" ht="18" customHeight="1" s="17"/>
    <row r="1393" ht="18" customHeight="1" s="17"/>
    <row r="1394" ht="18" customHeight="1" s="17"/>
    <row r="1395" ht="18" customHeight="1" s="17"/>
    <row r="1396" ht="18" customHeight="1" s="17"/>
    <row r="1397" ht="18" customHeight="1" s="17"/>
    <row r="1398" ht="18" customHeight="1" s="17"/>
    <row r="1399" ht="18" customHeight="1" s="17"/>
    <row r="1400" ht="18" customHeight="1" s="17"/>
    <row r="1401" ht="18" customHeight="1" s="17"/>
    <row r="1402" ht="18" customHeight="1" s="17"/>
    <row r="1403" ht="18" customHeight="1" s="17"/>
    <row r="1404" ht="18" customHeight="1" s="17"/>
    <row r="1405" ht="18" customHeight="1" s="17"/>
    <row r="1406" ht="18" customHeight="1" s="17"/>
    <row r="1407" ht="18" customHeight="1" s="17"/>
    <row r="1408" ht="18" customHeight="1" s="17"/>
    <row r="1409" ht="18" customHeight="1" s="17"/>
    <row r="1410" ht="18" customHeight="1" s="17"/>
    <row r="1411" ht="18" customHeight="1" s="17"/>
    <row r="1412" ht="18" customHeight="1" s="17"/>
    <row r="1413" ht="18" customHeight="1" s="17"/>
    <row r="1414" ht="18" customHeight="1" s="17"/>
    <row r="1415" ht="18" customHeight="1" s="17"/>
    <row r="1416" ht="18" customHeight="1" s="17"/>
    <row r="1417" ht="18" customHeight="1" s="17"/>
    <row r="1418" ht="18" customHeight="1" s="17"/>
    <row r="1419" ht="18" customHeight="1" s="17"/>
    <row r="1420" ht="18" customHeight="1" s="17"/>
    <row r="1421" ht="18" customHeight="1" s="17"/>
    <row r="1422" ht="18" customHeight="1" s="17"/>
    <row r="1423" ht="18" customHeight="1" s="17"/>
    <row r="1424" ht="18" customHeight="1" s="17"/>
    <row r="1425" ht="18" customHeight="1" s="17"/>
    <row r="1426" ht="18" customHeight="1" s="17"/>
    <row r="1427" ht="18" customHeight="1" s="17"/>
    <row r="1428" ht="18" customHeight="1" s="17"/>
    <row r="1429" ht="18" customHeight="1" s="17"/>
    <row r="1430" ht="18" customHeight="1" s="17"/>
    <row r="1431" ht="18" customHeight="1" s="17"/>
    <row r="1432" ht="18" customHeight="1" s="17"/>
    <row r="1433" ht="18" customHeight="1" s="17"/>
    <row r="1434" ht="18" customHeight="1" s="17"/>
    <row r="1435" ht="18" customHeight="1" s="17"/>
    <row r="1436" ht="18" customHeight="1" s="17"/>
    <row r="1437" ht="18" customHeight="1" s="17"/>
    <row r="1438" ht="18" customHeight="1" s="17"/>
    <row r="1439" ht="18" customHeight="1" s="17"/>
    <row r="1440" ht="18" customHeight="1" s="17"/>
    <row r="1441" ht="18" customHeight="1" s="17"/>
    <row r="1442" ht="18" customHeight="1" s="17"/>
    <row r="1443" ht="18" customHeight="1" s="17"/>
    <row r="1444" ht="18" customHeight="1" s="17"/>
    <row r="1445" ht="18" customHeight="1" s="17"/>
    <row r="1446" ht="18" customHeight="1" s="17"/>
    <row r="1447" ht="18" customHeight="1" s="17"/>
    <row r="1448" ht="18" customHeight="1" s="17"/>
    <row r="1449" ht="18" customHeight="1" s="17"/>
    <row r="1450" ht="18" customHeight="1" s="17"/>
    <row r="1451" ht="18" customHeight="1" s="17"/>
    <row r="1452" ht="18" customHeight="1" s="17"/>
    <row r="1453" ht="18" customHeight="1" s="17"/>
    <row r="1454" ht="18" customHeight="1" s="17"/>
    <row r="1455" ht="18" customHeight="1" s="17"/>
    <row r="1456" ht="18" customHeight="1" s="17"/>
    <row r="1457" ht="18" customHeight="1" s="17"/>
    <row r="1458" ht="18" customHeight="1" s="17"/>
    <row r="1459" ht="18" customHeight="1" s="17"/>
    <row r="1460" ht="18" customHeight="1" s="17"/>
    <row r="1461" ht="18" customHeight="1" s="17"/>
    <row r="1462" ht="18" customHeight="1" s="17"/>
    <row r="1463" ht="18" customHeight="1" s="17"/>
    <row r="1464" ht="18" customHeight="1" s="17"/>
    <row r="1465" ht="18" customHeight="1" s="17"/>
    <row r="1466" ht="18" customHeight="1" s="17"/>
    <row r="1467" ht="18" customHeight="1" s="17"/>
    <row r="1468" ht="18" customHeight="1" s="17"/>
    <row r="1469" ht="18" customHeight="1" s="17"/>
    <row r="1470" ht="18" customHeight="1" s="17"/>
    <row r="1471" ht="18" customHeight="1" s="17"/>
    <row r="1472" ht="18" customHeight="1" s="17"/>
    <row r="1473" ht="18" customHeight="1" s="17"/>
    <row r="1474" ht="18" customHeight="1" s="17"/>
    <row r="1475" ht="18" customHeight="1" s="17"/>
    <row r="1476" ht="18" customHeight="1" s="17"/>
    <row r="1477" ht="18" customHeight="1" s="17"/>
    <row r="1478" ht="18" customHeight="1" s="17"/>
    <row r="1479" ht="18" customHeight="1" s="17"/>
    <row r="1480" ht="18" customHeight="1" s="17"/>
    <row r="1481" ht="18" customHeight="1" s="17"/>
    <row r="1482" ht="18" customHeight="1" s="17"/>
    <row r="1483" ht="18" customHeight="1" s="17"/>
    <row r="1484" ht="18" customHeight="1" s="17"/>
    <row r="1485" ht="18" customHeight="1" s="17"/>
    <row r="1486" ht="18" customHeight="1" s="17"/>
    <row r="1487" ht="18" customHeight="1" s="17"/>
    <row r="1488" ht="18" customHeight="1" s="17"/>
    <row r="1489" ht="18" customHeight="1" s="17"/>
    <row r="1490" ht="18" customHeight="1" s="17"/>
    <row r="1491" ht="18" customHeight="1" s="17"/>
    <row r="1492" ht="18" customHeight="1" s="17"/>
    <row r="1493" ht="18" customHeight="1" s="17"/>
    <row r="1494" ht="18" customHeight="1" s="17"/>
    <row r="1495" ht="18" customHeight="1" s="17"/>
    <row r="1496" ht="18" customHeight="1" s="17"/>
    <row r="1497" ht="18" customHeight="1" s="17"/>
    <row r="1498" ht="18" customHeight="1" s="17"/>
    <row r="1499" ht="18" customHeight="1" s="17"/>
    <row r="1500" ht="18" customHeight="1" s="17"/>
    <row r="1501" ht="18" customHeight="1" s="17"/>
    <row r="1502" ht="18" customHeight="1" s="17"/>
    <row r="1503" ht="18" customHeight="1" s="17"/>
    <row r="1504" ht="18" customHeight="1" s="17"/>
    <row r="1505" ht="18" customHeight="1" s="17"/>
    <row r="1506" ht="18" customHeight="1" s="17"/>
    <row r="1507" ht="18" customHeight="1" s="17"/>
    <row r="1508" ht="18" customHeight="1" s="17"/>
    <row r="1509" ht="18" customHeight="1" s="17"/>
    <row r="1510" ht="18" customHeight="1" s="17"/>
    <row r="1511" ht="18" customHeight="1" s="17"/>
    <row r="1512" ht="18" customHeight="1" s="17"/>
    <row r="1513" ht="18" customHeight="1" s="17"/>
    <row r="1514" ht="18" customHeight="1" s="17"/>
    <row r="1515" ht="18" customHeight="1" s="17"/>
    <row r="1516" ht="18" customHeight="1" s="17"/>
    <row r="1517" ht="18" customHeight="1" s="17"/>
    <row r="1518" ht="18" customHeight="1" s="17"/>
    <row r="1519" ht="18" customHeight="1" s="17"/>
    <row r="1520" ht="18" customHeight="1" s="17"/>
    <row r="1521" ht="18" customHeight="1" s="17"/>
    <row r="1522" ht="18" customHeight="1" s="17"/>
    <row r="1523" ht="18" customHeight="1" s="17"/>
    <row r="1524" ht="18" customHeight="1" s="17"/>
    <row r="1525" ht="18" customHeight="1" s="17"/>
    <row r="1526" ht="18" customHeight="1" s="17"/>
    <row r="1527" ht="18" customHeight="1" s="17"/>
    <row r="1528" ht="18" customHeight="1" s="17"/>
    <row r="1529" ht="18" customHeight="1" s="17"/>
    <row r="1530" ht="18" customHeight="1" s="17"/>
    <row r="1531" ht="18" customHeight="1" s="17"/>
    <row r="1532" ht="18" customHeight="1" s="17"/>
    <row r="1533" ht="18" customHeight="1" s="17"/>
    <row r="1534" ht="18" customHeight="1" s="17"/>
    <row r="1535" ht="18" customHeight="1" s="17"/>
    <row r="1536" ht="18" customHeight="1" s="17"/>
    <row r="1537" ht="18" customHeight="1" s="17"/>
    <row r="1538" ht="18" customHeight="1" s="17"/>
    <row r="1539" ht="18" customHeight="1" s="17"/>
    <row r="1540" ht="18" customHeight="1" s="17"/>
    <row r="1541" ht="18" customHeight="1" s="17"/>
    <row r="1542" ht="18" customHeight="1" s="17"/>
    <row r="1543" ht="18" customHeight="1" s="17"/>
    <row r="1544" ht="18" customHeight="1" s="17"/>
    <row r="1545" ht="18" customHeight="1" s="17"/>
    <row r="1546" ht="18" customHeight="1" s="17"/>
    <row r="1547" ht="18" customHeight="1" s="17"/>
    <row r="1548" ht="18" customHeight="1" s="17"/>
    <row r="1549" ht="18" customHeight="1" s="17"/>
    <row r="1550" ht="18" customHeight="1" s="17"/>
    <row r="1551" ht="18" customHeight="1" s="17"/>
    <row r="1552" ht="18" customHeight="1" s="17"/>
    <row r="1553" ht="18" customHeight="1" s="17"/>
    <row r="1554" ht="18" customHeight="1" s="17"/>
    <row r="1555" ht="18" customHeight="1" s="17"/>
    <row r="1556" ht="18" customHeight="1" s="17"/>
    <row r="1557" ht="18" customHeight="1" s="17"/>
    <row r="1558" ht="18" customHeight="1" s="17"/>
    <row r="1559" ht="18" customHeight="1" s="17"/>
    <row r="1560" ht="18" customHeight="1" s="17"/>
    <row r="1561" ht="18" customHeight="1" s="17"/>
    <row r="1562" ht="18" customHeight="1" s="17"/>
    <row r="1563" ht="18" customHeight="1" s="17"/>
    <row r="1564" ht="18" customHeight="1" s="17"/>
    <row r="1565" ht="18" customHeight="1" s="17"/>
    <row r="1566" ht="18" customHeight="1" s="17"/>
    <row r="1567" ht="18" customHeight="1" s="17"/>
    <row r="1568" ht="18" customHeight="1" s="17"/>
    <row r="1569" ht="18" customHeight="1" s="17"/>
    <row r="1570" ht="18" customHeight="1" s="17"/>
    <row r="1571" ht="18" customHeight="1" s="17"/>
    <row r="1572" ht="18" customHeight="1" s="17"/>
    <row r="1573" ht="18" customHeight="1" s="17"/>
    <row r="1574" ht="18" customHeight="1" s="17"/>
    <row r="1575" ht="18" customHeight="1" s="17"/>
    <row r="1576" ht="18" customHeight="1" s="17"/>
    <row r="1577" ht="18" customHeight="1" s="17"/>
    <row r="1578" ht="18" customHeight="1" s="17"/>
    <row r="1579" ht="18" customHeight="1" s="17"/>
    <row r="1580" ht="18" customHeight="1" s="17"/>
    <row r="1581" ht="18" customHeight="1" s="17"/>
    <row r="1582" ht="18" customHeight="1" s="17"/>
    <row r="1583" ht="18" customHeight="1" s="17"/>
    <row r="1584" ht="18" customHeight="1" s="17"/>
    <row r="1585" ht="18" customHeight="1" s="17"/>
    <row r="1586" ht="18" customHeight="1" s="17"/>
    <row r="1587" ht="18" customHeight="1" s="17"/>
    <row r="1588" ht="18" customHeight="1" s="17"/>
    <row r="1589" ht="18" customHeight="1" s="17"/>
    <row r="1590" ht="18" customHeight="1" s="17"/>
    <row r="1591" ht="18" customHeight="1" s="17"/>
    <row r="1592" ht="18" customHeight="1" s="17"/>
    <row r="1593" ht="18" customHeight="1" s="17"/>
    <row r="1594" ht="18" customHeight="1" s="17"/>
    <row r="1595" ht="18" customHeight="1" s="17"/>
    <row r="1596" ht="18" customHeight="1" s="17"/>
    <row r="1597" ht="18" customHeight="1" s="17"/>
    <row r="1598" ht="18" customHeight="1" s="17"/>
    <row r="1599" ht="18" customHeight="1" s="17"/>
    <row r="1600" ht="18" customHeight="1" s="17"/>
    <row r="1601" ht="18" customHeight="1" s="17"/>
    <row r="1602" ht="18" customHeight="1" s="17"/>
    <row r="1603" ht="18" customHeight="1" s="17"/>
    <row r="1604" ht="18" customHeight="1" s="17"/>
    <row r="1605" ht="18" customHeight="1" s="17"/>
    <row r="1606" ht="18" customHeight="1" s="17"/>
    <row r="1607" ht="18" customHeight="1" s="17"/>
    <row r="1608" ht="18" customHeight="1" s="17"/>
    <row r="1609" ht="18" customHeight="1" s="17"/>
    <row r="1610" ht="18" customHeight="1" s="17"/>
    <row r="1611" ht="18" customHeight="1" s="17"/>
    <row r="1612" ht="18" customHeight="1" s="17"/>
    <row r="1613" ht="18" customHeight="1" s="17"/>
    <row r="1614" ht="18" customHeight="1" s="17"/>
    <row r="1615" ht="18" customHeight="1" s="17"/>
    <row r="1616" ht="18" customHeight="1" s="17"/>
    <row r="1617" ht="18" customHeight="1" s="17"/>
    <row r="1618" ht="18" customHeight="1" s="17"/>
    <row r="1619" ht="18" customHeight="1" s="17"/>
    <row r="1620" ht="18" customHeight="1" s="17"/>
    <row r="1621" ht="18" customHeight="1" s="17"/>
    <row r="1622" ht="18" customHeight="1" s="17"/>
    <row r="1623" ht="18" customHeight="1" s="17"/>
    <row r="1624" ht="18" customHeight="1" s="17"/>
    <row r="1625" ht="18" customHeight="1" s="17"/>
    <row r="1626" ht="18" customHeight="1" s="17"/>
    <row r="1627" ht="18" customHeight="1" s="17"/>
    <row r="1628" ht="18" customHeight="1" s="17"/>
    <row r="1629" ht="18" customHeight="1" s="17"/>
    <row r="1630" ht="18" customHeight="1" s="17"/>
    <row r="1631" ht="18" customHeight="1" s="17"/>
    <row r="1632" ht="18" customHeight="1" s="17"/>
    <row r="1633" ht="18" customHeight="1" s="17"/>
    <row r="1634" ht="18" customHeight="1" s="17"/>
    <row r="1635" ht="18" customHeight="1" s="17"/>
    <row r="1636" ht="18" customHeight="1" s="17"/>
    <row r="1637" ht="18" customHeight="1" s="17"/>
    <row r="1638" ht="18" customHeight="1" s="17"/>
    <row r="1639" ht="18" customHeight="1" s="17"/>
    <row r="1640" ht="18" customHeight="1" s="17"/>
    <row r="1641" ht="18" customHeight="1" s="17"/>
    <row r="1642" ht="18" customHeight="1" s="17"/>
    <row r="1643" ht="18" customHeight="1" s="17"/>
    <row r="1644" ht="18" customHeight="1" s="17"/>
    <row r="1645" ht="18" customHeight="1" s="17"/>
    <row r="1646" ht="18" customHeight="1" s="17"/>
    <row r="1647" ht="18" customHeight="1" s="17"/>
    <row r="1648" ht="18" customHeight="1" s="17"/>
    <row r="1649" ht="18" customHeight="1" s="17"/>
    <row r="1650" ht="18" customHeight="1" s="17"/>
    <row r="1651" ht="18" customHeight="1" s="17"/>
    <row r="1652" ht="18" customHeight="1" s="17"/>
    <row r="1653" ht="18" customHeight="1" s="17"/>
    <row r="1654" ht="18" customHeight="1" s="17"/>
    <row r="1655" ht="18" customHeight="1" s="17"/>
    <row r="1656" ht="18" customHeight="1" s="17"/>
    <row r="1657" ht="18" customHeight="1" s="17"/>
    <row r="1658" ht="18" customHeight="1" s="17"/>
    <row r="1659" ht="18" customHeight="1" s="17"/>
    <row r="1660" ht="18" customHeight="1" s="17"/>
    <row r="1661" ht="18" customHeight="1" s="17"/>
    <row r="1662" ht="18" customHeight="1" s="17"/>
    <row r="1663" ht="18" customHeight="1" s="17"/>
    <row r="1664" ht="18" customHeight="1" s="17"/>
    <row r="1665" ht="18" customHeight="1" s="17"/>
    <row r="1666" ht="18" customHeight="1" s="17"/>
    <row r="1667" ht="18" customHeight="1" s="17"/>
    <row r="1668" ht="18" customHeight="1" s="17"/>
    <row r="1669" ht="18" customHeight="1" s="17"/>
    <row r="1670" ht="18" customHeight="1" s="17"/>
    <row r="1671" ht="18" customHeight="1" s="17"/>
    <row r="1672" ht="18" customHeight="1" s="17"/>
    <row r="1673" ht="18" customHeight="1" s="17"/>
    <row r="1674" ht="18" customHeight="1" s="17"/>
    <row r="1675" ht="18" customHeight="1" s="17"/>
    <row r="1676" ht="18" customHeight="1" s="17"/>
    <row r="1677" ht="18" customHeight="1" s="17"/>
    <row r="1678" ht="18" customHeight="1" s="17"/>
    <row r="1679" ht="18" customHeight="1" s="17"/>
    <row r="1680" ht="18" customHeight="1" s="17"/>
    <row r="1681" ht="18" customHeight="1" s="17"/>
    <row r="1682" ht="18" customHeight="1" s="17"/>
    <row r="1683" ht="18" customHeight="1" s="17"/>
    <row r="1684" ht="18" customHeight="1" s="17"/>
    <row r="1685" ht="18" customHeight="1" s="17"/>
    <row r="1686" ht="18" customHeight="1" s="17"/>
    <row r="1687" ht="18" customHeight="1" s="17"/>
    <row r="1688" ht="18" customHeight="1" s="17"/>
    <row r="1689" ht="18" customHeight="1" s="17"/>
    <row r="1690" ht="18" customHeight="1" s="17"/>
    <row r="1691" ht="18" customHeight="1" s="17"/>
    <row r="1692" ht="18" customHeight="1" s="17"/>
    <row r="1693" ht="18" customHeight="1" s="17"/>
    <row r="1694" ht="18" customHeight="1" s="17"/>
    <row r="1695" ht="18" customHeight="1" s="17"/>
    <row r="1696" ht="18" customHeight="1" s="17"/>
    <row r="1697" ht="18" customHeight="1" s="17"/>
    <row r="1698" ht="18" customHeight="1" s="17"/>
    <row r="1699" ht="18" customHeight="1" s="17"/>
    <row r="1700" ht="18" customHeight="1" s="17"/>
    <row r="1701" ht="18" customHeight="1" s="17"/>
    <row r="1702" ht="18" customHeight="1" s="17"/>
    <row r="1703" ht="18" customHeight="1" s="17"/>
    <row r="1704" ht="18" customHeight="1" s="17"/>
    <row r="1705" ht="18" customHeight="1" s="17"/>
    <row r="1706" ht="18" customHeight="1" s="17"/>
    <row r="1707" ht="18" customHeight="1" s="17"/>
    <row r="1708" ht="18" customHeight="1" s="17"/>
    <row r="1709" ht="18" customHeight="1" s="17"/>
    <row r="1710" ht="18" customHeight="1" s="17"/>
    <row r="1711" ht="18" customHeight="1" s="17"/>
    <row r="1712" ht="18" customHeight="1" s="17"/>
    <row r="1713" ht="18" customHeight="1" s="17"/>
    <row r="1714" ht="18" customHeight="1" s="17"/>
    <row r="1715" ht="18" customHeight="1" s="17"/>
    <row r="1716" ht="18" customHeight="1" s="17"/>
    <row r="1717" ht="18" customHeight="1" s="17"/>
    <row r="1718" ht="18" customHeight="1" s="17"/>
    <row r="1719" ht="18" customHeight="1" s="17"/>
    <row r="1720" ht="18" customHeight="1" s="17"/>
    <row r="1721" ht="18" customHeight="1" s="17"/>
    <row r="1722" ht="18" customHeight="1" s="17"/>
    <row r="1723" ht="18" customHeight="1" s="17"/>
    <row r="1724" ht="18" customHeight="1" s="17"/>
    <row r="1725" ht="18" customHeight="1" s="17"/>
    <row r="1726" ht="18" customHeight="1" s="17"/>
    <row r="1727" ht="18" customHeight="1" s="17"/>
    <row r="1728" ht="18" customHeight="1" s="17"/>
    <row r="1729" ht="18" customHeight="1" s="17"/>
    <row r="1730" ht="18" customHeight="1" s="17"/>
    <row r="1731" ht="18" customHeight="1" s="17"/>
    <row r="1732" ht="18" customHeight="1" s="17"/>
    <row r="1733" ht="18" customHeight="1" s="17"/>
    <row r="1734" ht="18" customHeight="1" s="17"/>
    <row r="1735" ht="18" customHeight="1" s="17"/>
    <row r="1736" ht="18" customHeight="1" s="17"/>
    <row r="1737" ht="18" customHeight="1" s="17"/>
    <row r="1738" ht="18" customHeight="1" s="17"/>
    <row r="1739" ht="18" customHeight="1" s="17"/>
    <row r="1740" ht="18" customHeight="1" s="17"/>
    <row r="1741" ht="18" customHeight="1" s="17"/>
    <row r="1742" ht="18" customHeight="1" s="17"/>
    <row r="1743" ht="18" customHeight="1" s="17"/>
    <row r="1744" ht="18" customHeight="1" s="17"/>
    <row r="1745" ht="18" customHeight="1" s="17"/>
    <row r="1746" ht="18" customHeight="1" s="17"/>
    <row r="1747" ht="18" customHeight="1" s="17"/>
    <row r="1748" ht="18" customHeight="1" s="17"/>
    <row r="1749" ht="18" customHeight="1" s="17"/>
    <row r="1750" ht="18" customHeight="1" s="17"/>
    <row r="1751" ht="18" customHeight="1" s="17"/>
    <row r="1752" ht="18" customHeight="1" s="17"/>
    <row r="1753" ht="18" customHeight="1" s="17"/>
    <row r="1754" ht="18" customHeight="1" s="17"/>
    <row r="1755" ht="18" customHeight="1" s="17"/>
    <row r="1756" ht="18" customHeight="1" s="17"/>
    <row r="1757" ht="18" customHeight="1" s="17"/>
    <row r="1758" ht="18" customHeight="1" s="17"/>
    <row r="1759" ht="18" customHeight="1" s="17"/>
    <row r="1760" ht="18" customHeight="1" s="17"/>
    <row r="1761" ht="18" customHeight="1" s="17"/>
    <row r="1762" ht="18" customHeight="1" s="17"/>
    <row r="1763" ht="18" customHeight="1" s="17"/>
    <row r="1764" ht="18" customHeight="1" s="17"/>
    <row r="1765" ht="18" customHeight="1" s="17"/>
    <row r="1766" ht="18" customHeight="1" s="17"/>
    <row r="1767" ht="18" customHeight="1" s="17"/>
    <row r="1768" ht="18" customHeight="1" s="17"/>
    <row r="1769" ht="18" customHeight="1" s="17"/>
    <row r="1770" ht="18" customHeight="1" s="17"/>
    <row r="1771" ht="18" customHeight="1" s="17"/>
    <row r="1772" ht="18" customHeight="1" s="17"/>
    <row r="1773" ht="18" customHeight="1" s="17"/>
    <row r="1774" ht="18" customHeight="1" s="17"/>
    <row r="1775" ht="18" customHeight="1" s="17"/>
    <row r="1776" ht="18" customHeight="1" s="17"/>
    <row r="1777" ht="18" customHeight="1" s="17"/>
    <row r="1778" ht="18" customHeight="1" s="17"/>
    <row r="1779" ht="18" customHeight="1" s="17"/>
    <row r="1780" ht="18" customHeight="1" s="17"/>
    <row r="1781" ht="18" customHeight="1" s="17"/>
    <row r="1782" ht="18" customHeight="1" s="17"/>
    <row r="1783" ht="18" customHeight="1" s="17"/>
    <row r="1784" ht="18" customHeight="1" s="17"/>
    <row r="1785" ht="18" customHeight="1" s="17"/>
    <row r="1786" ht="18" customHeight="1" s="17"/>
    <row r="1787" ht="18" customHeight="1" s="17"/>
    <row r="1788" ht="18" customHeight="1" s="17"/>
    <row r="1789" ht="18" customHeight="1" s="17"/>
    <row r="1790" ht="18" customHeight="1" s="17"/>
    <row r="1791" ht="18" customHeight="1" s="17"/>
    <row r="1792" ht="18" customHeight="1" s="17"/>
    <row r="1793" ht="18" customHeight="1" s="17"/>
    <row r="1794" ht="18" customHeight="1" s="17"/>
    <row r="1795" ht="18" customHeight="1" s="17"/>
    <row r="1796" ht="18" customHeight="1" s="17"/>
    <row r="1797" ht="18" customHeight="1" s="17"/>
    <row r="1798" ht="18" customHeight="1" s="17"/>
    <row r="1799" ht="18" customHeight="1" s="17"/>
    <row r="1800" ht="18" customHeight="1" s="17"/>
    <row r="1801" ht="18" customHeight="1" s="17"/>
    <row r="1802" ht="18" customHeight="1" s="17"/>
    <row r="1803" ht="18" customHeight="1" s="17"/>
    <row r="1804" ht="18" customHeight="1" s="17"/>
    <row r="1805" ht="18" customHeight="1" s="17"/>
    <row r="1806" ht="18" customHeight="1" s="17"/>
    <row r="1807" ht="18" customHeight="1" s="17"/>
    <row r="1808" ht="18" customHeight="1" s="17"/>
    <row r="1809" ht="18" customHeight="1" s="17"/>
    <row r="1810" ht="18" customHeight="1" s="17"/>
    <row r="1811" ht="18" customHeight="1" s="17"/>
    <row r="1812" ht="18" customHeight="1" s="17"/>
    <row r="1813" ht="18" customHeight="1" s="17"/>
    <row r="1814" ht="18" customHeight="1" s="17"/>
    <row r="1815" ht="18" customHeight="1" s="17"/>
    <row r="1816" ht="18" customHeight="1" s="17"/>
    <row r="1817" ht="18" customHeight="1" s="17"/>
    <row r="1818" ht="18" customHeight="1" s="17"/>
    <row r="1819" ht="18" customHeight="1" s="17"/>
    <row r="1820" ht="18" customHeight="1" s="17"/>
    <row r="1821" ht="18" customHeight="1" s="17"/>
    <row r="1822" ht="18" customHeight="1" s="17"/>
    <row r="1823" ht="18" customHeight="1" s="17"/>
    <row r="1824" ht="18" customHeight="1" s="17"/>
    <row r="1825" ht="18" customHeight="1" s="17"/>
    <row r="1826" ht="18" customHeight="1" s="17"/>
    <row r="1827" ht="18" customHeight="1" s="17"/>
    <row r="1828" ht="18" customHeight="1" s="17"/>
    <row r="1829" ht="18" customHeight="1" s="17"/>
    <row r="1830" ht="18" customHeight="1" s="17"/>
    <row r="1831" ht="18" customHeight="1" s="17"/>
    <row r="1832" ht="18" customHeight="1" s="17"/>
    <row r="1833" ht="18" customHeight="1" s="17"/>
    <row r="1834" ht="18" customHeight="1" s="17"/>
    <row r="1835" ht="18" customHeight="1" s="17"/>
    <row r="1836" ht="18" customHeight="1" s="17"/>
    <row r="1837" ht="18" customHeight="1" s="17"/>
    <row r="1838" ht="18" customHeight="1" s="17"/>
    <row r="1839" ht="18" customHeight="1" s="17"/>
    <row r="1840" ht="18" customHeight="1" s="17"/>
    <row r="1841" ht="18" customHeight="1" s="17"/>
    <row r="1842" ht="18" customHeight="1" s="17"/>
    <row r="1843" ht="18" customHeight="1" s="17"/>
    <row r="1844" ht="18" customHeight="1" s="17"/>
    <row r="1845" ht="18" customHeight="1" s="17"/>
    <row r="1846" ht="18" customHeight="1" s="17"/>
    <row r="1847" ht="18" customHeight="1" s="17"/>
    <row r="1848" ht="18" customHeight="1" s="17"/>
    <row r="1849" ht="18" customHeight="1" s="17"/>
    <row r="1850" ht="18" customHeight="1" s="17"/>
    <row r="1851" ht="18" customHeight="1" s="17"/>
    <row r="1852" ht="18" customHeight="1" s="17"/>
    <row r="1853" ht="18" customHeight="1" s="17"/>
    <row r="1854" ht="18" customHeight="1" s="17"/>
    <row r="1855" ht="18" customHeight="1" s="17"/>
    <row r="1856" ht="18" customHeight="1" s="17"/>
    <row r="1857" ht="18" customHeight="1" s="17"/>
    <row r="1858" ht="18" customHeight="1" s="17"/>
    <row r="1859" ht="18" customHeight="1" s="17"/>
    <row r="1860" ht="18" customHeight="1" s="17"/>
    <row r="1861" ht="18" customHeight="1" s="17"/>
    <row r="1862" ht="18" customHeight="1" s="17"/>
    <row r="1863" ht="18" customHeight="1" s="17"/>
    <row r="1864" ht="18" customHeight="1" s="17"/>
    <row r="1865" ht="18" customHeight="1" s="17"/>
    <row r="1866" ht="18" customHeight="1" s="17"/>
    <row r="1867" ht="18" customHeight="1" s="17"/>
    <row r="1868" ht="18" customHeight="1" s="17"/>
    <row r="1869" ht="18" customHeight="1" s="17"/>
    <row r="1870" ht="18" customHeight="1" s="17"/>
    <row r="1871" ht="18" customHeight="1" s="17"/>
    <row r="1872" ht="18" customHeight="1" s="17"/>
    <row r="1873" ht="18" customHeight="1" s="17"/>
    <row r="1874" ht="18" customHeight="1" s="17"/>
    <row r="1875" ht="18" customHeight="1" s="17"/>
    <row r="1876" ht="18" customHeight="1" s="17"/>
    <row r="1877" ht="18" customHeight="1" s="17"/>
    <row r="1878" ht="18" customHeight="1" s="17"/>
    <row r="1879" ht="18" customHeight="1" s="17"/>
    <row r="1880" ht="18" customHeight="1" s="17"/>
    <row r="1881" ht="18" customHeight="1" s="17"/>
    <row r="1882" ht="18" customHeight="1" s="17"/>
    <row r="1883" ht="18" customHeight="1" s="17"/>
    <row r="1884" ht="18" customHeight="1" s="17"/>
    <row r="1885" ht="18" customHeight="1" s="17"/>
    <row r="1886" ht="18" customHeight="1" s="17"/>
    <row r="1887" ht="18" customHeight="1" s="17"/>
    <row r="1888" ht="18" customHeight="1" s="17"/>
    <row r="1889" ht="18" customHeight="1" s="17"/>
    <row r="1890" ht="18" customHeight="1" s="17"/>
    <row r="1891" ht="18" customHeight="1" s="17"/>
    <row r="1892" ht="18" customHeight="1" s="17"/>
    <row r="1893" ht="18" customHeight="1" s="17"/>
    <row r="1894" ht="18" customHeight="1" s="17"/>
    <row r="1895" ht="18" customHeight="1" s="17"/>
    <row r="1896" ht="18" customHeight="1" s="17"/>
    <row r="1897" ht="18" customHeight="1" s="17"/>
    <row r="1898" ht="18" customHeight="1" s="17"/>
    <row r="1899" ht="18" customHeight="1" s="17"/>
    <row r="1900" ht="18" customHeight="1" s="17"/>
    <row r="1901" ht="18" customHeight="1" s="17"/>
    <row r="1902" ht="18" customHeight="1" s="17"/>
    <row r="1903" ht="18" customHeight="1" s="17"/>
    <row r="1904" ht="18" customHeight="1" s="17"/>
    <row r="1905" ht="18" customHeight="1" s="17"/>
    <row r="1906" ht="18" customHeight="1" s="17"/>
    <row r="1907" ht="18" customHeight="1" s="17"/>
    <row r="1908" ht="18" customHeight="1" s="17"/>
    <row r="1909" ht="18" customHeight="1" s="17"/>
    <row r="1910" ht="18" customHeight="1" s="17"/>
    <row r="1911" ht="18" customHeight="1" s="17"/>
    <row r="1912" ht="18" customHeight="1" s="17"/>
    <row r="1913" ht="18" customHeight="1" s="17"/>
    <row r="1914" ht="18" customHeight="1" s="17"/>
    <row r="1915" ht="18" customHeight="1" s="17"/>
    <row r="1916" ht="18" customHeight="1" s="17"/>
    <row r="1917" ht="18" customHeight="1" s="17"/>
    <row r="1918" ht="18" customHeight="1" s="17"/>
    <row r="1919" ht="18" customHeight="1" s="17"/>
    <row r="1920" ht="18" customHeight="1" s="17"/>
    <row r="1921" ht="18" customHeight="1" s="17"/>
    <row r="1922" ht="18" customHeight="1" s="17"/>
    <row r="1923" ht="18" customHeight="1" s="17"/>
    <row r="1924" ht="18" customHeight="1" s="17"/>
    <row r="1925" ht="18" customHeight="1" s="17"/>
    <row r="1926" ht="18" customHeight="1" s="17"/>
    <row r="1927" ht="18" customHeight="1" s="17"/>
    <row r="1928" ht="18" customHeight="1" s="17"/>
    <row r="1929" ht="18" customHeight="1" s="17"/>
    <row r="1930" ht="18" customHeight="1" s="17"/>
    <row r="1931" ht="18" customHeight="1" s="17"/>
    <row r="1932" ht="18" customHeight="1" s="17"/>
    <row r="1933" ht="18" customHeight="1" s="17"/>
    <row r="1934" ht="18" customHeight="1" s="17"/>
    <row r="1935" ht="18" customHeight="1" s="17"/>
    <row r="1936" ht="18" customHeight="1" s="17"/>
    <row r="1937" ht="18" customHeight="1" s="17"/>
    <row r="1938" ht="18" customHeight="1" s="17"/>
    <row r="1939" ht="18" customHeight="1" s="17"/>
    <row r="1940" ht="18" customHeight="1" s="17"/>
    <row r="1941" ht="18" customHeight="1" s="17"/>
    <row r="1942" ht="18" customHeight="1" s="17"/>
    <row r="1943" ht="18" customHeight="1" s="17"/>
    <row r="1944" ht="18" customHeight="1" s="17"/>
    <row r="1945" ht="18" customHeight="1" s="17"/>
    <row r="1946" ht="18" customHeight="1" s="17"/>
    <row r="1947" ht="18" customHeight="1" s="17"/>
    <row r="1948" ht="18" customHeight="1" s="17"/>
    <row r="1949" ht="18" customHeight="1" s="17"/>
    <row r="1950" ht="18" customHeight="1" s="17"/>
    <row r="1951" ht="18" customHeight="1" s="17"/>
    <row r="1952" ht="18" customHeight="1" s="17"/>
    <row r="1953" ht="18" customHeight="1" s="17"/>
    <row r="1954" ht="18" customHeight="1" s="17"/>
    <row r="1955" ht="18" customHeight="1" s="17"/>
    <row r="1956" ht="18" customHeight="1" s="17"/>
    <row r="1957" ht="18" customHeight="1" s="17"/>
    <row r="1958" ht="18" customHeight="1" s="17"/>
    <row r="1959" ht="18" customHeight="1" s="17"/>
    <row r="1960" ht="18" customHeight="1" s="17"/>
    <row r="1961" ht="18" customHeight="1" s="17"/>
    <row r="1962" ht="18" customHeight="1" s="17"/>
    <row r="1963" ht="18" customHeight="1" s="17"/>
    <row r="1964" ht="18" customHeight="1" s="17"/>
    <row r="1965" ht="18" customHeight="1" s="17"/>
    <row r="1966" ht="18" customHeight="1" s="17"/>
    <row r="1967" ht="18" customHeight="1" s="17"/>
    <row r="1968" ht="18" customHeight="1" s="17"/>
    <row r="1969" ht="18" customHeight="1" s="17"/>
    <row r="1970" ht="18" customHeight="1" s="17"/>
    <row r="1971" ht="18" customHeight="1" s="17"/>
    <row r="1972" ht="18" customHeight="1" s="17"/>
    <row r="1973" ht="18" customHeight="1" s="17"/>
    <row r="1974" ht="18" customHeight="1" s="17"/>
    <row r="1975" ht="18" customHeight="1" s="17"/>
    <row r="1976" ht="18" customHeight="1" s="17"/>
    <row r="1977" ht="18" customHeight="1" s="17"/>
    <row r="1978" ht="18" customHeight="1" s="17"/>
    <row r="1979" ht="18" customHeight="1" s="17"/>
    <row r="1980" ht="18" customHeight="1" s="17"/>
    <row r="1981" ht="18" customHeight="1" s="17"/>
    <row r="1982" ht="18" customHeight="1" s="17"/>
    <row r="1983" ht="18" customHeight="1" s="17"/>
    <row r="1984" ht="18" customHeight="1" s="17"/>
    <row r="1985" ht="18" customHeight="1" s="17"/>
    <row r="1986" ht="18" customHeight="1" s="17"/>
    <row r="1987" ht="18" customHeight="1" s="17"/>
    <row r="1988" ht="18" customHeight="1" s="17"/>
    <row r="1989" ht="18" customHeight="1" s="17"/>
    <row r="1990" ht="18" customHeight="1" s="17"/>
    <row r="1991" ht="18" customHeight="1" s="17"/>
    <row r="1992" ht="18" customHeight="1" s="17"/>
    <row r="1993" ht="18" customHeight="1" s="17"/>
    <row r="1994" ht="18" customHeight="1" s="17"/>
    <row r="1995" ht="18" customHeight="1" s="17"/>
    <row r="1996" ht="18" customHeight="1" s="17"/>
    <row r="1997" ht="18" customHeight="1" s="17"/>
    <row r="1998" ht="18" customHeight="1" s="17"/>
    <row r="1999" ht="18" customHeight="1" s="17"/>
    <row r="2000" ht="18" customHeight="1" s="17"/>
    <row r="2001" ht="18" customHeight="1" s="17"/>
    <row r="2002" ht="18" customHeight="1" s="17"/>
    <row r="2003" ht="18" customHeight="1" s="17"/>
    <row r="2004" ht="18" customHeight="1" s="17"/>
    <row r="2005" ht="18" customHeight="1" s="17"/>
    <row r="2006" ht="18" customHeight="1" s="17"/>
    <row r="2007" ht="18" customHeight="1" s="17"/>
    <row r="2008" ht="18" customHeight="1" s="17"/>
    <row r="2009" ht="18" customHeight="1" s="17"/>
    <row r="2010" ht="18" customHeight="1" s="17"/>
    <row r="2011" ht="18" customHeight="1" s="17"/>
    <row r="2012" ht="18" customHeight="1" s="17"/>
    <row r="2013" ht="18" customHeight="1" s="17"/>
    <row r="2014" ht="18" customHeight="1" s="17"/>
    <row r="2015" ht="18" customHeight="1" s="17"/>
    <row r="2016" ht="18" customHeight="1" s="17"/>
    <row r="2017" ht="18" customHeight="1" s="17"/>
    <row r="2018" ht="18" customHeight="1" s="17"/>
    <row r="2019" ht="18" customHeight="1" s="17"/>
    <row r="2020" ht="18" customHeight="1" s="17"/>
    <row r="2021" ht="18" customHeight="1" s="17"/>
    <row r="2022" ht="18" customHeight="1" s="17"/>
    <row r="2023" ht="18" customHeight="1" s="17"/>
    <row r="2024" ht="18" customHeight="1" s="17"/>
    <row r="2025" ht="18" customHeight="1" s="17"/>
    <row r="2026" ht="18" customHeight="1" s="17"/>
    <row r="2027" ht="18" customHeight="1" s="17"/>
    <row r="2028" ht="18" customHeight="1" s="17"/>
    <row r="2029" ht="18" customHeight="1" s="17"/>
    <row r="2030" ht="18" customHeight="1" s="17"/>
    <row r="2031" ht="18" customHeight="1" s="17"/>
    <row r="2032" ht="18" customHeight="1" s="17"/>
    <row r="2033" ht="18" customHeight="1" s="17"/>
    <row r="2034" ht="18" customHeight="1" s="17"/>
    <row r="2035" ht="18" customHeight="1" s="17"/>
    <row r="2036" ht="18" customHeight="1" s="17"/>
    <row r="2037" ht="18" customHeight="1" s="17"/>
    <row r="2038" ht="18" customHeight="1" s="17"/>
    <row r="2039" ht="18" customHeight="1" s="17"/>
    <row r="2040" ht="18" customHeight="1" s="17"/>
    <row r="2041" ht="18" customHeight="1" s="17"/>
    <row r="2042" ht="18" customHeight="1" s="17"/>
    <row r="2043" ht="18" customHeight="1" s="17"/>
    <row r="2044" ht="18" customHeight="1" s="17"/>
    <row r="2045" ht="18" customHeight="1" s="17"/>
    <row r="2046" ht="18" customHeight="1" s="17"/>
    <row r="2047" ht="18" customHeight="1" s="17"/>
    <row r="2048" ht="18" customHeight="1" s="17"/>
    <row r="2049" ht="18" customHeight="1" s="17"/>
    <row r="2050" ht="18" customHeight="1" s="17"/>
    <row r="2051" ht="18" customHeight="1" s="17"/>
    <row r="2052" ht="18" customHeight="1" s="17"/>
    <row r="2053" ht="18" customHeight="1" s="17"/>
    <row r="2054" ht="18" customHeight="1" s="17"/>
    <row r="2055" ht="18" customHeight="1" s="17"/>
    <row r="2056" ht="18" customHeight="1" s="17"/>
    <row r="2057" ht="18" customHeight="1" s="17"/>
    <row r="2058" ht="18" customHeight="1" s="17"/>
    <row r="2059" ht="18" customHeight="1" s="17"/>
    <row r="2060" ht="18" customHeight="1" s="17"/>
    <row r="2061" ht="18" customHeight="1" s="17"/>
    <row r="2062" ht="18" customHeight="1" s="17"/>
    <row r="2063" ht="18" customHeight="1" s="17"/>
    <row r="2064" ht="18" customHeight="1" s="17"/>
    <row r="2065" ht="18" customHeight="1" s="17"/>
    <row r="2066" ht="18" customHeight="1" s="17"/>
    <row r="2067" ht="18" customHeight="1" s="17"/>
    <row r="2068" ht="18" customHeight="1" s="17"/>
    <row r="2069" ht="18" customHeight="1" s="17"/>
    <row r="2070" ht="18" customHeight="1" s="17"/>
    <row r="2071" ht="18" customHeight="1" s="17"/>
    <row r="2072" ht="18" customHeight="1" s="17"/>
    <row r="2073" ht="18" customHeight="1" s="17"/>
    <row r="2074" ht="18" customHeight="1" s="17"/>
    <row r="2075" ht="18" customHeight="1" s="17"/>
    <row r="2076" ht="18" customHeight="1" s="17"/>
    <row r="2077" ht="18" customHeight="1" s="17"/>
    <row r="2078" ht="18" customHeight="1" s="17"/>
    <row r="2079" ht="18" customHeight="1" s="17"/>
    <row r="2080" ht="18" customHeight="1" s="17"/>
    <row r="2081" ht="18" customHeight="1" s="17"/>
    <row r="2082" ht="18" customHeight="1" s="17"/>
    <row r="2083" ht="18" customHeight="1" s="17"/>
    <row r="2084" ht="18" customHeight="1" s="17"/>
    <row r="2085" ht="18" customHeight="1" s="17"/>
    <row r="2086" ht="18" customHeight="1" s="17"/>
    <row r="2087" ht="18" customHeight="1" s="17"/>
    <row r="2088" ht="18" customHeight="1" s="17"/>
    <row r="2089" ht="18" customHeight="1" s="17"/>
    <row r="2090" ht="18" customHeight="1" s="17"/>
    <row r="2091" ht="18" customHeight="1" s="17"/>
    <row r="2092" ht="18" customHeight="1" s="17"/>
    <row r="2093" ht="18" customHeight="1" s="17"/>
    <row r="2094" ht="18" customHeight="1" s="17"/>
    <row r="2095" ht="18" customHeight="1" s="17"/>
    <row r="2096" ht="18" customHeight="1" s="17"/>
    <row r="2097" ht="18" customHeight="1" s="17"/>
    <row r="2098" ht="18" customHeight="1" s="17"/>
    <row r="2099" ht="18" customHeight="1" s="17"/>
    <row r="2100" ht="18" customHeight="1" s="17"/>
    <row r="2101" ht="18" customHeight="1" s="17"/>
    <row r="2102" ht="18" customHeight="1" s="17"/>
    <row r="2103" ht="18" customHeight="1" s="17"/>
    <row r="2104" ht="18" customHeight="1" s="17"/>
    <row r="2105" ht="18" customHeight="1" s="17"/>
    <row r="2106" ht="18" customHeight="1" s="17"/>
    <row r="2107" ht="18" customHeight="1" s="17"/>
    <row r="2108" ht="18" customHeight="1" s="17"/>
    <row r="2109" ht="18" customHeight="1" s="17"/>
    <row r="2110" ht="18" customHeight="1" s="17"/>
    <row r="2111" ht="18" customHeight="1" s="17"/>
    <row r="2112" ht="18" customHeight="1" s="17"/>
    <row r="2113" ht="18" customHeight="1" s="17"/>
    <row r="2114" ht="18" customHeight="1" s="17"/>
    <row r="2115" ht="18" customHeight="1" s="17"/>
    <row r="2116" ht="18" customHeight="1" s="17"/>
    <row r="2117" ht="18" customHeight="1" s="17"/>
    <row r="2118" ht="18" customHeight="1" s="17"/>
    <row r="2119" ht="18" customHeight="1" s="17"/>
    <row r="2120" ht="18" customHeight="1" s="17"/>
    <row r="2121" ht="18" customHeight="1" s="17"/>
    <row r="2122" ht="18" customHeight="1" s="17"/>
    <row r="2123" ht="18" customHeight="1" s="17"/>
    <row r="2124" ht="18" customHeight="1" s="17"/>
    <row r="2125" ht="18" customHeight="1" s="17"/>
    <row r="2126" ht="18" customHeight="1" s="17"/>
    <row r="2127" ht="18" customHeight="1" s="17"/>
    <row r="2128" ht="18" customHeight="1" s="17"/>
    <row r="2129" ht="18" customHeight="1" s="17"/>
    <row r="2130" ht="18" customHeight="1" s="17"/>
    <row r="2131" ht="18" customHeight="1" s="17"/>
    <row r="2132" ht="18" customHeight="1" s="17"/>
    <row r="2133" ht="18" customHeight="1" s="17"/>
    <row r="2134" ht="18" customHeight="1" s="17"/>
    <row r="2135" ht="18" customHeight="1" s="17"/>
    <row r="2136" ht="18" customHeight="1" s="17"/>
    <row r="2137" ht="18" customHeight="1" s="17"/>
    <row r="2138" ht="18" customHeight="1" s="17"/>
    <row r="2139" ht="18" customHeight="1" s="17"/>
    <row r="2140" ht="18" customHeight="1" s="17"/>
    <row r="2141" ht="18" customHeight="1" s="17"/>
    <row r="2142" ht="18" customHeight="1" s="17"/>
    <row r="2143" ht="18" customHeight="1" s="17"/>
    <row r="2144" ht="18" customHeight="1" s="17"/>
    <row r="2145" ht="18" customHeight="1" s="17"/>
    <row r="2146" ht="18" customHeight="1" s="17"/>
    <row r="2147" ht="18" customHeight="1" s="17"/>
    <row r="2148" ht="18" customHeight="1" s="17"/>
    <row r="2149" ht="18" customHeight="1" s="17"/>
    <row r="2150" ht="18" customHeight="1" s="17"/>
    <row r="2151" ht="18" customHeight="1" s="17"/>
    <row r="2152" ht="18" customHeight="1" s="17"/>
    <row r="2153" ht="18" customHeight="1" s="17"/>
    <row r="2154" ht="18" customHeight="1" s="17"/>
    <row r="2155" ht="18" customHeight="1" s="17"/>
    <row r="2156" ht="18" customHeight="1" s="17"/>
    <row r="2157" ht="18" customHeight="1" s="17"/>
    <row r="2158" ht="18" customHeight="1" s="17"/>
    <row r="2159" ht="18" customHeight="1" s="17"/>
    <row r="2160" ht="18" customHeight="1" s="17"/>
    <row r="2161" ht="18" customHeight="1" s="17"/>
    <row r="2162" ht="18" customHeight="1" s="17"/>
    <row r="2163" ht="18" customHeight="1" s="17"/>
    <row r="2164" ht="18" customHeight="1" s="17"/>
    <row r="2165" ht="18" customHeight="1" s="17"/>
    <row r="2166" ht="18" customHeight="1" s="17"/>
    <row r="2167" ht="18" customHeight="1" s="17"/>
    <row r="2168" ht="18" customHeight="1" s="17"/>
    <row r="2169" ht="18" customHeight="1" s="17"/>
    <row r="2170" ht="18" customHeight="1" s="17"/>
    <row r="2171" ht="18" customHeight="1" s="17"/>
    <row r="2172" ht="18" customHeight="1" s="17"/>
    <row r="2173" ht="18" customHeight="1" s="17"/>
    <row r="2174" ht="18" customHeight="1" s="17"/>
    <row r="2175" ht="18" customHeight="1" s="17"/>
    <row r="2176" ht="18" customHeight="1" s="17"/>
    <row r="2177" ht="18" customHeight="1" s="17"/>
    <row r="2178" ht="18" customHeight="1" s="17"/>
    <row r="2179" ht="18" customHeight="1" s="17"/>
    <row r="2180" ht="18" customHeight="1" s="17"/>
    <row r="2181" ht="18" customHeight="1" s="17"/>
    <row r="2182" ht="18" customHeight="1" s="17"/>
    <row r="2183" ht="18" customHeight="1" s="17"/>
    <row r="2184" ht="18" customHeight="1" s="17"/>
    <row r="2185" ht="18" customHeight="1" s="17"/>
    <row r="2186" ht="18" customHeight="1" s="17"/>
    <row r="2187" ht="18" customHeight="1" s="17"/>
    <row r="2188" ht="18" customHeight="1" s="17"/>
    <row r="2189" ht="18" customHeight="1" s="17"/>
    <row r="2190" ht="18" customHeight="1" s="17"/>
    <row r="2191" ht="18" customHeight="1" s="17"/>
    <row r="2192" ht="18" customHeight="1" s="17"/>
    <row r="2193" ht="18" customHeight="1" s="17"/>
    <row r="2194" ht="18" customHeight="1" s="17"/>
    <row r="2195" ht="18" customHeight="1" s="17"/>
    <row r="2196" ht="18" customHeight="1" s="17"/>
    <row r="2197" ht="18" customHeight="1" s="17"/>
    <row r="2198" ht="18" customHeight="1" s="17"/>
    <row r="2199" ht="18" customHeight="1" s="17"/>
    <row r="2200" ht="18" customHeight="1" s="17"/>
    <row r="2201" ht="18" customHeight="1" s="17"/>
    <row r="2202" ht="18" customHeight="1" s="17"/>
    <row r="2203" ht="18" customHeight="1" s="17"/>
    <row r="2204" ht="18" customHeight="1" s="17"/>
    <row r="2205" ht="18" customHeight="1" s="17"/>
    <row r="2206" ht="18" customHeight="1" s="17"/>
    <row r="2207" ht="18" customHeight="1" s="17"/>
    <row r="2208" ht="18" customHeight="1" s="17"/>
    <row r="2209" ht="18" customHeight="1" s="17"/>
    <row r="2210" ht="18" customHeight="1" s="17"/>
    <row r="2211" ht="18" customHeight="1" s="17"/>
    <row r="2212" ht="18" customHeight="1" s="17"/>
    <row r="2213" ht="18" customHeight="1" s="17"/>
    <row r="2214" ht="18" customHeight="1" s="17"/>
    <row r="2215" ht="18" customHeight="1" s="17"/>
    <row r="2216" ht="18" customHeight="1" s="17"/>
    <row r="2217" ht="18" customHeight="1" s="17"/>
    <row r="2218" ht="18" customHeight="1" s="17"/>
    <row r="2219" ht="18" customHeight="1" s="17"/>
    <row r="2220" ht="18" customHeight="1" s="17"/>
    <row r="2221" ht="18" customHeight="1" s="17"/>
    <row r="2222" ht="18" customHeight="1" s="17"/>
    <row r="2223" ht="18" customHeight="1" s="17"/>
    <row r="2224" ht="18" customHeight="1" s="17"/>
    <row r="2225" ht="18" customHeight="1" s="17"/>
    <row r="2226" ht="18" customHeight="1" s="17"/>
    <row r="2227" ht="18" customHeight="1" s="17"/>
    <row r="2228" ht="18" customHeight="1" s="17"/>
    <row r="2229" ht="18" customHeight="1" s="17"/>
    <row r="2230" ht="18" customHeight="1" s="17"/>
    <row r="2231" ht="18" customHeight="1" s="17"/>
    <row r="2232" ht="18" customHeight="1" s="17"/>
    <row r="2233" ht="18" customHeight="1" s="17"/>
    <row r="2234" ht="18" customHeight="1" s="17"/>
    <row r="2235" ht="18" customHeight="1" s="17"/>
    <row r="2236" ht="18" customHeight="1" s="17"/>
    <row r="2237" ht="18" customHeight="1" s="17"/>
    <row r="2238" ht="18" customHeight="1" s="17"/>
    <row r="2239" ht="18" customHeight="1" s="17"/>
    <row r="2240" ht="18" customHeight="1" s="17"/>
    <row r="2241" ht="18" customHeight="1" s="17"/>
    <row r="2242" ht="18" customHeight="1" s="17"/>
    <row r="2243" ht="18" customHeight="1" s="17"/>
    <row r="2244" ht="18" customHeight="1" s="17"/>
    <row r="2245" ht="18" customHeight="1" s="17"/>
    <row r="2246" ht="18" customHeight="1" s="17"/>
    <row r="2247" ht="18" customHeight="1" s="17"/>
    <row r="2248" ht="18" customHeight="1" s="17"/>
    <row r="2249" ht="18" customHeight="1" s="17"/>
    <row r="2250" ht="18" customHeight="1" s="17"/>
    <row r="2251" ht="18" customHeight="1" s="17"/>
    <row r="2252" ht="18" customHeight="1" s="17"/>
    <row r="2253" ht="18" customHeight="1" s="17"/>
    <row r="2254" ht="18" customHeight="1" s="17"/>
    <row r="2255" ht="18" customHeight="1" s="17"/>
    <row r="2256" ht="18" customHeight="1" s="17"/>
    <row r="2257" ht="18" customHeight="1" s="17"/>
    <row r="2258" ht="18" customHeight="1" s="17"/>
    <row r="2259" ht="18" customHeight="1" s="17"/>
    <row r="2260" ht="18" customHeight="1" s="17"/>
    <row r="2261" ht="18" customHeight="1" s="17"/>
    <row r="2262" ht="18" customHeight="1" s="17"/>
    <row r="2263" ht="18" customHeight="1" s="17"/>
    <row r="2264" ht="18" customHeight="1" s="17"/>
    <row r="2265" ht="18" customHeight="1" s="17"/>
    <row r="2266" ht="18" customHeight="1" s="17"/>
    <row r="2267" ht="18" customHeight="1" s="17"/>
    <row r="2268" ht="18" customHeight="1" s="17"/>
    <row r="2269" ht="18" customHeight="1" s="17"/>
    <row r="2270" ht="18" customHeight="1" s="17"/>
    <row r="2271" ht="18" customHeight="1" s="17"/>
    <row r="2272" ht="18" customHeight="1" s="17"/>
    <row r="2273" ht="18" customHeight="1" s="17"/>
    <row r="2274" ht="18" customHeight="1" s="17"/>
    <row r="2275" ht="18" customHeight="1" s="17"/>
    <row r="2276" ht="18" customHeight="1" s="17"/>
    <row r="2277" ht="18" customHeight="1" s="17"/>
    <row r="2278" ht="18" customHeight="1" s="17"/>
    <row r="2279" ht="18" customHeight="1" s="17"/>
    <row r="2280" ht="18" customHeight="1" s="17"/>
    <row r="2281" ht="18" customHeight="1" s="17"/>
    <row r="2282" ht="18" customHeight="1" s="17"/>
    <row r="2283" ht="18" customHeight="1" s="17"/>
    <row r="2284" ht="18" customHeight="1" s="17"/>
    <row r="2285" ht="18" customHeight="1" s="17"/>
    <row r="2286" ht="18" customHeight="1" s="17"/>
    <row r="2287" ht="18" customHeight="1" s="17"/>
    <row r="2288" ht="18" customHeight="1" s="17"/>
    <row r="2289" ht="18" customHeight="1" s="17"/>
    <row r="2290" ht="18" customHeight="1" s="17"/>
    <row r="2291" ht="18" customHeight="1" s="17"/>
    <row r="2292" ht="18" customHeight="1" s="17"/>
    <row r="2293" ht="18" customHeight="1" s="17"/>
    <row r="2294" ht="18" customHeight="1" s="17"/>
    <row r="2295" ht="18" customHeight="1" s="17"/>
    <row r="2296" ht="18" customHeight="1" s="17"/>
    <row r="2297" ht="18" customHeight="1" s="17"/>
    <row r="2298" ht="18" customHeight="1" s="17"/>
    <row r="2299" ht="18" customHeight="1" s="17"/>
    <row r="2300" ht="18" customHeight="1" s="17"/>
    <row r="2301" ht="18" customHeight="1" s="17"/>
    <row r="2302" ht="18" customHeight="1" s="17"/>
    <row r="2303" ht="18" customHeight="1" s="17"/>
    <row r="2304" ht="18" customHeight="1" s="17"/>
    <row r="2305" ht="18" customHeight="1" s="17"/>
    <row r="2306" ht="18" customHeight="1" s="17"/>
    <row r="2307" ht="18" customHeight="1" s="17"/>
    <row r="2308" ht="18" customHeight="1" s="17"/>
    <row r="2309" ht="18" customHeight="1" s="17"/>
    <row r="2310" ht="18" customHeight="1" s="17"/>
    <row r="2311" ht="18" customHeight="1" s="17"/>
    <row r="2312" ht="18" customHeight="1" s="17"/>
    <row r="2313" ht="18" customHeight="1" s="17"/>
    <row r="2314" ht="18" customHeight="1" s="17"/>
    <row r="2315" ht="18" customHeight="1" s="17"/>
    <row r="2316" ht="18" customHeight="1" s="17"/>
    <row r="2317" ht="18" customHeight="1" s="17"/>
    <row r="2318" ht="18" customHeight="1" s="17"/>
    <row r="2319" ht="18" customHeight="1" s="17"/>
    <row r="2320" ht="18" customHeight="1" s="17"/>
    <row r="2321" ht="18" customHeight="1" s="17"/>
    <row r="2322" ht="18" customHeight="1" s="17"/>
    <row r="2323" ht="18" customHeight="1" s="17"/>
    <row r="2324" ht="18" customHeight="1" s="17"/>
    <row r="2325" ht="18" customHeight="1" s="17"/>
    <row r="2326" ht="18" customHeight="1" s="17"/>
    <row r="2327" ht="18" customHeight="1" s="17"/>
    <row r="2328" ht="18" customHeight="1" s="17"/>
    <row r="2329" ht="18" customHeight="1" s="17"/>
    <row r="2330" ht="18" customHeight="1" s="17"/>
    <row r="2331" ht="18" customHeight="1" s="17"/>
    <row r="2332" ht="18" customHeight="1" s="17"/>
    <row r="2333" ht="18" customHeight="1" s="17"/>
    <row r="2334" ht="18" customHeight="1" s="17"/>
    <row r="2335" ht="18" customHeight="1" s="17"/>
    <row r="2336" ht="18" customHeight="1" s="17"/>
    <row r="2337" ht="18" customHeight="1" s="17"/>
    <row r="2338" ht="18" customHeight="1" s="17"/>
    <row r="2339" ht="18" customHeight="1" s="17"/>
    <row r="2340" ht="18" customHeight="1" s="17"/>
    <row r="2341" ht="18" customHeight="1" s="17"/>
    <row r="2342" ht="18" customHeight="1" s="17"/>
    <row r="2343" ht="18" customHeight="1" s="17"/>
    <row r="2344" ht="18" customHeight="1" s="17"/>
    <row r="2345" ht="18" customHeight="1" s="17"/>
    <row r="2346" ht="18" customHeight="1" s="17"/>
    <row r="2347" ht="18" customHeight="1" s="17"/>
    <row r="2348" ht="18" customHeight="1" s="17"/>
    <row r="2349" ht="18" customHeight="1" s="17"/>
    <row r="2350" ht="18" customHeight="1" s="17"/>
    <row r="2351" ht="18" customHeight="1" s="17"/>
    <row r="2352" ht="18" customHeight="1" s="17"/>
    <row r="2353" ht="18" customHeight="1" s="17"/>
    <row r="2354" ht="18" customHeight="1" s="17"/>
    <row r="2355" ht="18" customHeight="1" s="17"/>
    <row r="2356" ht="18" customHeight="1" s="17"/>
    <row r="2357" ht="18" customHeight="1" s="17"/>
    <row r="2358" ht="18" customHeight="1" s="17"/>
    <row r="2359" ht="18" customHeight="1" s="17"/>
    <row r="2360" ht="18" customHeight="1" s="17"/>
    <row r="2361" ht="18" customHeight="1" s="17"/>
    <row r="2362" ht="18" customHeight="1" s="17"/>
    <row r="2363" ht="18" customHeight="1" s="17"/>
    <row r="2364" ht="18" customHeight="1" s="17"/>
    <row r="2365" ht="18" customHeight="1" s="17"/>
    <row r="2366" ht="18" customHeight="1" s="17"/>
    <row r="2367" ht="18" customHeight="1" s="17"/>
    <row r="2368" ht="18" customHeight="1" s="17"/>
    <row r="2369" ht="18" customHeight="1" s="17"/>
    <row r="2370" ht="18" customHeight="1" s="17"/>
    <row r="2371" ht="18" customHeight="1" s="17"/>
    <row r="2372" ht="18" customHeight="1" s="17"/>
    <row r="2373" ht="18" customHeight="1" s="17"/>
    <row r="2374" ht="18" customHeight="1" s="17"/>
    <row r="2375" ht="18" customHeight="1" s="17"/>
    <row r="2376" ht="18" customHeight="1" s="17"/>
    <row r="2377" ht="18" customHeight="1" s="17"/>
    <row r="2378" ht="18" customHeight="1" s="17"/>
    <row r="2379" ht="18" customHeight="1" s="17"/>
    <row r="2380" ht="18" customHeight="1" s="17"/>
    <row r="2381" ht="18" customHeight="1" s="17"/>
    <row r="2382" ht="18" customHeight="1" s="17"/>
    <row r="2383" ht="18" customHeight="1" s="17"/>
    <row r="2384" ht="18" customHeight="1" s="17"/>
    <row r="2385" ht="18" customHeight="1" s="17"/>
    <row r="2386" ht="18" customHeight="1" s="17"/>
    <row r="2387" ht="18" customHeight="1" s="17"/>
    <row r="2388" ht="18" customHeight="1" s="17"/>
    <row r="2389" ht="18" customHeight="1" s="17"/>
    <row r="2390" ht="18" customHeight="1" s="17"/>
    <row r="2391" ht="18" customHeight="1" s="17"/>
    <row r="2392" ht="18" customHeight="1" s="17"/>
    <row r="2393" ht="18" customHeight="1" s="17"/>
    <row r="2394" ht="18" customHeight="1" s="17"/>
    <row r="2395" ht="18" customHeight="1" s="17"/>
    <row r="2396" ht="18" customHeight="1" s="17"/>
    <row r="2397" ht="18" customHeight="1" s="17"/>
    <row r="2398" ht="18" customHeight="1" s="17"/>
    <row r="2399" ht="18" customHeight="1" s="17"/>
    <row r="2400" ht="18" customHeight="1" s="17"/>
    <row r="2401" ht="18" customHeight="1" s="17"/>
    <row r="2402" ht="18" customHeight="1" s="17"/>
    <row r="2403" ht="18" customHeight="1" s="17"/>
    <row r="2404" ht="18" customHeight="1" s="17"/>
    <row r="2405" ht="18" customHeight="1" s="17"/>
    <row r="2406" ht="18" customHeight="1" s="17"/>
    <row r="2407" ht="18" customHeight="1" s="17"/>
    <row r="2408" ht="18" customHeight="1" s="17"/>
    <row r="2409" ht="18" customHeight="1" s="17"/>
    <row r="2410" ht="18" customHeight="1" s="17"/>
    <row r="2411" ht="18" customHeight="1" s="17"/>
    <row r="2412" ht="18" customHeight="1" s="17"/>
    <row r="2413" ht="18" customHeight="1" s="17"/>
    <row r="2414" ht="18" customHeight="1" s="17"/>
    <row r="2415" ht="18" customHeight="1" s="17"/>
    <row r="2416" ht="18" customHeight="1" s="17"/>
    <row r="2417" ht="18" customHeight="1" s="17"/>
    <row r="2418" ht="18" customHeight="1" s="17"/>
    <row r="2419" ht="18" customHeight="1" s="17"/>
    <row r="2420" ht="18" customHeight="1" s="17"/>
    <row r="2421" ht="18" customHeight="1" s="17"/>
    <row r="2422" ht="18" customHeight="1" s="17"/>
    <row r="2423" ht="18" customHeight="1" s="17"/>
    <row r="2424" ht="18" customHeight="1" s="17"/>
    <row r="2425" ht="18" customHeight="1" s="17"/>
    <row r="2426" ht="18" customHeight="1" s="17"/>
    <row r="2427" ht="18" customHeight="1" s="17"/>
    <row r="2428" ht="18" customHeight="1" s="17"/>
    <row r="2429" ht="18" customHeight="1" s="17"/>
    <row r="2430" ht="18" customHeight="1" s="17"/>
    <row r="2431" ht="18" customHeight="1" s="17"/>
    <row r="2432" ht="18" customHeight="1" s="17"/>
    <row r="2433" ht="18" customHeight="1" s="17"/>
    <row r="2434" ht="18" customHeight="1" s="17"/>
    <row r="2435" ht="18" customHeight="1" s="17"/>
    <row r="2436" ht="18" customHeight="1" s="17"/>
    <row r="2437" ht="18" customHeight="1" s="17"/>
    <row r="2438" ht="18" customHeight="1" s="17"/>
    <row r="2439" ht="18" customHeight="1" s="17"/>
    <row r="2440" ht="18" customHeight="1" s="17"/>
    <row r="2441" ht="18" customHeight="1" s="17"/>
    <row r="2442" ht="18" customHeight="1" s="17"/>
    <row r="2443" ht="18" customHeight="1" s="17"/>
    <row r="2444" ht="18" customHeight="1" s="17"/>
    <row r="2445" ht="18" customHeight="1" s="17"/>
    <row r="2446" ht="18" customHeight="1" s="17"/>
    <row r="2447" ht="18" customHeight="1" s="17"/>
    <row r="2448" ht="18" customHeight="1" s="17"/>
    <row r="2449" ht="18" customHeight="1" s="17"/>
    <row r="2450" ht="18" customHeight="1" s="17"/>
    <row r="2451" ht="18" customHeight="1" s="17"/>
    <row r="2452" ht="18" customHeight="1" s="17"/>
    <row r="2453" ht="18" customHeight="1" s="17"/>
    <row r="2454" ht="18" customHeight="1" s="17"/>
    <row r="2455" ht="18" customHeight="1" s="17"/>
    <row r="2456" ht="18" customHeight="1" s="17"/>
    <row r="2457" ht="18" customHeight="1" s="17"/>
    <row r="2458" ht="18" customHeight="1" s="17"/>
    <row r="2459" ht="18" customHeight="1" s="17"/>
    <row r="2460" ht="18" customHeight="1" s="17"/>
    <row r="2461" ht="18" customHeight="1" s="17"/>
    <row r="2462" ht="18" customHeight="1" s="17"/>
    <row r="2463" ht="18" customHeight="1" s="17"/>
    <row r="2464" ht="18" customHeight="1" s="17"/>
    <row r="2465" ht="18" customHeight="1" s="17"/>
    <row r="2466" ht="18" customHeight="1" s="17"/>
    <row r="2467" ht="18" customHeight="1" s="17"/>
    <row r="2468" ht="18" customHeight="1" s="17"/>
    <row r="2469" ht="18" customHeight="1" s="17"/>
    <row r="2470" ht="18" customHeight="1" s="17"/>
    <row r="2471" ht="18" customHeight="1" s="17"/>
    <row r="2472" ht="18" customHeight="1" s="17"/>
    <row r="2473" ht="18" customHeight="1" s="17"/>
    <row r="2474" ht="18" customHeight="1" s="17"/>
    <row r="2475" ht="18" customHeight="1" s="17"/>
    <row r="2476" ht="18" customHeight="1" s="17"/>
    <row r="2477" ht="18" customHeight="1" s="17"/>
    <row r="2478" ht="18" customHeight="1" s="17"/>
    <row r="2479" ht="18" customHeight="1" s="17"/>
    <row r="2480" ht="18" customHeight="1" s="17"/>
    <row r="2481" ht="18" customHeight="1" s="17"/>
    <row r="2482" ht="18" customHeight="1" s="17"/>
    <row r="2483" ht="18" customHeight="1" s="17"/>
    <row r="2484" ht="18" customHeight="1" s="17"/>
    <row r="2485" ht="18" customHeight="1" s="17"/>
    <row r="2486" ht="18" customHeight="1" s="17"/>
    <row r="2487" ht="18" customHeight="1" s="17"/>
    <row r="2488" ht="18" customHeight="1" s="17"/>
    <row r="2489" ht="18" customHeight="1" s="17"/>
    <row r="2490" ht="18" customHeight="1" s="17"/>
    <row r="2491" ht="18" customHeight="1" s="17"/>
    <row r="2492" ht="18" customHeight="1" s="17"/>
    <row r="2493" ht="18" customHeight="1" s="17"/>
    <row r="2494" ht="18" customHeight="1" s="17"/>
    <row r="2495" ht="18" customHeight="1" s="17"/>
    <row r="2496" ht="18" customHeight="1" s="17"/>
    <row r="2497" ht="18" customHeight="1" s="17"/>
    <row r="2498" ht="18" customHeight="1" s="17"/>
    <row r="2499" ht="18" customHeight="1" s="17"/>
    <row r="2500" ht="18" customHeight="1" s="17"/>
    <row r="2501" ht="18" customHeight="1" s="17"/>
    <row r="2502" ht="18" customHeight="1" s="17"/>
    <row r="2503" ht="18" customHeight="1" s="17"/>
    <row r="2504" ht="18" customHeight="1" s="17"/>
    <row r="2505" ht="18" customHeight="1" s="17"/>
    <row r="2506" ht="18" customHeight="1" s="17"/>
    <row r="2507" ht="18" customHeight="1" s="17"/>
    <row r="2508" ht="18" customHeight="1" s="17"/>
    <row r="2509" ht="18" customHeight="1" s="17"/>
    <row r="2510" ht="18" customHeight="1" s="17"/>
    <row r="2511" ht="18" customHeight="1" s="17"/>
    <row r="2512" ht="18" customHeight="1" s="17"/>
    <row r="2513" ht="18" customHeight="1" s="17"/>
    <row r="2514" ht="18" customHeight="1" s="17"/>
    <row r="2515" ht="18" customHeight="1" s="17"/>
    <row r="2516" ht="18" customHeight="1" s="17"/>
    <row r="2517" ht="18" customHeight="1" s="17"/>
    <row r="2518" ht="18" customHeight="1" s="17"/>
    <row r="2519" ht="18" customHeight="1" s="17"/>
    <row r="2520" ht="18" customHeight="1" s="17"/>
    <row r="2521" ht="18" customHeight="1" s="17"/>
    <row r="2522" ht="18" customHeight="1" s="17"/>
    <row r="2523" ht="18" customHeight="1" s="17"/>
    <row r="2524" ht="18" customHeight="1" s="17"/>
    <row r="2525" ht="18" customHeight="1" s="17"/>
    <row r="2526" ht="18" customHeight="1" s="17"/>
    <row r="2527" ht="18" customHeight="1" s="17"/>
    <row r="2528" ht="18" customHeight="1" s="17"/>
    <row r="2529" ht="18" customHeight="1" s="17"/>
    <row r="2530" ht="18" customHeight="1" s="17"/>
    <row r="2531" ht="18" customHeight="1" s="17"/>
    <row r="2532" ht="18" customHeight="1" s="17"/>
    <row r="2533" ht="18" customHeight="1" s="17"/>
    <row r="2534" ht="18" customHeight="1" s="17"/>
    <row r="2535" ht="18" customHeight="1" s="17"/>
    <row r="2536" ht="18" customHeight="1" s="17"/>
    <row r="2537" ht="18" customHeight="1" s="17"/>
    <row r="2538" ht="18" customHeight="1" s="17"/>
    <row r="2539" ht="18" customHeight="1" s="17"/>
    <row r="2540" ht="18" customHeight="1" s="17"/>
    <row r="2541" ht="18" customHeight="1" s="17"/>
    <row r="2542" ht="18" customHeight="1" s="17"/>
    <row r="2543" ht="18" customHeight="1" s="17"/>
    <row r="2544" ht="18" customHeight="1" s="17"/>
    <row r="2545" ht="18" customHeight="1" s="17"/>
    <row r="2546" ht="18" customHeight="1" s="17"/>
    <row r="2547" ht="18" customHeight="1" s="17"/>
    <row r="2548" ht="18" customHeight="1" s="17"/>
    <row r="2549" ht="18" customHeight="1" s="17"/>
    <row r="2550" ht="18" customHeight="1" s="17"/>
    <row r="2551" ht="18" customHeight="1" s="17"/>
    <row r="2552" ht="18" customHeight="1" s="17"/>
    <row r="2553" ht="18" customHeight="1" s="17"/>
    <row r="2554" ht="18" customHeight="1" s="17"/>
    <row r="2555" ht="18" customHeight="1" s="17"/>
    <row r="2556" ht="18" customHeight="1" s="17"/>
    <row r="2557" ht="18" customHeight="1" s="17"/>
    <row r="2558" ht="18" customHeight="1" s="17"/>
    <row r="2559" ht="18" customHeight="1" s="17"/>
    <row r="2560" ht="18" customHeight="1" s="17"/>
    <row r="2561" ht="18" customHeight="1" s="17"/>
    <row r="2562" ht="18" customHeight="1" s="17"/>
    <row r="2563" ht="18" customHeight="1" s="17"/>
    <row r="2564" ht="18" customHeight="1" s="17"/>
    <row r="2565" ht="18" customHeight="1" s="17"/>
    <row r="2566" ht="18" customHeight="1" s="17"/>
    <row r="2567" ht="18" customHeight="1" s="17"/>
    <row r="2568" ht="18" customHeight="1" s="17"/>
    <row r="2569" ht="18" customHeight="1" s="17"/>
    <row r="2570" ht="18" customHeight="1" s="17"/>
    <row r="2571" ht="18" customHeight="1" s="17"/>
    <row r="2572" ht="18" customHeight="1" s="17"/>
    <row r="2573" ht="18" customHeight="1" s="17"/>
    <row r="2574" ht="18" customHeight="1" s="17"/>
    <row r="2575" ht="18" customHeight="1" s="17"/>
    <row r="2576" ht="18" customHeight="1" s="17"/>
    <row r="2577" ht="18" customHeight="1" s="17"/>
    <row r="2578" ht="18" customHeight="1" s="17"/>
    <row r="2579" ht="18" customHeight="1" s="17"/>
    <row r="2580" ht="18" customHeight="1" s="17"/>
    <row r="2581" ht="18" customHeight="1" s="17"/>
    <row r="2582" ht="18" customHeight="1" s="17"/>
    <row r="2583" ht="18" customHeight="1" s="17"/>
    <row r="2584" ht="18" customHeight="1" s="17"/>
    <row r="2585" ht="18" customHeight="1" s="17"/>
    <row r="2586" ht="18" customHeight="1" s="17"/>
    <row r="2587" ht="18" customHeight="1" s="17"/>
    <row r="2588" ht="18" customHeight="1" s="17"/>
    <row r="2589" ht="18" customHeight="1" s="17"/>
    <row r="2590" ht="18" customHeight="1" s="17"/>
    <row r="2591" ht="18" customHeight="1" s="17"/>
    <row r="2592" ht="18" customHeight="1" s="17"/>
    <row r="2593" ht="18" customHeight="1" s="17"/>
    <row r="2594" ht="18" customHeight="1" s="17"/>
    <row r="2595" ht="18" customHeight="1" s="17"/>
    <row r="2596" ht="18" customHeight="1" s="17"/>
    <row r="2597" ht="18" customHeight="1" s="17"/>
    <row r="2598" ht="18" customHeight="1" s="17"/>
    <row r="2599" ht="18" customHeight="1" s="17"/>
    <row r="2600" ht="18" customHeight="1" s="17"/>
    <row r="2601" ht="18" customHeight="1" s="17"/>
    <row r="2602" ht="18" customHeight="1" s="17"/>
    <row r="2603" ht="18" customHeight="1" s="17"/>
    <row r="2604" ht="18" customHeight="1" s="17"/>
    <row r="2605" ht="18" customHeight="1" s="17"/>
    <row r="2606" ht="18" customHeight="1" s="17"/>
    <row r="2607" ht="18" customHeight="1" s="17"/>
    <row r="2608" ht="18" customHeight="1" s="17"/>
    <row r="2609" ht="18" customHeight="1" s="17"/>
    <row r="2610" ht="18" customHeight="1" s="17"/>
    <row r="2611" ht="18" customHeight="1" s="17"/>
    <row r="2612" ht="18" customHeight="1" s="17"/>
    <row r="2613" ht="18" customHeight="1" s="17"/>
    <row r="2614" ht="18" customHeight="1" s="17"/>
    <row r="2615" ht="18" customHeight="1" s="17"/>
    <row r="2616" ht="18" customHeight="1" s="17"/>
    <row r="2617" ht="18" customHeight="1" s="17"/>
    <row r="2618" ht="18" customHeight="1" s="17"/>
    <row r="2619" ht="18" customHeight="1" s="17"/>
    <row r="2620" ht="18" customHeight="1" s="17"/>
    <row r="2621" ht="18" customHeight="1" s="17"/>
    <row r="2622" ht="18" customHeight="1" s="17"/>
    <row r="2623" ht="18" customHeight="1" s="17"/>
    <row r="2624" ht="18" customHeight="1" s="17"/>
    <row r="2625" ht="18" customHeight="1" s="17"/>
    <row r="2626" ht="18" customHeight="1" s="17"/>
    <row r="2627" ht="18" customHeight="1" s="17"/>
    <row r="2628" ht="18" customHeight="1" s="17"/>
    <row r="2629" ht="18" customHeight="1" s="17"/>
    <row r="2630" ht="18" customHeight="1" s="17"/>
    <row r="2631" ht="18" customHeight="1" s="17"/>
    <row r="2632" ht="18" customHeight="1" s="17"/>
    <row r="2633" ht="18" customHeight="1" s="17"/>
    <row r="2634" ht="18" customHeight="1" s="17"/>
    <row r="2635" ht="18" customHeight="1" s="17"/>
    <row r="2636" ht="18" customHeight="1" s="17"/>
    <row r="2637" ht="18" customHeight="1" s="17"/>
    <row r="2638" ht="18" customHeight="1" s="17"/>
    <row r="2639" ht="18" customHeight="1" s="17"/>
    <row r="2640" ht="18" customHeight="1" s="17"/>
    <row r="2641" ht="18" customHeight="1" s="17"/>
    <row r="2642" ht="18" customHeight="1" s="17"/>
    <row r="2643" ht="18" customHeight="1" s="17"/>
    <row r="2644" ht="18" customHeight="1" s="17"/>
    <row r="2645" ht="18" customHeight="1" s="17"/>
    <row r="2646" ht="18" customHeight="1" s="17"/>
    <row r="2647" ht="18" customHeight="1" s="17"/>
    <row r="2648" ht="18" customHeight="1" s="17"/>
    <row r="2649" ht="18" customHeight="1" s="17"/>
    <row r="2650" ht="18" customHeight="1" s="17"/>
    <row r="2651" ht="18" customHeight="1" s="17"/>
    <row r="2652" ht="18" customHeight="1" s="17"/>
    <row r="2653" ht="18" customHeight="1" s="17"/>
    <row r="2654" ht="18" customHeight="1" s="17"/>
    <row r="2655" ht="18" customHeight="1" s="17"/>
    <row r="2656" ht="18" customHeight="1" s="17"/>
    <row r="2657" ht="18" customHeight="1" s="17"/>
    <row r="2658" ht="18" customHeight="1" s="17"/>
    <row r="2659" ht="18" customHeight="1" s="17"/>
    <row r="2660" ht="18" customHeight="1" s="17"/>
    <row r="2661" ht="18" customHeight="1" s="17"/>
    <row r="2662" ht="18" customHeight="1" s="17"/>
    <row r="2663" ht="18" customHeight="1" s="17"/>
    <row r="2664" ht="18" customHeight="1" s="17"/>
    <row r="2665" ht="18" customHeight="1" s="17"/>
    <row r="2666" ht="18" customHeight="1" s="17"/>
    <row r="2667" ht="18" customHeight="1" s="17"/>
    <row r="2668" ht="18" customHeight="1" s="17"/>
    <row r="2669" ht="18" customHeight="1" s="17"/>
    <row r="2670" ht="18" customHeight="1" s="17"/>
    <row r="2671" ht="18" customHeight="1" s="17"/>
    <row r="2672" ht="18" customHeight="1" s="17"/>
    <row r="2673" ht="18" customHeight="1" s="17"/>
    <row r="2674" ht="18" customHeight="1" s="17"/>
    <row r="2675" ht="18" customHeight="1" s="17"/>
    <row r="2676" ht="18" customHeight="1" s="17"/>
    <row r="2677" ht="18" customHeight="1" s="17"/>
    <row r="2678" ht="18" customHeight="1" s="17"/>
    <row r="2679" ht="18" customHeight="1" s="17"/>
    <row r="2680" ht="18" customHeight="1" s="17"/>
    <row r="2681" ht="18" customHeight="1" s="17"/>
    <row r="2682" ht="18" customHeight="1" s="17"/>
    <row r="2683" ht="18" customHeight="1" s="17"/>
    <row r="2684" ht="18" customHeight="1" s="17"/>
    <row r="2685" ht="18" customHeight="1" s="17"/>
    <row r="2686" ht="18" customHeight="1" s="17"/>
    <row r="2687" ht="18" customHeight="1" s="17"/>
    <row r="2688" ht="18" customHeight="1" s="17"/>
    <row r="2689" ht="18" customHeight="1" s="17"/>
    <row r="2690" ht="18" customHeight="1" s="17"/>
    <row r="2691" ht="18" customHeight="1" s="17"/>
    <row r="2692" ht="18" customHeight="1" s="17"/>
    <row r="2693" ht="18" customHeight="1" s="17"/>
    <row r="2694" ht="18" customHeight="1" s="17"/>
    <row r="2695" ht="18" customHeight="1" s="17"/>
    <row r="2696" ht="18" customHeight="1" s="17"/>
    <row r="2697" ht="18" customHeight="1" s="17"/>
    <row r="2698" ht="18" customHeight="1" s="17"/>
    <row r="2699" ht="18" customHeight="1" s="17"/>
    <row r="2700" ht="18" customHeight="1" s="17"/>
    <row r="2701" ht="18" customHeight="1" s="17"/>
    <row r="2702" ht="18" customHeight="1" s="17"/>
    <row r="2703" ht="18" customHeight="1" s="17"/>
    <row r="2704" ht="18" customHeight="1" s="17"/>
    <row r="2705" ht="18" customHeight="1" s="17"/>
    <row r="2706" ht="18" customHeight="1" s="17"/>
    <row r="2707" ht="18" customHeight="1" s="17"/>
    <row r="2708" ht="18" customHeight="1" s="17"/>
    <row r="2709" ht="18" customHeight="1" s="17"/>
    <row r="2710" ht="18" customHeight="1" s="17"/>
    <row r="2711" ht="18" customHeight="1" s="17"/>
    <row r="2712" ht="18" customHeight="1" s="17"/>
    <row r="2713" ht="18" customHeight="1" s="17"/>
    <row r="2714" ht="18" customHeight="1" s="17"/>
    <row r="2715" ht="18" customHeight="1" s="17"/>
    <row r="2716" ht="18" customHeight="1" s="17"/>
    <row r="2717" ht="18" customHeight="1" s="17"/>
    <row r="2718" ht="18" customHeight="1" s="17"/>
    <row r="2719" ht="18" customHeight="1" s="17"/>
    <row r="2720" ht="18" customHeight="1" s="17"/>
    <row r="2721" ht="18" customHeight="1" s="17"/>
    <row r="2722" ht="18" customHeight="1" s="17"/>
    <row r="2723" ht="18" customHeight="1" s="17"/>
    <row r="2724" ht="18" customHeight="1" s="17"/>
    <row r="2725" ht="18" customHeight="1" s="17"/>
    <row r="2726" ht="18" customHeight="1" s="17"/>
    <row r="2727" ht="18" customHeight="1" s="17"/>
    <row r="2728" ht="18" customHeight="1" s="17"/>
    <row r="2729" ht="18" customHeight="1" s="17"/>
    <row r="2730" ht="18" customHeight="1" s="17"/>
    <row r="2731" ht="18" customHeight="1" s="17"/>
    <row r="2732" ht="18" customHeight="1" s="17"/>
    <row r="2733" ht="18" customHeight="1" s="17"/>
    <row r="2734" ht="18" customHeight="1" s="17"/>
    <row r="2735" ht="18" customHeight="1" s="17"/>
    <row r="2736" ht="18" customHeight="1" s="17"/>
    <row r="2737" ht="18" customHeight="1" s="17"/>
    <row r="2738" ht="18" customHeight="1" s="17"/>
    <row r="2739" ht="18" customHeight="1" s="17"/>
    <row r="2740" ht="18" customHeight="1" s="17"/>
    <row r="2741" ht="18" customHeight="1" s="17"/>
    <row r="2742" ht="18" customHeight="1" s="17"/>
    <row r="2743" ht="18" customHeight="1" s="17"/>
    <row r="2744" ht="18" customHeight="1" s="17"/>
    <row r="2745" ht="18" customHeight="1" s="17"/>
    <row r="2746" ht="18" customHeight="1" s="17"/>
    <row r="2747" ht="18" customHeight="1" s="17"/>
    <row r="2748" ht="18" customHeight="1" s="17"/>
    <row r="2749" ht="18" customHeight="1" s="17"/>
    <row r="2750" ht="18" customHeight="1" s="17"/>
    <row r="2751" ht="18" customHeight="1" s="17"/>
    <row r="2752" ht="18" customHeight="1" s="17"/>
    <row r="2753" ht="18" customHeight="1" s="17"/>
    <row r="2754" ht="18" customHeight="1" s="17"/>
    <row r="2755" ht="18" customHeight="1" s="17"/>
    <row r="2756" ht="18" customHeight="1" s="17"/>
    <row r="2757" ht="18" customHeight="1" s="17"/>
    <row r="2758" ht="18" customHeight="1" s="17"/>
    <row r="2759" ht="18" customHeight="1" s="17"/>
    <row r="2760" ht="18" customHeight="1" s="17"/>
    <row r="2761" ht="18" customHeight="1" s="17"/>
    <row r="2762" ht="18" customHeight="1" s="17"/>
    <row r="2763" ht="18" customHeight="1" s="17"/>
    <row r="2764" ht="18" customHeight="1" s="17"/>
    <row r="2765" ht="18" customHeight="1" s="17"/>
    <row r="2766" ht="18" customHeight="1" s="17"/>
    <row r="2767" ht="18" customHeight="1" s="17"/>
    <row r="2768" ht="18" customHeight="1" s="17"/>
    <row r="2769" ht="18" customHeight="1" s="17"/>
    <row r="2770" ht="18" customHeight="1" s="17"/>
    <row r="2771" ht="18" customHeight="1" s="17"/>
    <row r="2772" ht="18" customHeight="1" s="17"/>
    <row r="2773" ht="18" customHeight="1" s="17"/>
    <row r="2774" ht="18" customHeight="1" s="17"/>
    <row r="2775" ht="18" customHeight="1" s="17"/>
    <row r="2776" ht="18" customHeight="1" s="17"/>
    <row r="2777" ht="18" customHeight="1" s="17"/>
    <row r="2778" ht="18" customHeight="1" s="17"/>
    <row r="2779" ht="18" customHeight="1" s="17"/>
    <row r="2780" ht="18" customHeight="1" s="17"/>
    <row r="2781" ht="18" customHeight="1" s="17"/>
    <row r="2782" ht="18" customHeight="1" s="17"/>
    <row r="2783" ht="18" customHeight="1" s="17"/>
    <row r="2784" ht="18" customHeight="1" s="17"/>
    <row r="2785" ht="18" customHeight="1" s="17"/>
    <row r="2786" ht="18" customHeight="1" s="17"/>
    <row r="2787" ht="18" customHeight="1" s="17"/>
    <row r="2788" ht="18" customHeight="1" s="17"/>
    <row r="2789" ht="18" customHeight="1" s="17"/>
    <row r="2790" ht="18" customHeight="1" s="17"/>
    <row r="2791" ht="18" customHeight="1" s="17"/>
    <row r="2792" ht="18" customHeight="1" s="17"/>
    <row r="2793" ht="18" customHeight="1" s="17"/>
    <row r="2794" ht="18" customHeight="1" s="17"/>
    <row r="2795" ht="18" customHeight="1" s="17"/>
    <row r="2796" ht="18" customHeight="1" s="17"/>
    <row r="2797" ht="18" customHeight="1" s="17"/>
    <row r="2798" ht="18" customHeight="1" s="17"/>
    <row r="2799" ht="18" customHeight="1" s="17"/>
    <row r="2800" ht="18" customHeight="1" s="17"/>
    <row r="2801" ht="18" customHeight="1" s="17"/>
    <row r="2802" ht="18" customHeight="1" s="17"/>
    <row r="2803" ht="18" customHeight="1" s="17"/>
    <row r="2804" ht="18" customHeight="1" s="17"/>
    <row r="2805" ht="18" customHeight="1" s="17"/>
    <row r="2806" ht="18" customHeight="1" s="17"/>
    <row r="2807" ht="18" customHeight="1" s="17"/>
    <row r="2808" ht="18" customHeight="1" s="17"/>
    <row r="2809" ht="18" customHeight="1" s="17"/>
    <row r="2810" ht="18" customHeight="1" s="17"/>
    <row r="2811" ht="18" customHeight="1" s="17"/>
    <row r="2812" ht="18" customHeight="1" s="17"/>
    <row r="2813" ht="18" customHeight="1" s="17"/>
    <row r="2814" ht="18" customHeight="1" s="17"/>
    <row r="2815" ht="18" customHeight="1" s="17"/>
    <row r="2816" ht="18" customHeight="1" s="17"/>
    <row r="2817" ht="18" customHeight="1" s="17"/>
    <row r="2818" ht="18" customHeight="1" s="17"/>
    <row r="2819" ht="18" customHeight="1" s="17"/>
    <row r="2820" ht="18" customHeight="1" s="17"/>
    <row r="2821" ht="18" customHeight="1" s="17"/>
    <row r="2822" ht="18" customHeight="1" s="17"/>
    <row r="2823" ht="18" customHeight="1" s="17"/>
    <row r="2824" ht="18" customHeight="1" s="17"/>
    <row r="2825" ht="18" customHeight="1" s="17"/>
    <row r="2826" ht="18" customHeight="1" s="17"/>
    <row r="2827" ht="18" customHeight="1" s="17"/>
    <row r="2828" ht="18" customHeight="1" s="17"/>
    <row r="2829" ht="18" customHeight="1" s="17"/>
    <row r="2830" ht="18" customHeight="1" s="17"/>
    <row r="2831" ht="18" customHeight="1" s="17"/>
    <row r="2832" ht="18" customHeight="1" s="17"/>
    <row r="2833" ht="18" customHeight="1" s="17"/>
    <row r="2834" ht="18" customHeight="1" s="17"/>
    <row r="2835" ht="18" customHeight="1" s="17"/>
    <row r="2836" ht="18" customHeight="1" s="17"/>
    <row r="2837" ht="18" customHeight="1" s="17"/>
    <row r="2838" ht="18" customHeight="1" s="17"/>
    <row r="2839" ht="18" customHeight="1" s="17"/>
    <row r="2840" ht="18" customHeight="1" s="17"/>
    <row r="2841" ht="18" customHeight="1" s="17"/>
    <row r="2842" ht="18" customHeight="1" s="17"/>
    <row r="2843" ht="18" customHeight="1" s="17"/>
    <row r="2844" ht="18" customHeight="1" s="17"/>
    <row r="2845" ht="18" customHeight="1" s="17"/>
    <row r="2846" ht="18" customHeight="1" s="17"/>
    <row r="2847" ht="18" customHeight="1" s="17"/>
    <row r="2848" ht="18" customHeight="1" s="17"/>
    <row r="2849" ht="18" customHeight="1" s="17"/>
    <row r="2850" ht="18" customHeight="1" s="17"/>
    <row r="2851" ht="18" customHeight="1" s="17"/>
    <row r="2852" ht="18" customHeight="1" s="17"/>
    <row r="2853" ht="18" customHeight="1" s="17"/>
    <row r="2854" ht="18" customHeight="1" s="17"/>
    <row r="2855" ht="18" customHeight="1" s="17"/>
    <row r="2856" ht="18" customHeight="1" s="17"/>
    <row r="2857" ht="18" customHeight="1" s="17"/>
    <row r="2858" ht="18" customHeight="1" s="17"/>
    <row r="2859" ht="18" customHeight="1" s="17"/>
    <row r="2860" ht="18" customHeight="1" s="17"/>
    <row r="2861" ht="18" customHeight="1" s="17"/>
    <row r="2862" ht="18" customHeight="1" s="17"/>
    <row r="2863" ht="18" customHeight="1" s="17"/>
    <row r="2864" ht="18" customHeight="1" s="17"/>
    <row r="2865" ht="18" customHeight="1" s="17"/>
    <row r="2866" ht="18" customHeight="1" s="17"/>
    <row r="2867" ht="18" customHeight="1" s="17"/>
    <row r="2868" ht="18" customHeight="1" s="17"/>
    <row r="2869" ht="18" customHeight="1" s="17"/>
    <row r="2870" ht="18" customHeight="1" s="17"/>
    <row r="2871" ht="18" customHeight="1" s="17"/>
    <row r="2872" ht="18" customHeight="1" s="17"/>
    <row r="2873" ht="18" customHeight="1" s="17"/>
    <row r="2874" ht="18" customHeight="1" s="17"/>
    <row r="2875" ht="18" customHeight="1" s="17"/>
    <row r="2876" ht="18" customHeight="1" s="17"/>
    <row r="2877" ht="18" customHeight="1" s="17"/>
    <row r="2878" ht="18" customHeight="1" s="17"/>
    <row r="2879" ht="18" customHeight="1" s="17"/>
    <row r="2880" ht="18" customHeight="1" s="17"/>
    <row r="2881" ht="18" customHeight="1" s="17"/>
    <row r="2882" ht="18" customHeight="1" s="17"/>
    <row r="2883" ht="18" customHeight="1" s="17"/>
    <row r="2884" ht="18" customHeight="1" s="17"/>
    <row r="2885" ht="18" customHeight="1" s="17"/>
    <row r="2886" ht="18" customHeight="1" s="17"/>
    <row r="2887" ht="18" customHeight="1" s="17"/>
    <row r="2888" ht="18" customHeight="1" s="17"/>
    <row r="2889" ht="18" customHeight="1" s="17"/>
    <row r="2890" ht="18" customHeight="1" s="17"/>
    <row r="2891" ht="18" customHeight="1" s="17"/>
    <row r="2892" ht="18" customHeight="1" s="17"/>
    <row r="2893" ht="18" customHeight="1" s="17"/>
    <row r="2894" ht="18" customHeight="1" s="17"/>
    <row r="2895" ht="18" customHeight="1" s="17"/>
    <row r="2896" ht="18" customHeight="1" s="17"/>
    <row r="2897" ht="18" customHeight="1" s="17"/>
    <row r="2898" ht="18" customHeight="1" s="17"/>
    <row r="2899" ht="18" customHeight="1" s="17"/>
    <row r="2900" ht="18" customHeight="1" s="17"/>
    <row r="2901" ht="18" customHeight="1" s="17"/>
    <row r="2902" ht="18" customHeight="1" s="17"/>
    <row r="2903" ht="18" customHeight="1" s="17"/>
    <row r="2904" ht="18" customHeight="1" s="17"/>
    <row r="2905" ht="18" customHeight="1" s="17"/>
    <row r="2906" ht="18" customHeight="1" s="17"/>
    <row r="2907" ht="18" customHeight="1" s="17"/>
    <row r="2908" ht="18" customHeight="1" s="17"/>
    <row r="2909" ht="18" customHeight="1" s="17"/>
    <row r="2910" ht="18" customHeight="1" s="17"/>
    <row r="2911" ht="18" customHeight="1" s="17"/>
    <row r="2912" ht="18" customHeight="1" s="17"/>
    <row r="2913" ht="18" customHeight="1" s="17"/>
    <row r="2914" ht="18" customHeight="1" s="17"/>
    <row r="2915" ht="18" customHeight="1" s="17"/>
    <row r="2916" ht="18" customHeight="1" s="17"/>
    <row r="2917" ht="18" customHeight="1" s="17"/>
    <row r="2918" ht="18" customHeight="1" s="17"/>
    <row r="2919" ht="18" customHeight="1" s="17"/>
    <row r="2920" ht="18" customHeight="1" s="17"/>
    <row r="2921" ht="18" customHeight="1" s="17"/>
    <row r="2922" ht="18" customHeight="1" s="17"/>
    <row r="2923" ht="18" customHeight="1" s="17"/>
    <row r="2924" ht="18" customHeight="1" s="17"/>
    <row r="2925" ht="18" customHeight="1" s="17"/>
    <row r="2926" ht="18" customHeight="1" s="17"/>
    <row r="2927" ht="18" customHeight="1" s="17"/>
    <row r="2928" ht="18" customHeight="1" s="17"/>
    <row r="2929" ht="18" customHeight="1" s="17"/>
    <row r="2930" ht="18" customHeight="1" s="17"/>
    <row r="2931" ht="18" customHeight="1" s="17"/>
    <row r="2932" ht="18" customHeight="1" s="17"/>
    <row r="2933" ht="18" customHeight="1" s="17"/>
    <row r="2934" ht="18" customHeight="1" s="17"/>
    <row r="2935" ht="18" customHeight="1" s="17"/>
    <row r="2936" ht="18" customHeight="1" s="17"/>
    <row r="2937" ht="18" customHeight="1" s="17"/>
    <row r="2938" ht="18" customHeight="1" s="17"/>
    <row r="2939" ht="18" customHeight="1" s="17"/>
    <row r="2940" ht="18" customHeight="1" s="17"/>
    <row r="2941" ht="18" customHeight="1" s="17"/>
    <row r="2942" ht="18" customHeight="1" s="17"/>
    <row r="2943" ht="18" customHeight="1" s="17"/>
    <row r="2944" ht="18" customHeight="1" s="17"/>
    <row r="2945" ht="18" customHeight="1" s="17"/>
    <row r="2946" ht="18" customHeight="1" s="17"/>
    <row r="2947" ht="18" customHeight="1" s="17"/>
    <row r="2948" ht="18" customHeight="1" s="17"/>
    <row r="2949" ht="18" customHeight="1" s="17"/>
    <row r="2950" ht="18" customHeight="1" s="17"/>
    <row r="2951" ht="18" customHeight="1" s="17"/>
    <row r="2952" ht="18" customHeight="1" s="17"/>
    <row r="2953" ht="18" customHeight="1" s="17"/>
    <row r="2954" ht="18" customHeight="1" s="17"/>
    <row r="2955" ht="18" customHeight="1" s="17"/>
    <row r="2956" ht="18" customHeight="1" s="17"/>
    <row r="2957" ht="18" customHeight="1" s="17"/>
    <row r="2958" ht="18" customHeight="1" s="17"/>
    <row r="2959" ht="18" customHeight="1" s="17"/>
    <row r="2960" ht="18" customHeight="1" s="17"/>
    <row r="2961" ht="18" customHeight="1" s="17"/>
    <row r="2962" ht="18" customHeight="1" s="17"/>
    <row r="2963" ht="18" customHeight="1" s="17"/>
    <row r="2964" ht="18" customHeight="1" s="17"/>
    <row r="2965" ht="18" customHeight="1" s="17"/>
    <row r="2966" ht="18" customHeight="1" s="17"/>
    <row r="2967" ht="18" customHeight="1" s="17"/>
    <row r="2968" ht="18" customHeight="1" s="17"/>
    <row r="2969" ht="18" customHeight="1" s="17"/>
    <row r="2970" ht="18" customHeight="1" s="17"/>
    <row r="2971" ht="18" customHeight="1" s="17"/>
    <row r="2972" ht="18" customHeight="1" s="17"/>
    <row r="2973" ht="18" customHeight="1" s="17"/>
    <row r="2974" ht="18" customHeight="1" s="17"/>
    <row r="2975" ht="18" customHeight="1" s="17"/>
    <row r="2976" ht="18" customHeight="1" s="17"/>
    <row r="2977" ht="18" customHeight="1" s="17"/>
    <row r="2978" ht="18" customHeight="1" s="17"/>
    <row r="2979" ht="18" customHeight="1" s="17"/>
    <row r="2980" ht="18" customHeight="1" s="17"/>
    <row r="2981" ht="18" customHeight="1" s="17"/>
    <row r="2982" ht="18" customHeight="1" s="17"/>
    <row r="2983" ht="18" customHeight="1" s="17"/>
    <row r="2984" ht="18" customHeight="1" s="17"/>
    <row r="2985" ht="18" customHeight="1" s="17"/>
    <row r="2986" ht="18" customHeight="1" s="17"/>
    <row r="2987" ht="18" customHeight="1" s="17"/>
    <row r="2988" ht="18" customHeight="1" s="17"/>
    <row r="2989" ht="18" customHeight="1" s="17"/>
    <row r="2990" ht="18" customHeight="1" s="17"/>
    <row r="2991" ht="18" customHeight="1" s="17"/>
    <row r="2992" ht="18" customHeight="1" s="17"/>
    <row r="2993" ht="18" customHeight="1" s="17"/>
    <row r="2994" ht="18" customHeight="1" s="17"/>
    <row r="2995" ht="18" customHeight="1" s="17"/>
    <row r="2996" ht="18" customHeight="1" s="17"/>
    <row r="2997" ht="18" customHeight="1" s="17"/>
    <row r="2998" ht="18" customHeight="1" s="17"/>
    <row r="2999" ht="18" customHeight="1" s="17"/>
    <row r="3000" ht="18" customHeight="1" s="17"/>
    <row r="3001" ht="18" customHeight="1" s="17"/>
    <row r="3002" ht="18" customHeight="1" s="17"/>
    <row r="3003" ht="18" customHeight="1" s="17"/>
    <row r="3004" ht="18" customHeight="1" s="17"/>
    <row r="3005" ht="18" customHeight="1" s="17"/>
    <row r="3006" ht="18" customHeight="1" s="17"/>
    <row r="3007" ht="18" customHeight="1" s="17"/>
    <row r="3008" ht="18" customHeight="1" s="17"/>
    <row r="3009" ht="18" customHeight="1" s="17"/>
    <row r="3010" ht="18" customHeight="1" s="17"/>
    <row r="3011" ht="18" customHeight="1" s="17"/>
    <row r="3012" ht="18" customHeight="1" s="17"/>
    <row r="3013" ht="18" customHeight="1" s="17"/>
    <row r="3014" ht="18" customHeight="1" s="17"/>
    <row r="3015" ht="18" customHeight="1" s="17"/>
    <row r="3016" ht="18" customHeight="1" s="17"/>
    <row r="3017" ht="18" customHeight="1" s="17"/>
    <row r="3018" ht="18" customHeight="1" s="17"/>
    <row r="3019" ht="18" customHeight="1" s="17"/>
    <row r="3020" ht="18" customHeight="1" s="17"/>
    <row r="3021" ht="18" customHeight="1" s="17"/>
    <row r="3022" ht="18" customHeight="1" s="17"/>
    <row r="3023" ht="18" customHeight="1" s="17"/>
    <row r="3024" ht="18" customHeight="1" s="17"/>
    <row r="3025" ht="18" customHeight="1" s="17"/>
    <row r="3026" ht="18" customHeight="1" s="17"/>
    <row r="3027" ht="18" customHeight="1" s="17"/>
    <row r="3028" ht="18" customHeight="1" s="17"/>
    <row r="3029" ht="18" customHeight="1" s="17"/>
    <row r="3030" ht="18" customHeight="1" s="17"/>
    <row r="3031" ht="18" customHeight="1" s="17"/>
    <row r="3032" ht="18" customHeight="1" s="17"/>
    <row r="3033" ht="18" customHeight="1" s="17"/>
    <row r="3034" ht="18" customHeight="1" s="17"/>
    <row r="3035" ht="18" customHeight="1" s="17"/>
    <row r="3036" ht="18" customHeight="1" s="17"/>
    <row r="3037" ht="18" customHeight="1" s="17"/>
    <row r="3038" ht="18" customHeight="1" s="17"/>
    <row r="3039" ht="18" customHeight="1" s="17"/>
    <row r="3040" ht="18" customHeight="1" s="17"/>
    <row r="3041" ht="18" customHeight="1" s="17"/>
    <row r="3042" ht="18" customHeight="1" s="17"/>
    <row r="3043" ht="18" customHeight="1" s="17"/>
    <row r="3044" ht="18" customHeight="1" s="17"/>
    <row r="3045" ht="18" customHeight="1" s="17"/>
    <row r="3046" ht="18" customHeight="1" s="17"/>
    <row r="3047" ht="18" customHeight="1" s="17"/>
    <row r="3048" ht="18" customHeight="1" s="17"/>
    <row r="3049" ht="18" customHeight="1" s="17"/>
    <row r="3050" ht="18" customHeight="1" s="17"/>
    <row r="3051" ht="18" customHeight="1" s="17"/>
    <row r="3052" ht="18" customHeight="1" s="17"/>
    <row r="3053" ht="18" customHeight="1" s="17"/>
    <row r="3054" ht="18" customHeight="1" s="17"/>
    <row r="3055" ht="18" customHeight="1" s="17"/>
    <row r="3056" ht="18" customHeight="1" s="17"/>
    <row r="3057" ht="18" customHeight="1" s="17"/>
    <row r="3058" ht="18" customHeight="1" s="17"/>
    <row r="3059" ht="18" customHeight="1" s="17"/>
    <row r="3060" ht="18" customHeight="1" s="17"/>
    <row r="3061" ht="18" customHeight="1" s="17"/>
    <row r="3062" ht="18" customHeight="1" s="17"/>
    <row r="3063" ht="18" customHeight="1" s="17"/>
    <row r="3064" ht="18" customHeight="1" s="17"/>
    <row r="3065" ht="18" customHeight="1" s="17"/>
    <row r="3066" ht="18" customHeight="1" s="17"/>
    <row r="3067" ht="18" customHeight="1" s="17"/>
    <row r="3068" ht="18" customHeight="1" s="17"/>
    <row r="3069" ht="18" customHeight="1" s="17"/>
    <row r="3070" ht="18" customHeight="1" s="17"/>
    <row r="3071" ht="18" customHeight="1" s="17"/>
    <row r="3072" ht="18" customHeight="1" s="17"/>
    <row r="3073" ht="18" customHeight="1" s="17"/>
    <row r="3074" ht="18" customHeight="1" s="17"/>
    <row r="3075" ht="18" customHeight="1" s="17"/>
    <row r="3076" ht="18" customHeight="1" s="17"/>
    <row r="3077" ht="18" customHeight="1" s="17"/>
    <row r="3078" ht="18" customHeight="1" s="17"/>
    <row r="3079" ht="18" customHeight="1" s="17"/>
    <row r="3080" ht="18" customHeight="1" s="17"/>
    <row r="3081" ht="18" customHeight="1" s="17"/>
    <row r="3082" ht="18" customHeight="1" s="17"/>
    <row r="3083" ht="18" customHeight="1" s="17"/>
    <row r="3084" ht="18" customHeight="1" s="17"/>
    <row r="3085" ht="18" customHeight="1" s="17"/>
    <row r="3086" ht="18" customHeight="1" s="17"/>
    <row r="3087" ht="18" customHeight="1" s="17"/>
    <row r="3088" ht="18" customHeight="1" s="17"/>
    <row r="3089" ht="18" customHeight="1" s="17"/>
    <row r="3090" ht="18" customHeight="1" s="17"/>
    <row r="3091" ht="18" customHeight="1" s="17"/>
    <row r="3092" ht="18" customHeight="1" s="17"/>
    <row r="3093" ht="18" customHeight="1" s="17"/>
    <row r="3094" ht="18" customHeight="1" s="17"/>
    <row r="3095" ht="18" customHeight="1" s="17"/>
    <row r="3096" ht="18" customHeight="1" s="17"/>
    <row r="3097" ht="18" customHeight="1" s="17"/>
    <row r="3098" ht="18" customHeight="1" s="17"/>
    <row r="3099" ht="18" customHeight="1" s="17"/>
    <row r="3100" ht="18" customHeight="1" s="17"/>
    <row r="3101" ht="18" customHeight="1" s="17"/>
    <row r="3102" ht="18" customHeight="1" s="17"/>
    <row r="3103" ht="18" customHeight="1" s="17"/>
    <row r="3104" ht="18" customHeight="1" s="17"/>
    <row r="3105" ht="18" customHeight="1" s="17"/>
    <row r="3106" ht="18" customHeight="1" s="17"/>
    <row r="3107" ht="18" customHeight="1" s="17"/>
    <row r="3108" ht="18" customHeight="1" s="17"/>
    <row r="3109" ht="18" customHeight="1" s="17"/>
    <row r="3110" ht="18" customHeight="1" s="17"/>
    <row r="3111" ht="18" customHeight="1" s="17"/>
    <row r="3112" ht="18" customHeight="1" s="17"/>
    <row r="3113" ht="18" customHeight="1" s="17"/>
    <row r="3114" ht="18" customHeight="1" s="17"/>
    <row r="3115" ht="18" customHeight="1" s="17"/>
    <row r="3116" ht="18" customHeight="1" s="17"/>
    <row r="3117" ht="18" customHeight="1" s="17"/>
    <row r="3118" ht="18" customHeight="1" s="17"/>
    <row r="3119" ht="18" customHeight="1" s="17"/>
    <row r="3120" ht="18" customHeight="1" s="17"/>
    <row r="3121" ht="18" customHeight="1" s="17"/>
    <row r="3122" ht="18" customHeight="1" s="17"/>
    <row r="3123" ht="18" customHeight="1" s="17"/>
    <row r="3124" ht="18" customHeight="1" s="17"/>
    <row r="3125" ht="18" customHeight="1" s="17"/>
    <row r="3126" ht="18" customHeight="1" s="17"/>
    <row r="3127" ht="18" customHeight="1" s="17"/>
    <row r="3128" ht="18" customHeight="1" s="17"/>
    <row r="3129" ht="18" customHeight="1" s="17"/>
    <row r="3130" ht="18" customHeight="1" s="17"/>
    <row r="3131" ht="18" customHeight="1" s="17"/>
    <row r="3132" ht="18" customHeight="1" s="17"/>
    <row r="3133" ht="18" customHeight="1" s="17"/>
    <row r="3134" ht="18" customHeight="1" s="17"/>
    <row r="3135" ht="18" customHeight="1" s="17"/>
    <row r="3136" ht="18" customHeight="1" s="17"/>
    <row r="3137" ht="18" customHeight="1" s="17"/>
    <row r="3138" ht="18" customHeight="1" s="17"/>
    <row r="3139" ht="18" customHeight="1" s="17"/>
    <row r="3140" ht="18" customHeight="1" s="17"/>
    <row r="3141" ht="18" customHeight="1" s="17"/>
    <row r="3142" ht="18" customHeight="1" s="17"/>
    <row r="3143" ht="18" customHeight="1" s="17"/>
    <row r="3144" ht="18" customHeight="1" s="17"/>
    <row r="3145" ht="18" customHeight="1" s="17"/>
    <row r="3146" ht="18" customHeight="1" s="17"/>
    <row r="3147" ht="18" customHeight="1" s="17"/>
    <row r="3148" ht="18" customHeight="1" s="17"/>
    <row r="3149" ht="18" customHeight="1" s="17"/>
    <row r="3150" ht="18" customHeight="1" s="17"/>
    <row r="3151" ht="18" customHeight="1" s="17"/>
    <row r="3152" ht="18" customHeight="1" s="17"/>
    <row r="3153" ht="18" customHeight="1" s="17"/>
    <row r="3154" ht="18" customHeight="1" s="17"/>
    <row r="3155" ht="18" customHeight="1" s="17"/>
    <row r="3156" ht="18" customHeight="1" s="17"/>
    <row r="3157" ht="18" customHeight="1" s="17"/>
    <row r="3158" ht="18" customHeight="1" s="17"/>
    <row r="3159" ht="18" customHeight="1" s="17"/>
    <row r="3160" ht="18" customHeight="1" s="17"/>
    <row r="3161" ht="18" customHeight="1" s="17"/>
    <row r="3162" ht="18" customHeight="1" s="17"/>
    <row r="3163" ht="18" customHeight="1" s="17"/>
    <row r="3164" ht="18" customHeight="1" s="17"/>
    <row r="3165" ht="18" customHeight="1" s="17"/>
    <row r="3166" ht="18" customHeight="1" s="17"/>
    <row r="3167" ht="18" customHeight="1" s="17"/>
    <row r="3168" ht="18" customHeight="1" s="17"/>
    <row r="3169" ht="18" customHeight="1" s="17"/>
    <row r="3170" ht="18" customHeight="1" s="17"/>
    <row r="3171" ht="18" customHeight="1" s="17"/>
    <row r="3172" ht="18" customHeight="1" s="17"/>
    <row r="3173" ht="18" customHeight="1" s="17"/>
    <row r="3174" ht="18" customHeight="1" s="17"/>
    <row r="3175" ht="18" customHeight="1" s="17"/>
    <row r="3176" ht="18" customHeight="1" s="17"/>
    <row r="3177" ht="18" customHeight="1" s="17"/>
    <row r="3178" ht="18" customHeight="1" s="17"/>
    <row r="3179" ht="18" customHeight="1" s="17"/>
    <row r="3180" ht="18" customHeight="1" s="17"/>
    <row r="3181" ht="18" customHeight="1" s="17"/>
    <row r="3182" ht="18" customHeight="1" s="17"/>
    <row r="3183" ht="18" customHeight="1" s="17"/>
    <row r="3184" ht="18" customHeight="1" s="17"/>
    <row r="3185" ht="18" customHeight="1" s="17"/>
    <row r="3186" ht="18" customHeight="1" s="17"/>
    <row r="3187" ht="18" customHeight="1" s="17"/>
    <row r="3188" ht="18" customHeight="1" s="17"/>
    <row r="3189" ht="18" customHeight="1" s="17"/>
    <row r="3190" ht="18" customHeight="1" s="17"/>
    <row r="3191" ht="18" customHeight="1" s="17"/>
    <row r="3192" ht="18" customHeight="1" s="17"/>
    <row r="3193" ht="18" customHeight="1" s="17"/>
    <row r="3194" ht="18" customHeight="1" s="17"/>
    <row r="3195" ht="18" customHeight="1" s="17"/>
    <row r="3196" ht="18" customHeight="1" s="17"/>
    <row r="3197" ht="18" customHeight="1" s="17"/>
    <row r="3198" ht="18" customHeight="1" s="17"/>
    <row r="3199" ht="18" customHeight="1" s="17"/>
    <row r="3200" ht="18" customHeight="1" s="17"/>
    <row r="3201" ht="18" customHeight="1" s="17"/>
    <row r="3202" ht="18" customHeight="1" s="17"/>
    <row r="3203" ht="18" customHeight="1" s="17"/>
    <row r="3204" ht="18" customHeight="1" s="17"/>
    <row r="3205" ht="18" customHeight="1" s="17"/>
    <row r="3206" ht="18" customHeight="1" s="17"/>
    <row r="3207" ht="18" customHeight="1" s="17"/>
    <row r="3208" ht="18" customHeight="1" s="17"/>
    <row r="3209" ht="18" customHeight="1" s="17"/>
    <row r="3210" ht="18" customHeight="1" s="17"/>
    <row r="3211" ht="18" customHeight="1" s="17"/>
    <row r="3212" ht="18" customHeight="1" s="17"/>
    <row r="3213" ht="18" customHeight="1" s="17"/>
    <row r="3214" ht="18" customHeight="1" s="17"/>
    <row r="3215" ht="18" customHeight="1" s="17"/>
    <row r="3216" ht="18" customHeight="1" s="17"/>
    <row r="3217" ht="18" customHeight="1" s="17"/>
    <row r="3218" ht="18" customHeight="1" s="17"/>
    <row r="3219" ht="18" customHeight="1" s="17"/>
    <row r="3220" ht="18" customHeight="1" s="17"/>
    <row r="3221" ht="18" customHeight="1" s="17"/>
    <row r="3222" ht="18" customHeight="1" s="17"/>
    <row r="3223" ht="18" customHeight="1" s="17"/>
    <row r="3224" ht="18" customHeight="1" s="17"/>
    <row r="3225" ht="18" customHeight="1" s="17"/>
    <row r="3226" ht="18" customHeight="1" s="17"/>
    <row r="3227" ht="18" customHeight="1" s="17"/>
    <row r="3228" ht="18" customHeight="1" s="17"/>
    <row r="3229" ht="18" customHeight="1" s="17"/>
    <row r="3230" ht="18" customHeight="1" s="17"/>
    <row r="3231" ht="18" customHeight="1" s="17"/>
    <row r="3232" ht="18" customHeight="1" s="17"/>
    <row r="3233" ht="18" customHeight="1" s="17"/>
    <row r="3234" ht="18" customHeight="1" s="17"/>
    <row r="3235" ht="18" customHeight="1" s="17"/>
    <row r="3236" ht="18" customHeight="1" s="17"/>
    <row r="3237" ht="18" customHeight="1" s="17"/>
    <row r="3238" ht="18" customHeight="1" s="17"/>
    <row r="3239" ht="18" customHeight="1" s="17"/>
    <row r="3240" ht="18" customHeight="1" s="17"/>
    <row r="3241" ht="18" customHeight="1" s="17"/>
    <row r="3242" ht="18" customHeight="1" s="17"/>
    <row r="3243" ht="18" customHeight="1" s="17"/>
    <row r="3244" ht="18" customHeight="1" s="17"/>
    <row r="3245" ht="18" customHeight="1" s="17"/>
    <row r="3246" ht="18" customHeight="1" s="17"/>
    <row r="3247" ht="18" customHeight="1" s="17"/>
    <row r="3248" ht="18" customHeight="1" s="17"/>
    <row r="3249" ht="18" customHeight="1" s="17"/>
    <row r="3250" ht="18" customHeight="1" s="17"/>
    <row r="3251" ht="18" customHeight="1" s="17"/>
    <row r="3252" ht="18" customHeight="1" s="17"/>
    <row r="3253" ht="18" customHeight="1" s="17"/>
    <row r="3254" ht="18" customHeight="1" s="17"/>
    <row r="3255" ht="18" customHeight="1" s="17"/>
    <row r="3256" ht="18" customHeight="1" s="17"/>
    <row r="3257" ht="18" customHeight="1" s="17"/>
    <row r="3258" ht="18" customHeight="1" s="17"/>
    <row r="3259" ht="18" customHeight="1" s="17"/>
    <row r="3260" ht="18" customHeight="1" s="17"/>
    <row r="3261" ht="18" customHeight="1" s="17"/>
    <row r="3262" ht="18" customHeight="1" s="17"/>
    <row r="3263" ht="18" customHeight="1" s="17"/>
    <row r="3264" ht="18" customHeight="1" s="17"/>
    <row r="3265" ht="18" customHeight="1" s="17"/>
    <row r="3266" ht="18" customHeight="1" s="17"/>
    <row r="3267" ht="18" customHeight="1" s="17"/>
    <row r="3268" ht="18" customHeight="1" s="17"/>
    <row r="3269" ht="18" customHeight="1" s="17"/>
    <row r="3270" ht="18" customHeight="1" s="17"/>
    <row r="3271" ht="18" customHeight="1" s="17"/>
    <row r="3272" ht="18" customHeight="1" s="17"/>
    <row r="3273" ht="18" customHeight="1" s="17"/>
    <row r="3274" ht="18" customHeight="1" s="17"/>
    <row r="3275" ht="18" customHeight="1" s="17"/>
    <row r="3276" ht="18" customHeight="1" s="17"/>
    <row r="3277" ht="18" customHeight="1" s="17"/>
    <row r="3278" ht="18" customHeight="1" s="17"/>
    <row r="3279" ht="18" customHeight="1" s="17"/>
    <row r="3280" ht="18" customHeight="1" s="17"/>
    <row r="3281" ht="18" customHeight="1" s="17"/>
    <row r="3282" ht="18" customHeight="1" s="17"/>
    <row r="3283" ht="18" customHeight="1" s="17"/>
    <row r="3284" ht="18" customHeight="1" s="17"/>
    <row r="3285" ht="18" customHeight="1" s="17"/>
    <row r="3286" ht="18" customHeight="1" s="17"/>
    <row r="3287" ht="18" customHeight="1" s="17"/>
    <row r="3288" ht="18" customHeight="1" s="17"/>
    <row r="3289" ht="18" customHeight="1" s="17"/>
    <row r="3290" ht="18" customHeight="1" s="17"/>
    <row r="3291" ht="18" customHeight="1" s="17"/>
    <row r="3292" ht="18" customHeight="1" s="17"/>
    <row r="3293" ht="18" customHeight="1" s="17"/>
    <row r="3294" ht="18" customHeight="1" s="17"/>
    <row r="3295" ht="18" customHeight="1" s="17"/>
    <row r="3296" ht="18" customHeight="1" s="17"/>
    <row r="3297" ht="18" customHeight="1" s="17"/>
    <row r="3298" ht="18" customHeight="1" s="17"/>
    <row r="3299" ht="18" customHeight="1" s="17"/>
    <row r="3300" ht="18" customHeight="1" s="17"/>
    <row r="3301" ht="18" customHeight="1" s="17"/>
    <row r="3302" ht="18" customHeight="1" s="17"/>
    <row r="3303" ht="18" customHeight="1" s="17"/>
    <row r="3304" ht="18" customHeight="1" s="17"/>
    <row r="3305" ht="18" customHeight="1" s="17"/>
    <row r="3306" ht="18" customHeight="1" s="17"/>
    <row r="3307" ht="18" customHeight="1" s="17"/>
    <row r="3308" ht="18" customHeight="1" s="17"/>
    <row r="3309" ht="18" customHeight="1" s="17"/>
    <row r="3310" ht="18" customHeight="1" s="17"/>
    <row r="3311" ht="18" customHeight="1" s="17"/>
    <row r="3312" ht="18" customHeight="1" s="17"/>
    <row r="3313" ht="18" customHeight="1" s="17"/>
    <row r="3314" ht="18" customHeight="1" s="17"/>
    <row r="3315" ht="18" customHeight="1" s="17"/>
    <row r="3316" ht="18" customHeight="1" s="17"/>
    <row r="3317" ht="18" customHeight="1" s="17"/>
    <row r="3318" ht="18" customHeight="1" s="17"/>
    <row r="3319" ht="18" customHeight="1" s="17"/>
    <row r="3320" ht="18" customHeight="1" s="17"/>
    <row r="3321" ht="18" customHeight="1" s="17"/>
    <row r="3322" ht="18" customHeight="1" s="17"/>
    <row r="3323" ht="18" customHeight="1" s="17"/>
    <row r="3324" ht="18" customHeight="1" s="17"/>
    <row r="3325" ht="18" customHeight="1" s="17"/>
    <row r="3326" ht="18" customHeight="1" s="17"/>
    <row r="3327" ht="18" customHeight="1" s="17"/>
    <row r="3328" ht="18" customHeight="1" s="17"/>
    <row r="3329" ht="18" customHeight="1" s="17"/>
    <row r="3330" ht="18" customHeight="1" s="17"/>
    <row r="3331" ht="18" customHeight="1" s="17"/>
    <row r="3332" ht="18" customHeight="1" s="17"/>
    <row r="3333" ht="18" customHeight="1" s="17"/>
    <row r="3334" ht="18" customHeight="1" s="17"/>
    <row r="3335" ht="18" customHeight="1" s="17"/>
    <row r="3336" ht="18" customHeight="1" s="17"/>
    <row r="3337" ht="18" customHeight="1" s="17"/>
    <row r="3338" ht="18" customHeight="1" s="17"/>
    <row r="3339" ht="18" customHeight="1" s="17"/>
    <row r="3340" ht="18" customHeight="1" s="17"/>
    <row r="3341" ht="18" customHeight="1" s="17"/>
    <row r="3342" ht="18" customHeight="1" s="17"/>
    <row r="3343" ht="18" customHeight="1" s="17"/>
    <row r="3344" ht="18" customHeight="1" s="17"/>
    <row r="3345" ht="18" customHeight="1" s="17"/>
    <row r="3346" ht="18" customHeight="1" s="17"/>
    <row r="3347" ht="18" customHeight="1" s="17"/>
    <row r="3348" ht="18" customHeight="1" s="17"/>
    <row r="3349" ht="18" customHeight="1" s="17"/>
    <row r="3350" ht="18" customHeight="1" s="17"/>
    <row r="3351" ht="18" customHeight="1" s="17"/>
    <row r="3352" ht="18" customHeight="1" s="17"/>
    <row r="3353" ht="18" customHeight="1" s="17"/>
    <row r="3354" ht="18" customHeight="1" s="17"/>
    <row r="3355" ht="18" customHeight="1" s="17"/>
    <row r="3356" ht="18" customHeight="1" s="17"/>
    <row r="3357" ht="18" customHeight="1" s="17"/>
    <row r="3358" ht="18" customHeight="1" s="17"/>
    <row r="3359" ht="18" customHeight="1" s="17"/>
    <row r="3360" ht="18" customHeight="1" s="17"/>
    <row r="3361" ht="18" customHeight="1" s="17"/>
    <row r="3362" ht="18" customHeight="1" s="17"/>
    <row r="3363" ht="18" customHeight="1" s="17"/>
    <row r="3364" ht="18" customHeight="1" s="17"/>
    <row r="3365" ht="18" customHeight="1" s="17"/>
    <row r="3366" ht="18" customHeight="1" s="17"/>
    <row r="3367" ht="18" customHeight="1" s="17"/>
    <row r="3368" ht="18" customHeight="1" s="17"/>
    <row r="3369" ht="18" customHeight="1" s="17"/>
    <row r="3370" ht="18" customHeight="1" s="17"/>
    <row r="3371" ht="18" customHeight="1" s="17"/>
    <row r="3372" ht="18" customHeight="1" s="17"/>
    <row r="3373" ht="18" customHeight="1" s="17"/>
    <row r="3374" ht="18" customHeight="1" s="17"/>
    <row r="3375" ht="18" customHeight="1" s="17"/>
    <row r="3376" ht="18" customHeight="1" s="17"/>
    <row r="3377" ht="18" customHeight="1" s="17"/>
    <row r="3378" ht="18" customHeight="1" s="17"/>
    <row r="3379" ht="18" customHeight="1" s="17"/>
    <row r="3380" ht="18" customHeight="1" s="17"/>
    <row r="3381" ht="18" customHeight="1" s="17"/>
    <row r="3382" ht="18" customHeight="1" s="17"/>
    <row r="3383" ht="18" customHeight="1" s="17"/>
    <row r="3384" ht="18" customHeight="1" s="17"/>
    <row r="3385" ht="18" customHeight="1" s="17"/>
    <row r="3386" ht="18" customHeight="1" s="17"/>
    <row r="3387" ht="18" customHeight="1" s="17"/>
    <row r="3388" ht="18" customHeight="1" s="17"/>
    <row r="3389" ht="18" customHeight="1" s="17"/>
    <row r="3390" ht="18" customHeight="1" s="17"/>
    <row r="3391" ht="18" customHeight="1" s="17"/>
    <row r="3392" ht="18" customHeight="1" s="17"/>
    <row r="3393" ht="18" customHeight="1" s="17"/>
    <row r="3394" ht="18" customHeight="1" s="17"/>
    <row r="3395" ht="18" customHeight="1" s="17"/>
    <row r="3396" ht="18" customHeight="1" s="17"/>
    <row r="3397" ht="18" customHeight="1" s="17"/>
    <row r="3398" ht="18" customHeight="1" s="17"/>
    <row r="3399" ht="18" customHeight="1" s="17"/>
    <row r="3400" ht="18" customHeight="1" s="17"/>
    <row r="3401" ht="18" customHeight="1" s="17"/>
    <row r="3402" ht="18" customHeight="1" s="17"/>
    <row r="3403" ht="18" customHeight="1" s="17"/>
    <row r="3404" ht="18" customHeight="1" s="17"/>
    <row r="3405" ht="18" customHeight="1" s="17"/>
    <row r="3406" ht="18" customHeight="1" s="17"/>
    <row r="3407" ht="18" customHeight="1" s="17"/>
    <row r="3408" ht="18" customHeight="1" s="17"/>
    <row r="3409" ht="18" customHeight="1" s="17"/>
    <row r="3410" ht="18" customHeight="1" s="17"/>
    <row r="3411" ht="18" customHeight="1" s="17"/>
    <row r="3412" ht="18" customHeight="1" s="17"/>
    <row r="3413" ht="18" customHeight="1" s="17"/>
    <row r="3414" ht="18" customHeight="1" s="17"/>
    <row r="3415" ht="18" customHeight="1" s="17"/>
    <row r="3416" ht="18" customHeight="1" s="17"/>
    <row r="3417" ht="18" customHeight="1" s="17"/>
    <row r="3418" ht="18" customHeight="1" s="17"/>
    <row r="3419" ht="18" customHeight="1" s="17"/>
    <row r="3420" ht="18" customHeight="1" s="17"/>
    <row r="3421" ht="18" customHeight="1" s="17"/>
    <row r="3422" ht="18" customHeight="1" s="17"/>
    <row r="3423" ht="18" customHeight="1" s="17"/>
    <row r="3424" ht="18" customHeight="1" s="17"/>
    <row r="3425" ht="18" customHeight="1" s="17"/>
    <row r="3426" ht="18" customHeight="1" s="17"/>
    <row r="3427" ht="18" customHeight="1" s="17"/>
    <row r="3428" ht="18" customHeight="1" s="17"/>
    <row r="3429" ht="18" customHeight="1" s="17"/>
    <row r="3430" ht="18" customHeight="1" s="17"/>
    <row r="3431" ht="18" customHeight="1" s="17"/>
    <row r="3432" ht="18" customHeight="1" s="17"/>
    <row r="3433" ht="18" customHeight="1" s="17"/>
    <row r="3434" ht="18" customHeight="1" s="17"/>
    <row r="3435" ht="18" customHeight="1" s="17"/>
    <row r="3436" ht="18" customHeight="1" s="17"/>
    <row r="3437" ht="18" customHeight="1" s="17"/>
    <row r="3438" ht="18" customHeight="1" s="17"/>
    <row r="3439" ht="18" customHeight="1" s="17"/>
    <row r="3440" ht="18" customHeight="1" s="17"/>
    <row r="3441" ht="18" customHeight="1" s="17"/>
    <row r="3442" ht="18" customHeight="1" s="17"/>
    <row r="3443" ht="18" customHeight="1" s="17"/>
    <row r="3444" ht="18" customHeight="1" s="17"/>
    <row r="3445" ht="18" customHeight="1" s="17"/>
    <row r="3446" ht="18" customHeight="1" s="17"/>
    <row r="3447" ht="18" customHeight="1" s="17"/>
    <row r="3448" ht="18" customHeight="1" s="17"/>
    <row r="3449" ht="18" customHeight="1" s="17"/>
    <row r="3450" ht="18" customHeight="1" s="17"/>
    <row r="3451" ht="18" customHeight="1" s="17"/>
    <row r="3452" ht="18" customHeight="1" s="17"/>
    <row r="3453" ht="18" customHeight="1" s="17"/>
    <row r="3454" ht="18" customHeight="1" s="17"/>
    <row r="3455" ht="18" customHeight="1" s="17"/>
    <row r="3456" ht="18" customHeight="1" s="17"/>
    <row r="3457" ht="18" customHeight="1" s="17"/>
    <row r="3458" ht="18" customHeight="1" s="17"/>
    <row r="3459" ht="18" customHeight="1" s="17"/>
    <row r="3460" ht="18" customHeight="1" s="17"/>
    <row r="3461" ht="18" customHeight="1" s="17"/>
    <row r="3462" ht="18" customHeight="1" s="17"/>
    <row r="3463" ht="18" customHeight="1" s="17"/>
    <row r="3464" ht="18" customHeight="1" s="17"/>
    <row r="3465" ht="18" customHeight="1" s="17"/>
    <row r="3466" ht="18" customHeight="1" s="17"/>
    <row r="3467" ht="18" customHeight="1" s="17"/>
    <row r="3468" ht="18" customHeight="1" s="17"/>
    <row r="3469" ht="18" customHeight="1" s="17"/>
    <row r="3470" ht="18" customHeight="1" s="17"/>
    <row r="3471" ht="18" customHeight="1" s="17"/>
    <row r="3472" ht="18" customHeight="1" s="17"/>
    <row r="3473" ht="18" customHeight="1" s="17"/>
    <row r="3474" ht="18" customHeight="1" s="17"/>
    <row r="3475" ht="18" customHeight="1" s="17"/>
    <row r="3476" ht="18" customHeight="1" s="17"/>
    <row r="3477" ht="18" customHeight="1" s="17"/>
    <row r="3478" ht="18" customHeight="1" s="17"/>
    <row r="3479" ht="18" customHeight="1" s="17"/>
    <row r="3480" ht="18" customHeight="1" s="17"/>
    <row r="3481" ht="18" customHeight="1" s="17"/>
    <row r="3482" ht="18" customHeight="1" s="17"/>
    <row r="3483" ht="18" customHeight="1" s="17"/>
    <row r="3484" ht="18" customHeight="1" s="17"/>
    <row r="3485" ht="18" customHeight="1" s="17"/>
    <row r="3486" ht="18" customHeight="1" s="17"/>
    <row r="3487" ht="18" customHeight="1" s="17"/>
    <row r="3488" ht="18" customHeight="1" s="17"/>
    <row r="3489" ht="18" customHeight="1" s="17"/>
    <row r="3490" ht="18" customHeight="1" s="17"/>
    <row r="3491" ht="18" customHeight="1" s="17"/>
    <row r="3492" ht="18" customHeight="1" s="17"/>
    <row r="3493" ht="18" customHeight="1" s="17"/>
    <row r="3494" ht="18" customHeight="1" s="17"/>
    <row r="3495" ht="18" customHeight="1" s="17"/>
    <row r="3496" ht="18" customHeight="1" s="17"/>
    <row r="3497" ht="18" customHeight="1" s="17"/>
    <row r="3498" ht="18" customHeight="1" s="17"/>
    <row r="3499" ht="18" customHeight="1" s="17"/>
    <row r="3500" ht="18" customHeight="1" s="17"/>
    <row r="3501" ht="18" customHeight="1" s="17"/>
    <row r="3502" ht="18" customHeight="1" s="17"/>
    <row r="3503" ht="18" customHeight="1" s="17"/>
    <row r="3504" ht="18" customHeight="1" s="17"/>
    <row r="3505" ht="18" customHeight="1" s="17"/>
    <row r="3506" ht="18" customHeight="1" s="17"/>
    <row r="3507" ht="18" customHeight="1" s="17"/>
    <row r="3508" ht="18" customHeight="1" s="17"/>
    <row r="3509" ht="18" customHeight="1" s="17"/>
    <row r="3510" ht="18" customHeight="1" s="17"/>
    <row r="3511" ht="18" customHeight="1" s="17"/>
    <row r="3512" ht="18" customHeight="1" s="17"/>
    <row r="3513" ht="18" customHeight="1" s="17"/>
    <row r="3514" ht="18" customHeight="1" s="17"/>
    <row r="3515" ht="18" customHeight="1" s="17"/>
    <row r="3516" ht="18" customHeight="1" s="17"/>
    <row r="3517" ht="18" customHeight="1" s="17"/>
    <row r="3518" ht="18" customHeight="1" s="17"/>
    <row r="3519" ht="18" customHeight="1" s="17"/>
    <row r="3520" ht="18" customHeight="1" s="17"/>
    <row r="3521" ht="18" customHeight="1" s="17"/>
    <row r="3522" ht="18" customHeight="1" s="17"/>
    <row r="3523" ht="18" customHeight="1" s="17"/>
    <row r="3524" ht="18" customHeight="1" s="17"/>
    <row r="3525" ht="18" customHeight="1" s="17"/>
    <row r="3526" ht="18" customHeight="1" s="17"/>
    <row r="3527" ht="18" customHeight="1" s="17"/>
    <row r="3528" ht="18" customHeight="1" s="17"/>
    <row r="3529" ht="18" customHeight="1" s="17"/>
    <row r="3530" ht="18" customHeight="1" s="17"/>
    <row r="3531" ht="18" customHeight="1" s="17"/>
    <row r="3532" ht="18" customHeight="1" s="17"/>
    <row r="3533" ht="18" customHeight="1" s="17"/>
    <row r="3534" ht="18" customHeight="1" s="17"/>
    <row r="3535" ht="18" customHeight="1" s="17"/>
    <row r="3536" ht="18" customHeight="1" s="17"/>
    <row r="3537" ht="18" customHeight="1" s="17"/>
    <row r="3538" ht="18" customHeight="1" s="17"/>
    <row r="3539" ht="18" customHeight="1" s="17"/>
    <row r="3540" ht="18" customHeight="1" s="17"/>
    <row r="3541" ht="18" customHeight="1" s="17"/>
    <row r="3542" ht="18" customHeight="1" s="17"/>
    <row r="3543" ht="18" customHeight="1" s="17"/>
    <row r="3544" ht="18" customHeight="1" s="17"/>
    <row r="3545" ht="18" customHeight="1" s="17"/>
    <row r="3546" ht="18" customHeight="1" s="17"/>
    <row r="3547" ht="18" customHeight="1" s="17"/>
    <row r="3548" ht="18" customHeight="1" s="17"/>
    <row r="3549" ht="18" customHeight="1" s="17"/>
    <row r="3550" ht="18" customHeight="1" s="17"/>
    <row r="3551" ht="18" customHeight="1" s="17"/>
    <row r="3552" ht="18" customHeight="1" s="17"/>
    <row r="3553" ht="18" customHeight="1" s="17"/>
    <row r="3554" ht="18" customHeight="1" s="17"/>
    <row r="3555" ht="18" customHeight="1" s="17"/>
    <row r="3556" ht="18" customHeight="1" s="17"/>
    <row r="3557" ht="18" customHeight="1" s="17"/>
    <row r="3558" ht="18" customHeight="1" s="17"/>
    <row r="3559" ht="18" customHeight="1" s="17"/>
    <row r="3560" ht="18" customHeight="1" s="17"/>
    <row r="3561" ht="18" customHeight="1" s="17"/>
    <row r="3562" ht="18" customHeight="1" s="17"/>
    <row r="3563" ht="18" customHeight="1" s="17"/>
    <row r="3564" ht="18" customHeight="1" s="17"/>
    <row r="3565" ht="18" customHeight="1" s="17"/>
    <row r="3566" ht="18" customHeight="1" s="17"/>
    <row r="3567" ht="18" customHeight="1" s="17"/>
    <row r="3568" ht="18" customHeight="1" s="17"/>
    <row r="3569" ht="18" customHeight="1" s="17"/>
    <row r="3570" ht="18" customHeight="1" s="17"/>
    <row r="3571" ht="18" customHeight="1" s="17"/>
    <row r="3572" ht="18" customHeight="1" s="17"/>
    <row r="3573" ht="18" customHeight="1" s="17"/>
    <row r="3574" ht="18" customHeight="1" s="17"/>
    <row r="3575" ht="18" customHeight="1" s="17"/>
    <row r="3576" ht="18" customHeight="1" s="17"/>
    <row r="3577" ht="18" customHeight="1" s="17"/>
    <row r="3578" ht="18" customHeight="1" s="17"/>
    <row r="3579" ht="18" customHeight="1" s="17"/>
    <row r="3580" ht="18" customHeight="1" s="17"/>
    <row r="3581" ht="18" customHeight="1" s="17"/>
    <row r="3582" ht="18" customHeight="1" s="17"/>
    <row r="3583" ht="18" customHeight="1" s="17"/>
    <row r="3584" ht="18" customHeight="1" s="17"/>
    <row r="3585" ht="18" customHeight="1" s="17"/>
    <row r="3586" ht="18" customHeight="1" s="17"/>
    <row r="3587" ht="18" customHeight="1" s="17"/>
    <row r="3588" ht="18" customHeight="1" s="17"/>
    <row r="3589" ht="18" customHeight="1" s="17"/>
    <row r="3590" ht="18" customHeight="1" s="17"/>
    <row r="3591" ht="18" customHeight="1" s="17"/>
    <row r="3592" ht="18" customHeight="1" s="17"/>
    <row r="3593" ht="18" customHeight="1" s="17"/>
    <row r="3594" ht="18" customHeight="1" s="17"/>
    <row r="3595" ht="18" customHeight="1" s="17"/>
    <row r="3596" ht="18" customHeight="1" s="17"/>
    <row r="3597" ht="18" customHeight="1" s="17"/>
    <row r="3598" ht="18" customHeight="1" s="17"/>
    <row r="3599" ht="18" customHeight="1" s="17"/>
    <row r="3600" ht="18" customHeight="1" s="17"/>
    <row r="3601" ht="18" customHeight="1" s="17"/>
    <row r="3602" ht="18" customHeight="1" s="17"/>
    <row r="3603" ht="18" customHeight="1" s="17"/>
    <row r="3604" ht="18" customHeight="1" s="17"/>
    <row r="3605" ht="18" customHeight="1" s="17"/>
    <row r="3606" ht="18" customHeight="1" s="17"/>
    <row r="3607" ht="18" customHeight="1" s="17"/>
    <row r="3608" ht="18" customHeight="1" s="17"/>
    <row r="3609" ht="18" customHeight="1" s="17"/>
    <row r="3610" ht="18" customHeight="1" s="17"/>
    <row r="3611" ht="18" customHeight="1" s="17"/>
    <row r="3612" ht="18" customHeight="1" s="17"/>
    <row r="3613" ht="18" customHeight="1" s="17"/>
    <row r="3614" ht="18" customHeight="1" s="17"/>
    <row r="3615" ht="18" customHeight="1" s="17"/>
    <row r="3616" ht="18" customHeight="1" s="17"/>
    <row r="3617" ht="18" customHeight="1" s="17"/>
    <row r="3618" ht="18" customHeight="1" s="17"/>
    <row r="3619" ht="18" customHeight="1" s="17"/>
    <row r="3620" ht="18" customHeight="1" s="17"/>
    <row r="3621" ht="18" customHeight="1" s="17"/>
    <row r="3622" ht="18" customHeight="1" s="17"/>
    <row r="3623" ht="18" customHeight="1" s="17"/>
    <row r="3624" ht="18" customHeight="1" s="17"/>
    <row r="3625" ht="18" customHeight="1" s="17"/>
    <row r="3626" ht="18" customHeight="1" s="17"/>
    <row r="3627" ht="18" customHeight="1" s="17"/>
    <row r="3628" ht="18" customHeight="1" s="17"/>
    <row r="3629" ht="18" customHeight="1" s="17"/>
    <row r="3630" ht="18" customHeight="1" s="17"/>
    <row r="3631" ht="18" customHeight="1" s="17"/>
    <row r="3632" ht="18" customHeight="1" s="17"/>
    <row r="3633" ht="18" customHeight="1" s="17"/>
    <row r="3634" ht="18" customHeight="1" s="17"/>
    <row r="3635" ht="18" customHeight="1" s="17"/>
    <row r="3636" ht="18" customHeight="1" s="17"/>
    <row r="3637" ht="18" customHeight="1" s="17"/>
    <row r="3638" ht="18" customHeight="1" s="17"/>
    <row r="3639" ht="18" customHeight="1" s="17"/>
    <row r="3640" ht="18" customHeight="1" s="17"/>
    <row r="3641" ht="18" customHeight="1" s="17"/>
    <row r="3642" ht="18" customHeight="1" s="17"/>
    <row r="3643" ht="18" customHeight="1" s="17"/>
    <row r="3644" ht="18" customHeight="1" s="17"/>
    <row r="3645" ht="18" customHeight="1" s="17"/>
    <row r="3646" ht="18" customHeight="1" s="17"/>
    <row r="3647" ht="18" customHeight="1" s="17"/>
    <row r="3648" ht="18" customHeight="1" s="17"/>
    <row r="3649" ht="18" customHeight="1" s="17"/>
    <row r="3650" ht="18" customHeight="1" s="17"/>
    <row r="3651" ht="18" customHeight="1" s="17"/>
    <row r="3652" ht="18" customHeight="1" s="17"/>
    <row r="3653" ht="18" customHeight="1" s="17"/>
    <row r="3654" ht="18" customHeight="1" s="17"/>
    <row r="3655" ht="18" customHeight="1" s="17"/>
    <row r="3656" ht="18" customHeight="1" s="17"/>
    <row r="3657" ht="18" customHeight="1" s="17"/>
    <row r="3658" ht="18" customHeight="1" s="17"/>
    <row r="3659" ht="18" customHeight="1" s="17"/>
    <row r="3660" ht="18" customHeight="1" s="17"/>
    <row r="3661" ht="18" customHeight="1" s="17"/>
    <row r="3662" ht="18" customHeight="1" s="17"/>
    <row r="3663" ht="18" customHeight="1" s="17"/>
    <row r="3664" ht="18" customHeight="1" s="17"/>
    <row r="3665" ht="18" customHeight="1" s="17"/>
    <row r="3666" ht="18" customHeight="1" s="17"/>
    <row r="3667" ht="18" customHeight="1" s="17"/>
    <row r="3668" ht="18" customHeight="1" s="17"/>
    <row r="3669" ht="18" customHeight="1" s="17"/>
    <row r="3670" ht="18" customHeight="1" s="17"/>
    <row r="3671" ht="18" customHeight="1" s="17"/>
    <row r="3672" ht="18" customHeight="1" s="17"/>
    <row r="3673" ht="18" customHeight="1" s="17"/>
    <row r="3674" ht="18" customHeight="1" s="17"/>
    <row r="3675" ht="18" customHeight="1" s="17"/>
    <row r="3676" ht="18" customHeight="1" s="17"/>
    <row r="3677" ht="18" customHeight="1" s="17"/>
    <row r="3678" ht="18" customHeight="1" s="17"/>
    <row r="3679" ht="18" customHeight="1" s="17"/>
    <row r="3680" ht="18" customHeight="1" s="17"/>
    <row r="3681" ht="18" customHeight="1" s="17"/>
    <row r="3682" ht="18" customHeight="1" s="17"/>
    <row r="3683" ht="18" customHeight="1" s="17"/>
    <row r="3684" ht="18" customHeight="1" s="17"/>
    <row r="3685" ht="18" customHeight="1" s="17"/>
    <row r="3686" ht="18" customHeight="1" s="17"/>
    <row r="3687" ht="18" customHeight="1" s="17"/>
    <row r="3688" ht="18" customHeight="1" s="17"/>
    <row r="3689" ht="18" customHeight="1" s="17"/>
    <row r="3690" ht="18" customHeight="1" s="17"/>
    <row r="3691" ht="18" customHeight="1" s="17"/>
    <row r="3692" ht="18" customHeight="1" s="17"/>
    <row r="3693" ht="18" customHeight="1" s="17"/>
    <row r="3694" ht="18" customHeight="1" s="17"/>
    <row r="3695" ht="18" customHeight="1" s="17"/>
    <row r="3696" ht="18" customHeight="1" s="17"/>
    <row r="3697" ht="18" customHeight="1" s="17"/>
    <row r="3698" ht="18" customHeight="1" s="17"/>
    <row r="3699" ht="18" customHeight="1" s="17"/>
    <row r="3700" ht="18" customHeight="1" s="17"/>
    <row r="3701" ht="18" customHeight="1" s="17"/>
    <row r="3702" ht="18" customHeight="1" s="17"/>
    <row r="3703" ht="18" customHeight="1" s="17"/>
    <row r="3704" ht="18" customHeight="1" s="17"/>
    <row r="3705" ht="18" customHeight="1" s="17"/>
    <row r="3706" ht="18" customHeight="1" s="17"/>
    <row r="3707" ht="18" customHeight="1" s="17"/>
    <row r="3708" ht="18" customHeight="1" s="17"/>
    <row r="3709" ht="18" customHeight="1" s="17"/>
    <row r="3710" ht="18" customHeight="1" s="17"/>
    <row r="3711" ht="18" customHeight="1" s="17"/>
    <row r="3712" ht="18" customHeight="1" s="17"/>
    <row r="3713" ht="18" customHeight="1" s="17"/>
    <row r="3714" ht="18" customHeight="1" s="17"/>
    <row r="3715" ht="18" customHeight="1" s="17"/>
    <row r="3716" ht="18" customHeight="1" s="17"/>
    <row r="3717" ht="18" customHeight="1" s="17"/>
    <row r="3718" ht="18" customHeight="1" s="17"/>
    <row r="3719" ht="18" customHeight="1" s="17"/>
    <row r="3720" ht="18" customHeight="1" s="17"/>
    <row r="3721" ht="18" customHeight="1" s="17"/>
    <row r="3722" ht="18" customHeight="1" s="17"/>
    <row r="3723" ht="18" customHeight="1" s="17"/>
    <row r="3724" ht="18" customHeight="1" s="17"/>
    <row r="3725" ht="18" customHeight="1" s="17"/>
    <row r="3726" ht="18" customHeight="1" s="17"/>
    <row r="3727" ht="18" customHeight="1" s="17"/>
    <row r="3728" ht="18" customHeight="1" s="17"/>
    <row r="3729" ht="18" customHeight="1" s="17"/>
    <row r="3730" ht="18" customHeight="1" s="17"/>
    <row r="3731" ht="18" customHeight="1" s="17"/>
    <row r="3732" ht="18" customHeight="1" s="17"/>
    <row r="3733" ht="18" customHeight="1" s="17"/>
    <row r="3734" ht="18" customHeight="1" s="17"/>
    <row r="3735" ht="18" customHeight="1" s="17"/>
    <row r="3736" ht="18" customHeight="1" s="17"/>
    <row r="3737" ht="18" customHeight="1" s="17"/>
    <row r="3738" ht="18" customHeight="1" s="17"/>
    <row r="3739" ht="18" customHeight="1" s="17"/>
    <row r="3740" ht="18" customHeight="1" s="17"/>
    <row r="3741" ht="18" customHeight="1" s="17"/>
    <row r="3742" ht="18" customHeight="1" s="17"/>
    <row r="3743" ht="18" customHeight="1" s="17"/>
    <row r="3744" ht="18" customHeight="1" s="17"/>
    <row r="3745" ht="18" customHeight="1" s="17"/>
    <row r="3746" ht="18" customHeight="1" s="17"/>
    <row r="3747" ht="18" customHeight="1" s="17"/>
    <row r="3748" ht="18" customHeight="1" s="17"/>
    <row r="3749" ht="18" customHeight="1" s="17"/>
    <row r="3750" ht="18" customHeight="1" s="17"/>
    <row r="3751" ht="18" customHeight="1" s="17"/>
    <row r="3752" ht="18" customHeight="1" s="17"/>
    <row r="3753" ht="18" customHeight="1" s="17"/>
    <row r="3754" ht="18" customHeight="1" s="17"/>
    <row r="3755" ht="18" customHeight="1" s="17"/>
    <row r="3756" ht="18" customHeight="1" s="17"/>
    <row r="3757" ht="18" customHeight="1" s="17"/>
    <row r="3758" ht="18" customHeight="1" s="17"/>
    <row r="3759" ht="18" customHeight="1" s="17"/>
    <row r="3760" ht="18" customHeight="1" s="17"/>
    <row r="3761" ht="18" customHeight="1" s="17"/>
    <row r="3762" ht="18" customHeight="1" s="17"/>
    <row r="3763" ht="18" customHeight="1" s="17"/>
    <row r="3764" ht="18" customHeight="1" s="17"/>
    <row r="3765" ht="18" customHeight="1" s="17"/>
    <row r="3766" ht="18" customHeight="1" s="17"/>
    <row r="3767" ht="18" customHeight="1" s="17"/>
    <row r="3768" ht="18" customHeight="1" s="17"/>
    <row r="3769" ht="18" customHeight="1" s="17"/>
    <row r="3770" ht="18" customHeight="1" s="17"/>
    <row r="3771" ht="18" customHeight="1" s="17"/>
    <row r="3772" ht="18" customHeight="1" s="17"/>
    <row r="3773" ht="18" customHeight="1" s="17"/>
    <row r="3774" ht="18" customHeight="1" s="17"/>
    <row r="3775" ht="18" customHeight="1" s="17"/>
    <row r="3776" ht="18" customHeight="1" s="17"/>
    <row r="3777" ht="18" customHeight="1" s="17"/>
    <row r="3778" ht="18" customHeight="1" s="17"/>
    <row r="3779" ht="18" customHeight="1" s="17"/>
    <row r="3780" ht="18" customHeight="1" s="17"/>
    <row r="3781" ht="18" customHeight="1" s="17"/>
    <row r="3782" ht="18" customHeight="1" s="17"/>
    <row r="3783" ht="18" customHeight="1" s="17"/>
    <row r="3784" ht="18" customHeight="1" s="17"/>
    <row r="3785" ht="18" customHeight="1" s="17"/>
    <row r="3786" ht="18" customHeight="1" s="17"/>
    <row r="3787" ht="18" customHeight="1" s="17"/>
    <row r="3788" ht="18" customHeight="1" s="17"/>
    <row r="3789" ht="18" customHeight="1" s="17"/>
    <row r="3790" ht="18" customHeight="1" s="17"/>
    <row r="3791" ht="18" customHeight="1" s="17"/>
    <row r="3792" ht="18" customHeight="1" s="17"/>
    <row r="3793" ht="18" customHeight="1" s="17"/>
    <row r="3794" ht="18" customHeight="1" s="17"/>
    <row r="3795" ht="18" customHeight="1" s="17"/>
    <row r="3796" ht="18" customHeight="1" s="17"/>
    <row r="3797" ht="18" customHeight="1" s="17"/>
    <row r="3798" ht="18" customHeight="1" s="17"/>
    <row r="3799" ht="18" customHeight="1" s="17"/>
    <row r="3800" ht="18" customHeight="1" s="17"/>
    <row r="3801" ht="18" customHeight="1" s="17"/>
    <row r="3802" ht="18" customHeight="1" s="17"/>
    <row r="3803" ht="18" customHeight="1" s="17"/>
    <row r="3804" ht="18" customHeight="1" s="17"/>
    <row r="3805" ht="18" customHeight="1" s="17"/>
    <row r="3806" ht="18" customHeight="1" s="17"/>
    <row r="3807" ht="18" customHeight="1" s="17"/>
    <row r="3808" ht="18" customHeight="1" s="17"/>
    <row r="3809" ht="18" customHeight="1" s="17"/>
    <row r="3810" ht="18" customHeight="1" s="17"/>
    <row r="3811" ht="18" customHeight="1" s="17"/>
    <row r="3812" ht="18" customHeight="1" s="17"/>
    <row r="3813" ht="18" customHeight="1" s="17"/>
    <row r="3814" ht="18" customHeight="1" s="17"/>
    <row r="3815" ht="18" customHeight="1" s="17"/>
    <row r="3816" ht="18" customHeight="1" s="17"/>
    <row r="3817" ht="18" customHeight="1" s="17"/>
    <row r="3818" ht="18" customHeight="1" s="17"/>
    <row r="3819" ht="18" customHeight="1" s="17"/>
    <row r="3820" ht="18" customHeight="1" s="17"/>
    <row r="3821" ht="18" customHeight="1" s="17"/>
    <row r="3822" ht="18" customHeight="1" s="17"/>
    <row r="3823" ht="18" customHeight="1" s="17"/>
    <row r="3824" ht="18" customHeight="1" s="17"/>
    <row r="3825" ht="18" customHeight="1" s="17"/>
    <row r="3826" ht="18" customHeight="1" s="17"/>
    <row r="3827" ht="18" customHeight="1" s="17"/>
    <row r="3828" ht="18" customHeight="1" s="17"/>
    <row r="3829" ht="18" customHeight="1" s="17"/>
    <row r="3830" ht="18" customHeight="1" s="17"/>
    <row r="3831" ht="18" customHeight="1" s="17"/>
    <row r="3832" ht="18" customHeight="1" s="17"/>
    <row r="3833" ht="18" customHeight="1" s="17"/>
    <row r="3834" ht="18" customHeight="1" s="17"/>
    <row r="3835" ht="18" customHeight="1" s="17"/>
    <row r="3836" ht="18" customHeight="1" s="17"/>
    <row r="3837" ht="18" customHeight="1" s="17"/>
    <row r="3838" ht="18" customHeight="1" s="17"/>
    <row r="3839" ht="18" customHeight="1" s="17"/>
    <row r="3840" ht="18" customHeight="1" s="17"/>
    <row r="3841" ht="18" customHeight="1" s="17"/>
    <row r="3842" ht="18" customHeight="1" s="17"/>
    <row r="3843" ht="18" customHeight="1" s="17"/>
    <row r="3844" ht="18" customHeight="1" s="17"/>
    <row r="3845" ht="18" customHeight="1" s="17"/>
    <row r="3846" ht="18" customHeight="1" s="17"/>
    <row r="3847" ht="18" customHeight="1" s="17"/>
    <row r="3848" ht="18" customHeight="1" s="17"/>
    <row r="3849" ht="18" customHeight="1" s="17"/>
    <row r="3850" ht="18" customHeight="1" s="17"/>
    <row r="3851" ht="18" customHeight="1" s="17"/>
    <row r="3852" ht="18" customHeight="1" s="17"/>
    <row r="3853" ht="18" customHeight="1" s="17"/>
    <row r="3854" ht="18" customHeight="1" s="17"/>
    <row r="3855" ht="18" customHeight="1" s="17"/>
    <row r="3856" ht="18" customHeight="1" s="17"/>
    <row r="3857" ht="18" customHeight="1" s="17"/>
    <row r="3858" ht="18" customHeight="1" s="17"/>
    <row r="3859" ht="18" customHeight="1" s="17"/>
    <row r="3860" ht="18" customHeight="1" s="17"/>
    <row r="3861" ht="18" customHeight="1" s="17"/>
    <row r="3862" ht="18" customHeight="1" s="17"/>
    <row r="3863" ht="18" customHeight="1" s="17"/>
    <row r="3864" ht="18" customHeight="1" s="17"/>
    <row r="3865" ht="18" customHeight="1" s="17"/>
    <row r="3866" ht="18" customHeight="1" s="17"/>
    <row r="3867" ht="18" customHeight="1" s="17"/>
    <row r="3868" ht="18" customHeight="1" s="17"/>
    <row r="3869" ht="18" customHeight="1" s="17"/>
    <row r="3870" ht="18" customHeight="1" s="17"/>
    <row r="3871" ht="18" customHeight="1" s="17"/>
    <row r="3872" ht="18" customHeight="1" s="17"/>
    <row r="3873" ht="18" customHeight="1" s="17"/>
    <row r="3874" ht="18" customHeight="1" s="17"/>
    <row r="3875" ht="18" customHeight="1" s="17"/>
    <row r="3876" ht="18" customHeight="1" s="17"/>
    <row r="3877" ht="18" customHeight="1" s="17"/>
    <row r="3878" ht="18" customHeight="1" s="17"/>
    <row r="3879" ht="18" customHeight="1" s="17"/>
    <row r="3880" ht="18" customHeight="1" s="17"/>
    <row r="3881" ht="18" customHeight="1" s="17"/>
    <row r="3882" ht="18" customHeight="1" s="17"/>
    <row r="3883" ht="18" customHeight="1" s="17"/>
    <row r="3884" ht="18" customHeight="1" s="17"/>
    <row r="3885" ht="18" customHeight="1" s="17"/>
    <row r="3886" ht="18" customHeight="1" s="17"/>
    <row r="3887" ht="18" customHeight="1" s="17"/>
    <row r="3888" ht="18" customHeight="1" s="17"/>
    <row r="3889" ht="18" customHeight="1" s="17"/>
    <row r="3890" ht="18" customHeight="1" s="17"/>
    <row r="3891" ht="18" customHeight="1" s="17"/>
    <row r="3892" ht="18" customHeight="1" s="17"/>
    <row r="3893" ht="18" customHeight="1" s="17"/>
    <row r="3894" ht="18" customHeight="1" s="17"/>
    <row r="3895" ht="18" customHeight="1" s="17"/>
    <row r="3896" ht="18" customHeight="1" s="17"/>
    <row r="3897" ht="18" customHeight="1" s="17"/>
    <row r="3898" ht="18" customHeight="1" s="17"/>
    <row r="3899" ht="18" customHeight="1" s="17"/>
    <row r="3900" ht="18" customHeight="1" s="17"/>
    <row r="3901" ht="18" customHeight="1" s="17"/>
    <row r="3902" ht="18" customHeight="1" s="17"/>
    <row r="3903" ht="18" customHeight="1" s="17"/>
    <row r="3904" ht="18" customHeight="1" s="17"/>
    <row r="3905" ht="18" customHeight="1" s="17"/>
    <row r="3906" ht="18" customHeight="1" s="17"/>
    <row r="3907" ht="18" customHeight="1" s="17"/>
    <row r="3908" ht="18" customHeight="1" s="17"/>
    <row r="3909" ht="18" customHeight="1" s="17"/>
    <row r="3910" ht="18" customHeight="1" s="17"/>
    <row r="3911" ht="18" customHeight="1" s="17"/>
    <row r="3912" ht="18" customHeight="1" s="17"/>
    <row r="3913" ht="18" customHeight="1" s="17"/>
    <row r="3914" ht="18" customHeight="1" s="17"/>
    <row r="3915" ht="18" customHeight="1" s="17"/>
    <row r="3916" ht="18" customHeight="1" s="17"/>
    <row r="3917" ht="18" customHeight="1" s="17"/>
    <row r="3918" ht="18" customHeight="1" s="17"/>
    <row r="3919" ht="18" customHeight="1" s="17"/>
    <row r="3920" ht="18" customHeight="1" s="17"/>
    <row r="3921" ht="18" customHeight="1" s="17"/>
    <row r="3922" ht="18" customHeight="1" s="17"/>
    <row r="3923" ht="18" customHeight="1" s="17"/>
    <row r="3924" ht="18" customHeight="1" s="17"/>
    <row r="3925" ht="18" customHeight="1" s="17"/>
    <row r="3926" ht="18" customHeight="1" s="17"/>
    <row r="3927" ht="18" customHeight="1" s="17"/>
    <row r="3928" ht="18" customHeight="1" s="17"/>
    <row r="3929" ht="18" customHeight="1" s="17"/>
    <row r="3930" ht="18" customHeight="1" s="17"/>
    <row r="3931" ht="18" customHeight="1" s="17"/>
    <row r="3932" ht="18" customHeight="1" s="17"/>
    <row r="3933" ht="18" customHeight="1" s="17"/>
    <row r="3934" ht="18" customHeight="1" s="17"/>
    <row r="3935" ht="18" customHeight="1" s="17"/>
    <row r="3936" ht="18" customHeight="1" s="17"/>
    <row r="3937" ht="18" customHeight="1" s="17"/>
    <row r="3938" ht="18" customHeight="1" s="17"/>
    <row r="3939" ht="18" customHeight="1" s="17"/>
    <row r="3940" ht="18" customHeight="1" s="17"/>
    <row r="3941" ht="18" customHeight="1" s="17"/>
    <row r="3942" ht="18" customHeight="1" s="17"/>
    <row r="3943" ht="18" customHeight="1" s="17"/>
    <row r="3944" ht="18" customHeight="1" s="17"/>
    <row r="3945" ht="18" customHeight="1" s="17"/>
    <row r="3946" ht="18" customHeight="1" s="17"/>
    <row r="3947" ht="18" customHeight="1" s="17"/>
    <row r="3948" ht="18" customHeight="1" s="17"/>
    <row r="3949" ht="18" customHeight="1" s="17"/>
    <row r="3950" ht="18" customHeight="1" s="17"/>
    <row r="3951" ht="18" customHeight="1" s="17"/>
    <row r="3952" ht="18" customHeight="1" s="17"/>
    <row r="3953" ht="18" customHeight="1" s="17"/>
    <row r="3954" ht="18" customHeight="1" s="17"/>
    <row r="3955" ht="18" customHeight="1" s="17"/>
    <row r="3956" ht="18" customHeight="1" s="17"/>
    <row r="3957" ht="18" customHeight="1" s="17"/>
    <row r="3958" ht="18" customHeight="1" s="17"/>
    <row r="3959" ht="18" customHeight="1" s="17"/>
    <row r="3960" ht="18" customHeight="1" s="17"/>
    <row r="3961" ht="18" customHeight="1" s="17"/>
    <row r="3962" ht="18" customHeight="1" s="17"/>
    <row r="3963" ht="18" customHeight="1" s="17"/>
    <row r="3964" ht="18" customHeight="1" s="17"/>
    <row r="3965" ht="18" customHeight="1" s="17"/>
    <row r="3966" ht="18" customHeight="1" s="17"/>
    <row r="3967" ht="18" customHeight="1" s="17"/>
    <row r="3968" ht="18" customHeight="1" s="17"/>
    <row r="3969" ht="18" customHeight="1" s="17"/>
    <row r="3970" ht="18" customHeight="1" s="17"/>
    <row r="3971" ht="18" customHeight="1" s="17"/>
    <row r="3972" ht="18" customHeight="1" s="17"/>
    <row r="3973" ht="18" customHeight="1" s="17"/>
    <row r="3974" ht="18" customHeight="1" s="17"/>
    <row r="3975" ht="18" customHeight="1" s="17"/>
    <row r="3976" ht="18" customHeight="1" s="17"/>
    <row r="3977" ht="18" customHeight="1" s="17"/>
    <row r="3978" ht="18" customHeight="1" s="17"/>
    <row r="3979" ht="18" customHeight="1" s="17"/>
    <row r="3980" ht="18" customHeight="1" s="17"/>
    <row r="3981" ht="18" customHeight="1" s="17"/>
    <row r="3982" ht="18" customHeight="1" s="17"/>
    <row r="3983" ht="18" customHeight="1" s="17"/>
    <row r="3984" ht="18" customHeight="1" s="17"/>
    <row r="3985" ht="18" customHeight="1" s="17"/>
    <row r="3986" ht="18" customHeight="1" s="17"/>
    <row r="3987" ht="18" customHeight="1" s="17"/>
    <row r="3988" ht="18" customHeight="1" s="17"/>
    <row r="3989" ht="18" customHeight="1" s="17"/>
    <row r="3990" ht="18" customHeight="1" s="17"/>
    <row r="3991" ht="18" customHeight="1" s="17"/>
    <row r="3992" ht="18" customHeight="1" s="17"/>
    <row r="3993" ht="18" customHeight="1" s="17"/>
    <row r="3994" ht="18" customHeight="1" s="17"/>
    <row r="3995" ht="18" customHeight="1" s="17"/>
    <row r="3996" ht="18" customHeight="1" s="17"/>
    <row r="3997" ht="18" customHeight="1" s="17"/>
    <row r="3998" ht="18" customHeight="1" s="17"/>
    <row r="3999" ht="18" customHeight="1" s="17"/>
    <row r="4000" ht="18" customHeight="1" s="17"/>
    <row r="4001" ht="18" customHeight="1" s="17"/>
    <row r="4002" ht="18" customHeight="1" s="17"/>
    <row r="4003" ht="18" customHeight="1" s="17"/>
    <row r="4004" ht="18" customHeight="1" s="17"/>
    <row r="4005" ht="18" customHeight="1" s="17"/>
    <row r="4006" ht="18" customHeight="1" s="17"/>
    <row r="4007" ht="18" customHeight="1" s="17"/>
    <row r="4008" ht="18" customHeight="1" s="17"/>
    <row r="4009" ht="18" customHeight="1" s="17"/>
    <row r="4010" ht="18" customHeight="1" s="17"/>
    <row r="4011" ht="18" customHeight="1" s="17"/>
    <row r="4012" ht="18" customHeight="1" s="17"/>
    <row r="4013" ht="18" customHeight="1" s="17"/>
    <row r="4014" ht="18" customHeight="1" s="17"/>
    <row r="4015" ht="18" customHeight="1" s="17"/>
    <row r="4016" ht="18" customHeight="1" s="17"/>
    <row r="4017" ht="18" customHeight="1" s="17"/>
    <row r="4018" ht="18" customHeight="1" s="17"/>
    <row r="4019" ht="18" customHeight="1" s="17"/>
    <row r="4020" ht="18" customHeight="1" s="17"/>
    <row r="4021" ht="18" customHeight="1" s="17"/>
    <row r="4022" ht="18" customHeight="1" s="17"/>
    <row r="4023" ht="18" customHeight="1" s="17"/>
    <row r="4024" ht="18" customHeight="1" s="17"/>
    <row r="4025" ht="18" customHeight="1" s="17"/>
    <row r="4026" ht="18" customHeight="1" s="17"/>
    <row r="4027" ht="18" customHeight="1" s="17"/>
    <row r="4028" ht="18" customHeight="1" s="17"/>
    <row r="4029" ht="18" customHeight="1" s="17"/>
    <row r="4030" ht="18" customHeight="1" s="17"/>
    <row r="4031" ht="18" customHeight="1" s="17"/>
    <row r="4032" ht="18" customHeight="1" s="17"/>
    <row r="4033" ht="18" customHeight="1" s="17"/>
    <row r="4034" ht="18" customHeight="1" s="17"/>
    <row r="4035" ht="18" customHeight="1" s="17"/>
    <row r="4036" ht="18" customHeight="1" s="17"/>
    <row r="4037" ht="18" customHeight="1" s="17"/>
    <row r="4038" ht="18" customHeight="1" s="17"/>
    <row r="4039" ht="18" customHeight="1" s="17"/>
    <row r="4040" ht="18" customHeight="1" s="17"/>
    <row r="4041" ht="18" customHeight="1" s="17"/>
    <row r="4042" ht="18" customHeight="1" s="17"/>
    <row r="4043" ht="18" customHeight="1" s="17"/>
    <row r="4044" ht="18" customHeight="1" s="17"/>
    <row r="4045" ht="18" customHeight="1" s="17"/>
    <row r="4046" ht="18" customHeight="1" s="17"/>
    <row r="4047" ht="18" customHeight="1" s="17"/>
    <row r="4048" ht="18" customHeight="1" s="17"/>
    <row r="4049" ht="18" customHeight="1" s="17"/>
    <row r="4050" ht="18" customHeight="1" s="17"/>
    <row r="4051" ht="18" customHeight="1" s="17"/>
    <row r="4052" ht="18" customHeight="1" s="17"/>
    <row r="4053" ht="18" customHeight="1" s="17"/>
    <row r="4054" ht="18" customHeight="1" s="17"/>
    <row r="4055" ht="18" customHeight="1" s="17"/>
    <row r="4056" ht="18" customHeight="1" s="17"/>
    <row r="4057" ht="18" customHeight="1" s="17"/>
    <row r="4058" ht="18" customHeight="1" s="17"/>
    <row r="4059" ht="18" customHeight="1" s="17"/>
    <row r="4060" ht="18" customHeight="1" s="17"/>
    <row r="4061" ht="18" customHeight="1" s="17"/>
    <row r="4062" ht="18" customHeight="1" s="17"/>
    <row r="4063" ht="18" customHeight="1" s="17"/>
    <row r="4064" ht="18" customHeight="1" s="17"/>
    <row r="4065" ht="18" customHeight="1" s="17"/>
    <row r="4066" ht="18" customHeight="1" s="17"/>
    <row r="4067" ht="18" customHeight="1" s="17"/>
    <row r="4068" ht="18" customHeight="1" s="17"/>
    <row r="4069" ht="18" customHeight="1" s="17"/>
    <row r="4070" ht="18" customHeight="1" s="17"/>
    <row r="4071" ht="18" customHeight="1" s="17"/>
    <row r="4072" ht="18" customHeight="1" s="17"/>
    <row r="4073" ht="18" customHeight="1" s="17"/>
    <row r="4074" ht="18" customHeight="1" s="17"/>
    <row r="4075" ht="18" customHeight="1" s="17"/>
    <row r="4076" ht="18" customHeight="1" s="17"/>
    <row r="4077" ht="18" customHeight="1" s="17"/>
    <row r="4078" ht="18" customHeight="1" s="17"/>
    <row r="4079" ht="18" customHeight="1" s="17"/>
    <row r="4080" ht="18" customHeight="1" s="17"/>
    <row r="4081" ht="18" customHeight="1" s="17"/>
    <row r="4082" ht="18" customHeight="1" s="17"/>
    <row r="4083" ht="18" customHeight="1" s="17"/>
    <row r="4084" ht="18" customHeight="1" s="17"/>
    <row r="4085" ht="18" customHeight="1" s="17"/>
    <row r="4086" ht="18" customHeight="1" s="17"/>
    <row r="4087" ht="18" customHeight="1" s="17"/>
    <row r="4088" ht="18" customHeight="1" s="17"/>
    <row r="4089" ht="18" customHeight="1" s="17"/>
    <row r="4090" ht="18" customHeight="1" s="17"/>
    <row r="4091" ht="18" customHeight="1" s="17"/>
    <row r="4092" ht="18" customHeight="1" s="17"/>
    <row r="4093" ht="18" customHeight="1" s="17"/>
    <row r="4094" ht="18" customHeight="1" s="17"/>
    <row r="4095" ht="18" customHeight="1" s="17"/>
    <row r="4096" ht="18" customHeight="1" s="17"/>
    <row r="4097" ht="18" customHeight="1" s="17"/>
    <row r="4098" ht="18" customHeight="1" s="17"/>
    <row r="4099" ht="18" customHeight="1" s="17"/>
    <row r="4100" ht="18" customHeight="1" s="17"/>
    <row r="4101" ht="18" customHeight="1" s="17"/>
    <row r="4102" ht="18" customHeight="1" s="17"/>
    <row r="4103" ht="18" customHeight="1" s="17"/>
    <row r="4104" ht="18" customHeight="1" s="17"/>
    <row r="4105" ht="18" customHeight="1" s="17"/>
    <row r="4106" ht="18" customHeight="1" s="17"/>
    <row r="4107" ht="18" customHeight="1" s="17"/>
    <row r="4108" ht="18" customHeight="1" s="17"/>
    <row r="4109" ht="18" customHeight="1" s="17"/>
    <row r="4110" ht="18" customHeight="1" s="17"/>
    <row r="4111" ht="18" customHeight="1" s="17"/>
    <row r="4112" ht="18" customHeight="1" s="17"/>
    <row r="4113" ht="18" customHeight="1" s="17"/>
    <row r="4114" ht="18" customHeight="1" s="17"/>
    <row r="4115" ht="18" customHeight="1" s="17"/>
    <row r="4116" ht="18" customHeight="1" s="17"/>
    <row r="4117" ht="18" customHeight="1" s="17"/>
    <row r="4118" ht="18" customHeight="1" s="17"/>
    <row r="4119" ht="18" customHeight="1" s="17"/>
    <row r="4120" ht="18" customHeight="1" s="17"/>
    <row r="4121" ht="18" customHeight="1" s="17"/>
    <row r="4122" ht="18" customHeight="1" s="17"/>
    <row r="4123" ht="18" customHeight="1" s="17"/>
    <row r="4124" ht="18" customHeight="1" s="17"/>
    <row r="4125" ht="18" customHeight="1" s="17"/>
    <row r="4126" ht="18" customHeight="1" s="17"/>
    <row r="4127" ht="18" customHeight="1" s="17"/>
    <row r="4128" ht="18" customHeight="1" s="17"/>
    <row r="4129" ht="18" customHeight="1" s="17"/>
    <row r="4130" ht="18" customHeight="1" s="17"/>
    <row r="4131" ht="18" customHeight="1" s="17"/>
    <row r="4132" ht="18" customHeight="1" s="17"/>
    <row r="4133" ht="18" customHeight="1" s="17"/>
    <row r="4134" ht="18" customHeight="1" s="17"/>
    <row r="4135" ht="18" customHeight="1" s="17"/>
    <row r="4136" ht="18" customHeight="1" s="17"/>
    <row r="4137" ht="18" customHeight="1" s="17"/>
    <row r="4138" ht="18" customHeight="1" s="17"/>
    <row r="4139" ht="18" customHeight="1" s="17"/>
    <row r="4140" ht="18" customHeight="1" s="17"/>
    <row r="4141" ht="18" customHeight="1" s="17"/>
    <row r="4142" ht="18" customHeight="1" s="17"/>
    <row r="4143" ht="18" customHeight="1" s="17"/>
    <row r="4144" ht="18" customHeight="1" s="17"/>
    <row r="4145" ht="18" customHeight="1" s="17"/>
    <row r="4146" ht="18" customHeight="1" s="17"/>
    <row r="4147" ht="18" customHeight="1" s="17"/>
    <row r="4148" ht="18" customHeight="1" s="17"/>
    <row r="4149" ht="18" customHeight="1" s="17"/>
    <row r="4150" ht="18" customHeight="1" s="17"/>
    <row r="4151" ht="18" customHeight="1" s="17"/>
    <row r="4152" ht="18" customHeight="1" s="17"/>
    <row r="4153" ht="18" customHeight="1" s="17"/>
    <row r="4154" ht="18" customHeight="1" s="17"/>
    <row r="4155" ht="18" customHeight="1" s="17"/>
    <row r="4156" ht="18" customHeight="1" s="17"/>
    <row r="4157" ht="18" customHeight="1" s="17"/>
    <row r="4158" ht="18" customHeight="1" s="17"/>
    <row r="4159" ht="18" customHeight="1" s="17"/>
    <row r="4160" ht="18" customHeight="1" s="17"/>
    <row r="4161" ht="18" customHeight="1" s="17"/>
    <row r="4162" ht="18" customHeight="1" s="17"/>
    <row r="4163" ht="18" customHeight="1" s="17"/>
    <row r="4164" ht="18" customHeight="1" s="17"/>
    <row r="4165" ht="18" customHeight="1" s="17"/>
    <row r="4166" ht="18" customHeight="1" s="17"/>
    <row r="4167" ht="18" customHeight="1" s="17"/>
    <row r="4168" ht="18" customHeight="1" s="17"/>
    <row r="4169" ht="18" customHeight="1" s="17"/>
    <row r="4170" ht="18" customHeight="1" s="17"/>
    <row r="4171" ht="18" customHeight="1" s="17"/>
    <row r="4172" ht="18" customHeight="1" s="17"/>
    <row r="4173" ht="18" customHeight="1" s="17"/>
    <row r="4174" ht="18" customHeight="1" s="17"/>
    <row r="4175" ht="18" customHeight="1" s="17"/>
    <row r="4176" ht="18" customHeight="1" s="17"/>
    <row r="4177" ht="18" customHeight="1" s="17"/>
    <row r="4178" ht="18" customHeight="1" s="17"/>
    <row r="4179" ht="18" customHeight="1" s="17"/>
    <row r="4180" ht="18" customHeight="1" s="17"/>
    <row r="4181" ht="18" customHeight="1" s="17"/>
    <row r="4182" ht="18" customHeight="1" s="17"/>
    <row r="4183" ht="18" customHeight="1" s="17"/>
    <row r="4184" ht="18" customHeight="1" s="17"/>
    <row r="4185" ht="18" customHeight="1" s="17"/>
    <row r="4186" ht="18" customHeight="1" s="17"/>
    <row r="4187" ht="18" customHeight="1" s="17"/>
    <row r="4188" ht="18" customHeight="1" s="17"/>
    <row r="4189" ht="18" customHeight="1" s="17"/>
    <row r="4190" ht="18" customHeight="1" s="17"/>
    <row r="4191" ht="18" customHeight="1" s="17"/>
    <row r="4192" ht="18" customHeight="1" s="17"/>
    <row r="4193" ht="18" customHeight="1" s="17"/>
    <row r="4194" ht="18" customHeight="1" s="17"/>
    <row r="4195" ht="18" customHeight="1" s="17"/>
    <row r="4196" ht="18" customHeight="1" s="17"/>
    <row r="4197" ht="18" customHeight="1" s="17"/>
    <row r="4198" ht="18" customHeight="1" s="17"/>
    <row r="4199" ht="18" customHeight="1" s="17"/>
    <row r="4200" ht="18" customHeight="1" s="17"/>
    <row r="4201" ht="18" customHeight="1" s="17"/>
    <row r="4202" ht="18" customHeight="1" s="17"/>
    <row r="4203" ht="18" customHeight="1" s="17"/>
    <row r="4204" ht="18" customHeight="1" s="17"/>
    <row r="4205" ht="18" customHeight="1" s="17"/>
    <row r="4206" ht="18" customHeight="1" s="17"/>
    <row r="4207" ht="18" customHeight="1" s="17"/>
    <row r="4208" ht="18" customHeight="1" s="17"/>
    <row r="4209" ht="18" customHeight="1" s="17"/>
    <row r="4210" ht="18" customHeight="1" s="17"/>
    <row r="4211" ht="18" customHeight="1" s="17"/>
    <row r="4212" ht="18" customHeight="1" s="17"/>
    <row r="4213" ht="18" customHeight="1" s="17"/>
    <row r="4214" ht="18" customHeight="1" s="17"/>
    <row r="4215" ht="18" customHeight="1" s="17"/>
    <row r="4216" ht="18" customHeight="1" s="17"/>
    <row r="4217" ht="18" customHeight="1" s="17"/>
    <row r="4218" ht="18" customHeight="1" s="17"/>
    <row r="4219" ht="18" customHeight="1" s="17"/>
    <row r="4220" ht="18" customHeight="1" s="17"/>
    <row r="4221" ht="18" customHeight="1" s="17"/>
    <row r="4222" ht="18" customHeight="1" s="17"/>
    <row r="4223" ht="18" customHeight="1" s="17"/>
    <row r="4224" ht="18" customHeight="1" s="17"/>
    <row r="4225" ht="18" customHeight="1" s="17"/>
    <row r="4226" ht="18" customHeight="1" s="17"/>
    <row r="4227" ht="18" customHeight="1" s="17"/>
    <row r="4228" ht="18" customHeight="1" s="17"/>
    <row r="4229" ht="18" customHeight="1" s="17"/>
    <row r="4230" ht="18" customHeight="1" s="17"/>
    <row r="4231" ht="18" customHeight="1" s="17"/>
    <row r="4232" ht="18" customHeight="1" s="17"/>
    <row r="4233" ht="18" customHeight="1" s="17"/>
    <row r="4234" ht="18" customHeight="1" s="17"/>
    <row r="4235" ht="18" customHeight="1" s="17"/>
    <row r="4236" ht="18" customHeight="1" s="17"/>
    <row r="4237" ht="18" customHeight="1" s="17"/>
    <row r="4238" ht="18" customHeight="1" s="17"/>
    <row r="4239" ht="18" customHeight="1" s="17"/>
    <row r="4240" ht="18" customHeight="1" s="17"/>
    <row r="4241" ht="18" customHeight="1" s="17"/>
    <row r="4242" ht="18" customHeight="1" s="17"/>
    <row r="4243" ht="18" customHeight="1" s="17"/>
    <row r="4244" ht="18" customHeight="1" s="17"/>
    <row r="4245" ht="18" customHeight="1" s="17"/>
    <row r="4246" ht="18" customHeight="1" s="17"/>
    <row r="4247" ht="18" customHeight="1" s="17"/>
    <row r="4248" ht="18" customHeight="1" s="17"/>
    <row r="4249" ht="18" customHeight="1" s="17"/>
    <row r="4250" ht="18" customHeight="1" s="17"/>
    <row r="4251" ht="18" customHeight="1" s="17"/>
    <row r="4252" ht="18" customHeight="1" s="17"/>
    <row r="4253" ht="18" customHeight="1" s="17"/>
    <row r="4254" ht="18" customHeight="1" s="17"/>
    <row r="4255" ht="18" customHeight="1" s="17"/>
    <row r="4256" ht="18" customHeight="1" s="17"/>
    <row r="4257" ht="18" customHeight="1" s="17"/>
    <row r="4258" ht="18" customHeight="1" s="17"/>
    <row r="4259" ht="18" customHeight="1" s="17"/>
    <row r="4260" ht="18" customHeight="1" s="17"/>
    <row r="4261" ht="18" customHeight="1" s="17"/>
    <row r="4262" ht="18" customHeight="1" s="17"/>
    <row r="4263" ht="18" customHeight="1" s="17"/>
    <row r="4264" ht="18" customHeight="1" s="17"/>
    <row r="4265" ht="18" customHeight="1" s="17"/>
    <row r="4266" ht="18" customHeight="1" s="17"/>
    <row r="4267" ht="18" customHeight="1" s="17"/>
    <row r="4268" ht="18" customHeight="1" s="17"/>
    <row r="4269" ht="18" customHeight="1" s="17"/>
    <row r="4270" ht="18" customHeight="1" s="17"/>
    <row r="4271" ht="18" customHeight="1" s="17"/>
    <row r="4272" ht="18" customHeight="1" s="17"/>
    <row r="4273" ht="18" customHeight="1" s="17"/>
    <row r="4274" ht="18" customHeight="1" s="17"/>
    <row r="4275" ht="18" customHeight="1" s="17"/>
    <row r="4276" ht="18" customHeight="1" s="17"/>
    <row r="4277" ht="18" customHeight="1" s="17"/>
    <row r="4278" ht="18" customHeight="1" s="17"/>
    <row r="4279" ht="18" customHeight="1" s="17"/>
    <row r="4280" ht="18" customHeight="1" s="17"/>
    <row r="4281" ht="18" customHeight="1" s="17"/>
    <row r="4282" ht="18" customHeight="1" s="17"/>
    <row r="4283" ht="18" customHeight="1" s="17"/>
    <row r="4284" ht="18" customHeight="1" s="17"/>
    <row r="4285" ht="18" customHeight="1" s="17"/>
    <row r="4286" ht="18" customHeight="1" s="17"/>
    <row r="4287" ht="18" customHeight="1" s="17"/>
    <row r="4288" ht="18" customHeight="1" s="17"/>
    <row r="4289" ht="18" customHeight="1" s="17"/>
    <row r="4290" ht="18" customHeight="1" s="17"/>
    <row r="4291" ht="18" customHeight="1" s="17"/>
    <row r="4292" ht="18" customHeight="1" s="17"/>
    <row r="4293" ht="18" customHeight="1" s="17"/>
    <row r="4294" ht="18" customHeight="1" s="17"/>
    <row r="4295" ht="18" customHeight="1" s="17"/>
    <row r="4296" ht="18" customHeight="1" s="17"/>
    <row r="4297" ht="18" customHeight="1" s="17"/>
    <row r="4298" ht="18" customHeight="1" s="17"/>
    <row r="4299" ht="18" customHeight="1" s="17"/>
    <row r="4300" ht="18" customHeight="1" s="17"/>
    <row r="4301" ht="18" customHeight="1" s="17"/>
    <row r="4302" ht="18" customHeight="1" s="17"/>
    <row r="4303" ht="18" customHeight="1" s="17"/>
    <row r="4304" ht="18" customHeight="1" s="17"/>
    <row r="4305" ht="18" customHeight="1" s="17"/>
    <row r="4306" ht="18" customHeight="1" s="17"/>
    <row r="4307" ht="18" customHeight="1" s="17"/>
    <row r="4308" ht="18" customHeight="1" s="17"/>
    <row r="4309" ht="18" customHeight="1" s="17"/>
    <row r="4310" ht="18" customHeight="1" s="17"/>
    <row r="4311" ht="18" customHeight="1" s="17"/>
    <row r="4312" ht="18" customHeight="1" s="17"/>
    <row r="4313" ht="18" customHeight="1" s="17"/>
    <row r="4314" ht="18" customHeight="1" s="17"/>
    <row r="4315" ht="18" customHeight="1" s="17"/>
    <row r="4316" ht="18" customHeight="1" s="17"/>
    <row r="4317" ht="18" customHeight="1" s="17"/>
    <row r="4318" ht="18" customHeight="1" s="17"/>
    <row r="4319" ht="18" customHeight="1" s="17"/>
    <row r="4320" ht="18" customHeight="1" s="17"/>
    <row r="4321" ht="18" customHeight="1" s="17"/>
    <row r="4322" ht="18" customHeight="1" s="17"/>
    <row r="4323" ht="18" customHeight="1" s="17"/>
    <row r="4324" ht="18" customHeight="1" s="17"/>
    <row r="4325" ht="18" customHeight="1" s="17"/>
    <row r="4326" ht="18" customHeight="1" s="17"/>
    <row r="4327" ht="18" customHeight="1" s="17"/>
    <row r="4328" ht="18" customHeight="1" s="17"/>
    <row r="4329" ht="18" customHeight="1" s="17"/>
    <row r="4330" ht="18" customHeight="1" s="17"/>
    <row r="4331" ht="18" customHeight="1" s="17"/>
    <row r="4332" ht="18" customHeight="1" s="17"/>
    <row r="4333" ht="18" customHeight="1" s="17"/>
    <row r="4334" ht="18" customHeight="1" s="17"/>
    <row r="4335" ht="18" customHeight="1" s="17"/>
    <row r="4336" ht="18" customHeight="1" s="17"/>
    <row r="4337" ht="18" customHeight="1" s="17"/>
    <row r="4338" ht="18" customHeight="1" s="17"/>
    <row r="4339" ht="18" customHeight="1" s="17"/>
    <row r="4340" ht="18" customHeight="1" s="17"/>
    <row r="4341" ht="18" customHeight="1" s="17"/>
    <row r="4342" ht="18" customHeight="1" s="17"/>
    <row r="4343" ht="18" customHeight="1" s="17"/>
    <row r="4344" ht="18" customHeight="1" s="17"/>
    <row r="4345" ht="18" customHeight="1" s="17"/>
    <row r="4346" ht="18" customHeight="1" s="17"/>
    <row r="4347" ht="18" customHeight="1" s="17"/>
    <row r="4348" ht="18" customHeight="1" s="17"/>
    <row r="4349" ht="18" customHeight="1" s="17"/>
    <row r="4350" ht="18" customHeight="1" s="17"/>
    <row r="4351" ht="18" customHeight="1" s="17"/>
    <row r="4352" ht="18" customHeight="1" s="17"/>
    <row r="4353" ht="18" customHeight="1" s="17"/>
    <row r="4354" ht="18" customHeight="1" s="17"/>
    <row r="4355" ht="18" customHeight="1" s="17"/>
    <row r="4356" ht="18" customHeight="1" s="17"/>
    <row r="4357" ht="18" customHeight="1" s="17"/>
    <row r="4358" ht="18" customHeight="1" s="17"/>
    <row r="4359" ht="18" customHeight="1" s="17"/>
    <row r="4360" ht="18" customHeight="1" s="17"/>
    <row r="4361" ht="18" customHeight="1" s="17"/>
    <row r="4362" ht="18" customHeight="1" s="17"/>
    <row r="4363" ht="18" customHeight="1" s="17"/>
    <row r="4364" ht="18" customHeight="1" s="17"/>
    <row r="4365" ht="18" customHeight="1" s="17"/>
    <row r="4366" ht="18" customHeight="1" s="17"/>
    <row r="4367" ht="18" customHeight="1" s="17"/>
    <row r="4368" ht="18" customHeight="1" s="17"/>
    <row r="4369" ht="18" customHeight="1" s="17"/>
    <row r="4370" ht="18" customHeight="1" s="17"/>
    <row r="4371" ht="18" customHeight="1" s="17"/>
    <row r="4372" ht="18" customHeight="1" s="17"/>
    <row r="4373" ht="18" customHeight="1" s="17"/>
    <row r="4374" ht="18" customHeight="1" s="17"/>
    <row r="4375" ht="18" customHeight="1" s="17"/>
    <row r="4376" ht="18" customHeight="1" s="17"/>
    <row r="4377" ht="18" customHeight="1" s="17"/>
    <row r="4378" ht="18" customHeight="1" s="17"/>
    <row r="4379" ht="18" customHeight="1" s="17"/>
    <row r="4380" ht="18" customHeight="1" s="17"/>
    <row r="4381" ht="18" customHeight="1" s="17"/>
    <row r="4382" ht="18" customHeight="1" s="17"/>
    <row r="4383" ht="18" customHeight="1" s="17"/>
    <row r="4384" ht="18" customHeight="1" s="17"/>
    <row r="4385" ht="18" customHeight="1" s="17"/>
    <row r="4386" ht="18" customHeight="1" s="17"/>
    <row r="4387" ht="18" customHeight="1" s="17"/>
    <row r="4388" ht="18" customHeight="1" s="17"/>
    <row r="4389" ht="18" customHeight="1" s="17"/>
    <row r="4390" ht="18" customHeight="1" s="17"/>
    <row r="4391" ht="18" customHeight="1" s="17"/>
    <row r="4392" ht="18" customHeight="1" s="17"/>
    <row r="4393" ht="18" customHeight="1" s="17"/>
    <row r="4394" ht="18" customHeight="1" s="17"/>
    <row r="4395" ht="18" customHeight="1" s="17"/>
    <row r="4396" ht="18" customHeight="1" s="17"/>
    <row r="4397" ht="18" customHeight="1" s="17"/>
    <row r="4398" ht="18" customHeight="1" s="17"/>
    <row r="4399" ht="18" customHeight="1" s="17"/>
    <row r="4400" ht="18" customHeight="1" s="17"/>
    <row r="4401" ht="18" customHeight="1" s="17"/>
    <row r="4402" ht="18" customHeight="1" s="17"/>
    <row r="4403" ht="18" customHeight="1" s="17"/>
    <row r="4404" ht="18" customHeight="1" s="17"/>
    <row r="4405" ht="18" customHeight="1" s="17"/>
    <row r="4406" ht="18" customHeight="1" s="17"/>
    <row r="4407" ht="18" customHeight="1" s="17"/>
    <row r="4408" ht="18" customHeight="1" s="17"/>
    <row r="4409" ht="18" customHeight="1" s="17"/>
    <row r="4410" ht="18" customHeight="1" s="17"/>
    <row r="4411" ht="18" customHeight="1" s="17"/>
    <row r="4412" ht="18" customHeight="1" s="17"/>
    <row r="4413" ht="18" customHeight="1" s="17"/>
    <row r="4414" ht="18" customHeight="1" s="17"/>
    <row r="4415" ht="18" customHeight="1" s="17"/>
    <row r="4416" ht="18" customHeight="1" s="17"/>
    <row r="4417" ht="18" customHeight="1" s="17"/>
    <row r="4418" ht="18" customHeight="1" s="17"/>
    <row r="4419" ht="18" customHeight="1" s="17"/>
    <row r="4420" ht="18" customHeight="1" s="17"/>
    <row r="4421" ht="18" customHeight="1" s="17"/>
    <row r="4422" ht="18" customHeight="1" s="17"/>
    <row r="4423" ht="18" customHeight="1" s="17"/>
    <row r="4424" ht="18" customHeight="1" s="17"/>
    <row r="4425" ht="18" customHeight="1" s="17"/>
    <row r="4426" ht="18" customHeight="1" s="17"/>
    <row r="4427" ht="18" customHeight="1" s="17"/>
    <row r="4428" ht="18" customHeight="1" s="17"/>
    <row r="4429" ht="18" customHeight="1" s="17"/>
    <row r="4430" ht="18" customHeight="1" s="17"/>
    <row r="4431" ht="18" customHeight="1" s="17"/>
    <row r="4432" ht="18" customHeight="1" s="17"/>
    <row r="4433" ht="18" customHeight="1" s="17"/>
    <row r="4434" ht="18" customHeight="1" s="17"/>
    <row r="4435" ht="18" customHeight="1" s="17"/>
    <row r="4436" ht="18" customHeight="1" s="17"/>
    <row r="4437" ht="18" customHeight="1" s="17"/>
    <row r="4438" ht="18" customHeight="1" s="17"/>
    <row r="4439" ht="18" customHeight="1" s="17"/>
    <row r="4440" ht="18" customHeight="1" s="17"/>
    <row r="4441" ht="18" customHeight="1" s="17"/>
    <row r="4442" ht="18" customHeight="1" s="17"/>
    <row r="4443" ht="18" customHeight="1" s="17"/>
    <row r="4444" ht="18" customHeight="1" s="17"/>
    <row r="4445" ht="18" customHeight="1" s="17"/>
    <row r="4446" ht="18" customHeight="1" s="17"/>
    <row r="4447" ht="18" customHeight="1" s="17"/>
    <row r="4448" ht="18" customHeight="1" s="17"/>
    <row r="4449" ht="18" customHeight="1" s="17"/>
    <row r="4450" ht="18" customHeight="1" s="17"/>
    <row r="4451" ht="18" customHeight="1" s="17"/>
    <row r="4452" ht="18" customHeight="1" s="17"/>
    <row r="4453" ht="18" customHeight="1" s="17"/>
    <row r="4454" ht="18" customHeight="1" s="17"/>
    <row r="4455" ht="18" customHeight="1" s="17"/>
    <row r="4456" ht="18" customHeight="1" s="17"/>
    <row r="4457" ht="18" customHeight="1" s="17"/>
    <row r="4458" ht="18" customHeight="1" s="17"/>
    <row r="4459" ht="18" customHeight="1" s="17"/>
    <row r="4460" ht="18" customHeight="1" s="17"/>
    <row r="4461" ht="18" customHeight="1" s="17"/>
    <row r="4462" ht="18" customHeight="1" s="17"/>
    <row r="4463" ht="18" customHeight="1" s="17"/>
    <row r="4464" ht="18" customHeight="1" s="17"/>
    <row r="4465" ht="18" customHeight="1" s="17"/>
    <row r="4466" ht="18" customHeight="1" s="17"/>
    <row r="4467" ht="18" customHeight="1" s="17"/>
    <row r="4468" ht="18" customHeight="1" s="17"/>
    <row r="4469" ht="18" customHeight="1" s="17"/>
    <row r="4470" ht="18" customHeight="1" s="17"/>
    <row r="4471" ht="18" customHeight="1" s="17"/>
    <row r="4472" ht="18" customHeight="1" s="17"/>
    <row r="4473" ht="18" customHeight="1" s="17"/>
    <row r="4474" ht="18" customHeight="1" s="17"/>
    <row r="4475" ht="18" customHeight="1" s="17"/>
    <row r="4476" ht="18" customHeight="1" s="17"/>
    <row r="4477" ht="18" customHeight="1" s="17"/>
    <row r="4478" ht="18" customHeight="1" s="17"/>
    <row r="4479" ht="18" customHeight="1" s="17"/>
    <row r="4480" ht="18" customHeight="1" s="17"/>
    <row r="4481" ht="18" customHeight="1" s="17"/>
    <row r="4482" ht="18" customHeight="1" s="17"/>
    <row r="4483" ht="18" customHeight="1" s="17"/>
    <row r="4484" ht="18" customHeight="1" s="17"/>
    <row r="4485" ht="18" customHeight="1" s="17"/>
    <row r="4486" ht="18" customHeight="1" s="17"/>
    <row r="4487" ht="18" customHeight="1" s="17"/>
    <row r="4488" ht="18" customHeight="1" s="17"/>
    <row r="4489" ht="18" customHeight="1" s="17"/>
    <row r="4490" ht="18" customHeight="1" s="17"/>
    <row r="4491" ht="18" customHeight="1" s="17"/>
    <row r="4492" ht="18" customHeight="1" s="17"/>
    <row r="4493" ht="18" customHeight="1" s="17"/>
    <row r="4494" ht="18" customHeight="1" s="17"/>
    <row r="4495" ht="18" customHeight="1" s="17"/>
    <row r="4496" ht="18" customHeight="1" s="17"/>
    <row r="4497" ht="18" customHeight="1" s="17"/>
    <row r="4498" ht="18" customHeight="1" s="17"/>
    <row r="4499" ht="18" customHeight="1" s="17"/>
    <row r="4500" ht="18" customHeight="1" s="17"/>
    <row r="4501" ht="18" customHeight="1" s="17"/>
    <row r="4502" ht="18" customHeight="1" s="17"/>
    <row r="4503" ht="18" customHeight="1" s="17"/>
    <row r="4504" ht="18" customHeight="1" s="17"/>
    <row r="4505" ht="18" customHeight="1" s="17"/>
    <row r="4506" ht="18" customHeight="1" s="17"/>
    <row r="4507" ht="18" customHeight="1" s="17"/>
    <row r="4508" ht="18" customHeight="1" s="17"/>
    <row r="4509" ht="18" customHeight="1" s="17"/>
    <row r="4510" ht="18" customHeight="1" s="17"/>
    <row r="4511" ht="18" customHeight="1" s="17"/>
    <row r="4512" ht="18" customHeight="1" s="17"/>
    <row r="4513" ht="18" customHeight="1" s="17"/>
    <row r="4514" ht="18" customHeight="1" s="17"/>
    <row r="4515" ht="18" customHeight="1" s="17"/>
    <row r="4516" ht="18" customHeight="1" s="17"/>
    <row r="4517" ht="18" customHeight="1" s="17"/>
    <row r="4518" ht="18" customHeight="1" s="17"/>
    <row r="4519" ht="18" customHeight="1" s="17"/>
    <row r="4520" ht="18" customHeight="1" s="17"/>
    <row r="4521" ht="18" customHeight="1" s="17"/>
    <row r="4522" ht="18" customHeight="1" s="17"/>
    <row r="4523" ht="18" customHeight="1" s="17"/>
    <row r="4524" ht="18" customHeight="1" s="17"/>
    <row r="4525" ht="18" customHeight="1" s="17"/>
    <row r="4526" ht="18" customHeight="1" s="17"/>
    <row r="4527" ht="18" customHeight="1" s="17"/>
    <row r="4528" ht="18" customHeight="1" s="17"/>
    <row r="4529" ht="18" customHeight="1" s="17"/>
    <row r="4530" ht="18" customHeight="1" s="17"/>
    <row r="4531" ht="18" customHeight="1" s="17"/>
    <row r="4532" ht="18" customHeight="1" s="17"/>
    <row r="4533" ht="18" customHeight="1" s="17"/>
    <row r="4534" ht="18" customHeight="1" s="17"/>
    <row r="4535" ht="18" customHeight="1" s="17"/>
    <row r="4536" ht="18" customHeight="1" s="17"/>
    <row r="4537" ht="18" customHeight="1" s="17"/>
    <row r="4538" ht="18" customHeight="1" s="17"/>
    <row r="4539" ht="18" customHeight="1" s="17"/>
    <row r="4540" ht="18" customHeight="1" s="17"/>
    <row r="4541" ht="18" customHeight="1" s="17"/>
    <row r="4542" ht="18" customHeight="1" s="17"/>
    <row r="4543" ht="18" customHeight="1" s="17"/>
    <row r="4544" ht="18" customHeight="1" s="17"/>
    <row r="4545" ht="18" customHeight="1" s="17"/>
    <row r="4546" ht="18" customHeight="1" s="17"/>
    <row r="4547" ht="18" customHeight="1" s="17"/>
    <row r="4548" ht="18" customHeight="1" s="17"/>
    <row r="4549" ht="18" customHeight="1" s="17"/>
    <row r="4550" ht="18" customHeight="1" s="17"/>
    <row r="4551" ht="18" customHeight="1" s="17"/>
    <row r="4552" ht="18" customHeight="1" s="17"/>
    <row r="4553" ht="18" customHeight="1" s="17"/>
    <row r="4554" ht="18" customHeight="1" s="17"/>
    <row r="4555" ht="18" customHeight="1" s="17"/>
    <row r="4556" ht="18" customHeight="1" s="17"/>
    <row r="4557" ht="18" customHeight="1" s="17"/>
    <row r="4558" ht="18" customHeight="1" s="17"/>
    <row r="4559" ht="18" customHeight="1" s="17"/>
    <row r="4560" ht="18" customHeight="1" s="17"/>
    <row r="4561" ht="18" customHeight="1" s="17"/>
    <row r="4562" ht="18" customHeight="1" s="17"/>
    <row r="4563" ht="18" customHeight="1" s="17"/>
    <row r="4564" ht="18" customHeight="1" s="17"/>
    <row r="4565" ht="18" customHeight="1" s="17"/>
    <row r="4566" ht="18" customHeight="1" s="17"/>
    <row r="4567" ht="18" customHeight="1" s="17"/>
    <row r="4568" ht="18" customHeight="1" s="17"/>
    <row r="4569" ht="18" customHeight="1" s="17"/>
    <row r="4570" ht="18" customHeight="1" s="17"/>
    <row r="4571" ht="18" customHeight="1" s="17"/>
    <row r="4572" ht="18" customHeight="1" s="17"/>
    <row r="4573" ht="18" customHeight="1" s="17"/>
    <row r="4574" ht="18" customHeight="1" s="17"/>
    <row r="4575" ht="18" customHeight="1" s="17"/>
    <row r="4576" ht="18" customHeight="1" s="17"/>
    <row r="4577" ht="18" customHeight="1" s="17"/>
    <row r="4578" ht="18" customHeight="1" s="17"/>
    <row r="4579" ht="18" customHeight="1" s="17"/>
    <row r="4580" ht="18" customHeight="1" s="17"/>
    <row r="4581" ht="18" customHeight="1" s="17"/>
    <row r="4582" ht="18" customHeight="1" s="17"/>
    <row r="4583" ht="18" customHeight="1" s="17"/>
    <row r="4584" ht="18" customHeight="1" s="17"/>
    <row r="4585" ht="18" customHeight="1" s="17"/>
    <row r="4586" ht="18" customHeight="1" s="17"/>
    <row r="4587" ht="18" customHeight="1" s="17"/>
    <row r="4588" ht="18" customHeight="1" s="17"/>
    <row r="4589" ht="18" customHeight="1" s="17"/>
    <row r="4590" ht="18" customHeight="1" s="17"/>
    <row r="4591" ht="18" customHeight="1" s="17"/>
    <row r="4592" ht="18" customHeight="1" s="17"/>
    <row r="4593" ht="18" customHeight="1" s="17"/>
    <row r="4594" ht="18" customHeight="1" s="17"/>
    <row r="4595" ht="18" customHeight="1" s="17"/>
    <row r="4596" ht="18" customHeight="1" s="17"/>
    <row r="4597" ht="18" customHeight="1" s="17"/>
    <row r="4598" ht="18" customHeight="1" s="17"/>
    <row r="4599" ht="18" customHeight="1" s="17"/>
    <row r="4600" ht="18" customHeight="1" s="17"/>
    <row r="4601" ht="18" customHeight="1" s="17"/>
    <row r="4602" ht="18" customHeight="1" s="17"/>
    <row r="4603" ht="18" customHeight="1" s="17"/>
    <row r="4604" ht="18" customHeight="1" s="17"/>
    <row r="4605" ht="18" customHeight="1" s="17"/>
    <row r="4606" ht="18" customHeight="1" s="17"/>
    <row r="4607" ht="18" customHeight="1" s="17"/>
    <row r="4608" ht="18" customHeight="1" s="17"/>
    <row r="4609" ht="18" customHeight="1" s="17"/>
    <row r="4610" ht="18" customHeight="1" s="17"/>
    <row r="4611" ht="18" customHeight="1" s="17"/>
    <row r="4612" ht="18" customHeight="1" s="17"/>
    <row r="4613" ht="18" customHeight="1" s="17"/>
    <row r="4614" ht="18" customHeight="1" s="17"/>
    <row r="4615" ht="18" customHeight="1" s="17"/>
    <row r="4616" ht="18" customHeight="1" s="17"/>
    <row r="4617" ht="18" customHeight="1" s="17"/>
    <row r="4618" ht="18" customHeight="1" s="17"/>
    <row r="4619" ht="18" customHeight="1" s="17"/>
    <row r="4620" ht="18" customHeight="1" s="17"/>
    <row r="4621" ht="18" customHeight="1" s="17"/>
    <row r="4622" ht="18" customHeight="1" s="17"/>
    <row r="4623" ht="18" customHeight="1" s="17"/>
    <row r="4624" ht="18" customHeight="1" s="17"/>
    <row r="4625" ht="18" customHeight="1" s="17"/>
    <row r="4626" ht="18" customHeight="1" s="17"/>
    <row r="4627" ht="18" customHeight="1" s="17"/>
    <row r="4628" ht="18" customHeight="1" s="17"/>
    <row r="4629" ht="18" customHeight="1" s="17"/>
    <row r="4630" ht="18" customHeight="1" s="17"/>
    <row r="4631" ht="18" customHeight="1" s="17"/>
    <row r="4632" ht="18" customHeight="1" s="17"/>
    <row r="4633" ht="18" customHeight="1" s="17"/>
    <row r="4634" ht="18" customHeight="1" s="17"/>
    <row r="4635" ht="18" customHeight="1" s="17"/>
    <row r="4636" ht="18" customHeight="1" s="17"/>
    <row r="4637" ht="18" customHeight="1" s="17"/>
    <row r="4638" ht="18" customHeight="1" s="17"/>
    <row r="4639" ht="18" customHeight="1" s="17"/>
    <row r="4640" ht="18" customHeight="1" s="17"/>
    <row r="4641" ht="18" customHeight="1" s="17"/>
    <row r="4642" ht="18" customHeight="1" s="17"/>
    <row r="4643" ht="18" customHeight="1" s="17"/>
    <row r="4644" ht="18" customHeight="1" s="17"/>
    <row r="4645" ht="18" customHeight="1" s="17"/>
    <row r="4646" ht="18" customHeight="1" s="17"/>
    <row r="4647" ht="18" customHeight="1" s="17"/>
    <row r="4648" ht="18" customHeight="1" s="17"/>
    <row r="4649" ht="18" customHeight="1" s="17"/>
    <row r="4650" ht="18" customHeight="1" s="17"/>
    <row r="4651" ht="18" customHeight="1" s="17"/>
    <row r="4652" ht="18" customHeight="1" s="17"/>
    <row r="4653" ht="18" customHeight="1" s="17"/>
    <row r="4654" ht="18" customHeight="1" s="17"/>
    <row r="4655" ht="18" customHeight="1" s="17"/>
    <row r="4656" ht="18" customHeight="1" s="17"/>
    <row r="4657" ht="18" customHeight="1" s="17"/>
    <row r="4658" ht="18" customHeight="1" s="17"/>
    <row r="4659" ht="18" customHeight="1" s="17"/>
    <row r="4660" ht="18" customHeight="1" s="17"/>
    <row r="4661" ht="18" customHeight="1" s="17"/>
    <row r="4662" ht="18" customHeight="1" s="17"/>
    <row r="4663" ht="18" customHeight="1" s="17"/>
    <row r="4664" ht="18" customHeight="1" s="17"/>
    <row r="4665" ht="18" customHeight="1" s="17"/>
    <row r="4666" ht="18" customHeight="1" s="17"/>
    <row r="4667" ht="18" customHeight="1" s="17"/>
    <row r="4668" ht="18" customHeight="1" s="17"/>
    <row r="4669" ht="18" customHeight="1" s="17"/>
    <row r="4670" ht="18" customHeight="1" s="17"/>
    <row r="4671" ht="18" customHeight="1" s="17"/>
    <row r="4672" ht="18" customHeight="1" s="17"/>
    <row r="4673" ht="18" customHeight="1" s="17"/>
    <row r="4674" ht="18" customHeight="1" s="17"/>
    <row r="4675" ht="18" customHeight="1" s="17"/>
    <row r="4676" ht="18" customHeight="1" s="17"/>
    <row r="4677" ht="18" customHeight="1" s="17"/>
    <row r="4678" ht="18" customHeight="1" s="17"/>
    <row r="4679" ht="18" customHeight="1" s="17"/>
    <row r="4680" ht="18" customHeight="1" s="17"/>
    <row r="4681" ht="18" customHeight="1" s="17"/>
    <row r="4682" ht="18" customHeight="1" s="17"/>
    <row r="4683" ht="18" customHeight="1" s="17"/>
    <row r="4684" ht="18" customHeight="1" s="17"/>
    <row r="4685" ht="18" customHeight="1" s="17"/>
    <row r="4686" ht="18" customHeight="1" s="17"/>
    <row r="4687" ht="18" customHeight="1" s="17"/>
    <row r="4688" ht="18" customHeight="1" s="17"/>
    <row r="4689" ht="18" customHeight="1" s="17"/>
    <row r="4690" ht="18" customHeight="1" s="17"/>
    <row r="4691" ht="18" customHeight="1" s="17"/>
    <row r="4692" ht="18" customHeight="1" s="17"/>
    <row r="4693" ht="18" customHeight="1" s="17"/>
    <row r="4694" ht="18" customHeight="1" s="17"/>
    <row r="4695" ht="18" customHeight="1" s="17"/>
    <row r="4696" ht="18" customHeight="1" s="17"/>
    <row r="4697" ht="18" customHeight="1" s="17"/>
    <row r="4698" ht="18" customHeight="1" s="17"/>
    <row r="4699" ht="18" customHeight="1" s="17"/>
    <row r="4700" ht="18" customHeight="1" s="17"/>
    <row r="4701" ht="18" customHeight="1" s="17"/>
    <row r="4702" ht="18" customHeight="1" s="17"/>
    <row r="4703" ht="18" customHeight="1" s="17"/>
    <row r="4704" ht="18" customHeight="1" s="17"/>
    <row r="4705" ht="18" customHeight="1" s="17"/>
    <row r="4706" ht="18" customHeight="1" s="17"/>
    <row r="4707" ht="18" customHeight="1" s="17"/>
    <row r="4708" ht="18" customHeight="1" s="17"/>
    <row r="4709" ht="18" customHeight="1" s="17"/>
    <row r="4710" ht="18" customHeight="1" s="17"/>
    <row r="4711" ht="18" customHeight="1" s="17"/>
    <row r="4712" ht="18" customHeight="1" s="17"/>
    <row r="4713" ht="18" customHeight="1" s="17"/>
    <row r="4714" ht="18" customHeight="1" s="17"/>
    <row r="4715" ht="18" customHeight="1" s="17"/>
    <row r="4716" ht="18" customHeight="1" s="17"/>
    <row r="4717" ht="18" customHeight="1" s="17"/>
    <row r="4718" ht="18" customHeight="1" s="17"/>
    <row r="4719" ht="18" customHeight="1" s="17"/>
    <row r="4720" ht="18" customHeight="1" s="17"/>
    <row r="4721" ht="18" customHeight="1" s="17"/>
    <row r="4722" ht="18" customHeight="1" s="17"/>
    <row r="4723" ht="18" customHeight="1" s="17"/>
    <row r="4724" ht="18" customHeight="1" s="17"/>
    <row r="4725" ht="18" customHeight="1" s="17"/>
    <row r="4726" ht="18" customHeight="1" s="17"/>
    <row r="4727" ht="18" customHeight="1" s="17"/>
    <row r="4728" ht="18" customHeight="1" s="17"/>
    <row r="4729" ht="18" customHeight="1" s="17"/>
    <row r="4730" ht="18" customHeight="1" s="17"/>
    <row r="4731" ht="18" customHeight="1" s="17"/>
    <row r="4732" ht="18" customHeight="1" s="17"/>
    <row r="4733" ht="18" customHeight="1" s="17"/>
    <row r="4734" ht="18" customHeight="1" s="17"/>
    <row r="4735" ht="18" customHeight="1" s="17"/>
    <row r="4736" ht="18" customHeight="1" s="17"/>
    <row r="4737" ht="18" customHeight="1" s="17"/>
    <row r="4738" ht="18" customHeight="1" s="17"/>
    <row r="4739" ht="18" customHeight="1" s="17"/>
    <row r="4740" ht="18" customHeight="1" s="17"/>
    <row r="4741" ht="18" customHeight="1" s="17"/>
    <row r="4742" ht="18" customHeight="1" s="17"/>
    <row r="4743" ht="18" customHeight="1" s="17"/>
    <row r="4744" ht="18" customHeight="1" s="17"/>
    <row r="4745" ht="18" customHeight="1" s="17"/>
    <row r="4746" ht="18" customHeight="1" s="17"/>
    <row r="4747" ht="18" customHeight="1" s="17"/>
    <row r="4748" ht="18" customHeight="1" s="17"/>
    <row r="4749" ht="18" customHeight="1" s="17"/>
    <row r="4750" ht="18" customHeight="1" s="17"/>
    <row r="4751" ht="18" customHeight="1" s="17"/>
    <row r="4752" ht="18" customHeight="1" s="17"/>
    <row r="4753" ht="18" customHeight="1" s="17"/>
    <row r="4754" ht="18" customHeight="1" s="17"/>
    <row r="4755" ht="18" customHeight="1" s="17"/>
    <row r="4756" ht="18" customHeight="1" s="17"/>
    <row r="4757" ht="18" customHeight="1" s="17"/>
    <row r="4758" ht="18" customHeight="1" s="17"/>
    <row r="4759" ht="18" customHeight="1" s="17"/>
    <row r="4760" ht="18" customHeight="1" s="17"/>
    <row r="4761" ht="18" customHeight="1" s="17"/>
    <row r="4762" ht="18" customHeight="1" s="17"/>
    <row r="4763" ht="18" customHeight="1" s="17"/>
    <row r="4764" ht="18" customHeight="1" s="17"/>
    <row r="4765" ht="18" customHeight="1" s="17"/>
    <row r="4766" ht="18" customHeight="1" s="17"/>
    <row r="4767" ht="18" customHeight="1" s="17"/>
    <row r="4768" ht="18" customHeight="1" s="17"/>
    <row r="4769" ht="18" customHeight="1" s="17"/>
    <row r="4770" ht="18" customHeight="1" s="17"/>
    <row r="4771" ht="18" customHeight="1" s="17"/>
    <row r="4772" ht="18" customHeight="1" s="17"/>
    <row r="4773" ht="18" customHeight="1" s="17"/>
    <row r="4774" ht="18" customHeight="1" s="17"/>
    <row r="4775" ht="18" customHeight="1" s="17"/>
    <row r="4776" ht="18" customHeight="1" s="17"/>
    <row r="4777" ht="18" customHeight="1" s="17"/>
    <row r="4778" ht="18" customHeight="1" s="17"/>
    <row r="4779" ht="18" customHeight="1" s="17"/>
    <row r="4780" ht="18" customHeight="1" s="17"/>
    <row r="4781" ht="18" customHeight="1" s="17"/>
    <row r="4782" ht="18" customHeight="1" s="17"/>
    <row r="4783" ht="18" customHeight="1" s="17"/>
    <row r="4784" ht="18" customHeight="1" s="17"/>
    <row r="4785" ht="18" customHeight="1" s="17"/>
    <row r="4786" ht="18" customHeight="1" s="17"/>
    <row r="4787" ht="18" customHeight="1" s="17"/>
    <row r="4788" ht="18" customHeight="1" s="17"/>
    <row r="4789" ht="18" customHeight="1" s="17"/>
    <row r="4790" ht="18" customHeight="1" s="17"/>
    <row r="4791" ht="18" customHeight="1" s="17"/>
    <row r="4792" ht="18" customHeight="1" s="17"/>
    <row r="4793" ht="18" customHeight="1" s="17"/>
    <row r="4794" ht="18" customHeight="1" s="17"/>
    <row r="4795" ht="18" customHeight="1" s="17"/>
    <row r="4796" ht="18" customHeight="1" s="17"/>
    <row r="4797" ht="18" customHeight="1" s="17"/>
    <row r="4798" ht="18" customHeight="1" s="17"/>
    <row r="4799" ht="18" customHeight="1" s="17"/>
    <row r="4800" ht="18" customHeight="1" s="17"/>
    <row r="4801" ht="18" customHeight="1" s="17"/>
    <row r="4802" ht="18" customHeight="1" s="17"/>
    <row r="4803" ht="18" customHeight="1" s="17"/>
    <row r="4804" ht="18" customHeight="1" s="17"/>
    <row r="4805" ht="18" customHeight="1" s="17"/>
    <row r="4806" ht="18" customHeight="1" s="17"/>
    <row r="4807" ht="18" customHeight="1" s="17"/>
    <row r="4808" ht="18" customHeight="1" s="17"/>
    <row r="4809" ht="18" customHeight="1" s="17"/>
    <row r="4810" ht="18" customHeight="1" s="17"/>
    <row r="4811" ht="18" customHeight="1" s="17"/>
    <row r="4812" ht="18" customHeight="1" s="17"/>
    <row r="4813" ht="18" customHeight="1" s="17"/>
    <row r="4814" ht="18" customHeight="1" s="17"/>
    <row r="4815" ht="18" customHeight="1" s="17"/>
    <row r="4816" ht="18" customHeight="1" s="17"/>
    <row r="4817" ht="18" customHeight="1" s="17"/>
    <row r="4818" ht="18" customHeight="1" s="17"/>
    <row r="4819" ht="18" customHeight="1" s="17"/>
    <row r="4820" ht="18" customHeight="1" s="17"/>
    <row r="4821" ht="18" customHeight="1" s="17"/>
    <row r="4822" ht="18" customHeight="1" s="17"/>
    <row r="4823" ht="18" customHeight="1" s="17"/>
    <row r="4824" ht="18" customHeight="1" s="17"/>
    <row r="4825" ht="18" customHeight="1" s="17"/>
    <row r="4826" ht="18" customHeight="1" s="17"/>
    <row r="4827" ht="18" customHeight="1" s="17"/>
    <row r="4828" ht="18" customHeight="1" s="17"/>
    <row r="4829" ht="18" customHeight="1" s="17"/>
    <row r="4830" ht="18" customHeight="1" s="17"/>
    <row r="4831" ht="18" customHeight="1" s="17"/>
    <row r="4832" ht="18" customHeight="1" s="17"/>
    <row r="4833" ht="18" customHeight="1" s="17"/>
    <row r="4834" ht="18" customHeight="1" s="17"/>
    <row r="4835" ht="18" customHeight="1" s="17"/>
    <row r="4836" ht="18" customHeight="1" s="17"/>
    <row r="4837" ht="18" customHeight="1" s="17"/>
    <row r="4838" ht="18" customHeight="1" s="17"/>
    <row r="4839" ht="18" customHeight="1" s="17"/>
    <row r="4840" ht="18" customHeight="1" s="17"/>
    <row r="4841" ht="18" customHeight="1" s="17"/>
    <row r="4842" ht="18" customHeight="1" s="17"/>
    <row r="4843" ht="18" customHeight="1" s="17"/>
    <row r="4844" ht="18" customHeight="1" s="17"/>
    <row r="4845" ht="18" customHeight="1" s="17"/>
    <row r="4846" ht="18" customHeight="1" s="17"/>
    <row r="4847" ht="18" customHeight="1" s="17"/>
    <row r="4848" ht="18" customHeight="1" s="17"/>
    <row r="4849" ht="18" customHeight="1" s="17"/>
    <row r="4850" ht="18" customHeight="1" s="17"/>
    <row r="4851" ht="18" customHeight="1" s="17"/>
    <row r="4852" ht="18" customHeight="1" s="17"/>
    <row r="4853" ht="18" customHeight="1" s="17"/>
    <row r="4854" ht="18" customHeight="1" s="17"/>
    <row r="4855" ht="18" customHeight="1" s="17"/>
    <row r="4856" ht="18" customHeight="1" s="17"/>
    <row r="4857" ht="18" customHeight="1" s="17"/>
    <row r="4858" ht="18" customHeight="1" s="17"/>
    <row r="4859" ht="18" customHeight="1" s="17"/>
    <row r="4860" ht="18" customHeight="1" s="17"/>
    <row r="4861" ht="18" customHeight="1" s="17"/>
    <row r="4862" ht="18" customHeight="1" s="17"/>
    <row r="4863" ht="18" customHeight="1" s="17"/>
    <row r="4864" ht="18" customHeight="1" s="17"/>
    <row r="4865" ht="18" customHeight="1" s="17"/>
    <row r="4866" ht="18" customHeight="1" s="17"/>
    <row r="4867" ht="18" customHeight="1" s="17"/>
    <row r="4868" ht="18" customHeight="1" s="17"/>
    <row r="4869" ht="18" customHeight="1" s="17"/>
    <row r="4870" ht="18" customHeight="1" s="17"/>
    <row r="4871" ht="18" customHeight="1" s="17"/>
    <row r="4872" ht="18" customHeight="1" s="17"/>
    <row r="4873" ht="18" customHeight="1" s="17"/>
    <row r="4874" ht="18" customHeight="1" s="17"/>
    <row r="4875" ht="18" customHeight="1" s="17"/>
    <row r="4876" ht="18" customHeight="1" s="17"/>
    <row r="4877" ht="18" customHeight="1" s="17"/>
    <row r="4878" ht="18" customHeight="1" s="17"/>
    <row r="4879" ht="18" customHeight="1" s="17"/>
    <row r="4880" ht="18" customHeight="1" s="17"/>
    <row r="4881" ht="18" customHeight="1" s="17"/>
    <row r="4882" ht="18" customHeight="1" s="17"/>
    <row r="4883" ht="18" customHeight="1" s="17"/>
    <row r="4884" ht="18" customHeight="1" s="17"/>
    <row r="4885" ht="18" customHeight="1" s="17"/>
    <row r="4886" ht="18" customHeight="1" s="17"/>
    <row r="4887" ht="18" customHeight="1" s="17"/>
    <row r="4888" ht="18" customHeight="1" s="17"/>
    <row r="4889" ht="18" customHeight="1" s="17"/>
    <row r="4890" ht="18" customHeight="1" s="17"/>
    <row r="4891" ht="18" customHeight="1" s="17"/>
    <row r="4892" ht="18" customHeight="1" s="17"/>
    <row r="4893" ht="18" customHeight="1" s="17"/>
    <row r="4894" ht="18" customHeight="1" s="17"/>
    <row r="4895" ht="18" customHeight="1" s="17"/>
    <row r="4896" ht="18" customHeight="1" s="17"/>
    <row r="4897" ht="18" customHeight="1" s="17"/>
    <row r="4898" ht="18" customHeight="1" s="17"/>
    <row r="4899" ht="18" customHeight="1" s="17"/>
    <row r="4900" ht="18" customHeight="1" s="17"/>
    <row r="4901" ht="18" customHeight="1" s="17"/>
    <row r="4902" ht="18" customHeight="1" s="17"/>
    <row r="4903" ht="18" customHeight="1" s="17"/>
    <row r="4904" ht="18" customHeight="1" s="17"/>
    <row r="4905" ht="18" customHeight="1" s="17"/>
    <row r="4906" ht="18" customHeight="1" s="17"/>
    <row r="4907" ht="18" customHeight="1" s="17"/>
    <row r="4908" ht="18" customHeight="1" s="17"/>
    <row r="4909" ht="18" customHeight="1" s="17"/>
    <row r="4910" ht="18" customHeight="1" s="17"/>
    <row r="4911" ht="18" customHeight="1" s="17"/>
    <row r="4912" ht="18" customHeight="1" s="17"/>
    <row r="4913" ht="18" customHeight="1" s="17"/>
    <row r="4914" ht="18" customHeight="1" s="17"/>
    <row r="4915" ht="18" customHeight="1" s="17"/>
    <row r="4916" ht="18" customHeight="1" s="17"/>
    <row r="4917" ht="18" customHeight="1" s="17"/>
    <row r="4918" ht="18" customHeight="1" s="17"/>
    <row r="4919" ht="18" customHeight="1" s="17"/>
    <row r="4920" ht="18" customHeight="1" s="17"/>
    <row r="4921" ht="18" customHeight="1" s="17"/>
    <row r="4922" ht="18" customHeight="1" s="17"/>
    <row r="4923" ht="18" customHeight="1" s="17"/>
    <row r="4924" ht="18" customHeight="1" s="17"/>
    <row r="4925" ht="18" customHeight="1" s="17"/>
    <row r="4926" ht="18" customHeight="1" s="17"/>
    <row r="4927" ht="18" customHeight="1" s="17"/>
    <row r="4928" ht="18" customHeight="1" s="17"/>
    <row r="4929" ht="18" customHeight="1" s="17"/>
    <row r="4930" ht="18" customHeight="1" s="17"/>
    <row r="4931" ht="18" customHeight="1" s="17"/>
    <row r="4932" ht="18" customHeight="1" s="17"/>
    <row r="4933" ht="18" customHeight="1" s="17"/>
    <row r="4934" ht="18" customHeight="1" s="17"/>
    <row r="4935" ht="18" customHeight="1" s="17"/>
    <row r="4936" ht="18" customHeight="1" s="17"/>
    <row r="4937" ht="18" customHeight="1" s="17"/>
    <row r="4938" ht="18" customHeight="1" s="17"/>
    <row r="4939" ht="18" customHeight="1" s="17"/>
    <row r="4940" ht="18" customHeight="1" s="17"/>
    <row r="4941" ht="18" customHeight="1" s="17"/>
    <row r="4942" ht="18" customHeight="1" s="17"/>
    <row r="4943" ht="18" customHeight="1" s="17"/>
    <row r="4944" ht="18" customHeight="1" s="17"/>
    <row r="4945" ht="18" customHeight="1" s="17"/>
    <row r="4946" ht="18" customHeight="1" s="17"/>
    <row r="4947" ht="18" customHeight="1" s="17"/>
    <row r="4948" ht="18" customHeight="1" s="17"/>
    <row r="4949" ht="18" customHeight="1" s="17"/>
    <row r="4950" ht="18" customHeight="1" s="17"/>
    <row r="4951" ht="18" customHeight="1" s="17"/>
    <row r="4952" ht="18" customHeight="1" s="17"/>
    <row r="4953" ht="18" customHeight="1" s="17"/>
    <row r="4954" ht="18" customHeight="1" s="17"/>
    <row r="4955" ht="18" customHeight="1" s="17"/>
    <row r="4956" ht="18" customHeight="1" s="17"/>
    <row r="4957" ht="18" customHeight="1" s="17"/>
    <row r="4958" ht="18" customHeight="1" s="17"/>
    <row r="4959" ht="18" customHeight="1" s="17"/>
    <row r="4960" ht="18" customHeight="1" s="17"/>
    <row r="4961" ht="18" customHeight="1" s="17"/>
    <row r="4962" ht="18" customHeight="1" s="17"/>
    <row r="4963" ht="18" customHeight="1" s="17"/>
    <row r="4964" ht="18" customHeight="1" s="17"/>
    <row r="4965" ht="18" customHeight="1" s="17"/>
    <row r="4966" ht="18" customHeight="1" s="17"/>
    <row r="4967" ht="18" customHeight="1" s="17"/>
    <row r="4968" ht="18" customHeight="1" s="17"/>
    <row r="4969" ht="18" customHeight="1" s="17"/>
    <row r="4970" ht="18" customHeight="1" s="17"/>
    <row r="4971" ht="18" customHeight="1" s="17"/>
    <row r="4972" ht="18" customHeight="1" s="17"/>
    <row r="4973" ht="18" customHeight="1" s="17"/>
    <row r="4974" ht="18" customHeight="1" s="17"/>
    <row r="4975" ht="18" customHeight="1" s="17"/>
    <row r="4976" ht="18" customHeight="1" s="17"/>
    <row r="4977" ht="18" customHeight="1" s="17"/>
    <row r="4978" ht="18" customHeight="1" s="17"/>
    <row r="4979" ht="18" customHeight="1" s="17"/>
    <row r="4980" ht="18" customHeight="1" s="17"/>
    <row r="4981" ht="18" customHeight="1" s="17"/>
    <row r="4982" ht="18" customHeight="1" s="17"/>
    <row r="4983" ht="18" customHeight="1" s="17"/>
    <row r="4984" ht="18" customHeight="1" s="17"/>
    <row r="4985" ht="18" customHeight="1" s="17"/>
    <row r="4986" ht="18" customHeight="1" s="17"/>
    <row r="4987" ht="18" customHeight="1" s="17"/>
    <row r="4988" ht="18" customHeight="1" s="17"/>
    <row r="4989" ht="18" customHeight="1" s="17"/>
    <row r="4990" ht="18" customHeight="1" s="17"/>
    <row r="4991" ht="18" customHeight="1" s="17"/>
    <row r="4992" ht="18" customHeight="1" s="17"/>
    <row r="4993" ht="18" customHeight="1" s="17"/>
    <row r="4994" ht="18" customHeight="1" s="17"/>
    <row r="4995" ht="18" customHeight="1" s="17"/>
    <row r="4996" ht="18" customHeight="1" s="17"/>
    <row r="4997" ht="18" customHeight="1" s="17"/>
    <row r="4998" ht="18" customHeight="1" s="17"/>
    <row r="4999" ht="18" customHeight="1" s="17"/>
    <row r="5000" ht="18" customHeight="1" s="17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ChatGPT</dc:creator>
  <dc:title xmlns:dc="http://purl.org/dc/elements/1.1/">QTI ILIAS – Générateur XML V2</dc:title>
  <dc:subject xmlns:dc="http://purl.org/dc/elements/1.1/">Génération QTI 1.2 pour ILIAS avec auteur, feedbacks et explications</dc:subject>
  <dcterms:created xmlns:dcterms="http://purl.org/dc/terms/" xmlns:xsi="http://www.w3.org/2001/XMLSchema-instance" xsi:type="dcterms:W3CDTF">2026-05-31T17:18:31Z</dcterms:created>
  <dcterms:modified xmlns:dcterms="http://purl.org/dc/terms/" xmlns:xsi="http://www.w3.org/2001/XMLSchema-instance" xsi:type="dcterms:W3CDTF">2026-05-31T17:20:05Z</dcterms:modified>
  <cp:lastModifiedBy>adm_v.sayah</cp:lastModifiedBy>
</cp:coreProperties>
</file>