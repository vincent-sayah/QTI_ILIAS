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/>
  <mc:AlternateContent xmlns:mc="http://schemas.openxmlformats.org/markup-compatibility/2006">
    <mc:Choice Requires="x15">
      <x15ac:absPath xmlns:x15ac="http://schemas.microsoft.com/office/spreadsheetml/2010/11/ac" url="C:\Users\adm_v.sayah\Desktop\"/>
    </mc:Choice>
  </mc:AlternateContent>
  <bookViews>
    <workbookView xWindow="0" yWindow="0" windowWidth="38400" windowHeight="17730"/>
  </bookViews>
  <sheets>
    <sheet name="Mode_emploi" sheetId="1" r:id="rId1"/>
    <sheet name="Saisie_Questions" sheetId="2" r:id="rId2"/>
    <sheet name="XML_QTI" sheetId="3" r:id="rId3"/>
    <sheet name="Generation" sheetId="4" r:id="rId4"/>
  </sheets>
  <calcPr calcId="162913" forceFullCalc="1"/>
</workbook>
</file>

<file path=xl/calcChain.xml><?xml version="1.0" encoding="utf-8"?>
<calcChain xmlns="http://schemas.openxmlformats.org/spreadsheetml/2006/main">
  <c r="S104" i="4" l="1"/>
  <c r="R104" i="4"/>
  <c r="Q104" i="4"/>
  <c r="P104" i="4"/>
  <c r="O104" i="4"/>
  <c r="N104" i="4"/>
  <c r="M104" i="4"/>
  <c r="L104" i="4"/>
  <c r="J104" i="4"/>
  <c r="T104" i="4" s="1"/>
  <c r="I104" i="4"/>
  <c r="H104" i="4"/>
  <c r="S103" i="4"/>
  <c r="R103" i="4"/>
  <c r="Q103" i="4"/>
  <c r="P103" i="4"/>
  <c r="O103" i="4"/>
  <c r="N103" i="4"/>
  <c r="M103" i="4"/>
  <c r="L103" i="4"/>
  <c r="J103" i="4"/>
  <c r="AA103" i="4" s="1"/>
  <c r="I103" i="4"/>
  <c r="H103" i="4"/>
  <c r="S102" i="4"/>
  <c r="R102" i="4"/>
  <c r="Q102" i="4"/>
  <c r="P102" i="4"/>
  <c r="O102" i="4"/>
  <c r="N102" i="4"/>
  <c r="M102" i="4"/>
  <c r="L102" i="4"/>
  <c r="J102" i="4"/>
  <c r="W102" i="4" s="1"/>
  <c r="I102" i="4"/>
  <c r="H102" i="4"/>
  <c r="S101" i="4"/>
  <c r="R101" i="4"/>
  <c r="Q101" i="4"/>
  <c r="P101" i="4"/>
  <c r="O101" i="4"/>
  <c r="N101" i="4"/>
  <c r="M101" i="4"/>
  <c r="L101" i="4"/>
  <c r="J101" i="4"/>
  <c r="V101" i="4" s="1"/>
  <c r="I101" i="4"/>
  <c r="H101" i="4"/>
  <c r="S100" i="4"/>
  <c r="R100" i="4"/>
  <c r="Q100" i="4"/>
  <c r="P100" i="4"/>
  <c r="O100" i="4"/>
  <c r="N100" i="4"/>
  <c r="M100" i="4"/>
  <c r="L100" i="4"/>
  <c r="J100" i="4"/>
  <c r="W100" i="4" s="1"/>
  <c r="I100" i="4"/>
  <c r="H100" i="4"/>
  <c r="S99" i="4"/>
  <c r="R99" i="4"/>
  <c r="Q99" i="4"/>
  <c r="P99" i="4"/>
  <c r="O99" i="4"/>
  <c r="N99" i="4"/>
  <c r="M99" i="4"/>
  <c r="L99" i="4"/>
  <c r="J99" i="4"/>
  <c r="Z99" i="4" s="1"/>
  <c r="I99" i="4"/>
  <c r="H99" i="4"/>
  <c r="S98" i="4"/>
  <c r="R98" i="4"/>
  <c r="Q98" i="4"/>
  <c r="P98" i="4"/>
  <c r="O98" i="4"/>
  <c r="N98" i="4"/>
  <c r="M98" i="4"/>
  <c r="L98" i="4"/>
  <c r="J98" i="4"/>
  <c r="AA98" i="4" s="1"/>
  <c r="I98" i="4"/>
  <c r="H98" i="4"/>
  <c r="S97" i="4"/>
  <c r="R97" i="4"/>
  <c r="Q97" i="4"/>
  <c r="P97" i="4"/>
  <c r="O97" i="4"/>
  <c r="N97" i="4"/>
  <c r="M97" i="4"/>
  <c r="L97" i="4"/>
  <c r="J97" i="4"/>
  <c r="X97" i="4" s="1"/>
  <c r="I97" i="4"/>
  <c r="H97" i="4"/>
  <c r="S96" i="4"/>
  <c r="R96" i="4"/>
  <c r="Q96" i="4"/>
  <c r="P96" i="4"/>
  <c r="O96" i="4"/>
  <c r="N96" i="4"/>
  <c r="M96" i="4"/>
  <c r="L96" i="4"/>
  <c r="J96" i="4"/>
  <c r="W96" i="4" s="1"/>
  <c r="I96" i="4"/>
  <c r="H96" i="4"/>
  <c r="S95" i="4"/>
  <c r="R95" i="4"/>
  <c r="Q95" i="4"/>
  <c r="P95" i="4"/>
  <c r="O95" i="4"/>
  <c r="N95" i="4"/>
  <c r="M95" i="4"/>
  <c r="L95" i="4"/>
  <c r="J95" i="4"/>
  <c r="V95" i="4" s="1"/>
  <c r="I95" i="4"/>
  <c r="H95" i="4"/>
  <c r="S94" i="4"/>
  <c r="R94" i="4"/>
  <c r="Q94" i="4"/>
  <c r="P94" i="4"/>
  <c r="O94" i="4"/>
  <c r="N94" i="4"/>
  <c r="M94" i="4"/>
  <c r="L94" i="4"/>
  <c r="J94" i="4"/>
  <c r="W94" i="4" s="1"/>
  <c r="I94" i="4"/>
  <c r="H94" i="4"/>
  <c r="S93" i="4"/>
  <c r="R93" i="4"/>
  <c r="Q93" i="4"/>
  <c r="P93" i="4"/>
  <c r="O93" i="4"/>
  <c r="N93" i="4"/>
  <c r="M93" i="4"/>
  <c r="L93" i="4"/>
  <c r="J93" i="4"/>
  <c r="Z93" i="4" s="1"/>
  <c r="I93" i="4"/>
  <c r="H93" i="4"/>
  <c r="S92" i="4"/>
  <c r="R92" i="4"/>
  <c r="Q92" i="4"/>
  <c r="P92" i="4"/>
  <c r="O92" i="4"/>
  <c r="N92" i="4"/>
  <c r="M92" i="4"/>
  <c r="L92" i="4"/>
  <c r="J92" i="4"/>
  <c r="W92" i="4" s="1"/>
  <c r="I92" i="4"/>
  <c r="H92" i="4"/>
  <c r="S91" i="4"/>
  <c r="R91" i="4"/>
  <c r="Q91" i="4"/>
  <c r="P91" i="4"/>
  <c r="O91" i="4"/>
  <c r="N91" i="4"/>
  <c r="M91" i="4"/>
  <c r="L91" i="4"/>
  <c r="J91" i="4"/>
  <c r="V91" i="4" s="1"/>
  <c r="I91" i="4"/>
  <c r="H91" i="4"/>
  <c r="S90" i="4"/>
  <c r="R90" i="4"/>
  <c r="Q90" i="4"/>
  <c r="P90" i="4"/>
  <c r="O90" i="4"/>
  <c r="N90" i="4"/>
  <c r="M90" i="4"/>
  <c r="L90" i="4"/>
  <c r="J90" i="4"/>
  <c r="X90" i="4" s="1"/>
  <c r="I90" i="4"/>
  <c r="H90" i="4"/>
  <c r="S89" i="4"/>
  <c r="R89" i="4"/>
  <c r="Q89" i="4"/>
  <c r="P89" i="4"/>
  <c r="O89" i="4"/>
  <c r="N89" i="4"/>
  <c r="M89" i="4"/>
  <c r="L89" i="4"/>
  <c r="J89" i="4"/>
  <c r="V89" i="4" s="1"/>
  <c r="I89" i="4"/>
  <c r="H89" i="4"/>
  <c r="S88" i="4"/>
  <c r="R88" i="4"/>
  <c r="Q88" i="4"/>
  <c r="P88" i="4"/>
  <c r="O88" i="4"/>
  <c r="N88" i="4"/>
  <c r="M88" i="4"/>
  <c r="L88" i="4"/>
  <c r="J88" i="4"/>
  <c r="AA88" i="4" s="1"/>
  <c r="I88" i="4"/>
  <c r="H88" i="4"/>
  <c r="S87" i="4"/>
  <c r="R87" i="4"/>
  <c r="Q87" i="4"/>
  <c r="P87" i="4"/>
  <c r="O87" i="4"/>
  <c r="N87" i="4"/>
  <c r="M87" i="4"/>
  <c r="L87" i="4"/>
  <c r="J87" i="4"/>
  <c r="V87" i="4" s="1"/>
  <c r="I87" i="4"/>
  <c r="H87" i="4"/>
  <c r="S86" i="4"/>
  <c r="R86" i="4"/>
  <c r="Q86" i="4"/>
  <c r="P86" i="4"/>
  <c r="O86" i="4"/>
  <c r="N86" i="4"/>
  <c r="M86" i="4"/>
  <c r="L86" i="4"/>
  <c r="J86" i="4"/>
  <c r="V86" i="4" s="1"/>
  <c r="I86" i="4"/>
  <c r="H86" i="4"/>
  <c r="S85" i="4"/>
  <c r="R85" i="4"/>
  <c r="Q85" i="4"/>
  <c r="P85" i="4"/>
  <c r="O85" i="4"/>
  <c r="N85" i="4"/>
  <c r="M85" i="4"/>
  <c r="L85" i="4"/>
  <c r="J85" i="4"/>
  <c r="V85" i="4" s="1"/>
  <c r="I85" i="4"/>
  <c r="H85" i="4"/>
  <c r="S84" i="4"/>
  <c r="R84" i="4"/>
  <c r="Q84" i="4"/>
  <c r="P84" i="4"/>
  <c r="O84" i="4"/>
  <c r="N84" i="4"/>
  <c r="M84" i="4"/>
  <c r="L84" i="4"/>
  <c r="J84" i="4"/>
  <c r="U84" i="4" s="1"/>
  <c r="I84" i="4"/>
  <c r="H84" i="4"/>
  <c r="S83" i="4"/>
  <c r="R83" i="4"/>
  <c r="Q83" i="4"/>
  <c r="P83" i="4"/>
  <c r="O83" i="4"/>
  <c r="N83" i="4"/>
  <c r="M83" i="4"/>
  <c r="L83" i="4"/>
  <c r="J83" i="4"/>
  <c r="V83" i="4" s="1"/>
  <c r="I83" i="4"/>
  <c r="H83" i="4"/>
  <c r="S82" i="4"/>
  <c r="R82" i="4"/>
  <c r="Q82" i="4"/>
  <c r="P82" i="4"/>
  <c r="O82" i="4"/>
  <c r="N82" i="4"/>
  <c r="M82" i="4"/>
  <c r="L82" i="4"/>
  <c r="J82" i="4"/>
  <c r="W82" i="4" s="1"/>
  <c r="I82" i="4"/>
  <c r="H82" i="4"/>
  <c r="S81" i="4"/>
  <c r="R81" i="4"/>
  <c r="Q81" i="4"/>
  <c r="P81" i="4"/>
  <c r="O81" i="4"/>
  <c r="N81" i="4"/>
  <c r="M81" i="4"/>
  <c r="L81" i="4"/>
  <c r="J81" i="4"/>
  <c r="V81" i="4" s="1"/>
  <c r="I81" i="4"/>
  <c r="H81" i="4"/>
  <c r="S80" i="4"/>
  <c r="R80" i="4"/>
  <c r="Q80" i="4"/>
  <c r="P80" i="4"/>
  <c r="O80" i="4"/>
  <c r="N80" i="4"/>
  <c r="M80" i="4"/>
  <c r="L80" i="4"/>
  <c r="J80" i="4"/>
  <c r="V80" i="4" s="1"/>
  <c r="I80" i="4"/>
  <c r="H80" i="4"/>
  <c r="S79" i="4"/>
  <c r="R79" i="4"/>
  <c r="Q79" i="4"/>
  <c r="P79" i="4"/>
  <c r="O79" i="4"/>
  <c r="N79" i="4"/>
  <c r="M79" i="4"/>
  <c r="L79" i="4"/>
  <c r="J79" i="4"/>
  <c r="W79" i="4" s="1"/>
  <c r="I79" i="4"/>
  <c r="H79" i="4"/>
  <c r="S78" i="4"/>
  <c r="R78" i="4"/>
  <c r="Q78" i="4"/>
  <c r="P78" i="4"/>
  <c r="O78" i="4"/>
  <c r="N78" i="4"/>
  <c r="M78" i="4"/>
  <c r="L78" i="4"/>
  <c r="J78" i="4"/>
  <c r="X78" i="4" s="1"/>
  <c r="I78" i="4"/>
  <c r="H78" i="4"/>
  <c r="S77" i="4"/>
  <c r="R77" i="4"/>
  <c r="Q77" i="4"/>
  <c r="P77" i="4"/>
  <c r="O77" i="4"/>
  <c r="N77" i="4"/>
  <c r="M77" i="4"/>
  <c r="L77" i="4"/>
  <c r="J77" i="4"/>
  <c r="V77" i="4" s="1"/>
  <c r="I77" i="4"/>
  <c r="H77" i="4"/>
  <c r="S76" i="4"/>
  <c r="R76" i="4"/>
  <c r="Q76" i="4"/>
  <c r="P76" i="4"/>
  <c r="O76" i="4"/>
  <c r="N76" i="4"/>
  <c r="M76" i="4"/>
  <c r="L76" i="4"/>
  <c r="J76" i="4"/>
  <c r="AA76" i="4" s="1"/>
  <c r="I76" i="4"/>
  <c r="H76" i="4"/>
  <c r="S75" i="4"/>
  <c r="R75" i="4"/>
  <c r="Q75" i="4"/>
  <c r="P75" i="4"/>
  <c r="O75" i="4"/>
  <c r="N75" i="4"/>
  <c r="M75" i="4"/>
  <c r="L75" i="4"/>
  <c r="J75" i="4"/>
  <c r="V75" i="4" s="1"/>
  <c r="I75" i="4"/>
  <c r="H75" i="4"/>
  <c r="S74" i="4"/>
  <c r="R74" i="4"/>
  <c r="Q74" i="4"/>
  <c r="P74" i="4"/>
  <c r="O74" i="4"/>
  <c r="N74" i="4"/>
  <c r="M74" i="4"/>
  <c r="L74" i="4"/>
  <c r="J74" i="4"/>
  <c r="V74" i="4" s="1"/>
  <c r="I74" i="4"/>
  <c r="H74" i="4"/>
  <c r="S73" i="4"/>
  <c r="R73" i="4"/>
  <c r="Q73" i="4"/>
  <c r="P73" i="4"/>
  <c r="O73" i="4"/>
  <c r="N73" i="4"/>
  <c r="M73" i="4"/>
  <c r="L73" i="4"/>
  <c r="J73" i="4"/>
  <c r="X73" i="4" s="1"/>
  <c r="I73" i="4"/>
  <c r="H73" i="4"/>
  <c r="S72" i="4"/>
  <c r="R72" i="4"/>
  <c r="Q72" i="4"/>
  <c r="P72" i="4"/>
  <c r="O72" i="4"/>
  <c r="N72" i="4"/>
  <c r="M72" i="4"/>
  <c r="L72" i="4"/>
  <c r="J72" i="4"/>
  <c r="X72" i="4" s="1"/>
  <c r="I72" i="4"/>
  <c r="H72" i="4"/>
  <c r="S71" i="4"/>
  <c r="R71" i="4"/>
  <c r="Q71" i="4"/>
  <c r="P71" i="4"/>
  <c r="O71" i="4"/>
  <c r="N71" i="4"/>
  <c r="M71" i="4"/>
  <c r="L71" i="4"/>
  <c r="J71" i="4"/>
  <c r="V71" i="4" s="1"/>
  <c r="I71" i="4"/>
  <c r="H71" i="4"/>
  <c r="S70" i="4"/>
  <c r="R70" i="4"/>
  <c r="Q70" i="4"/>
  <c r="P70" i="4"/>
  <c r="O70" i="4"/>
  <c r="N70" i="4"/>
  <c r="M70" i="4"/>
  <c r="L70" i="4"/>
  <c r="J70" i="4"/>
  <c r="W70" i="4" s="1"/>
  <c r="I70" i="4"/>
  <c r="H70" i="4"/>
  <c r="S69" i="4"/>
  <c r="R69" i="4"/>
  <c r="Q69" i="4"/>
  <c r="P69" i="4"/>
  <c r="O69" i="4"/>
  <c r="N69" i="4"/>
  <c r="M69" i="4"/>
  <c r="L69" i="4"/>
  <c r="J69" i="4"/>
  <c r="X69" i="4" s="1"/>
  <c r="I69" i="4"/>
  <c r="H69" i="4"/>
  <c r="S68" i="4"/>
  <c r="R68" i="4"/>
  <c r="Q68" i="4"/>
  <c r="P68" i="4"/>
  <c r="O68" i="4"/>
  <c r="N68" i="4"/>
  <c r="M68" i="4"/>
  <c r="L68" i="4"/>
  <c r="J68" i="4"/>
  <c r="Z68" i="4" s="1"/>
  <c r="I68" i="4"/>
  <c r="H68" i="4"/>
  <c r="S67" i="4"/>
  <c r="R67" i="4"/>
  <c r="Q67" i="4"/>
  <c r="P67" i="4"/>
  <c r="O67" i="4"/>
  <c r="N67" i="4"/>
  <c r="M67" i="4"/>
  <c r="L67" i="4"/>
  <c r="J67" i="4"/>
  <c r="W67" i="4" s="1"/>
  <c r="I67" i="4"/>
  <c r="H67" i="4"/>
  <c r="S66" i="4"/>
  <c r="R66" i="4"/>
  <c r="Q66" i="4"/>
  <c r="P66" i="4"/>
  <c r="O66" i="4"/>
  <c r="N66" i="4"/>
  <c r="M66" i="4"/>
  <c r="L66" i="4"/>
  <c r="J66" i="4"/>
  <c r="I66" i="4"/>
  <c r="H66" i="4"/>
  <c r="S65" i="4"/>
  <c r="R65" i="4"/>
  <c r="Q65" i="4"/>
  <c r="P65" i="4"/>
  <c r="O65" i="4"/>
  <c r="N65" i="4"/>
  <c r="M65" i="4"/>
  <c r="L65" i="4"/>
  <c r="J65" i="4"/>
  <c r="V65" i="4" s="1"/>
  <c r="I65" i="4"/>
  <c r="H65" i="4"/>
  <c r="S64" i="4"/>
  <c r="R64" i="4"/>
  <c r="Q64" i="4"/>
  <c r="P64" i="4"/>
  <c r="O64" i="4"/>
  <c r="N64" i="4"/>
  <c r="M64" i="4"/>
  <c r="L64" i="4"/>
  <c r="J64" i="4"/>
  <c r="V64" i="4" s="1"/>
  <c r="I64" i="4"/>
  <c r="H64" i="4"/>
  <c r="S63" i="4"/>
  <c r="R63" i="4"/>
  <c r="Q63" i="4"/>
  <c r="P63" i="4"/>
  <c r="O63" i="4"/>
  <c r="N63" i="4"/>
  <c r="M63" i="4"/>
  <c r="L63" i="4"/>
  <c r="J63" i="4"/>
  <c r="X63" i="4" s="1"/>
  <c r="I63" i="4"/>
  <c r="H63" i="4"/>
  <c r="S62" i="4"/>
  <c r="R62" i="4"/>
  <c r="Q62" i="4"/>
  <c r="P62" i="4"/>
  <c r="O62" i="4"/>
  <c r="N62" i="4"/>
  <c r="M62" i="4"/>
  <c r="L62" i="4"/>
  <c r="J62" i="4"/>
  <c r="U62" i="4" s="1"/>
  <c r="I62" i="4"/>
  <c r="H62" i="4"/>
  <c r="S61" i="4"/>
  <c r="R61" i="4"/>
  <c r="Q61" i="4"/>
  <c r="P61" i="4"/>
  <c r="O61" i="4"/>
  <c r="N61" i="4"/>
  <c r="M61" i="4"/>
  <c r="L61" i="4"/>
  <c r="J61" i="4"/>
  <c r="U61" i="4" s="1"/>
  <c r="I61" i="4"/>
  <c r="H61" i="4"/>
  <c r="S60" i="4"/>
  <c r="R60" i="4"/>
  <c r="Q60" i="4"/>
  <c r="P60" i="4"/>
  <c r="O60" i="4"/>
  <c r="N60" i="4"/>
  <c r="M60" i="4"/>
  <c r="L60" i="4"/>
  <c r="J60" i="4"/>
  <c r="X60" i="4" s="1"/>
  <c r="I60" i="4"/>
  <c r="H60" i="4"/>
  <c r="S59" i="4"/>
  <c r="R59" i="4"/>
  <c r="Q59" i="4"/>
  <c r="P59" i="4"/>
  <c r="O59" i="4"/>
  <c r="N59" i="4"/>
  <c r="M59" i="4"/>
  <c r="L59" i="4"/>
  <c r="J59" i="4"/>
  <c r="V59" i="4" s="1"/>
  <c r="I59" i="4"/>
  <c r="H59" i="4"/>
  <c r="S58" i="4"/>
  <c r="R58" i="4"/>
  <c r="Q58" i="4"/>
  <c r="P58" i="4"/>
  <c r="O58" i="4"/>
  <c r="N58" i="4"/>
  <c r="M58" i="4"/>
  <c r="L58" i="4"/>
  <c r="J58" i="4"/>
  <c r="V58" i="4" s="1"/>
  <c r="I58" i="4"/>
  <c r="H58" i="4"/>
  <c r="S57" i="4"/>
  <c r="R57" i="4"/>
  <c r="Q57" i="4"/>
  <c r="P57" i="4"/>
  <c r="O57" i="4"/>
  <c r="N57" i="4"/>
  <c r="M57" i="4"/>
  <c r="L57" i="4"/>
  <c r="J57" i="4"/>
  <c r="W57" i="4" s="1"/>
  <c r="I57" i="4"/>
  <c r="H57" i="4"/>
  <c r="S56" i="4"/>
  <c r="R56" i="4"/>
  <c r="Q56" i="4"/>
  <c r="P56" i="4"/>
  <c r="O56" i="4"/>
  <c r="N56" i="4"/>
  <c r="M56" i="4"/>
  <c r="L56" i="4"/>
  <c r="J56" i="4"/>
  <c r="Z56" i="4" s="1"/>
  <c r="I56" i="4"/>
  <c r="H56" i="4"/>
  <c r="S55" i="4"/>
  <c r="R55" i="4"/>
  <c r="Q55" i="4"/>
  <c r="P55" i="4"/>
  <c r="O55" i="4"/>
  <c r="N55" i="4"/>
  <c r="M55" i="4"/>
  <c r="L55" i="4"/>
  <c r="J55" i="4"/>
  <c r="Y55" i="4" s="1"/>
  <c r="I55" i="4"/>
  <c r="H55" i="4"/>
  <c r="S54" i="4"/>
  <c r="R54" i="4"/>
  <c r="Q54" i="4"/>
  <c r="P54" i="4"/>
  <c r="O54" i="4"/>
  <c r="N54" i="4"/>
  <c r="M54" i="4"/>
  <c r="L54" i="4"/>
  <c r="J54" i="4"/>
  <c r="V54" i="4" s="1"/>
  <c r="I54" i="4"/>
  <c r="H54" i="4"/>
  <c r="S53" i="4"/>
  <c r="R53" i="4"/>
  <c r="Q53" i="4"/>
  <c r="P53" i="4"/>
  <c r="O53" i="4"/>
  <c r="N53" i="4"/>
  <c r="M53" i="4"/>
  <c r="L53" i="4"/>
  <c r="J53" i="4"/>
  <c r="W53" i="4" s="1"/>
  <c r="I53" i="4"/>
  <c r="H53" i="4"/>
  <c r="S52" i="4"/>
  <c r="R52" i="4"/>
  <c r="Q52" i="4"/>
  <c r="P52" i="4"/>
  <c r="O52" i="4"/>
  <c r="N52" i="4"/>
  <c r="M52" i="4"/>
  <c r="L52" i="4"/>
  <c r="J52" i="4"/>
  <c r="U52" i="4" s="1"/>
  <c r="I52" i="4"/>
  <c r="H52" i="4"/>
  <c r="S51" i="4"/>
  <c r="R51" i="4"/>
  <c r="Q51" i="4"/>
  <c r="P51" i="4"/>
  <c r="O51" i="4"/>
  <c r="N51" i="4"/>
  <c r="M51" i="4"/>
  <c r="L51" i="4"/>
  <c r="J51" i="4"/>
  <c r="V51" i="4" s="1"/>
  <c r="I51" i="4"/>
  <c r="H51" i="4"/>
  <c r="S50" i="4"/>
  <c r="R50" i="4"/>
  <c r="Q50" i="4"/>
  <c r="P50" i="4"/>
  <c r="O50" i="4"/>
  <c r="N50" i="4"/>
  <c r="M50" i="4"/>
  <c r="L50" i="4"/>
  <c r="J50" i="4"/>
  <c r="V50" i="4" s="1"/>
  <c r="I50" i="4"/>
  <c r="H50" i="4"/>
  <c r="S49" i="4"/>
  <c r="R49" i="4"/>
  <c r="Q49" i="4"/>
  <c r="P49" i="4"/>
  <c r="O49" i="4"/>
  <c r="N49" i="4"/>
  <c r="M49" i="4"/>
  <c r="L49" i="4"/>
  <c r="J49" i="4"/>
  <c r="Y49" i="4" s="1"/>
  <c r="I49" i="4"/>
  <c r="H49" i="4"/>
  <c r="S48" i="4"/>
  <c r="R48" i="4"/>
  <c r="Q48" i="4"/>
  <c r="P48" i="4"/>
  <c r="O48" i="4"/>
  <c r="N48" i="4"/>
  <c r="M48" i="4"/>
  <c r="L48" i="4"/>
  <c r="J48" i="4"/>
  <c r="V48" i="4" s="1"/>
  <c r="I48" i="4"/>
  <c r="H48" i="4"/>
  <c r="S47" i="4"/>
  <c r="R47" i="4"/>
  <c r="Q47" i="4"/>
  <c r="P47" i="4"/>
  <c r="O47" i="4"/>
  <c r="N47" i="4"/>
  <c r="M47" i="4"/>
  <c r="L47" i="4"/>
  <c r="J47" i="4"/>
  <c r="W47" i="4" s="1"/>
  <c r="I47" i="4"/>
  <c r="H47" i="4"/>
  <c r="S46" i="4"/>
  <c r="R46" i="4"/>
  <c r="Q46" i="4"/>
  <c r="P46" i="4"/>
  <c r="O46" i="4"/>
  <c r="N46" i="4"/>
  <c r="M46" i="4"/>
  <c r="L46" i="4"/>
  <c r="J46" i="4"/>
  <c r="Y46" i="4" s="1"/>
  <c r="I46" i="4"/>
  <c r="H46" i="4"/>
  <c r="S45" i="4"/>
  <c r="R45" i="4"/>
  <c r="Q45" i="4"/>
  <c r="P45" i="4"/>
  <c r="O45" i="4"/>
  <c r="N45" i="4"/>
  <c r="M45" i="4"/>
  <c r="L45" i="4"/>
  <c r="J45" i="4"/>
  <c r="T45" i="4" s="1"/>
  <c r="I45" i="4"/>
  <c r="H45" i="4"/>
  <c r="S44" i="4"/>
  <c r="R44" i="4"/>
  <c r="Q44" i="4"/>
  <c r="P44" i="4"/>
  <c r="O44" i="4"/>
  <c r="N44" i="4"/>
  <c r="M44" i="4"/>
  <c r="L44" i="4"/>
  <c r="J44" i="4"/>
  <c r="V44" i="4" s="1"/>
  <c r="I44" i="4"/>
  <c r="H44" i="4"/>
  <c r="S43" i="4"/>
  <c r="R43" i="4"/>
  <c r="Q43" i="4"/>
  <c r="P43" i="4"/>
  <c r="O43" i="4"/>
  <c r="N43" i="4"/>
  <c r="M43" i="4"/>
  <c r="L43" i="4"/>
  <c r="J43" i="4"/>
  <c r="V43" i="4" s="1"/>
  <c r="I43" i="4"/>
  <c r="H43" i="4"/>
  <c r="S42" i="4"/>
  <c r="R42" i="4"/>
  <c r="Q42" i="4"/>
  <c r="P42" i="4"/>
  <c r="O42" i="4"/>
  <c r="N42" i="4"/>
  <c r="M42" i="4"/>
  <c r="L42" i="4"/>
  <c r="J42" i="4"/>
  <c r="V42" i="4" s="1"/>
  <c r="I42" i="4"/>
  <c r="H42" i="4"/>
  <c r="S41" i="4"/>
  <c r="R41" i="4"/>
  <c r="Q41" i="4"/>
  <c r="P41" i="4"/>
  <c r="O41" i="4"/>
  <c r="N41" i="4"/>
  <c r="M41" i="4"/>
  <c r="L41" i="4"/>
  <c r="J41" i="4"/>
  <c r="W41" i="4" s="1"/>
  <c r="I41" i="4"/>
  <c r="H41" i="4"/>
  <c r="S40" i="4"/>
  <c r="R40" i="4"/>
  <c r="Q40" i="4"/>
  <c r="P40" i="4"/>
  <c r="O40" i="4"/>
  <c r="N40" i="4"/>
  <c r="M40" i="4"/>
  <c r="L40" i="4"/>
  <c r="J40" i="4"/>
  <c r="V40" i="4" s="1"/>
  <c r="I40" i="4"/>
  <c r="H40" i="4"/>
  <c r="S39" i="4"/>
  <c r="R39" i="4"/>
  <c r="Q39" i="4"/>
  <c r="P39" i="4"/>
  <c r="O39" i="4"/>
  <c r="N39" i="4"/>
  <c r="M39" i="4"/>
  <c r="L39" i="4"/>
  <c r="J39" i="4"/>
  <c r="Z39" i="4" s="1"/>
  <c r="I39" i="4"/>
  <c r="H39" i="4"/>
  <c r="S38" i="4"/>
  <c r="R38" i="4"/>
  <c r="Q38" i="4"/>
  <c r="P38" i="4"/>
  <c r="O38" i="4"/>
  <c r="N38" i="4"/>
  <c r="M38" i="4"/>
  <c r="L38" i="4"/>
  <c r="J38" i="4"/>
  <c r="U38" i="4" s="1"/>
  <c r="I38" i="4"/>
  <c r="H38" i="4"/>
  <c r="S37" i="4"/>
  <c r="R37" i="4"/>
  <c r="Q37" i="4"/>
  <c r="P37" i="4"/>
  <c r="O37" i="4"/>
  <c r="N37" i="4"/>
  <c r="M37" i="4"/>
  <c r="L37" i="4"/>
  <c r="J37" i="4"/>
  <c r="V37" i="4" s="1"/>
  <c r="I37" i="4"/>
  <c r="H37" i="4"/>
  <c r="S36" i="4"/>
  <c r="R36" i="4"/>
  <c r="Q36" i="4"/>
  <c r="P36" i="4"/>
  <c r="O36" i="4"/>
  <c r="N36" i="4"/>
  <c r="M36" i="4"/>
  <c r="L36" i="4"/>
  <c r="J36" i="4"/>
  <c r="V36" i="4" s="1"/>
  <c r="I36" i="4"/>
  <c r="H36" i="4"/>
  <c r="S35" i="4"/>
  <c r="R35" i="4"/>
  <c r="Q35" i="4"/>
  <c r="P35" i="4"/>
  <c r="O35" i="4"/>
  <c r="N35" i="4"/>
  <c r="M35" i="4"/>
  <c r="L35" i="4"/>
  <c r="J35" i="4"/>
  <c r="W35" i="4" s="1"/>
  <c r="I35" i="4"/>
  <c r="H35" i="4"/>
  <c r="S34" i="4"/>
  <c r="R34" i="4"/>
  <c r="Q34" i="4"/>
  <c r="P34" i="4"/>
  <c r="O34" i="4"/>
  <c r="N34" i="4"/>
  <c r="M34" i="4"/>
  <c r="L34" i="4"/>
  <c r="J34" i="4"/>
  <c r="X34" i="4" s="1"/>
  <c r="I34" i="4"/>
  <c r="H34" i="4"/>
  <c r="S33" i="4"/>
  <c r="R33" i="4"/>
  <c r="Q33" i="4"/>
  <c r="P33" i="4"/>
  <c r="O33" i="4"/>
  <c r="N33" i="4"/>
  <c r="M33" i="4"/>
  <c r="L33" i="4"/>
  <c r="J33" i="4"/>
  <c r="I33" i="4"/>
  <c r="H33" i="4"/>
  <c r="S32" i="4"/>
  <c r="R32" i="4"/>
  <c r="Q32" i="4"/>
  <c r="P32" i="4"/>
  <c r="O32" i="4"/>
  <c r="N32" i="4"/>
  <c r="M32" i="4"/>
  <c r="L32" i="4"/>
  <c r="J32" i="4"/>
  <c r="AA32" i="4" s="1"/>
  <c r="I32" i="4"/>
  <c r="H32" i="4"/>
  <c r="S31" i="4"/>
  <c r="R31" i="4"/>
  <c r="Q31" i="4"/>
  <c r="P31" i="4"/>
  <c r="O31" i="4"/>
  <c r="N31" i="4"/>
  <c r="M31" i="4"/>
  <c r="L31" i="4"/>
  <c r="J31" i="4"/>
  <c r="V31" i="4" s="1"/>
  <c r="I31" i="4"/>
  <c r="H31" i="4"/>
  <c r="S30" i="4"/>
  <c r="R30" i="4"/>
  <c r="Q30" i="4"/>
  <c r="P30" i="4"/>
  <c r="O30" i="4"/>
  <c r="N30" i="4"/>
  <c r="M30" i="4"/>
  <c r="L30" i="4"/>
  <c r="J30" i="4"/>
  <c r="I30" i="4"/>
  <c r="H30" i="4"/>
  <c r="S29" i="4"/>
  <c r="R29" i="4"/>
  <c r="Q29" i="4"/>
  <c r="P29" i="4"/>
  <c r="O29" i="4"/>
  <c r="N29" i="4"/>
  <c r="M29" i="4"/>
  <c r="L29" i="4"/>
  <c r="J29" i="4"/>
  <c r="T29" i="4" s="1"/>
  <c r="I29" i="4"/>
  <c r="H29" i="4"/>
  <c r="S28" i="4"/>
  <c r="R28" i="4"/>
  <c r="Q28" i="4"/>
  <c r="P28" i="4"/>
  <c r="O28" i="4"/>
  <c r="N28" i="4"/>
  <c r="M28" i="4"/>
  <c r="L28" i="4"/>
  <c r="J28" i="4"/>
  <c r="Y28" i="4" s="1"/>
  <c r="I28" i="4"/>
  <c r="H28" i="4"/>
  <c r="S27" i="4"/>
  <c r="R27" i="4"/>
  <c r="Q27" i="4"/>
  <c r="P27" i="4"/>
  <c r="O27" i="4"/>
  <c r="N27" i="4"/>
  <c r="M27" i="4"/>
  <c r="L27" i="4"/>
  <c r="J27" i="4"/>
  <c r="X27" i="4" s="1"/>
  <c r="I27" i="4"/>
  <c r="H27" i="4"/>
  <c r="S26" i="4"/>
  <c r="R26" i="4"/>
  <c r="Q26" i="4"/>
  <c r="P26" i="4"/>
  <c r="O26" i="4"/>
  <c r="N26" i="4"/>
  <c r="M26" i="4"/>
  <c r="L26" i="4"/>
  <c r="J26" i="4"/>
  <c r="X26" i="4" s="1"/>
  <c r="I26" i="4"/>
  <c r="H26" i="4"/>
  <c r="S25" i="4"/>
  <c r="R25" i="4"/>
  <c r="Q25" i="4"/>
  <c r="P25" i="4"/>
  <c r="O25" i="4"/>
  <c r="N25" i="4"/>
  <c r="M25" i="4"/>
  <c r="L25" i="4"/>
  <c r="J25" i="4"/>
  <c r="Y25" i="4" s="1"/>
  <c r="I25" i="4"/>
  <c r="H25" i="4"/>
  <c r="S24" i="4"/>
  <c r="R24" i="4"/>
  <c r="Q24" i="4"/>
  <c r="P24" i="4"/>
  <c r="O24" i="4"/>
  <c r="N24" i="4"/>
  <c r="M24" i="4"/>
  <c r="L24" i="4"/>
  <c r="J24" i="4"/>
  <c r="V24" i="4" s="1"/>
  <c r="I24" i="4"/>
  <c r="H24" i="4"/>
  <c r="S23" i="4"/>
  <c r="R23" i="4"/>
  <c r="Q23" i="4"/>
  <c r="P23" i="4"/>
  <c r="O23" i="4"/>
  <c r="N23" i="4"/>
  <c r="M23" i="4"/>
  <c r="L23" i="4"/>
  <c r="J23" i="4"/>
  <c r="Z23" i="4" s="1"/>
  <c r="I23" i="4"/>
  <c r="H23" i="4"/>
  <c r="S22" i="4"/>
  <c r="R22" i="4"/>
  <c r="Q22" i="4"/>
  <c r="P22" i="4"/>
  <c r="O22" i="4"/>
  <c r="N22" i="4"/>
  <c r="M22" i="4"/>
  <c r="L22" i="4"/>
  <c r="J22" i="4"/>
  <c r="V22" i="4" s="1"/>
  <c r="I22" i="4"/>
  <c r="H22" i="4"/>
  <c r="S21" i="4"/>
  <c r="R21" i="4"/>
  <c r="Q21" i="4"/>
  <c r="P21" i="4"/>
  <c r="O21" i="4"/>
  <c r="N21" i="4"/>
  <c r="M21" i="4"/>
  <c r="L21" i="4"/>
  <c r="J21" i="4"/>
  <c r="V21" i="4" s="1"/>
  <c r="I21" i="4"/>
  <c r="H21" i="4"/>
  <c r="S20" i="4"/>
  <c r="R20" i="4"/>
  <c r="Q20" i="4"/>
  <c r="P20" i="4"/>
  <c r="O20" i="4"/>
  <c r="N20" i="4"/>
  <c r="M20" i="4"/>
  <c r="L20" i="4"/>
  <c r="J20" i="4"/>
  <c r="V20" i="4" s="1"/>
  <c r="I20" i="4"/>
  <c r="H20" i="4"/>
  <c r="S19" i="4"/>
  <c r="R19" i="4"/>
  <c r="Q19" i="4"/>
  <c r="P19" i="4"/>
  <c r="O19" i="4"/>
  <c r="N19" i="4"/>
  <c r="M19" i="4"/>
  <c r="L19" i="4"/>
  <c r="J19" i="4"/>
  <c r="Y19" i="4" s="1"/>
  <c r="I19" i="4"/>
  <c r="H19" i="4"/>
  <c r="S18" i="4"/>
  <c r="R18" i="4"/>
  <c r="Q18" i="4"/>
  <c r="P18" i="4"/>
  <c r="O18" i="4"/>
  <c r="N18" i="4"/>
  <c r="M18" i="4"/>
  <c r="L18" i="4"/>
  <c r="J18" i="4"/>
  <c r="I18" i="4"/>
  <c r="H18" i="4"/>
  <c r="S17" i="4"/>
  <c r="R17" i="4"/>
  <c r="Q17" i="4"/>
  <c r="P17" i="4"/>
  <c r="O17" i="4"/>
  <c r="N17" i="4"/>
  <c r="M17" i="4"/>
  <c r="L17" i="4"/>
  <c r="J17" i="4"/>
  <c r="Y17" i="4" s="1"/>
  <c r="I17" i="4"/>
  <c r="H17" i="4"/>
  <c r="S16" i="4"/>
  <c r="R16" i="4"/>
  <c r="Q16" i="4"/>
  <c r="P16" i="4"/>
  <c r="O16" i="4"/>
  <c r="N16" i="4"/>
  <c r="M16" i="4"/>
  <c r="L16" i="4"/>
  <c r="J16" i="4"/>
  <c r="V16" i="4" s="1"/>
  <c r="I16" i="4"/>
  <c r="H16" i="4"/>
  <c r="S15" i="4"/>
  <c r="R15" i="4"/>
  <c r="Q15" i="4"/>
  <c r="P15" i="4"/>
  <c r="O15" i="4"/>
  <c r="N15" i="4"/>
  <c r="M15" i="4"/>
  <c r="L15" i="4"/>
  <c r="J15" i="4"/>
  <c r="V15" i="4" s="1"/>
  <c r="I15" i="4"/>
  <c r="H15" i="4"/>
  <c r="S14" i="4"/>
  <c r="R14" i="4"/>
  <c r="Q14" i="4"/>
  <c r="P14" i="4"/>
  <c r="O14" i="4"/>
  <c r="N14" i="4"/>
  <c r="M14" i="4"/>
  <c r="L14" i="4"/>
  <c r="J14" i="4"/>
  <c r="V14" i="4" s="1"/>
  <c r="I14" i="4"/>
  <c r="H14" i="4"/>
  <c r="S13" i="4"/>
  <c r="R13" i="4"/>
  <c r="Q13" i="4"/>
  <c r="P13" i="4"/>
  <c r="O13" i="4"/>
  <c r="N13" i="4"/>
  <c r="M13" i="4"/>
  <c r="L13" i="4"/>
  <c r="J13" i="4"/>
  <c r="Y13" i="4" s="1"/>
  <c r="I13" i="4"/>
  <c r="H13" i="4"/>
  <c r="S12" i="4"/>
  <c r="R12" i="4"/>
  <c r="Q12" i="4"/>
  <c r="P12" i="4"/>
  <c r="O12" i="4"/>
  <c r="N12" i="4"/>
  <c r="M12" i="4"/>
  <c r="L12" i="4"/>
  <c r="J12" i="4"/>
  <c r="V12" i="4" s="1"/>
  <c r="I12" i="4"/>
  <c r="H12" i="4"/>
  <c r="S11" i="4"/>
  <c r="R11" i="4"/>
  <c r="Q11" i="4"/>
  <c r="P11" i="4"/>
  <c r="O11" i="4"/>
  <c r="N11" i="4"/>
  <c r="M11" i="4"/>
  <c r="L11" i="4"/>
  <c r="J11" i="4"/>
  <c r="Y11" i="4" s="1"/>
  <c r="I11" i="4"/>
  <c r="H11" i="4"/>
  <c r="S10" i="4"/>
  <c r="R10" i="4"/>
  <c r="Q10" i="4"/>
  <c r="P10" i="4"/>
  <c r="O10" i="4"/>
  <c r="N10" i="4"/>
  <c r="M10" i="4"/>
  <c r="L10" i="4"/>
  <c r="J10" i="4"/>
  <c r="V10" i="4" s="1"/>
  <c r="I10" i="4"/>
  <c r="H10" i="4"/>
  <c r="S9" i="4"/>
  <c r="R9" i="4"/>
  <c r="Q9" i="4"/>
  <c r="P9" i="4"/>
  <c r="O9" i="4"/>
  <c r="N9" i="4"/>
  <c r="M9" i="4"/>
  <c r="L9" i="4"/>
  <c r="J9" i="4"/>
  <c r="V9" i="4" s="1"/>
  <c r="I9" i="4"/>
  <c r="H9" i="4"/>
  <c r="S8" i="4"/>
  <c r="R8" i="4"/>
  <c r="Q8" i="4"/>
  <c r="P8" i="4"/>
  <c r="O8" i="4"/>
  <c r="N8" i="4"/>
  <c r="M8" i="4"/>
  <c r="L8" i="4"/>
  <c r="J8" i="4"/>
  <c r="V8" i="4" s="1"/>
  <c r="I8" i="4"/>
  <c r="H8" i="4"/>
  <c r="S7" i="4"/>
  <c r="R7" i="4"/>
  <c r="Q7" i="4"/>
  <c r="P7" i="4"/>
  <c r="O7" i="4"/>
  <c r="N7" i="4"/>
  <c r="M7" i="4"/>
  <c r="L7" i="4"/>
  <c r="J7" i="4"/>
  <c r="V7" i="4" s="1"/>
  <c r="I7" i="4"/>
  <c r="H7" i="4"/>
  <c r="S6" i="4"/>
  <c r="R6" i="4"/>
  <c r="Q6" i="4"/>
  <c r="P6" i="4"/>
  <c r="O6" i="4"/>
  <c r="N6" i="4"/>
  <c r="M6" i="4"/>
  <c r="L6" i="4"/>
  <c r="J6" i="4"/>
  <c r="W6" i="4" s="1"/>
  <c r="I6" i="4"/>
  <c r="H6" i="4"/>
  <c r="S5" i="4"/>
  <c r="R5" i="4"/>
  <c r="Q5" i="4"/>
  <c r="P5" i="4"/>
  <c r="O5" i="4"/>
  <c r="N5" i="4"/>
  <c r="M5" i="4"/>
  <c r="L5" i="4"/>
  <c r="J5" i="4"/>
  <c r="Y5" i="4" s="1"/>
  <c r="I5" i="4"/>
  <c r="H5" i="4"/>
  <c r="A4003" i="3"/>
  <c r="A3963" i="3"/>
  <c r="A3923" i="3"/>
  <c r="A3883" i="3"/>
  <c r="A3843" i="3"/>
  <c r="A3803" i="3"/>
  <c r="A3763" i="3"/>
  <c r="A3723" i="3"/>
  <c r="A3683" i="3"/>
  <c r="A3643" i="3"/>
  <c r="A3603" i="3"/>
  <c r="A3563" i="3"/>
  <c r="A3523" i="3"/>
  <c r="A3483" i="3"/>
  <c r="A3443" i="3"/>
  <c r="A3403" i="3"/>
  <c r="A3363" i="3"/>
  <c r="A3323" i="3"/>
  <c r="A3283" i="3"/>
  <c r="A3243" i="3"/>
  <c r="A3203" i="3"/>
  <c r="A3163" i="3"/>
  <c r="A3123" i="3"/>
  <c r="A3083" i="3"/>
  <c r="A3043" i="3"/>
  <c r="A3003" i="3"/>
  <c r="A2963" i="3"/>
  <c r="A2923" i="3"/>
  <c r="A2883" i="3"/>
  <c r="A2843" i="3"/>
  <c r="A2803" i="3"/>
  <c r="A2763" i="3"/>
  <c r="A2723" i="3"/>
  <c r="A2683" i="3"/>
  <c r="A2643" i="3"/>
  <c r="A2603" i="3"/>
  <c r="A2563" i="3"/>
  <c r="A2523" i="3"/>
  <c r="A2483" i="3"/>
  <c r="A2443" i="3"/>
  <c r="A2403" i="3"/>
  <c r="A2363" i="3"/>
  <c r="A2323" i="3"/>
  <c r="A2283" i="3"/>
  <c r="A2243" i="3"/>
  <c r="A2203" i="3"/>
  <c r="A2163" i="3"/>
  <c r="A2123" i="3"/>
  <c r="A2083" i="3"/>
  <c r="A2043" i="3"/>
  <c r="A2003" i="3"/>
  <c r="A1963" i="3"/>
  <c r="A1923" i="3"/>
  <c r="A1883" i="3"/>
  <c r="A1843" i="3"/>
  <c r="A1803" i="3"/>
  <c r="A1763" i="3"/>
  <c r="A1723" i="3"/>
  <c r="A1683" i="3"/>
  <c r="A1643" i="3"/>
  <c r="A1603" i="3"/>
  <c r="A1563" i="3"/>
  <c r="A1523" i="3"/>
  <c r="A1483" i="3"/>
  <c r="A1443" i="3"/>
  <c r="A1403" i="3"/>
  <c r="A1363" i="3"/>
  <c r="A1323" i="3"/>
  <c r="A1283" i="3"/>
  <c r="A1243" i="3"/>
  <c r="A1203" i="3"/>
  <c r="A1163" i="3"/>
  <c r="A1123" i="3"/>
  <c r="A1083" i="3"/>
  <c r="A1043" i="3"/>
  <c r="A1003" i="3"/>
  <c r="A963" i="3"/>
  <c r="A923" i="3"/>
  <c r="A883" i="3"/>
  <c r="A843" i="3"/>
  <c r="A803" i="3"/>
  <c r="A763" i="3"/>
  <c r="A723" i="3"/>
  <c r="A683" i="3"/>
  <c r="A643" i="3"/>
  <c r="A603" i="3"/>
  <c r="A563" i="3"/>
  <c r="A523" i="3"/>
  <c r="A483" i="3"/>
  <c r="A443" i="3"/>
  <c r="A403" i="3"/>
  <c r="A363" i="3"/>
  <c r="A323" i="3"/>
  <c r="A283" i="3"/>
  <c r="A243" i="3"/>
  <c r="A203" i="3"/>
  <c r="A163" i="3"/>
  <c r="A123" i="3"/>
  <c r="A83" i="3"/>
  <c r="A43" i="3"/>
  <c r="O104" i="2"/>
  <c r="B104" i="2"/>
  <c r="C104" i="4" s="1"/>
  <c r="A104" i="2"/>
  <c r="A104" i="4" s="1"/>
  <c r="O103" i="2"/>
  <c r="B103" i="2"/>
  <c r="C103" i="4" s="1"/>
  <c r="A103" i="2"/>
  <c r="A103" i="4" s="1"/>
  <c r="O102" i="2"/>
  <c r="B102" i="2"/>
  <c r="C102" i="4" s="1"/>
  <c r="A102" i="2"/>
  <c r="A102" i="4" s="1"/>
  <c r="O101" i="2"/>
  <c r="B101" i="2"/>
  <c r="C101" i="4" s="1"/>
  <c r="A101" i="2"/>
  <c r="A101" i="4" s="1"/>
  <c r="O100" i="2"/>
  <c r="B100" i="2"/>
  <c r="C100" i="4" s="1"/>
  <c r="A100" i="2"/>
  <c r="A100" i="4" s="1"/>
  <c r="O99" i="2"/>
  <c r="B99" i="2"/>
  <c r="C99" i="4" s="1"/>
  <c r="A99" i="2"/>
  <c r="A99" i="4" s="1"/>
  <c r="O98" i="2"/>
  <c r="B98" i="2"/>
  <c r="C98" i="4" s="1"/>
  <c r="A98" i="2"/>
  <c r="A98" i="4" s="1"/>
  <c r="O97" i="2"/>
  <c r="B97" i="2"/>
  <c r="C97" i="4" s="1"/>
  <c r="A97" i="2"/>
  <c r="A97" i="4" s="1"/>
  <c r="O96" i="2"/>
  <c r="B96" i="2"/>
  <c r="C96" i="4" s="1"/>
  <c r="A96" i="2"/>
  <c r="A96" i="4" s="1"/>
  <c r="O95" i="2"/>
  <c r="B95" i="2"/>
  <c r="C95" i="4" s="1"/>
  <c r="A95" i="2"/>
  <c r="A95" i="4" s="1"/>
  <c r="O94" i="2"/>
  <c r="B94" i="2"/>
  <c r="C94" i="4" s="1"/>
  <c r="A94" i="2"/>
  <c r="A94" i="4" s="1"/>
  <c r="O93" i="2"/>
  <c r="B93" i="2"/>
  <c r="C93" i="4" s="1"/>
  <c r="A93" i="2"/>
  <c r="A93" i="4" s="1"/>
  <c r="O92" i="2"/>
  <c r="B92" i="2"/>
  <c r="C92" i="4" s="1"/>
  <c r="A92" i="2"/>
  <c r="A92" i="4" s="1"/>
  <c r="O91" i="2"/>
  <c r="B91" i="2"/>
  <c r="C91" i="4" s="1"/>
  <c r="A91" i="2"/>
  <c r="A91" i="4" s="1"/>
  <c r="O90" i="2"/>
  <c r="B90" i="2"/>
  <c r="C90" i="4" s="1"/>
  <c r="A90" i="2"/>
  <c r="A90" i="4" s="1"/>
  <c r="O89" i="2"/>
  <c r="B89" i="2"/>
  <c r="C89" i="4" s="1"/>
  <c r="A89" i="2"/>
  <c r="A89" i="4" s="1"/>
  <c r="O88" i="2"/>
  <c r="B88" i="2"/>
  <c r="C88" i="4" s="1"/>
  <c r="A88" i="2"/>
  <c r="A88" i="4" s="1"/>
  <c r="O87" i="2"/>
  <c r="B87" i="2"/>
  <c r="C87" i="4" s="1"/>
  <c r="A87" i="2"/>
  <c r="A87" i="4" s="1"/>
  <c r="O86" i="2"/>
  <c r="B86" i="2"/>
  <c r="C86" i="4" s="1"/>
  <c r="A86" i="2"/>
  <c r="A86" i="4" s="1"/>
  <c r="O85" i="2"/>
  <c r="B85" i="2"/>
  <c r="C85" i="4" s="1"/>
  <c r="A85" i="2"/>
  <c r="A85" i="4" s="1"/>
  <c r="O84" i="2"/>
  <c r="B84" i="2"/>
  <c r="C84" i="4" s="1"/>
  <c r="A84" i="2"/>
  <c r="A84" i="4" s="1"/>
  <c r="O83" i="2"/>
  <c r="B83" i="2"/>
  <c r="C83" i="4" s="1"/>
  <c r="A83" i="2"/>
  <c r="A83" i="4" s="1"/>
  <c r="O82" i="2"/>
  <c r="B82" i="2"/>
  <c r="C82" i="4" s="1"/>
  <c r="A82" i="2"/>
  <c r="A82" i="4" s="1"/>
  <c r="O81" i="2"/>
  <c r="B81" i="2"/>
  <c r="C81" i="4" s="1"/>
  <c r="A81" i="2"/>
  <c r="A81" i="4" s="1"/>
  <c r="O80" i="2"/>
  <c r="B80" i="2"/>
  <c r="C80" i="4" s="1"/>
  <c r="A80" i="2"/>
  <c r="A80" i="4" s="1"/>
  <c r="O79" i="2"/>
  <c r="B79" i="2"/>
  <c r="C79" i="4" s="1"/>
  <c r="A79" i="2"/>
  <c r="A79" i="4" s="1"/>
  <c r="O78" i="2"/>
  <c r="B78" i="2"/>
  <c r="C78" i="4" s="1"/>
  <c r="A78" i="2"/>
  <c r="A78" i="4" s="1"/>
  <c r="O77" i="2"/>
  <c r="B77" i="2"/>
  <c r="C77" i="4" s="1"/>
  <c r="A77" i="2"/>
  <c r="A77" i="4" s="1"/>
  <c r="O76" i="2"/>
  <c r="B76" i="2"/>
  <c r="C76" i="4" s="1"/>
  <c r="A76" i="2"/>
  <c r="A76" i="4" s="1"/>
  <c r="O75" i="2"/>
  <c r="B75" i="2"/>
  <c r="C75" i="4" s="1"/>
  <c r="A75" i="2"/>
  <c r="A75" i="4" s="1"/>
  <c r="O74" i="2"/>
  <c r="B74" i="2"/>
  <c r="C74" i="4" s="1"/>
  <c r="A74" i="2"/>
  <c r="A74" i="4" s="1"/>
  <c r="O73" i="2"/>
  <c r="B73" i="2"/>
  <c r="C73" i="4" s="1"/>
  <c r="A73" i="2"/>
  <c r="A73" i="4" s="1"/>
  <c r="O72" i="2"/>
  <c r="B72" i="2"/>
  <c r="C72" i="4" s="1"/>
  <c r="A72" i="2"/>
  <c r="A72" i="4" s="1"/>
  <c r="O71" i="2"/>
  <c r="B71" i="2"/>
  <c r="C71" i="4" s="1"/>
  <c r="A71" i="2"/>
  <c r="A71" i="4" s="1"/>
  <c r="O70" i="2"/>
  <c r="B70" i="2"/>
  <c r="C70" i="4" s="1"/>
  <c r="A70" i="2"/>
  <c r="A70" i="4" s="1"/>
  <c r="O69" i="2"/>
  <c r="B69" i="2"/>
  <c r="C69" i="4" s="1"/>
  <c r="A69" i="2"/>
  <c r="A69" i="4" s="1"/>
  <c r="O68" i="2"/>
  <c r="B68" i="2"/>
  <c r="C68" i="4" s="1"/>
  <c r="A68" i="2"/>
  <c r="A68" i="4" s="1"/>
  <c r="O67" i="2"/>
  <c r="B67" i="2"/>
  <c r="C67" i="4" s="1"/>
  <c r="A67" i="2"/>
  <c r="A67" i="4" s="1"/>
  <c r="O66" i="2"/>
  <c r="B66" i="2"/>
  <c r="C66" i="4" s="1"/>
  <c r="A66" i="2"/>
  <c r="A66" i="4" s="1"/>
  <c r="O65" i="2"/>
  <c r="B65" i="2"/>
  <c r="C65" i="4" s="1"/>
  <c r="A65" i="2"/>
  <c r="A65" i="4" s="1"/>
  <c r="O64" i="2"/>
  <c r="B64" i="2"/>
  <c r="C64" i="4" s="1"/>
  <c r="A64" i="2"/>
  <c r="A64" i="4" s="1"/>
  <c r="O63" i="2"/>
  <c r="B63" i="2"/>
  <c r="C63" i="4" s="1"/>
  <c r="A63" i="2"/>
  <c r="A63" i="4" s="1"/>
  <c r="O62" i="2"/>
  <c r="B62" i="2"/>
  <c r="C62" i="4" s="1"/>
  <c r="A62" i="2"/>
  <c r="A62" i="4" s="1"/>
  <c r="O61" i="2"/>
  <c r="B61" i="2"/>
  <c r="C61" i="4" s="1"/>
  <c r="A61" i="2"/>
  <c r="A61" i="4" s="1"/>
  <c r="O60" i="2"/>
  <c r="B60" i="2"/>
  <c r="C60" i="4" s="1"/>
  <c r="A60" i="2"/>
  <c r="A60" i="4" s="1"/>
  <c r="O59" i="2"/>
  <c r="B59" i="2"/>
  <c r="C59" i="4" s="1"/>
  <c r="A59" i="2"/>
  <c r="A59" i="4" s="1"/>
  <c r="O58" i="2"/>
  <c r="B58" i="2"/>
  <c r="C58" i="4" s="1"/>
  <c r="A58" i="2"/>
  <c r="A58" i="4" s="1"/>
  <c r="O57" i="2"/>
  <c r="B57" i="2"/>
  <c r="C57" i="4" s="1"/>
  <c r="A57" i="2"/>
  <c r="A57" i="4" s="1"/>
  <c r="O56" i="2"/>
  <c r="B56" i="2"/>
  <c r="C56" i="4" s="1"/>
  <c r="A56" i="2"/>
  <c r="A56" i="4" s="1"/>
  <c r="O55" i="2"/>
  <c r="B55" i="2"/>
  <c r="C55" i="4" s="1"/>
  <c r="A55" i="2"/>
  <c r="A55" i="4" s="1"/>
  <c r="O54" i="2"/>
  <c r="B54" i="2"/>
  <c r="C54" i="4" s="1"/>
  <c r="A54" i="2"/>
  <c r="A54" i="4" s="1"/>
  <c r="O53" i="2"/>
  <c r="B53" i="2"/>
  <c r="C53" i="4" s="1"/>
  <c r="A53" i="2"/>
  <c r="A53" i="4" s="1"/>
  <c r="O52" i="2"/>
  <c r="B52" i="2"/>
  <c r="C52" i="4" s="1"/>
  <c r="A52" i="2"/>
  <c r="A52" i="4" s="1"/>
  <c r="O51" i="2"/>
  <c r="B51" i="2"/>
  <c r="C51" i="4" s="1"/>
  <c r="A51" i="2"/>
  <c r="A51" i="4" s="1"/>
  <c r="O50" i="2"/>
  <c r="B50" i="2"/>
  <c r="C50" i="4" s="1"/>
  <c r="A50" i="2"/>
  <c r="A50" i="4" s="1"/>
  <c r="O49" i="2"/>
  <c r="B49" i="2"/>
  <c r="C49" i="4" s="1"/>
  <c r="A49" i="2"/>
  <c r="A49" i="4" s="1"/>
  <c r="O48" i="2"/>
  <c r="B48" i="2"/>
  <c r="C48" i="4" s="1"/>
  <c r="A48" i="2"/>
  <c r="A48" i="4" s="1"/>
  <c r="O47" i="2"/>
  <c r="B47" i="2"/>
  <c r="C47" i="4" s="1"/>
  <c r="A47" i="2"/>
  <c r="A47" i="4" s="1"/>
  <c r="O46" i="2"/>
  <c r="B46" i="2"/>
  <c r="C46" i="4" s="1"/>
  <c r="A46" i="2"/>
  <c r="A46" i="4" s="1"/>
  <c r="O45" i="2"/>
  <c r="B45" i="2"/>
  <c r="C45" i="4" s="1"/>
  <c r="A45" i="2"/>
  <c r="A45" i="4" s="1"/>
  <c r="O44" i="2"/>
  <c r="B44" i="2"/>
  <c r="C44" i="4" s="1"/>
  <c r="A44" i="2"/>
  <c r="A44" i="4" s="1"/>
  <c r="O43" i="2"/>
  <c r="B43" i="2"/>
  <c r="C43" i="4" s="1"/>
  <c r="A43" i="2"/>
  <c r="A43" i="4" s="1"/>
  <c r="O42" i="2"/>
  <c r="B42" i="2"/>
  <c r="C42" i="4" s="1"/>
  <c r="A42" i="2"/>
  <c r="A42" i="4" s="1"/>
  <c r="O41" i="2"/>
  <c r="B41" i="2"/>
  <c r="C41" i="4" s="1"/>
  <c r="A41" i="2"/>
  <c r="A41" i="4" s="1"/>
  <c r="O40" i="2"/>
  <c r="B40" i="2"/>
  <c r="C40" i="4" s="1"/>
  <c r="A40" i="2"/>
  <c r="A40" i="4" s="1"/>
  <c r="O39" i="2"/>
  <c r="B39" i="2"/>
  <c r="C39" i="4" s="1"/>
  <c r="A39" i="2"/>
  <c r="A39" i="4" s="1"/>
  <c r="O38" i="2"/>
  <c r="B38" i="2"/>
  <c r="C38" i="4" s="1"/>
  <c r="A38" i="2"/>
  <c r="A38" i="4" s="1"/>
  <c r="O37" i="2"/>
  <c r="B37" i="2"/>
  <c r="C37" i="4" s="1"/>
  <c r="A37" i="2"/>
  <c r="A37" i="4" s="1"/>
  <c r="O36" i="2"/>
  <c r="B36" i="2"/>
  <c r="C36" i="4" s="1"/>
  <c r="A36" i="2"/>
  <c r="A36" i="4" s="1"/>
  <c r="O35" i="2"/>
  <c r="B35" i="2"/>
  <c r="C35" i="4" s="1"/>
  <c r="A35" i="2"/>
  <c r="A35" i="4" s="1"/>
  <c r="O34" i="2"/>
  <c r="B34" i="2"/>
  <c r="C34" i="4" s="1"/>
  <c r="A34" i="2"/>
  <c r="A34" i="4" s="1"/>
  <c r="O33" i="2"/>
  <c r="B33" i="2"/>
  <c r="C33" i="4" s="1"/>
  <c r="A33" i="2"/>
  <c r="A33" i="4" s="1"/>
  <c r="O32" i="2"/>
  <c r="B32" i="2"/>
  <c r="C32" i="4" s="1"/>
  <c r="A32" i="2"/>
  <c r="A32" i="4" s="1"/>
  <c r="O31" i="2"/>
  <c r="B31" i="2"/>
  <c r="C31" i="4" s="1"/>
  <c r="A31" i="2"/>
  <c r="A31" i="4" s="1"/>
  <c r="O30" i="2"/>
  <c r="B30" i="2"/>
  <c r="C30" i="4" s="1"/>
  <c r="A30" i="2"/>
  <c r="A30" i="4" s="1"/>
  <c r="O29" i="2"/>
  <c r="B29" i="2"/>
  <c r="C29" i="4" s="1"/>
  <c r="A29" i="2"/>
  <c r="A29" i="4" s="1"/>
  <c r="O28" i="2"/>
  <c r="B28" i="2"/>
  <c r="C28" i="4" s="1"/>
  <c r="A28" i="2"/>
  <c r="A28" i="4" s="1"/>
  <c r="O27" i="2"/>
  <c r="B27" i="2"/>
  <c r="C27" i="4" s="1"/>
  <c r="A27" i="2"/>
  <c r="A27" i="4" s="1"/>
  <c r="O26" i="2"/>
  <c r="B26" i="2"/>
  <c r="C26" i="4" s="1"/>
  <c r="A26" i="2"/>
  <c r="A26" i="4" s="1"/>
  <c r="O25" i="2"/>
  <c r="B25" i="2"/>
  <c r="C25" i="4" s="1"/>
  <c r="A25" i="2"/>
  <c r="A25" i="4" s="1"/>
  <c r="O24" i="2"/>
  <c r="B24" i="2"/>
  <c r="C24" i="4" s="1"/>
  <c r="A24" i="2"/>
  <c r="A24" i="4" s="1"/>
  <c r="O23" i="2"/>
  <c r="B23" i="2"/>
  <c r="C23" i="4" s="1"/>
  <c r="A23" i="2"/>
  <c r="A23" i="4" s="1"/>
  <c r="O22" i="2"/>
  <c r="B22" i="2"/>
  <c r="C22" i="4" s="1"/>
  <c r="A22" i="2"/>
  <c r="A22" i="4" s="1"/>
  <c r="O21" i="2"/>
  <c r="B21" i="2"/>
  <c r="C21" i="4" s="1"/>
  <c r="A21" i="2"/>
  <c r="A21" i="4" s="1"/>
  <c r="O20" i="2"/>
  <c r="B20" i="2"/>
  <c r="C20" i="4" s="1"/>
  <c r="A20" i="2"/>
  <c r="A20" i="4" s="1"/>
  <c r="O19" i="2"/>
  <c r="B19" i="2"/>
  <c r="C19" i="4" s="1"/>
  <c r="A19" i="2"/>
  <c r="A19" i="4" s="1"/>
  <c r="O18" i="2"/>
  <c r="B18" i="2"/>
  <c r="C18" i="4" s="1"/>
  <c r="A18" i="2"/>
  <c r="A18" i="4" s="1"/>
  <c r="O17" i="2"/>
  <c r="B17" i="2"/>
  <c r="C17" i="4" s="1"/>
  <c r="A17" i="2"/>
  <c r="A17" i="4" s="1"/>
  <c r="O16" i="2"/>
  <c r="B16" i="2"/>
  <c r="C16" i="4" s="1"/>
  <c r="A16" i="2"/>
  <c r="A16" i="4" s="1"/>
  <c r="O15" i="2"/>
  <c r="B15" i="2"/>
  <c r="C15" i="4" s="1"/>
  <c r="A15" i="2"/>
  <c r="A15" i="4" s="1"/>
  <c r="O14" i="2"/>
  <c r="B14" i="2"/>
  <c r="C14" i="4" s="1"/>
  <c r="A14" i="2"/>
  <c r="A14" i="4" s="1"/>
  <c r="O13" i="2"/>
  <c r="B13" i="2"/>
  <c r="C13" i="4" s="1"/>
  <c r="A13" i="2"/>
  <c r="A13" i="4" s="1"/>
  <c r="O12" i="2"/>
  <c r="B12" i="2"/>
  <c r="C12" i="4" s="1"/>
  <c r="A12" i="2"/>
  <c r="A12" i="4" s="1"/>
  <c r="O11" i="2"/>
  <c r="B11" i="2"/>
  <c r="C11" i="4" s="1"/>
  <c r="A11" i="2"/>
  <c r="A11" i="4" s="1"/>
  <c r="O10" i="2"/>
  <c r="B10" i="2"/>
  <c r="C10" i="4" s="1"/>
  <c r="A10" i="2"/>
  <c r="A10" i="4" s="1"/>
  <c r="O9" i="2"/>
  <c r="B9" i="2"/>
  <c r="C9" i="4" s="1"/>
  <c r="A9" i="2"/>
  <c r="A9" i="4" s="1"/>
  <c r="O8" i="2"/>
  <c r="B8" i="2"/>
  <c r="C8" i="4" s="1"/>
  <c r="A8" i="2"/>
  <c r="A8" i="4" s="1"/>
  <c r="O7" i="2"/>
  <c r="B7" i="2"/>
  <c r="C7" i="4" s="1"/>
  <c r="A7" i="2"/>
  <c r="A7" i="4" s="1"/>
  <c r="O6" i="2"/>
  <c r="B6" i="2"/>
  <c r="C6" i="4" s="1"/>
  <c r="A6" i="2"/>
  <c r="A6" i="4" s="1"/>
  <c r="O5" i="2"/>
  <c r="B5" i="2"/>
  <c r="C5" i="4" s="1"/>
  <c r="A5" i="2"/>
  <c r="A5" i="4" s="1"/>
  <c r="W5" i="4" l="1"/>
  <c r="W64" i="4"/>
  <c r="W65" i="4"/>
  <c r="U20" i="4"/>
  <c r="C1" i="3"/>
  <c r="X87" i="4"/>
  <c r="U53" i="4"/>
  <c r="V45" i="4"/>
  <c r="U46" i="4"/>
  <c r="AA35" i="4"/>
  <c r="U36" i="4"/>
  <c r="V46" i="4"/>
  <c r="W86" i="4"/>
  <c r="AA19" i="4"/>
  <c r="T20" i="4"/>
  <c r="W42" i="4"/>
  <c r="AA26" i="4"/>
  <c r="AA57" i="4"/>
  <c r="Y42" i="4"/>
  <c r="Z92" i="4"/>
  <c r="U93" i="4"/>
  <c r="U94" i="4"/>
  <c r="Y9" i="4"/>
  <c r="X10" i="4"/>
  <c r="U17" i="4"/>
  <c r="U31" i="4"/>
  <c r="AA42" i="4"/>
  <c r="W61" i="4"/>
  <c r="V62" i="4"/>
  <c r="W20" i="4"/>
  <c r="W28" i="4"/>
  <c r="Y29" i="4"/>
  <c r="W59" i="4"/>
  <c r="W8" i="4"/>
  <c r="W9" i="4"/>
  <c r="U13" i="4"/>
  <c r="W26" i="4"/>
  <c r="U28" i="4"/>
  <c r="T31" i="4"/>
  <c r="V35" i="4"/>
  <c r="Z57" i="4"/>
  <c r="T59" i="4"/>
  <c r="V73" i="4"/>
  <c r="AA91" i="4"/>
  <c r="W31" i="4"/>
  <c r="Z59" i="4"/>
  <c r="AA62" i="4"/>
  <c r="X94" i="4"/>
  <c r="AA31" i="4"/>
  <c r="U100" i="4"/>
  <c r="C2" i="3"/>
  <c r="W21" i="4"/>
  <c r="X43" i="4"/>
  <c r="T48" i="4"/>
  <c r="U50" i="4"/>
  <c r="AA69" i="4"/>
  <c r="U70" i="4"/>
  <c r="X71" i="4"/>
  <c r="Z72" i="4"/>
  <c r="X82" i="4"/>
  <c r="U83" i="4"/>
  <c r="Z48" i="4"/>
  <c r="T57" i="4"/>
  <c r="AA72" i="4"/>
  <c r="T73" i="4"/>
  <c r="X83" i="4"/>
  <c r="Z58" i="4"/>
  <c r="U8" i="4"/>
  <c r="Y16" i="4"/>
  <c r="T17" i="4"/>
  <c r="AA20" i="4"/>
  <c r="T21" i="4"/>
  <c r="U26" i="4"/>
  <c r="Y32" i="4"/>
  <c r="U35" i="4"/>
  <c r="AA38" i="4"/>
  <c r="U40" i="4"/>
  <c r="Z47" i="4"/>
  <c r="Y58" i="4"/>
  <c r="AA63" i="4"/>
  <c r="U64" i="4"/>
  <c r="U69" i="4"/>
  <c r="V76" i="4"/>
  <c r="X80" i="4"/>
  <c r="X89" i="4"/>
  <c r="T93" i="4"/>
  <c r="T100" i="4"/>
  <c r="AA17" i="4"/>
  <c r="Y21" i="4"/>
  <c r="Z26" i="4"/>
  <c r="Z35" i="4"/>
  <c r="Z42" i="4"/>
  <c r="U48" i="4"/>
  <c r="AA58" i="4"/>
  <c r="X65" i="4"/>
  <c r="X70" i="4"/>
  <c r="AA93" i="4"/>
  <c r="T94" i="4"/>
  <c r="X100" i="4"/>
  <c r="X101" i="4"/>
  <c r="AA47" i="4"/>
  <c r="Y20" i="4"/>
  <c r="W36" i="4"/>
  <c r="W37" i="4"/>
  <c r="T47" i="4"/>
  <c r="AA48" i="4"/>
  <c r="W50" i="4"/>
  <c r="X53" i="4"/>
  <c r="W54" i="4"/>
  <c r="T58" i="4"/>
  <c r="T63" i="4"/>
  <c r="AA74" i="4"/>
  <c r="T75" i="4"/>
  <c r="U80" i="4"/>
  <c r="X95" i="4"/>
  <c r="AA80" i="4"/>
  <c r="X16" i="4"/>
  <c r="Z20" i="4"/>
  <c r="AA25" i="4"/>
  <c r="T26" i="4"/>
  <c r="Z31" i="4"/>
  <c r="Z34" i="4"/>
  <c r="T35" i="4"/>
  <c r="Y37" i="4"/>
  <c r="V38" i="4"/>
  <c r="T42" i="4"/>
  <c r="X47" i="4"/>
  <c r="X50" i="4"/>
  <c r="U58" i="4"/>
  <c r="U63" i="4"/>
  <c r="T69" i="4"/>
  <c r="U76" i="4"/>
  <c r="W78" i="4"/>
  <c r="W80" i="4"/>
  <c r="AA23" i="4"/>
  <c r="Y41" i="4"/>
  <c r="Z79" i="4"/>
  <c r="U5" i="4"/>
  <c r="AA7" i="4"/>
  <c r="T8" i="4"/>
  <c r="AA8" i="4"/>
  <c r="T9" i="4"/>
  <c r="W11" i="4"/>
  <c r="W14" i="4"/>
  <c r="Y15" i="4"/>
  <c r="Z17" i="4"/>
  <c r="U19" i="4"/>
  <c r="X23" i="4"/>
  <c r="U25" i="4"/>
  <c r="U27" i="4"/>
  <c r="T28" i="4"/>
  <c r="V29" i="4"/>
  <c r="W32" i="4"/>
  <c r="W34" i="4"/>
  <c r="T36" i="4"/>
  <c r="AA36" i="4"/>
  <c r="X41" i="4"/>
  <c r="X42" i="4"/>
  <c r="X44" i="4"/>
  <c r="Y47" i="4"/>
  <c r="Y48" i="4"/>
  <c r="Z51" i="4"/>
  <c r="T53" i="4"/>
  <c r="U54" i="4"/>
  <c r="Y57" i="4"/>
  <c r="T64" i="4"/>
  <c r="AA64" i="4"/>
  <c r="T65" i="4"/>
  <c r="T70" i="4"/>
  <c r="W71" i="4"/>
  <c r="Y72" i="4"/>
  <c r="Y74" i="4"/>
  <c r="U78" i="4"/>
  <c r="Y79" i="4"/>
  <c r="W81" i="4"/>
  <c r="U86" i="4"/>
  <c r="W87" i="4"/>
  <c r="W89" i="4"/>
  <c r="X91" i="4"/>
  <c r="W95" i="4"/>
  <c r="AA99" i="4"/>
  <c r="W101" i="4"/>
  <c r="AA44" i="4"/>
  <c r="X5" i="4"/>
  <c r="Z11" i="4"/>
  <c r="Y14" i="4"/>
  <c r="Z29" i="4"/>
  <c r="Z41" i="4"/>
  <c r="X54" i="4"/>
  <c r="Y71" i="4"/>
  <c r="Y78" i="4"/>
  <c r="X86" i="4"/>
  <c r="Y87" i="4"/>
  <c r="Y89" i="4"/>
  <c r="Y95" i="4"/>
  <c r="Y101" i="4"/>
  <c r="X14" i="4"/>
  <c r="Z15" i="4"/>
  <c r="Z5" i="4"/>
  <c r="X8" i="4"/>
  <c r="Z9" i="4"/>
  <c r="AA11" i="4"/>
  <c r="Z14" i="4"/>
  <c r="X28" i="4"/>
  <c r="X36" i="4"/>
  <c r="AA41" i="4"/>
  <c r="Y53" i="4"/>
  <c r="Y54" i="4"/>
  <c r="X64" i="4"/>
  <c r="Y65" i="4"/>
  <c r="Y70" i="4"/>
  <c r="Z71" i="4"/>
  <c r="T72" i="4"/>
  <c r="U74" i="4"/>
  <c r="Z78" i="4"/>
  <c r="V84" i="4"/>
  <c r="Y86" i="4"/>
  <c r="Z87" i="4"/>
  <c r="W88" i="4"/>
  <c r="Z89" i="4"/>
  <c r="V90" i="4"/>
  <c r="Y94" i="4"/>
  <c r="Z95" i="4"/>
  <c r="V96" i="4"/>
  <c r="T98" i="4"/>
  <c r="Y100" i="4"/>
  <c r="Z101" i="4"/>
  <c r="V102" i="4"/>
  <c r="X11" i="4"/>
  <c r="AA5" i="4"/>
  <c r="U7" i="4"/>
  <c r="Y8" i="4"/>
  <c r="Y10" i="4"/>
  <c r="T11" i="4"/>
  <c r="AA13" i="4"/>
  <c r="T14" i="4"/>
  <c r="AA14" i="4"/>
  <c r="T15" i="4"/>
  <c r="W17" i="4"/>
  <c r="X20" i="4"/>
  <c r="Z21" i="4"/>
  <c r="X22" i="4"/>
  <c r="U23" i="4"/>
  <c r="Y26" i="4"/>
  <c r="Z28" i="4"/>
  <c r="X31" i="4"/>
  <c r="Y35" i="4"/>
  <c r="Y36" i="4"/>
  <c r="Y40" i="4"/>
  <c r="T41" i="4"/>
  <c r="U42" i="4"/>
  <c r="Y43" i="4"/>
  <c r="U44" i="4"/>
  <c r="U47" i="4"/>
  <c r="W48" i="4"/>
  <c r="AA50" i="4"/>
  <c r="T51" i="4"/>
  <c r="Z53" i="4"/>
  <c r="Z54" i="4"/>
  <c r="U57" i="4"/>
  <c r="W58" i="4"/>
  <c r="X59" i="4"/>
  <c r="Y63" i="4"/>
  <c r="Y64" i="4"/>
  <c r="Z65" i="4"/>
  <c r="Y69" i="4"/>
  <c r="Z70" i="4"/>
  <c r="U72" i="4"/>
  <c r="W74" i="4"/>
  <c r="U77" i="4"/>
  <c r="AA78" i="4"/>
  <c r="T79" i="4"/>
  <c r="Y80" i="4"/>
  <c r="AA84" i="4"/>
  <c r="U85" i="4"/>
  <c r="Z86" i="4"/>
  <c r="X88" i="4"/>
  <c r="W90" i="4"/>
  <c r="V93" i="4"/>
  <c r="Z94" i="4"/>
  <c r="U98" i="4"/>
  <c r="T99" i="4"/>
  <c r="Z100" i="4"/>
  <c r="U104" i="4"/>
  <c r="T5" i="4"/>
  <c r="Z8" i="4"/>
  <c r="U11" i="4"/>
  <c r="U14" i="4"/>
  <c r="W15" i="4"/>
  <c r="X17" i="4"/>
  <c r="W23" i="4"/>
  <c r="AA28" i="4"/>
  <c r="Z36" i="4"/>
  <c r="U41" i="4"/>
  <c r="W44" i="4"/>
  <c r="X48" i="4"/>
  <c r="AA53" i="4"/>
  <c r="T54" i="4"/>
  <c r="AA54" i="4"/>
  <c r="V57" i="4"/>
  <c r="X58" i="4"/>
  <c r="Y59" i="4"/>
  <c r="Z63" i="4"/>
  <c r="Z64" i="4"/>
  <c r="Z69" i="4"/>
  <c r="AA70" i="4"/>
  <c r="T71" i="4"/>
  <c r="W72" i="4"/>
  <c r="X74" i="4"/>
  <c r="T78" i="4"/>
  <c r="X79" i="4"/>
  <c r="T86" i="4"/>
  <c r="AA86" i="4"/>
  <c r="T87" i="4"/>
  <c r="Y88" i="4"/>
  <c r="T89" i="4"/>
  <c r="U91" i="4"/>
  <c r="AA94" i="4"/>
  <c r="T95" i="4"/>
  <c r="AA100" i="4"/>
  <c r="T101" i="4"/>
  <c r="V104" i="4"/>
  <c r="E7" i="4"/>
  <c r="D7" i="4"/>
  <c r="E15" i="4"/>
  <c r="D15" i="4"/>
  <c r="D23" i="4"/>
  <c r="E23" i="4"/>
  <c r="E29" i="4"/>
  <c r="D29" i="4"/>
  <c r="E37" i="4"/>
  <c r="D37" i="4"/>
  <c r="E45" i="4"/>
  <c r="D45" i="4"/>
  <c r="E53" i="4"/>
  <c r="D53" i="4"/>
  <c r="E61" i="4"/>
  <c r="D61" i="4"/>
  <c r="D67" i="4"/>
  <c r="E67" i="4"/>
  <c r="E75" i="4"/>
  <c r="D75" i="4"/>
  <c r="E83" i="4"/>
  <c r="D83" i="4"/>
  <c r="D91" i="4"/>
  <c r="E91" i="4"/>
  <c r="E99" i="4"/>
  <c r="D99" i="4"/>
  <c r="G5" i="4"/>
  <c r="F5" i="4"/>
  <c r="G7" i="4"/>
  <c r="F7" i="4"/>
  <c r="F9" i="4"/>
  <c r="G9" i="4"/>
  <c r="G11" i="4"/>
  <c r="F11" i="4"/>
  <c r="G13" i="4"/>
  <c r="F13" i="4"/>
  <c r="F15" i="4"/>
  <c r="G15" i="4"/>
  <c r="G17" i="4"/>
  <c r="F17" i="4"/>
  <c r="G19" i="4"/>
  <c r="F19" i="4"/>
  <c r="F21" i="4"/>
  <c r="G21" i="4"/>
  <c r="G23" i="4"/>
  <c r="F23" i="4"/>
  <c r="G25" i="4"/>
  <c r="F25" i="4"/>
  <c r="G27" i="4"/>
  <c r="F27" i="4"/>
  <c r="F29" i="4"/>
  <c r="G29" i="4"/>
  <c r="G31" i="4"/>
  <c r="F31" i="4"/>
  <c r="G33" i="4"/>
  <c r="F33" i="4"/>
  <c r="G35" i="4"/>
  <c r="F35" i="4"/>
  <c r="G37" i="4"/>
  <c r="F37" i="4"/>
  <c r="G39" i="4"/>
  <c r="F39" i="4"/>
  <c r="G41" i="4"/>
  <c r="F41" i="4"/>
  <c r="G43" i="4"/>
  <c r="F43" i="4"/>
  <c r="G45" i="4"/>
  <c r="F45" i="4"/>
  <c r="G47" i="4"/>
  <c r="F47" i="4"/>
  <c r="F49" i="4"/>
  <c r="G49" i="4"/>
  <c r="G51" i="4"/>
  <c r="F51" i="4"/>
  <c r="G53" i="4"/>
  <c r="F53" i="4"/>
  <c r="G55" i="4"/>
  <c r="F55" i="4"/>
  <c r="F57" i="4"/>
  <c r="G57" i="4"/>
  <c r="F59" i="4"/>
  <c r="G59" i="4"/>
  <c r="G61" i="4"/>
  <c r="F61" i="4"/>
  <c r="F63" i="4"/>
  <c r="G63" i="4"/>
  <c r="G65" i="4"/>
  <c r="F65" i="4"/>
  <c r="G67" i="4"/>
  <c r="F67" i="4"/>
  <c r="F69" i="4"/>
  <c r="G69" i="4"/>
  <c r="F71" i="4"/>
  <c r="G71" i="4"/>
  <c r="F73" i="4"/>
  <c r="G73" i="4"/>
  <c r="G75" i="4"/>
  <c r="F75" i="4"/>
  <c r="G77" i="4"/>
  <c r="F77" i="4"/>
  <c r="F79" i="4"/>
  <c r="G79" i="4"/>
  <c r="G81" i="4"/>
  <c r="F81" i="4"/>
  <c r="G83" i="4"/>
  <c r="F83" i="4"/>
  <c r="F85" i="4"/>
  <c r="G85" i="4"/>
  <c r="F87" i="4"/>
  <c r="G87" i="4"/>
  <c r="G89" i="4"/>
  <c r="F89" i="4"/>
  <c r="G91" i="4"/>
  <c r="F91" i="4"/>
  <c r="F93" i="4"/>
  <c r="G93" i="4"/>
  <c r="G95" i="4"/>
  <c r="F95" i="4"/>
  <c r="G97" i="4"/>
  <c r="F97" i="4"/>
  <c r="F99" i="4"/>
  <c r="G99" i="4"/>
  <c r="F101" i="4"/>
  <c r="G101" i="4"/>
  <c r="G103" i="4"/>
  <c r="F103" i="4"/>
  <c r="D11" i="4"/>
  <c r="E11" i="4"/>
  <c r="E19" i="4"/>
  <c r="D19" i="4"/>
  <c r="D31" i="4"/>
  <c r="E31" i="4"/>
  <c r="E39" i="4"/>
  <c r="D39" i="4"/>
  <c r="E47" i="4"/>
  <c r="D47" i="4"/>
  <c r="E55" i="4"/>
  <c r="D55" i="4"/>
  <c r="E63" i="4"/>
  <c r="D63" i="4"/>
  <c r="E73" i="4"/>
  <c r="D73" i="4"/>
  <c r="E81" i="4"/>
  <c r="D81" i="4"/>
  <c r="D89" i="4"/>
  <c r="E89" i="4"/>
  <c r="E97" i="4"/>
  <c r="D97" i="4"/>
  <c r="B5" i="4"/>
  <c r="K5" i="4"/>
  <c r="K7" i="4"/>
  <c r="B7" i="4"/>
  <c r="K9" i="4"/>
  <c r="B9" i="4"/>
  <c r="B11" i="4"/>
  <c r="K11" i="4"/>
  <c r="K13" i="4"/>
  <c r="B13" i="4"/>
  <c r="K15" i="4"/>
  <c r="B15" i="4"/>
  <c r="B17" i="4"/>
  <c r="K17" i="4"/>
  <c r="K19" i="4"/>
  <c r="B19" i="4"/>
  <c r="K21" i="4"/>
  <c r="B21" i="4"/>
  <c r="B23" i="4"/>
  <c r="K23" i="4"/>
  <c r="K25" i="4"/>
  <c r="B25" i="4"/>
  <c r="K27" i="4"/>
  <c r="B27" i="4"/>
  <c r="K29" i="4"/>
  <c r="B29" i="4"/>
  <c r="K31" i="4"/>
  <c r="B31" i="4"/>
  <c r="B33" i="4"/>
  <c r="K33" i="4"/>
  <c r="K35" i="4"/>
  <c r="B35" i="4"/>
  <c r="B37" i="4"/>
  <c r="K37" i="4"/>
  <c r="K39" i="4"/>
  <c r="B39" i="4"/>
  <c r="K41" i="4"/>
  <c r="B41" i="4"/>
  <c r="K43" i="4"/>
  <c r="B43" i="4"/>
  <c r="K45" i="4"/>
  <c r="B45" i="4"/>
  <c r="K47" i="4"/>
  <c r="B47" i="4"/>
  <c r="K49" i="4"/>
  <c r="B49" i="4"/>
  <c r="K51" i="4"/>
  <c r="B51" i="4"/>
  <c r="K53" i="4"/>
  <c r="B53" i="4"/>
  <c r="K55" i="4"/>
  <c r="B55" i="4"/>
  <c r="K57" i="4"/>
  <c r="B57" i="4"/>
  <c r="K59" i="4"/>
  <c r="B59" i="4"/>
  <c r="B61" i="4"/>
  <c r="K61" i="4"/>
  <c r="K63" i="4"/>
  <c r="B63" i="4"/>
  <c r="B65" i="4"/>
  <c r="K65" i="4"/>
  <c r="B67" i="4"/>
  <c r="K67" i="4"/>
  <c r="K69" i="4"/>
  <c r="B69" i="4"/>
  <c r="B71" i="4"/>
  <c r="K71" i="4"/>
  <c r="K73" i="4"/>
  <c r="B73" i="4"/>
  <c r="K75" i="4"/>
  <c r="B75" i="4"/>
  <c r="K77" i="4"/>
  <c r="B77" i="4"/>
  <c r="K79" i="4"/>
  <c r="B79" i="4"/>
  <c r="B81" i="4"/>
  <c r="K81" i="4"/>
  <c r="B83" i="4"/>
  <c r="K83" i="4"/>
  <c r="K85" i="4"/>
  <c r="B85" i="4"/>
  <c r="K87" i="4"/>
  <c r="B87" i="4"/>
  <c r="B89" i="4"/>
  <c r="K89" i="4"/>
  <c r="B91" i="4"/>
  <c r="K91" i="4"/>
  <c r="K93" i="4"/>
  <c r="B93" i="4"/>
  <c r="K95" i="4"/>
  <c r="B95" i="4"/>
  <c r="B97" i="4"/>
  <c r="K97" i="4"/>
  <c r="K99" i="4"/>
  <c r="B99" i="4"/>
  <c r="K101" i="4"/>
  <c r="B101" i="4"/>
  <c r="B103" i="4"/>
  <c r="K103" i="4"/>
  <c r="E9" i="4"/>
  <c r="D9" i="4"/>
  <c r="D17" i="4"/>
  <c r="E17" i="4"/>
  <c r="E25" i="4"/>
  <c r="D25" i="4"/>
  <c r="E33" i="4"/>
  <c r="D33" i="4"/>
  <c r="E41" i="4"/>
  <c r="D41" i="4"/>
  <c r="E51" i="4"/>
  <c r="D51" i="4"/>
  <c r="D59" i="4"/>
  <c r="E59" i="4"/>
  <c r="E69" i="4"/>
  <c r="D69" i="4"/>
  <c r="E77" i="4"/>
  <c r="D77" i="4"/>
  <c r="D87" i="4"/>
  <c r="E87" i="4"/>
  <c r="D101" i="4"/>
  <c r="E101" i="4"/>
  <c r="F8" i="4"/>
  <c r="G8" i="4"/>
  <c r="G16" i="4"/>
  <c r="F16" i="4"/>
  <c r="G22" i="4"/>
  <c r="F22" i="4"/>
  <c r="F26" i="4"/>
  <c r="G26" i="4"/>
  <c r="G28" i="4"/>
  <c r="F28" i="4"/>
  <c r="G30" i="4"/>
  <c r="F30" i="4"/>
  <c r="F32" i="4"/>
  <c r="G32" i="4"/>
  <c r="F34" i="4"/>
  <c r="G34" i="4"/>
  <c r="F36" i="4"/>
  <c r="G36" i="4"/>
  <c r="G38" i="4"/>
  <c r="F38" i="4"/>
  <c r="F40" i="4"/>
  <c r="G40" i="4"/>
  <c r="F42" i="4"/>
  <c r="G42" i="4"/>
  <c r="G44" i="4"/>
  <c r="F44" i="4"/>
  <c r="F46" i="4"/>
  <c r="G46" i="4"/>
  <c r="F48" i="4"/>
  <c r="G48" i="4"/>
  <c r="G50" i="4"/>
  <c r="F50" i="4"/>
  <c r="F52" i="4"/>
  <c r="G52" i="4"/>
  <c r="F54" i="4"/>
  <c r="G54" i="4"/>
  <c r="F56" i="4"/>
  <c r="G56" i="4"/>
  <c r="G58" i="4"/>
  <c r="F58" i="4"/>
  <c r="G60" i="4"/>
  <c r="F60" i="4"/>
  <c r="G62" i="4"/>
  <c r="F62" i="4"/>
  <c r="G64" i="4"/>
  <c r="F64" i="4"/>
  <c r="G66" i="4"/>
  <c r="F66" i="4"/>
  <c r="G68" i="4"/>
  <c r="F68" i="4"/>
  <c r="F70" i="4"/>
  <c r="G70" i="4"/>
  <c r="G72" i="4"/>
  <c r="F72" i="4"/>
  <c r="G74" i="4"/>
  <c r="F74" i="4"/>
  <c r="F76" i="4"/>
  <c r="G76" i="4"/>
  <c r="F78" i="4"/>
  <c r="G78" i="4"/>
  <c r="G80" i="4"/>
  <c r="F80" i="4"/>
  <c r="G82" i="4"/>
  <c r="F82" i="4"/>
  <c r="G84" i="4"/>
  <c r="F84" i="4"/>
  <c r="F86" i="4"/>
  <c r="G86" i="4"/>
  <c r="G88" i="4"/>
  <c r="F88" i="4"/>
  <c r="F90" i="4"/>
  <c r="G90" i="4"/>
  <c r="G92" i="4"/>
  <c r="F92" i="4"/>
  <c r="G94" i="4"/>
  <c r="F94" i="4"/>
  <c r="G96" i="4"/>
  <c r="F96" i="4"/>
  <c r="G98" i="4"/>
  <c r="F98" i="4"/>
  <c r="G100" i="4"/>
  <c r="F100" i="4"/>
  <c r="G102" i="4"/>
  <c r="F102" i="4"/>
  <c r="G104" i="4"/>
  <c r="F104" i="4"/>
  <c r="D5" i="4"/>
  <c r="E5" i="4"/>
  <c r="E13" i="4"/>
  <c r="D13" i="4"/>
  <c r="E21" i="4"/>
  <c r="D21" i="4"/>
  <c r="E27" i="4"/>
  <c r="D27" i="4"/>
  <c r="E35" i="4"/>
  <c r="D35" i="4"/>
  <c r="E43" i="4"/>
  <c r="D43" i="4"/>
  <c r="E49" i="4"/>
  <c r="D49" i="4"/>
  <c r="E57" i="4"/>
  <c r="D57" i="4"/>
  <c r="D65" i="4"/>
  <c r="E65" i="4"/>
  <c r="D71" i="4"/>
  <c r="E71" i="4"/>
  <c r="E79" i="4"/>
  <c r="D79" i="4"/>
  <c r="E85" i="4"/>
  <c r="D85" i="4"/>
  <c r="E93" i="4"/>
  <c r="D93" i="4"/>
  <c r="D95" i="4"/>
  <c r="E95" i="4"/>
  <c r="E103" i="4"/>
  <c r="D103" i="4"/>
  <c r="G6" i="4"/>
  <c r="F6" i="4"/>
  <c r="G12" i="4"/>
  <c r="F12" i="4"/>
  <c r="G18" i="4"/>
  <c r="F18" i="4"/>
  <c r="G24" i="4"/>
  <c r="F24" i="4"/>
  <c r="E8" i="4"/>
  <c r="D8" i="4"/>
  <c r="E12" i="4"/>
  <c r="D12" i="4"/>
  <c r="D16" i="4"/>
  <c r="E16" i="4"/>
  <c r="E20" i="4"/>
  <c r="D20" i="4"/>
  <c r="E24" i="4"/>
  <c r="D24" i="4"/>
  <c r="D28" i="4"/>
  <c r="E28" i="4"/>
  <c r="D32" i="4"/>
  <c r="E32" i="4"/>
  <c r="D36" i="4"/>
  <c r="E36" i="4"/>
  <c r="E40" i="4"/>
  <c r="D40" i="4"/>
  <c r="D44" i="4"/>
  <c r="E44" i="4"/>
  <c r="E46" i="4"/>
  <c r="D46" i="4"/>
  <c r="D50" i="4"/>
  <c r="E50" i="4"/>
  <c r="E52" i="4"/>
  <c r="D52" i="4"/>
  <c r="E56" i="4"/>
  <c r="D56" i="4"/>
  <c r="D58" i="4"/>
  <c r="E58" i="4"/>
  <c r="E60" i="4"/>
  <c r="D60" i="4"/>
  <c r="E62" i="4"/>
  <c r="D62" i="4"/>
  <c r="E64" i="4"/>
  <c r="D64" i="4"/>
  <c r="D66" i="4"/>
  <c r="E66" i="4"/>
  <c r="E68" i="4"/>
  <c r="D68" i="4"/>
  <c r="E70" i="4"/>
  <c r="D70" i="4"/>
  <c r="D72" i="4"/>
  <c r="E72" i="4"/>
  <c r="D74" i="4"/>
  <c r="E74" i="4"/>
  <c r="D76" i="4"/>
  <c r="E76" i="4"/>
  <c r="E78" i="4"/>
  <c r="D78" i="4"/>
  <c r="D80" i="4"/>
  <c r="E80" i="4"/>
  <c r="E82" i="4"/>
  <c r="D82" i="4"/>
  <c r="E84" i="4"/>
  <c r="D84" i="4"/>
  <c r="E86" i="4"/>
  <c r="D86" i="4"/>
  <c r="D88" i="4"/>
  <c r="E88" i="4"/>
  <c r="E90" i="4"/>
  <c r="D90" i="4"/>
  <c r="E92" i="4"/>
  <c r="D92" i="4"/>
  <c r="E94" i="4"/>
  <c r="D94" i="4"/>
  <c r="D96" i="4"/>
  <c r="E96" i="4"/>
  <c r="D98" i="4"/>
  <c r="E98" i="4"/>
  <c r="E100" i="4"/>
  <c r="D100" i="4"/>
  <c r="E102" i="4"/>
  <c r="D102" i="4"/>
  <c r="E104" i="4"/>
  <c r="D104" i="4"/>
  <c r="G10" i="4"/>
  <c r="F10" i="4"/>
  <c r="F14" i="4"/>
  <c r="G14" i="4"/>
  <c r="F20" i="4"/>
  <c r="G20" i="4"/>
  <c r="E6" i="4"/>
  <c r="D6" i="4"/>
  <c r="D10" i="4"/>
  <c r="E10" i="4"/>
  <c r="E14" i="4"/>
  <c r="D14" i="4"/>
  <c r="E18" i="4"/>
  <c r="D18" i="4"/>
  <c r="D22" i="4"/>
  <c r="E22" i="4"/>
  <c r="E26" i="4"/>
  <c r="D26" i="4"/>
  <c r="E30" i="4"/>
  <c r="D30" i="4"/>
  <c r="E34" i="4"/>
  <c r="D34" i="4"/>
  <c r="D38" i="4"/>
  <c r="E38" i="4"/>
  <c r="D42" i="4"/>
  <c r="E42" i="4"/>
  <c r="D48" i="4"/>
  <c r="E48" i="4"/>
  <c r="D54" i="4"/>
  <c r="E54" i="4"/>
  <c r="B6" i="4"/>
  <c r="K6" i="4"/>
  <c r="K8" i="4"/>
  <c r="B8" i="4"/>
  <c r="B10" i="4"/>
  <c r="K10" i="4"/>
  <c r="B12" i="4"/>
  <c r="K12" i="4"/>
  <c r="K14" i="4"/>
  <c r="B14" i="4"/>
  <c r="B16" i="4"/>
  <c r="K16" i="4"/>
  <c r="B18" i="4"/>
  <c r="K18" i="4"/>
  <c r="K20" i="4"/>
  <c r="B20" i="4"/>
  <c r="B22" i="4"/>
  <c r="K22" i="4"/>
  <c r="B24" i="4"/>
  <c r="K24" i="4"/>
  <c r="K26" i="4"/>
  <c r="B26" i="4"/>
  <c r="B28" i="4"/>
  <c r="K28" i="4"/>
  <c r="K30" i="4"/>
  <c r="B30" i="4"/>
  <c r="B32" i="4"/>
  <c r="K32" i="4"/>
  <c r="B34" i="4"/>
  <c r="K34" i="4"/>
  <c r="K36" i="4"/>
  <c r="B36" i="4"/>
  <c r="B38" i="4"/>
  <c r="K38" i="4"/>
  <c r="B40" i="4"/>
  <c r="K40" i="4"/>
  <c r="K42" i="4"/>
  <c r="B42" i="4"/>
  <c r="B44" i="4"/>
  <c r="K44" i="4"/>
  <c r="B46" i="4"/>
  <c r="K46" i="4"/>
  <c r="K48" i="4"/>
  <c r="B48" i="4"/>
  <c r="B50" i="4"/>
  <c r="K50" i="4"/>
  <c r="B52" i="4"/>
  <c r="K52" i="4"/>
  <c r="K54" i="4"/>
  <c r="B54" i="4"/>
  <c r="K56" i="4"/>
  <c r="B56" i="4"/>
  <c r="K58" i="4"/>
  <c r="B58" i="4"/>
  <c r="B60" i="4"/>
  <c r="K60" i="4"/>
  <c r="K62" i="4"/>
  <c r="B62" i="4"/>
  <c r="K64" i="4"/>
  <c r="B64" i="4"/>
  <c r="B66" i="4"/>
  <c r="K66" i="4"/>
  <c r="K68" i="4"/>
  <c r="B68" i="4"/>
  <c r="K70" i="4"/>
  <c r="B70" i="4"/>
  <c r="B72" i="4"/>
  <c r="K72" i="4"/>
  <c r="B74" i="4"/>
  <c r="K74" i="4"/>
  <c r="B76" i="4"/>
  <c r="K76" i="4"/>
  <c r="K78" i="4"/>
  <c r="B78" i="4"/>
  <c r="B80" i="4"/>
  <c r="K80" i="4"/>
  <c r="B82" i="4"/>
  <c r="K82" i="4"/>
  <c r="B84" i="4"/>
  <c r="K84" i="4"/>
  <c r="K86" i="4"/>
  <c r="B86" i="4"/>
  <c r="B88" i="4"/>
  <c r="K88" i="4"/>
  <c r="B90" i="4"/>
  <c r="K90" i="4"/>
  <c r="K92" i="4"/>
  <c r="B92" i="4"/>
  <c r="K94" i="4"/>
  <c r="B94" i="4"/>
  <c r="B96" i="4"/>
  <c r="K96" i="4"/>
  <c r="K98" i="4"/>
  <c r="B98" i="4"/>
  <c r="K100" i="4"/>
  <c r="B100" i="4"/>
  <c r="B102" i="4"/>
  <c r="K102" i="4"/>
  <c r="K104" i="4"/>
  <c r="B104" i="4"/>
  <c r="Z6" i="4"/>
  <c r="T6" i="4"/>
  <c r="Y6" i="4"/>
  <c r="X6" i="4"/>
  <c r="AA6" i="4"/>
  <c r="U6" i="4"/>
  <c r="Z18" i="4"/>
  <c r="T18" i="4"/>
  <c r="Y18" i="4"/>
  <c r="X18" i="4"/>
  <c r="W18" i="4"/>
  <c r="AA18" i="4"/>
  <c r="U18" i="4"/>
  <c r="Z24" i="4"/>
  <c r="T24" i="4"/>
  <c r="Y24" i="4"/>
  <c r="X24" i="4"/>
  <c r="W24" i="4"/>
  <c r="AA24" i="4"/>
  <c r="U24" i="4"/>
  <c r="Z12" i="4"/>
  <c r="T12" i="4"/>
  <c r="Y12" i="4"/>
  <c r="X12" i="4"/>
  <c r="W12" i="4"/>
  <c r="AA12" i="4"/>
  <c r="U12" i="4"/>
  <c r="V6" i="4"/>
  <c r="Y7" i="4"/>
  <c r="X7" i="4"/>
  <c r="W7" i="4"/>
  <c r="Z7" i="4"/>
  <c r="T7" i="4"/>
  <c r="V18" i="4"/>
  <c r="V5" i="4"/>
  <c r="X9" i="4"/>
  <c r="W10" i="4"/>
  <c r="V11" i="4"/>
  <c r="T13" i="4"/>
  <c r="Z13" i="4"/>
  <c r="X15" i="4"/>
  <c r="W16" i="4"/>
  <c r="V17" i="4"/>
  <c r="T19" i="4"/>
  <c r="Z19" i="4"/>
  <c r="X21" i="4"/>
  <c r="W22" i="4"/>
  <c r="V23" i="4"/>
  <c r="T25" i="4"/>
  <c r="Z25" i="4"/>
  <c r="AA27" i="4"/>
  <c r="W30" i="4"/>
  <c r="V30" i="4"/>
  <c r="Z30" i="4"/>
  <c r="T30" i="4"/>
  <c r="AA30" i="4"/>
  <c r="Z33" i="4"/>
  <c r="T33" i="4"/>
  <c r="Y33" i="4"/>
  <c r="W33" i="4"/>
  <c r="AA33" i="4"/>
  <c r="U33" i="4"/>
  <c r="V13" i="4"/>
  <c r="V19" i="4"/>
  <c r="Y22" i="4"/>
  <c r="V25" i="4"/>
  <c r="U9" i="4"/>
  <c r="AA9" i="4"/>
  <c r="T10" i="4"/>
  <c r="Z10" i="4"/>
  <c r="W13" i="4"/>
  <c r="U15" i="4"/>
  <c r="AA15" i="4"/>
  <c r="T16" i="4"/>
  <c r="Z16" i="4"/>
  <c r="W19" i="4"/>
  <c r="U21" i="4"/>
  <c r="AA21" i="4"/>
  <c r="T22" i="4"/>
  <c r="Z22" i="4"/>
  <c r="Y23" i="4"/>
  <c r="W25" i="4"/>
  <c r="V26" i="4"/>
  <c r="V27" i="4"/>
  <c r="X29" i="4"/>
  <c r="AA29" i="4"/>
  <c r="U29" i="4"/>
  <c r="W29" i="4"/>
  <c r="U30" i="4"/>
  <c r="V33" i="4"/>
  <c r="U10" i="4"/>
  <c r="AA10" i="4"/>
  <c r="X13" i="4"/>
  <c r="U16" i="4"/>
  <c r="AA16" i="4"/>
  <c r="X19" i="4"/>
  <c r="U22" i="4"/>
  <c r="AA22" i="4"/>
  <c r="T23" i="4"/>
  <c r="X25" i="4"/>
  <c r="X30" i="4"/>
  <c r="X33" i="4"/>
  <c r="Z27" i="4"/>
  <c r="T27" i="4"/>
  <c r="W27" i="4"/>
  <c r="Y27" i="4"/>
  <c r="Y30" i="4"/>
  <c r="V32" i="4"/>
  <c r="V34" i="4"/>
  <c r="AA39" i="4"/>
  <c r="U39" i="4"/>
  <c r="Y39" i="4"/>
  <c r="X39" i="4"/>
  <c r="W39" i="4"/>
  <c r="V49" i="4"/>
  <c r="Z52" i="4"/>
  <c r="T52" i="4"/>
  <c r="X52" i="4"/>
  <c r="W52" i="4"/>
  <c r="AA52" i="4"/>
  <c r="AA60" i="4"/>
  <c r="U60" i="4"/>
  <c r="Z60" i="4"/>
  <c r="T60" i="4"/>
  <c r="Y60" i="4"/>
  <c r="W60" i="4"/>
  <c r="V60" i="4"/>
  <c r="T68" i="4"/>
  <c r="X49" i="4"/>
  <c r="W55" i="4"/>
  <c r="AA55" i="4"/>
  <c r="U55" i="4"/>
  <c r="Z55" i="4"/>
  <c r="T55" i="4"/>
  <c r="X56" i="4"/>
  <c r="AA56" i="4"/>
  <c r="T56" i="4"/>
  <c r="Y56" i="4"/>
  <c r="W56" i="4"/>
  <c r="V28" i="4"/>
  <c r="Y31" i="4"/>
  <c r="X32" i="4"/>
  <c r="Y34" i="4"/>
  <c r="X35" i="4"/>
  <c r="AA37" i="4"/>
  <c r="U37" i="4"/>
  <c r="Z37" i="4"/>
  <c r="T37" i="4"/>
  <c r="X37" i="4"/>
  <c r="Z46" i="4"/>
  <c r="T46" i="4"/>
  <c r="X46" i="4"/>
  <c r="W46" i="4"/>
  <c r="AA46" i="4"/>
  <c r="AA51" i="4"/>
  <c r="U51" i="4"/>
  <c r="Y51" i="4"/>
  <c r="X51" i="4"/>
  <c r="W51" i="4"/>
  <c r="Z61" i="4"/>
  <c r="T61" i="4"/>
  <c r="Y61" i="4"/>
  <c r="V61" i="4"/>
  <c r="AA61" i="4"/>
  <c r="X61" i="4"/>
  <c r="AA66" i="4"/>
  <c r="U66" i="4"/>
  <c r="Z66" i="4"/>
  <c r="T66" i="4"/>
  <c r="Y66" i="4"/>
  <c r="W66" i="4"/>
  <c r="V66" i="4"/>
  <c r="Z67" i="4"/>
  <c r="T67" i="4"/>
  <c r="Y67" i="4"/>
  <c r="X67" i="4"/>
  <c r="U67" i="4"/>
  <c r="AA67" i="4"/>
  <c r="W49" i="4"/>
  <c r="AA49" i="4"/>
  <c r="U49" i="4"/>
  <c r="Z49" i="4"/>
  <c r="T49" i="4"/>
  <c r="Y68" i="4"/>
  <c r="X68" i="4"/>
  <c r="W68" i="4"/>
  <c r="AA68" i="4"/>
  <c r="V68" i="4"/>
  <c r="U68" i="4"/>
  <c r="T32" i="4"/>
  <c r="Z32" i="4"/>
  <c r="T34" i="4"/>
  <c r="AA34" i="4"/>
  <c r="Z38" i="4"/>
  <c r="T38" i="4"/>
  <c r="Y38" i="4"/>
  <c r="W38" i="4"/>
  <c r="T39" i="4"/>
  <c r="Z40" i="4"/>
  <c r="T40" i="4"/>
  <c r="X40" i="4"/>
  <c r="W40" i="4"/>
  <c r="AA40" i="4"/>
  <c r="AA45" i="4"/>
  <c r="U45" i="4"/>
  <c r="Y45" i="4"/>
  <c r="X45" i="4"/>
  <c r="W45" i="4"/>
  <c r="V52" i="4"/>
  <c r="V55" i="4"/>
  <c r="U56" i="4"/>
  <c r="U32" i="4"/>
  <c r="U34" i="4"/>
  <c r="X38" i="4"/>
  <c r="V39" i="4"/>
  <c r="W43" i="4"/>
  <c r="AA43" i="4"/>
  <c r="U43" i="4"/>
  <c r="Z43" i="4"/>
  <c r="T43" i="4"/>
  <c r="Z45" i="4"/>
  <c r="Y52" i="4"/>
  <c r="X55" i="4"/>
  <c r="V56" i="4"/>
  <c r="X66" i="4"/>
  <c r="V67" i="4"/>
  <c r="V41" i="4"/>
  <c r="Y44" i="4"/>
  <c r="V47" i="4"/>
  <c r="Y50" i="4"/>
  <c r="V53" i="4"/>
  <c r="T62" i="4"/>
  <c r="T44" i="4"/>
  <c r="Z44" i="4"/>
  <c r="T50" i="4"/>
  <c r="Z50" i="4"/>
  <c r="X57" i="4"/>
  <c r="Y62" i="4"/>
  <c r="X62" i="4"/>
  <c r="W62" i="4"/>
  <c r="Z62" i="4"/>
  <c r="V63" i="4"/>
  <c r="V69" i="4"/>
  <c r="AA75" i="4"/>
  <c r="U75" i="4"/>
  <c r="Y75" i="4"/>
  <c r="W75" i="4"/>
  <c r="Y77" i="4"/>
  <c r="X77" i="4"/>
  <c r="W77" i="4"/>
  <c r="Z77" i="4"/>
  <c r="AA82" i="4"/>
  <c r="U82" i="4"/>
  <c r="Z82" i="4"/>
  <c r="T82" i="4"/>
  <c r="V82" i="4"/>
  <c r="Y82" i="4"/>
  <c r="U59" i="4"/>
  <c r="AA59" i="4"/>
  <c r="W63" i="4"/>
  <c r="U65" i="4"/>
  <c r="AA65" i="4"/>
  <c r="W69" i="4"/>
  <c r="V70" i="4"/>
  <c r="U71" i="4"/>
  <c r="AA71" i="4"/>
  <c r="X75" i="4"/>
  <c r="AA77" i="4"/>
  <c r="W73" i="4"/>
  <c r="AA73" i="4"/>
  <c r="U73" i="4"/>
  <c r="Y73" i="4"/>
  <c r="Z75" i="4"/>
  <c r="Y92" i="4"/>
  <c r="X92" i="4"/>
  <c r="T92" i="4"/>
  <c r="AA92" i="4"/>
  <c r="U92" i="4"/>
  <c r="V92" i="4"/>
  <c r="Z97" i="4"/>
  <c r="T97" i="4"/>
  <c r="Y97" i="4"/>
  <c r="U97" i="4"/>
  <c r="AA97" i="4"/>
  <c r="V97" i="4"/>
  <c r="W97" i="4"/>
  <c r="V72" i="4"/>
  <c r="Z73" i="4"/>
  <c r="Z76" i="4"/>
  <c r="T76" i="4"/>
  <c r="Y76" i="4"/>
  <c r="X76" i="4"/>
  <c r="W76" i="4"/>
  <c r="T77" i="4"/>
  <c r="AA81" i="4"/>
  <c r="U81" i="4"/>
  <c r="Z81" i="4"/>
  <c r="T81" i="4"/>
  <c r="Y81" i="4"/>
  <c r="X81" i="4"/>
  <c r="X85" i="4"/>
  <c r="W85" i="4"/>
  <c r="Y85" i="4"/>
  <c r="Z85" i="4"/>
  <c r="T74" i="4"/>
  <c r="Z74" i="4"/>
  <c r="V78" i="4"/>
  <c r="U79" i="4"/>
  <c r="AA79" i="4"/>
  <c r="T80" i="4"/>
  <c r="Z80" i="4"/>
  <c r="Z83" i="4"/>
  <c r="T83" i="4"/>
  <c r="Y83" i="4"/>
  <c r="W83" i="4"/>
  <c r="AA85" i="4"/>
  <c r="V79" i="4"/>
  <c r="AA83" i="4"/>
  <c r="Y84" i="4"/>
  <c r="X84" i="4"/>
  <c r="Z84" i="4"/>
  <c r="T84" i="4"/>
  <c r="W84" i="4"/>
  <c r="T85" i="4"/>
  <c r="AA90" i="4"/>
  <c r="U90" i="4"/>
  <c r="Z90" i="4"/>
  <c r="T90" i="4"/>
  <c r="Y90" i="4"/>
  <c r="V88" i="4"/>
  <c r="Y96" i="4"/>
  <c r="X99" i="4"/>
  <c r="W99" i="4"/>
  <c r="Y99" i="4"/>
  <c r="Z103" i="4"/>
  <c r="T103" i="4"/>
  <c r="Y103" i="4"/>
  <c r="X103" i="4"/>
  <c r="W103" i="4"/>
  <c r="Y98" i="4"/>
  <c r="X98" i="4"/>
  <c r="V98" i="4"/>
  <c r="AA102" i="4"/>
  <c r="U102" i="4"/>
  <c r="Z102" i="4"/>
  <c r="T102" i="4"/>
  <c r="Y102" i="4"/>
  <c r="X102" i="4"/>
  <c r="Y104" i="4"/>
  <c r="X104" i="4"/>
  <c r="W104" i="4"/>
  <c r="Z104" i="4"/>
  <c r="U87" i="4"/>
  <c r="AA87" i="4"/>
  <c r="T88" i="4"/>
  <c r="Z88" i="4"/>
  <c r="X93" i="4"/>
  <c r="W93" i="4"/>
  <c r="Y93" i="4"/>
  <c r="W98" i="4"/>
  <c r="U99" i="4"/>
  <c r="U103" i="4"/>
  <c r="AA104" i="4"/>
  <c r="U88" i="4"/>
  <c r="Z91" i="4"/>
  <c r="T91" i="4"/>
  <c r="Y91" i="4"/>
  <c r="W91" i="4"/>
  <c r="AA96" i="4"/>
  <c r="U96" i="4"/>
  <c r="Z96" i="4"/>
  <c r="T96" i="4"/>
  <c r="X96" i="4"/>
  <c r="Z98" i="4"/>
  <c r="V99" i="4"/>
  <c r="V103" i="4"/>
  <c r="U89" i="4"/>
  <c r="AA89" i="4"/>
  <c r="V94" i="4"/>
  <c r="U95" i="4"/>
  <c r="AA95" i="4"/>
  <c r="V100" i="4"/>
  <c r="U101" i="4"/>
  <c r="AA101" i="4"/>
  <c r="AN44" i="4" l="1"/>
  <c r="A1595" i="3" s="1"/>
  <c r="AH44" i="4"/>
  <c r="A1584" i="3" s="1"/>
  <c r="AB44" i="4"/>
  <c r="A1578" i="3" s="1"/>
  <c r="AL44" i="4"/>
  <c r="A1593" i="3" s="1"/>
  <c r="AF44" i="4"/>
  <c r="A1582" i="3" s="1"/>
  <c r="AQ44" i="4"/>
  <c r="A1598" i="3" s="1"/>
  <c r="AK44" i="4"/>
  <c r="A1592" i="3" s="1"/>
  <c r="AE44" i="4"/>
  <c r="A1581" i="3" s="1"/>
  <c r="AG44" i="4"/>
  <c r="A1583" i="3" s="1"/>
  <c r="AP44" i="4"/>
  <c r="A1597" i="3" s="1"/>
  <c r="AD44" i="4"/>
  <c r="A1580" i="3" s="1"/>
  <c r="AO44" i="4"/>
  <c r="A1596" i="3" s="1"/>
  <c r="AC44" i="4"/>
  <c r="A1579" i="3" s="1"/>
  <c r="AM44" i="4"/>
  <c r="A1594" i="3" s="1"/>
  <c r="AJ44" i="4"/>
  <c r="A1591" i="3" s="1"/>
  <c r="AI44" i="4"/>
  <c r="A1585" i="3" s="1"/>
  <c r="A1600" i="3"/>
  <c r="A1588" i="3"/>
  <c r="A1576" i="3"/>
  <c r="A1570" i="3"/>
  <c r="A1564" i="3"/>
  <c r="A1599" i="3"/>
  <c r="A1587" i="3"/>
  <c r="A1575" i="3"/>
  <c r="A1569" i="3"/>
  <c r="A1586" i="3"/>
  <c r="A1574" i="3"/>
  <c r="A1568" i="3"/>
  <c r="A1601" i="3"/>
  <c r="A1589" i="3"/>
  <c r="A1577" i="3"/>
  <c r="A1571" i="3"/>
  <c r="A1565" i="3"/>
  <c r="A1590" i="3"/>
  <c r="A1572" i="3"/>
  <c r="A1567" i="3"/>
  <c r="A1602" i="3"/>
  <c r="A1566" i="3"/>
  <c r="A1573" i="3"/>
  <c r="AN65" i="4"/>
  <c r="A2435" i="3" s="1"/>
  <c r="AH65" i="4"/>
  <c r="A2424" i="3" s="1"/>
  <c r="AB65" i="4"/>
  <c r="A2418" i="3" s="1"/>
  <c r="AM65" i="4"/>
  <c r="A2434" i="3" s="1"/>
  <c r="AG65" i="4"/>
  <c r="A2423" i="3" s="1"/>
  <c r="AL65" i="4"/>
  <c r="A2433" i="3" s="1"/>
  <c r="AF65" i="4"/>
  <c r="A2422" i="3" s="1"/>
  <c r="AI65" i="4"/>
  <c r="A2425" i="3" s="1"/>
  <c r="AP65" i="4"/>
  <c r="A2437" i="3" s="1"/>
  <c r="AD65" i="4"/>
  <c r="A2420" i="3" s="1"/>
  <c r="AO65" i="4"/>
  <c r="A2436" i="3" s="1"/>
  <c r="AC65" i="4"/>
  <c r="A2419" i="3" s="1"/>
  <c r="AQ65" i="4"/>
  <c r="A2438" i="3" s="1"/>
  <c r="AK65" i="4"/>
  <c r="A2432" i="3" s="1"/>
  <c r="AJ65" i="4"/>
  <c r="A2431" i="3" s="1"/>
  <c r="AE65" i="4"/>
  <c r="A2421" i="3" s="1"/>
  <c r="A2440" i="3"/>
  <c r="A2428" i="3"/>
  <c r="A2416" i="3"/>
  <c r="A2410" i="3"/>
  <c r="A2404" i="3"/>
  <c r="A2439" i="3"/>
  <c r="A2427" i="3"/>
  <c r="A2415" i="3"/>
  <c r="A2409" i="3"/>
  <c r="A2426" i="3"/>
  <c r="A2414" i="3"/>
  <c r="A2408" i="3"/>
  <c r="A2413" i="3"/>
  <c r="A2407" i="3"/>
  <c r="A2441" i="3"/>
  <c r="A2429" i="3"/>
  <c r="A2417" i="3"/>
  <c r="A2411" i="3"/>
  <c r="A2405" i="3"/>
  <c r="A2430" i="3"/>
  <c r="A2412" i="3"/>
  <c r="A2406" i="3"/>
  <c r="A2442" i="3"/>
  <c r="AQ104" i="4"/>
  <c r="A3998" i="3" s="1"/>
  <c r="AK104" i="4"/>
  <c r="A3992" i="3" s="1"/>
  <c r="AE104" i="4"/>
  <c r="A3981" i="3" s="1"/>
  <c r="AP104" i="4"/>
  <c r="A3997" i="3" s="1"/>
  <c r="AJ104" i="4"/>
  <c r="A3991" i="3" s="1"/>
  <c r="AD104" i="4"/>
  <c r="A3980" i="3" s="1"/>
  <c r="AO104" i="4"/>
  <c r="A3996" i="3" s="1"/>
  <c r="AI104" i="4"/>
  <c r="A3985" i="3" s="1"/>
  <c r="AC104" i="4"/>
  <c r="A3979" i="3" s="1"/>
  <c r="AN104" i="4"/>
  <c r="A3995" i="3" s="1"/>
  <c r="AB104" i="4"/>
  <c r="A3978" i="3" s="1"/>
  <c r="AM104" i="4"/>
  <c r="A3994" i="3" s="1"/>
  <c r="AL104" i="4"/>
  <c r="A3993" i="3" s="1"/>
  <c r="AF104" i="4"/>
  <c r="A3982" i="3" s="1"/>
  <c r="AH104" i="4"/>
  <c r="A3984" i="3" s="1"/>
  <c r="AG104" i="4"/>
  <c r="A3983" i="3" s="1"/>
  <c r="A3999" i="3"/>
  <c r="A3986" i="3"/>
  <c r="A3974" i="3"/>
  <c r="A4001" i="3"/>
  <c r="A3989" i="3"/>
  <c r="A3977" i="3"/>
  <c r="A3971" i="3"/>
  <c r="A3965" i="3"/>
  <c r="A3973" i="3"/>
  <c r="A3966" i="3"/>
  <c r="A4002" i="3"/>
  <c r="A3990" i="3"/>
  <c r="A3972" i="3"/>
  <c r="A3964" i="3"/>
  <c r="A4000" i="3"/>
  <c r="A3988" i="3"/>
  <c r="A3970" i="3"/>
  <c r="A3987" i="3"/>
  <c r="A3969" i="3"/>
  <c r="A3976" i="3"/>
  <c r="A3968" i="3"/>
  <c r="A3975" i="3"/>
  <c r="A3967" i="3"/>
  <c r="AQ98" i="4"/>
  <c r="A3758" i="3" s="1"/>
  <c r="AK98" i="4"/>
  <c r="A3752" i="3" s="1"/>
  <c r="AE98" i="4"/>
  <c r="A3741" i="3" s="1"/>
  <c r="AP98" i="4"/>
  <c r="A3757" i="3" s="1"/>
  <c r="AJ98" i="4"/>
  <c r="A3751" i="3" s="1"/>
  <c r="AD98" i="4"/>
  <c r="A3740" i="3" s="1"/>
  <c r="AH98" i="4"/>
  <c r="A3744" i="3" s="1"/>
  <c r="AO98" i="4"/>
  <c r="A3756" i="3" s="1"/>
  <c r="AG98" i="4"/>
  <c r="A3743" i="3" s="1"/>
  <c r="AN98" i="4"/>
  <c r="A3755" i="3" s="1"/>
  <c r="AF98" i="4"/>
  <c r="A3742" i="3" s="1"/>
  <c r="AI98" i="4"/>
  <c r="A3745" i="3" s="1"/>
  <c r="AM98" i="4"/>
  <c r="A3754" i="3" s="1"/>
  <c r="AL98" i="4"/>
  <c r="A3753" i="3" s="1"/>
  <c r="AC98" i="4"/>
  <c r="A3739" i="3" s="1"/>
  <c r="AB98" i="4"/>
  <c r="A3738" i="3" s="1"/>
  <c r="A3761" i="3"/>
  <c r="A3749" i="3"/>
  <c r="A3759" i="3"/>
  <c r="A3733" i="3"/>
  <c r="A3727" i="3"/>
  <c r="A3732" i="3"/>
  <c r="A3726" i="3"/>
  <c r="A3750" i="3"/>
  <c r="A3737" i="3"/>
  <c r="A3731" i="3"/>
  <c r="A3725" i="3"/>
  <c r="A3748" i="3"/>
  <c r="A3736" i="3"/>
  <c r="A3730" i="3"/>
  <c r="A3724" i="3"/>
  <c r="A3762" i="3"/>
  <c r="A3747" i="3"/>
  <c r="A3735" i="3"/>
  <c r="A3729" i="3"/>
  <c r="A3760" i="3"/>
  <c r="A3746" i="3"/>
  <c r="A3734" i="3"/>
  <c r="A3728" i="3"/>
  <c r="AQ92" i="4"/>
  <c r="A3518" i="3" s="1"/>
  <c r="AK92" i="4"/>
  <c r="A3512" i="3" s="1"/>
  <c r="AE92" i="4"/>
  <c r="A3501" i="3" s="1"/>
  <c r="AP92" i="4"/>
  <c r="A3517" i="3" s="1"/>
  <c r="AJ92" i="4"/>
  <c r="A3511" i="3" s="1"/>
  <c r="AD92" i="4"/>
  <c r="A3500" i="3" s="1"/>
  <c r="AL92" i="4"/>
  <c r="A3513" i="3" s="1"/>
  <c r="AB92" i="4"/>
  <c r="A3498" i="3" s="1"/>
  <c r="AI92" i="4"/>
  <c r="A3505" i="3" s="1"/>
  <c r="AM92" i="4"/>
  <c r="A3514" i="3" s="1"/>
  <c r="AC92" i="4"/>
  <c r="A3499" i="3" s="1"/>
  <c r="AN92" i="4"/>
  <c r="A3515" i="3" s="1"/>
  <c r="AH92" i="4"/>
  <c r="A3504" i="3" s="1"/>
  <c r="AG92" i="4"/>
  <c r="A3503" i="3" s="1"/>
  <c r="AF92" i="4"/>
  <c r="A3502" i="3" s="1"/>
  <c r="AO92" i="4"/>
  <c r="A3516" i="3" s="1"/>
  <c r="A3493" i="3"/>
  <c r="A3487" i="3"/>
  <c r="A3522" i="3"/>
  <c r="A3510" i="3"/>
  <c r="A3492" i="3"/>
  <c r="A3486" i="3"/>
  <c r="A3521" i="3"/>
  <c r="A3509" i="3"/>
  <c r="A3497" i="3"/>
  <c r="A3491" i="3"/>
  <c r="A3485" i="3"/>
  <c r="A3520" i="3"/>
  <c r="A3508" i="3"/>
  <c r="A3496" i="3"/>
  <c r="A3490" i="3"/>
  <c r="A3484" i="3"/>
  <c r="A3495" i="3"/>
  <c r="A3494" i="3"/>
  <c r="A3507" i="3"/>
  <c r="A3489" i="3"/>
  <c r="A3506" i="3"/>
  <c r="A3488" i="3"/>
  <c r="A3519" i="3"/>
  <c r="AO86" i="4"/>
  <c r="A3276" i="3" s="1"/>
  <c r="AI86" i="4"/>
  <c r="A3265" i="3" s="1"/>
  <c r="AC86" i="4"/>
  <c r="A3259" i="3" s="1"/>
  <c r="AN86" i="4"/>
  <c r="A3275" i="3" s="1"/>
  <c r="AH86" i="4"/>
  <c r="A3264" i="3" s="1"/>
  <c r="AB86" i="4"/>
  <c r="A3258" i="3" s="1"/>
  <c r="AP86" i="4"/>
  <c r="A3277" i="3" s="1"/>
  <c r="AJ86" i="4"/>
  <c r="A3271" i="3" s="1"/>
  <c r="AD86" i="4"/>
  <c r="A3260" i="3" s="1"/>
  <c r="AG86" i="4"/>
  <c r="A3263" i="3" s="1"/>
  <c r="AF86" i="4"/>
  <c r="A3262" i="3" s="1"/>
  <c r="AQ86" i="4"/>
  <c r="A3278" i="3" s="1"/>
  <c r="AE86" i="4"/>
  <c r="A3261" i="3" s="1"/>
  <c r="AM86" i="4"/>
  <c r="A3274" i="3" s="1"/>
  <c r="AL86" i="4"/>
  <c r="A3273" i="3" s="1"/>
  <c r="AK86" i="4"/>
  <c r="A3272" i="3" s="1"/>
  <c r="A3281" i="3"/>
  <c r="A3269" i="3"/>
  <c r="A3257" i="3"/>
  <c r="A3251" i="3"/>
  <c r="A3245" i="3"/>
  <c r="A3280" i="3"/>
  <c r="A3268" i="3"/>
  <c r="A3256" i="3"/>
  <c r="A3250" i="3"/>
  <c r="A3244" i="3"/>
  <c r="A3279" i="3"/>
  <c r="A3267" i="3"/>
  <c r="A3255" i="3"/>
  <c r="A3249" i="3"/>
  <c r="A3266" i="3"/>
  <c r="A3254" i="3"/>
  <c r="A3248" i="3"/>
  <c r="A3253" i="3"/>
  <c r="A3247" i="3"/>
  <c r="A3282" i="3"/>
  <c r="A3270" i="3"/>
  <c r="A3252" i="3"/>
  <c r="A3246" i="3"/>
  <c r="AQ68" i="4"/>
  <c r="A2558" i="3" s="1"/>
  <c r="AK68" i="4"/>
  <c r="A2552" i="3" s="1"/>
  <c r="AE68" i="4"/>
  <c r="A2541" i="3" s="1"/>
  <c r="AP68" i="4"/>
  <c r="A2557" i="3" s="1"/>
  <c r="AJ68" i="4"/>
  <c r="A2551" i="3" s="1"/>
  <c r="AD68" i="4"/>
  <c r="A2540" i="3" s="1"/>
  <c r="AO68" i="4"/>
  <c r="A2556" i="3" s="1"/>
  <c r="AI68" i="4"/>
  <c r="A2545" i="3" s="1"/>
  <c r="AC68" i="4"/>
  <c r="A2539" i="3" s="1"/>
  <c r="AM68" i="4"/>
  <c r="A2554" i="3" s="1"/>
  <c r="AH68" i="4"/>
  <c r="A2544" i="3" s="1"/>
  <c r="AG68" i="4"/>
  <c r="A2543" i="3" s="1"/>
  <c r="AN68" i="4"/>
  <c r="A2555" i="3" s="1"/>
  <c r="AL68" i="4"/>
  <c r="A2553" i="3" s="1"/>
  <c r="AF68" i="4"/>
  <c r="A2542" i="3" s="1"/>
  <c r="AB68" i="4"/>
  <c r="A2538" i="3" s="1"/>
  <c r="A2561" i="3"/>
  <c r="A2549" i="3"/>
  <c r="A2537" i="3"/>
  <c r="A2531" i="3"/>
  <c r="A2525" i="3"/>
  <c r="A2560" i="3"/>
  <c r="A2548" i="3"/>
  <c r="A2536" i="3"/>
  <c r="A2530" i="3"/>
  <c r="A2524" i="3"/>
  <c r="A2559" i="3"/>
  <c r="A2546" i="3"/>
  <c r="A2534" i="3"/>
  <c r="A2528" i="3"/>
  <c r="A2533" i="3"/>
  <c r="A2527" i="3"/>
  <c r="A2562" i="3"/>
  <c r="A2550" i="3"/>
  <c r="A2532" i="3"/>
  <c r="A2526" i="3"/>
  <c r="A2547" i="3"/>
  <c r="A2529" i="3"/>
  <c r="A2535" i="3"/>
  <c r="AQ62" i="4"/>
  <c r="A2318" i="3" s="1"/>
  <c r="AK62" i="4"/>
  <c r="A2312" i="3" s="1"/>
  <c r="AE62" i="4"/>
  <c r="A2301" i="3" s="1"/>
  <c r="AP62" i="4"/>
  <c r="A2317" i="3" s="1"/>
  <c r="AJ62" i="4"/>
  <c r="A2311" i="3" s="1"/>
  <c r="AD62" i="4"/>
  <c r="A2300" i="3" s="1"/>
  <c r="AO62" i="4"/>
  <c r="A2316" i="3" s="1"/>
  <c r="AI62" i="4"/>
  <c r="A2305" i="3" s="1"/>
  <c r="AC62" i="4"/>
  <c r="A2299" i="3" s="1"/>
  <c r="AL62" i="4"/>
  <c r="A2313" i="3" s="1"/>
  <c r="AG62" i="4"/>
  <c r="A2303" i="3" s="1"/>
  <c r="AF62" i="4"/>
  <c r="A2302" i="3" s="1"/>
  <c r="AH62" i="4"/>
  <c r="A2304" i="3" s="1"/>
  <c r="AB62" i="4"/>
  <c r="A2298" i="3" s="1"/>
  <c r="AN62" i="4"/>
  <c r="A2315" i="3" s="1"/>
  <c r="AM62" i="4"/>
  <c r="A2314" i="3" s="1"/>
  <c r="A2320" i="3"/>
  <c r="A2308" i="3"/>
  <c r="A2296" i="3"/>
  <c r="A2290" i="3"/>
  <c r="A2284" i="3"/>
  <c r="A2319" i="3"/>
  <c r="A2307" i="3"/>
  <c r="A2295" i="3"/>
  <c r="A2289" i="3"/>
  <c r="A2306" i="3"/>
  <c r="A2294" i="3"/>
  <c r="A2288" i="3"/>
  <c r="A2293" i="3"/>
  <c r="A2287" i="3"/>
  <c r="A2321" i="3"/>
  <c r="A2309" i="3"/>
  <c r="A2297" i="3"/>
  <c r="A2291" i="3"/>
  <c r="A2285" i="3"/>
  <c r="A2292" i="3"/>
  <c r="A2322" i="3"/>
  <c r="A2286" i="3"/>
  <c r="A2310" i="3"/>
  <c r="AP56" i="4"/>
  <c r="A2077" i="3" s="1"/>
  <c r="AJ56" i="4"/>
  <c r="A2071" i="3" s="1"/>
  <c r="AD56" i="4"/>
  <c r="A2060" i="3" s="1"/>
  <c r="AO56" i="4"/>
  <c r="A2076" i="3" s="1"/>
  <c r="AH56" i="4"/>
  <c r="A2064" i="3" s="1"/>
  <c r="AM56" i="4"/>
  <c r="A2074" i="3" s="1"/>
  <c r="AF56" i="4"/>
  <c r="A2062" i="3" s="1"/>
  <c r="AL56" i="4"/>
  <c r="A2073" i="3" s="1"/>
  <c r="AE56" i="4"/>
  <c r="A2061" i="3" s="1"/>
  <c r="AK56" i="4"/>
  <c r="A2072" i="3" s="1"/>
  <c r="AI56" i="4"/>
  <c r="A2065" i="3" s="1"/>
  <c r="AG56" i="4"/>
  <c r="A2063" i="3" s="1"/>
  <c r="AC56" i="4"/>
  <c r="A2059" i="3" s="1"/>
  <c r="AQ56" i="4"/>
  <c r="A2078" i="3" s="1"/>
  <c r="AB56" i="4"/>
  <c r="A2058" i="3" s="1"/>
  <c r="AN56" i="4"/>
  <c r="A2075" i="3" s="1"/>
  <c r="A2080" i="3"/>
  <c r="A2068" i="3"/>
  <c r="A2056" i="3"/>
  <c r="A2050" i="3"/>
  <c r="A2044" i="3"/>
  <c r="A2079" i="3"/>
  <c r="A2067" i="3"/>
  <c r="A2055" i="3"/>
  <c r="A2049" i="3"/>
  <c r="A2066" i="3"/>
  <c r="A2054" i="3"/>
  <c r="A2048" i="3"/>
  <c r="A2053" i="3"/>
  <c r="A2047" i="3"/>
  <c r="A2081" i="3"/>
  <c r="A2069" i="3"/>
  <c r="A2057" i="3"/>
  <c r="A2051" i="3"/>
  <c r="A2045" i="3"/>
  <c r="A2052" i="3"/>
  <c r="A2082" i="3"/>
  <c r="A2046" i="3"/>
  <c r="A2070" i="3"/>
  <c r="AP26" i="4"/>
  <c r="A877" i="3" s="1"/>
  <c r="AJ26" i="4"/>
  <c r="A871" i="3" s="1"/>
  <c r="AD26" i="4"/>
  <c r="A860" i="3" s="1"/>
  <c r="AM26" i="4"/>
  <c r="A874" i="3" s="1"/>
  <c r="AF26" i="4"/>
  <c r="A862" i="3" s="1"/>
  <c r="AL26" i="4"/>
  <c r="A873" i="3" s="1"/>
  <c r="AE26" i="4"/>
  <c r="A861" i="3" s="1"/>
  <c r="AK26" i="4"/>
  <c r="A872" i="3" s="1"/>
  <c r="AC26" i="4"/>
  <c r="A859" i="3" s="1"/>
  <c r="AQ26" i="4"/>
  <c r="A878" i="3" s="1"/>
  <c r="AI26" i="4"/>
  <c r="A865" i="3" s="1"/>
  <c r="AB26" i="4"/>
  <c r="A858" i="3" s="1"/>
  <c r="AN26" i="4"/>
  <c r="A875" i="3" s="1"/>
  <c r="AG26" i="4"/>
  <c r="A863" i="3" s="1"/>
  <c r="AO26" i="4"/>
  <c r="A876" i="3" s="1"/>
  <c r="AH26" i="4"/>
  <c r="A864" i="3" s="1"/>
  <c r="A879" i="3"/>
  <c r="A867" i="3"/>
  <c r="A855" i="3"/>
  <c r="A849" i="3"/>
  <c r="A866" i="3"/>
  <c r="A854" i="3"/>
  <c r="A848" i="3"/>
  <c r="A853" i="3"/>
  <c r="A847" i="3"/>
  <c r="A882" i="3"/>
  <c r="A870" i="3"/>
  <c r="A852" i="3"/>
  <c r="A846" i="3"/>
  <c r="A880" i="3"/>
  <c r="A868" i="3"/>
  <c r="A856" i="3"/>
  <c r="A850" i="3"/>
  <c r="A844" i="3"/>
  <c r="A851" i="3"/>
  <c r="A869" i="3"/>
  <c r="A857" i="3"/>
  <c r="A881" i="3"/>
  <c r="A845" i="3"/>
  <c r="AP20" i="4"/>
  <c r="A637" i="3" s="1"/>
  <c r="AJ20" i="4"/>
  <c r="A631" i="3" s="1"/>
  <c r="AD20" i="4"/>
  <c r="A620" i="3" s="1"/>
  <c r="AO20" i="4"/>
  <c r="A636" i="3" s="1"/>
  <c r="AI20" i="4"/>
  <c r="A625" i="3" s="1"/>
  <c r="AC20" i="4"/>
  <c r="A619" i="3" s="1"/>
  <c r="AN20" i="4"/>
  <c r="A635" i="3" s="1"/>
  <c r="AH20" i="4"/>
  <c r="A624" i="3" s="1"/>
  <c r="AB20" i="4"/>
  <c r="A618" i="3" s="1"/>
  <c r="AM20" i="4"/>
  <c r="A634" i="3" s="1"/>
  <c r="AG20" i="4"/>
  <c r="A623" i="3" s="1"/>
  <c r="AQ20" i="4"/>
  <c r="A638" i="3" s="1"/>
  <c r="AK20" i="4"/>
  <c r="A632" i="3" s="1"/>
  <c r="AE20" i="4"/>
  <c r="A621" i="3" s="1"/>
  <c r="AL20" i="4"/>
  <c r="A633" i="3" s="1"/>
  <c r="AF20" i="4"/>
  <c r="A622" i="3" s="1"/>
  <c r="A639" i="3"/>
  <c r="A627" i="3"/>
  <c r="A615" i="3"/>
  <c r="A609" i="3"/>
  <c r="A626" i="3"/>
  <c r="A614" i="3"/>
  <c r="A608" i="3"/>
  <c r="A640" i="3"/>
  <c r="A628" i="3"/>
  <c r="A616" i="3"/>
  <c r="A610" i="3"/>
  <c r="A604" i="3"/>
  <c r="A607" i="3"/>
  <c r="A612" i="3"/>
  <c r="A630" i="3"/>
  <c r="A606" i="3"/>
  <c r="A641" i="3"/>
  <c r="A629" i="3"/>
  <c r="A617" i="3"/>
  <c r="A605" i="3"/>
  <c r="A642" i="3"/>
  <c r="A613" i="3"/>
  <c r="A611" i="3"/>
  <c r="AP14" i="4"/>
  <c r="A397" i="3" s="1"/>
  <c r="AJ14" i="4"/>
  <c r="A391" i="3" s="1"/>
  <c r="AD14" i="4"/>
  <c r="A380" i="3" s="1"/>
  <c r="AO14" i="4"/>
  <c r="A396" i="3" s="1"/>
  <c r="AI14" i="4"/>
  <c r="A385" i="3" s="1"/>
  <c r="AC14" i="4"/>
  <c r="A379" i="3" s="1"/>
  <c r="AN14" i="4"/>
  <c r="A395" i="3" s="1"/>
  <c r="AH14" i="4"/>
  <c r="A384" i="3" s="1"/>
  <c r="AB14" i="4"/>
  <c r="A378" i="3" s="1"/>
  <c r="AM14" i="4"/>
  <c r="A394" i="3" s="1"/>
  <c r="AG14" i="4"/>
  <c r="A383" i="3" s="1"/>
  <c r="AQ14" i="4"/>
  <c r="A398" i="3" s="1"/>
  <c r="AK14" i="4"/>
  <c r="A392" i="3" s="1"/>
  <c r="AE14" i="4"/>
  <c r="A381" i="3" s="1"/>
  <c r="AL14" i="4"/>
  <c r="A393" i="3" s="1"/>
  <c r="AF14" i="4"/>
  <c r="A382" i="3" s="1"/>
  <c r="A373" i="3"/>
  <c r="A367" i="3"/>
  <c r="A387" i="3"/>
  <c r="A402" i="3"/>
  <c r="A390" i="3"/>
  <c r="A372" i="3"/>
  <c r="A366" i="3"/>
  <c r="A399" i="3"/>
  <c r="A375" i="3"/>
  <c r="A401" i="3"/>
  <c r="A389" i="3"/>
  <c r="A377" i="3"/>
  <c r="A371" i="3"/>
  <c r="A365" i="3"/>
  <c r="A400" i="3"/>
  <c r="A388" i="3"/>
  <c r="A376" i="3"/>
  <c r="A370" i="3"/>
  <c r="A364" i="3"/>
  <c r="A386" i="3"/>
  <c r="A374" i="3"/>
  <c r="A368" i="3"/>
  <c r="A369" i="3"/>
  <c r="AP8" i="4"/>
  <c r="A157" i="3" s="1"/>
  <c r="AJ8" i="4"/>
  <c r="A151" i="3" s="1"/>
  <c r="AD8" i="4"/>
  <c r="A140" i="3" s="1"/>
  <c r="AO8" i="4"/>
  <c r="A156" i="3" s="1"/>
  <c r="AI8" i="4"/>
  <c r="A145" i="3" s="1"/>
  <c r="AC8" i="4"/>
  <c r="A139" i="3" s="1"/>
  <c r="AN8" i="4"/>
  <c r="A155" i="3" s="1"/>
  <c r="AH8" i="4"/>
  <c r="A144" i="3" s="1"/>
  <c r="AB8" i="4"/>
  <c r="A138" i="3" s="1"/>
  <c r="AM8" i="4"/>
  <c r="A154" i="3" s="1"/>
  <c r="AG8" i="4"/>
  <c r="A143" i="3" s="1"/>
  <c r="AQ8" i="4"/>
  <c r="A158" i="3" s="1"/>
  <c r="AK8" i="4"/>
  <c r="A152" i="3" s="1"/>
  <c r="AE8" i="4"/>
  <c r="A141" i="3" s="1"/>
  <c r="AL8" i="4"/>
  <c r="A153" i="3" s="1"/>
  <c r="AF8" i="4"/>
  <c r="A142" i="3" s="1"/>
  <c r="A133" i="3"/>
  <c r="A127" i="3"/>
  <c r="A135" i="3"/>
  <c r="A162" i="3"/>
  <c r="A150" i="3"/>
  <c r="A132" i="3"/>
  <c r="A126" i="3"/>
  <c r="A161" i="3"/>
  <c r="A149" i="3"/>
  <c r="A137" i="3"/>
  <c r="A131" i="3"/>
  <c r="A125" i="3"/>
  <c r="A159" i="3"/>
  <c r="A129" i="3"/>
  <c r="A160" i="3"/>
  <c r="A148" i="3"/>
  <c r="A136" i="3"/>
  <c r="A130" i="3"/>
  <c r="A124" i="3"/>
  <c r="A147" i="3"/>
  <c r="A146" i="3"/>
  <c r="A134" i="3"/>
  <c r="A128" i="3"/>
  <c r="AN101" i="4"/>
  <c r="A3875" i="3" s="1"/>
  <c r="AH101" i="4"/>
  <c r="A3864" i="3" s="1"/>
  <c r="AB101" i="4"/>
  <c r="A3858" i="3" s="1"/>
  <c r="AM101" i="4"/>
  <c r="A3874" i="3" s="1"/>
  <c r="AG101" i="4"/>
  <c r="A3863" i="3" s="1"/>
  <c r="AL101" i="4"/>
  <c r="A3873" i="3" s="1"/>
  <c r="AF101" i="4"/>
  <c r="A3862" i="3" s="1"/>
  <c r="AJ101" i="4"/>
  <c r="A3871" i="3" s="1"/>
  <c r="AI101" i="4"/>
  <c r="A3865" i="3" s="1"/>
  <c r="AQ101" i="4"/>
  <c r="A3878" i="3" s="1"/>
  <c r="AE101" i="4"/>
  <c r="A3861" i="3" s="1"/>
  <c r="AK101" i="4"/>
  <c r="A3872" i="3" s="1"/>
  <c r="AP101" i="4"/>
  <c r="A3877" i="3" s="1"/>
  <c r="AO101" i="4"/>
  <c r="A3876" i="3" s="1"/>
  <c r="AD101" i="4"/>
  <c r="A3860" i="3" s="1"/>
  <c r="AC101" i="4"/>
  <c r="A3859" i="3" s="1"/>
  <c r="A3881" i="3"/>
  <c r="A3869" i="3"/>
  <c r="A3857" i="3"/>
  <c r="A3851" i="3"/>
  <c r="A3845" i="3"/>
  <c r="A3880" i="3"/>
  <c r="A3866" i="3"/>
  <c r="A3852" i="3"/>
  <c r="A3844" i="3"/>
  <c r="A3879" i="3"/>
  <c r="A3850" i="3"/>
  <c r="A3856" i="3"/>
  <c r="A3849" i="3"/>
  <c r="A3870" i="3"/>
  <c r="A3855" i="3"/>
  <c r="A3848" i="3"/>
  <c r="A3868" i="3"/>
  <c r="A3854" i="3"/>
  <c r="A3847" i="3"/>
  <c r="A3882" i="3"/>
  <c r="A3867" i="3"/>
  <c r="A3853" i="3"/>
  <c r="A3846" i="3"/>
  <c r="AN95" i="4"/>
  <c r="A3635" i="3" s="1"/>
  <c r="AH95" i="4"/>
  <c r="A3624" i="3" s="1"/>
  <c r="AB95" i="4"/>
  <c r="A3618" i="3" s="1"/>
  <c r="AM95" i="4"/>
  <c r="A3634" i="3" s="1"/>
  <c r="AG95" i="4"/>
  <c r="A3623" i="3" s="1"/>
  <c r="AK95" i="4"/>
  <c r="A3632" i="3" s="1"/>
  <c r="AC95" i="4"/>
  <c r="A3619" i="3" s="1"/>
  <c r="AJ95" i="4"/>
  <c r="A3631" i="3" s="1"/>
  <c r="AQ95" i="4"/>
  <c r="A3638" i="3" s="1"/>
  <c r="AI95" i="4"/>
  <c r="A3625" i="3" s="1"/>
  <c r="AL95" i="4"/>
  <c r="A3633" i="3" s="1"/>
  <c r="AD95" i="4"/>
  <c r="A3620" i="3" s="1"/>
  <c r="AE95" i="4"/>
  <c r="A3621" i="3" s="1"/>
  <c r="AP95" i="4"/>
  <c r="A3637" i="3" s="1"/>
  <c r="AO95" i="4"/>
  <c r="A3636" i="3" s="1"/>
  <c r="AF95" i="4"/>
  <c r="A3622" i="3" s="1"/>
  <c r="A3613" i="3"/>
  <c r="A3607" i="3"/>
  <c r="A3642" i="3"/>
  <c r="A3630" i="3"/>
  <c r="A3612" i="3"/>
  <c r="A3606" i="3"/>
  <c r="A3641" i="3"/>
  <c r="A3629" i="3"/>
  <c r="A3617" i="3"/>
  <c r="A3611" i="3"/>
  <c r="A3605" i="3"/>
  <c r="A3640" i="3"/>
  <c r="A3628" i="3"/>
  <c r="A3616" i="3"/>
  <c r="A3610" i="3"/>
  <c r="A3604" i="3"/>
  <c r="A3639" i="3"/>
  <c r="A3627" i="3"/>
  <c r="A3615" i="3"/>
  <c r="A3609" i="3"/>
  <c r="A3626" i="3"/>
  <c r="A3608" i="3"/>
  <c r="A3614" i="3"/>
  <c r="AQ77" i="4"/>
  <c r="A2918" i="3" s="1"/>
  <c r="AK77" i="4"/>
  <c r="A2912" i="3" s="1"/>
  <c r="AE77" i="4"/>
  <c r="A2901" i="3" s="1"/>
  <c r="AP77" i="4"/>
  <c r="A2917" i="3" s="1"/>
  <c r="AJ77" i="4"/>
  <c r="A2911" i="3" s="1"/>
  <c r="AD77" i="4"/>
  <c r="A2900" i="3" s="1"/>
  <c r="AO77" i="4"/>
  <c r="A2916" i="3" s="1"/>
  <c r="AI77" i="4"/>
  <c r="A2905" i="3" s="1"/>
  <c r="AC77" i="4"/>
  <c r="A2899" i="3" s="1"/>
  <c r="AF77" i="4"/>
  <c r="A2902" i="3" s="1"/>
  <c r="AN77" i="4"/>
  <c r="A2915" i="3" s="1"/>
  <c r="AB77" i="4"/>
  <c r="A2898" i="3" s="1"/>
  <c r="AM77" i="4"/>
  <c r="A2914" i="3" s="1"/>
  <c r="AL77" i="4"/>
  <c r="A2913" i="3" s="1"/>
  <c r="AH77" i="4"/>
  <c r="A2904" i="3" s="1"/>
  <c r="AG77" i="4"/>
  <c r="A2903" i="3" s="1"/>
  <c r="A2921" i="3"/>
  <c r="A2909" i="3"/>
  <c r="A2897" i="3"/>
  <c r="A2891" i="3"/>
  <c r="A2885" i="3"/>
  <c r="A2920" i="3"/>
  <c r="A2908" i="3"/>
  <c r="A2896" i="3"/>
  <c r="A2890" i="3"/>
  <c r="A2884" i="3"/>
  <c r="A2919" i="3"/>
  <c r="A2907" i="3"/>
  <c r="A2895" i="3"/>
  <c r="A2889" i="3"/>
  <c r="A2906" i="3"/>
  <c r="A2894" i="3"/>
  <c r="A2888" i="3"/>
  <c r="A2893" i="3"/>
  <c r="A2887" i="3"/>
  <c r="A2922" i="3"/>
  <c r="A2910" i="3"/>
  <c r="A2892" i="3"/>
  <c r="A2886" i="3"/>
  <c r="AN59" i="4"/>
  <c r="A2195" i="3" s="1"/>
  <c r="AH59" i="4"/>
  <c r="A2184" i="3" s="1"/>
  <c r="AB59" i="4"/>
  <c r="A2178" i="3" s="1"/>
  <c r="AM59" i="4"/>
  <c r="A2194" i="3" s="1"/>
  <c r="AG59" i="4"/>
  <c r="A2183" i="3" s="1"/>
  <c r="AL59" i="4"/>
  <c r="A2193" i="3" s="1"/>
  <c r="AD59" i="4"/>
  <c r="A2180" i="3" s="1"/>
  <c r="AJ59" i="4"/>
  <c r="A2191" i="3" s="1"/>
  <c r="AQ59" i="4"/>
  <c r="A2198" i="3" s="1"/>
  <c r="AI59" i="4"/>
  <c r="A2185" i="3" s="1"/>
  <c r="AO59" i="4"/>
  <c r="A2196" i="3" s="1"/>
  <c r="AK59" i="4"/>
  <c r="A2192" i="3" s="1"/>
  <c r="AF59" i="4"/>
  <c r="A2182" i="3" s="1"/>
  <c r="AE59" i="4"/>
  <c r="A2181" i="3" s="1"/>
  <c r="AC59" i="4"/>
  <c r="A2179" i="3" s="1"/>
  <c r="AP59" i="4"/>
  <c r="A2197" i="3" s="1"/>
  <c r="A2200" i="3"/>
  <c r="A2188" i="3"/>
  <c r="A2176" i="3"/>
  <c r="A2170" i="3"/>
  <c r="A2164" i="3"/>
  <c r="A2199" i="3"/>
  <c r="A2187" i="3"/>
  <c r="A2175" i="3"/>
  <c r="A2169" i="3"/>
  <c r="A2186" i="3"/>
  <c r="A2174" i="3"/>
  <c r="A2168" i="3"/>
  <c r="A2173" i="3"/>
  <c r="A2167" i="3"/>
  <c r="A2201" i="3"/>
  <c r="A2189" i="3"/>
  <c r="A2177" i="3"/>
  <c r="A2171" i="3"/>
  <c r="A2165" i="3"/>
  <c r="A2172" i="3"/>
  <c r="A2202" i="3"/>
  <c r="A2166" i="3"/>
  <c r="A2190" i="3"/>
  <c r="AQ53" i="4"/>
  <c r="A1958" i="3" s="1"/>
  <c r="AK53" i="4"/>
  <c r="A1952" i="3" s="1"/>
  <c r="AE53" i="4"/>
  <c r="A1941" i="3" s="1"/>
  <c r="AO53" i="4"/>
  <c r="A1956" i="3" s="1"/>
  <c r="AI53" i="4"/>
  <c r="A1945" i="3" s="1"/>
  <c r="AC53" i="4"/>
  <c r="A1939" i="3" s="1"/>
  <c r="AN53" i="4"/>
  <c r="A1955" i="3" s="1"/>
  <c r="AH53" i="4"/>
  <c r="A1944" i="3" s="1"/>
  <c r="AB53" i="4"/>
  <c r="A1938" i="3" s="1"/>
  <c r="AP53" i="4"/>
  <c r="A1957" i="3" s="1"/>
  <c r="AD53" i="4"/>
  <c r="A1940" i="3" s="1"/>
  <c r="AM53" i="4"/>
  <c r="A1954" i="3" s="1"/>
  <c r="AL53" i="4"/>
  <c r="A1953" i="3" s="1"/>
  <c r="AJ53" i="4"/>
  <c r="A1951" i="3" s="1"/>
  <c r="AG53" i="4"/>
  <c r="A1943" i="3" s="1"/>
  <c r="AF53" i="4"/>
  <c r="A1942" i="3" s="1"/>
  <c r="A1960" i="3"/>
  <c r="A1948" i="3"/>
  <c r="A1936" i="3"/>
  <c r="A1930" i="3"/>
  <c r="A1924" i="3"/>
  <c r="A1959" i="3"/>
  <c r="A1947" i="3"/>
  <c r="A1935" i="3"/>
  <c r="A1929" i="3"/>
  <c r="A1946" i="3"/>
  <c r="A1934" i="3"/>
  <c r="A1928" i="3"/>
  <c r="A1933" i="3"/>
  <c r="A1927" i="3"/>
  <c r="A1961" i="3"/>
  <c r="A1949" i="3"/>
  <c r="A1937" i="3"/>
  <c r="A1931" i="3"/>
  <c r="A1925" i="3"/>
  <c r="A1962" i="3"/>
  <c r="A1926" i="3"/>
  <c r="A1950" i="3"/>
  <c r="A1932" i="3"/>
  <c r="AQ47" i="4"/>
  <c r="A1718" i="3" s="1"/>
  <c r="AK47" i="4"/>
  <c r="A1712" i="3" s="1"/>
  <c r="AE47" i="4"/>
  <c r="A1701" i="3" s="1"/>
  <c r="AO47" i="4"/>
  <c r="A1716" i="3" s="1"/>
  <c r="AI47" i="4"/>
  <c r="A1705" i="3" s="1"/>
  <c r="AC47" i="4"/>
  <c r="A1699" i="3" s="1"/>
  <c r="AN47" i="4"/>
  <c r="A1715" i="3" s="1"/>
  <c r="AH47" i="4"/>
  <c r="A1704" i="3" s="1"/>
  <c r="AB47" i="4"/>
  <c r="A1698" i="3" s="1"/>
  <c r="AL47" i="4"/>
  <c r="A1713" i="3" s="1"/>
  <c r="AJ47" i="4"/>
  <c r="A1711" i="3" s="1"/>
  <c r="AG47" i="4"/>
  <c r="A1703" i="3" s="1"/>
  <c r="AF47" i="4"/>
  <c r="A1702" i="3" s="1"/>
  <c r="AP47" i="4"/>
  <c r="A1717" i="3" s="1"/>
  <c r="AD47" i="4"/>
  <c r="A1700" i="3" s="1"/>
  <c r="AM47" i="4"/>
  <c r="A1714" i="3" s="1"/>
  <c r="A1720" i="3"/>
  <c r="A1708" i="3"/>
  <c r="A1696" i="3"/>
  <c r="A1690" i="3"/>
  <c r="A1684" i="3"/>
  <c r="A1719" i="3"/>
  <c r="A1707" i="3"/>
  <c r="A1695" i="3"/>
  <c r="A1689" i="3"/>
  <c r="A1706" i="3"/>
  <c r="A1694" i="3"/>
  <c r="A1688" i="3"/>
  <c r="A1693" i="3"/>
  <c r="A1687" i="3"/>
  <c r="A1721" i="3"/>
  <c r="A1709" i="3"/>
  <c r="A1697" i="3"/>
  <c r="A1691" i="3"/>
  <c r="A1685" i="3"/>
  <c r="A1710" i="3"/>
  <c r="A1692" i="3"/>
  <c r="A1722" i="3"/>
  <c r="A1686" i="3"/>
  <c r="AQ41" i="4"/>
  <c r="A1478" i="3" s="1"/>
  <c r="AK41" i="4"/>
  <c r="A1472" i="3" s="1"/>
  <c r="AE41" i="4"/>
  <c r="A1461" i="3" s="1"/>
  <c r="AO41" i="4"/>
  <c r="A1476" i="3" s="1"/>
  <c r="AI41" i="4"/>
  <c r="A1465" i="3" s="1"/>
  <c r="AC41" i="4"/>
  <c r="A1459" i="3" s="1"/>
  <c r="AN41" i="4"/>
  <c r="A1475" i="3" s="1"/>
  <c r="AH41" i="4"/>
  <c r="A1464" i="3" s="1"/>
  <c r="AB41" i="4"/>
  <c r="A1458" i="3" s="1"/>
  <c r="AG41" i="4"/>
  <c r="A1463" i="3" s="1"/>
  <c r="AF41" i="4"/>
  <c r="A1462" i="3" s="1"/>
  <c r="AP41" i="4"/>
  <c r="A1477" i="3" s="1"/>
  <c r="AD41" i="4"/>
  <c r="A1460" i="3" s="1"/>
  <c r="AM41" i="4"/>
  <c r="A1474" i="3" s="1"/>
  <c r="AL41" i="4"/>
  <c r="A1473" i="3" s="1"/>
  <c r="AJ41" i="4"/>
  <c r="A1471" i="3" s="1"/>
  <c r="A1480" i="3"/>
  <c r="A1468" i="3"/>
  <c r="A1456" i="3"/>
  <c r="A1470" i="3"/>
  <c r="A1455" i="3"/>
  <c r="A1449" i="3"/>
  <c r="A1469" i="3"/>
  <c r="A1454" i="3"/>
  <c r="A1448" i="3"/>
  <c r="A1482" i="3"/>
  <c r="A1467" i="3"/>
  <c r="A1453" i="3"/>
  <c r="A1447" i="3"/>
  <c r="A1481" i="3"/>
  <c r="A1466" i="3"/>
  <c r="A1452" i="3"/>
  <c r="A1446" i="3"/>
  <c r="A1457" i="3"/>
  <c r="A1450" i="3"/>
  <c r="A1444" i="3"/>
  <c r="A1451" i="3"/>
  <c r="A1445" i="3"/>
  <c r="A1479" i="3"/>
  <c r="AO35" i="4"/>
  <c r="A1236" i="3" s="1"/>
  <c r="AI35" i="4"/>
  <c r="A1225" i="3" s="1"/>
  <c r="AC35" i="4"/>
  <c r="A1219" i="3" s="1"/>
  <c r="AP35" i="4"/>
  <c r="A1237" i="3" s="1"/>
  <c r="AH35" i="4"/>
  <c r="A1224" i="3" s="1"/>
  <c r="AN35" i="4"/>
  <c r="A1235" i="3" s="1"/>
  <c r="AG35" i="4"/>
  <c r="A1223" i="3" s="1"/>
  <c r="AL35" i="4"/>
  <c r="A1233" i="3" s="1"/>
  <c r="AE35" i="4"/>
  <c r="A1221" i="3" s="1"/>
  <c r="AK35" i="4"/>
  <c r="A1232" i="3" s="1"/>
  <c r="AD35" i="4"/>
  <c r="A1220" i="3" s="1"/>
  <c r="AQ35" i="4"/>
  <c r="A1238" i="3" s="1"/>
  <c r="AJ35" i="4"/>
  <c r="A1231" i="3" s="1"/>
  <c r="AB35" i="4"/>
  <c r="A1218" i="3" s="1"/>
  <c r="AF35" i="4"/>
  <c r="A1222" i="3" s="1"/>
  <c r="AM35" i="4"/>
  <c r="A1234" i="3" s="1"/>
  <c r="A1239" i="3"/>
  <c r="A1227" i="3"/>
  <c r="A1215" i="3"/>
  <c r="A1209" i="3"/>
  <c r="A1226" i="3"/>
  <c r="A1214" i="3"/>
  <c r="A1208" i="3"/>
  <c r="A1213" i="3"/>
  <c r="A1207" i="3"/>
  <c r="A1242" i="3"/>
  <c r="A1230" i="3"/>
  <c r="A1212" i="3"/>
  <c r="A1206" i="3"/>
  <c r="A1240" i="3"/>
  <c r="A1228" i="3"/>
  <c r="A1216" i="3"/>
  <c r="A1210" i="3"/>
  <c r="A1204" i="3"/>
  <c r="A1229" i="3"/>
  <c r="A1211" i="3"/>
  <c r="A1217" i="3"/>
  <c r="A1241" i="3"/>
  <c r="A1205" i="3"/>
  <c r="AP29" i="4"/>
  <c r="A997" i="3" s="1"/>
  <c r="AJ29" i="4"/>
  <c r="A991" i="3" s="1"/>
  <c r="AD29" i="4"/>
  <c r="A980" i="3" s="1"/>
  <c r="AM29" i="4"/>
  <c r="A994" i="3" s="1"/>
  <c r="AG29" i="4"/>
  <c r="A983" i="3" s="1"/>
  <c r="AI29" i="4"/>
  <c r="A985" i="3" s="1"/>
  <c r="AQ29" i="4"/>
  <c r="A998" i="3" s="1"/>
  <c r="AH29" i="4"/>
  <c r="A984" i="3" s="1"/>
  <c r="AO29" i="4"/>
  <c r="A996" i="3" s="1"/>
  <c r="AF29" i="4"/>
  <c r="A982" i="3" s="1"/>
  <c r="AN29" i="4"/>
  <c r="A995" i="3" s="1"/>
  <c r="AE29" i="4"/>
  <c r="A981" i="3" s="1"/>
  <c r="AK29" i="4"/>
  <c r="A992" i="3" s="1"/>
  <c r="AB29" i="4"/>
  <c r="A978" i="3" s="1"/>
  <c r="AL29" i="4"/>
  <c r="A993" i="3" s="1"/>
  <c r="AC29" i="4"/>
  <c r="A979" i="3" s="1"/>
  <c r="A999" i="3"/>
  <c r="A987" i="3"/>
  <c r="A975" i="3"/>
  <c r="A969" i="3"/>
  <c r="A986" i="3"/>
  <c r="A974" i="3"/>
  <c r="A968" i="3"/>
  <c r="A973" i="3"/>
  <c r="A967" i="3"/>
  <c r="A1002" i="3"/>
  <c r="A990" i="3"/>
  <c r="A972" i="3"/>
  <c r="A966" i="3"/>
  <c r="A1000" i="3"/>
  <c r="A988" i="3"/>
  <c r="A976" i="3"/>
  <c r="A970" i="3"/>
  <c r="A964" i="3"/>
  <c r="A971" i="3"/>
  <c r="A1001" i="3"/>
  <c r="A965" i="3"/>
  <c r="A989" i="3"/>
  <c r="A977" i="3"/>
  <c r="AN74" i="4"/>
  <c r="A2795" i="3" s="1"/>
  <c r="AH74" i="4"/>
  <c r="A2784" i="3" s="1"/>
  <c r="AB74" i="4"/>
  <c r="A2778" i="3" s="1"/>
  <c r="AL74" i="4"/>
  <c r="A2793" i="3" s="1"/>
  <c r="AF74" i="4"/>
  <c r="A2782" i="3" s="1"/>
  <c r="AO74" i="4"/>
  <c r="A2796" i="3" s="1"/>
  <c r="AE74" i="4"/>
  <c r="A2781" i="3" s="1"/>
  <c r="AM74" i="4"/>
  <c r="A2794" i="3" s="1"/>
  <c r="AD74" i="4"/>
  <c r="A2780" i="3" s="1"/>
  <c r="AK74" i="4"/>
  <c r="A2792" i="3" s="1"/>
  <c r="AC74" i="4"/>
  <c r="A2779" i="3" s="1"/>
  <c r="AJ74" i="4"/>
  <c r="A2791" i="3" s="1"/>
  <c r="AQ74" i="4"/>
  <c r="A2798" i="3" s="1"/>
  <c r="AP74" i="4"/>
  <c r="A2797" i="3" s="1"/>
  <c r="AI74" i="4"/>
  <c r="A2785" i="3" s="1"/>
  <c r="AG74" i="4"/>
  <c r="A2783" i="3" s="1"/>
  <c r="A2801" i="3"/>
  <c r="A2789" i="3"/>
  <c r="A2777" i="3"/>
  <c r="A2771" i="3"/>
  <c r="A2765" i="3"/>
  <c r="A2800" i="3"/>
  <c r="A2788" i="3"/>
  <c r="A2776" i="3"/>
  <c r="A2770" i="3"/>
  <c r="A2764" i="3"/>
  <c r="A2799" i="3"/>
  <c r="A2787" i="3"/>
  <c r="A2775" i="3"/>
  <c r="A2769" i="3"/>
  <c r="A2786" i="3"/>
  <c r="A2774" i="3"/>
  <c r="A2768" i="3"/>
  <c r="A2773" i="3"/>
  <c r="A2767" i="3"/>
  <c r="A2802" i="3"/>
  <c r="A2790" i="3"/>
  <c r="A2772" i="3"/>
  <c r="A2766" i="3"/>
  <c r="AL38" i="4"/>
  <c r="A1353" i="3" s="1"/>
  <c r="AF38" i="4"/>
  <c r="A1342" i="3" s="1"/>
  <c r="AQ38" i="4"/>
  <c r="A1358" i="3" s="1"/>
  <c r="AK38" i="4"/>
  <c r="A1352" i="3" s="1"/>
  <c r="AE38" i="4"/>
  <c r="A1341" i="3" s="1"/>
  <c r="AP38" i="4"/>
  <c r="A1357" i="3" s="1"/>
  <c r="AH38" i="4"/>
  <c r="A1344" i="3" s="1"/>
  <c r="AO38" i="4"/>
  <c r="A1356" i="3" s="1"/>
  <c r="AG38" i="4"/>
  <c r="A1343" i="3" s="1"/>
  <c r="AN38" i="4"/>
  <c r="A1355" i="3" s="1"/>
  <c r="AD38" i="4"/>
  <c r="A1340" i="3" s="1"/>
  <c r="AM38" i="4"/>
  <c r="A1354" i="3" s="1"/>
  <c r="AC38" i="4"/>
  <c r="A1339" i="3" s="1"/>
  <c r="AJ38" i="4"/>
  <c r="A1351" i="3" s="1"/>
  <c r="AB38" i="4"/>
  <c r="A1338" i="3" s="1"/>
  <c r="AI38" i="4"/>
  <c r="A1345" i="3" s="1"/>
  <c r="A1359" i="3"/>
  <c r="A1347" i="3"/>
  <c r="A1335" i="3"/>
  <c r="A1329" i="3"/>
  <c r="A1346" i="3"/>
  <c r="A1334" i="3"/>
  <c r="A1328" i="3"/>
  <c r="A1333" i="3"/>
  <c r="A1327" i="3"/>
  <c r="A1362" i="3"/>
  <c r="A1350" i="3"/>
  <c r="A1332" i="3"/>
  <c r="A1326" i="3"/>
  <c r="A1360" i="3"/>
  <c r="A1348" i="3"/>
  <c r="A1336" i="3"/>
  <c r="A1330" i="3"/>
  <c r="A1324" i="3"/>
  <c r="A1331" i="3"/>
  <c r="A1361" i="3"/>
  <c r="A1325" i="3"/>
  <c r="A1349" i="3"/>
  <c r="A1337" i="3"/>
  <c r="AL83" i="4"/>
  <c r="A3153" i="3" s="1"/>
  <c r="AF83" i="4"/>
  <c r="A3142" i="3" s="1"/>
  <c r="AQ83" i="4"/>
  <c r="A3158" i="3" s="1"/>
  <c r="AK83" i="4"/>
  <c r="A3152" i="3" s="1"/>
  <c r="AE83" i="4"/>
  <c r="A3141" i="3" s="1"/>
  <c r="AI83" i="4"/>
  <c r="A3145" i="3" s="1"/>
  <c r="AP83" i="4"/>
  <c r="A3157" i="3" s="1"/>
  <c r="AH83" i="4"/>
  <c r="A3144" i="3" s="1"/>
  <c r="AO83" i="4"/>
  <c r="A3156" i="3" s="1"/>
  <c r="AG83" i="4"/>
  <c r="A3143" i="3" s="1"/>
  <c r="AN83" i="4"/>
  <c r="A3155" i="3" s="1"/>
  <c r="AD83" i="4"/>
  <c r="A3140" i="3" s="1"/>
  <c r="AM83" i="4"/>
  <c r="A3154" i="3" s="1"/>
  <c r="AJ83" i="4"/>
  <c r="A3151" i="3" s="1"/>
  <c r="AB83" i="4"/>
  <c r="A3138" i="3" s="1"/>
  <c r="AC83" i="4"/>
  <c r="A3139" i="3" s="1"/>
  <c r="A3161" i="3"/>
  <c r="A3149" i="3"/>
  <c r="A3137" i="3"/>
  <c r="A3131" i="3"/>
  <c r="A3125" i="3"/>
  <c r="A3160" i="3"/>
  <c r="A3148" i="3"/>
  <c r="A3136" i="3"/>
  <c r="A3130" i="3"/>
  <c r="A3124" i="3"/>
  <c r="A3159" i="3"/>
  <c r="A3147" i="3"/>
  <c r="A3135" i="3"/>
  <c r="A3129" i="3"/>
  <c r="A3146" i="3"/>
  <c r="A3134" i="3"/>
  <c r="A3128" i="3"/>
  <c r="A3133" i="3"/>
  <c r="A3127" i="3"/>
  <c r="A3162" i="3"/>
  <c r="A3150" i="3"/>
  <c r="A3132" i="3"/>
  <c r="A3126" i="3"/>
  <c r="AM11" i="4"/>
  <c r="A274" i="3" s="1"/>
  <c r="AG11" i="4"/>
  <c r="A263" i="3" s="1"/>
  <c r="AL11" i="4"/>
  <c r="A273" i="3" s="1"/>
  <c r="AF11" i="4"/>
  <c r="A262" i="3" s="1"/>
  <c r="AQ11" i="4"/>
  <c r="A278" i="3" s="1"/>
  <c r="AK11" i="4"/>
  <c r="A272" i="3" s="1"/>
  <c r="AE11" i="4"/>
  <c r="A261" i="3" s="1"/>
  <c r="AP11" i="4"/>
  <c r="A277" i="3" s="1"/>
  <c r="AJ11" i="4"/>
  <c r="A271" i="3" s="1"/>
  <c r="AD11" i="4"/>
  <c r="A260" i="3" s="1"/>
  <c r="AN11" i="4"/>
  <c r="A275" i="3" s="1"/>
  <c r="AH11" i="4"/>
  <c r="A264" i="3" s="1"/>
  <c r="AB11" i="4"/>
  <c r="A258" i="3" s="1"/>
  <c r="AI11" i="4"/>
  <c r="A265" i="3" s="1"/>
  <c r="AC11" i="4"/>
  <c r="A259" i="3" s="1"/>
  <c r="AO11" i="4"/>
  <c r="A276" i="3" s="1"/>
  <c r="A253" i="3"/>
  <c r="A247" i="3"/>
  <c r="A255" i="3"/>
  <c r="A282" i="3"/>
  <c r="A270" i="3"/>
  <c r="A252" i="3"/>
  <c r="A246" i="3"/>
  <c r="A267" i="3"/>
  <c r="A281" i="3"/>
  <c r="A269" i="3"/>
  <c r="A257" i="3"/>
  <c r="A251" i="3"/>
  <c r="A245" i="3"/>
  <c r="A279" i="3"/>
  <c r="A249" i="3"/>
  <c r="A280" i="3"/>
  <c r="A268" i="3"/>
  <c r="A256" i="3"/>
  <c r="A250" i="3"/>
  <c r="A244" i="3"/>
  <c r="A266" i="3"/>
  <c r="A254" i="3"/>
  <c r="A248" i="3"/>
  <c r="AP78" i="4"/>
  <c r="A2957" i="3" s="1"/>
  <c r="AJ78" i="4"/>
  <c r="A2951" i="3" s="1"/>
  <c r="AD78" i="4"/>
  <c r="A2940" i="3" s="1"/>
  <c r="AO78" i="4"/>
  <c r="A2956" i="3" s="1"/>
  <c r="AI78" i="4"/>
  <c r="A2945" i="3" s="1"/>
  <c r="AC78" i="4"/>
  <c r="A2939" i="3" s="1"/>
  <c r="AN78" i="4"/>
  <c r="A2955" i="3" s="1"/>
  <c r="AH78" i="4"/>
  <c r="A2944" i="3" s="1"/>
  <c r="AB78" i="4"/>
  <c r="A2938" i="3" s="1"/>
  <c r="AK78" i="4"/>
  <c r="A2952" i="3" s="1"/>
  <c r="AG78" i="4"/>
  <c r="A2943" i="3" s="1"/>
  <c r="AF78" i="4"/>
  <c r="A2942" i="3" s="1"/>
  <c r="AQ78" i="4"/>
  <c r="A2958" i="3" s="1"/>
  <c r="AE78" i="4"/>
  <c r="A2941" i="3" s="1"/>
  <c r="AL78" i="4"/>
  <c r="A2953" i="3" s="1"/>
  <c r="AM78" i="4"/>
  <c r="A2954" i="3" s="1"/>
  <c r="A2933" i="3"/>
  <c r="A2927" i="3"/>
  <c r="A2962" i="3"/>
  <c r="A2950" i="3"/>
  <c r="A2932" i="3"/>
  <c r="A2926" i="3"/>
  <c r="A2961" i="3"/>
  <c r="A2949" i="3"/>
  <c r="A2937" i="3"/>
  <c r="A2931" i="3"/>
  <c r="A2925" i="3"/>
  <c r="A2960" i="3"/>
  <c r="A2948" i="3"/>
  <c r="A2936" i="3"/>
  <c r="A2930" i="3"/>
  <c r="A2924" i="3"/>
  <c r="A2959" i="3"/>
  <c r="A2947" i="3"/>
  <c r="A2935" i="3"/>
  <c r="A2929" i="3"/>
  <c r="A2946" i="3"/>
  <c r="A2934" i="3"/>
  <c r="A2928" i="3"/>
  <c r="AP54" i="4"/>
  <c r="A1997" i="3" s="1"/>
  <c r="AJ54" i="4"/>
  <c r="A1991" i="3" s="1"/>
  <c r="AD54" i="4"/>
  <c r="A1980" i="3" s="1"/>
  <c r="AN54" i="4"/>
  <c r="A1995" i="3" s="1"/>
  <c r="AH54" i="4"/>
  <c r="A1984" i="3" s="1"/>
  <c r="AB54" i="4"/>
  <c r="A1978" i="3" s="1"/>
  <c r="AM54" i="4"/>
  <c r="A1994" i="3" s="1"/>
  <c r="AG54" i="4"/>
  <c r="A1983" i="3" s="1"/>
  <c r="AO54" i="4"/>
  <c r="A1996" i="3" s="1"/>
  <c r="AC54" i="4"/>
  <c r="A1979" i="3" s="1"/>
  <c r="AL54" i="4"/>
  <c r="A1993" i="3" s="1"/>
  <c r="AK54" i="4"/>
  <c r="A1992" i="3" s="1"/>
  <c r="AI54" i="4"/>
  <c r="A1985" i="3" s="1"/>
  <c r="AF54" i="4"/>
  <c r="A1982" i="3" s="1"/>
  <c r="AQ54" i="4"/>
  <c r="A1998" i="3" s="1"/>
  <c r="AE54" i="4"/>
  <c r="A1981" i="3" s="1"/>
  <c r="A2002" i="3"/>
  <c r="A1990" i="3"/>
  <c r="A1972" i="3"/>
  <c r="A1966" i="3"/>
  <c r="A2001" i="3"/>
  <c r="A1989" i="3"/>
  <c r="A1977" i="3"/>
  <c r="A1971" i="3"/>
  <c r="A1965" i="3"/>
  <c r="A2000" i="3"/>
  <c r="A1988" i="3"/>
  <c r="A1976" i="3"/>
  <c r="A1970" i="3"/>
  <c r="A1964" i="3"/>
  <c r="A1999" i="3"/>
  <c r="A1987" i="3"/>
  <c r="A1975" i="3"/>
  <c r="A1969" i="3"/>
  <c r="A1973" i="3"/>
  <c r="A1967" i="3"/>
  <c r="A1986" i="3"/>
  <c r="A1974" i="3"/>
  <c r="A1968" i="3"/>
  <c r="AP48" i="4"/>
  <c r="A1757" i="3" s="1"/>
  <c r="AJ48" i="4"/>
  <c r="A1751" i="3" s="1"/>
  <c r="AD48" i="4"/>
  <c r="A1740" i="3" s="1"/>
  <c r="AN48" i="4"/>
  <c r="A1755" i="3" s="1"/>
  <c r="AH48" i="4"/>
  <c r="A1744" i="3" s="1"/>
  <c r="AB48" i="4"/>
  <c r="A1738" i="3" s="1"/>
  <c r="AM48" i="4"/>
  <c r="A1754" i="3" s="1"/>
  <c r="AG48" i="4"/>
  <c r="A1743" i="3" s="1"/>
  <c r="AK48" i="4"/>
  <c r="A1752" i="3" s="1"/>
  <c r="AI48" i="4"/>
  <c r="A1745" i="3" s="1"/>
  <c r="AF48" i="4"/>
  <c r="A1742" i="3" s="1"/>
  <c r="AQ48" i="4"/>
  <c r="A1758" i="3" s="1"/>
  <c r="AE48" i="4"/>
  <c r="A1741" i="3" s="1"/>
  <c r="AO48" i="4"/>
  <c r="A1756" i="3" s="1"/>
  <c r="AC48" i="4"/>
  <c r="A1739" i="3" s="1"/>
  <c r="AL48" i="4"/>
  <c r="A1753" i="3" s="1"/>
  <c r="A1762" i="3"/>
  <c r="A1750" i="3"/>
  <c r="A1732" i="3"/>
  <c r="A1726" i="3"/>
  <c r="A1761" i="3"/>
  <c r="A1749" i="3"/>
  <c r="A1737" i="3"/>
  <c r="A1731" i="3"/>
  <c r="A1725" i="3"/>
  <c r="A1760" i="3"/>
  <c r="A1748" i="3"/>
  <c r="A1736" i="3"/>
  <c r="A1730" i="3"/>
  <c r="A1724" i="3"/>
  <c r="A1759" i="3"/>
  <c r="A1747" i="3"/>
  <c r="A1735" i="3"/>
  <c r="A1729" i="3"/>
  <c r="A1733" i="3"/>
  <c r="A1727" i="3"/>
  <c r="A1734" i="3"/>
  <c r="A1728" i="3"/>
  <c r="A1746" i="3"/>
  <c r="AP42" i="4"/>
  <c r="A1517" i="3" s="1"/>
  <c r="AJ42" i="4"/>
  <c r="A1511" i="3" s="1"/>
  <c r="AD42" i="4"/>
  <c r="A1500" i="3" s="1"/>
  <c r="AN42" i="4"/>
  <c r="A1515" i="3" s="1"/>
  <c r="AH42" i="4"/>
  <c r="A1504" i="3" s="1"/>
  <c r="AB42" i="4"/>
  <c r="A1498" i="3" s="1"/>
  <c r="AM42" i="4"/>
  <c r="A1514" i="3" s="1"/>
  <c r="AG42" i="4"/>
  <c r="A1503" i="3" s="1"/>
  <c r="AF42" i="4"/>
  <c r="A1502" i="3" s="1"/>
  <c r="AQ42" i="4"/>
  <c r="A1518" i="3" s="1"/>
  <c r="AE42" i="4"/>
  <c r="A1501" i="3" s="1"/>
  <c r="AO42" i="4"/>
  <c r="A1516" i="3" s="1"/>
  <c r="AC42" i="4"/>
  <c r="A1499" i="3" s="1"/>
  <c r="AL42" i="4"/>
  <c r="A1513" i="3" s="1"/>
  <c r="AK42" i="4"/>
  <c r="A1512" i="3" s="1"/>
  <c r="AI42" i="4"/>
  <c r="A1505" i="3" s="1"/>
  <c r="A1522" i="3"/>
  <c r="A1510" i="3"/>
  <c r="A1492" i="3"/>
  <c r="A1486" i="3"/>
  <c r="A1521" i="3"/>
  <c r="A1509" i="3"/>
  <c r="A1497" i="3"/>
  <c r="A1491" i="3"/>
  <c r="A1520" i="3"/>
  <c r="A1508" i="3"/>
  <c r="A1496" i="3"/>
  <c r="A1493" i="3"/>
  <c r="A1484" i="3"/>
  <c r="A1490" i="3"/>
  <c r="A1489" i="3"/>
  <c r="A1488" i="3"/>
  <c r="A1506" i="3"/>
  <c r="A1494" i="3"/>
  <c r="A1485" i="3"/>
  <c r="A1507" i="3"/>
  <c r="A1495" i="3"/>
  <c r="A1487" i="3"/>
  <c r="A1519" i="3"/>
  <c r="AN36" i="4"/>
  <c r="A1275" i="3" s="1"/>
  <c r="AH36" i="4"/>
  <c r="A1264" i="3" s="1"/>
  <c r="AB36" i="4"/>
  <c r="A1258" i="3" s="1"/>
  <c r="AM36" i="4"/>
  <c r="A1274" i="3" s="1"/>
  <c r="AG36" i="4"/>
  <c r="A1263" i="3" s="1"/>
  <c r="AP36" i="4"/>
  <c r="A1277" i="3" s="1"/>
  <c r="AF36" i="4"/>
  <c r="A1262" i="3" s="1"/>
  <c r="AO36" i="4"/>
  <c r="A1276" i="3" s="1"/>
  <c r="AE36" i="4"/>
  <c r="A1261" i="3" s="1"/>
  <c r="AL36" i="4"/>
  <c r="A1273" i="3" s="1"/>
  <c r="AD36" i="4"/>
  <c r="A1260" i="3" s="1"/>
  <c r="AK36" i="4"/>
  <c r="A1272" i="3" s="1"/>
  <c r="AC36" i="4"/>
  <c r="A1259" i="3" s="1"/>
  <c r="AJ36" i="4"/>
  <c r="A1271" i="3" s="1"/>
  <c r="AQ36" i="4"/>
  <c r="A1278" i="3" s="1"/>
  <c r="AI36" i="4"/>
  <c r="A1265" i="3" s="1"/>
  <c r="A1281" i="3"/>
  <c r="A1269" i="3"/>
  <c r="A1257" i="3"/>
  <c r="A1251" i="3"/>
  <c r="A1245" i="3"/>
  <c r="A1280" i="3"/>
  <c r="A1268" i="3"/>
  <c r="A1256" i="3"/>
  <c r="A1250" i="3"/>
  <c r="A1244" i="3"/>
  <c r="A1279" i="3"/>
  <c r="A1267" i="3"/>
  <c r="A1255" i="3"/>
  <c r="A1249" i="3"/>
  <c r="A1266" i="3"/>
  <c r="A1254" i="3"/>
  <c r="A1248" i="3"/>
  <c r="A1282" i="3"/>
  <c r="A1270" i="3"/>
  <c r="A1252" i="3"/>
  <c r="A1246" i="3"/>
  <c r="A1253" i="3"/>
  <c r="A1247" i="3"/>
  <c r="AO30" i="4"/>
  <c r="A1036" i="3" s="1"/>
  <c r="AI30" i="4"/>
  <c r="A1025" i="3" s="1"/>
  <c r="AC30" i="4"/>
  <c r="A1019" i="3" s="1"/>
  <c r="AN30" i="4"/>
  <c r="A1035" i="3" s="1"/>
  <c r="AH30" i="4"/>
  <c r="A1024" i="3" s="1"/>
  <c r="AB30" i="4"/>
  <c r="A1018" i="3" s="1"/>
  <c r="AL30" i="4"/>
  <c r="A1033" i="3" s="1"/>
  <c r="AF30" i="4"/>
  <c r="A1022" i="3" s="1"/>
  <c r="AK30" i="4"/>
  <c r="A1032" i="3" s="1"/>
  <c r="AJ30" i="4"/>
  <c r="A1031" i="3" s="1"/>
  <c r="AG30" i="4"/>
  <c r="A1023" i="3" s="1"/>
  <c r="AQ30" i="4"/>
  <c r="A1038" i="3" s="1"/>
  <c r="AE30" i="4"/>
  <c r="A1021" i="3" s="1"/>
  <c r="AM30" i="4"/>
  <c r="A1034" i="3" s="1"/>
  <c r="AP30" i="4"/>
  <c r="A1037" i="3" s="1"/>
  <c r="AD30" i="4"/>
  <c r="A1020" i="3" s="1"/>
  <c r="A1041" i="3"/>
  <c r="A1029" i="3"/>
  <c r="A1017" i="3"/>
  <c r="A1011" i="3"/>
  <c r="A1005" i="3"/>
  <c r="A1040" i="3"/>
  <c r="A1028" i="3"/>
  <c r="A1016" i="3"/>
  <c r="A1010" i="3"/>
  <c r="A1004" i="3"/>
  <c r="A1039" i="3"/>
  <c r="A1027" i="3"/>
  <c r="A1015" i="3"/>
  <c r="A1009" i="3"/>
  <c r="A1026" i="3"/>
  <c r="A1014" i="3"/>
  <c r="A1008" i="3"/>
  <c r="A1042" i="3"/>
  <c r="A1030" i="3"/>
  <c r="A1012" i="3"/>
  <c r="A1006" i="3"/>
  <c r="A1013" i="3"/>
  <c r="A1007" i="3"/>
  <c r="AP99" i="4"/>
  <c r="A3797" i="3" s="1"/>
  <c r="AJ99" i="4"/>
  <c r="A3791" i="3" s="1"/>
  <c r="AD99" i="4"/>
  <c r="A3780" i="3" s="1"/>
  <c r="AO99" i="4"/>
  <c r="A3796" i="3" s="1"/>
  <c r="AI99" i="4"/>
  <c r="A3785" i="3" s="1"/>
  <c r="AC99" i="4"/>
  <c r="A3779" i="3" s="1"/>
  <c r="AN99" i="4"/>
  <c r="A3795" i="3" s="1"/>
  <c r="AF99" i="4"/>
  <c r="A3782" i="3" s="1"/>
  <c r="AM99" i="4"/>
  <c r="A3794" i="3" s="1"/>
  <c r="AE99" i="4"/>
  <c r="A3781" i="3" s="1"/>
  <c r="AL99" i="4"/>
  <c r="A3793" i="3" s="1"/>
  <c r="AB99" i="4"/>
  <c r="A3778" i="3" s="1"/>
  <c r="AQ99" i="4"/>
  <c r="A3798" i="3" s="1"/>
  <c r="AG99" i="4"/>
  <c r="A3783" i="3" s="1"/>
  <c r="AK99" i="4"/>
  <c r="A3792" i="3" s="1"/>
  <c r="AH99" i="4"/>
  <c r="A3784" i="3" s="1"/>
  <c r="A3773" i="3"/>
  <c r="A3767" i="3"/>
  <c r="A3802" i="3"/>
  <c r="A3788" i="3"/>
  <c r="A3774" i="3"/>
  <c r="A3766" i="3"/>
  <c r="A3801" i="3"/>
  <c r="A3787" i="3"/>
  <c r="A3772" i="3"/>
  <c r="A3765" i="3"/>
  <c r="A3800" i="3"/>
  <c r="A3786" i="3"/>
  <c r="A3771" i="3"/>
  <c r="A3764" i="3"/>
  <c r="A3799" i="3"/>
  <c r="A3777" i="3"/>
  <c r="A3770" i="3"/>
  <c r="A3790" i="3"/>
  <c r="A3776" i="3"/>
  <c r="A3769" i="3"/>
  <c r="A3789" i="3"/>
  <c r="A3775" i="3"/>
  <c r="A3768" i="3"/>
  <c r="AP93" i="4"/>
  <c r="A3557" i="3" s="1"/>
  <c r="AJ93" i="4"/>
  <c r="A3551" i="3" s="1"/>
  <c r="AD93" i="4"/>
  <c r="A3540" i="3" s="1"/>
  <c r="AO93" i="4"/>
  <c r="A3556" i="3" s="1"/>
  <c r="AI93" i="4"/>
  <c r="A3545" i="3" s="1"/>
  <c r="AC93" i="4"/>
  <c r="A3539" i="3" s="1"/>
  <c r="AH93" i="4"/>
  <c r="A3544" i="3" s="1"/>
  <c r="AQ93" i="4"/>
  <c r="A3558" i="3" s="1"/>
  <c r="AG93" i="4"/>
  <c r="A3543" i="3" s="1"/>
  <c r="AK93" i="4"/>
  <c r="A3552" i="3" s="1"/>
  <c r="AM93" i="4"/>
  <c r="A3554" i="3" s="1"/>
  <c r="AL93" i="4"/>
  <c r="A3553" i="3" s="1"/>
  <c r="AF93" i="4"/>
  <c r="A3542" i="3" s="1"/>
  <c r="AE93" i="4"/>
  <c r="A3541" i="3" s="1"/>
  <c r="AN93" i="4"/>
  <c r="A3555" i="3" s="1"/>
  <c r="AB93" i="4"/>
  <c r="A3538" i="3" s="1"/>
  <c r="A3559" i="3"/>
  <c r="A3547" i="3"/>
  <c r="A3535" i="3"/>
  <c r="A3529" i="3"/>
  <c r="A3546" i="3"/>
  <c r="A3534" i="3"/>
  <c r="A3528" i="3"/>
  <c r="A3533" i="3"/>
  <c r="A3527" i="3"/>
  <c r="A3562" i="3"/>
  <c r="A3550" i="3"/>
  <c r="A3532" i="3"/>
  <c r="A3526" i="3"/>
  <c r="A3561" i="3"/>
  <c r="A3549" i="3"/>
  <c r="A3531" i="3"/>
  <c r="A3548" i="3"/>
  <c r="A3530" i="3"/>
  <c r="A3525" i="3"/>
  <c r="A3524" i="3"/>
  <c r="A3560" i="3"/>
  <c r="A3537" i="3"/>
  <c r="A3536" i="3"/>
  <c r="AN87" i="4"/>
  <c r="A3315" i="3" s="1"/>
  <c r="AH87" i="4"/>
  <c r="A3304" i="3" s="1"/>
  <c r="AB87" i="4"/>
  <c r="A3298" i="3" s="1"/>
  <c r="AM87" i="4"/>
  <c r="A3314" i="3" s="1"/>
  <c r="AG87" i="4"/>
  <c r="A3303" i="3" s="1"/>
  <c r="AO87" i="4"/>
  <c r="A3316" i="3" s="1"/>
  <c r="AI87" i="4"/>
  <c r="A3305" i="3" s="1"/>
  <c r="AC87" i="4"/>
  <c r="A3299" i="3" s="1"/>
  <c r="AL87" i="4"/>
  <c r="A3313" i="3" s="1"/>
  <c r="AK87" i="4"/>
  <c r="A3312" i="3" s="1"/>
  <c r="AJ87" i="4"/>
  <c r="A3311" i="3" s="1"/>
  <c r="AF87" i="4"/>
  <c r="A3302" i="3" s="1"/>
  <c r="AQ87" i="4"/>
  <c r="A3318" i="3" s="1"/>
  <c r="AP87" i="4"/>
  <c r="A3317" i="3" s="1"/>
  <c r="AD87" i="4"/>
  <c r="A3300" i="3" s="1"/>
  <c r="AE87" i="4"/>
  <c r="A3301" i="3" s="1"/>
  <c r="A3293" i="3"/>
  <c r="A3287" i="3"/>
  <c r="A3322" i="3"/>
  <c r="A3310" i="3"/>
  <c r="A3292" i="3"/>
  <c r="A3286" i="3"/>
  <c r="A3321" i="3"/>
  <c r="A3309" i="3"/>
  <c r="A3297" i="3"/>
  <c r="A3291" i="3"/>
  <c r="A3285" i="3"/>
  <c r="A3320" i="3"/>
  <c r="A3308" i="3"/>
  <c r="A3296" i="3"/>
  <c r="A3290" i="3"/>
  <c r="A3284" i="3"/>
  <c r="A3319" i="3"/>
  <c r="A3307" i="3"/>
  <c r="A3295" i="3"/>
  <c r="A3289" i="3"/>
  <c r="A3306" i="3"/>
  <c r="A3294" i="3"/>
  <c r="A3288" i="3"/>
  <c r="AM75" i="4"/>
  <c r="A2834" i="3" s="1"/>
  <c r="AG75" i="4"/>
  <c r="A2823" i="3" s="1"/>
  <c r="AQ75" i="4"/>
  <c r="A2838" i="3" s="1"/>
  <c r="AK75" i="4"/>
  <c r="A2832" i="3" s="1"/>
  <c r="AE75" i="4"/>
  <c r="A2821" i="3" s="1"/>
  <c r="AJ75" i="4"/>
  <c r="A2831" i="3" s="1"/>
  <c r="AB75" i="4"/>
  <c r="A2818" i="3" s="1"/>
  <c r="AI75" i="4"/>
  <c r="A2825" i="3" s="1"/>
  <c r="AP75" i="4"/>
  <c r="A2837" i="3" s="1"/>
  <c r="AH75" i="4"/>
  <c r="A2824" i="3" s="1"/>
  <c r="AO75" i="4"/>
  <c r="A2836" i="3" s="1"/>
  <c r="AF75" i="4"/>
  <c r="A2822" i="3" s="1"/>
  <c r="AN75" i="4"/>
  <c r="A2835" i="3" s="1"/>
  <c r="AL75" i="4"/>
  <c r="A2833" i="3" s="1"/>
  <c r="AD75" i="4"/>
  <c r="A2820" i="3" s="1"/>
  <c r="AC75" i="4"/>
  <c r="A2819" i="3" s="1"/>
  <c r="A2813" i="3"/>
  <c r="A2807" i="3"/>
  <c r="A2842" i="3"/>
  <c r="A2830" i="3"/>
  <c r="A2812" i="3"/>
  <c r="A2806" i="3"/>
  <c r="A2841" i="3"/>
  <c r="A2829" i="3"/>
  <c r="A2817" i="3"/>
  <c r="A2811" i="3"/>
  <c r="A2805" i="3"/>
  <c r="A2840" i="3"/>
  <c r="A2828" i="3"/>
  <c r="A2816" i="3"/>
  <c r="A2810" i="3"/>
  <c r="A2804" i="3"/>
  <c r="A2839" i="3"/>
  <c r="A2827" i="3"/>
  <c r="A2815" i="3"/>
  <c r="A2809" i="3"/>
  <c r="A2826" i="3"/>
  <c r="A2814" i="3"/>
  <c r="A2808" i="3"/>
  <c r="AP69" i="4"/>
  <c r="A2597" i="3" s="1"/>
  <c r="AJ69" i="4"/>
  <c r="A2591" i="3" s="1"/>
  <c r="AD69" i="4"/>
  <c r="A2580" i="3" s="1"/>
  <c r="AO69" i="4"/>
  <c r="A2596" i="3" s="1"/>
  <c r="AI69" i="4"/>
  <c r="A2585" i="3" s="1"/>
  <c r="AC69" i="4"/>
  <c r="A2579" i="3" s="1"/>
  <c r="AN69" i="4"/>
  <c r="A2595" i="3" s="1"/>
  <c r="AH69" i="4"/>
  <c r="A2584" i="3" s="1"/>
  <c r="AB69" i="4"/>
  <c r="A2578" i="3" s="1"/>
  <c r="AG69" i="4"/>
  <c r="A2583" i="3" s="1"/>
  <c r="AF69" i="4"/>
  <c r="A2582" i="3" s="1"/>
  <c r="AQ69" i="4"/>
  <c r="A2598" i="3" s="1"/>
  <c r="AE69" i="4"/>
  <c r="A2581" i="3" s="1"/>
  <c r="AM69" i="4"/>
  <c r="A2594" i="3" s="1"/>
  <c r="AK69" i="4"/>
  <c r="A2592" i="3" s="1"/>
  <c r="AL69" i="4"/>
  <c r="A2593" i="3" s="1"/>
  <c r="A2573" i="3"/>
  <c r="A2567" i="3"/>
  <c r="A2602" i="3"/>
  <c r="A2590" i="3"/>
  <c r="A2572" i="3"/>
  <c r="A2566" i="3"/>
  <c r="A2601" i="3"/>
  <c r="A2589" i="3"/>
  <c r="A2577" i="3"/>
  <c r="A2571" i="3"/>
  <c r="A2565" i="3"/>
  <c r="A2600" i="3"/>
  <c r="A2588" i="3"/>
  <c r="A2576" i="3"/>
  <c r="A2570" i="3"/>
  <c r="A2564" i="3"/>
  <c r="A2599" i="3"/>
  <c r="A2587" i="3"/>
  <c r="A2575" i="3"/>
  <c r="A2569" i="3"/>
  <c r="A2586" i="3"/>
  <c r="A2574" i="3"/>
  <c r="A2568" i="3"/>
  <c r="AP63" i="4"/>
  <c r="A2357" i="3" s="1"/>
  <c r="AJ63" i="4"/>
  <c r="A2351" i="3" s="1"/>
  <c r="AD63" i="4"/>
  <c r="A2340" i="3" s="1"/>
  <c r="AO63" i="4"/>
  <c r="A2356" i="3" s="1"/>
  <c r="AI63" i="4"/>
  <c r="A2345" i="3" s="1"/>
  <c r="AC63" i="4"/>
  <c r="A2339" i="3" s="1"/>
  <c r="AN63" i="4"/>
  <c r="A2355" i="3" s="1"/>
  <c r="AH63" i="4"/>
  <c r="A2344" i="3" s="1"/>
  <c r="AB63" i="4"/>
  <c r="A2338" i="3" s="1"/>
  <c r="AF63" i="4"/>
  <c r="A2342" i="3" s="1"/>
  <c r="AM63" i="4"/>
  <c r="A2354" i="3" s="1"/>
  <c r="AL63" i="4"/>
  <c r="A2353" i="3" s="1"/>
  <c r="AQ63" i="4"/>
  <c r="A2358" i="3" s="1"/>
  <c r="AK63" i="4"/>
  <c r="A2352" i="3" s="1"/>
  <c r="AG63" i="4"/>
  <c r="A2343" i="3" s="1"/>
  <c r="AE63" i="4"/>
  <c r="A2341" i="3" s="1"/>
  <c r="A2362" i="3"/>
  <c r="A2350" i="3"/>
  <c r="A2332" i="3"/>
  <c r="A2326" i="3"/>
  <c r="A2361" i="3"/>
  <c r="A2349" i="3"/>
  <c r="A2337" i="3"/>
  <c r="A2331" i="3"/>
  <c r="A2325" i="3"/>
  <c r="A2360" i="3"/>
  <c r="A2348" i="3"/>
  <c r="A2336" i="3"/>
  <c r="A2330" i="3"/>
  <c r="A2324" i="3"/>
  <c r="A2359" i="3"/>
  <c r="A2347" i="3"/>
  <c r="A2335" i="3"/>
  <c r="A2329" i="3"/>
  <c r="A2333" i="3"/>
  <c r="A2327" i="3"/>
  <c r="A2334" i="3"/>
  <c r="A2328" i="3"/>
  <c r="A2346" i="3"/>
  <c r="AO57" i="4"/>
  <c r="A2116" i="3" s="1"/>
  <c r="AI57" i="4"/>
  <c r="A2105" i="3" s="1"/>
  <c r="AC57" i="4"/>
  <c r="A2099" i="3" s="1"/>
  <c r="AN57" i="4"/>
  <c r="A2115" i="3" s="1"/>
  <c r="AG57" i="4"/>
  <c r="A2103" i="3" s="1"/>
  <c r="AL57" i="4"/>
  <c r="A2113" i="3" s="1"/>
  <c r="AE57" i="4"/>
  <c r="A2101" i="3" s="1"/>
  <c r="AK57" i="4"/>
  <c r="A2112" i="3" s="1"/>
  <c r="AD57" i="4"/>
  <c r="A2100" i="3" s="1"/>
  <c r="AF57" i="4"/>
  <c r="A2102" i="3" s="1"/>
  <c r="AQ57" i="4"/>
  <c r="A2118" i="3" s="1"/>
  <c r="AB57" i="4"/>
  <c r="A2098" i="3" s="1"/>
  <c r="AP57" i="4"/>
  <c r="A2117" i="3" s="1"/>
  <c r="AM57" i="4"/>
  <c r="A2114" i="3" s="1"/>
  <c r="AJ57" i="4"/>
  <c r="A2111" i="3" s="1"/>
  <c r="AH57" i="4"/>
  <c r="A2104" i="3" s="1"/>
  <c r="A2122" i="3"/>
  <c r="A2110" i="3"/>
  <c r="A2092" i="3"/>
  <c r="A2086" i="3"/>
  <c r="A2121" i="3"/>
  <c r="A2109" i="3"/>
  <c r="A2097" i="3"/>
  <c r="A2091" i="3"/>
  <c r="A2085" i="3"/>
  <c r="A2120" i="3"/>
  <c r="A2108" i="3"/>
  <c r="A2096" i="3"/>
  <c r="A2090" i="3"/>
  <c r="A2084" i="3"/>
  <c r="A2119" i="3"/>
  <c r="A2107" i="3"/>
  <c r="A2095" i="3"/>
  <c r="A2089" i="3"/>
  <c r="A2093" i="3"/>
  <c r="A2087" i="3"/>
  <c r="A2106" i="3"/>
  <c r="A2088" i="3"/>
  <c r="A2094" i="3"/>
  <c r="AM51" i="4"/>
  <c r="A1874" i="3" s="1"/>
  <c r="AG51" i="4"/>
  <c r="A1863" i="3" s="1"/>
  <c r="AQ51" i="4"/>
  <c r="A1878" i="3" s="1"/>
  <c r="AK51" i="4"/>
  <c r="A1872" i="3" s="1"/>
  <c r="AE51" i="4"/>
  <c r="A1861" i="3" s="1"/>
  <c r="AP51" i="4"/>
  <c r="A1877" i="3" s="1"/>
  <c r="AJ51" i="4"/>
  <c r="A1871" i="3" s="1"/>
  <c r="AD51" i="4"/>
  <c r="A1860" i="3" s="1"/>
  <c r="AO51" i="4"/>
  <c r="A1876" i="3" s="1"/>
  <c r="AC51" i="4"/>
  <c r="A1859" i="3" s="1"/>
  <c r="AN51" i="4"/>
  <c r="A1875" i="3" s="1"/>
  <c r="AB51" i="4"/>
  <c r="A1858" i="3" s="1"/>
  <c r="AL51" i="4"/>
  <c r="A1873" i="3" s="1"/>
  <c r="AI51" i="4"/>
  <c r="A1865" i="3" s="1"/>
  <c r="AH51" i="4"/>
  <c r="A1864" i="3" s="1"/>
  <c r="AF51" i="4"/>
  <c r="A1862" i="3" s="1"/>
  <c r="A1882" i="3"/>
  <c r="A1870" i="3"/>
  <c r="A1852" i="3"/>
  <c r="A1846" i="3"/>
  <c r="A1881" i="3"/>
  <c r="A1869" i="3"/>
  <c r="A1857" i="3"/>
  <c r="A1851" i="3"/>
  <c r="A1845" i="3"/>
  <c r="A1880" i="3"/>
  <c r="A1868" i="3"/>
  <c r="A1856" i="3"/>
  <c r="A1850" i="3"/>
  <c r="A1844" i="3"/>
  <c r="A1879" i="3"/>
  <c r="A1867" i="3"/>
  <c r="A1855" i="3"/>
  <c r="A1849" i="3"/>
  <c r="A1853" i="3"/>
  <c r="A1847" i="3"/>
  <c r="A1866" i="3"/>
  <c r="A1854" i="3"/>
  <c r="A1848" i="3"/>
  <c r="AM45" i="4"/>
  <c r="A1634" i="3" s="1"/>
  <c r="AG45" i="4"/>
  <c r="A1623" i="3" s="1"/>
  <c r="AQ45" i="4"/>
  <c r="A1638" i="3" s="1"/>
  <c r="AK45" i="4"/>
  <c r="A1632" i="3" s="1"/>
  <c r="AE45" i="4"/>
  <c r="A1621" i="3" s="1"/>
  <c r="AP45" i="4"/>
  <c r="A1637" i="3" s="1"/>
  <c r="AJ45" i="4"/>
  <c r="A1631" i="3" s="1"/>
  <c r="AD45" i="4"/>
  <c r="A1620" i="3" s="1"/>
  <c r="AL45" i="4"/>
  <c r="A1633" i="3" s="1"/>
  <c r="AI45" i="4"/>
  <c r="A1625" i="3" s="1"/>
  <c r="AH45" i="4"/>
  <c r="A1624" i="3" s="1"/>
  <c r="AF45" i="4"/>
  <c r="A1622" i="3" s="1"/>
  <c r="AO45" i="4"/>
  <c r="A1636" i="3" s="1"/>
  <c r="AC45" i="4"/>
  <c r="A1619" i="3" s="1"/>
  <c r="AN45" i="4"/>
  <c r="A1635" i="3" s="1"/>
  <c r="AB45" i="4"/>
  <c r="A1618" i="3" s="1"/>
  <c r="A1642" i="3"/>
  <c r="A1630" i="3"/>
  <c r="A1612" i="3"/>
  <c r="A1606" i="3"/>
  <c r="A1641" i="3"/>
  <c r="A1629" i="3"/>
  <c r="A1617" i="3"/>
  <c r="A1611" i="3"/>
  <c r="A1605" i="3"/>
  <c r="A1640" i="3"/>
  <c r="A1628" i="3"/>
  <c r="A1616" i="3"/>
  <c r="A1610" i="3"/>
  <c r="A1604" i="3"/>
  <c r="A1613" i="3"/>
  <c r="A1607" i="3"/>
  <c r="A1626" i="3"/>
  <c r="A1608" i="3"/>
  <c r="A1639" i="3"/>
  <c r="A1615" i="3"/>
  <c r="A1627" i="3"/>
  <c r="A1609" i="3"/>
  <c r="A1614" i="3"/>
  <c r="AM39" i="4"/>
  <c r="A1394" i="3" s="1"/>
  <c r="AG39" i="4"/>
  <c r="A1383" i="3" s="1"/>
  <c r="AQ39" i="4"/>
  <c r="A1398" i="3" s="1"/>
  <c r="AK39" i="4"/>
  <c r="A1392" i="3" s="1"/>
  <c r="AE39" i="4"/>
  <c r="A1381" i="3" s="1"/>
  <c r="AP39" i="4"/>
  <c r="A1397" i="3" s="1"/>
  <c r="AJ39" i="4"/>
  <c r="A1391" i="3" s="1"/>
  <c r="AD39" i="4"/>
  <c r="A1380" i="3" s="1"/>
  <c r="AH39" i="4"/>
  <c r="A1384" i="3" s="1"/>
  <c r="AF39" i="4"/>
  <c r="A1382" i="3" s="1"/>
  <c r="AO39" i="4"/>
  <c r="A1396" i="3" s="1"/>
  <c r="AC39" i="4"/>
  <c r="A1379" i="3" s="1"/>
  <c r="AN39" i="4"/>
  <c r="A1395" i="3" s="1"/>
  <c r="AB39" i="4"/>
  <c r="A1378" i="3" s="1"/>
  <c r="AL39" i="4"/>
  <c r="A1393" i="3" s="1"/>
  <c r="AI39" i="4"/>
  <c r="A1385" i="3" s="1"/>
  <c r="A1401" i="3"/>
  <c r="A1389" i="3"/>
  <c r="A1377" i="3"/>
  <c r="A1371" i="3"/>
  <c r="A1365" i="3"/>
  <c r="A1400" i="3"/>
  <c r="A1388" i="3"/>
  <c r="A1376" i="3"/>
  <c r="A1370" i="3"/>
  <c r="A1364" i="3"/>
  <c r="A1399" i="3"/>
  <c r="A1387" i="3"/>
  <c r="A1375" i="3"/>
  <c r="A1369" i="3"/>
  <c r="A1386" i="3"/>
  <c r="A1374" i="3"/>
  <c r="A1368" i="3"/>
  <c r="A1402" i="3"/>
  <c r="A1390" i="3"/>
  <c r="A1372" i="3"/>
  <c r="A1366" i="3"/>
  <c r="A1373" i="3"/>
  <c r="A1367" i="3"/>
  <c r="AL27" i="4"/>
  <c r="A913" i="3" s="1"/>
  <c r="AF27" i="4"/>
  <c r="A902" i="3" s="1"/>
  <c r="AO27" i="4"/>
  <c r="A916" i="3" s="1"/>
  <c r="AI27" i="4"/>
  <c r="A905" i="3" s="1"/>
  <c r="AC27" i="4"/>
  <c r="A899" i="3" s="1"/>
  <c r="AQ27" i="4"/>
  <c r="A918" i="3" s="1"/>
  <c r="AH27" i="4"/>
  <c r="A904" i="3" s="1"/>
  <c r="AP27" i="4"/>
  <c r="A917" i="3" s="1"/>
  <c r="AG27" i="4"/>
  <c r="A903" i="3" s="1"/>
  <c r="AN27" i="4"/>
  <c r="A915" i="3" s="1"/>
  <c r="AE27" i="4"/>
  <c r="A901" i="3" s="1"/>
  <c r="AM27" i="4"/>
  <c r="A914" i="3" s="1"/>
  <c r="AD27" i="4"/>
  <c r="A900" i="3" s="1"/>
  <c r="AJ27" i="4"/>
  <c r="A911" i="3" s="1"/>
  <c r="AB27" i="4"/>
  <c r="A898" i="3" s="1"/>
  <c r="AK27" i="4"/>
  <c r="A912" i="3" s="1"/>
  <c r="A921" i="3"/>
  <c r="A909" i="3"/>
  <c r="A897" i="3"/>
  <c r="A891" i="3"/>
  <c r="A885" i="3"/>
  <c r="A920" i="3"/>
  <c r="A908" i="3"/>
  <c r="A896" i="3"/>
  <c r="A890" i="3"/>
  <c r="A884" i="3"/>
  <c r="A919" i="3"/>
  <c r="A907" i="3"/>
  <c r="A895" i="3"/>
  <c r="A889" i="3"/>
  <c r="A906" i="3"/>
  <c r="A894" i="3"/>
  <c r="A888" i="3"/>
  <c r="A922" i="3"/>
  <c r="A910" i="3"/>
  <c r="A892" i="3"/>
  <c r="A886" i="3"/>
  <c r="A893" i="3"/>
  <c r="A887" i="3"/>
  <c r="AO21" i="4"/>
  <c r="A676" i="3" s="1"/>
  <c r="AI21" i="4"/>
  <c r="A665" i="3" s="1"/>
  <c r="AC21" i="4"/>
  <c r="A659" i="3" s="1"/>
  <c r="AN21" i="4"/>
  <c r="A675" i="3" s="1"/>
  <c r="AH21" i="4"/>
  <c r="A664" i="3" s="1"/>
  <c r="AB21" i="4"/>
  <c r="A658" i="3" s="1"/>
  <c r="AM21" i="4"/>
  <c r="A674" i="3" s="1"/>
  <c r="AG21" i="4"/>
  <c r="A663" i="3" s="1"/>
  <c r="AL21" i="4"/>
  <c r="A673" i="3" s="1"/>
  <c r="AF21" i="4"/>
  <c r="A662" i="3" s="1"/>
  <c r="AP21" i="4"/>
  <c r="A677" i="3" s="1"/>
  <c r="AJ21" i="4"/>
  <c r="A671" i="3" s="1"/>
  <c r="AD21" i="4"/>
  <c r="A660" i="3" s="1"/>
  <c r="AQ21" i="4"/>
  <c r="A678" i="3" s="1"/>
  <c r="AK21" i="4"/>
  <c r="A672" i="3" s="1"/>
  <c r="AE21" i="4"/>
  <c r="A661" i="3" s="1"/>
  <c r="A681" i="3"/>
  <c r="A669" i="3"/>
  <c r="A657" i="3"/>
  <c r="A651" i="3"/>
  <c r="A645" i="3"/>
  <c r="A680" i="3"/>
  <c r="A668" i="3"/>
  <c r="A656" i="3"/>
  <c r="A650" i="3"/>
  <c r="A644" i="3"/>
  <c r="A679" i="3"/>
  <c r="A667" i="3"/>
  <c r="A655" i="3"/>
  <c r="A649" i="3"/>
  <c r="A666" i="3"/>
  <c r="A682" i="3"/>
  <c r="A670" i="3"/>
  <c r="A652" i="3"/>
  <c r="A646" i="3"/>
  <c r="A648" i="3"/>
  <c r="A654" i="3"/>
  <c r="A647" i="3"/>
  <c r="A653" i="3"/>
  <c r="AO15" i="4"/>
  <c r="A436" i="3" s="1"/>
  <c r="AI15" i="4"/>
  <c r="A425" i="3" s="1"/>
  <c r="AC15" i="4"/>
  <c r="A419" i="3" s="1"/>
  <c r="AN15" i="4"/>
  <c r="A435" i="3" s="1"/>
  <c r="AH15" i="4"/>
  <c r="A424" i="3" s="1"/>
  <c r="AB15" i="4"/>
  <c r="A418" i="3" s="1"/>
  <c r="AM15" i="4"/>
  <c r="A434" i="3" s="1"/>
  <c r="AG15" i="4"/>
  <c r="A423" i="3" s="1"/>
  <c r="AL15" i="4"/>
  <c r="A433" i="3" s="1"/>
  <c r="AF15" i="4"/>
  <c r="A422" i="3" s="1"/>
  <c r="AP15" i="4"/>
  <c r="A437" i="3" s="1"/>
  <c r="AJ15" i="4"/>
  <c r="A431" i="3" s="1"/>
  <c r="AD15" i="4"/>
  <c r="A420" i="3" s="1"/>
  <c r="AE15" i="4"/>
  <c r="A421" i="3" s="1"/>
  <c r="AQ15" i="4"/>
  <c r="A438" i="3" s="1"/>
  <c r="AK15" i="4"/>
  <c r="A432" i="3" s="1"/>
  <c r="A439" i="3"/>
  <c r="A427" i="3"/>
  <c r="A415" i="3"/>
  <c r="A409" i="3"/>
  <c r="A411" i="3"/>
  <c r="A426" i="3"/>
  <c r="A414" i="3"/>
  <c r="A408" i="3"/>
  <c r="A441" i="3"/>
  <c r="A417" i="3"/>
  <c r="A413" i="3"/>
  <c r="A407" i="3"/>
  <c r="A442" i="3"/>
  <c r="A430" i="3"/>
  <c r="A412" i="3"/>
  <c r="A406" i="3"/>
  <c r="A429" i="3"/>
  <c r="A405" i="3"/>
  <c r="A440" i="3"/>
  <c r="A428" i="3"/>
  <c r="A416" i="3"/>
  <c r="A410" i="3"/>
  <c r="A404" i="3"/>
  <c r="AO9" i="4"/>
  <c r="A196" i="3" s="1"/>
  <c r="AI9" i="4"/>
  <c r="A185" i="3" s="1"/>
  <c r="AC9" i="4"/>
  <c r="A179" i="3" s="1"/>
  <c r="AN9" i="4"/>
  <c r="A195" i="3" s="1"/>
  <c r="AH9" i="4"/>
  <c r="A184" i="3" s="1"/>
  <c r="AB9" i="4"/>
  <c r="A178" i="3" s="1"/>
  <c r="AM9" i="4"/>
  <c r="A194" i="3" s="1"/>
  <c r="AG9" i="4"/>
  <c r="A183" i="3" s="1"/>
  <c r="AL9" i="4"/>
  <c r="A193" i="3" s="1"/>
  <c r="AF9" i="4"/>
  <c r="A182" i="3" s="1"/>
  <c r="AP9" i="4"/>
  <c r="A197" i="3" s="1"/>
  <c r="AJ9" i="4"/>
  <c r="A191" i="3" s="1"/>
  <c r="AD9" i="4"/>
  <c r="A180" i="3" s="1"/>
  <c r="AQ9" i="4"/>
  <c r="A198" i="3" s="1"/>
  <c r="AK9" i="4"/>
  <c r="A192" i="3" s="1"/>
  <c r="AE9" i="4"/>
  <c r="A181" i="3" s="1"/>
  <c r="A199" i="3"/>
  <c r="A187" i="3"/>
  <c r="A175" i="3"/>
  <c r="A169" i="3"/>
  <c r="A177" i="3"/>
  <c r="A186" i="3"/>
  <c r="A174" i="3"/>
  <c r="A168" i="3"/>
  <c r="A173" i="3"/>
  <c r="A167" i="3"/>
  <c r="A202" i="3"/>
  <c r="A190" i="3"/>
  <c r="A172" i="3"/>
  <c r="A166" i="3"/>
  <c r="A201" i="3"/>
  <c r="A189" i="3"/>
  <c r="A165" i="3"/>
  <c r="A200" i="3"/>
  <c r="A188" i="3"/>
  <c r="A176" i="3"/>
  <c r="A170" i="3"/>
  <c r="A164" i="3"/>
  <c r="A171" i="3"/>
  <c r="AM32" i="4"/>
  <c r="A1114" i="3" s="1"/>
  <c r="AG32" i="4"/>
  <c r="A1103" i="3" s="1"/>
  <c r="AL32" i="4"/>
  <c r="A1113" i="3" s="1"/>
  <c r="AF32" i="4"/>
  <c r="A1102" i="3" s="1"/>
  <c r="AP32" i="4"/>
  <c r="A1117" i="3" s="1"/>
  <c r="AJ32" i="4"/>
  <c r="A1111" i="3" s="1"/>
  <c r="AD32" i="4"/>
  <c r="A1100" i="3" s="1"/>
  <c r="AN32" i="4"/>
  <c r="A1115" i="3" s="1"/>
  <c r="AH32" i="4"/>
  <c r="A1104" i="3" s="1"/>
  <c r="AB32" i="4"/>
  <c r="A1098" i="3" s="1"/>
  <c r="AK32" i="4"/>
  <c r="A1112" i="3" s="1"/>
  <c r="AI32" i="4"/>
  <c r="A1105" i="3" s="1"/>
  <c r="AE32" i="4"/>
  <c r="A1101" i="3" s="1"/>
  <c r="AC32" i="4"/>
  <c r="A1099" i="3" s="1"/>
  <c r="AO32" i="4"/>
  <c r="A1116" i="3" s="1"/>
  <c r="AQ32" i="4"/>
  <c r="A1118" i="3" s="1"/>
  <c r="A1119" i="3"/>
  <c r="A1107" i="3"/>
  <c r="A1095" i="3"/>
  <c r="A1089" i="3"/>
  <c r="A1106" i="3"/>
  <c r="A1094" i="3"/>
  <c r="A1088" i="3"/>
  <c r="A1093" i="3"/>
  <c r="A1087" i="3"/>
  <c r="A1122" i="3"/>
  <c r="A1110" i="3"/>
  <c r="A1092" i="3"/>
  <c r="A1086" i="3"/>
  <c r="A1120" i="3"/>
  <c r="A1108" i="3"/>
  <c r="A1096" i="3"/>
  <c r="A1090" i="3"/>
  <c r="A1084" i="3"/>
  <c r="A1097" i="3"/>
  <c r="A1091" i="3"/>
  <c r="A1121" i="3"/>
  <c r="A1085" i="3"/>
  <c r="A1109" i="3"/>
  <c r="AM5" i="4"/>
  <c r="A34" i="3" s="1"/>
  <c r="AG5" i="4"/>
  <c r="A23" i="3" s="1"/>
  <c r="AL5" i="4"/>
  <c r="A33" i="3" s="1"/>
  <c r="AF5" i="4"/>
  <c r="A22" i="3" s="1"/>
  <c r="AQ5" i="4"/>
  <c r="A38" i="3" s="1"/>
  <c r="AK5" i="4"/>
  <c r="A32" i="3" s="1"/>
  <c r="AE5" i="4"/>
  <c r="A21" i="3" s="1"/>
  <c r="AN5" i="4"/>
  <c r="A35" i="3" s="1"/>
  <c r="AH5" i="4"/>
  <c r="A24" i="3" s="1"/>
  <c r="AB5" i="4"/>
  <c r="A18" i="3" s="1"/>
  <c r="AI5" i="4"/>
  <c r="A25" i="3" s="1"/>
  <c r="AD5" i="4"/>
  <c r="A20" i="3" s="1"/>
  <c r="AC5" i="4"/>
  <c r="A19" i="3" s="1"/>
  <c r="AP5" i="4"/>
  <c r="A37" i="3" s="1"/>
  <c r="AO5" i="4"/>
  <c r="A36" i="3" s="1"/>
  <c r="AJ5" i="4"/>
  <c r="A31" i="3" s="1"/>
  <c r="A13" i="3"/>
  <c r="A7" i="3"/>
  <c r="A42" i="3"/>
  <c r="A30" i="3"/>
  <c r="A12" i="3"/>
  <c r="A6" i="3"/>
  <c r="A41" i="3"/>
  <c r="A29" i="3"/>
  <c r="A17" i="3"/>
  <c r="A11" i="3"/>
  <c r="A5" i="3"/>
  <c r="A27" i="3"/>
  <c r="A40" i="3"/>
  <c r="A28" i="3"/>
  <c r="A16" i="3"/>
  <c r="A10" i="3"/>
  <c r="A4" i="3"/>
  <c r="A15" i="3"/>
  <c r="A26" i="3"/>
  <c r="A14" i="3"/>
  <c r="A8" i="3"/>
  <c r="A39" i="3"/>
  <c r="A9" i="3"/>
  <c r="AM102" i="4"/>
  <c r="A3914" i="3" s="1"/>
  <c r="AG102" i="4"/>
  <c r="A3903" i="3" s="1"/>
  <c r="AL102" i="4"/>
  <c r="A3913" i="3" s="1"/>
  <c r="AF102" i="4"/>
  <c r="A3902" i="3" s="1"/>
  <c r="AQ102" i="4"/>
  <c r="A3918" i="3" s="1"/>
  <c r="AK102" i="4"/>
  <c r="A3912" i="3" s="1"/>
  <c r="AE102" i="4"/>
  <c r="A3901" i="3" s="1"/>
  <c r="AO102" i="4"/>
  <c r="A3916" i="3" s="1"/>
  <c r="AC102" i="4"/>
  <c r="A3899" i="3" s="1"/>
  <c r="AN102" i="4"/>
  <c r="A3915" i="3" s="1"/>
  <c r="AB102" i="4"/>
  <c r="A3898" i="3" s="1"/>
  <c r="AJ102" i="4"/>
  <c r="A3911" i="3" s="1"/>
  <c r="AP102" i="4"/>
  <c r="A3917" i="3" s="1"/>
  <c r="AD102" i="4"/>
  <c r="A3900" i="3" s="1"/>
  <c r="AI102" i="4"/>
  <c r="A3905" i="3" s="1"/>
  <c r="AH102" i="4"/>
  <c r="A3904" i="3" s="1"/>
  <c r="A3893" i="3"/>
  <c r="A3887" i="3"/>
  <c r="A3909" i="3"/>
  <c r="A3895" i="3"/>
  <c r="A3888" i="3"/>
  <c r="A3922" i="3"/>
  <c r="A3908" i="3"/>
  <c r="A3894" i="3"/>
  <c r="A3886" i="3"/>
  <c r="A3921" i="3"/>
  <c r="A3907" i="3"/>
  <c r="A3892" i="3"/>
  <c r="A3885" i="3"/>
  <c r="A3920" i="3"/>
  <c r="A3906" i="3"/>
  <c r="A3891" i="3"/>
  <c r="A3884" i="3"/>
  <c r="A3919" i="3"/>
  <c r="A3897" i="3"/>
  <c r="A3890" i="3"/>
  <c r="A3910" i="3"/>
  <c r="A3896" i="3"/>
  <c r="A3889" i="3"/>
  <c r="AM96" i="4"/>
  <c r="A3674" i="3" s="1"/>
  <c r="AG96" i="4"/>
  <c r="A3663" i="3" s="1"/>
  <c r="AL96" i="4"/>
  <c r="A3673" i="3" s="1"/>
  <c r="AF96" i="4"/>
  <c r="A3662" i="3" s="1"/>
  <c r="AP96" i="4"/>
  <c r="A3677" i="3" s="1"/>
  <c r="AH96" i="4"/>
  <c r="A3664" i="3" s="1"/>
  <c r="AO96" i="4"/>
  <c r="A3676" i="3" s="1"/>
  <c r="AE96" i="4"/>
  <c r="A3661" i="3" s="1"/>
  <c r="AN96" i="4"/>
  <c r="A3675" i="3" s="1"/>
  <c r="AD96" i="4"/>
  <c r="A3660" i="3" s="1"/>
  <c r="AQ96" i="4"/>
  <c r="A3678" i="3" s="1"/>
  <c r="AI96" i="4"/>
  <c r="A3665" i="3" s="1"/>
  <c r="AB96" i="4"/>
  <c r="A3658" i="3" s="1"/>
  <c r="AK96" i="4"/>
  <c r="A3672" i="3" s="1"/>
  <c r="AJ96" i="4"/>
  <c r="A3671" i="3" s="1"/>
  <c r="AC96" i="4"/>
  <c r="A3659" i="3" s="1"/>
  <c r="A3679" i="3"/>
  <c r="A3667" i="3"/>
  <c r="A3655" i="3"/>
  <c r="A3649" i="3"/>
  <c r="A3666" i="3"/>
  <c r="A3654" i="3"/>
  <c r="A3648" i="3"/>
  <c r="A3653" i="3"/>
  <c r="A3647" i="3"/>
  <c r="A3682" i="3"/>
  <c r="A3670" i="3"/>
  <c r="A3652" i="3"/>
  <c r="A3646" i="3"/>
  <c r="A3681" i="3"/>
  <c r="A3669" i="3"/>
  <c r="A3657" i="3"/>
  <c r="A3651" i="3"/>
  <c r="A3645" i="3"/>
  <c r="A3680" i="3"/>
  <c r="A3668" i="3"/>
  <c r="A3656" i="3"/>
  <c r="A3650" i="3"/>
  <c r="A3644" i="3"/>
  <c r="AM90" i="4"/>
  <c r="A3434" i="3" s="1"/>
  <c r="AG90" i="4"/>
  <c r="A3423" i="3" s="1"/>
  <c r="AL90" i="4"/>
  <c r="A3433" i="3" s="1"/>
  <c r="AF90" i="4"/>
  <c r="A3422" i="3" s="1"/>
  <c r="AJ90" i="4"/>
  <c r="A3431" i="3" s="1"/>
  <c r="AB90" i="4"/>
  <c r="A3418" i="3" s="1"/>
  <c r="AQ90" i="4"/>
  <c r="A3438" i="3" s="1"/>
  <c r="AI90" i="4"/>
  <c r="A3425" i="3" s="1"/>
  <c r="AK90" i="4"/>
  <c r="A3432" i="3" s="1"/>
  <c r="AC90" i="4"/>
  <c r="A3419" i="3" s="1"/>
  <c r="AD90" i="4"/>
  <c r="A3420" i="3" s="1"/>
  <c r="AP90" i="4"/>
  <c r="A3437" i="3" s="1"/>
  <c r="AO90" i="4"/>
  <c r="A3436" i="3" s="1"/>
  <c r="AN90" i="4"/>
  <c r="A3435" i="3" s="1"/>
  <c r="AH90" i="4"/>
  <c r="A3424" i="3" s="1"/>
  <c r="AE90" i="4"/>
  <c r="A3421" i="3" s="1"/>
  <c r="A3439" i="3"/>
  <c r="A3427" i="3"/>
  <c r="A3415" i="3"/>
  <c r="A3409" i="3"/>
  <c r="A3426" i="3"/>
  <c r="A3442" i="3"/>
  <c r="A3430" i="3"/>
  <c r="A3414" i="3"/>
  <c r="A3407" i="3"/>
  <c r="A3429" i="3"/>
  <c r="A3413" i="3"/>
  <c r="A3406" i="3"/>
  <c r="A3441" i="3"/>
  <c r="A3428" i="3"/>
  <c r="A3412" i="3"/>
  <c r="A3405" i="3"/>
  <c r="A3440" i="3"/>
  <c r="A3411" i="3"/>
  <c r="A3404" i="3"/>
  <c r="A3417" i="3"/>
  <c r="A3410" i="3"/>
  <c r="A3416" i="3"/>
  <c r="A3408" i="3"/>
  <c r="AQ84" i="4"/>
  <c r="A3198" i="3" s="1"/>
  <c r="AK84" i="4"/>
  <c r="A3192" i="3" s="1"/>
  <c r="AE84" i="4"/>
  <c r="A3181" i="3" s="1"/>
  <c r="AP84" i="4"/>
  <c r="A3197" i="3" s="1"/>
  <c r="AJ84" i="4"/>
  <c r="A3191" i="3" s="1"/>
  <c r="AD84" i="4"/>
  <c r="A3180" i="3" s="1"/>
  <c r="AL84" i="4"/>
  <c r="A3193" i="3" s="1"/>
  <c r="AF84" i="4"/>
  <c r="A3182" i="3" s="1"/>
  <c r="AI84" i="4"/>
  <c r="A3185" i="3" s="1"/>
  <c r="AH84" i="4"/>
  <c r="A3184" i="3" s="1"/>
  <c r="AG84" i="4"/>
  <c r="A3183" i="3" s="1"/>
  <c r="AO84" i="4"/>
  <c r="A3196" i="3" s="1"/>
  <c r="AC84" i="4"/>
  <c r="A3179" i="3" s="1"/>
  <c r="AN84" i="4"/>
  <c r="A3195" i="3" s="1"/>
  <c r="AM84" i="4"/>
  <c r="A3194" i="3" s="1"/>
  <c r="AB84" i="4"/>
  <c r="A3178" i="3" s="1"/>
  <c r="A3173" i="3"/>
  <c r="A3167" i="3"/>
  <c r="A3202" i="3"/>
  <c r="A3190" i="3"/>
  <c r="A3172" i="3"/>
  <c r="A3166" i="3"/>
  <c r="A3201" i="3"/>
  <c r="A3189" i="3"/>
  <c r="A3177" i="3"/>
  <c r="A3171" i="3"/>
  <c r="A3165" i="3"/>
  <c r="A3200" i="3"/>
  <c r="A3188" i="3"/>
  <c r="A3176" i="3"/>
  <c r="A3170" i="3"/>
  <c r="A3164" i="3"/>
  <c r="A3199" i="3"/>
  <c r="A3187" i="3"/>
  <c r="A3175" i="3"/>
  <c r="A3169" i="3"/>
  <c r="A3186" i="3"/>
  <c r="A3174" i="3"/>
  <c r="A3168" i="3"/>
  <c r="AP72" i="4"/>
  <c r="A2717" i="3" s="1"/>
  <c r="AJ72" i="4"/>
  <c r="A2711" i="3" s="1"/>
  <c r="AD72" i="4"/>
  <c r="A2700" i="3" s="1"/>
  <c r="AN72" i="4"/>
  <c r="A2715" i="3" s="1"/>
  <c r="AH72" i="4"/>
  <c r="A2704" i="3" s="1"/>
  <c r="AL72" i="4"/>
  <c r="A2713" i="3" s="1"/>
  <c r="AC72" i="4"/>
  <c r="A2699" i="3" s="1"/>
  <c r="AK72" i="4"/>
  <c r="A2712" i="3" s="1"/>
  <c r="AB72" i="4"/>
  <c r="A2698" i="3" s="1"/>
  <c r="AI72" i="4"/>
  <c r="A2705" i="3" s="1"/>
  <c r="AQ72" i="4"/>
  <c r="A2718" i="3" s="1"/>
  <c r="AG72" i="4"/>
  <c r="A2703" i="3" s="1"/>
  <c r="AO72" i="4"/>
  <c r="A2716" i="3" s="1"/>
  <c r="AM72" i="4"/>
  <c r="A2714" i="3" s="1"/>
  <c r="AF72" i="4"/>
  <c r="A2702" i="3" s="1"/>
  <c r="AE72" i="4"/>
  <c r="A2701" i="3" s="1"/>
  <c r="A2693" i="3"/>
  <c r="A2687" i="3"/>
  <c r="A2722" i="3"/>
  <c r="A2710" i="3"/>
  <c r="A2692" i="3"/>
  <c r="A2686" i="3"/>
  <c r="A2721" i="3"/>
  <c r="A2709" i="3"/>
  <c r="A2697" i="3"/>
  <c r="A2691" i="3"/>
  <c r="A2685" i="3"/>
  <c r="A2720" i="3"/>
  <c r="A2708" i="3"/>
  <c r="A2696" i="3"/>
  <c r="A2690" i="3"/>
  <c r="A2684" i="3"/>
  <c r="A2719" i="3"/>
  <c r="A2707" i="3"/>
  <c r="A2695" i="3"/>
  <c r="A2689" i="3"/>
  <c r="A2706" i="3"/>
  <c r="A2694" i="3"/>
  <c r="A2688" i="3"/>
  <c r="AM66" i="4"/>
  <c r="A2474" i="3" s="1"/>
  <c r="AG66" i="4"/>
  <c r="A2463" i="3" s="1"/>
  <c r="AL66" i="4"/>
  <c r="A2473" i="3" s="1"/>
  <c r="AF66" i="4"/>
  <c r="A2462" i="3" s="1"/>
  <c r="AQ66" i="4"/>
  <c r="A2478" i="3" s="1"/>
  <c r="AK66" i="4"/>
  <c r="A2472" i="3" s="1"/>
  <c r="AE66" i="4"/>
  <c r="A2461" i="3" s="1"/>
  <c r="AN66" i="4"/>
  <c r="A2475" i="3" s="1"/>
  <c r="AB66" i="4"/>
  <c r="A2458" i="3" s="1"/>
  <c r="AI66" i="4"/>
  <c r="A2465" i="3" s="1"/>
  <c r="AH66" i="4"/>
  <c r="A2464" i="3" s="1"/>
  <c r="AP66" i="4"/>
  <c r="A2477" i="3" s="1"/>
  <c r="AO66" i="4"/>
  <c r="A2476" i="3" s="1"/>
  <c r="AJ66" i="4"/>
  <c r="A2471" i="3" s="1"/>
  <c r="AD66" i="4"/>
  <c r="A2460" i="3" s="1"/>
  <c r="AC66" i="4"/>
  <c r="A2459" i="3" s="1"/>
  <c r="A2453" i="3"/>
  <c r="A2482" i="3"/>
  <c r="A2470" i="3"/>
  <c r="A2452" i="3"/>
  <c r="A2479" i="3"/>
  <c r="A2467" i="3"/>
  <c r="A2466" i="3"/>
  <c r="A2454" i="3"/>
  <c r="A2469" i="3"/>
  <c r="A2455" i="3"/>
  <c r="A2446" i="3"/>
  <c r="A2468" i="3"/>
  <c r="A2451" i="3"/>
  <c r="A2445" i="3"/>
  <c r="A2481" i="3"/>
  <c r="A2450" i="3"/>
  <c r="A2444" i="3"/>
  <c r="A2480" i="3"/>
  <c r="A2449" i="3"/>
  <c r="A2456" i="3"/>
  <c r="A2447" i="3"/>
  <c r="A2457" i="3"/>
  <c r="A2448" i="3"/>
  <c r="AM60" i="4"/>
  <c r="A2234" i="3" s="1"/>
  <c r="AG60" i="4"/>
  <c r="A2223" i="3" s="1"/>
  <c r="AL60" i="4"/>
  <c r="A2233" i="3" s="1"/>
  <c r="AF60" i="4"/>
  <c r="A2222" i="3" s="1"/>
  <c r="AQ60" i="4"/>
  <c r="A2238" i="3" s="1"/>
  <c r="AI60" i="4"/>
  <c r="A2225" i="3" s="1"/>
  <c r="AO60" i="4"/>
  <c r="A2236" i="3" s="1"/>
  <c r="AE60" i="4"/>
  <c r="A2221" i="3" s="1"/>
  <c r="AN60" i="4"/>
  <c r="A2235" i="3" s="1"/>
  <c r="AD60" i="4"/>
  <c r="A2220" i="3" s="1"/>
  <c r="AC60" i="4"/>
  <c r="A2219" i="3" s="1"/>
  <c r="AB60" i="4"/>
  <c r="A2218" i="3" s="1"/>
  <c r="AP60" i="4"/>
  <c r="A2237" i="3" s="1"/>
  <c r="AK60" i="4"/>
  <c r="A2232" i="3" s="1"/>
  <c r="AJ60" i="4"/>
  <c r="A2231" i="3" s="1"/>
  <c r="AH60" i="4"/>
  <c r="A2224" i="3" s="1"/>
  <c r="A2242" i="3"/>
  <c r="A2230" i="3"/>
  <c r="A2212" i="3"/>
  <c r="A2206" i="3"/>
  <c r="A2241" i="3"/>
  <c r="A2229" i="3"/>
  <c r="A2217" i="3"/>
  <c r="A2211" i="3"/>
  <c r="A2205" i="3"/>
  <c r="A2240" i="3"/>
  <c r="A2228" i="3"/>
  <c r="A2216" i="3"/>
  <c r="A2210" i="3"/>
  <c r="A2204" i="3"/>
  <c r="A2239" i="3"/>
  <c r="A2227" i="3"/>
  <c r="A2215" i="3"/>
  <c r="A2209" i="3"/>
  <c r="A2213" i="3"/>
  <c r="A2207" i="3"/>
  <c r="A2208" i="3"/>
  <c r="A2226" i="3"/>
  <c r="A2214" i="3"/>
  <c r="AL24" i="4"/>
  <c r="A793" i="3" s="1"/>
  <c r="AF24" i="4"/>
  <c r="A782" i="3" s="1"/>
  <c r="AQ24" i="4"/>
  <c r="A798" i="3" s="1"/>
  <c r="AK24" i="4"/>
  <c r="A792" i="3" s="1"/>
  <c r="AE24" i="4"/>
  <c r="A781" i="3" s="1"/>
  <c r="AP24" i="4"/>
  <c r="A797" i="3" s="1"/>
  <c r="AJ24" i="4"/>
  <c r="A791" i="3" s="1"/>
  <c r="AD24" i="4"/>
  <c r="A780" i="3" s="1"/>
  <c r="AO24" i="4"/>
  <c r="A796" i="3" s="1"/>
  <c r="AI24" i="4"/>
  <c r="A785" i="3" s="1"/>
  <c r="AC24" i="4"/>
  <c r="A779" i="3" s="1"/>
  <c r="AM24" i="4"/>
  <c r="A794" i="3" s="1"/>
  <c r="AG24" i="4"/>
  <c r="A783" i="3" s="1"/>
  <c r="AN24" i="4"/>
  <c r="A795" i="3" s="1"/>
  <c r="AH24" i="4"/>
  <c r="A784" i="3" s="1"/>
  <c r="AB24" i="4"/>
  <c r="A778" i="3" s="1"/>
  <c r="A801" i="3"/>
  <c r="A789" i="3"/>
  <c r="A777" i="3"/>
  <c r="A771" i="3"/>
  <c r="A765" i="3"/>
  <c r="A800" i="3"/>
  <c r="A788" i="3"/>
  <c r="A776" i="3"/>
  <c r="A770" i="3"/>
  <c r="A764" i="3"/>
  <c r="A799" i="3"/>
  <c r="A787" i="3"/>
  <c r="A775" i="3"/>
  <c r="A769" i="3"/>
  <c r="A786" i="3"/>
  <c r="A774" i="3"/>
  <c r="A768" i="3"/>
  <c r="A802" i="3"/>
  <c r="A790" i="3"/>
  <c r="A772" i="3"/>
  <c r="A766" i="3"/>
  <c r="A773" i="3"/>
  <c r="A767" i="3"/>
  <c r="AL18" i="4"/>
  <c r="A553" i="3" s="1"/>
  <c r="AF18" i="4"/>
  <c r="A542" i="3" s="1"/>
  <c r="AQ18" i="4"/>
  <c r="A558" i="3" s="1"/>
  <c r="AK18" i="4"/>
  <c r="A552" i="3" s="1"/>
  <c r="AE18" i="4"/>
  <c r="A541" i="3" s="1"/>
  <c r="AP18" i="4"/>
  <c r="A557" i="3" s="1"/>
  <c r="AJ18" i="4"/>
  <c r="A551" i="3" s="1"/>
  <c r="AD18" i="4"/>
  <c r="A540" i="3" s="1"/>
  <c r="AO18" i="4"/>
  <c r="A556" i="3" s="1"/>
  <c r="AI18" i="4"/>
  <c r="A545" i="3" s="1"/>
  <c r="AC18" i="4"/>
  <c r="A539" i="3" s="1"/>
  <c r="AM18" i="4"/>
  <c r="A554" i="3" s="1"/>
  <c r="AG18" i="4"/>
  <c r="A543" i="3" s="1"/>
  <c r="AN18" i="4"/>
  <c r="A555" i="3" s="1"/>
  <c r="AH18" i="4"/>
  <c r="A544" i="3" s="1"/>
  <c r="AB18" i="4"/>
  <c r="A538" i="3" s="1"/>
  <c r="A561" i="3"/>
  <c r="A549" i="3"/>
  <c r="A537" i="3"/>
  <c r="A560" i="3"/>
  <c r="A548" i="3"/>
  <c r="A536" i="3"/>
  <c r="A530" i="3"/>
  <c r="A524" i="3"/>
  <c r="A562" i="3"/>
  <c r="A550" i="3"/>
  <c r="A532" i="3"/>
  <c r="A528" i="3"/>
  <c r="A559" i="3"/>
  <c r="A547" i="3"/>
  <c r="A535" i="3"/>
  <c r="A527" i="3"/>
  <c r="A546" i="3"/>
  <c r="A534" i="3"/>
  <c r="A526" i="3"/>
  <c r="A533" i="3"/>
  <c r="A525" i="3"/>
  <c r="A531" i="3"/>
  <c r="A529" i="3"/>
  <c r="AL12" i="4"/>
  <c r="A313" i="3" s="1"/>
  <c r="AF12" i="4"/>
  <c r="A302" i="3" s="1"/>
  <c r="AQ12" i="4"/>
  <c r="A318" i="3" s="1"/>
  <c r="AK12" i="4"/>
  <c r="A312" i="3" s="1"/>
  <c r="AE12" i="4"/>
  <c r="A301" i="3" s="1"/>
  <c r="AP12" i="4"/>
  <c r="A317" i="3" s="1"/>
  <c r="AJ12" i="4"/>
  <c r="A311" i="3" s="1"/>
  <c r="AD12" i="4"/>
  <c r="A300" i="3" s="1"/>
  <c r="AO12" i="4"/>
  <c r="A316" i="3" s="1"/>
  <c r="AI12" i="4"/>
  <c r="A305" i="3" s="1"/>
  <c r="AC12" i="4"/>
  <c r="A299" i="3" s="1"/>
  <c r="AM12" i="4"/>
  <c r="A314" i="3" s="1"/>
  <c r="AG12" i="4"/>
  <c r="A303" i="3" s="1"/>
  <c r="AN12" i="4"/>
  <c r="A315" i="3" s="1"/>
  <c r="AH12" i="4"/>
  <c r="A304" i="3" s="1"/>
  <c r="AB12" i="4"/>
  <c r="A298" i="3" s="1"/>
  <c r="A319" i="3"/>
  <c r="A307" i="3"/>
  <c r="A295" i="3"/>
  <c r="A289" i="3"/>
  <c r="A321" i="3"/>
  <c r="A297" i="3"/>
  <c r="A306" i="3"/>
  <c r="A294" i="3"/>
  <c r="A288" i="3"/>
  <c r="A291" i="3"/>
  <c r="A293" i="3"/>
  <c r="A287" i="3"/>
  <c r="A322" i="3"/>
  <c r="A310" i="3"/>
  <c r="A292" i="3"/>
  <c r="A286" i="3"/>
  <c r="A309" i="3"/>
  <c r="A285" i="3"/>
  <c r="A320" i="3"/>
  <c r="A308" i="3"/>
  <c r="A296" i="3"/>
  <c r="A290" i="3"/>
  <c r="A284" i="3"/>
  <c r="AL6" i="4"/>
  <c r="A73" i="3" s="1"/>
  <c r="AF6" i="4"/>
  <c r="A62" i="3" s="1"/>
  <c r="AQ6" i="4"/>
  <c r="A78" i="3" s="1"/>
  <c r="AK6" i="4"/>
  <c r="A72" i="3" s="1"/>
  <c r="AE6" i="4"/>
  <c r="A61" i="3" s="1"/>
  <c r="AP6" i="4"/>
  <c r="A77" i="3" s="1"/>
  <c r="AJ6" i="4"/>
  <c r="A71" i="3" s="1"/>
  <c r="AD6" i="4"/>
  <c r="A60" i="3" s="1"/>
  <c r="AM6" i="4"/>
  <c r="A74" i="3" s="1"/>
  <c r="AG6" i="4"/>
  <c r="A63" i="3" s="1"/>
  <c r="AN6" i="4"/>
  <c r="A75" i="3" s="1"/>
  <c r="AI6" i="4"/>
  <c r="A65" i="3" s="1"/>
  <c r="AH6" i="4"/>
  <c r="A64" i="3" s="1"/>
  <c r="AC6" i="4"/>
  <c r="A59" i="3" s="1"/>
  <c r="AB6" i="4"/>
  <c r="A58" i="3" s="1"/>
  <c r="AO6" i="4"/>
  <c r="A76" i="3" s="1"/>
  <c r="A79" i="3"/>
  <c r="A67" i="3"/>
  <c r="A55" i="3"/>
  <c r="A49" i="3"/>
  <c r="A66" i="3"/>
  <c r="A54" i="3"/>
  <c r="A48" i="3"/>
  <c r="A45" i="3"/>
  <c r="A53" i="3"/>
  <c r="A47" i="3"/>
  <c r="A81" i="3"/>
  <c r="A51" i="3"/>
  <c r="A82" i="3"/>
  <c r="A70" i="3"/>
  <c r="A52" i="3"/>
  <c r="A46" i="3"/>
  <c r="A57" i="3"/>
  <c r="A80" i="3"/>
  <c r="A68" i="3"/>
  <c r="A56" i="3"/>
  <c r="A50" i="3"/>
  <c r="A44" i="3"/>
  <c r="A69" i="3"/>
  <c r="AM81" i="4"/>
  <c r="A3074" i="3" s="1"/>
  <c r="AG81" i="4"/>
  <c r="A3063" i="3" s="1"/>
  <c r="AL81" i="4"/>
  <c r="A3073" i="3" s="1"/>
  <c r="AF81" i="4"/>
  <c r="A3062" i="3" s="1"/>
  <c r="AQ81" i="4"/>
  <c r="A3078" i="3" s="1"/>
  <c r="AK81" i="4"/>
  <c r="A3072" i="3" s="1"/>
  <c r="AE81" i="4"/>
  <c r="A3061" i="3" s="1"/>
  <c r="AJ81" i="4"/>
  <c r="A3071" i="3" s="1"/>
  <c r="AI81" i="4"/>
  <c r="A3065" i="3" s="1"/>
  <c r="AH81" i="4"/>
  <c r="A3064" i="3" s="1"/>
  <c r="AP81" i="4"/>
  <c r="A3077" i="3" s="1"/>
  <c r="AD81" i="4"/>
  <c r="A3060" i="3" s="1"/>
  <c r="AO81" i="4"/>
  <c r="A3076" i="3" s="1"/>
  <c r="AN81" i="4"/>
  <c r="A3075" i="3" s="1"/>
  <c r="AC81" i="4"/>
  <c r="A3059" i="3" s="1"/>
  <c r="AB81" i="4"/>
  <c r="A3058" i="3" s="1"/>
  <c r="A3053" i="3"/>
  <c r="A3047" i="3"/>
  <c r="A3082" i="3"/>
  <c r="A3070" i="3"/>
  <c r="A3052" i="3"/>
  <c r="A3046" i="3"/>
  <c r="A3081" i="3"/>
  <c r="A3069" i="3"/>
  <c r="A3057" i="3"/>
  <c r="A3051" i="3"/>
  <c r="A3045" i="3"/>
  <c r="A3080" i="3"/>
  <c r="A3068" i="3"/>
  <c r="A3056" i="3"/>
  <c r="A3050" i="3"/>
  <c r="A3044" i="3"/>
  <c r="A3079" i="3"/>
  <c r="A3067" i="3"/>
  <c r="A3055" i="3"/>
  <c r="A3049" i="3"/>
  <c r="A3066" i="3"/>
  <c r="A3054" i="3"/>
  <c r="A3048" i="3"/>
  <c r="AQ33" i="4"/>
  <c r="A1158" i="3" s="1"/>
  <c r="AL33" i="4"/>
  <c r="A1153" i="3" s="1"/>
  <c r="AF33" i="4"/>
  <c r="A1142" i="3" s="1"/>
  <c r="AK33" i="4"/>
  <c r="A1152" i="3" s="1"/>
  <c r="AE33" i="4"/>
  <c r="A1141" i="3" s="1"/>
  <c r="AO33" i="4"/>
  <c r="A1156" i="3" s="1"/>
  <c r="AI33" i="4"/>
  <c r="A1145" i="3" s="1"/>
  <c r="AC33" i="4"/>
  <c r="A1139" i="3" s="1"/>
  <c r="AM33" i="4"/>
  <c r="A1154" i="3" s="1"/>
  <c r="AG33" i="4"/>
  <c r="A1143" i="3" s="1"/>
  <c r="AB33" i="4"/>
  <c r="A1138" i="3" s="1"/>
  <c r="AP33" i="4"/>
  <c r="A1157" i="3" s="1"/>
  <c r="AN33" i="4"/>
  <c r="A1155" i="3" s="1"/>
  <c r="AJ33" i="4"/>
  <c r="A1151" i="3" s="1"/>
  <c r="AD33" i="4"/>
  <c r="A1140" i="3" s="1"/>
  <c r="AH33" i="4"/>
  <c r="A1144" i="3" s="1"/>
  <c r="A1161" i="3"/>
  <c r="A1149" i="3"/>
  <c r="A1137" i="3"/>
  <c r="A1131" i="3"/>
  <c r="A1125" i="3"/>
  <c r="A1160" i="3"/>
  <c r="A1148" i="3"/>
  <c r="A1136" i="3"/>
  <c r="A1130" i="3"/>
  <c r="A1124" i="3"/>
  <c r="A1159" i="3"/>
  <c r="A1147" i="3"/>
  <c r="A1135" i="3"/>
  <c r="A1129" i="3"/>
  <c r="A1146" i="3"/>
  <c r="A1134" i="3"/>
  <c r="A1128" i="3"/>
  <c r="A1162" i="3"/>
  <c r="A1150" i="3"/>
  <c r="A1132" i="3"/>
  <c r="A1126" i="3"/>
  <c r="A1133" i="3"/>
  <c r="A1127" i="3"/>
  <c r="AO71" i="4"/>
  <c r="A2676" i="3" s="1"/>
  <c r="AI71" i="4"/>
  <c r="A2665" i="3" s="1"/>
  <c r="AC71" i="4"/>
  <c r="A2659" i="3" s="1"/>
  <c r="AN71" i="4"/>
  <c r="A2675" i="3" s="1"/>
  <c r="AH71" i="4"/>
  <c r="A2664" i="3" s="1"/>
  <c r="AB71" i="4"/>
  <c r="A2658" i="3" s="1"/>
  <c r="AM71" i="4"/>
  <c r="A2674" i="3" s="1"/>
  <c r="AG71" i="4"/>
  <c r="A2663" i="3" s="1"/>
  <c r="AL71" i="4"/>
  <c r="A2673" i="3" s="1"/>
  <c r="AF71" i="4"/>
  <c r="A2662" i="3" s="1"/>
  <c r="AQ71" i="4"/>
  <c r="A2678" i="3" s="1"/>
  <c r="AP71" i="4"/>
  <c r="A2677" i="3" s="1"/>
  <c r="AK71" i="4"/>
  <c r="A2672" i="3" s="1"/>
  <c r="AJ71" i="4"/>
  <c r="A2671" i="3" s="1"/>
  <c r="AD71" i="4"/>
  <c r="A2660" i="3" s="1"/>
  <c r="AE71" i="4"/>
  <c r="A2661" i="3" s="1"/>
  <c r="A2681" i="3"/>
  <c r="A2669" i="3"/>
  <c r="A2657" i="3"/>
  <c r="A2651" i="3"/>
  <c r="A2645" i="3"/>
  <c r="A2680" i="3"/>
  <c r="A2668" i="3"/>
  <c r="A2656" i="3"/>
  <c r="A2650" i="3"/>
  <c r="A2644" i="3"/>
  <c r="A2679" i="3"/>
  <c r="A2667" i="3"/>
  <c r="A2655" i="3"/>
  <c r="A2649" i="3"/>
  <c r="A2666" i="3"/>
  <c r="A2654" i="3"/>
  <c r="A2648" i="3"/>
  <c r="A2653" i="3"/>
  <c r="A2647" i="3"/>
  <c r="A2682" i="3"/>
  <c r="A2670" i="3"/>
  <c r="A2652" i="3"/>
  <c r="A2646" i="3"/>
  <c r="AM17" i="4"/>
  <c r="A514" i="3" s="1"/>
  <c r="AG17" i="4"/>
  <c r="A503" i="3" s="1"/>
  <c r="AL17" i="4"/>
  <c r="A513" i="3" s="1"/>
  <c r="AF17" i="4"/>
  <c r="A502" i="3" s="1"/>
  <c r="AQ17" i="4"/>
  <c r="A518" i="3" s="1"/>
  <c r="AK17" i="4"/>
  <c r="A512" i="3" s="1"/>
  <c r="AE17" i="4"/>
  <c r="A501" i="3" s="1"/>
  <c r="AP17" i="4"/>
  <c r="A517" i="3" s="1"/>
  <c r="AJ17" i="4"/>
  <c r="A511" i="3" s="1"/>
  <c r="AD17" i="4"/>
  <c r="A500" i="3" s="1"/>
  <c r="AN17" i="4"/>
  <c r="A515" i="3" s="1"/>
  <c r="AH17" i="4"/>
  <c r="A504" i="3" s="1"/>
  <c r="AB17" i="4"/>
  <c r="A498" i="3" s="1"/>
  <c r="AO17" i="4"/>
  <c r="A516" i="3" s="1"/>
  <c r="AI17" i="4"/>
  <c r="A505" i="3" s="1"/>
  <c r="AC17" i="4"/>
  <c r="A499" i="3" s="1"/>
  <c r="A506" i="3"/>
  <c r="A521" i="3"/>
  <c r="A507" i="3"/>
  <c r="A493" i="3"/>
  <c r="A487" i="3"/>
  <c r="A520" i="3"/>
  <c r="A492" i="3"/>
  <c r="A486" i="3"/>
  <c r="A495" i="3"/>
  <c r="A489" i="3"/>
  <c r="A519" i="3"/>
  <c r="A497" i="3"/>
  <c r="A491" i="3"/>
  <c r="A485" i="3"/>
  <c r="A509" i="3"/>
  <c r="A510" i="3"/>
  <c r="A496" i="3"/>
  <c r="A490" i="3"/>
  <c r="A484" i="3"/>
  <c r="A522" i="3"/>
  <c r="A508" i="3"/>
  <c r="A494" i="3"/>
  <c r="A488" i="3"/>
  <c r="AO100" i="4"/>
  <c r="A3836" i="3" s="1"/>
  <c r="AI100" i="4"/>
  <c r="A3825" i="3" s="1"/>
  <c r="AC100" i="4"/>
  <c r="A3819" i="3" s="1"/>
  <c r="AN100" i="4"/>
  <c r="A3835" i="3" s="1"/>
  <c r="AH100" i="4"/>
  <c r="A3824" i="3" s="1"/>
  <c r="AB100" i="4"/>
  <c r="A3818" i="3" s="1"/>
  <c r="AL100" i="4"/>
  <c r="A3833" i="3" s="1"/>
  <c r="AD100" i="4"/>
  <c r="A3820" i="3" s="1"/>
  <c r="AK100" i="4"/>
  <c r="A3832" i="3" s="1"/>
  <c r="AJ100" i="4"/>
  <c r="A3831" i="3" s="1"/>
  <c r="AM100" i="4"/>
  <c r="A3834" i="3" s="1"/>
  <c r="AE100" i="4"/>
  <c r="A3821" i="3" s="1"/>
  <c r="AF100" i="4"/>
  <c r="A3822" i="3" s="1"/>
  <c r="AQ100" i="4"/>
  <c r="A3838" i="3" s="1"/>
  <c r="AP100" i="4"/>
  <c r="A3837" i="3" s="1"/>
  <c r="AG100" i="4"/>
  <c r="A3823" i="3" s="1"/>
  <c r="A3839" i="3"/>
  <c r="A3827" i="3"/>
  <c r="A3815" i="3"/>
  <c r="A3809" i="3"/>
  <c r="A3830" i="3"/>
  <c r="A3816" i="3"/>
  <c r="A3808" i="3"/>
  <c r="A3829" i="3"/>
  <c r="A3814" i="3"/>
  <c r="A3807" i="3"/>
  <c r="A3842" i="3"/>
  <c r="A3828" i="3"/>
  <c r="A3813" i="3"/>
  <c r="A3806" i="3"/>
  <c r="A3841" i="3"/>
  <c r="A3826" i="3"/>
  <c r="A3812" i="3"/>
  <c r="A3805" i="3"/>
  <c r="A3840" i="3"/>
  <c r="A3811" i="3"/>
  <c r="A3804" i="3"/>
  <c r="A3817" i="3"/>
  <c r="A3810" i="3"/>
  <c r="AO94" i="4"/>
  <c r="A3596" i="3" s="1"/>
  <c r="AI94" i="4"/>
  <c r="A3585" i="3" s="1"/>
  <c r="AC94" i="4"/>
  <c r="A3579" i="3" s="1"/>
  <c r="AN94" i="4"/>
  <c r="A3595" i="3" s="1"/>
  <c r="AH94" i="4"/>
  <c r="A3584" i="3" s="1"/>
  <c r="AB94" i="4"/>
  <c r="A3578" i="3" s="1"/>
  <c r="AP94" i="4"/>
  <c r="A3597" i="3" s="1"/>
  <c r="AF94" i="4"/>
  <c r="A3582" i="3" s="1"/>
  <c r="AM94" i="4"/>
  <c r="A3594" i="3" s="1"/>
  <c r="AE94" i="4"/>
  <c r="A3581" i="3" s="1"/>
  <c r="AL94" i="4"/>
  <c r="A3593" i="3" s="1"/>
  <c r="AD94" i="4"/>
  <c r="A3580" i="3" s="1"/>
  <c r="AQ94" i="4"/>
  <c r="A3598" i="3" s="1"/>
  <c r="AG94" i="4"/>
  <c r="A3583" i="3" s="1"/>
  <c r="AK94" i="4"/>
  <c r="A3592" i="3" s="1"/>
  <c r="AJ94" i="4"/>
  <c r="A3591" i="3" s="1"/>
  <c r="A3601" i="3"/>
  <c r="A3589" i="3"/>
  <c r="A3577" i="3"/>
  <c r="A3571" i="3"/>
  <c r="A3565" i="3"/>
  <c r="A3600" i="3"/>
  <c r="A3588" i="3"/>
  <c r="A3576" i="3"/>
  <c r="A3570" i="3"/>
  <c r="A3564" i="3"/>
  <c r="A3599" i="3"/>
  <c r="A3587" i="3"/>
  <c r="A3575" i="3"/>
  <c r="A3569" i="3"/>
  <c r="A3586" i="3"/>
  <c r="A3574" i="3"/>
  <c r="A3568" i="3"/>
  <c r="A3573" i="3"/>
  <c r="A3567" i="3"/>
  <c r="A3572" i="3"/>
  <c r="A3602" i="3"/>
  <c r="A3566" i="3"/>
  <c r="A3590" i="3"/>
  <c r="AO70" i="4"/>
  <c r="A2636" i="3" s="1"/>
  <c r="AI70" i="4"/>
  <c r="A2625" i="3" s="1"/>
  <c r="AC70" i="4"/>
  <c r="A2619" i="3" s="1"/>
  <c r="AN70" i="4"/>
  <c r="A2635" i="3" s="1"/>
  <c r="AH70" i="4"/>
  <c r="A2624" i="3" s="1"/>
  <c r="AB70" i="4"/>
  <c r="A2618" i="3" s="1"/>
  <c r="AM70" i="4"/>
  <c r="A2634" i="3" s="1"/>
  <c r="AG70" i="4"/>
  <c r="A2623" i="3" s="1"/>
  <c r="AK70" i="4"/>
  <c r="A2632" i="3" s="1"/>
  <c r="AJ70" i="4"/>
  <c r="A2631" i="3" s="1"/>
  <c r="AF70" i="4"/>
  <c r="A2622" i="3" s="1"/>
  <c r="AQ70" i="4"/>
  <c r="A2638" i="3" s="1"/>
  <c r="AE70" i="4"/>
  <c r="A2621" i="3" s="1"/>
  <c r="AL70" i="4"/>
  <c r="A2633" i="3" s="1"/>
  <c r="AP70" i="4"/>
  <c r="A2637" i="3" s="1"/>
  <c r="AD70" i="4"/>
  <c r="A2620" i="3" s="1"/>
  <c r="A2639" i="3"/>
  <c r="A2627" i="3"/>
  <c r="A2615" i="3"/>
  <c r="A2609" i="3"/>
  <c r="A2626" i="3"/>
  <c r="A2614" i="3"/>
  <c r="A2608" i="3"/>
  <c r="A2613" i="3"/>
  <c r="A2607" i="3"/>
  <c r="A2642" i="3"/>
  <c r="A2630" i="3"/>
  <c r="A2612" i="3"/>
  <c r="A2606" i="3"/>
  <c r="A2641" i="3"/>
  <c r="A2629" i="3"/>
  <c r="A2617" i="3"/>
  <c r="A2611" i="3"/>
  <c r="A2605" i="3"/>
  <c r="A2640" i="3"/>
  <c r="A2628" i="3"/>
  <c r="A2616" i="3"/>
  <c r="A2610" i="3"/>
  <c r="A2604" i="3"/>
  <c r="AO64" i="4"/>
  <c r="A2396" i="3" s="1"/>
  <c r="AI64" i="4"/>
  <c r="A2385" i="3" s="1"/>
  <c r="AC64" i="4"/>
  <c r="A2379" i="3" s="1"/>
  <c r="AN64" i="4"/>
  <c r="A2395" i="3" s="1"/>
  <c r="AH64" i="4"/>
  <c r="A2384" i="3" s="1"/>
  <c r="AB64" i="4"/>
  <c r="A2378" i="3" s="1"/>
  <c r="AM64" i="4"/>
  <c r="A2394" i="3" s="1"/>
  <c r="AG64" i="4"/>
  <c r="A2383" i="3" s="1"/>
  <c r="AF64" i="4"/>
  <c r="A2382" i="3" s="1"/>
  <c r="AP64" i="4"/>
  <c r="A2397" i="3" s="1"/>
  <c r="AD64" i="4"/>
  <c r="A2380" i="3" s="1"/>
  <c r="AL64" i="4"/>
  <c r="A2393" i="3" s="1"/>
  <c r="AQ64" i="4"/>
  <c r="A2398" i="3" s="1"/>
  <c r="AK64" i="4"/>
  <c r="A2392" i="3" s="1"/>
  <c r="AJ64" i="4"/>
  <c r="A2391" i="3" s="1"/>
  <c r="AE64" i="4"/>
  <c r="A2381" i="3" s="1"/>
  <c r="A2386" i="3"/>
  <c r="A2374" i="3"/>
  <c r="A2368" i="3"/>
  <c r="A2373" i="3"/>
  <c r="A2367" i="3"/>
  <c r="A2402" i="3"/>
  <c r="A2390" i="3"/>
  <c r="A2372" i="3"/>
  <c r="A2366" i="3"/>
  <c r="A2401" i="3"/>
  <c r="A2389" i="3"/>
  <c r="A2377" i="3"/>
  <c r="A2371" i="3"/>
  <c r="A2365" i="3"/>
  <c r="A2399" i="3"/>
  <c r="A2387" i="3"/>
  <c r="A2375" i="3"/>
  <c r="A2369" i="3"/>
  <c r="A2400" i="3"/>
  <c r="A2364" i="3"/>
  <c r="A2388" i="3"/>
  <c r="A2370" i="3"/>
  <c r="A2376" i="3"/>
  <c r="AO58" i="4"/>
  <c r="A2156" i="3" s="1"/>
  <c r="AI58" i="4"/>
  <c r="A2145" i="3" s="1"/>
  <c r="AC58" i="4"/>
  <c r="A2139" i="3" s="1"/>
  <c r="AN58" i="4"/>
  <c r="A2155" i="3" s="1"/>
  <c r="AH58" i="4"/>
  <c r="A2144" i="3" s="1"/>
  <c r="AB58" i="4"/>
  <c r="A2138" i="3" s="1"/>
  <c r="AQ58" i="4"/>
  <c r="A2158" i="3" s="1"/>
  <c r="AG58" i="4"/>
  <c r="A2143" i="3" s="1"/>
  <c r="AM58" i="4"/>
  <c r="A2154" i="3" s="1"/>
  <c r="AE58" i="4"/>
  <c r="A2141" i="3" s="1"/>
  <c r="AL58" i="4"/>
  <c r="A2153" i="3" s="1"/>
  <c r="AD58" i="4"/>
  <c r="A2140" i="3" s="1"/>
  <c r="AP58" i="4"/>
  <c r="A2157" i="3" s="1"/>
  <c r="AK58" i="4"/>
  <c r="A2152" i="3" s="1"/>
  <c r="AJ58" i="4"/>
  <c r="A2151" i="3" s="1"/>
  <c r="AF58" i="4"/>
  <c r="A2142" i="3" s="1"/>
  <c r="A2146" i="3"/>
  <c r="A2134" i="3"/>
  <c r="A2128" i="3"/>
  <c r="A2133" i="3"/>
  <c r="A2127" i="3"/>
  <c r="A2162" i="3"/>
  <c r="A2150" i="3"/>
  <c r="A2132" i="3"/>
  <c r="A2126" i="3"/>
  <c r="A2161" i="3"/>
  <c r="A2149" i="3"/>
  <c r="A2137" i="3"/>
  <c r="A2131" i="3"/>
  <c r="A2125" i="3"/>
  <c r="A2159" i="3"/>
  <c r="A2147" i="3"/>
  <c r="A2135" i="3"/>
  <c r="A2129" i="3"/>
  <c r="A2148" i="3"/>
  <c r="A2136" i="3"/>
  <c r="A2130" i="3"/>
  <c r="A2160" i="3"/>
  <c r="A2124" i="3"/>
  <c r="AP85" i="4"/>
  <c r="A3237" i="3" s="1"/>
  <c r="AJ85" i="4"/>
  <c r="A3231" i="3" s="1"/>
  <c r="AD85" i="4"/>
  <c r="A3220" i="3" s="1"/>
  <c r="AO85" i="4"/>
  <c r="A3236" i="3" s="1"/>
  <c r="AI85" i="4"/>
  <c r="A3225" i="3" s="1"/>
  <c r="AC85" i="4"/>
  <c r="A3219" i="3" s="1"/>
  <c r="AQ85" i="4"/>
  <c r="A3238" i="3" s="1"/>
  <c r="AK85" i="4"/>
  <c r="A3232" i="3" s="1"/>
  <c r="AE85" i="4"/>
  <c r="A3221" i="3" s="1"/>
  <c r="AF85" i="4"/>
  <c r="A3222" i="3" s="1"/>
  <c r="AN85" i="4"/>
  <c r="A3235" i="3" s="1"/>
  <c r="AB85" i="4"/>
  <c r="A3218" i="3" s="1"/>
  <c r="AM85" i="4"/>
  <c r="A3234" i="3" s="1"/>
  <c r="AL85" i="4"/>
  <c r="A3233" i="3" s="1"/>
  <c r="AH85" i="4"/>
  <c r="A3224" i="3" s="1"/>
  <c r="AG85" i="4"/>
  <c r="A3223" i="3" s="1"/>
  <c r="A3239" i="3"/>
  <c r="A3227" i="3"/>
  <c r="A3215" i="3"/>
  <c r="A3209" i="3"/>
  <c r="A3226" i="3"/>
  <c r="A3214" i="3"/>
  <c r="A3208" i="3"/>
  <c r="A3213" i="3"/>
  <c r="A3207" i="3"/>
  <c r="A3242" i="3"/>
  <c r="A3230" i="3"/>
  <c r="A3212" i="3"/>
  <c r="A3206" i="3"/>
  <c r="A3241" i="3"/>
  <c r="A3229" i="3"/>
  <c r="A3217" i="3"/>
  <c r="A3211" i="3"/>
  <c r="A3205" i="3"/>
  <c r="A3240" i="3"/>
  <c r="A3228" i="3"/>
  <c r="A3216" i="3"/>
  <c r="A3210" i="3"/>
  <c r="A3204" i="3"/>
  <c r="AO79" i="4"/>
  <c r="A2996" i="3" s="1"/>
  <c r="AI79" i="4"/>
  <c r="A2985" i="3" s="1"/>
  <c r="AC79" i="4"/>
  <c r="A2979" i="3" s="1"/>
  <c r="AN79" i="4"/>
  <c r="A2995" i="3" s="1"/>
  <c r="AH79" i="4"/>
  <c r="A2984" i="3" s="1"/>
  <c r="AB79" i="4"/>
  <c r="A2978" i="3" s="1"/>
  <c r="AM79" i="4"/>
  <c r="A2994" i="3" s="1"/>
  <c r="AG79" i="4"/>
  <c r="A2983" i="3" s="1"/>
  <c r="AQ79" i="4"/>
  <c r="A2998" i="3" s="1"/>
  <c r="AE79" i="4"/>
  <c r="A2981" i="3" s="1"/>
  <c r="AP79" i="4"/>
  <c r="A2997" i="3" s="1"/>
  <c r="AD79" i="4"/>
  <c r="A2980" i="3" s="1"/>
  <c r="AL79" i="4"/>
  <c r="A2993" i="3" s="1"/>
  <c r="AK79" i="4"/>
  <c r="A2992" i="3" s="1"/>
  <c r="AF79" i="4"/>
  <c r="A2982" i="3" s="1"/>
  <c r="AJ79" i="4"/>
  <c r="A2991" i="3" s="1"/>
  <c r="A2999" i="3"/>
  <c r="A2987" i="3"/>
  <c r="A2975" i="3"/>
  <c r="A2969" i="3"/>
  <c r="A2986" i="3"/>
  <c r="A2974" i="3"/>
  <c r="A2968" i="3"/>
  <c r="A2973" i="3"/>
  <c r="A2967" i="3"/>
  <c r="A3002" i="3"/>
  <c r="A2990" i="3"/>
  <c r="A2972" i="3"/>
  <c r="A2966" i="3"/>
  <c r="A3001" i="3"/>
  <c r="A2989" i="3"/>
  <c r="A2977" i="3"/>
  <c r="A2971" i="3"/>
  <c r="A2965" i="3"/>
  <c r="A3000" i="3"/>
  <c r="A2988" i="3"/>
  <c r="A2976" i="3"/>
  <c r="A2970" i="3"/>
  <c r="A2964" i="3"/>
  <c r="AO73" i="4"/>
  <c r="A2756" i="3" s="1"/>
  <c r="AI73" i="4"/>
  <c r="A2745" i="3" s="1"/>
  <c r="AC73" i="4"/>
  <c r="A2739" i="3" s="1"/>
  <c r="AM73" i="4"/>
  <c r="A2754" i="3" s="1"/>
  <c r="AG73" i="4"/>
  <c r="A2743" i="3" s="1"/>
  <c r="AJ73" i="4"/>
  <c r="A2751" i="3" s="1"/>
  <c r="AQ73" i="4"/>
  <c r="A2758" i="3" s="1"/>
  <c r="AH73" i="4"/>
  <c r="A2744" i="3" s="1"/>
  <c r="AP73" i="4"/>
  <c r="A2757" i="3" s="1"/>
  <c r="AF73" i="4"/>
  <c r="A2742" i="3" s="1"/>
  <c r="AN73" i="4"/>
  <c r="A2755" i="3" s="1"/>
  <c r="AE73" i="4"/>
  <c r="A2741" i="3" s="1"/>
  <c r="AK73" i="4"/>
  <c r="A2752" i="3" s="1"/>
  <c r="AD73" i="4"/>
  <c r="A2740" i="3" s="1"/>
  <c r="AB73" i="4"/>
  <c r="A2738" i="3" s="1"/>
  <c r="AL73" i="4"/>
  <c r="A2753" i="3" s="1"/>
  <c r="A2759" i="3"/>
  <c r="A2747" i="3"/>
  <c r="A2735" i="3"/>
  <c r="A2729" i="3"/>
  <c r="A2746" i="3"/>
  <c r="A2734" i="3"/>
  <c r="A2728" i="3"/>
  <c r="A2733" i="3"/>
  <c r="A2727" i="3"/>
  <c r="A2762" i="3"/>
  <c r="A2750" i="3"/>
  <c r="A2732" i="3"/>
  <c r="A2726" i="3"/>
  <c r="A2761" i="3"/>
  <c r="A2749" i="3"/>
  <c r="A2737" i="3"/>
  <c r="A2731" i="3"/>
  <c r="A2725" i="3"/>
  <c r="A2760" i="3"/>
  <c r="A2748" i="3"/>
  <c r="A2736" i="3"/>
  <c r="A2730" i="3"/>
  <c r="A2724" i="3"/>
  <c r="AQ55" i="4"/>
  <c r="A2038" i="3" s="1"/>
  <c r="AK55" i="4"/>
  <c r="A2032" i="3" s="1"/>
  <c r="AE55" i="4"/>
  <c r="A2021" i="3" s="1"/>
  <c r="AJ55" i="4"/>
  <c r="A2031" i="3" s="1"/>
  <c r="AC55" i="4"/>
  <c r="A2019" i="3" s="1"/>
  <c r="AO55" i="4"/>
  <c r="A2036" i="3" s="1"/>
  <c r="AH55" i="4"/>
  <c r="A2024" i="3" s="1"/>
  <c r="AN55" i="4"/>
  <c r="A2035" i="3" s="1"/>
  <c r="AG55" i="4"/>
  <c r="A2023" i="3" s="1"/>
  <c r="AL55" i="4"/>
  <c r="A2033" i="3" s="1"/>
  <c r="AI55" i="4"/>
  <c r="A2025" i="3" s="1"/>
  <c r="AF55" i="4"/>
  <c r="A2022" i="3" s="1"/>
  <c r="AD55" i="4"/>
  <c r="A2020" i="3" s="1"/>
  <c r="AP55" i="4"/>
  <c r="A2037" i="3" s="1"/>
  <c r="AB55" i="4"/>
  <c r="A2018" i="3" s="1"/>
  <c r="AM55" i="4"/>
  <c r="A2034" i="3" s="1"/>
  <c r="A2026" i="3"/>
  <c r="A2014" i="3"/>
  <c r="A2008" i="3"/>
  <c r="A2013" i="3"/>
  <c r="A2007" i="3"/>
  <c r="A2042" i="3"/>
  <c r="A2030" i="3"/>
  <c r="A2012" i="3"/>
  <c r="A2006" i="3"/>
  <c r="A2041" i="3"/>
  <c r="A2029" i="3"/>
  <c r="A2017" i="3"/>
  <c r="A2011" i="3"/>
  <c r="A2005" i="3"/>
  <c r="A2039" i="3"/>
  <c r="A2027" i="3"/>
  <c r="A2015" i="3"/>
  <c r="A2009" i="3"/>
  <c r="A2016" i="3"/>
  <c r="A2010" i="3"/>
  <c r="A2040" i="3"/>
  <c r="A2004" i="3"/>
  <c r="A2028" i="3"/>
  <c r="AO49" i="4"/>
  <c r="A1796" i="3" s="1"/>
  <c r="AI49" i="4"/>
  <c r="A1785" i="3" s="1"/>
  <c r="AC49" i="4"/>
  <c r="A1779" i="3" s="1"/>
  <c r="AM49" i="4"/>
  <c r="A1794" i="3" s="1"/>
  <c r="AG49" i="4"/>
  <c r="A1783" i="3" s="1"/>
  <c r="AL49" i="4"/>
  <c r="A1793" i="3" s="1"/>
  <c r="AF49" i="4"/>
  <c r="A1782" i="3" s="1"/>
  <c r="AQ49" i="4"/>
  <c r="A1798" i="3" s="1"/>
  <c r="AE49" i="4"/>
  <c r="A1781" i="3" s="1"/>
  <c r="AP49" i="4"/>
  <c r="A1797" i="3" s="1"/>
  <c r="AD49" i="4"/>
  <c r="A1780" i="3" s="1"/>
  <c r="AN49" i="4"/>
  <c r="A1795" i="3" s="1"/>
  <c r="AB49" i="4"/>
  <c r="A1778" i="3" s="1"/>
  <c r="AK49" i="4"/>
  <c r="A1792" i="3" s="1"/>
  <c r="AJ49" i="4"/>
  <c r="A1791" i="3" s="1"/>
  <c r="AH49" i="4"/>
  <c r="A1784" i="3" s="1"/>
  <c r="A1786" i="3"/>
  <c r="A1774" i="3"/>
  <c r="A1768" i="3"/>
  <c r="A1773" i="3"/>
  <c r="A1767" i="3"/>
  <c r="A1802" i="3"/>
  <c r="A1790" i="3"/>
  <c r="A1772" i="3"/>
  <c r="A1766" i="3"/>
  <c r="A1801" i="3"/>
  <c r="A1789" i="3"/>
  <c r="A1777" i="3"/>
  <c r="A1771" i="3"/>
  <c r="A1765" i="3"/>
  <c r="A1799" i="3"/>
  <c r="A1787" i="3"/>
  <c r="A1775" i="3"/>
  <c r="A1769" i="3"/>
  <c r="A1770" i="3"/>
  <c r="A1800" i="3"/>
  <c r="A1764" i="3"/>
  <c r="A1788" i="3"/>
  <c r="A1776" i="3"/>
  <c r="AO43" i="4"/>
  <c r="A1556" i="3" s="1"/>
  <c r="AI43" i="4"/>
  <c r="A1545" i="3" s="1"/>
  <c r="AC43" i="4"/>
  <c r="A1539" i="3" s="1"/>
  <c r="AM43" i="4"/>
  <c r="A1554" i="3" s="1"/>
  <c r="AG43" i="4"/>
  <c r="A1543" i="3" s="1"/>
  <c r="AL43" i="4"/>
  <c r="A1553" i="3" s="1"/>
  <c r="AF43" i="4"/>
  <c r="A1542" i="3" s="1"/>
  <c r="AN43" i="4"/>
  <c r="A1555" i="3" s="1"/>
  <c r="AB43" i="4"/>
  <c r="A1538" i="3" s="1"/>
  <c r="AK43" i="4"/>
  <c r="A1552" i="3" s="1"/>
  <c r="AJ43" i="4"/>
  <c r="A1551" i="3" s="1"/>
  <c r="AH43" i="4"/>
  <c r="A1544" i="3" s="1"/>
  <c r="AQ43" i="4"/>
  <c r="A1558" i="3" s="1"/>
  <c r="AE43" i="4"/>
  <c r="A1541" i="3" s="1"/>
  <c r="AP43" i="4"/>
  <c r="A1557" i="3" s="1"/>
  <c r="AD43" i="4"/>
  <c r="A1540" i="3" s="1"/>
  <c r="A1546" i="3"/>
  <c r="A1534" i="3"/>
  <c r="A1528" i="3"/>
  <c r="A1533" i="3"/>
  <c r="A1527" i="3"/>
  <c r="A1562" i="3"/>
  <c r="A1550" i="3"/>
  <c r="A1532" i="3"/>
  <c r="A1526" i="3"/>
  <c r="A1559" i="3"/>
  <c r="A1547" i="3"/>
  <c r="A1529" i="3"/>
  <c r="A1537" i="3"/>
  <c r="A1525" i="3"/>
  <c r="A1549" i="3"/>
  <c r="A1536" i="3"/>
  <c r="A1524" i="3"/>
  <c r="A1548" i="3"/>
  <c r="A1535" i="3"/>
  <c r="A1560" i="3"/>
  <c r="A1530" i="3"/>
  <c r="A1561" i="3"/>
  <c r="A1531" i="3"/>
  <c r="AN31" i="4"/>
  <c r="A1075" i="3" s="1"/>
  <c r="AH31" i="4"/>
  <c r="A1064" i="3" s="1"/>
  <c r="AB31" i="4"/>
  <c r="A1058" i="3" s="1"/>
  <c r="AM31" i="4"/>
  <c r="A1074" i="3" s="1"/>
  <c r="AG31" i="4"/>
  <c r="A1063" i="3" s="1"/>
  <c r="AQ31" i="4"/>
  <c r="A1078" i="3" s="1"/>
  <c r="AK31" i="4"/>
  <c r="A1072" i="3" s="1"/>
  <c r="AE31" i="4"/>
  <c r="A1061" i="3" s="1"/>
  <c r="AO31" i="4"/>
  <c r="A1076" i="3" s="1"/>
  <c r="AI31" i="4"/>
  <c r="A1065" i="3" s="1"/>
  <c r="AC31" i="4"/>
  <c r="A1059" i="3" s="1"/>
  <c r="AF31" i="4"/>
  <c r="A1062" i="3" s="1"/>
  <c r="AD31" i="4"/>
  <c r="A1060" i="3" s="1"/>
  <c r="AP31" i="4"/>
  <c r="A1077" i="3" s="1"/>
  <c r="AJ31" i="4"/>
  <c r="A1071" i="3" s="1"/>
  <c r="AL31" i="4"/>
  <c r="A1073" i="3" s="1"/>
  <c r="A1053" i="3"/>
  <c r="A1047" i="3"/>
  <c r="A1082" i="3"/>
  <c r="A1070" i="3"/>
  <c r="A1052" i="3"/>
  <c r="A1046" i="3"/>
  <c r="A1081" i="3"/>
  <c r="A1069" i="3"/>
  <c r="A1057" i="3"/>
  <c r="A1051" i="3"/>
  <c r="A1045" i="3"/>
  <c r="A1080" i="3"/>
  <c r="A1068" i="3"/>
  <c r="A1056" i="3"/>
  <c r="A1050" i="3"/>
  <c r="A1044" i="3"/>
  <c r="A1066" i="3"/>
  <c r="A1054" i="3"/>
  <c r="A1048" i="3"/>
  <c r="A1067" i="3"/>
  <c r="A1049" i="3"/>
  <c r="A1055" i="3"/>
  <c r="A1079" i="3"/>
  <c r="AQ25" i="4"/>
  <c r="A838" i="3" s="1"/>
  <c r="AK25" i="4"/>
  <c r="A832" i="3" s="1"/>
  <c r="AE25" i="4"/>
  <c r="A821" i="3" s="1"/>
  <c r="AP25" i="4"/>
  <c r="A837" i="3" s="1"/>
  <c r="AJ25" i="4"/>
  <c r="A831" i="3" s="1"/>
  <c r="AD25" i="4"/>
  <c r="A820" i="3" s="1"/>
  <c r="AO25" i="4"/>
  <c r="A836" i="3" s="1"/>
  <c r="AI25" i="4"/>
  <c r="A825" i="3" s="1"/>
  <c r="AC25" i="4"/>
  <c r="A819" i="3" s="1"/>
  <c r="AN25" i="4"/>
  <c r="A835" i="3" s="1"/>
  <c r="AH25" i="4"/>
  <c r="A824" i="3" s="1"/>
  <c r="AB25" i="4"/>
  <c r="A818" i="3" s="1"/>
  <c r="AL25" i="4"/>
  <c r="A833" i="3" s="1"/>
  <c r="AF25" i="4"/>
  <c r="A822" i="3" s="1"/>
  <c r="AM25" i="4"/>
  <c r="A834" i="3" s="1"/>
  <c r="AG25" i="4"/>
  <c r="A823" i="3" s="1"/>
  <c r="A813" i="3"/>
  <c r="A807" i="3"/>
  <c r="A842" i="3"/>
  <c r="A830" i="3"/>
  <c r="A812" i="3"/>
  <c r="A806" i="3"/>
  <c r="A841" i="3"/>
  <c r="A829" i="3"/>
  <c r="A817" i="3"/>
  <c r="A811" i="3"/>
  <c r="A805" i="3"/>
  <c r="A840" i="3"/>
  <c r="A828" i="3"/>
  <c r="A816" i="3"/>
  <c r="A810" i="3"/>
  <c r="A804" i="3"/>
  <c r="A826" i="3"/>
  <c r="A814" i="3"/>
  <c r="A808" i="3"/>
  <c r="A809" i="3"/>
  <c r="A839" i="3"/>
  <c r="A827" i="3"/>
  <c r="A815" i="3"/>
  <c r="AQ19" i="4"/>
  <c r="A598" i="3" s="1"/>
  <c r="AK19" i="4"/>
  <c r="A592" i="3" s="1"/>
  <c r="AE19" i="4"/>
  <c r="A581" i="3" s="1"/>
  <c r="AP19" i="4"/>
  <c r="A597" i="3" s="1"/>
  <c r="AJ19" i="4"/>
  <c r="A591" i="3" s="1"/>
  <c r="AD19" i="4"/>
  <c r="A580" i="3" s="1"/>
  <c r="AO19" i="4"/>
  <c r="A596" i="3" s="1"/>
  <c r="AI19" i="4"/>
  <c r="A585" i="3" s="1"/>
  <c r="AC19" i="4"/>
  <c r="A579" i="3" s="1"/>
  <c r="AN19" i="4"/>
  <c r="A595" i="3" s="1"/>
  <c r="AH19" i="4"/>
  <c r="A584" i="3" s="1"/>
  <c r="AB19" i="4"/>
  <c r="A578" i="3" s="1"/>
  <c r="AL19" i="4"/>
  <c r="A593" i="3" s="1"/>
  <c r="AF19" i="4"/>
  <c r="A582" i="3" s="1"/>
  <c r="AG19" i="4"/>
  <c r="A583" i="3" s="1"/>
  <c r="AM19" i="4"/>
  <c r="A594" i="3" s="1"/>
  <c r="A573" i="3"/>
  <c r="A567" i="3"/>
  <c r="A602" i="3"/>
  <c r="A590" i="3"/>
  <c r="A572" i="3"/>
  <c r="A566" i="3"/>
  <c r="A586" i="3"/>
  <c r="A574" i="3"/>
  <c r="A568" i="3"/>
  <c r="A599" i="3"/>
  <c r="A587" i="3"/>
  <c r="A575" i="3"/>
  <c r="A565" i="3"/>
  <c r="A571" i="3"/>
  <c r="A601" i="3"/>
  <c r="A570" i="3"/>
  <c r="A589" i="3"/>
  <c r="A569" i="3"/>
  <c r="A577" i="3"/>
  <c r="A600" i="3"/>
  <c r="A588" i="3"/>
  <c r="A576" i="3"/>
  <c r="A564" i="3"/>
  <c r="AQ13" i="4"/>
  <c r="A358" i="3" s="1"/>
  <c r="AK13" i="4"/>
  <c r="A352" i="3" s="1"/>
  <c r="AE13" i="4"/>
  <c r="A341" i="3" s="1"/>
  <c r="AP13" i="4"/>
  <c r="A357" i="3" s="1"/>
  <c r="AJ13" i="4"/>
  <c r="A351" i="3" s="1"/>
  <c r="AD13" i="4"/>
  <c r="A340" i="3" s="1"/>
  <c r="AO13" i="4"/>
  <c r="A356" i="3" s="1"/>
  <c r="AI13" i="4"/>
  <c r="A345" i="3" s="1"/>
  <c r="AC13" i="4"/>
  <c r="A339" i="3" s="1"/>
  <c r="AN13" i="4"/>
  <c r="A355" i="3" s="1"/>
  <c r="AH13" i="4"/>
  <c r="A344" i="3" s="1"/>
  <c r="AB13" i="4"/>
  <c r="A338" i="3" s="1"/>
  <c r="AL13" i="4"/>
  <c r="A353" i="3" s="1"/>
  <c r="AF13" i="4"/>
  <c r="A342" i="3" s="1"/>
  <c r="AM13" i="4"/>
  <c r="A354" i="3" s="1"/>
  <c r="AG13" i="4"/>
  <c r="A343" i="3" s="1"/>
  <c r="A361" i="3"/>
  <c r="A349" i="3"/>
  <c r="A337" i="3"/>
  <c r="A331" i="3"/>
  <c r="A325" i="3"/>
  <c r="A360" i="3"/>
  <c r="A348" i="3"/>
  <c r="A336" i="3"/>
  <c r="A330" i="3"/>
  <c r="A324" i="3"/>
  <c r="A333" i="3"/>
  <c r="A359" i="3"/>
  <c r="A347" i="3"/>
  <c r="A335" i="3"/>
  <c r="A329" i="3"/>
  <c r="A327" i="3"/>
  <c r="A346" i="3"/>
  <c r="A334" i="3"/>
  <c r="A328" i="3"/>
  <c r="A362" i="3"/>
  <c r="A350" i="3"/>
  <c r="A332" i="3"/>
  <c r="A326" i="3"/>
  <c r="AQ7" i="4"/>
  <c r="A118" i="3" s="1"/>
  <c r="AK7" i="4"/>
  <c r="A112" i="3" s="1"/>
  <c r="AE7" i="4"/>
  <c r="A101" i="3" s="1"/>
  <c r="AP7" i="4"/>
  <c r="A117" i="3" s="1"/>
  <c r="AJ7" i="4"/>
  <c r="A111" i="3" s="1"/>
  <c r="AD7" i="4"/>
  <c r="A100" i="3" s="1"/>
  <c r="AO7" i="4"/>
  <c r="A116" i="3" s="1"/>
  <c r="AI7" i="4"/>
  <c r="A105" i="3" s="1"/>
  <c r="AC7" i="4"/>
  <c r="A99" i="3" s="1"/>
  <c r="AL7" i="4"/>
  <c r="A113" i="3" s="1"/>
  <c r="AF7" i="4"/>
  <c r="A102" i="3" s="1"/>
  <c r="AB7" i="4"/>
  <c r="A98" i="3" s="1"/>
  <c r="AN7" i="4"/>
  <c r="A115" i="3" s="1"/>
  <c r="AM7" i="4"/>
  <c r="A114" i="3" s="1"/>
  <c r="AH7" i="4"/>
  <c r="A104" i="3" s="1"/>
  <c r="AG7" i="4"/>
  <c r="A103" i="3" s="1"/>
  <c r="A121" i="3"/>
  <c r="A109" i="3"/>
  <c r="A97" i="3"/>
  <c r="A91" i="3"/>
  <c r="A85" i="3"/>
  <c r="A93" i="3"/>
  <c r="A120" i="3"/>
  <c r="A108" i="3"/>
  <c r="A96" i="3"/>
  <c r="A90" i="3"/>
  <c r="A84" i="3"/>
  <c r="A87" i="3"/>
  <c r="A119" i="3"/>
  <c r="A107" i="3"/>
  <c r="A95" i="3"/>
  <c r="A89" i="3"/>
  <c r="A106" i="3"/>
  <c r="A94" i="3"/>
  <c r="A88" i="3"/>
  <c r="A122" i="3"/>
  <c r="A110" i="3"/>
  <c r="A92" i="3"/>
  <c r="A86" i="3"/>
  <c r="AN80" i="4"/>
  <c r="A3035" i="3" s="1"/>
  <c r="AH80" i="4"/>
  <c r="A3024" i="3" s="1"/>
  <c r="AB80" i="4"/>
  <c r="A3018" i="3" s="1"/>
  <c r="AM80" i="4"/>
  <c r="A3034" i="3" s="1"/>
  <c r="AG80" i="4"/>
  <c r="A3023" i="3" s="1"/>
  <c r="AL80" i="4"/>
  <c r="A3033" i="3" s="1"/>
  <c r="AF80" i="4"/>
  <c r="A3022" i="3" s="1"/>
  <c r="AQ80" i="4"/>
  <c r="A3038" i="3" s="1"/>
  <c r="AE80" i="4"/>
  <c r="A3021" i="3" s="1"/>
  <c r="AP80" i="4"/>
  <c r="A3037" i="3" s="1"/>
  <c r="AD80" i="4"/>
  <c r="A3020" i="3" s="1"/>
  <c r="AO80" i="4"/>
  <c r="A3036" i="3" s="1"/>
  <c r="AC80" i="4"/>
  <c r="A3019" i="3" s="1"/>
  <c r="AK80" i="4"/>
  <c r="A3032" i="3" s="1"/>
  <c r="AJ80" i="4"/>
  <c r="A3031" i="3" s="1"/>
  <c r="AI80" i="4"/>
  <c r="A3025" i="3" s="1"/>
  <c r="A3041" i="3"/>
  <c r="A3029" i="3"/>
  <c r="A3017" i="3"/>
  <c r="A3011" i="3"/>
  <c r="A3005" i="3"/>
  <c r="A3040" i="3"/>
  <c r="A3028" i="3"/>
  <c r="A3016" i="3"/>
  <c r="A3010" i="3"/>
  <c r="A3004" i="3"/>
  <c r="A3039" i="3"/>
  <c r="A3027" i="3"/>
  <c r="A3015" i="3"/>
  <c r="A3009" i="3"/>
  <c r="A3026" i="3"/>
  <c r="A3014" i="3"/>
  <c r="A3008" i="3"/>
  <c r="A3013" i="3"/>
  <c r="A3007" i="3"/>
  <c r="A3042" i="3"/>
  <c r="A3030" i="3"/>
  <c r="A3012" i="3"/>
  <c r="A3006" i="3"/>
  <c r="AN50" i="4"/>
  <c r="A1835" i="3" s="1"/>
  <c r="AH50" i="4"/>
  <c r="A1824" i="3" s="1"/>
  <c r="AB50" i="4"/>
  <c r="A1818" i="3" s="1"/>
  <c r="AL50" i="4"/>
  <c r="A1833" i="3" s="1"/>
  <c r="AF50" i="4"/>
  <c r="A1822" i="3" s="1"/>
  <c r="AQ50" i="4"/>
  <c r="A1838" i="3" s="1"/>
  <c r="AK50" i="4"/>
  <c r="A1832" i="3" s="1"/>
  <c r="AE50" i="4"/>
  <c r="A1821" i="3" s="1"/>
  <c r="AJ50" i="4"/>
  <c r="A1831" i="3" s="1"/>
  <c r="AI50" i="4"/>
  <c r="A1825" i="3" s="1"/>
  <c r="AG50" i="4"/>
  <c r="A1823" i="3" s="1"/>
  <c r="AP50" i="4"/>
  <c r="A1837" i="3" s="1"/>
  <c r="AD50" i="4"/>
  <c r="A1820" i="3" s="1"/>
  <c r="AO50" i="4"/>
  <c r="A1836" i="3" s="1"/>
  <c r="AC50" i="4"/>
  <c r="A1819" i="3" s="1"/>
  <c r="AM50" i="4"/>
  <c r="A1834" i="3" s="1"/>
  <c r="A1840" i="3"/>
  <c r="A1828" i="3"/>
  <c r="A1816" i="3"/>
  <c r="A1810" i="3"/>
  <c r="A1804" i="3"/>
  <c r="A1839" i="3"/>
  <c r="A1827" i="3"/>
  <c r="A1815" i="3"/>
  <c r="A1809" i="3"/>
  <c r="A1826" i="3"/>
  <c r="A1814" i="3"/>
  <c r="A1808" i="3"/>
  <c r="A1813" i="3"/>
  <c r="A1807" i="3"/>
  <c r="A1841" i="3"/>
  <c r="A1829" i="3"/>
  <c r="A1817" i="3"/>
  <c r="A1811" i="3"/>
  <c r="A1805" i="3"/>
  <c r="A1830" i="3"/>
  <c r="A1842" i="3"/>
  <c r="A1806" i="3"/>
  <c r="A1812" i="3"/>
  <c r="AN89" i="4"/>
  <c r="A3395" i="3" s="1"/>
  <c r="AH89" i="4"/>
  <c r="A3384" i="3" s="1"/>
  <c r="AB89" i="4"/>
  <c r="A3378" i="3" s="1"/>
  <c r="AM89" i="4"/>
  <c r="A3394" i="3" s="1"/>
  <c r="AG89" i="4"/>
  <c r="A3383" i="3" s="1"/>
  <c r="AO89" i="4"/>
  <c r="A3396" i="3" s="1"/>
  <c r="AE89" i="4"/>
  <c r="A3381" i="3" s="1"/>
  <c r="AL89" i="4"/>
  <c r="A3393" i="3" s="1"/>
  <c r="AD89" i="4"/>
  <c r="A3380" i="3" s="1"/>
  <c r="AP89" i="4"/>
  <c r="A3397" i="3" s="1"/>
  <c r="AF89" i="4"/>
  <c r="A3382" i="3" s="1"/>
  <c r="AK89" i="4"/>
  <c r="A3392" i="3" s="1"/>
  <c r="AJ89" i="4"/>
  <c r="A3391" i="3" s="1"/>
  <c r="AI89" i="4"/>
  <c r="A3385" i="3" s="1"/>
  <c r="AC89" i="4"/>
  <c r="A3379" i="3" s="1"/>
  <c r="AQ89" i="4"/>
  <c r="A3398" i="3" s="1"/>
  <c r="A3401" i="3"/>
  <c r="A3389" i="3"/>
  <c r="A3377" i="3"/>
  <c r="A3371" i="3"/>
  <c r="A3365" i="3"/>
  <c r="A3400" i="3"/>
  <c r="A3388" i="3"/>
  <c r="A3376" i="3"/>
  <c r="A3370" i="3"/>
  <c r="A3364" i="3"/>
  <c r="A3399" i="3"/>
  <c r="A3387" i="3"/>
  <c r="A3375" i="3"/>
  <c r="A3369" i="3"/>
  <c r="A3386" i="3"/>
  <c r="A3374" i="3"/>
  <c r="A3368" i="3"/>
  <c r="A3373" i="3"/>
  <c r="A3367" i="3"/>
  <c r="A3402" i="3"/>
  <c r="A3390" i="3"/>
  <c r="A3372" i="3"/>
  <c r="A3366" i="3"/>
  <c r="AM23" i="4"/>
  <c r="A754" i="3" s="1"/>
  <c r="AG23" i="4"/>
  <c r="A743" i="3" s="1"/>
  <c r="AL23" i="4"/>
  <c r="A753" i="3" s="1"/>
  <c r="AF23" i="4"/>
  <c r="A742" i="3" s="1"/>
  <c r="AQ23" i="4"/>
  <c r="A758" i="3" s="1"/>
  <c r="AK23" i="4"/>
  <c r="A752" i="3" s="1"/>
  <c r="AE23" i="4"/>
  <c r="A741" i="3" s="1"/>
  <c r="AP23" i="4"/>
  <c r="A757" i="3" s="1"/>
  <c r="AJ23" i="4"/>
  <c r="A751" i="3" s="1"/>
  <c r="AD23" i="4"/>
  <c r="A740" i="3" s="1"/>
  <c r="AN23" i="4"/>
  <c r="A755" i="3" s="1"/>
  <c r="AH23" i="4"/>
  <c r="A744" i="3" s="1"/>
  <c r="AB23" i="4"/>
  <c r="A738" i="3" s="1"/>
  <c r="AO23" i="4"/>
  <c r="A756" i="3" s="1"/>
  <c r="AI23" i="4"/>
  <c r="A745" i="3" s="1"/>
  <c r="AC23" i="4"/>
  <c r="A739" i="3" s="1"/>
  <c r="A759" i="3"/>
  <c r="A747" i="3"/>
  <c r="A735" i="3"/>
  <c r="A729" i="3"/>
  <c r="A746" i="3"/>
  <c r="A734" i="3"/>
  <c r="A728" i="3"/>
  <c r="A733" i="3"/>
  <c r="A727" i="3"/>
  <c r="A762" i="3"/>
  <c r="A750" i="3"/>
  <c r="A732" i="3"/>
  <c r="A726" i="3"/>
  <c r="A760" i="3"/>
  <c r="A748" i="3"/>
  <c r="A736" i="3"/>
  <c r="A730" i="3"/>
  <c r="A724" i="3"/>
  <c r="A737" i="3"/>
  <c r="A731" i="3"/>
  <c r="A761" i="3"/>
  <c r="A725" i="3"/>
  <c r="A749" i="3"/>
  <c r="AM88" i="4"/>
  <c r="A3354" i="3" s="1"/>
  <c r="AG88" i="4"/>
  <c r="A3343" i="3" s="1"/>
  <c r="AL88" i="4"/>
  <c r="A3353" i="3" s="1"/>
  <c r="AF88" i="4"/>
  <c r="A3342" i="3" s="1"/>
  <c r="AN88" i="4"/>
  <c r="A3355" i="3" s="1"/>
  <c r="AH88" i="4"/>
  <c r="A3344" i="3" s="1"/>
  <c r="AB88" i="4"/>
  <c r="A3338" i="3" s="1"/>
  <c r="AQ88" i="4"/>
  <c r="A3358" i="3" s="1"/>
  <c r="AE88" i="4"/>
  <c r="A3341" i="3" s="1"/>
  <c r="AP88" i="4"/>
  <c r="A3357" i="3" s="1"/>
  <c r="AD88" i="4"/>
  <c r="A3340" i="3" s="1"/>
  <c r="AO88" i="4"/>
  <c r="A3356" i="3" s="1"/>
  <c r="AC88" i="4"/>
  <c r="A3339" i="3" s="1"/>
  <c r="AK88" i="4"/>
  <c r="A3352" i="3" s="1"/>
  <c r="AJ88" i="4"/>
  <c r="A3351" i="3" s="1"/>
  <c r="AI88" i="4"/>
  <c r="A3345" i="3" s="1"/>
  <c r="A3359" i="3"/>
  <c r="A3347" i="3"/>
  <c r="A3335" i="3"/>
  <c r="A3329" i="3"/>
  <c r="A3346" i="3"/>
  <c r="A3334" i="3"/>
  <c r="A3328" i="3"/>
  <c r="A3333" i="3"/>
  <c r="A3327" i="3"/>
  <c r="A3362" i="3"/>
  <c r="A3350" i="3"/>
  <c r="A3332" i="3"/>
  <c r="A3326" i="3"/>
  <c r="A3361" i="3"/>
  <c r="A3349" i="3"/>
  <c r="A3337" i="3"/>
  <c r="A3331" i="3"/>
  <c r="A3325" i="3"/>
  <c r="A3360" i="3"/>
  <c r="A3348" i="3"/>
  <c r="A3336" i="3"/>
  <c r="A3330" i="3"/>
  <c r="A3324" i="3"/>
  <c r="AM82" i="4"/>
  <c r="A3114" i="3" s="1"/>
  <c r="AG82" i="4"/>
  <c r="A3103" i="3" s="1"/>
  <c r="AL82" i="4"/>
  <c r="A3113" i="3" s="1"/>
  <c r="AF82" i="4"/>
  <c r="A3102" i="3" s="1"/>
  <c r="AN82" i="4"/>
  <c r="A3115" i="3" s="1"/>
  <c r="AD82" i="4"/>
  <c r="A3100" i="3" s="1"/>
  <c r="AK82" i="4"/>
  <c r="A3112" i="3" s="1"/>
  <c r="AC82" i="4"/>
  <c r="A3099" i="3" s="1"/>
  <c r="AJ82" i="4"/>
  <c r="A3111" i="3" s="1"/>
  <c r="AB82" i="4"/>
  <c r="A3098" i="3" s="1"/>
  <c r="AI82" i="4"/>
  <c r="A3105" i="3" s="1"/>
  <c r="AH82" i="4"/>
  <c r="A3104" i="3" s="1"/>
  <c r="AE82" i="4"/>
  <c r="A3101" i="3" s="1"/>
  <c r="AQ82" i="4"/>
  <c r="A3118" i="3" s="1"/>
  <c r="AP82" i="4"/>
  <c r="A3117" i="3" s="1"/>
  <c r="AO82" i="4"/>
  <c r="A3116" i="3" s="1"/>
  <c r="A3119" i="3"/>
  <c r="A3107" i="3"/>
  <c r="A3095" i="3"/>
  <c r="A3089" i="3"/>
  <c r="A3106" i="3"/>
  <c r="A3094" i="3"/>
  <c r="A3088" i="3"/>
  <c r="A3093" i="3"/>
  <c r="A3087" i="3"/>
  <c r="A3122" i="3"/>
  <c r="A3110" i="3"/>
  <c r="A3092" i="3"/>
  <c r="A3086" i="3"/>
  <c r="A3121" i="3"/>
  <c r="A3109" i="3"/>
  <c r="A3097" i="3"/>
  <c r="A3091" i="3"/>
  <c r="A3085" i="3"/>
  <c r="A3120" i="3"/>
  <c r="A3108" i="3"/>
  <c r="A3096" i="3"/>
  <c r="A3090" i="3"/>
  <c r="A3084" i="3"/>
  <c r="AL76" i="4"/>
  <c r="A2873" i="3" s="1"/>
  <c r="AF76" i="4"/>
  <c r="A2862" i="3" s="1"/>
  <c r="AQ76" i="4"/>
  <c r="A2878" i="3" s="1"/>
  <c r="AK76" i="4"/>
  <c r="A2872" i="3" s="1"/>
  <c r="AE76" i="4"/>
  <c r="A2861" i="3" s="1"/>
  <c r="AP76" i="4"/>
  <c r="A2877" i="3" s="1"/>
  <c r="AJ76" i="4"/>
  <c r="A2871" i="3" s="1"/>
  <c r="AD76" i="4"/>
  <c r="A2860" i="3" s="1"/>
  <c r="AI76" i="4"/>
  <c r="A2865" i="3" s="1"/>
  <c r="AH76" i="4"/>
  <c r="A2864" i="3" s="1"/>
  <c r="AG76" i="4"/>
  <c r="A2863" i="3" s="1"/>
  <c r="AO76" i="4"/>
  <c r="A2876" i="3" s="1"/>
  <c r="AC76" i="4"/>
  <c r="A2859" i="3" s="1"/>
  <c r="AM76" i="4"/>
  <c r="A2874" i="3" s="1"/>
  <c r="AB76" i="4"/>
  <c r="A2858" i="3" s="1"/>
  <c r="AN76" i="4"/>
  <c r="A2875" i="3" s="1"/>
  <c r="A2879" i="3"/>
  <c r="A2867" i="3"/>
  <c r="A2855" i="3"/>
  <c r="A2849" i="3"/>
  <c r="A2866" i="3"/>
  <c r="A2854" i="3"/>
  <c r="A2848" i="3"/>
  <c r="A2853" i="3"/>
  <c r="A2847" i="3"/>
  <c r="A2882" i="3"/>
  <c r="A2870" i="3"/>
  <c r="A2852" i="3"/>
  <c r="A2846" i="3"/>
  <c r="A2881" i="3"/>
  <c r="A2869" i="3"/>
  <c r="A2857" i="3"/>
  <c r="A2851" i="3"/>
  <c r="A2845" i="3"/>
  <c r="A2880" i="3"/>
  <c r="A2868" i="3"/>
  <c r="A2856" i="3"/>
  <c r="A2850" i="3"/>
  <c r="A2844" i="3"/>
  <c r="AL52" i="4"/>
  <c r="A1913" i="3" s="1"/>
  <c r="AF52" i="4"/>
  <c r="A1902" i="3" s="1"/>
  <c r="AP52" i="4"/>
  <c r="A1917" i="3" s="1"/>
  <c r="AJ52" i="4"/>
  <c r="A1911" i="3" s="1"/>
  <c r="AD52" i="4"/>
  <c r="A1900" i="3" s="1"/>
  <c r="AO52" i="4"/>
  <c r="A1916" i="3" s="1"/>
  <c r="AI52" i="4"/>
  <c r="A1905" i="3" s="1"/>
  <c r="AC52" i="4"/>
  <c r="A1899" i="3" s="1"/>
  <c r="AK52" i="4"/>
  <c r="A1912" i="3" s="1"/>
  <c r="AH52" i="4"/>
  <c r="A1904" i="3" s="1"/>
  <c r="AG52" i="4"/>
  <c r="A1903" i="3" s="1"/>
  <c r="AQ52" i="4"/>
  <c r="A1918" i="3" s="1"/>
  <c r="AE52" i="4"/>
  <c r="A1901" i="3" s="1"/>
  <c r="AN52" i="4"/>
  <c r="A1915" i="3" s="1"/>
  <c r="AB52" i="4"/>
  <c r="A1898" i="3" s="1"/>
  <c r="AM52" i="4"/>
  <c r="A1914" i="3" s="1"/>
  <c r="A1906" i="3"/>
  <c r="A1894" i="3"/>
  <c r="A1888" i="3"/>
  <c r="A1893" i="3"/>
  <c r="A1887" i="3"/>
  <c r="A1922" i="3"/>
  <c r="A1910" i="3"/>
  <c r="A1892" i="3"/>
  <c r="A1886" i="3"/>
  <c r="A1921" i="3"/>
  <c r="A1909" i="3"/>
  <c r="A1897" i="3"/>
  <c r="A1891" i="3"/>
  <c r="A1885" i="3"/>
  <c r="A1919" i="3"/>
  <c r="A1907" i="3"/>
  <c r="A1895" i="3"/>
  <c r="A1889" i="3"/>
  <c r="A1896" i="3"/>
  <c r="A1890" i="3"/>
  <c r="A1920" i="3"/>
  <c r="A1884" i="3"/>
  <c r="A1908" i="3"/>
  <c r="AL46" i="4"/>
  <c r="A1673" i="3" s="1"/>
  <c r="AF46" i="4"/>
  <c r="A1662" i="3" s="1"/>
  <c r="AP46" i="4"/>
  <c r="A1677" i="3" s="1"/>
  <c r="AJ46" i="4"/>
  <c r="A1671" i="3" s="1"/>
  <c r="AD46" i="4"/>
  <c r="A1660" i="3" s="1"/>
  <c r="AO46" i="4"/>
  <c r="A1676" i="3" s="1"/>
  <c r="AI46" i="4"/>
  <c r="A1665" i="3" s="1"/>
  <c r="AC46" i="4"/>
  <c r="A1659" i="3" s="1"/>
  <c r="AG46" i="4"/>
  <c r="A1663" i="3" s="1"/>
  <c r="AQ46" i="4"/>
  <c r="A1678" i="3" s="1"/>
  <c r="AE46" i="4"/>
  <c r="A1661" i="3" s="1"/>
  <c r="AN46" i="4"/>
  <c r="A1675" i="3" s="1"/>
  <c r="AB46" i="4"/>
  <c r="A1658" i="3" s="1"/>
  <c r="AM46" i="4"/>
  <c r="A1674" i="3" s="1"/>
  <c r="AK46" i="4"/>
  <c r="A1672" i="3" s="1"/>
  <c r="AH46" i="4"/>
  <c r="A1664" i="3" s="1"/>
  <c r="A1666" i="3"/>
  <c r="A1654" i="3"/>
  <c r="A1648" i="3"/>
  <c r="A1653" i="3"/>
  <c r="A1647" i="3"/>
  <c r="A1682" i="3"/>
  <c r="A1670" i="3"/>
  <c r="A1652" i="3"/>
  <c r="A1646" i="3"/>
  <c r="A1681" i="3"/>
  <c r="A1679" i="3"/>
  <c r="A1667" i="3"/>
  <c r="A1655" i="3"/>
  <c r="A1649" i="3"/>
  <c r="A1680" i="3"/>
  <c r="A1657" i="3"/>
  <c r="A1656" i="3"/>
  <c r="A1669" i="3"/>
  <c r="A1651" i="3"/>
  <c r="A1668" i="3"/>
  <c r="A1650" i="3"/>
  <c r="A1644" i="3"/>
  <c r="A1645" i="3"/>
  <c r="AL40" i="4"/>
  <c r="A1433" i="3" s="1"/>
  <c r="AF40" i="4"/>
  <c r="A1422" i="3" s="1"/>
  <c r="AP40" i="4"/>
  <c r="A1437" i="3" s="1"/>
  <c r="AJ40" i="4"/>
  <c r="A1431" i="3" s="1"/>
  <c r="AD40" i="4"/>
  <c r="A1420" i="3" s="1"/>
  <c r="AO40" i="4"/>
  <c r="A1436" i="3" s="1"/>
  <c r="AI40" i="4"/>
  <c r="A1425" i="3" s="1"/>
  <c r="AC40" i="4"/>
  <c r="A1419" i="3" s="1"/>
  <c r="AN40" i="4"/>
  <c r="A1435" i="3" s="1"/>
  <c r="AB40" i="4"/>
  <c r="A1418" i="3" s="1"/>
  <c r="AM40" i="4"/>
  <c r="A1434" i="3" s="1"/>
  <c r="AK40" i="4"/>
  <c r="A1432" i="3" s="1"/>
  <c r="AH40" i="4"/>
  <c r="A1424" i="3" s="1"/>
  <c r="AG40" i="4"/>
  <c r="A1423" i="3" s="1"/>
  <c r="AQ40" i="4"/>
  <c r="A1438" i="3" s="1"/>
  <c r="AE40" i="4"/>
  <c r="A1421" i="3" s="1"/>
  <c r="A1413" i="3"/>
  <c r="A1407" i="3"/>
  <c r="A1442" i="3"/>
  <c r="A1430" i="3"/>
  <c r="A1412" i="3"/>
  <c r="A1406" i="3"/>
  <c r="A1441" i="3"/>
  <c r="A1429" i="3"/>
  <c r="A1417" i="3"/>
  <c r="A1411" i="3"/>
  <c r="A1405" i="3"/>
  <c r="A1440" i="3"/>
  <c r="A1428" i="3"/>
  <c r="A1416" i="3"/>
  <c r="A1410" i="3"/>
  <c r="A1404" i="3"/>
  <c r="A1426" i="3"/>
  <c r="A1414" i="3"/>
  <c r="A1408" i="3"/>
  <c r="A1409" i="3"/>
  <c r="A1427" i="3"/>
  <c r="A1415" i="3"/>
  <c r="A1439" i="3"/>
  <c r="AP34" i="4"/>
  <c r="A1197" i="3" s="1"/>
  <c r="AJ34" i="4"/>
  <c r="A1191" i="3" s="1"/>
  <c r="AD34" i="4"/>
  <c r="A1180" i="3" s="1"/>
  <c r="AQ34" i="4"/>
  <c r="A1198" i="3" s="1"/>
  <c r="AI34" i="4"/>
  <c r="A1185" i="3" s="1"/>
  <c r="AB34" i="4"/>
  <c r="A1178" i="3" s="1"/>
  <c r="AO34" i="4"/>
  <c r="A1196" i="3" s="1"/>
  <c r="AH34" i="4"/>
  <c r="A1184" i="3" s="1"/>
  <c r="AM34" i="4"/>
  <c r="A1194" i="3" s="1"/>
  <c r="AF34" i="4"/>
  <c r="A1182" i="3" s="1"/>
  <c r="AL34" i="4"/>
  <c r="A1193" i="3" s="1"/>
  <c r="AE34" i="4"/>
  <c r="A1181" i="3" s="1"/>
  <c r="AK34" i="4"/>
  <c r="A1192" i="3" s="1"/>
  <c r="AC34" i="4"/>
  <c r="A1179" i="3" s="1"/>
  <c r="AN34" i="4"/>
  <c r="A1195" i="3" s="1"/>
  <c r="AG34" i="4"/>
  <c r="A1183" i="3" s="1"/>
  <c r="A1173" i="3"/>
  <c r="A1167" i="3"/>
  <c r="A1202" i="3"/>
  <c r="A1190" i="3"/>
  <c r="A1172" i="3"/>
  <c r="A1166" i="3"/>
  <c r="A1201" i="3"/>
  <c r="A1189" i="3"/>
  <c r="A1177" i="3"/>
  <c r="A1171" i="3"/>
  <c r="A1165" i="3"/>
  <c r="A1200" i="3"/>
  <c r="A1188" i="3"/>
  <c r="A1176" i="3"/>
  <c r="A1170" i="3"/>
  <c r="A1164" i="3"/>
  <c r="A1186" i="3"/>
  <c r="A1174" i="3"/>
  <c r="A1168" i="3"/>
  <c r="A1169" i="3"/>
  <c r="A1199" i="3"/>
  <c r="A1187" i="3"/>
  <c r="A1175" i="3"/>
  <c r="AQ28" i="4"/>
  <c r="A958" i="3" s="1"/>
  <c r="AK28" i="4"/>
  <c r="A952" i="3" s="1"/>
  <c r="AE28" i="4"/>
  <c r="A941" i="3" s="1"/>
  <c r="AN28" i="4"/>
  <c r="A955" i="3" s="1"/>
  <c r="AH28" i="4"/>
  <c r="A944" i="3" s="1"/>
  <c r="AB28" i="4"/>
  <c r="A938" i="3" s="1"/>
  <c r="AM28" i="4"/>
  <c r="A954" i="3" s="1"/>
  <c r="AD28" i="4"/>
  <c r="A940" i="3" s="1"/>
  <c r="AL28" i="4"/>
  <c r="A953" i="3" s="1"/>
  <c r="AC28" i="4"/>
  <c r="A939" i="3" s="1"/>
  <c r="AJ28" i="4"/>
  <c r="A951" i="3" s="1"/>
  <c r="AI28" i="4"/>
  <c r="A945" i="3" s="1"/>
  <c r="AO28" i="4"/>
  <c r="A956" i="3" s="1"/>
  <c r="AF28" i="4"/>
  <c r="A942" i="3" s="1"/>
  <c r="AP28" i="4"/>
  <c r="A957" i="3" s="1"/>
  <c r="AG28" i="4"/>
  <c r="A943" i="3" s="1"/>
  <c r="A933" i="3"/>
  <c r="A927" i="3"/>
  <c r="A962" i="3"/>
  <c r="A950" i="3"/>
  <c r="A932" i="3"/>
  <c r="A926" i="3"/>
  <c r="A961" i="3"/>
  <c r="A949" i="3"/>
  <c r="A937" i="3"/>
  <c r="A931" i="3"/>
  <c r="A925" i="3"/>
  <c r="A960" i="3"/>
  <c r="A948" i="3"/>
  <c r="A936" i="3"/>
  <c r="A930" i="3"/>
  <c r="A924" i="3"/>
  <c r="A946" i="3"/>
  <c r="A934" i="3"/>
  <c r="A928" i="3"/>
  <c r="A935" i="3"/>
  <c r="A929" i="3"/>
  <c r="A959" i="3"/>
  <c r="A947" i="3"/>
  <c r="AN22" i="4"/>
  <c r="A715" i="3" s="1"/>
  <c r="AH22" i="4"/>
  <c r="A704" i="3" s="1"/>
  <c r="AB22" i="4"/>
  <c r="A698" i="3" s="1"/>
  <c r="AM22" i="4"/>
  <c r="A714" i="3" s="1"/>
  <c r="AG22" i="4"/>
  <c r="A703" i="3" s="1"/>
  <c r="AL22" i="4"/>
  <c r="A713" i="3" s="1"/>
  <c r="AF22" i="4"/>
  <c r="A702" i="3" s="1"/>
  <c r="AQ22" i="4"/>
  <c r="A718" i="3" s="1"/>
  <c r="AK22" i="4"/>
  <c r="A712" i="3" s="1"/>
  <c r="AE22" i="4"/>
  <c r="A701" i="3" s="1"/>
  <c r="AO22" i="4"/>
  <c r="A716" i="3" s="1"/>
  <c r="AI22" i="4"/>
  <c r="A705" i="3" s="1"/>
  <c r="AC22" i="4"/>
  <c r="A699" i="3" s="1"/>
  <c r="AP22" i="4"/>
  <c r="A717" i="3" s="1"/>
  <c r="AJ22" i="4"/>
  <c r="A711" i="3" s="1"/>
  <c r="AD22" i="4"/>
  <c r="A700" i="3" s="1"/>
  <c r="A693" i="3"/>
  <c r="A687" i="3"/>
  <c r="A722" i="3"/>
  <c r="A710" i="3"/>
  <c r="A692" i="3"/>
  <c r="A686" i="3"/>
  <c r="A721" i="3"/>
  <c r="A709" i="3"/>
  <c r="A697" i="3"/>
  <c r="A691" i="3"/>
  <c r="A685" i="3"/>
  <c r="A720" i="3"/>
  <c r="A708" i="3"/>
  <c r="A696" i="3"/>
  <c r="A690" i="3"/>
  <c r="A684" i="3"/>
  <c r="A706" i="3"/>
  <c r="A694" i="3"/>
  <c r="A688" i="3"/>
  <c r="A707" i="3"/>
  <c r="A695" i="3"/>
  <c r="A689" i="3"/>
  <c r="A719" i="3"/>
  <c r="AN16" i="4"/>
  <c r="A475" i="3" s="1"/>
  <c r="AH16" i="4"/>
  <c r="A464" i="3" s="1"/>
  <c r="AB16" i="4"/>
  <c r="A458" i="3" s="1"/>
  <c r="AM16" i="4"/>
  <c r="A474" i="3" s="1"/>
  <c r="AG16" i="4"/>
  <c r="A463" i="3" s="1"/>
  <c r="AL16" i="4"/>
  <c r="A473" i="3" s="1"/>
  <c r="AF16" i="4"/>
  <c r="A462" i="3" s="1"/>
  <c r="AQ16" i="4"/>
  <c r="A478" i="3" s="1"/>
  <c r="AK16" i="4"/>
  <c r="A472" i="3" s="1"/>
  <c r="AE16" i="4"/>
  <c r="A461" i="3" s="1"/>
  <c r="AO16" i="4"/>
  <c r="A476" i="3" s="1"/>
  <c r="AI16" i="4"/>
  <c r="A465" i="3" s="1"/>
  <c r="AC16" i="4"/>
  <c r="A459" i="3" s="1"/>
  <c r="AJ16" i="4"/>
  <c r="A471" i="3" s="1"/>
  <c r="AD16" i="4"/>
  <c r="A460" i="3" s="1"/>
  <c r="AP16" i="4"/>
  <c r="A477" i="3" s="1"/>
  <c r="A481" i="3"/>
  <c r="A469" i="3"/>
  <c r="A457" i="3"/>
  <c r="A451" i="3"/>
  <c r="A445" i="3"/>
  <c r="A480" i="3"/>
  <c r="A468" i="3"/>
  <c r="A456" i="3"/>
  <c r="A450" i="3"/>
  <c r="A444" i="3"/>
  <c r="A453" i="3"/>
  <c r="A479" i="3"/>
  <c r="A467" i="3"/>
  <c r="A455" i="3"/>
  <c r="A449" i="3"/>
  <c r="A466" i="3"/>
  <c r="A454" i="3"/>
  <c r="A448" i="3"/>
  <c r="A447" i="3"/>
  <c r="A482" i="3"/>
  <c r="A470" i="3"/>
  <c r="A452" i="3"/>
  <c r="A446" i="3"/>
  <c r="AN10" i="4"/>
  <c r="A235" i="3" s="1"/>
  <c r="AH10" i="4"/>
  <c r="A224" i="3" s="1"/>
  <c r="AB10" i="4"/>
  <c r="A218" i="3" s="1"/>
  <c r="AM10" i="4"/>
  <c r="A234" i="3" s="1"/>
  <c r="AG10" i="4"/>
  <c r="A223" i="3" s="1"/>
  <c r="AL10" i="4"/>
  <c r="A233" i="3" s="1"/>
  <c r="AF10" i="4"/>
  <c r="A222" i="3" s="1"/>
  <c r="AQ10" i="4"/>
  <c r="A238" i="3" s="1"/>
  <c r="AK10" i="4"/>
  <c r="A232" i="3" s="1"/>
  <c r="AE10" i="4"/>
  <c r="A221" i="3" s="1"/>
  <c r="AO10" i="4"/>
  <c r="A236" i="3" s="1"/>
  <c r="AI10" i="4"/>
  <c r="A225" i="3" s="1"/>
  <c r="AC10" i="4"/>
  <c r="A219" i="3" s="1"/>
  <c r="AP10" i="4"/>
  <c r="A237" i="3" s="1"/>
  <c r="AJ10" i="4"/>
  <c r="A231" i="3" s="1"/>
  <c r="AD10" i="4"/>
  <c r="A220" i="3" s="1"/>
  <c r="A241" i="3"/>
  <c r="A229" i="3"/>
  <c r="A217" i="3"/>
  <c r="A211" i="3"/>
  <c r="A205" i="3"/>
  <c r="A213" i="3"/>
  <c r="A240" i="3"/>
  <c r="A228" i="3"/>
  <c r="A216" i="3"/>
  <c r="A210" i="3"/>
  <c r="A204" i="3"/>
  <c r="A239" i="3"/>
  <c r="A227" i="3"/>
  <c r="A215" i="3"/>
  <c r="A209" i="3"/>
  <c r="A207" i="3"/>
  <c r="A226" i="3"/>
  <c r="A214" i="3"/>
  <c r="A208" i="3"/>
  <c r="A242" i="3"/>
  <c r="A230" i="3"/>
  <c r="A212" i="3"/>
  <c r="A206" i="3"/>
  <c r="AL103" i="4"/>
  <c r="A3953" i="3" s="1"/>
  <c r="AF103" i="4"/>
  <c r="A3942" i="3" s="1"/>
  <c r="AQ103" i="4"/>
  <c r="A3958" i="3" s="1"/>
  <c r="AK103" i="4"/>
  <c r="A3952" i="3" s="1"/>
  <c r="AE103" i="4"/>
  <c r="A3941" i="3" s="1"/>
  <c r="AP103" i="4"/>
  <c r="A3957" i="3" s="1"/>
  <c r="AJ103" i="4"/>
  <c r="A3951" i="3" s="1"/>
  <c r="AD103" i="4"/>
  <c r="A3940" i="3" s="1"/>
  <c r="AH103" i="4"/>
  <c r="A3944" i="3" s="1"/>
  <c r="AG103" i="4"/>
  <c r="A3943" i="3" s="1"/>
  <c r="AO103" i="4"/>
  <c r="A3956" i="3" s="1"/>
  <c r="AC103" i="4"/>
  <c r="A3939" i="3" s="1"/>
  <c r="AI103" i="4"/>
  <c r="A3945" i="3" s="1"/>
  <c r="AN103" i="4"/>
  <c r="A3955" i="3" s="1"/>
  <c r="AM103" i="4"/>
  <c r="A3954" i="3" s="1"/>
  <c r="AB103" i="4"/>
  <c r="A3938" i="3" s="1"/>
  <c r="A3959" i="3"/>
  <c r="A3947" i="3"/>
  <c r="A3935" i="3"/>
  <c r="A3929" i="3"/>
  <c r="A3937" i="3"/>
  <c r="A3930" i="3"/>
  <c r="A3950" i="3"/>
  <c r="A3936" i="3"/>
  <c r="A3928" i="3"/>
  <c r="A3949" i="3"/>
  <c r="A3934" i="3"/>
  <c r="A3927" i="3"/>
  <c r="A3962" i="3"/>
  <c r="A3948" i="3"/>
  <c r="A3933" i="3"/>
  <c r="A3926" i="3"/>
  <c r="A3961" i="3"/>
  <c r="A3946" i="3"/>
  <c r="A3932" i="3"/>
  <c r="A3925" i="3"/>
  <c r="A3960" i="3"/>
  <c r="A3931" i="3"/>
  <c r="A3924" i="3"/>
  <c r="AL97" i="4"/>
  <c r="A3713" i="3" s="1"/>
  <c r="AF97" i="4"/>
  <c r="A3702" i="3" s="1"/>
  <c r="AQ97" i="4"/>
  <c r="A3718" i="3" s="1"/>
  <c r="AK97" i="4"/>
  <c r="A3712" i="3" s="1"/>
  <c r="AE97" i="4"/>
  <c r="A3701" i="3" s="1"/>
  <c r="AM97" i="4"/>
  <c r="A3714" i="3" s="1"/>
  <c r="AC97" i="4"/>
  <c r="A3699" i="3" s="1"/>
  <c r="AJ97" i="4"/>
  <c r="A3711" i="3" s="1"/>
  <c r="AB97" i="4"/>
  <c r="A3698" i="3" s="1"/>
  <c r="AI97" i="4"/>
  <c r="A3705" i="3" s="1"/>
  <c r="AN97" i="4"/>
  <c r="A3715" i="3" s="1"/>
  <c r="AD97" i="4"/>
  <c r="A3700" i="3" s="1"/>
  <c r="AP97" i="4"/>
  <c r="A3717" i="3" s="1"/>
  <c r="AO97" i="4"/>
  <c r="A3716" i="3" s="1"/>
  <c r="AH97" i="4"/>
  <c r="A3704" i="3" s="1"/>
  <c r="AG97" i="4"/>
  <c r="A3703" i="3" s="1"/>
  <c r="A3721" i="3"/>
  <c r="A3709" i="3"/>
  <c r="A3697" i="3"/>
  <c r="A3691" i="3"/>
  <c r="A3685" i="3"/>
  <c r="A3720" i="3"/>
  <c r="A3708" i="3"/>
  <c r="A3696" i="3"/>
  <c r="A3690" i="3"/>
  <c r="A3684" i="3"/>
  <c r="A3719" i="3"/>
  <c r="A3707" i="3"/>
  <c r="A3695" i="3"/>
  <c r="A3689" i="3"/>
  <c r="A3706" i="3"/>
  <c r="A3694" i="3"/>
  <c r="A3688" i="3"/>
  <c r="A3693" i="3"/>
  <c r="A3687" i="3"/>
  <c r="A3722" i="3"/>
  <c r="A3710" i="3"/>
  <c r="A3692" i="3"/>
  <c r="A3686" i="3"/>
  <c r="AL91" i="4"/>
  <c r="A3473" i="3" s="1"/>
  <c r="AF91" i="4"/>
  <c r="A3462" i="3" s="1"/>
  <c r="AQ91" i="4"/>
  <c r="A3478" i="3" s="1"/>
  <c r="AK91" i="4"/>
  <c r="A3472" i="3" s="1"/>
  <c r="AE91" i="4"/>
  <c r="A3461" i="3" s="1"/>
  <c r="AO91" i="4"/>
  <c r="A3476" i="3" s="1"/>
  <c r="AG91" i="4"/>
  <c r="A3463" i="3" s="1"/>
  <c r="AN91" i="4"/>
  <c r="A3475" i="3" s="1"/>
  <c r="AD91" i="4"/>
  <c r="A3460" i="3" s="1"/>
  <c r="AP91" i="4"/>
  <c r="A3477" i="3" s="1"/>
  <c r="AH91" i="4"/>
  <c r="A3464" i="3" s="1"/>
  <c r="AI91" i="4"/>
  <c r="A3465" i="3" s="1"/>
  <c r="AC91" i="4"/>
  <c r="A3459" i="3" s="1"/>
  <c r="AB91" i="4"/>
  <c r="A3458" i="3" s="1"/>
  <c r="AM91" i="4"/>
  <c r="A3474" i="3" s="1"/>
  <c r="AJ91" i="4"/>
  <c r="A3471" i="3" s="1"/>
  <c r="A3481" i="3"/>
  <c r="A3469" i="3"/>
  <c r="A3457" i="3"/>
  <c r="A3451" i="3"/>
  <c r="A3445" i="3"/>
  <c r="A3480" i="3"/>
  <c r="A3468" i="3"/>
  <c r="A3456" i="3"/>
  <c r="A3450" i="3"/>
  <c r="A3444" i="3"/>
  <c r="A3479" i="3"/>
  <c r="A3467" i="3"/>
  <c r="A3455" i="3"/>
  <c r="A3449" i="3"/>
  <c r="A3466" i="3"/>
  <c r="A3454" i="3"/>
  <c r="A3448" i="3"/>
  <c r="A3482" i="3"/>
  <c r="A3446" i="3"/>
  <c r="A3453" i="3"/>
  <c r="A3470" i="3"/>
  <c r="A3452" i="3"/>
  <c r="A3447" i="3"/>
  <c r="AL67" i="4"/>
  <c r="A2513" i="3" s="1"/>
  <c r="AF67" i="4"/>
  <c r="A2502" i="3" s="1"/>
  <c r="AQ67" i="4"/>
  <c r="A2518" i="3" s="1"/>
  <c r="AK67" i="4"/>
  <c r="A2512" i="3" s="1"/>
  <c r="AE67" i="4"/>
  <c r="A2501" i="3" s="1"/>
  <c r="AP67" i="4"/>
  <c r="A2517" i="3" s="1"/>
  <c r="AJ67" i="4"/>
  <c r="A2511" i="3" s="1"/>
  <c r="AD67" i="4"/>
  <c r="A2500" i="3" s="1"/>
  <c r="AG67" i="4"/>
  <c r="A2503" i="3" s="1"/>
  <c r="AN67" i="4"/>
  <c r="A2515" i="3" s="1"/>
  <c r="AB67" i="4"/>
  <c r="A2498" i="3" s="1"/>
  <c r="AM67" i="4"/>
  <c r="A2514" i="3" s="1"/>
  <c r="AO67" i="4"/>
  <c r="A2516" i="3" s="1"/>
  <c r="AI67" i="4"/>
  <c r="A2505" i="3" s="1"/>
  <c r="AH67" i="4"/>
  <c r="A2504" i="3" s="1"/>
  <c r="AC67" i="4"/>
  <c r="A2499" i="3" s="1"/>
  <c r="A2519" i="3"/>
  <c r="A2507" i="3"/>
  <c r="A2495" i="3"/>
  <c r="A2489" i="3"/>
  <c r="A2506" i="3"/>
  <c r="A2494" i="3"/>
  <c r="A2488" i="3"/>
  <c r="A2522" i="3"/>
  <c r="A2521" i="3"/>
  <c r="A2509" i="3"/>
  <c r="A2497" i="3"/>
  <c r="A2491" i="3"/>
  <c r="A2485" i="3"/>
  <c r="A2520" i="3"/>
  <c r="A2508" i="3"/>
  <c r="A2496" i="3"/>
  <c r="A2490" i="3"/>
  <c r="A2484" i="3"/>
  <c r="A2486" i="3"/>
  <c r="A2493" i="3"/>
  <c r="A2487" i="3"/>
  <c r="A2510" i="3"/>
  <c r="A2492" i="3"/>
  <c r="AL61" i="4"/>
  <c r="A2273" i="3" s="1"/>
  <c r="AF61" i="4"/>
  <c r="A2262" i="3" s="1"/>
  <c r="AQ61" i="4"/>
  <c r="A2278" i="3" s="1"/>
  <c r="AK61" i="4"/>
  <c r="A2272" i="3" s="1"/>
  <c r="AE61" i="4"/>
  <c r="A2261" i="3" s="1"/>
  <c r="AP61" i="4"/>
  <c r="A2277" i="3" s="1"/>
  <c r="AJ61" i="4"/>
  <c r="A2271" i="3" s="1"/>
  <c r="AO61" i="4"/>
  <c r="A2276" i="3" s="1"/>
  <c r="AD61" i="4"/>
  <c r="A2260" i="3" s="1"/>
  <c r="AM61" i="4"/>
  <c r="A2274" i="3" s="1"/>
  <c r="AB61" i="4"/>
  <c r="A2258" i="3" s="1"/>
  <c r="AI61" i="4"/>
  <c r="A2265" i="3" s="1"/>
  <c r="AH61" i="4"/>
  <c r="A2264" i="3" s="1"/>
  <c r="AG61" i="4"/>
  <c r="A2263" i="3" s="1"/>
  <c r="AC61" i="4"/>
  <c r="A2259" i="3" s="1"/>
  <c r="AN61" i="4"/>
  <c r="A2275" i="3" s="1"/>
  <c r="A2266" i="3"/>
  <c r="A2254" i="3"/>
  <c r="A2248" i="3"/>
  <c r="A2253" i="3"/>
  <c r="A2247" i="3"/>
  <c r="A2282" i="3"/>
  <c r="A2270" i="3"/>
  <c r="A2252" i="3"/>
  <c r="A2246" i="3"/>
  <c r="A2281" i="3"/>
  <c r="A2269" i="3"/>
  <c r="A2257" i="3"/>
  <c r="A2251" i="3"/>
  <c r="A2245" i="3"/>
  <c r="A2279" i="3"/>
  <c r="A2267" i="3"/>
  <c r="A2255" i="3"/>
  <c r="A2249" i="3"/>
  <c r="A2268" i="3"/>
  <c r="A2256" i="3"/>
  <c r="A2280" i="3"/>
  <c r="A2244" i="3"/>
  <c r="A2250" i="3"/>
  <c r="AM37" i="4"/>
  <c r="A1314" i="3" s="1"/>
  <c r="AG37" i="4"/>
  <c r="A1303" i="3" s="1"/>
  <c r="AL37" i="4"/>
  <c r="A1313" i="3" s="1"/>
  <c r="AF37" i="4"/>
  <c r="A1302" i="3" s="1"/>
  <c r="AK37" i="4"/>
  <c r="A1312" i="3" s="1"/>
  <c r="AC37" i="4"/>
  <c r="A1299" i="3" s="1"/>
  <c r="AJ37" i="4"/>
  <c r="A1311" i="3" s="1"/>
  <c r="AB37" i="4"/>
  <c r="A1298" i="3" s="1"/>
  <c r="AQ37" i="4"/>
  <c r="A1318" i="3" s="1"/>
  <c r="AI37" i="4"/>
  <c r="A1305" i="3" s="1"/>
  <c r="AP37" i="4"/>
  <c r="A1317" i="3" s="1"/>
  <c r="AH37" i="4"/>
  <c r="A1304" i="3" s="1"/>
  <c r="AO37" i="4"/>
  <c r="A1316" i="3" s="1"/>
  <c r="AE37" i="4"/>
  <c r="A1301" i="3" s="1"/>
  <c r="AN37" i="4"/>
  <c r="A1315" i="3" s="1"/>
  <c r="AD37" i="4"/>
  <c r="A1300" i="3" s="1"/>
  <c r="A1293" i="3"/>
  <c r="A1287" i="3"/>
  <c r="A1322" i="3"/>
  <c r="A1310" i="3"/>
  <c r="A1292" i="3"/>
  <c r="A1286" i="3"/>
  <c r="A1321" i="3"/>
  <c r="A1309" i="3"/>
  <c r="A1297" i="3"/>
  <c r="A1291" i="3"/>
  <c r="A1285" i="3"/>
  <c r="A1320" i="3"/>
  <c r="A1308" i="3"/>
  <c r="A1296" i="3"/>
  <c r="A1290" i="3"/>
  <c r="A1284" i="3"/>
  <c r="A1306" i="3"/>
  <c r="A1294" i="3"/>
  <c r="A1288" i="3"/>
  <c r="A1295" i="3"/>
  <c r="A1289" i="3"/>
  <c r="A1319" i="3"/>
  <c r="A1307" i="3"/>
</calcChain>
</file>

<file path=xl/sharedStrings.xml><?xml version="1.0" encoding="utf-8"?>
<sst xmlns="http://schemas.openxmlformats.org/spreadsheetml/2006/main" count="95" uniqueCount="91">
  <si>
    <t>Objectif</t>
  </si>
  <si>
    <t>Type</t>
  </si>
  <si>
    <t>Réponses</t>
  </si>
  <si>
    <t>Renseigner les réponses dans les colonnes Réponse 1 à Réponse 8. Au moins 2 réponses sont attendues.</t>
  </si>
  <si>
    <t>Bonne(s) réponse(s)</t>
  </si>
  <si>
    <t>Pondération</t>
  </si>
  <si>
    <t>Contrôle</t>
  </si>
  <si>
    <t>Version avec macro, sans images, sans feedback détaillé, avec 8 réponses maximum par question et 100 questions maximum.</t>
  </si>
  <si>
    <t>Important</t>
  </si>
  <si>
    <t>Faire un test d’import avec 2 ou 3 questions dans ILIAS avant un import massif, car les variantes QTI/ILIAS peuvent différer selon la configuration.</t>
  </si>
  <si>
    <t>Saisie des questions QCU</t>
  </si>
  <si>
    <t>N°</t>
  </si>
  <si>
    <t>Type auto</t>
  </si>
  <si>
    <t>Titre</t>
  </si>
  <si>
    <t>Question</t>
  </si>
  <si>
    <t>Réponse 1</t>
  </si>
  <si>
    <t>Réponse 2</t>
  </si>
  <si>
    <t>Réponse 3</t>
  </si>
  <si>
    <t>Réponse 4</t>
  </si>
  <si>
    <t>Réponse 5</t>
  </si>
  <si>
    <t>Réponse 6</t>
  </si>
  <si>
    <t>Réponse 7</t>
  </si>
  <si>
    <t>Réponse 8</t>
  </si>
  <si>
    <t>Bonne réponse</t>
  </si>
  <si>
    <t>Exemple QCU</t>
  </si>
  <si>
    <t>Quelle est la capitale de la France ?</t>
  </si>
  <si>
    <t>Paris</t>
  </si>
  <si>
    <t>Lyon</t>
  </si>
  <si>
    <t>Marseille</t>
  </si>
  <si>
    <t>Toulouse</t>
  </si>
  <si>
    <t>1</t>
  </si>
  <si>
    <t>&lt;?xml version="1.0" encoding="UTF-8"?&gt;</t>
  </si>
  <si>
    <t>Questions QCU OK</t>
  </si>
  <si>
    <t>&lt;!DOCTYPE questestinterop SYSTEM "ims_qtiasiv1p2p1.dtd"&gt;</t>
  </si>
  <si>
    <t>Questions en erreur</t>
  </si>
  <si>
    <t>&lt;questestinterop&gt;</t>
  </si>
  <si>
    <t>Instruction</t>
  </si>
  <si>
    <t>Cliquer sur le bouton Générer XML dans Saisie_Questions. Le fichier qti_ilias8.xml sera créé automatiquement.</t>
  </si>
  <si>
    <t>&lt;/questestinterop&gt;</t>
  </si>
  <si>
    <t>Valide</t>
  </si>
  <si>
    <t>TypeXML</t>
  </si>
  <si>
    <t>Cardinalité</t>
  </si>
  <si>
    <t>TitreEsc</t>
  </si>
  <si>
    <t>QuestionEsc</t>
  </si>
  <si>
    <t>PoidsXML</t>
  </si>
  <si>
    <t>NbRéponses</t>
  </si>
  <si>
    <t>BonnesNorm</t>
  </si>
  <si>
    <t>Rep1Esc</t>
  </si>
  <si>
    <t>Rep2Esc</t>
  </si>
  <si>
    <t>Rep3Esc</t>
  </si>
  <si>
    <t>Rep4Esc</t>
  </si>
  <si>
    <t>Rep5Esc</t>
  </si>
  <si>
    <t>Rep6Esc</t>
  </si>
  <si>
    <t>Rep7Esc</t>
  </si>
  <si>
    <t>Rep8Esc</t>
  </si>
  <si>
    <t>Correct1</t>
  </si>
  <si>
    <t>Correct2</t>
  </si>
  <si>
    <t>Correct3</t>
  </si>
  <si>
    <t>Correct4</t>
  </si>
  <si>
    <t>Correct5</t>
  </si>
  <si>
    <t>Correct6</t>
  </si>
  <si>
    <t>Correct7</t>
  </si>
  <si>
    <t>Correct8</t>
  </si>
  <si>
    <t>Label1</t>
  </si>
  <si>
    <t>Label2</t>
  </si>
  <si>
    <t>Label3</t>
  </si>
  <si>
    <t>Label4</t>
  </si>
  <si>
    <t>Label5</t>
  </si>
  <si>
    <t>Label6</t>
  </si>
  <si>
    <t>Label7</t>
  </si>
  <si>
    <t>Label8</t>
  </si>
  <si>
    <t>Score1</t>
  </si>
  <si>
    <t>Score2</t>
  </si>
  <si>
    <t>Score3</t>
  </si>
  <si>
    <t>Score4</t>
  </si>
  <si>
    <t>Score5</t>
  </si>
  <si>
    <t>Score6</t>
  </si>
  <si>
    <t>Score7</t>
  </si>
  <si>
    <t>Score8</t>
  </si>
  <si>
    <t>Feuille technique : ne pas modifier. Les formules alimentent XML_QTI.</t>
  </si>
  <si>
    <t>Compléter les colonnes A à N. La colonne O doit afficher OK pour que la question soit générée dans le fichier XML. Format attendu pour Bonne réponse : saisir un seul numéro.</t>
  </si>
  <si>
    <t>Notice d’utilisation – Génération XML QTI 1.2 pour ILIAS 8</t>
  </si>
  <si>
    <t>Saisir des questions QCU dans Excel et obtenir un fichier XML QTI 1.2 prêt à importer dans un pool de questions ILIAS 8.</t>
  </si>
  <si>
    <t>Feuille Saisie_Questions</t>
  </si>
  <si>
    <t>Compléter une ligne par question. Le type est fixé automatiquement à QCU.</t>
  </si>
  <si>
    <t>Indiquer le numéro de la seule réponse correcte.</t>
  </si>
  <si>
    <t>Indiquer le nombre de points de la question. Exemples : 1, 2, 5.</t>
  </si>
  <si>
    <t>La colonne Contrôle doit afficher OK pour que la question soit intégrée au fichier XML.</t>
  </si>
  <si>
    <t>Génération XML</t>
  </si>
  <si>
    <t>Cliquer sur le bouton Générer XML dans la feuille Saisie_Questions pour créer le fichier qti_ilias8.xml</t>
  </si>
  <si>
    <t>Limites de la version v1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</si>
</sst>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>
    <font>
      <sz val="11"/>
      <name val="Carlito"/>
    </font>
    <font>
      <b/>
      <sz val="11"/>
      <color rgb="FF1F4E78"/>
      <name val="Carlito"/>
    </font>
    <font>
      <b/>
      <sz val="11"/>
      <name val="Carlito"/>
    </font>
    <font>
      <b/>
      <sz val="15"/>
      <color rgb="FFFFFFFF"/>
      <name val="Carlito"/>
    </font>
    <font>
      <i/>
      <sz val="11"/>
      <color rgb="FF1F4E78"/>
      <name val="Carlito"/>
    </font>
    <font>
      <b/>
      <sz val="11"/>
      <color rgb="FFFFFFFF"/>
      <name val="Carlito"/>
    </font>
    <font>
      <b/>
      <sz val="11"/>
      <color rgb="FF7F6000"/>
      <name val="Carlito"/>
    </font>
    <font>
      <sz val="11"/>
      <color rgb="FF000000"/>
      <name val="Calibri"/>
      <family val="2"/>
    </font>
    <font>
      <b/>
      <sz val="22"/>
      <color theme="4" tint="-0.249977111117893"/>
      <name val="Carlito"/>
    </font>
  </fonts>
  <fills count="7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D9EAF7"/>
      </patternFill>
    </fill>
    <fill>
      <patternFill patternType="solid">
        <fgColor rgb="FFEAF3F8"/>
      </patternFill>
    </fill>
    <fill>
      <patternFill patternType="solid">
        <fgColor rgb="FF4472C4"/>
      </patternFill>
    </fill>
    <fill>
      <patternFill patternType="solid">
        <fgColor rgb="FFFFF2CC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3" borderId="0" xfId="0" applyNumberFormat="1" applyFont="1" applyFill="1" applyBorder="1"/>
    <xf numFmtId="0" fontId="0" fillId="0" borderId="0" xfId="0" applyNumberFormat="1" applyFont="1" applyFill="1" applyBorder="1" applyAlignment="1">
      <alignment wrapText="1"/>
    </xf>
    <xf numFmtId="0" fontId="0" fillId="0" borderId="0" xfId="0" applyNumberFormat="1" applyFont="1" applyFill="1" applyBorder="1" applyAlignment="1">
      <alignment vertical="top" wrapText="1"/>
    </xf>
    <xf numFmtId="0" fontId="5" fillId="5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center" vertical="top" wrapText="1"/>
    </xf>
    <xf numFmtId="49" fontId="0" fillId="0" borderId="0" xfId="0" applyNumberFormat="1" applyFont="1" applyFill="1" applyBorder="1" applyAlignment="1">
      <alignment horizontal="center" vertical="top" wrapText="1"/>
    </xf>
    <xf numFmtId="2" fontId="0" fillId="0" borderId="0" xfId="0" applyNumberFormat="1" applyFont="1" applyFill="1" applyBorder="1" applyAlignment="1">
      <alignment horizontal="center" vertical="top" wrapText="1"/>
    </xf>
    <xf numFmtId="0" fontId="0" fillId="0" borderId="0" xfId="0" applyNumberFormat="1" applyFont="1" applyFill="1" applyBorder="1" applyAlignment="1">
      <alignment horizontal="left" vertical="top" wrapText="1"/>
    </xf>
    <xf numFmtId="0" fontId="1" fillId="0" borderId="0" xfId="0" applyNumberFormat="1" applyFont="1" applyFill="1" applyBorder="1" applyAlignment="1"/>
    <xf numFmtId="0" fontId="1" fillId="0" borderId="0" xfId="0" applyNumberFormat="1" applyFont="1" applyFill="1" applyBorder="1"/>
    <xf numFmtId="0" fontId="0" fillId="0" borderId="0" xfId="0" applyNumberFormat="1" applyFont="1" applyFill="1" applyBorder="1" applyAlignment="1">
      <alignment wrapText="1"/>
    </xf>
    <xf numFmtId="0" fontId="0" fillId="0" borderId="0" xfId="0"/>
    <xf numFmtId="0" fontId="3" fillId="2" borderId="0" xfId="0" applyNumberFormat="1" applyFont="1" applyFill="1" applyBorder="1" applyAlignment="1">
      <alignment horizontal="center" vertical="center"/>
    </xf>
    <xf numFmtId="0" fontId="4" fillId="4" borderId="0" xfId="0" applyNumberFormat="1" applyFont="1" applyFill="1" applyBorder="1"/>
    <xf numFmtId="0" fontId="6" fillId="6" borderId="0" xfId="0" applyNumberFormat="1" applyFont="1" applyFill="1" applyBorder="1" applyAlignment="1">
      <alignment wrapText="1"/>
    </xf>
    <xf numFmtId="0" fontId="0" fillId="0" borderId="0" xfId="0" applyNumberFormat="1" applyFont="1" applyFill="1" applyBorder="1" applyAlignment="1">
      <alignment wrapText="1"/>
    </xf>
    <xf numFmtId="0" fontId="0" fillId="0" borderId="0" xfId="0" applyFill="1"/>
    <xf numFmtId="0" fontId="1" fillId="0" borderId="0" xfId="0" applyNumberFormat="1" applyFont="1" applyFill="1" applyBorder="1" applyAlignment="1">
      <alignment vertical="top"/>
    </xf>
    <xf numFmtId="0" fontId="2" fillId="0" borderId="0" xfId="0" applyNumberFormat="1" applyFont="1" applyFill="1" applyBorder="1"/>
    <xf numFmtId="0" fontId="8" fillId="0" borderId="0" xfId="0" applyFont="1" applyFill="1"/>
  </cellXfs>
  <cellStyles count="1">
    <cellStyle name="Normal" xfId="0" builtinId="0"/>
  </cellStyles>
  <dxfs count="2">
    <dxf>
      <font>
        <b/>
        <color rgb="FF9C0006"/>
      </font>
      <fill>
        <patternFill patternType="solid">
          <bgColor rgb="FFFCE4D6"/>
        </patternFill>
      </fill>
    </dxf>
    <dxf>
      <font>
        <b/>
        <color rgb="FF375623"/>
      </font>
      <fill>
        <patternFill patternType="solid"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209550</xdr:colOff>
          <xdr:row>2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XML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QuestionsTable" displayName="QuestionsTable" ref="A4:O104">
  <tableColumns count="15">
    <tableColumn id="1" name="N°"/>
    <tableColumn id="2" name="Type auto"/>
    <tableColumn id="3" name="Titre"/>
    <tableColumn id="4" name="Question"/>
    <tableColumn id="5" name="Réponse 1"/>
    <tableColumn id="6" name="Réponse 2"/>
    <tableColumn id="7" name="Réponse 3"/>
    <tableColumn id="8" name="Réponse 4"/>
    <tableColumn id="9" name="Réponse 5"/>
    <tableColumn id="10" name="Réponse 6"/>
    <tableColumn id="11" name="Réponse 7"/>
    <tableColumn id="12" name="Réponse 8"/>
    <tableColumn id="13" name="Bonne réponse"/>
    <tableColumn id="14" name="Pondération"/>
    <tableColumn id="15" name="Contrôl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999"/>
  <sheetViews>
    <sheetView tabSelected="1" workbookViewId="0">
      <selection activeCell="B16" sqref="B16"/>
    </sheetView>
  </sheetViews>
  <sheetFormatPr baseColWidth="10" defaultColWidth="9" defaultRowHeight="14.25"/>
  <cols>
    <col min="1" max="1" width="26" style="17" customWidth="1"/>
    <col min="2" max="2" width="120.625" style="17" bestFit="1" customWidth="1"/>
    <col min="3" max="16384" width="9" style="17"/>
  </cols>
  <sheetData>
    <row r="1" spans="1:2" ht="27.75">
      <c r="B1" s="20" t="s">
        <v>81</v>
      </c>
    </row>
    <row r="2" spans="1:2" ht="18" customHeight="1">
      <c r="A2" s="18" t="s">
        <v>0</v>
      </c>
      <c r="B2" s="3" t="s">
        <v>82</v>
      </c>
    </row>
    <row r="3" spans="1:2" ht="18" customHeight="1">
      <c r="A3" s="18" t="s">
        <v>83</v>
      </c>
      <c r="B3" s="3" t="s">
        <v>84</v>
      </c>
    </row>
    <row r="4" spans="1:2" ht="18" customHeight="1">
      <c r="A4" s="18" t="s">
        <v>2</v>
      </c>
      <c r="B4" s="3" t="s">
        <v>3</v>
      </c>
    </row>
    <row r="5" spans="1:2" ht="18" customHeight="1">
      <c r="A5" s="18" t="s">
        <v>4</v>
      </c>
      <c r="B5" s="3" t="s">
        <v>85</v>
      </c>
    </row>
    <row r="6" spans="1:2" ht="18" customHeight="1">
      <c r="A6" s="18" t="s">
        <v>5</v>
      </c>
      <c r="B6" s="3" t="s">
        <v>86</v>
      </c>
    </row>
    <row r="7" spans="1:2" ht="18" customHeight="1">
      <c r="A7" s="18" t="s">
        <v>6</v>
      </c>
      <c r="B7" s="3" t="s">
        <v>87</v>
      </c>
    </row>
    <row r="8" spans="1:2" ht="18" customHeight="1">
      <c r="A8" s="18" t="s">
        <v>88</v>
      </c>
      <c r="B8" s="3" t="s">
        <v>89</v>
      </c>
    </row>
    <row r="9" spans="1:2" ht="18" customHeight="1">
      <c r="A9" s="18" t="s">
        <v>90</v>
      </c>
      <c r="B9" s="3" t="s">
        <v>7</v>
      </c>
    </row>
    <row r="10" spans="1:2" ht="18" customHeight="1">
      <c r="A10" s="18" t="s">
        <v>8</v>
      </c>
      <c r="B10" s="3" t="s">
        <v>9</v>
      </c>
    </row>
    <row r="11" spans="1:2" ht="18" customHeight="1">
      <c r="A11" s="18"/>
      <c r="B11" s="3"/>
    </row>
    <row r="12" spans="1:2" ht="18" customHeight="1">
      <c r="A12" s="18"/>
      <c r="B12" s="3"/>
    </row>
    <row r="13" spans="1:2" ht="18" customHeight="1">
      <c r="A13" s="10"/>
      <c r="B13" s="11"/>
    </row>
    <row r="14" spans="1:2" ht="18" customHeight="1">
      <c r="A14" s="19"/>
    </row>
    <row r="15" spans="1:2" ht="18" customHeight="1">
      <c r="A15" s="11"/>
    </row>
    <row r="16" spans="1:2" ht="18" customHeight="1">
      <c r="A16" s="11"/>
    </row>
    <row r="17" spans="1:1" ht="18" customHeight="1">
      <c r="A17" s="11"/>
    </row>
    <row r="18" spans="1:1" ht="18" customHeight="1">
      <c r="A18" s="11"/>
    </row>
    <row r="19" spans="1:1" ht="18" customHeight="1"/>
    <row r="20" spans="1:1" ht="18" customHeight="1"/>
    <row r="21" spans="1:1" ht="18" customHeight="1"/>
    <row r="22" spans="1:1" ht="18" customHeight="1"/>
    <row r="23" spans="1:1" ht="18" customHeight="1"/>
    <row r="24" spans="1:1" ht="18" customHeight="1"/>
    <row r="25" spans="1:1" ht="18" customHeight="1"/>
    <row r="26" spans="1:1" ht="18" customHeight="1"/>
    <row r="27" spans="1:1" ht="18" customHeight="1"/>
    <row r="28" spans="1:1" ht="18" customHeight="1"/>
    <row r="29" spans="1:1" ht="18" customHeight="1"/>
    <row r="30" spans="1:1" ht="18" customHeight="1"/>
    <row r="31" spans="1:1" ht="18" customHeight="1"/>
    <row r="32" spans="1:1" ht="18" customHeight="1"/>
    <row r="33" ht="18" customHeight="1"/>
    <row r="34" ht="18" customHeight="1"/>
    <row r="35" ht="18" customHeight="1"/>
    <row r="36" ht="18" customHeight="1"/>
    <row r="37" ht="18" customHeight="1"/>
    <row r="38" ht="18" customHeight="1"/>
    <row r="39" ht="18" customHeight="1"/>
    <row r="40" ht="18" customHeight="1"/>
    <row r="41" ht="18" customHeight="1"/>
    <row r="42" ht="18" customHeight="1"/>
    <row r="43" ht="18" customHeight="1"/>
    <row r="44" ht="18" customHeight="1"/>
    <row r="45" ht="18" customHeight="1"/>
    <row r="46" ht="18" customHeight="1"/>
    <row r="47" ht="18" customHeight="1"/>
    <row r="4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59" ht="18" customHeight="1"/>
    <row r="60" ht="18" customHeight="1"/>
    <row r="61" ht="18" customHeight="1"/>
    <row r="62" ht="18" customHeight="1"/>
    <row r="63" ht="18" customHeight="1"/>
    <row r="64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  <row r="117" ht="18" customHeight="1"/>
    <row r="118" ht="18" customHeight="1"/>
    <row r="119" ht="18" customHeight="1"/>
    <row r="120" ht="18" customHeight="1"/>
    <row r="121" ht="18" customHeight="1"/>
    <row r="122" ht="18" customHeight="1"/>
    <row r="123" ht="18" customHeight="1"/>
    <row r="124" ht="18" customHeight="1"/>
    <row r="125" ht="18" customHeight="1"/>
    <row r="126" ht="18" customHeight="1"/>
    <row r="127" ht="18" customHeight="1"/>
    <row r="128" ht="18" customHeight="1"/>
    <row r="129" ht="18" customHeight="1"/>
    <row r="130" ht="18" customHeight="1"/>
    <row r="131" ht="18" customHeight="1"/>
    <row r="132" ht="18" customHeight="1"/>
    <row r="133" ht="18" customHeight="1"/>
    <row r="134" ht="18" customHeight="1"/>
    <row r="135" ht="18" customHeight="1"/>
    <row r="136" ht="18" customHeight="1"/>
    <row r="137" ht="18" customHeight="1"/>
    <row r="138" ht="18" customHeight="1"/>
    <row r="139" ht="18" customHeight="1"/>
    <row r="140" ht="18" customHeight="1"/>
    <row r="141" ht="18" customHeight="1"/>
    <row r="142" ht="18" customHeight="1"/>
    <row r="143" ht="18" customHeight="1"/>
    <row r="144" ht="18" customHeight="1"/>
    <row r="145" ht="18" customHeight="1"/>
    <row r="146" ht="18" customHeight="1"/>
    <row r="147" ht="18" customHeight="1"/>
    <row r="148" ht="18" customHeight="1"/>
    <row r="149" ht="18" customHeight="1"/>
    <row r="150" ht="18" customHeight="1"/>
    <row r="151" ht="18" customHeight="1"/>
    <row r="152" ht="18" customHeight="1"/>
    <row r="153" ht="18" customHeight="1"/>
    <row r="154" ht="18" customHeight="1"/>
    <row r="155" ht="18" customHeight="1"/>
    <row r="156" ht="18" customHeight="1"/>
    <row r="157" ht="18" customHeight="1"/>
    <row r="158" ht="18" customHeight="1"/>
    <row r="159" ht="18" customHeight="1"/>
    <row r="160" ht="18" customHeight="1"/>
    <row r="161" ht="18" customHeight="1"/>
    <row r="162" ht="18" customHeight="1"/>
    <row r="163" ht="18" customHeight="1"/>
    <row r="164" ht="18" customHeight="1"/>
    <row r="165" ht="18" customHeight="1"/>
    <row r="166" ht="18" customHeight="1"/>
    <row r="167" ht="18" customHeight="1"/>
    <row r="168" ht="18" customHeight="1"/>
    <row r="169" ht="18" customHeight="1"/>
    <row r="170" ht="18" customHeight="1"/>
    <row r="171" ht="18" customHeight="1"/>
    <row r="172" ht="18" customHeight="1"/>
    <row r="173" ht="18" customHeight="1"/>
    <row r="174" ht="18" customHeight="1"/>
    <row r="175" ht="18" customHeight="1"/>
    <row r="176" ht="18" customHeight="1"/>
    <row r="177" ht="18" customHeight="1"/>
    <row r="178" ht="18" customHeight="1"/>
    <row r="179" ht="18" customHeight="1"/>
    <row r="180" ht="18" customHeight="1"/>
    <row r="181" ht="18" customHeight="1"/>
    <row r="182" ht="18" customHeight="1"/>
    <row r="183" ht="18" customHeight="1"/>
    <row r="184" ht="18" customHeight="1"/>
    <row r="185" ht="18" customHeight="1"/>
    <row r="186" ht="18" customHeight="1"/>
    <row r="187" ht="18" customHeight="1"/>
    <row r="188" ht="18" customHeight="1"/>
    <row r="189" ht="18" customHeight="1"/>
    <row r="190" ht="18" customHeight="1"/>
    <row r="191" ht="18" customHeight="1"/>
    <row r="192" ht="18" customHeight="1"/>
    <row r="193" ht="18" customHeight="1"/>
    <row r="194" ht="18" customHeight="1"/>
    <row r="195" ht="18" customHeight="1"/>
    <row r="196" ht="18" customHeight="1"/>
    <row r="197" ht="18" customHeight="1"/>
    <row r="198" ht="18" customHeight="1"/>
    <row r="199" ht="18" customHeight="1"/>
    <row r="200" ht="18" customHeight="1"/>
    <row r="201" ht="18" customHeight="1"/>
    <row r="202" ht="18" customHeight="1"/>
    <row r="203" ht="18" customHeight="1"/>
    <row r="204" ht="18" customHeight="1"/>
    <row r="205" ht="18" customHeight="1"/>
    <row r="206" ht="18" customHeight="1"/>
    <row r="207" ht="18" customHeight="1"/>
    <row r="208" ht="18" customHeight="1"/>
    <row r="209" ht="18" customHeight="1"/>
    <row r="210" ht="18" customHeight="1"/>
    <row r="211" ht="18" customHeight="1"/>
    <row r="212" ht="18" customHeight="1"/>
    <row r="213" ht="18" customHeight="1"/>
    <row r="214" ht="18" customHeight="1"/>
    <row r="215" ht="18" customHeight="1"/>
    <row r="216" ht="18" customHeight="1"/>
    <row r="217" ht="18" customHeight="1"/>
    <row r="218" ht="18" customHeight="1"/>
    <row r="219" ht="18" customHeight="1"/>
    <row r="220" ht="18" customHeight="1"/>
    <row r="221" ht="18" customHeight="1"/>
    <row r="222" ht="18" customHeight="1"/>
    <row r="223" ht="18" customHeight="1"/>
    <row r="224" ht="18" customHeight="1"/>
    <row r="225" ht="18" customHeight="1"/>
    <row r="226" ht="18" customHeight="1"/>
    <row r="227" ht="18" customHeight="1"/>
    <row r="228" ht="18" customHeight="1"/>
    <row r="229" ht="18" customHeight="1"/>
    <row r="230" ht="18" customHeight="1"/>
    <row r="231" ht="18" customHeight="1"/>
    <row r="232" ht="18" customHeight="1"/>
    <row r="233" ht="18" customHeight="1"/>
    <row r="234" ht="18" customHeight="1"/>
    <row r="235" ht="18" customHeight="1"/>
    <row r="236" ht="18" customHeight="1"/>
    <row r="237" ht="18" customHeight="1"/>
    <row r="238" ht="18" customHeight="1"/>
    <row r="239" ht="18" customHeight="1"/>
    <row r="240" ht="18" customHeight="1"/>
    <row r="241" ht="18" customHeight="1"/>
    <row r="242" ht="18" customHeight="1"/>
    <row r="243" ht="18" customHeight="1"/>
    <row r="244" ht="18" customHeight="1"/>
    <row r="245" ht="18" customHeight="1"/>
    <row r="246" ht="18" customHeight="1"/>
    <row r="247" ht="18" customHeight="1"/>
    <row r="248" ht="18" customHeight="1"/>
    <row r="249" ht="18" customHeight="1"/>
    <row r="250" ht="18" customHeight="1"/>
    <row r="251" ht="18" customHeight="1"/>
    <row r="252" ht="18" customHeight="1"/>
    <row r="253" ht="18" customHeight="1"/>
    <row r="254" ht="18" customHeight="1"/>
    <row r="255" ht="18" customHeight="1"/>
    <row r="256" ht="18" customHeight="1"/>
    <row r="257" ht="18" customHeight="1"/>
    <row r="258" ht="18" customHeight="1"/>
    <row r="259" ht="18" customHeight="1"/>
    <row r="260" ht="18" customHeight="1"/>
    <row r="261" ht="18" customHeight="1"/>
    <row r="262" ht="18" customHeight="1"/>
    <row r="263" ht="18" customHeight="1"/>
    <row r="264" ht="18" customHeight="1"/>
    <row r="265" ht="18" customHeight="1"/>
    <row r="266" ht="18" customHeight="1"/>
    <row r="267" ht="18" customHeight="1"/>
    <row r="268" ht="18" customHeight="1"/>
    <row r="269" ht="18" customHeight="1"/>
    <row r="270" ht="18" customHeight="1"/>
    <row r="271" ht="18" customHeight="1"/>
    <row r="272" ht="18" customHeight="1"/>
    <row r="273" ht="18" customHeight="1"/>
    <row r="274" ht="18" customHeight="1"/>
    <row r="275" ht="18" customHeight="1"/>
    <row r="276" ht="18" customHeight="1"/>
    <row r="277" ht="18" customHeight="1"/>
    <row r="278" ht="18" customHeight="1"/>
    <row r="279" ht="18" customHeight="1"/>
    <row r="280" ht="18" customHeight="1"/>
    <row r="281" ht="18" customHeight="1"/>
    <row r="282" ht="18" customHeight="1"/>
    <row r="283" ht="18" customHeight="1"/>
    <row r="284" ht="18" customHeight="1"/>
    <row r="285" ht="18" customHeight="1"/>
    <row r="286" ht="18" customHeight="1"/>
    <row r="287" ht="18" customHeight="1"/>
    <row r="288" ht="18" customHeight="1"/>
    <row r="289" ht="18" customHeight="1"/>
    <row r="290" ht="18" customHeight="1"/>
    <row r="291" ht="18" customHeight="1"/>
    <row r="292" ht="18" customHeight="1"/>
    <row r="293" ht="18" customHeight="1"/>
    <row r="294" ht="18" customHeight="1"/>
    <row r="295" ht="18" customHeight="1"/>
    <row r="296" ht="18" customHeight="1"/>
    <row r="297" ht="18" customHeight="1"/>
    <row r="298" ht="18" customHeight="1"/>
    <row r="299" ht="18" customHeight="1"/>
    <row r="300" ht="18" customHeight="1"/>
    <row r="301" ht="18" customHeight="1"/>
    <row r="302" ht="18" customHeight="1"/>
    <row r="303" ht="18" customHeight="1"/>
    <row r="304" ht="18" customHeight="1"/>
    <row r="305" ht="18" customHeight="1"/>
    <row r="306" ht="18" customHeight="1"/>
    <row r="307" ht="18" customHeight="1"/>
    <row r="308" ht="18" customHeight="1"/>
    <row r="309" ht="18" customHeight="1"/>
    <row r="310" ht="18" customHeight="1"/>
    <row r="311" ht="18" customHeight="1"/>
    <row r="312" ht="18" customHeight="1"/>
    <row r="313" ht="18" customHeight="1"/>
    <row r="314" ht="18" customHeight="1"/>
    <row r="315" ht="18" customHeight="1"/>
    <row r="316" ht="18" customHeight="1"/>
    <row r="317" ht="18" customHeight="1"/>
    <row r="318" ht="18" customHeight="1"/>
    <row r="319" ht="18" customHeight="1"/>
    <row r="320" ht="18" customHeight="1"/>
    <row r="321" ht="18" customHeight="1"/>
    <row r="322" ht="18" customHeight="1"/>
    <row r="323" ht="18" customHeight="1"/>
    <row r="324" ht="18" customHeight="1"/>
    <row r="325" ht="18" customHeight="1"/>
    <row r="326" ht="18" customHeight="1"/>
    <row r="327" ht="18" customHeight="1"/>
    <row r="328" ht="18" customHeight="1"/>
    <row r="329" ht="18" customHeight="1"/>
    <row r="330" ht="18" customHeight="1"/>
    <row r="331" ht="18" customHeight="1"/>
    <row r="332" ht="18" customHeight="1"/>
    <row r="333" ht="18" customHeight="1"/>
    <row r="334" ht="18" customHeight="1"/>
    <row r="335" ht="18" customHeight="1"/>
    <row r="336" ht="18" customHeight="1"/>
    <row r="337" ht="18" customHeight="1"/>
    <row r="338" ht="18" customHeight="1"/>
    <row r="339" ht="18" customHeight="1"/>
    <row r="340" ht="18" customHeight="1"/>
    <row r="341" ht="18" customHeight="1"/>
    <row r="342" ht="18" customHeight="1"/>
    <row r="343" ht="18" customHeight="1"/>
    <row r="344" ht="18" customHeight="1"/>
    <row r="345" ht="18" customHeight="1"/>
    <row r="346" ht="18" customHeight="1"/>
    <row r="347" ht="18" customHeight="1"/>
    <row r="348" ht="18" customHeight="1"/>
    <row r="349" ht="18" customHeight="1"/>
    <row r="350" ht="18" customHeight="1"/>
    <row r="351" ht="18" customHeight="1"/>
    <row r="352" ht="18" customHeight="1"/>
    <row r="353" ht="18" customHeight="1"/>
    <row r="354" ht="18" customHeight="1"/>
    <row r="355" ht="18" customHeight="1"/>
    <row r="356" ht="18" customHeight="1"/>
    <row r="357" ht="18" customHeight="1"/>
    <row r="358" ht="18" customHeight="1"/>
    <row r="359" ht="18" customHeight="1"/>
    <row r="360" ht="18" customHeight="1"/>
    <row r="361" ht="18" customHeight="1"/>
    <row r="362" ht="18" customHeight="1"/>
    <row r="363" ht="18" customHeight="1"/>
    <row r="364" ht="18" customHeight="1"/>
    <row r="365" ht="18" customHeight="1"/>
    <row r="366" ht="18" customHeight="1"/>
    <row r="367" ht="18" customHeight="1"/>
    <row r="368" ht="18" customHeight="1"/>
    <row r="369" ht="18" customHeight="1"/>
    <row r="370" ht="18" customHeight="1"/>
    <row r="371" ht="18" customHeight="1"/>
    <row r="372" ht="18" customHeight="1"/>
    <row r="373" ht="18" customHeight="1"/>
    <row r="374" ht="18" customHeight="1"/>
    <row r="375" ht="18" customHeight="1"/>
    <row r="376" ht="18" customHeight="1"/>
    <row r="377" ht="18" customHeight="1"/>
    <row r="378" ht="18" customHeight="1"/>
    <row r="379" ht="18" customHeight="1"/>
    <row r="380" ht="18" customHeight="1"/>
    <row r="381" ht="18" customHeight="1"/>
    <row r="382" ht="18" customHeight="1"/>
    <row r="383" ht="18" customHeight="1"/>
    <row r="384" ht="18" customHeight="1"/>
    <row r="385" ht="18" customHeight="1"/>
    <row r="386" ht="18" customHeight="1"/>
    <row r="387" ht="18" customHeight="1"/>
    <row r="388" ht="18" customHeight="1"/>
    <row r="389" ht="18" customHeight="1"/>
    <row r="390" ht="18" customHeight="1"/>
    <row r="391" ht="18" customHeight="1"/>
    <row r="392" ht="18" customHeight="1"/>
    <row r="393" ht="18" customHeight="1"/>
    <row r="394" ht="18" customHeight="1"/>
    <row r="395" ht="18" customHeight="1"/>
    <row r="396" ht="18" customHeight="1"/>
    <row r="397" ht="18" customHeight="1"/>
    <row r="398" ht="18" customHeight="1"/>
    <row r="399" ht="18" customHeight="1"/>
    <row r="400" ht="18" customHeight="1"/>
    <row r="401" ht="18" customHeight="1"/>
    <row r="402" ht="18" customHeight="1"/>
    <row r="403" ht="18" customHeight="1"/>
    <row r="404" ht="18" customHeight="1"/>
    <row r="405" ht="18" customHeight="1"/>
    <row r="406" ht="18" customHeight="1"/>
    <row r="407" ht="18" customHeight="1"/>
    <row r="408" ht="18" customHeight="1"/>
    <row r="409" ht="18" customHeight="1"/>
    <row r="410" ht="18" customHeight="1"/>
    <row r="411" ht="18" customHeight="1"/>
    <row r="412" ht="18" customHeight="1"/>
    <row r="413" ht="18" customHeight="1"/>
    <row r="414" ht="18" customHeight="1"/>
    <row r="415" ht="18" customHeight="1"/>
    <row r="416" ht="18" customHeight="1"/>
    <row r="417" ht="18" customHeight="1"/>
    <row r="418" ht="18" customHeight="1"/>
    <row r="419" ht="18" customHeight="1"/>
    <row r="420" ht="18" customHeight="1"/>
    <row r="421" ht="18" customHeight="1"/>
    <row r="422" ht="18" customHeight="1"/>
    <row r="423" ht="18" customHeight="1"/>
    <row r="424" ht="18" customHeight="1"/>
    <row r="425" ht="18" customHeight="1"/>
    <row r="426" ht="18" customHeight="1"/>
    <row r="427" ht="18" customHeight="1"/>
    <row r="428" ht="18" customHeight="1"/>
    <row r="429" ht="18" customHeight="1"/>
    <row r="430" ht="18" customHeight="1"/>
    <row r="431" ht="18" customHeight="1"/>
    <row r="432" ht="18" customHeight="1"/>
    <row r="433" ht="18" customHeight="1"/>
    <row r="434" ht="18" customHeight="1"/>
    <row r="435" ht="18" customHeight="1"/>
    <row r="436" ht="18" customHeight="1"/>
    <row r="437" ht="18" customHeight="1"/>
    <row r="438" ht="18" customHeight="1"/>
    <row r="439" ht="18" customHeight="1"/>
    <row r="440" ht="18" customHeight="1"/>
    <row r="441" ht="18" customHeight="1"/>
    <row r="442" ht="18" customHeight="1"/>
    <row r="443" ht="18" customHeight="1"/>
    <row r="444" ht="18" customHeight="1"/>
    <row r="445" ht="18" customHeight="1"/>
    <row r="446" ht="18" customHeight="1"/>
    <row r="447" ht="18" customHeight="1"/>
    <row r="448" ht="18" customHeight="1"/>
    <row r="449" ht="18" customHeight="1"/>
    <row r="450" ht="18" customHeight="1"/>
    <row r="451" ht="18" customHeight="1"/>
    <row r="452" ht="18" customHeight="1"/>
    <row r="453" ht="18" customHeight="1"/>
    <row r="454" ht="18" customHeight="1"/>
    <row r="455" ht="18" customHeight="1"/>
    <row r="456" ht="18" customHeight="1"/>
    <row r="457" ht="18" customHeight="1"/>
    <row r="458" ht="18" customHeight="1"/>
    <row r="459" ht="18" customHeight="1"/>
    <row r="460" ht="18" customHeight="1"/>
    <row r="461" ht="18" customHeight="1"/>
    <row r="462" ht="18" customHeight="1"/>
    <row r="463" ht="18" customHeight="1"/>
    <row r="464" ht="18" customHeight="1"/>
    <row r="465" ht="18" customHeight="1"/>
    <row r="466" ht="18" customHeight="1"/>
    <row r="467" ht="18" customHeight="1"/>
    <row r="468" ht="18" customHeight="1"/>
    <row r="469" ht="18" customHeight="1"/>
    <row r="470" ht="18" customHeight="1"/>
    <row r="471" ht="18" customHeight="1"/>
    <row r="472" ht="18" customHeight="1"/>
    <row r="473" ht="18" customHeight="1"/>
    <row r="474" ht="18" customHeight="1"/>
    <row r="475" ht="18" customHeight="1"/>
    <row r="476" ht="18" customHeight="1"/>
    <row r="477" ht="18" customHeight="1"/>
    <row r="478" ht="18" customHeight="1"/>
    <row r="479" ht="18" customHeight="1"/>
    <row r="480" ht="18" customHeight="1"/>
    <row r="481" ht="18" customHeight="1"/>
    <row r="482" ht="18" customHeight="1"/>
    <row r="483" ht="18" customHeight="1"/>
    <row r="484" ht="18" customHeight="1"/>
    <row r="485" ht="18" customHeight="1"/>
    <row r="486" ht="18" customHeight="1"/>
    <row r="487" ht="18" customHeight="1"/>
    <row r="488" ht="18" customHeight="1"/>
    <row r="489" ht="18" customHeight="1"/>
    <row r="490" ht="18" customHeight="1"/>
    <row r="491" ht="18" customHeight="1"/>
    <row r="492" ht="18" customHeight="1"/>
    <row r="493" ht="18" customHeight="1"/>
    <row r="494" ht="18" customHeight="1"/>
    <row r="495" ht="18" customHeight="1"/>
    <row r="496" ht="18" customHeight="1"/>
    <row r="497" ht="18" customHeight="1"/>
    <row r="498" ht="18" customHeight="1"/>
    <row r="499" ht="18" customHeight="1"/>
    <row r="500" ht="18" customHeight="1"/>
    <row r="501" ht="18" customHeight="1"/>
    <row r="502" ht="18" customHeight="1"/>
    <row r="503" ht="18" customHeight="1"/>
    <row r="504" ht="18" customHeight="1"/>
    <row r="505" ht="18" customHeight="1"/>
    <row r="506" ht="18" customHeight="1"/>
    <row r="507" ht="18" customHeight="1"/>
    <row r="508" ht="18" customHeight="1"/>
    <row r="509" ht="18" customHeight="1"/>
    <row r="510" ht="18" customHeight="1"/>
    <row r="511" ht="18" customHeight="1"/>
    <row r="512" ht="18" customHeight="1"/>
    <row r="513" ht="18" customHeight="1"/>
    <row r="514" ht="18" customHeight="1"/>
    <row r="515" ht="18" customHeight="1"/>
    <row r="516" ht="18" customHeight="1"/>
    <row r="517" ht="18" customHeight="1"/>
    <row r="518" ht="18" customHeight="1"/>
    <row r="519" ht="18" customHeight="1"/>
    <row r="520" ht="18" customHeight="1"/>
    <row r="521" ht="18" customHeight="1"/>
    <row r="522" ht="18" customHeight="1"/>
    <row r="523" ht="18" customHeight="1"/>
    <row r="524" ht="18" customHeight="1"/>
    <row r="525" ht="18" customHeight="1"/>
    <row r="526" ht="18" customHeight="1"/>
    <row r="527" ht="18" customHeight="1"/>
    <row r="528" ht="18" customHeight="1"/>
    <row r="529" ht="18" customHeight="1"/>
    <row r="530" ht="18" customHeight="1"/>
    <row r="531" ht="18" customHeight="1"/>
    <row r="532" ht="18" customHeight="1"/>
    <row r="533" ht="18" customHeight="1"/>
    <row r="534" ht="18" customHeight="1"/>
    <row r="535" ht="18" customHeight="1"/>
    <row r="536" ht="18" customHeight="1"/>
    <row r="537" ht="18" customHeight="1"/>
    <row r="538" ht="18" customHeight="1"/>
    <row r="539" ht="18" customHeight="1"/>
    <row r="540" ht="18" customHeight="1"/>
    <row r="541" ht="18" customHeight="1"/>
    <row r="542" ht="18" customHeight="1"/>
    <row r="543" ht="18" customHeight="1"/>
    <row r="544" ht="18" customHeight="1"/>
    <row r="545" ht="18" customHeight="1"/>
    <row r="546" ht="18" customHeight="1"/>
    <row r="547" ht="18" customHeight="1"/>
    <row r="548" ht="18" customHeight="1"/>
    <row r="549" ht="18" customHeight="1"/>
    <row r="550" ht="18" customHeight="1"/>
    <row r="551" ht="18" customHeight="1"/>
    <row r="552" ht="18" customHeight="1"/>
    <row r="553" ht="18" customHeight="1"/>
    <row r="554" ht="18" customHeight="1"/>
    <row r="555" ht="18" customHeight="1"/>
    <row r="556" ht="18" customHeight="1"/>
    <row r="557" ht="18" customHeight="1"/>
    <row r="558" ht="18" customHeight="1"/>
    <row r="559" ht="18" customHeight="1"/>
    <row r="560" ht="18" customHeight="1"/>
    <row r="561" ht="18" customHeight="1"/>
    <row r="562" ht="18" customHeight="1"/>
    <row r="563" ht="18" customHeight="1"/>
    <row r="564" ht="18" customHeight="1"/>
    <row r="565" ht="18" customHeight="1"/>
    <row r="566" ht="18" customHeight="1"/>
    <row r="567" ht="18" customHeight="1"/>
    <row r="568" ht="18" customHeight="1"/>
    <row r="569" ht="18" customHeight="1"/>
    <row r="570" ht="18" customHeight="1"/>
    <row r="571" ht="18" customHeight="1"/>
    <row r="572" ht="18" customHeight="1"/>
    <row r="573" ht="18" customHeight="1"/>
    <row r="574" ht="18" customHeight="1"/>
    <row r="575" ht="18" customHeight="1"/>
    <row r="576" ht="18" customHeight="1"/>
    <row r="577" ht="18" customHeight="1"/>
    <row r="578" ht="18" customHeight="1"/>
    <row r="579" ht="18" customHeight="1"/>
    <row r="580" ht="18" customHeight="1"/>
    <row r="581" ht="18" customHeight="1"/>
    <row r="582" ht="18" customHeight="1"/>
    <row r="583" ht="18" customHeight="1"/>
    <row r="584" ht="18" customHeight="1"/>
    <row r="585" ht="18" customHeight="1"/>
    <row r="586" ht="18" customHeight="1"/>
    <row r="587" ht="18" customHeight="1"/>
    <row r="588" ht="18" customHeight="1"/>
    <row r="589" ht="18" customHeight="1"/>
    <row r="590" ht="18" customHeight="1"/>
    <row r="591" ht="18" customHeight="1"/>
    <row r="592" ht="18" customHeight="1"/>
    <row r="593" ht="18" customHeight="1"/>
    <row r="594" ht="18" customHeight="1"/>
    <row r="595" ht="18" customHeight="1"/>
    <row r="596" ht="18" customHeight="1"/>
    <row r="597" ht="18" customHeight="1"/>
    <row r="598" ht="18" customHeight="1"/>
    <row r="599" ht="18" customHeight="1"/>
    <row r="600" ht="18" customHeight="1"/>
    <row r="601" ht="18" customHeight="1"/>
    <row r="602" ht="18" customHeight="1"/>
    <row r="603" ht="18" customHeight="1"/>
    <row r="604" ht="18" customHeight="1"/>
    <row r="605" ht="18" customHeight="1"/>
    <row r="606" ht="18" customHeight="1"/>
    <row r="607" ht="18" customHeight="1"/>
    <row r="608" ht="18" customHeight="1"/>
    <row r="609" ht="18" customHeight="1"/>
    <row r="610" ht="18" customHeight="1"/>
    <row r="611" ht="18" customHeight="1"/>
    <row r="612" ht="18" customHeight="1"/>
    <row r="613" ht="18" customHeight="1"/>
    <row r="614" ht="18" customHeight="1"/>
    <row r="615" ht="18" customHeight="1"/>
    <row r="616" ht="18" customHeight="1"/>
    <row r="617" ht="18" customHeight="1"/>
    <row r="618" ht="18" customHeight="1"/>
    <row r="619" ht="18" customHeight="1"/>
    <row r="620" ht="18" customHeight="1"/>
    <row r="621" ht="18" customHeight="1"/>
    <row r="622" ht="18" customHeight="1"/>
    <row r="623" ht="18" customHeight="1"/>
    <row r="624" ht="18" customHeight="1"/>
    <row r="625" ht="18" customHeight="1"/>
    <row r="626" ht="18" customHeight="1"/>
    <row r="627" ht="18" customHeight="1"/>
    <row r="628" ht="18" customHeight="1"/>
    <row r="629" ht="18" customHeight="1"/>
    <row r="630" ht="18" customHeight="1"/>
    <row r="631" ht="18" customHeight="1"/>
    <row r="632" ht="18" customHeight="1"/>
    <row r="633" ht="18" customHeight="1"/>
    <row r="634" ht="18" customHeight="1"/>
    <row r="635" ht="18" customHeight="1"/>
    <row r="636" ht="18" customHeight="1"/>
    <row r="637" ht="18" customHeight="1"/>
    <row r="638" ht="18" customHeight="1"/>
    <row r="639" ht="18" customHeight="1"/>
    <row r="640" ht="18" customHeight="1"/>
    <row r="641" ht="18" customHeight="1"/>
    <row r="642" ht="18" customHeight="1"/>
    <row r="643" ht="18" customHeight="1"/>
    <row r="644" ht="18" customHeight="1"/>
    <row r="645" ht="18" customHeight="1"/>
    <row r="646" ht="18" customHeight="1"/>
    <row r="647" ht="18" customHeight="1"/>
    <row r="648" ht="18" customHeight="1"/>
    <row r="649" ht="18" customHeight="1"/>
    <row r="650" ht="18" customHeight="1"/>
    <row r="651" ht="18" customHeight="1"/>
    <row r="652" ht="18" customHeight="1"/>
    <row r="653" ht="18" customHeight="1"/>
    <row r="654" ht="18" customHeight="1"/>
    <row r="655" ht="18" customHeight="1"/>
    <row r="656" ht="18" customHeight="1"/>
    <row r="657" ht="18" customHeight="1"/>
    <row r="658" ht="18" customHeight="1"/>
    <row r="659" ht="18" customHeight="1"/>
    <row r="660" ht="18" customHeight="1"/>
    <row r="661" ht="18" customHeight="1"/>
    <row r="662" ht="18" customHeight="1"/>
    <row r="663" ht="18" customHeight="1"/>
    <row r="664" ht="18" customHeight="1"/>
    <row r="665" ht="18" customHeight="1"/>
    <row r="666" ht="18" customHeight="1"/>
    <row r="667" ht="18" customHeight="1"/>
    <row r="668" ht="18" customHeight="1"/>
    <row r="669" ht="18" customHeight="1"/>
    <row r="670" ht="18" customHeight="1"/>
    <row r="671" ht="18" customHeight="1"/>
    <row r="672" ht="18" customHeight="1"/>
    <row r="673" ht="18" customHeight="1"/>
    <row r="674" ht="18" customHeight="1"/>
    <row r="675" ht="18" customHeight="1"/>
    <row r="676" ht="18" customHeight="1"/>
    <row r="677" ht="18" customHeight="1"/>
    <row r="678" ht="18" customHeight="1"/>
    <row r="679" ht="18" customHeight="1"/>
    <row r="680" ht="18" customHeight="1"/>
    <row r="681" ht="18" customHeight="1"/>
    <row r="682" ht="18" customHeight="1"/>
    <row r="683" ht="18" customHeight="1"/>
    <row r="684" ht="18" customHeight="1"/>
    <row r="685" ht="18" customHeight="1"/>
    <row r="686" ht="18" customHeight="1"/>
    <row r="687" ht="18" customHeight="1"/>
    <row r="688" ht="18" customHeight="1"/>
    <row r="689" ht="18" customHeight="1"/>
    <row r="690" ht="18" customHeight="1"/>
    <row r="691" ht="18" customHeight="1"/>
    <row r="692" ht="18" customHeight="1"/>
    <row r="693" ht="18" customHeight="1"/>
    <row r="694" ht="18" customHeight="1"/>
    <row r="695" ht="18" customHeight="1"/>
    <row r="696" ht="18" customHeight="1"/>
    <row r="697" ht="18" customHeight="1"/>
    <row r="698" ht="18" customHeight="1"/>
    <row r="699" ht="18" customHeight="1"/>
    <row r="700" ht="18" customHeight="1"/>
    <row r="701" ht="18" customHeight="1"/>
    <row r="702" ht="18" customHeight="1"/>
    <row r="703" ht="18" customHeight="1"/>
    <row r="704" ht="18" customHeight="1"/>
    <row r="705" ht="18" customHeight="1"/>
    <row r="706" ht="18" customHeight="1"/>
    <row r="707" ht="18" customHeight="1"/>
    <row r="708" ht="18" customHeight="1"/>
    <row r="709" ht="18" customHeight="1"/>
    <row r="710" ht="18" customHeight="1"/>
    <row r="711" ht="18" customHeight="1"/>
    <row r="712" ht="18" customHeight="1"/>
    <row r="713" ht="18" customHeight="1"/>
    <row r="714" ht="18" customHeight="1"/>
    <row r="715" ht="18" customHeight="1"/>
    <row r="716" ht="18" customHeight="1"/>
    <row r="717" ht="18" customHeight="1"/>
    <row r="718" ht="18" customHeight="1"/>
    <row r="719" ht="18" customHeight="1"/>
    <row r="720" ht="18" customHeight="1"/>
    <row r="721" ht="18" customHeight="1"/>
    <row r="722" ht="18" customHeight="1"/>
    <row r="723" ht="18" customHeight="1"/>
    <row r="724" ht="18" customHeight="1"/>
    <row r="725" ht="18" customHeight="1"/>
    <row r="726" ht="18" customHeight="1"/>
    <row r="727" ht="18" customHeight="1"/>
    <row r="728" ht="18" customHeight="1"/>
    <row r="729" ht="18" customHeight="1"/>
    <row r="730" ht="18" customHeight="1"/>
    <row r="731" ht="18" customHeight="1"/>
    <row r="732" ht="18" customHeight="1"/>
    <row r="733" ht="18" customHeight="1"/>
    <row r="734" ht="18" customHeight="1"/>
    <row r="735" ht="18" customHeight="1"/>
    <row r="736" ht="18" customHeight="1"/>
    <row r="737" ht="18" customHeight="1"/>
    <row r="738" ht="18" customHeight="1"/>
    <row r="739" ht="18" customHeight="1"/>
    <row r="740" ht="18" customHeight="1"/>
    <row r="741" ht="18" customHeight="1"/>
    <row r="742" ht="18" customHeight="1"/>
    <row r="743" ht="18" customHeight="1"/>
    <row r="744" ht="18" customHeight="1"/>
    <row r="745" ht="18" customHeight="1"/>
    <row r="746" ht="18" customHeight="1"/>
    <row r="747" ht="18" customHeight="1"/>
    <row r="748" ht="18" customHeight="1"/>
    <row r="749" ht="18" customHeight="1"/>
    <row r="750" ht="18" customHeight="1"/>
    <row r="751" ht="18" customHeight="1"/>
    <row r="752" ht="18" customHeight="1"/>
    <row r="753" ht="18" customHeight="1"/>
    <row r="754" ht="18" customHeight="1"/>
    <row r="755" ht="18" customHeight="1"/>
    <row r="756" ht="18" customHeight="1"/>
    <row r="757" ht="18" customHeight="1"/>
    <row r="758" ht="18" customHeight="1"/>
    <row r="759" ht="18" customHeight="1"/>
    <row r="760" ht="18" customHeight="1"/>
    <row r="761" ht="18" customHeight="1"/>
    <row r="762" ht="18" customHeight="1"/>
    <row r="763" ht="18" customHeight="1"/>
    <row r="764" ht="18" customHeight="1"/>
    <row r="765" ht="18" customHeight="1"/>
    <row r="766" ht="18" customHeight="1"/>
    <row r="767" ht="18" customHeight="1"/>
    <row r="768" ht="18" customHeight="1"/>
    <row r="769" ht="18" customHeight="1"/>
    <row r="770" ht="18" customHeight="1"/>
    <row r="771" ht="18" customHeight="1"/>
    <row r="772" ht="18" customHeight="1"/>
    <row r="773" ht="18" customHeight="1"/>
    <row r="774" ht="18" customHeight="1"/>
    <row r="775" ht="18" customHeight="1"/>
    <row r="776" ht="18" customHeight="1"/>
    <row r="777" ht="18" customHeight="1"/>
    <row r="778" ht="18" customHeight="1"/>
    <row r="779" ht="18" customHeight="1"/>
    <row r="780" ht="18" customHeight="1"/>
    <row r="781" ht="18" customHeight="1"/>
    <row r="782" ht="18" customHeight="1"/>
    <row r="783" ht="18" customHeight="1"/>
    <row r="784" ht="18" customHeight="1"/>
    <row r="785" ht="18" customHeight="1"/>
    <row r="786" ht="18" customHeight="1"/>
    <row r="787" ht="18" customHeight="1"/>
    <row r="788" ht="18" customHeight="1"/>
    <row r="789" ht="18" customHeight="1"/>
    <row r="790" ht="18" customHeight="1"/>
    <row r="791" ht="18" customHeight="1"/>
    <row r="792" ht="18" customHeight="1"/>
    <row r="793" ht="18" customHeight="1"/>
    <row r="794" ht="18" customHeight="1"/>
    <row r="795" ht="18" customHeight="1"/>
    <row r="796" ht="18" customHeight="1"/>
    <row r="797" ht="18" customHeight="1"/>
    <row r="798" ht="18" customHeight="1"/>
    <row r="799" ht="18" customHeight="1"/>
    <row r="800" ht="18" customHeight="1"/>
    <row r="801" ht="18" customHeight="1"/>
    <row r="802" ht="18" customHeight="1"/>
    <row r="803" ht="18" customHeight="1"/>
    <row r="804" ht="18" customHeight="1"/>
    <row r="805" ht="18" customHeight="1"/>
    <row r="806" ht="18" customHeight="1"/>
    <row r="807" ht="18" customHeight="1"/>
    <row r="808" ht="18" customHeight="1"/>
    <row r="809" ht="18" customHeight="1"/>
    <row r="810" ht="18" customHeight="1"/>
    <row r="811" ht="18" customHeight="1"/>
    <row r="812" ht="18" customHeight="1"/>
    <row r="813" ht="18" customHeight="1"/>
    <row r="814" ht="18" customHeight="1"/>
    <row r="815" ht="18" customHeight="1"/>
    <row r="816" ht="18" customHeight="1"/>
    <row r="817" ht="18" customHeight="1"/>
    <row r="818" ht="18" customHeight="1"/>
    <row r="819" ht="18" customHeight="1"/>
    <row r="820" ht="18" customHeight="1"/>
    <row r="821" ht="18" customHeight="1"/>
    <row r="822" ht="18" customHeight="1"/>
    <row r="823" ht="18" customHeight="1"/>
    <row r="824" ht="18" customHeight="1"/>
    <row r="825" ht="18" customHeight="1"/>
    <row r="826" ht="18" customHeight="1"/>
    <row r="827" ht="18" customHeight="1"/>
    <row r="828" ht="18" customHeight="1"/>
    <row r="829" ht="18" customHeight="1"/>
    <row r="830" ht="18" customHeight="1"/>
    <row r="831" ht="18" customHeight="1"/>
    <row r="832" ht="18" customHeight="1"/>
    <row r="833" ht="18" customHeight="1"/>
    <row r="834" ht="18" customHeight="1"/>
    <row r="835" ht="18" customHeight="1"/>
    <row r="836" ht="18" customHeight="1"/>
    <row r="837" ht="18" customHeight="1"/>
    <row r="838" ht="18" customHeight="1"/>
    <row r="839" ht="18" customHeight="1"/>
    <row r="840" ht="18" customHeight="1"/>
    <row r="841" ht="18" customHeight="1"/>
    <row r="842" ht="18" customHeight="1"/>
    <row r="843" ht="18" customHeight="1"/>
    <row r="844" ht="18" customHeight="1"/>
    <row r="845" ht="18" customHeight="1"/>
    <row r="846" ht="18" customHeight="1"/>
    <row r="847" ht="18" customHeight="1"/>
    <row r="848" ht="18" customHeight="1"/>
    <row r="849" ht="18" customHeight="1"/>
    <row r="850" ht="18" customHeight="1"/>
    <row r="851" ht="18" customHeight="1"/>
    <row r="852" ht="18" customHeight="1"/>
    <row r="853" ht="18" customHeight="1"/>
    <row r="854" ht="18" customHeight="1"/>
    <row r="855" ht="18" customHeight="1"/>
    <row r="856" ht="18" customHeight="1"/>
    <row r="857" ht="18" customHeight="1"/>
    <row r="858" ht="18" customHeight="1"/>
    <row r="859" ht="18" customHeight="1"/>
    <row r="860" ht="18" customHeight="1"/>
    <row r="861" ht="18" customHeight="1"/>
    <row r="862" ht="18" customHeight="1"/>
    <row r="863" ht="18" customHeight="1"/>
    <row r="864" ht="18" customHeight="1"/>
    <row r="865" ht="18" customHeight="1"/>
    <row r="866" ht="18" customHeight="1"/>
    <row r="867" ht="18" customHeight="1"/>
    <row r="868" ht="18" customHeight="1"/>
    <row r="869" ht="18" customHeight="1"/>
    <row r="870" ht="18" customHeight="1"/>
    <row r="871" ht="18" customHeight="1"/>
    <row r="872" ht="18" customHeight="1"/>
    <row r="873" ht="18" customHeight="1"/>
    <row r="874" ht="18" customHeight="1"/>
    <row r="875" ht="18" customHeight="1"/>
    <row r="876" ht="18" customHeight="1"/>
    <row r="877" ht="18" customHeight="1"/>
    <row r="878" ht="18" customHeight="1"/>
    <row r="879" ht="18" customHeight="1"/>
    <row r="880" ht="18" customHeight="1"/>
    <row r="881" ht="18" customHeight="1"/>
    <row r="882" ht="18" customHeight="1"/>
    <row r="883" ht="18" customHeight="1"/>
    <row r="884" ht="18" customHeight="1"/>
    <row r="885" ht="18" customHeight="1"/>
    <row r="886" ht="18" customHeight="1"/>
    <row r="887" ht="18" customHeight="1"/>
    <row r="888" ht="18" customHeight="1"/>
    <row r="889" ht="18" customHeight="1"/>
    <row r="890" ht="18" customHeight="1"/>
    <row r="891" ht="18" customHeight="1"/>
    <row r="892" ht="18" customHeight="1"/>
    <row r="893" ht="18" customHeight="1"/>
    <row r="894" ht="18" customHeight="1"/>
    <row r="895" ht="18" customHeight="1"/>
    <row r="896" ht="18" customHeight="1"/>
    <row r="897" ht="18" customHeight="1"/>
    <row r="898" ht="18" customHeight="1"/>
    <row r="899" ht="18" customHeight="1"/>
    <row r="900" ht="18" customHeight="1"/>
    <row r="901" ht="18" customHeight="1"/>
    <row r="902" ht="18" customHeight="1"/>
    <row r="903" ht="18" customHeight="1"/>
    <row r="904" ht="18" customHeight="1"/>
    <row r="905" ht="18" customHeight="1"/>
    <row r="906" ht="18" customHeight="1"/>
    <row r="907" ht="18" customHeight="1"/>
    <row r="908" ht="18" customHeight="1"/>
    <row r="909" ht="18" customHeight="1"/>
    <row r="910" ht="18" customHeight="1"/>
    <row r="911" ht="18" customHeight="1"/>
    <row r="912" ht="18" customHeight="1"/>
    <row r="913" ht="18" customHeight="1"/>
    <row r="914" ht="18" customHeight="1"/>
    <row r="915" ht="18" customHeight="1"/>
    <row r="916" ht="18" customHeight="1"/>
    <row r="917" ht="18" customHeight="1"/>
    <row r="918" ht="18" customHeight="1"/>
    <row r="919" ht="18" customHeight="1"/>
    <row r="920" ht="18" customHeight="1"/>
    <row r="921" ht="18" customHeight="1"/>
    <row r="922" ht="18" customHeight="1"/>
    <row r="923" ht="18" customHeight="1"/>
    <row r="924" ht="18" customHeight="1"/>
    <row r="925" ht="18" customHeight="1"/>
    <row r="926" ht="18" customHeight="1"/>
    <row r="927" ht="18" customHeight="1"/>
    <row r="928" ht="18" customHeight="1"/>
    <row r="929" ht="18" customHeight="1"/>
    <row r="930" ht="18" customHeight="1"/>
    <row r="931" ht="18" customHeight="1"/>
    <row r="932" ht="18" customHeight="1"/>
    <row r="933" ht="18" customHeight="1"/>
    <row r="934" ht="18" customHeight="1"/>
    <row r="935" ht="18" customHeight="1"/>
    <row r="936" ht="18" customHeight="1"/>
    <row r="937" ht="18" customHeight="1"/>
    <row r="938" ht="18" customHeight="1"/>
    <row r="939" ht="18" customHeight="1"/>
    <row r="940" ht="18" customHeight="1"/>
    <row r="941" ht="18" customHeight="1"/>
    <row r="942" ht="18" customHeight="1"/>
    <row r="943" ht="18" customHeight="1"/>
    <row r="944" ht="18" customHeight="1"/>
    <row r="945" ht="18" customHeight="1"/>
    <row r="946" ht="18" customHeight="1"/>
    <row r="947" ht="18" customHeight="1"/>
    <row r="948" ht="18" customHeight="1"/>
    <row r="949" ht="18" customHeight="1"/>
    <row r="950" ht="18" customHeight="1"/>
    <row r="951" ht="18" customHeight="1"/>
    <row r="952" ht="18" customHeight="1"/>
    <row r="953" ht="18" customHeight="1"/>
    <row r="954" ht="18" customHeight="1"/>
    <row r="955" ht="18" customHeight="1"/>
    <row r="956" ht="18" customHeight="1"/>
    <row r="957" ht="18" customHeight="1"/>
    <row r="958" ht="18" customHeight="1"/>
    <row r="959" ht="18" customHeight="1"/>
    <row r="960" ht="18" customHeight="1"/>
    <row r="961" ht="18" customHeight="1"/>
    <row r="962" ht="18" customHeight="1"/>
    <row r="963" ht="18" customHeight="1"/>
    <row r="964" ht="18" customHeight="1"/>
    <row r="965" ht="18" customHeight="1"/>
    <row r="966" ht="18" customHeight="1"/>
    <row r="967" ht="18" customHeight="1"/>
    <row r="968" ht="18" customHeight="1"/>
    <row r="969" ht="18" customHeight="1"/>
    <row r="970" ht="18" customHeight="1"/>
    <row r="971" ht="18" customHeight="1"/>
    <row r="972" ht="18" customHeight="1"/>
    <row r="973" ht="18" customHeight="1"/>
    <row r="974" ht="18" customHeight="1"/>
    <row r="975" ht="18" customHeight="1"/>
    <row r="976" ht="18" customHeight="1"/>
    <row r="977" ht="18" customHeight="1"/>
    <row r="978" ht="18" customHeight="1"/>
    <row r="979" ht="18" customHeight="1"/>
    <row r="980" ht="18" customHeight="1"/>
    <row r="981" ht="18" customHeight="1"/>
    <row r="982" ht="18" customHeight="1"/>
    <row r="983" ht="18" customHeight="1"/>
    <row r="984" ht="18" customHeight="1"/>
    <row r="985" ht="18" customHeight="1"/>
    <row r="986" ht="18" customHeight="1"/>
    <row r="987" ht="18" customHeight="1"/>
    <row r="988" ht="18" customHeight="1"/>
    <row r="989" ht="18" customHeight="1"/>
    <row r="990" ht="18" customHeight="1"/>
    <row r="991" ht="18" customHeight="1"/>
    <row r="992" ht="18" customHeight="1"/>
    <row r="993" ht="18" customHeight="1"/>
    <row r="994" ht="18" customHeight="1"/>
    <row r="995" ht="18" customHeight="1"/>
    <row r="996" ht="18" customHeight="1"/>
    <row r="997" ht="18" customHeight="1"/>
    <row r="998" ht="18" customHeight="1"/>
    <row r="999" ht="18" customHeight="1"/>
    <row r="1000" ht="18" customHeight="1"/>
    <row r="1001" ht="18" customHeight="1"/>
    <row r="1002" ht="18" customHeight="1"/>
    <row r="1003" ht="18" customHeight="1"/>
    <row r="1004" ht="18" customHeight="1"/>
    <row r="1005" ht="18" customHeight="1"/>
    <row r="1006" ht="18" customHeight="1"/>
    <row r="1007" ht="18" customHeight="1"/>
    <row r="1008" ht="18" customHeight="1"/>
    <row r="1009" ht="18" customHeight="1"/>
    <row r="1010" ht="18" customHeight="1"/>
    <row r="1011" ht="18" customHeight="1"/>
    <row r="1012" ht="18" customHeight="1"/>
    <row r="1013" ht="18" customHeight="1"/>
    <row r="1014" ht="18" customHeight="1"/>
    <row r="1015" ht="18" customHeight="1"/>
    <row r="1016" ht="18" customHeight="1"/>
    <row r="1017" ht="18" customHeight="1"/>
    <row r="1018" ht="18" customHeight="1"/>
    <row r="1019" ht="18" customHeight="1"/>
    <row r="1020" ht="18" customHeight="1"/>
    <row r="1021" ht="18" customHeight="1"/>
    <row r="1022" ht="18" customHeight="1"/>
    <row r="1023" ht="18" customHeight="1"/>
    <row r="1024" ht="18" customHeight="1"/>
    <row r="1025" ht="18" customHeight="1"/>
    <row r="1026" ht="18" customHeight="1"/>
    <row r="1027" ht="18" customHeight="1"/>
    <row r="1028" ht="18" customHeight="1"/>
    <row r="1029" ht="18" customHeight="1"/>
    <row r="1030" ht="18" customHeight="1"/>
    <row r="1031" ht="18" customHeight="1"/>
    <row r="1032" ht="18" customHeight="1"/>
    <row r="1033" ht="18" customHeight="1"/>
    <row r="1034" ht="18" customHeight="1"/>
    <row r="1035" ht="18" customHeight="1"/>
    <row r="1036" ht="18" customHeight="1"/>
    <row r="1037" ht="18" customHeight="1"/>
    <row r="1038" ht="18" customHeight="1"/>
    <row r="1039" ht="18" customHeight="1"/>
    <row r="1040" ht="18" customHeight="1"/>
    <row r="1041" ht="18" customHeight="1"/>
    <row r="1042" ht="18" customHeight="1"/>
    <row r="1043" ht="18" customHeight="1"/>
    <row r="1044" ht="18" customHeight="1"/>
    <row r="1045" ht="18" customHeight="1"/>
    <row r="1046" ht="18" customHeight="1"/>
    <row r="1047" ht="18" customHeight="1"/>
    <row r="1048" ht="18" customHeight="1"/>
    <row r="1049" ht="18" customHeight="1"/>
    <row r="1050" ht="18" customHeight="1"/>
    <row r="1051" ht="18" customHeight="1"/>
    <row r="1052" ht="18" customHeight="1"/>
    <row r="1053" ht="18" customHeight="1"/>
    <row r="1054" ht="18" customHeight="1"/>
    <row r="1055" ht="18" customHeight="1"/>
    <row r="1056" ht="18" customHeight="1"/>
    <row r="1057" ht="18" customHeight="1"/>
    <row r="1058" ht="18" customHeight="1"/>
    <row r="1059" ht="18" customHeight="1"/>
    <row r="1060" ht="18" customHeight="1"/>
    <row r="1061" ht="18" customHeight="1"/>
    <row r="1062" ht="18" customHeight="1"/>
    <row r="1063" ht="18" customHeight="1"/>
    <row r="1064" ht="18" customHeight="1"/>
    <row r="1065" ht="18" customHeight="1"/>
    <row r="1066" ht="18" customHeight="1"/>
    <row r="1067" ht="18" customHeight="1"/>
    <row r="1068" ht="18" customHeight="1"/>
    <row r="1069" ht="18" customHeight="1"/>
    <row r="1070" ht="18" customHeight="1"/>
    <row r="1071" ht="18" customHeight="1"/>
    <row r="1072" ht="18" customHeight="1"/>
    <row r="1073" ht="18" customHeight="1"/>
    <row r="1074" ht="18" customHeight="1"/>
    <row r="1075" ht="18" customHeight="1"/>
    <row r="1076" ht="18" customHeight="1"/>
    <row r="1077" ht="18" customHeight="1"/>
    <row r="1078" ht="18" customHeight="1"/>
    <row r="1079" ht="18" customHeight="1"/>
    <row r="1080" ht="18" customHeight="1"/>
    <row r="1081" ht="18" customHeight="1"/>
    <row r="1082" ht="18" customHeight="1"/>
    <row r="1083" ht="18" customHeight="1"/>
    <row r="1084" ht="18" customHeight="1"/>
    <row r="1085" ht="18" customHeight="1"/>
    <row r="1086" ht="18" customHeight="1"/>
    <row r="1087" ht="18" customHeight="1"/>
    <row r="1088" ht="18" customHeight="1"/>
    <row r="1089" ht="18" customHeight="1"/>
    <row r="1090" ht="18" customHeight="1"/>
    <row r="1091" ht="18" customHeight="1"/>
    <row r="1092" ht="18" customHeight="1"/>
    <row r="1093" ht="18" customHeight="1"/>
    <row r="1094" ht="18" customHeight="1"/>
    <row r="1095" ht="18" customHeight="1"/>
    <row r="1096" ht="18" customHeight="1"/>
    <row r="1097" ht="18" customHeight="1"/>
    <row r="1098" ht="18" customHeight="1"/>
    <row r="1099" ht="18" customHeight="1"/>
    <row r="1100" ht="18" customHeight="1"/>
    <row r="1101" ht="18" customHeight="1"/>
    <row r="1102" ht="18" customHeight="1"/>
    <row r="1103" ht="18" customHeight="1"/>
    <row r="1104" ht="18" customHeight="1"/>
    <row r="1105" ht="18" customHeight="1"/>
    <row r="1106" ht="18" customHeight="1"/>
    <row r="1107" ht="18" customHeight="1"/>
    <row r="1108" ht="18" customHeight="1"/>
    <row r="1109" ht="18" customHeight="1"/>
    <row r="1110" ht="18" customHeight="1"/>
    <row r="1111" ht="18" customHeight="1"/>
    <row r="1112" ht="18" customHeight="1"/>
    <row r="1113" ht="18" customHeight="1"/>
    <row r="1114" ht="18" customHeight="1"/>
    <row r="1115" ht="18" customHeight="1"/>
    <row r="1116" ht="18" customHeight="1"/>
    <row r="1117" ht="18" customHeight="1"/>
    <row r="1118" ht="18" customHeight="1"/>
    <row r="1119" ht="18" customHeight="1"/>
    <row r="1120" ht="18" customHeight="1"/>
    <row r="1121" ht="18" customHeight="1"/>
    <row r="1122" ht="18" customHeight="1"/>
    <row r="1123" ht="18" customHeight="1"/>
    <row r="1124" ht="18" customHeight="1"/>
    <row r="1125" ht="18" customHeight="1"/>
    <row r="1126" ht="18" customHeight="1"/>
    <row r="1127" ht="18" customHeight="1"/>
    <row r="1128" ht="18" customHeight="1"/>
    <row r="1129" ht="18" customHeight="1"/>
    <row r="1130" ht="18" customHeight="1"/>
    <row r="1131" ht="18" customHeight="1"/>
    <row r="1132" ht="18" customHeight="1"/>
    <row r="1133" ht="18" customHeight="1"/>
    <row r="1134" ht="18" customHeight="1"/>
    <row r="1135" ht="18" customHeight="1"/>
    <row r="1136" ht="18" customHeight="1"/>
    <row r="1137" ht="18" customHeight="1"/>
    <row r="1138" ht="18" customHeight="1"/>
    <row r="1139" ht="18" customHeight="1"/>
    <row r="1140" ht="18" customHeight="1"/>
    <row r="1141" ht="18" customHeight="1"/>
    <row r="1142" ht="18" customHeight="1"/>
    <row r="1143" ht="18" customHeight="1"/>
    <row r="1144" ht="18" customHeight="1"/>
    <row r="1145" ht="18" customHeight="1"/>
    <row r="1146" ht="18" customHeight="1"/>
    <row r="1147" ht="18" customHeight="1"/>
    <row r="1148" ht="18" customHeight="1"/>
    <row r="1149" ht="18" customHeight="1"/>
    <row r="1150" ht="18" customHeight="1"/>
    <row r="1151" ht="18" customHeight="1"/>
    <row r="1152" ht="18" customHeight="1"/>
    <row r="1153" ht="18" customHeight="1"/>
    <row r="1154" ht="18" customHeight="1"/>
    <row r="1155" ht="18" customHeight="1"/>
    <row r="1156" ht="18" customHeight="1"/>
    <row r="1157" ht="18" customHeight="1"/>
    <row r="1158" ht="18" customHeight="1"/>
    <row r="1159" ht="18" customHeight="1"/>
    <row r="1160" ht="18" customHeight="1"/>
    <row r="1161" ht="18" customHeight="1"/>
    <row r="1162" ht="18" customHeight="1"/>
    <row r="1163" ht="18" customHeight="1"/>
    <row r="1164" ht="18" customHeight="1"/>
    <row r="1165" ht="18" customHeight="1"/>
    <row r="1166" ht="18" customHeight="1"/>
    <row r="1167" ht="18" customHeight="1"/>
    <row r="1168" ht="18" customHeight="1"/>
    <row r="1169" ht="18" customHeight="1"/>
    <row r="1170" ht="18" customHeight="1"/>
    <row r="1171" ht="18" customHeight="1"/>
    <row r="1172" ht="18" customHeight="1"/>
    <row r="1173" ht="18" customHeight="1"/>
    <row r="1174" ht="18" customHeight="1"/>
    <row r="1175" ht="18" customHeight="1"/>
    <row r="1176" ht="18" customHeight="1"/>
    <row r="1177" ht="18" customHeight="1"/>
    <row r="1178" ht="18" customHeight="1"/>
    <row r="1179" ht="18" customHeight="1"/>
    <row r="1180" ht="18" customHeight="1"/>
    <row r="1181" ht="18" customHeight="1"/>
    <row r="1182" ht="18" customHeight="1"/>
    <row r="1183" ht="18" customHeight="1"/>
    <row r="1184" ht="18" customHeight="1"/>
    <row r="1185" ht="18" customHeight="1"/>
    <row r="1186" ht="18" customHeight="1"/>
    <row r="1187" ht="18" customHeight="1"/>
    <row r="1188" ht="18" customHeight="1"/>
    <row r="1189" ht="18" customHeight="1"/>
    <row r="1190" ht="18" customHeight="1"/>
    <row r="1191" ht="18" customHeight="1"/>
    <row r="1192" ht="18" customHeight="1"/>
    <row r="1193" ht="18" customHeight="1"/>
    <row r="1194" ht="18" customHeight="1"/>
    <row r="1195" ht="18" customHeight="1"/>
    <row r="1196" ht="18" customHeight="1"/>
    <row r="1197" ht="18" customHeight="1"/>
    <row r="1198" ht="18" customHeight="1"/>
    <row r="1199" ht="18" customHeight="1"/>
    <row r="1200" ht="18" customHeight="1"/>
    <row r="1201" ht="18" customHeight="1"/>
    <row r="1202" ht="18" customHeight="1"/>
    <row r="1203" ht="18" customHeight="1"/>
    <row r="1204" ht="18" customHeight="1"/>
    <row r="1205" ht="18" customHeight="1"/>
    <row r="1206" ht="18" customHeight="1"/>
    <row r="1207" ht="18" customHeight="1"/>
    <row r="1208" ht="18" customHeight="1"/>
    <row r="1209" ht="18" customHeight="1"/>
    <row r="1210" ht="18" customHeight="1"/>
    <row r="1211" ht="18" customHeight="1"/>
    <row r="1212" ht="18" customHeight="1"/>
    <row r="1213" ht="18" customHeight="1"/>
    <row r="1214" ht="18" customHeight="1"/>
    <row r="1215" ht="18" customHeight="1"/>
    <row r="1216" ht="18" customHeight="1"/>
    <row r="1217" ht="18" customHeight="1"/>
    <row r="1218" ht="18" customHeight="1"/>
    <row r="1219" ht="18" customHeight="1"/>
    <row r="1220" ht="18" customHeight="1"/>
    <row r="1221" ht="18" customHeight="1"/>
    <row r="1222" ht="18" customHeight="1"/>
    <row r="1223" ht="18" customHeight="1"/>
    <row r="1224" ht="18" customHeight="1"/>
    <row r="1225" ht="18" customHeight="1"/>
    <row r="1226" ht="18" customHeight="1"/>
    <row r="1227" ht="18" customHeight="1"/>
    <row r="1228" ht="18" customHeight="1"/>
    <row r="1229" ht="18" customHeight="1"/>
    <row r="1230" ht="18" customHeight="1"/>
    <row r="1231" ht="18" customHeight="1"/>
    <row r="1232" ht="18" customHeight="1"/>
    <row r="1233" ht="18" customHeight="1"/>
    <row r="1234" ht="18" customHeight="1"/>
    <row r="1235" ht="18" customHeight="1"/>
    <row r="1236" ht="18" customHeight="1"/>
    <row r="1237" ht="18" customHeight="1"/>
    <row r="1238" ht="18" customHeight="1"/>
    <row r="1239" ht="18" customHeight="1"/>
    <row r="1240" ht="18" customHeight="1"/>
    <row r="1241" ht="18" customHeight="1"/>
    <row r="1242" ht="18" customHeight="1"/>
    <row r="1243" ht="18" customHeight="1"/>
    <row r="1244" ht="18" customHeight="1"/>
    <row r="1245" ht="18" customHeight="1"/>
    <row r="1246" ht="18" customHeight="1"/>
    <row r="1247" ht="18" customHeight="1"/>
    <row r="1248" ht="18" customHeight="1"/>
    <row r="1249" ht="18" customHeight="1"/>
    <row r="1250" ht="18" customHeight="1"/>
    <row r="1251" ht="18" customHeight="1"/>
    <row r="1252" ht="18" customHeight="1"/>
    <row r="1253" ht="18" customHeight="1"/>
    <row r="1254" ht="18" customHeight="1"/>
    <row r="1255" ht="18" customHeight="1"/>
    <row r="1256" ht="18" customHeight="1"/>
    <row r="1257" ht="18" customHeight="1"/>
    <row r="1258" ht="18" customHeight="1"/>
    <row r="1259" ht="18" customHeight="1"/>
    <row r="1260" ht="18" customHeight="1"/>
    <row r="1261" ht="18" customHeight="1"/>
    <row r="1262" ht="18" customHeight="1"/>
    <row r="1263" ht="18" customHeight="1"/>
    <row r="1264" ht="18" customHeight="1"/>
    <row r="1265" ht="18" customHeight="1"/>
    <row r="1266" ht="18" customHeight="1"/>
    <row r="1267" ht="18" customHeight="1"/>
    <row r="1268" ht="18" customHeight="1"/>
    <row r="1269" ht="18" customHeight="1"/>
    <row r="1270" ht="18" customHeight="1"/>
    <row r="1271" ht="18" customHeight="1"/>
    <row r="1272" ht="18" customHeight="1"/>
    <row r="1273" ht="18" customHeight="1"/>
    <row r="1274" ht="18" customHeight="1"/>
    <row r="1275" ht="18" customHeight="1"/>
    <row r="1276" ht="18" customHeight="1"/>
    <row r="1277" ht="18" customHeight="1"/>
    <row r="1278" ht="18" customHeight="1"/>
    <row r="1279" ht="18" customHeight="1"/>
    <row r="1280" ht="18" customHeight="1"/>
    <row r="1281" ht="18" customHeight="1"/>
    <row r="1282" ht="18" customHeight="1"/>
    <row r="1283" ht="18" customHeight="1"/>
    <row r="1284" ht="18" customHeight="1"/>
    <row r="1285" ht="18" customHeight="1"/>
    <row r="1286" ht="18" customHeight="1"/>
    <row r="1287" ht="18" customHeight="1"/>
    <row r="1288" ht="18" customHeight="1"/>
    <row r="1289" ht="18" customHeight="1"/>
    <row r="1290" ht="18" customHeight="1"/>
    <row r="1291" ht="18" customHeight="1"/>
    <row r="1292" ht="18" customHeight="1"/>
    <row r="1293" ht="18" customHeight="1"/>
    <row r="1294" ht="18" customHeight="1"/>
    <row r="1295" ht="18" customHeight="1"/>
    <row r="1296" ht="18" customHeight="1"/>
    <row r="1297" ht="18" customHeight="1"/>
    <row r="1298" ht="18" customHeight="1"/>
    <row r="1299" ht="18" customHeight="1"/>
    <row r="1300" ht="18" customHeight="1"/>
    <row r="1301" ht="18" customHeight="1"/>
    <row r="1302" ht="18" customHeight="1"/>
    <row r="1303" ht="18" customHeight="1"/>
    <row r="1304" ht="18" customHeight="1"/>
    <row r="1305" ht="18" customHeight="1"/>
    <row r="1306" ht="18" customHeight="1"/>
    <row r="1307" ht="18" customHeight="1"/>
    <row r="1308" ht="18" customHeight="1"/>
    <row r="1309" ht="18" customHeight="1"/>
    <row r="1310" ht="18" customHeight="1"/>
    <row r="1311" ht="18" customHeight="1"/>
    <row r="1312" ht="18" customHeight="1"/>
    <row r="1313" ht="18" customHeight="1"/>
    <row r="1314" ht="18" customHeight="1"/>
    <row r="1315" ht="18" customHeight="1"/>
    <row r="1316" ht="18" customHeight="1"/>
    <row r="1317" ht="18" customHeight="1"/>
    <row r="1318" ht="18" customHeight="1"/>
    <row r="1319" ht="18" customHeight="1"/>
    <row r="1320" ht="18" customHeight="1"/>
    <row r="1321" ht="18" customHeight="1"/>
    <row r="1322" ht="18" customHeight="1"/>
    <row r="1323" ht="18" customHeight="1"/>
    <row r="1324" ht="18" customHeight="1"/>
    <row r="1325" ht="18" customHeight="1"/>
    <row r="1326" ht="18" customHeight="1"/>
    <row r="1327" ht="18" customHeight="1"/>
    <row r="1328" ht="18" customHeight="1"/>
    <row r="1329" ht="18" customHeight="1"/>
    <row r="1330" ht="18" customHeight="1"/>
    <row r="1331" ht="18" customHeight="1"/>
    <row r="1332" ht="18" customHeight="1"/>
    <row r="1333" ht="18" customHeight="1"/>
    <row r="1334" ht="18" customHeight="1"/>
    <row r="1335" ht="18" customHeight="1"/>
    <row r="1336" ht="18" customHeight="1"/>
    <row r="1337" ht="18" customHeight="1"/>
    <row r="1338" ht="18" customHeight="1"/>
    <row r="1339" ht="18" customHeight="1"/>
    <row r="1340" ht="18" customHeight="1"/>
    <row r="1341" ht="18" customHeight="1"/>
    <row r="1342" ht="18" customHeight="1"/>
    <row r="1343" ht="18" customHeight="1"/>
    <row r="1344" ht="18" customHeight="1"/>
    <row r="1345" ht="18" customHeight="1"/>
    <row r="1346" ht="18" customHeight="1"/>
    <row r="1347" ht="18" customHeight="1"/>
    <row r="1348" ht="18" customHeight="1"/>
    <row r="1349" ht="18" customHeight="1"/>
    <row r="1350" ht="18" customHeight="1"/>
    <row r="1351" ht="18" customHeight="1"/>
    <row r="1352" ht="18" customHeight="1"/>
    <row r="1353" ht="18" customHeight="1"/>
    <row r="1354" ht="18" customHeight="1"/>
    <row r="1355" ht="18" customHeight="1"/>
    <row r="1356" ht="18" customHeight="1"/>
    <row r="1357" ht="18" customHeight="1"/>
    <row r="1358" ht="18" customHeight="1"/>
    <row r="1359" ht="18" customHeight="1"/>
    <row r="1360" ht="18" customHeight="1"/>
    <row r="1361" ht="18" customHeight="1"/>
    <row r="1362" ht="18" customHeight="1"/>
    <row r="1363" ht="18" customHeight="1"/>
    <row r="1364" ht="18" customHeight="1"/>
    <row r="1365" ht="18" customHeight="1"/>
    <row r="1366" ht="18" customHeight="1"/>
    <row r="1367" ht="18" customHeight="1"/>
    <row r="1368" ht="18" customHeight="1"/>
    <row r="1369" ht="18" customHeight="1"/>
    <row r="1370" ht="18" customHeight="1"/>
    <row r="1371" ht="18" customHeight="1"/>
    <row r="1372" ht="18" customHeight="1"/>
    <row r="1373" ht="18" customHeight="1"/>
    <row r="1374" ht="18" customHeight="1"/>
    <row r="1375" ht="18" customHeight="1"/>
    <row r="1376" ht="18" customHeight="1"/>
    <row r="1377" ht="18" customHeight="1"/>
    <row r="1378" ht="18" customHeight="1"/>
    <row r="1379" ht="18" customHeight="1"/>
    <row r="1380" ht="18" customHeight="1"/>
    <row r="1381" ht="18" customHeight="1"/>
    <row r="1382" ht="18" customHeight="1"/>
    <row r="1383" ht="18" customHeight="1"/>
    <row r="1384" ht="18" customHeight="1"/>
    <row r="1385" ht="18" customHeight="1"/>
    <row r="1386" ht="18" customHeight="1"/>
    <row r="1387" ht="18" customHeight="1"/>
    <row r="1388" ht="18" customHeight="1"/>
    <row r="1389" ht="18" customHeight="1"/>
    <row r="1390" ht="18" customHeight="1"/>
    <row r="1391" ht="18" customHeight="1"/>
    <row r="1392" ht="18" customHeight="1"/>
    <row r="1393" ht="18" customHeight="1"/>
    <row r="1394" ht="18" customHeight="1"/>
    <row r="1395" ht="18" customHeight="1"/>
    <row r="1396" ht="18" customHeight="1"/>
    <row r="1397" ht="18" customHeight="1"/>
    <row r="1398" ht="18" customHeight="1"/>
    <row r="1399" ht="18" customHeight="1"/>
    <row r="1400" ht="18" customHeight="1"/>
    <row r="1401" ht="18" customHeight="1"/>
    <row r="1402" ht="18" customHeight="1"/>
    <row r="1403" ht="18" customHeight="1"/>
    <row r="1404" ht="18" customHeight="1"/>
    <row r="1405" ht="18" customHeight="1"/>
    <row r="1406" ht="18" customHeight="1"/>
    <row r="1407" ht="18" customHeight="1"/>
    <row r="1408" ht="18" customHeight="1"/>
    <row r="1409" ht="18" customHeight="1"/>
    <row r="1410" ht="18" customHeight="1"/>
    <row r="1411" ht="18" customHeight="1"/>
    <row r="1412" ht="18" customHeight="1"/>
    <row r="1413" ht="18" customHeight="1"/>
    <row r="1414" ht="18" customHeight="1"/>
    <row r="1415" ht="18" customHeight="1"/>
    <row r="1416" ht="18" customHeight="1"/>
    <row r="1417" ht="18" customHeight="1"/>
    <row r="1418" ht="18" customHeight="1"/>
    <row r="1419" ht="18" customHeight="1"/>
    <row r="1420" ht="18" customHeight="1"/>
    <row r="1421" ht="18" customHeight="1"/>
    <row r="1422" ht="18" customHeight="1"/>
    <row r="1423" ht="18" customHeight="1"/>
    <row r="1424" ht="18" customHeight="1"/>
    <row r="1425" ht="18" customHeight="1"/>
    <row r="1426" ht="18" customHeight="1"/>
    <row r="1427" ht="18" customHeight="1"/>
    <row r="1428" ht="18" customHeight="1"/>
    <row r="1429" ht="18" customHeight="1"/>
    <row r="1430" ht="18" customHeight="1"/>
    <row r="1431" ht="18" customHeight="1"/>
    <row r="1432" ht="18" customHeight="1"/>
    <row r="1433" ht="18" customHeight="1"/>
    <row r="1434" ht="18" customHeight="1"/>
    <row r="1435" ht="18" customHeight="1"/>
    <row r="1436" ht="18" customHeight="1"/>
    <row r="1437" ht="18" customHeight="1"/>
    <row r="1438" ht="18" customHeight="1"/>
    <row r="1439" ht="18" customHeight="1"/>
    <row r="1440" ht="18" customHeight="1"/>
    <row r="1441" ht="18" customHeight="1"/>
    <row r="1442" ht="18" customHeight="1"/>
    <row r="1443" ht="18" customHeight="1"/>
    <row r="1444" ht="18" customHeight="1"/>
    <row r="1445" ht="18" customHeight="1"/>
    <row r="1446" ht="18" customHeight="1"/>
    <row r="1447" ht="18" customHeight="1"/>
    <row r="1448" ht="18" customHeight="1"/>
    <row r="1449" ht="18" customHeight="1"/>
    <row r="1450" ht="18" customHeight="1"/>
    <row r="1451" ht="18" customHeight="1"/>
    <row r="1452" ht="18" customHeight="1"/>
    <row r="1453" ht="18" customHeight="1"/>
    <row r="1454" ht="18" customHeight="1"/>
    <row r="1455" ht="18" customHeight="1"/>
    <row r="1456" ht="18" customHeight="1"/>
    <row r="1457" ht="18" customHeight="1"/>
    <row r="1458" ht="18" customHeight="1"/>
    <row r="1459" ht="18" customHeight="1"/>
    <row r="1460" ht="18" customHeight="1"/>
    <row r="1461" ht="18" customHeight="1"/>
    <row r="1462" ht="18" customHeight="1"/>
    <row r="1463" ht="18" customHeight="1"/>
    <row r="1464" ht="18" customHeight="1"/>
    <row r="1465" ht="18" customHeight="1"/>
    <row r="1466" ht="18" customHeight="1"/>
    <row r="1467" ht="18" customHeight="1"/>
    <row r="1468" ht="18" customHeight="1"/>
    <row r="1469" ht="18" customHeight="1"/>
    <row r="1470" ht="18" customHeight="1"/>
    <row r="1471" ht="18" customHeight="1"/>
    <row r="1472" ht="18" customHeight="1"/>
    <row r="1473" ht="18" customHeight="1"/>
    <row r="1474" ht="18" customHeight="1"/>
    <row r="1475" ht="18" customHeight="1"/>
    <row r="1476" ht="18" customHeight="1"/>
    <row r="1477" ht="18" customHeight="1"/>
    <row r="1478" ht="18" customHeight="1"/>
    <row r="1479" ht="18" customHeight="1"/>
    <row r="1480" ht="18" customHeight="1"/>
    <row r="1481" ht="18" customHeight="1"/>
    <row r="1482" ht="18" customHeight="1"/>
    <row r="1483" ht="18" customHeight="1"/>
    <row r="1484" ht="18" customHeight="1"/>
    <row r="1485" ht="18" customHeight="1"/>
    <row r="1486" ht="18" customHeight="1"/>
    <row r="1487" ht="18" customHeight="1"/>
    <row r="1488" ht="18" customHeight="1"/>
    <row r="1489" ht="18" customHeight="1"/>
    <row r="1490" ht="18" customHeight="1"/>
    <row r="1491" ht="18" customHeight="1"/>
    <row r="1492" ht="18" customHeight="1"/>
    <row r="1493" ht="18" customHeight="1"/>
    <row r="1494" ht="18" customHeight="1"/>
    <row r="1495" ht="18" customHeight="1"/>
    <row r="1496" ht="18" customHeight="1"/>
    <row r="1497" ht="18" customHeight="1"/>
    <row r="1498" ht="18" customHeight="1"/>
    <row r="1499" ht="18" customHeight="1"/>
    <row r="1500" ht="18" customHeight="1"/>
    <row r="1501" ht="18" customHeight="1"/>
    <row r="1502" ht="18" customHeight="1"/>
    <row r="1503" ht="18" customHeight="1"/>
    <row r="1504" ht="18" customHeight="1"/>
    <row r="1505" ht="18" customHeight="1"/>
    <row r="1506" ht="18" customHeight="1"/>
    <row r="1507" ht="18" customHeight="1"/>
    <row r="1508" ht="18" customHeight="1"/>
    <row r="1509" ht="18" customHeight="1"/>
    <row r="1510" ht="18" customHeight="1"/>
    <row r="1511" ht="18" customHeight="1"/>
    <row r="1512" ht="18" customHeight="1"/>
    <row r="1513" ht="18" customHeight="1"/>
    <row r="1514" ht="18" customHeight="1"/>
    <row r="1515" ht="18" customHeight="1"/>
    <row r="1516" ht="18" customHeight="1"/>
    <row r="1517" ht="18" customHeight="1"/>
    <row r="1518" ht="18" customHeight="1"/>
    <row r="1519" ht="18" customHeight="1"/>
    <row r="1520" ht="18" customHeight="1"/>
    <row r="1521" ht="18" customHeight="1"/>
    <row r="1522" ht="18" customHeight="1"/>
    <row r="1523" ht="18" customHeight="1"/>
    <row r="1524" ht="18" customHeight="1"/>
    <row r="1525" ht="18" customHeight="1"/>
    <row r="1526" ht="18" customHeight="1"/>
    <row r="1527" ht="18" customHeight="1"/>
    <row r="1528" ht="18" customHeight="1"/>
    <row r="1529" ht="18" customHeight="1"/>
    <row r="1530" ht="18" customHeight="1"/>
    <row r="1531" ht="18" customHeight="1"/>
    <row r="1532" ht="18" customHeight="1"/>
    <row r="1533" ht="18" customHeight="1"/>
    <row r="1534" ht="18" customHeight="1"/>
    <row r="1535" ht="18" customHeight="1"/>
    <row r="1536" ht="18" customHeight="1"/>
    <row r="1537" ht="18" customHeight="1"/>
    <row r="1538" ht="18" customHeight="1"/>
    <row r="1539" ht="18" customHeight="1"/>
    <row r="1540" ht="18" customHeight="1"/>
    <row r="1541" ht="18" customHeight="1"/>
    <row r="1542" ht="18" customHeight="1"/>
    <row r="1543" ht="18" customHeight="1"/>
    <row r="1544" ht="18" customHeight="1"/>
    <row r="1545" ht="18" customHeight="1"/>
    <row r="1546" ht="18" customHeight="1"/>
    <row r="1547" ht="18" customHeight="1"/>
    <row r="1548" ht="18" customHeight="1"/>
    <row r="1549" ht="18" customHeight="1"/>
    <row r="1550" ht="18" customHeight="1"/>
    <row r="1551" ht="18" customHeight="1"/>
    <row r="1552" ht="18" customHeight="1"/>
    <row r="1553" ht="18" customHeight="1"/>
    <row r="1554" ht="18" customHeight="1"/>
    <row r="1555" ht="18" customHeight="1"/>
    <row r="1556" ht="18" customHeight="1"/>
    <row r="1557" ht="18" customHeight="1"/>
    <row r="1558" ht="18" customHeight="1"/>
    <row r="1559" ht="18" customHeight="1"/>
    <row r="1560" ht="18" customHeight="1"/>
    <row r="1561" ht="18" customHeight="1"/>
    <row r="1562" ht="18" customHeight="1"/>
    <row r="1563" ht="18" customHeight="1"/>
    <row r="1564" ht="18" customHeight="1"/>
    <row r="1565" ht="18" customHeight="1"/>
    <row r="1566" ht="18" customHeight="1"/>
    <row r="1567" ht="18" customHeight="1"/>
    <row r="1568" ht="18" customHeight="1"/>
    <row r="1569" ht="18" customHeight="1"/>
    <row r="1570" ht="18" customHeight="1"/>
    <row r="1571" ht="18" customHeight="1"/>
    <row r="1572" ht="18" customHeight="1"/>
    <row r="1573" ht="18" customHeight="1"/>
    <row r="1574" ht="18" customHeight="1"/>
    <row r="1575" ht="18" customHeight="1"/>
    <row r="1576" ht="18" customHeight="1"/>
    <row r="1577" ht="18" customHeight="1"/>
    <row r="1578" ht="18" customHeight="1"/>
    <row r="1579" ht="18" customHeight="1"/>
    <row r="1580" ht="18" customHeight="1"/>
    <row r="1581" ht="18" customHeight="1"/>
    <row r="1582" ht="18" customHeight="1"/>
    <row r="1583" ht="18" customHeight="1"/>
    <row r="1584" ht="18" customHeight="1"/>
    <row r="1585" ht="18" customHeight="1"/>
    <row r="1586" ht="18" customHeight="1"/>
    <row r="1587" ht="18" customHeight="1"/>
    <row r="1588" ht="18" customHeight="1"/>
    <row r="1589" ht="18" customHeight="1"/>
    <row r="1590" ht="18" customHeight="1"/>
    <row r="1591" ht="18" customHeight="1"/>
    <row r="1592" ht="18" customHeight="1"/>
    <row r="1593" ht="18" customHeight="1"/>
    <row r="1594" ht="18" customHeight="1"/>
    <row r="1595" ht="18" customHeight="1"/>
    <row r="1596" ht="18" customHeight="1"/>
    <row r="1597" ht="18" customHeight="1"/>
    <row r="1598" ht="18" customHeight="1"/>
    <row r="1599" ht="18" customHeight="1"/>
    <row r="1600" ht="18" customHeight="1"/>
    <row r="1601" ht="18" customHeight="1"/>
    <row r="1602" ht="18" customHeight="1"/>
    <row r="1603" ht="18" customHeight="1"/>
    <row r="1604" ht="18" customHeight="1"/>
    <row r="1605" ht="18" customHeight="1"/>
    <row r="1606" ht="18" customHeight="1"/>
    <row r="1607" ht="18" customHeight="1"/>
    <row r="1608" ht="18" customHeight="1"/>
    <row r="1609" ht="18" customHeight="1"/>
    <row r="1610" ht="18" customHeight="1"/>
    <row r="1611" ht="18" customHeight="1"/>
    <row r="1612" ht="18" customHeight="1"/>
    <row r="1613" ht="18" customHeight="1"/>
    <row r="1614" ht="18" customHeight="1"/>
    <row r="1615" ht="18" customHeight="1"/>
    <row r="1616" ht="18" customHeight="1"/>
    <row r="1617" ht="18" customHeight="1"/>
    <row r="1618" ht="18" customHeight="1"/>
    <row r="1619" ht="18" customHeight="1"/>
    <row r="1620" ht="18" customHeight="1"/>
    <row r="1621" ht="18" customHeight="1"/>
    <row r="1622" ht="18" customHeight="1"/>
    <row r="1623" ht="18" customHeight="1"/>
    <row r="1624" ht="18" customHeight="1"/>
    <row r="1625" ht="18" customHeight="1"/>
    <row r="1626" ht="18" customHeight="1"/>
    <row r="1627" ht="18" customHeight="1"/>
    <row r="1628" ht="18" customHeight="1"/>
    <row r="1629" ht="18" customHeight="1"/>
    <row r="1630" ht="18" customHeight="1"/>
    <row r="1631" ht="18" customHeight="1"/>
    <row r="1632" ht="18" customHeight="1"/>
    <row r="1633" ht="18" customHeight="1"/>
    <row r="1634" ht="18" customHeight="1"/>
    <row r="1635" ht="18" customHeight="1"/>
    <row r="1636" ht="18" customHeight="1"/>
    <row r="1637" ht="18" customHeight="1"/>
    <row r="1638" ht="18" customHeight="1"/>
    <row r="1639" ht="18" customHeight="1"/>
    <row r="1640" ht="18" customHeight="1"/>
    <row r="1641" ht="18" customHeight="1"/>
    <row r="1642" ht="18" customHeight="1"/>
    <row r="1643" ht="18" customHeight="1"/>
    <row r="1644" ht="18" customHeight="1"/>
    <row r="1645" ht="18" customHeight="1"/>
    <row r="1646" ht="18" customHeight="1"/>
    <row r="1647" ht="18" customHeight="1"/>
    <row r="1648" ht="18" customHeight="1"/>
    <row r="1649" ht="18" customHeight="1"/>
    <row r="1650" ht="18" customHeight="1"/>
    <row r="1651" ht="18" customHeight="1"/>
    <row r="1652" ht="18" customHeight="1"/>
    <row r="1653" ht="18" customHeight="1"/>
    <row r="1654" ht="18" customHeight="1"/>
    <row r="1655" ht="18" customHeight="1"/>
    <row r="1656" ht="18" customHeight="1"/>
    <row r="1657" ht="18" customHeight="1"/>
    <row r="1658" ht="18" customHeight="1"/>
    <row r="1659" ht="18" customHeight="1"/>
    <row r="1660" ht="18" customHeight="1"/>
    <row r="1661" ht="18" customHeight="1"/>
    <row r="1662" ht="18" customHeight="1"/>
    <row r="1663" ht="18" customHeight="1"/>
    <row r="1664" ht="18" customHeight="1"/>
    <row r="1665" ht="18" customHeight="1"/>
    <row r="1666" ht="18" customHeight="1"/>
    <row r="1667" ht="18" customHeight="1"/>
    <row r="1668" ht="18" customHeight="1"/>
    <row r="1669" ht="18" customHeight="1"/>
    <row r="1670" ht="18" customHeight="1"/>
    <row r="1671" ht="18" customHeight="1"/>
    <row r="1672" ht="18" customHeight="1"/>
    <row r="1673" ht="18" customHeight="1"/>
    <row r="1674" ht="18" customHeight="1"/>
    <row r="1675" ht="18" customHeight="1"/>
    <row r="1676" ht="18" customHeight="1"/>
    <row r="1677" ht="18" customHeight="1"/>
    <row r="1678" ht="18" customHeight="1"/>
    <row r="1679" ht="18" customHeight="1"/>
    <row r="1680" ht="18" customHeight="1"/>
    <row r="1681" ht="18" customHeight="1"/>
    <row r="1682" ht="18" customHeight="1"/>
    <row r="1683" ht="18" customHeight="1"/>
    <row r="1684" ht="18" customHeight="1"/>
    <row r="1685" ht="18" customHeight="1"/>
    <row r="1686" ht="18" customHeight="1"/>
    <row r="1687" ht="18" customHeight="1"/>
    <row r="1688" ht="18" customHeight="1"/>
    <row r="1689" ht="18" customHeight="1"/>
    <row r="1690" ht="18" customHeight="1"/>
    <row r="1691" ht="18" customHeight="1"/>
    <row r="1692" ht="18" customHeight="1"/>
    <row r="1693" ht="18" customHeight="1"/>
    <row r="1694" ht="18" customHeight="1"/>
    <row r="1695" ht="18" customHeight="1"/>
    <row r="1696" ht="18" customHeight="1"/>
    <row r="1697" ht="18" customHeight="1"/>
    <row r="1698" ht="18" customHeight="1"/>
    <row r="1699" ht="18" customHeight="1"/>
    <row r="1700" ht="18" customHeight="1"/>
    <row r="1701" ht="18" customHeight="1"/>
    <row r="1702" ht="18" customHeight="1"/>
    <row r="1703" ht="18" customHeight="1"/>
    <row r="1704" ht="18" customHeight="1"/>
    <row r="1705" ht="18" customHeight="1"/>
    <row r="1706" ht="18" customHeight="1"/>
    <row r="1707" ht="18" customHeight="1"/>
    <row r="1708" ht="18" customHeight="1"/>
    <row r="1709" ht="18" customHeight="1"/>
    <row r="1710" ht="18" customHeight="1"/>
    <row r="1711" ht="18" customHeight="1"/>
    <row r="1712" ht="18" customHeight="1"/>
    <row r="1713" ht="18" customHeight="1"/>
    <row r="1714" ht="18" customHeight="1"/>
    <row r="1715" ht="18" customHeight="1"/>
    <row r="1716" ht="18" customHeight="1"/>
    <row r="1717" ht="18" customHeight="1"/>
    <row r="1718" ht="18" customHeight="1"/>
    <row r="1719" ht="18" customHeight="1"/>
    <row r="1720" ht="18" customHeight="1"/>
    <row r="1721" ht="18" customHeight="1"/>
    <row r="1722" ht="18" customHeight="1"/>
    <row r="1723" ht="18" customHeight="1"/>
    <row r="1724" ht="18" customHeight="1"/>
    <row r="1725" ht="18" customHeight="1"/>
    <row r="1726" ht="18" customHeight="1"/>
    <row r="1727" ht="18" customHeight="1"/>
    <row r="1728" ht="18" customHeight="1"/>
    <row r="1729" ht="18" customHeight="1"/>
    <row r="1730" ht="18" customHeight="1"/>
    <row r="1731" ht="18" customHeight="1"/>
    <row r="1732" ht="18" customHeight="1"/>
    <row r="1733" ht="18" customHeight="1"/>
    <row r="1734" ht="18" customHeight="1"/>
    <row r="1735" ht="18" customHeight="1"/>
    <row r="1736" ht="18" customHeight="1"/>
    <row r="1737" ht="18" customHeight="1"/>
    <row r="1738" ht="18" customHeight="1"/>
    <row r="1739" ht="18" customHeight="1"/>
    <row r="1740" ht="18" customHeight="1"/>
    <row r="1741" ht="18" customHeight="1"/>
    <row r="1742" ht="18" customHeight="1"/>
    <row r="1743" ht="18" customHeight="1"/>
    <row r="1744" ht="18" customHeight="1"/>
    <row r="1745" ht="18" customHeight="1"/>
    <row r="1746" ht="18" customHeight="1"/>
    <row r="1747" ht="18" customHeight="1"/>
    <row r="1748" ht="18" customHeight="1"/>
    <row r="1749" ht="18" customHeight="1"/>
    <row r="1750" ht="18" customHeight="1"/>
    <row r="1751" ht="18" customHeight="1"/>
    <row r="1752" ht="18" customHeight="1"/>
    <row r="1753" ht="18" customHeight="1"/>
    <row r="1754" ht="18" customHeight="1"/>
    <row r="1755" ht="18" customHeight="1"/>
    <row r="1756" ht="18" customHeight="1"/>
    <row r="1757" ht="18" customHeight="1"/>
    <row r="1758" ht="18" customHeight="1"/>
    <row r="1759" ht="18" customHeight="1"/>
    <row r="1760" ht="18" customHeight="1"/>
    <row r="1761" ht="18" customHeight="1"/>
    <row r="1762" ht="18" customHeight="1"/>
    <row r="1763" ht="18" customHeight="1"/>
    <row r="1764" ht="18" customHeight="1"/>
    <row r="1765" ht="18" customHeight="1"/>
    <row r="1766" ht="18" customHeight="1"/>
    <row r="1767" ht="18" customHeight="1"/>
    <row r="1768" ht="18" customHeight="1"/>
    <row r="1769" ht="18" customHeight="1"/>
    <row r="1770" ht="18" customHeight="1"/>
    <row r="1771" ht="18" customHeight="1"/>
    <row r="1772" ht="18" customHeight="1"/>
    <row r="1773" ht="18" customHeight="1"/>
    <row r="1774" ht="18" customHeight="1"/>
    <row r="1775" ht="18" customHeight="1"/>
    <row r="1776" ht="18" customHeight="1"/>
    <row r="1777" ht="18" customHeight="1"/>
    <row r="1778" ht="18" customHeight="1"/>
    <row r="1779" ht="18" customHeight="1"/>
    <row r="1780" ht="18" customHeight="1"/>
    <row r="1781" ht="18" customHeight="1"/>
    <row r="1782" ht="18" customHeight="1"/>
    <row r="1783" ht="18" customHeight="1"/>
    <row r="1784" ht="18" customHeight="1"/>
    <row r="1785" ht="18" customHeight="1"/>
    <row r="1786" ht="18" customHeight="1"/>
    <row r="1787" ht="18" customHeight="1"/>
    <row r="1788" ht="18" customHeight="1"/>
    <row r="1789" ht="18" customHeight="1"/>
    <row r="1790" ht="18" customHeight="1"/>
    <row r="1791" ht="18" customHeight="1"/>
    <row r="1792" ht="18" customHeight="1"/>
    <row r="1793" ht="18" customHeight="1"/>
    <row r="1794" ht="18" customHeight="1"/>
    <row r="1795" ht="18" customHeight="1"/>
    <row r="1796" ht="18" customHeight="1"/>
    <row r="1797" ht="18" customHeight="1"/>
    <row r="1798" ht="18" customHeight="1"/>
    <row r="1799" ht="18" customHeight="1"/>
    <row r="1800" ht="18" customHeight="1"/>
    <row r="1801" ht="18" customHeight="1"/>
    <row r="1802" ht="18" customHeight="1"/>
    <row r="1803" ht="18" customHeight="1"/>
    <row r="1804" ht="18" customHeight="1"/>
    <row r="1805" ht="18" customHeight="1"/>
    <row r="1806" ht="18" customHeight="1"/>
    <row r="1807" ht="18" customHeight="1"/>
    <row r="1808" ht="18" customHeight="1"/>
    <row r="1809" ht="18" customHeight="1"/>
    <row r="1810" ht="18" customHeight="1"/>
    <row r="1811" ht="18" customHeight="1"/>
    <row r="1812" ht="18" customHeight="1"/>
    <row r="1813" ht="18" customHeight="1"/>
    <row r="1814" ht="18" customHeight="1"/>
    <row r="1815" ht="18" customHeight="1"/>
    <row r="1816" ht="18" customHeight="1"/>
    <row r="1817" ht="18" customHeight="1"/>
    <row r="1818" ht="18" customHeight="1"/>
    <row r="1819" ht="18" customHeight="1"/>
    <row r="1820" ht="18" customHeight="1"/>
    <row r="1821" ht="18" customHeight="1"/>
    <row r="1822" ht="18" customHeight="1"/>
    <row r="1823" ht="18" customHeight="1"/>
    <row r="1824" ht="18" customHeight="1"/>
    <row r="1825" ht="18" customHeight="1"/>
    <row r="1826" ht="18" customHeight="1"/>
    <row r="1827" ht="18" customHeight="1"/>
    <row r="1828" ht="18" customHeight="1"/>
    <row r="1829" ht="18" customHeight="1"/>
    <row r="1830" ht="18" customHeight="1"/>
    <row r="1831" ht="18" customHeight="1"/>
    <row r="1832" ht="18" customHeight="1"/>
    <row r="1833" ht="18" customHeight="1"/>
    <row r="1834" ht="18" customHeight="1"/>
    <row r="1835" ht="18" customHeight="1"/>
    <row r="1836" ht="18" customHeight="1"/>
    <row r="1837" ht="18" customHeight="1"/>
    <row r="1838" ht="18" customHeight="1"/>
    <row r="1839" ht="18" customHeight="1"/>
    <row r="1840" ht="18" customHeight="1"/>
    <row r="1841" ht="18" customHeight="1"/>
    <row r="1842" ht="18" customHeight="1"/>
    <row r="1843" ht="18" customHeight="1"/>
    <row r="1844" ht="18" customHeight="1"/>
    <row r="1845" ht="18" customHeight="1"/>
    <row r="1846" ht="18" customHeight="1"/>
    <row r="1847" ht="18" customHeight="1"/>
    <row r="1848" ht="18" customHeight="1"/>
    <row r="1849" ht="18" customHeight="1"/>
    <row r="1850" ht="18" customHeight="1"/>
    <row r="1851" ht="18" customHeight="1"/>
    <row r="1852" ht="18" customHeight="1"/>
    <row r="1853" ht="18" customHeight="1"/>
    <row r="1854" ht="18" customHeight="1"/>
    <row r="1855" ht="18" customHeight="1"/>
    <row r="1856" ht="18" customHeight="1"/>
    <row r="1857" ht="18" customHeight="1"/>
    <row r="1858" ht="18" customHeight="1"/>
    <row r="1859" ht="18" customHeight="1"/>
    <row r="1860" ht="18" customHeight="1"/>
    <row r="1861" ht="18" customHeight="1"/>
    <row r="1862" ht="18" customHeight="1"/>
    <row r="1863" ht="18" customHeight="1"/>
    <row r="1864" ht="18" customHeight="1"/>
    <row r="1865" ht="18" customHeight="1"/>
    <row r="1866" ht="18" customHeight="1"/>
    <row r="1867" ht="18" customHeight="1"/>
    <row r="1868" ht="18" customHeight="1"/>
    <row r="1869" ht="18" customHeight="1"/>
    <row r="1870" ht="18" customHeight="1"/>
    <row r="1871" ht="18" customHeight="1"/>
    <row r="1872" ht="18" customHeight="1"/>
    <row r="1873" ht="18" customHeight="1"/>
    <row r="1874" ht="18" customHeight="1"/>
    <row r="1875" ht="18" customHeight="1"/>
    <row r="1876" ht="18" customHeight="1"/>
    <row r="1877" ht="18" customHeight="1"/>
    <row r="1878" ht="18" customHeight="1"/>
    <row r="1879" ht="18" customHeight="1"/>
    <row r="1880" ht="18" customHeight="1"/>
    <row r="1881" ht="18" customHeight="1"/>
    <row r="1882" ht="18" customHeight="1"/>
    <row r="1883" ht="18" customHeight="1"/>
    <row r="1884" ht="18" customHeight="1"/>
    <row r="1885" ht="18" customHeight="1"/>
    <row r="1886" ht="18" customHeight="1"/>
    <row r="1887" ht="18" customHeight="1"/>
    <row r="1888" ht="18" customHeight="1"/>
    <row r="1889" ht="18" customHeight="1"/>
    <row r="1890" ht="18" customHeight="1"/>
    <row r="1891" ht="18" customHeight="1"/>
    <row r="1892" ht="18" customHeight="1"/>
    <row r="1893" ht="18" customHeight="1"/>
    <row r="1894" ht="18" customHeight="1"/>
    <row r="1895" ht="18" customHeight="1"/>
    <row r="1896" ht="18" customHeight="1"/>
    <row r="1897" ht="18" customHeight="1"/>
    <row r="1898" ht="18" customHeight="1"/>
    <row r="1899" ht="18" customHeight="1"/>
    <row r="1900" ht="18" customHeight="1"/>
    <row r="1901" ht="18" customHeight="1"/>
    <row r="1902" ht="18" customHeight="1"/>
    <row r="1903" ht="18" customHeight="1"/>
    <row r="1904" ht="18" customHeight="1"/>
    <row r="1905" ht="18" customHeight="1"/>
    <row r="1906" ht="18" customHeight="1"/>
    <row r="1907" ht="18" customHeight="1"/>
    <row r="1908" ht="18" customHeight="1"/>
    <row r="1909" ht="18" customHeight="1"/>
    <row r="1910" ht="18" customHeight="1"/>
    <row r="1911" ht="18" customHeight="1"/>
    <row r="1912" ht="18" customHeight="1"/>
    <row r="1913" ht="18" customHeight="1"/>
    <row r="1914" ht="18" customHeight="1"/>
    <row r="1915" ht="18" customHeight="1"/>
    <row r="1916" ht="18" customHeight="1"/>
    <row r="1917" ht="18" customHeight="1"/>
    <row r="1918" ht="18" customHeight="1"/>
    <row r="1919" ht="18" customHeight="1"/>
    <row r="1920" ht="18" customHeight="1"/>
    <row r="1921" ht="18" customHeight="1"/>
    <row r="1922" ht="18" customHeight="1"/>
    <row r="1923" ht="18" customHeight="1"/>
    <row r="1924" ht="18" customHeight="1"/>
    <row r="1925" ht="18" customHeight="1"/>
    <row r="1926" ht="18" customHeight="1"/>
    <row r="1927" ht="18" customHeight="1"/>
    <row r="1928" ht="18" customHeight="1"/>
    <row r="1929" ht="18" customHeight="1"/>
    <row r="1930" ht="18" customHeight="1"/>
    <row r="1931" ht="18" customHeight="1"/>
    <row r="1932" ht="18" customHeight="1"/>
    <row r="1933" ht="18" customHeight="1"/>
    <row r="1934" ht="18" customHeight="1"/>
    <row r="1935" ht="18" customHeight="1"/>
    <row r="1936" ht="18" customHeight="1"/>
    <row r="1937" ht="18" customHeight="1"/>
    <row r="1938" ht="18" customHeight="1"/>
    <row r="1939" ht="18" customHeight="1"/>
    <row r="1940" ht="18" customHeight="1"/>
    <row r="1941" ht="18" customHeight="1"/>
    <row r="1942" ht="18" customHeight="1"/>
    <row r="1943" ht="18" customHeight="1"/>
    <row r="1944" ht="18" customHeight="1"/>
    <row r="1945" ht="18" customHeight="1"/>
    <row r="1946" ht="18" customHeight="1"/>
    <row r="1947" ht="18" customHeight="1"/>
    <row r="1948" ht="18" customHeight="1"/>
    <row r="1949" ht="18" customHeight="1"/>
    <row r="1950" ht="18" customHeight="1"/>
    <row r="1951" ht="18" customHeight="1"/>
    <row r="1952" ht="18" customHeight="1"/>
    <row r="1953" ht="18" customHeight="1"/>
    <row r="1954" ht="18" customHeight="1"/>
    <row r="1955" ht="18" customHeight="1"/>
    <row r="1956" ht="18" customHeight="1"/>
    <row r="1957" ht="18" customHeight="1"/>
    <row r="1958" ht="18" customHeight="1"/>
    <row r="1959" ht="18" customHeight="1"/>
    <row r="1960" ht="18" customHeight="1"/>
    <row r="1961" ht="18" customHeight="1"/>
    <row r="1962" ht="18" customHeight="1"/>
    <row r="1963" ht="18" customHeight="1"/>
    <row r="1964" ht="18" customHeight="1"/>
    <row r="1965" ht="18" customHeight="1"/>
    <row r="1966" ht="18" customHeight="1"/>
    <row r="1967" ht="18" customHeight="1"/>
    <row r="1968" ht="18" customHeight="1"/>
    <row r="1969" ht="18" customHeight="1"/>
    <row r="1970" ht="18" customHeight="1"/>
    <row r="1971" ht="18" customHeight="1"/>
    <row r="1972" ht="18" customHeight="1"/>
    <row r="1973" ht="18" customHeight="1"/>
    <row r="1974" ht="18" customHeight="1"/>
    <row r="1975" ht="18" customHeight="1"/>
    <row r="1976" ht="18" customHeight="1"/>
    <row r="1977" ht="18" customHeight="1"/>
    <row r="1978" ht="18" customHeight="1"/>
    <row r="1979" ht="18" customHeight="1"/>
    <row r="1980" ht="18" customHeight="1"/>
    <row r="1981" ht="18" customHeight="1"/>
    <row r="1982" ht="18" customHeight="1"/>
    <row r="1983" ht="18" customHeight="1"/>
    <row r="1984" ht="18" customHeight="1"/>
    <row r="1985" ht="18" customHeight="1"/>
    <row r="1986" ht="18" customHeight="1"/>
    <row r="1987" ht="18" customHeight="1"/>
    <row r="1988" ht="18" customHeight="1"/>
    <row r="1989" ht="18" customHeight="1"/>
    <row r="1990" ht="18" customHeight="1"/>
    <row r="1991" ht="18" customHeight="1"/>
    <row r="1992" ht="18" customHeight="1"/>
    <row r="1993" ht="18" customHeight="1"/>
    <row r="1994" ht="18" customHeight="1"/>
    <row r="1995" ht="18" customHeight="1"/>
    <row r="1996" ht="18" customHeight="1"/>
    <row r="1997" ht="18" customHeight="1"/>
    <row r="1998" ht="18" customHeight="1"/>
    <row r="1999" ht="18" customHeight="1"/>
    <row r="2000" ht="18" customHeight="1"/>
    <row r="2001" ht="18" customHeight="1"/>
    <row r="2002" ht="18" customHeight="1"/>
    <row r="2003" ht="18" customHeight="1"/>
    <row r="2004" ht="18" customHeight="1"/>
    <row r="2005" ht="18" customHeight="1"/>
    <row r="2006" ht="18" customHeight="1"/>
    <row r="2007" ht="18" customHeight="1"/>
    <row r="2008" ht="18" customHeight="1"/>
    <row r="2009" ht="18" customHeight="1"/>
    <row r="2010" ht="18" customHeight="1"/>
    <row r="2011" ht="18" customHeight="1"/>
    <row r="2012" ht="18" customHeight="1"/>
    <row r="2013" ht="18" customHeight="1"/>
    <row r="2014" ht="18" customHeight="1"/>
    <row r="2015" ht="18" customHeight="1"/>
    <row r="2016" ht="18" customHeight="1"/>
    <row r="2017" ht="18" customHeight="1"/>
    <row r="2018" ht="18" customHeight="1"/>
    <row r="2019" ht="18" customHeight="1"/>
    <row r="2020" ht="18" customHeight="1"/>
    <row r="2021" ht="18" customHeight="1"/>
    <row r="2022" ht="18" customHeight="1"/>
    <row r="2023" ht="18" customHeight="1"/>
    <row r="2024" ht="18" customHeight="1"/>
    <row r="2025" ht="18" customHeight="1"/>
    <row r="2026" ht="18" customHeight="1"/>
    <row r="2027" ht="18" customHeight="1"/>
    <row r="2028" ht="18" customHeight="1"/>
    <row r="2029" ht="18" customHeight="1"/>
    <row r="2030" ht="18" customHeight="1"/>
    <row r="2031" ht="18" customHeight="1"/>
    <row r="2032" ht="18" customHeight="1"/>
    <row r="2033" ht="18" customHeight="1"/>
    <row r="2034" ht="18" customHeight="1"/>
    <row r="2035" ht="18" customHeight="1"/>
    <row r="2036" ht="18" customHeight="1"/>
    <row r="2037" ht="18" customHeight="1"/>
    <row r="2038" ht="18" customHeight="1"/>
    <row r="2039" ht="18" customHeight="1"/>
    <row r="2040" ht="18" customHeight="1"/>
    <row r="2041" ht="18" customHeight="1"/>
    <row r="2042" ht="18" customHeight="1"/>
    <row r="2043" ht="18" customHeight="1"/>
    <row r="2044" ht="18" customHeight="1"/>
    <row r="2045" ht="18" customHeight="1"/>
    <row r="2046" ht="18" customHeight="1"/>
    <row r="2047" ht="18" customHeight="1"/>
    <row r="2048" ht="18" customHeight="1"/>
    <row r="2049" ht="18" customHeight="1"/>
    <row r="2050" ht="18" customHeight="1"/>
    <row r="2051" ht="18" customHeight="1"/>
    <row r="2052" ht="18" customHeight="1"/>
    <row r="2053" ht="18" customHeight="1"/>
    <row r="2054" ht="18" customHeight="1"/>
    <row r="2055" ht="18" customHeight="1"/>
    <row r="2056" ht="18" customHeight="1"/>
    <row r="2057" ht="18" customHeight="1"/>
    <row r="2058" ht="18" customHeight="1"/>
    <row r="2059" ht="18" customHeight="1"/>
    <row r="2060" ht="18" customHeight="1"/>
    <row r="2061" ht="18" customHeight="1"/>
    <row r="2062" ht="18" customHeight="1"/>
    <row r="2063" ht="18" customHeight="1"/>
    <row r="2064" ht="18" customHeight="1"/>
    <row r="2065" ht="18" customHeight="1"/>
    <row r="2066" ht="18" customHeight="1"/>
    <row r="2067" ht="18" customHeight="1"/>
    <row r="2068" ht="18" customHeight="1"/>
    <row r="2069" ht="18" customHeight="1"/>
    <row r="2070" ht="18" customHeight="1"/>
    <row r="2071" ht="18" customHeight="1"/>
    <row r="2072" ht="18" customHeight="1"/>
    <row r="2073" ht="18" customHeight="1"/>
    <row r="2074" ht="18" customHeight="1"/>
    <row r="2075" ht="18" customHeight="1"/>
    <row r="2076" ht="18" customHeight="1"/>
    <row r="2077" ht="18" customHeight="1"/>
    <row r="2078" ht="18" customHeight="1"/>
    <row r="2079" ht="18" customHeight="1"/>
    <row r="2080" ht="18" customHeight="1"/>
    <row r="2081" ht="18" customHeight="1"/>
    <row r="2082" ht="18" customHeight="1"/>
    <row r="2083" ht="18" customHeight="1"/>
    <row r="2084" ht="18" customHeight="1"/>
    <row r="2085" ht="18" customHeight="1"/>
    <row r="2086" ht="18" customHeight="1"/>
    <row r="2087" ht="18" customHeight="1"/>
    <row r="2088" ht="18" customHeight="1"/>
    <row r="2089" ht="18" customHeight="1"/>
    <row r="2090" ht="18" customHeight="1"/>
    <row r="2091" ht="18" customHeight="1"/>
    <row r="2092" ht="18" customHeight="1"/>
    <row r="2093" ht="18" customHeight="1"/>
    <row r="2094" ht="18" customHeight="1"/>
    <row r="2095" ht="18" customHeight="1"/>
    <row r="2096" ht="18" customHeight="1"/>
    <row r="2097" ht="18" customHeight="1"/>
    <row r="2098" ht="18" customHeight="1"/>
    <row r="2099" ht="18" customHeight="1"/>
    <row r="2100" ht="18" customHeight="1"/>
    <row r="2101" ht="18" customHeight="1"/>
    <row r="2102" ht="18" customHeight="1"/>
    <row r="2103" ht="18" customHeight="1"/>
    <row r="2104" ht="18" customHeight="1"/>
    <row r="2105" ht="18" customHeight="1"/>
    <row r="2106" ht="18" customHeight="1"/>
    <row r="2107" ht="18" customHeight="1"/>
    <row r="2108" ht="18" customHeight="1"/>
    <row r="2109" ht="18" customHeight="1"/>
    <row r="2110" ht="18" customHeight="1"/>
    <row r="2111" ht="18" customHeight="1"/>
    <row r="2112" ht="18" customHeight="1"/>
    <row r="2113" ht="18" customHeight="1"/>
    <row r="2114" ht="18" customHeight="1"/>
    <row r="2115" ht="18" customHeight="1"/>
    <row r="2116" ht="18" customHeight="1"/>
    <row r="2117" ht="18" customHeight="1"/>
    <row r="2118" ht="18" customHeight="1"/>
    <row r="2119" ht="18" customHeight="1"/>
    <row r="2120" ht="18" customHeight="1"/>
    <row r="2121" ht="18" customHeight="1"/>
    <row r="2122" ht="18" customHeight="1"/>
    <row r="2123" ht="18" customHeight="1"/>
    <row r="2124" ht="18" customHeight="1"/>
    <row r="2125" ht="18" customHeight="1"/>
    <row r="2126" ht="18" customHeight="1"/>
    <row r="2127" ht="18" customHeight="1"/>
    <row r="2128" ht="18" customHeight="1"/>
    <row r="2129" ht="18" customHeight="1"/>
    <row r="2130" ht="18" customHeight="1"/>
    <row r="2131" ht="18" customHeight="1"/>
    <row r="2132" ht="18" customHeight="1"/>
    <row r="2133" ht="18" customHeight="1"/>
    <row r="2134" ht="18" customHeight="1"/>
    <row r="2135" ht="18" customHeight="1"/>
    <row r="2136" ht="18" customHeight="1"/>
    <row r="2137" ht="18" customHeight="1"/>
    <row r="2138" ht="18" customHeight="1"/>
    <row r="2139" ht="18" customHeight="1"/>
    <row r="2140" ht="18" customHeight="1"/>
    <row r="2141" ht="18" customHeight="1"/>
    <row r="2142" ht="18" customHeight="1"/>
    <row r="2143" ht="18" customHeight="1"/>
    <row r="2144" ht="18" customHeight="1"/>
    <row r="2145" ht="18" customHeight="1"/>
    <row r="2146" ht="18" customHeight="1"/>
    <row r="2147" ht="18" customHeight="1"/>
    <row r="2148" ht="18" customHeight="1"/>
    <row r="2149" ht="18" customHeight="1"/>
    <row r="2150" ht="18" customHeight="1"/>
    <row r="2151" ht="18" customHeight="1"/>
    <row r="2152" ht="18" customHeight="1"/>
    <row r="2153" ht="18" customHeight="1"/>
    <row r="2154" ht="18" customHeight="1"/>
    <row r="2155" ht="18" customHeight="1"/>
    <row r="2156" ht="18" customHeight="1"/>
    <row r="2157" ht="18" customHeight="1"/>
    <row r="2158" ht="18" customHeight="1"/>
    <row r="2159" ht="18" customHeight="1"/>
    <row r="2160" ht="18" customHeight="1"/>
    <row r="2161" ht="18" customHeight="1"/>
    <row r="2162" ht="18" customHeight="1"/>
    <row r="2163" ht="18" customHeight="1"/>
    <row r="2164" ht="18" customHeight="1"/>
    <row r="2165" ht="18" customHeight="1"/>
    <row r="2166" ht="18" customHeight="1"/>
    <row r="2167" ht="18" customHeight="1"/>
    <row r="2168" ht="18" customHeight="1"/>
    <row r="2169" ht="18" customHeight="1"/>
    <row r="2170" ht="18" customHeight="1"/>
    <row r="2171" ht="18" customHeight="1"/>
    <row r="2172" ht="18" customHeight="1"/>
    <row r="2173" ht="18" customHeight="1"/>
    <row r="2174" ht="18" customHeight="1"/>
    <row r="2175" ht="18" customHeight="1"/>
    <row r="2176" ht="18" customHeight="1"/>
    <row r="2177" ht="18" customHeight="1"/>
    <row r="2178" ht="18" customHeight="1"/>
    <row r="2179" ht="18" customHeight="1"/>
    <row r="2180" ht="18" customHeight="1"/>
    <row r="2181" ht="18" customHeight="1"/>
    <row r="2182" ht="18" customHeight="1"/>
    <row r="2183" ht="18" customHeight="1"/>
    <row r="2184" ht="18" customHeight="1"/>
    <row r="2185" ht="18" customHeight="1"/>
    <row r="2186" ht="18" customHeight="1"/>
    <row r="2187" ht="18" customHeight="1"/>
    <row r="2188" ht="18" customHeight="1"/>
    <row r="2189" ht="18" customHeight="1"/>
    <row r="2190" ht="18" customHeight="1"/>
    <row r="2191" ht="18" customHeight="1"/>
    <row r="2192" ht="18" customHeight="1"/>
    <row r="2193" ht="18" customHeight="1"/>
    <row r="2194" ht="18" customHeight="1"/>
    <row r="2195" ht="18" customHeight="1"/>
    <row r="2196" ht="18" customHeight="1"/>
    <row r="2197" ht="18" customHeight="1"/>
    <row r="2198" ht="18" customHeight="1"/>
    <row r="2199" ht="18" customHeight="1"/>
    <row r="2200" ht="18" customHeight="1"/>
    <row r="2201" ht="18" customHeight="1"/>
    <row r="2202" ht="18" customHeight="1"/>
    <row r="2203" ht="18" customHeight="1"/>
    <row r="2204" ht="18" customHeight="1"/>
    <row r="2205" ht="18" customHeight="1"/>
    <row r="2206" ht="18" customHeight="1"/>
    <row r="2207" ht="18" customHeight="1"/>
    <row r="2208" ht="18" customHeight="1"/>
    <row r="2209" ht="18" customHeight="1"/>
    <row r="2210" ht="18" customHeight="1"/>
    <row r="2211" ht="18" customHeight="1"/>
    <row r="2212" ht="18" customHeight="1"/>
    <row r="2213" ht="18" customHeight="1"/>
    <row r="2214" ht="18" customHeight="1"/>
    <row r="2215" ht="18" customHeight="1"/>
    <row r="2216" ht="18" customHeight="1"/>
    <row r="2217" ht="18" customHeight="1"/>
    <row r="2218" ht="18" customHeight="1"/>
    <row r="2219" ht="18" customHeight="1"/>
    <row r="2220" ht="18" customHeight="1"/>
    <row r="2221" ht="18" customHeight="1"/>
    <row r="2222" ht="18" customHeight="1"/>
    <row r="2223" ht="18" customHeight="1"/>
    <row r="2224" ht="18" customHeight="1"/>
    <row r="2225" ht="18" customHeight="1"/>
    <row r="2226" ht="18" customHeight="1"/>
    <row r="2227" ht="18" customHeight="1"/>
    <row r="2228" ht="18" customHeight="1"/>
    <row r="2229" ht="18" customHeight="1"/>
    <row r="2230" ht="18" customHeight="1"/>
    <row r="2231" ht="18" customHeight="1"/>
    <row r="2232" ht="18" customHeight="1"/>
    <row r="2233" ht="18" customHeight="1"/>
    <row r="2234" ht="18" customHeight="1"/>
    <row r="2235" ht="18" customHeight="1"/>
    <row r="2236" ht="18" customHeight="1"/>
    <row r="2237" ht="18" customHeight="1"/>
    <row r="2238" ht="18" customHeight="1"/>
    <row r="2239" ht="18" customHeight="1"/>
    <row r="2240" ht="18" customHeight="1"/>
    <row r="2241" ht="18" customHeight="1"/>
    <row r="2242" ht="18" customHeight="1"/>
    <row r="2243" ht="18" customHeight="1"/>
    <row r="2244" ht="18" customHeight="1"/>
    <row r="2245" ht="18" customHeight="1"/>
    <row r="2246" ht="18" customHeight="1"/>
    <row r="2247" ht="18" customHeight="1"/>
    <row r="2248" ht="18" customHeight="1"/>
    <row r="2249" ht="18" customHeight="1"/>
    <row r="2250" ht="18" customHeight="1"/>
    <row r="2251" ht="18" customHeight="1"/>
    <row r="2252" ht="18" customHeight="1"/>
    <row r="2253" ht="18" customHeight="1"/>
    <row r="2254" ht="18" customHeight="1"/>
    <row r="2255" ht="18" customHeight="1"/>
    <row r="2256" ht="18" customHeight="1"/>
    <row r="2257" ht="18" customHeight="1"/>
    <row r="2258" ht="18" customHeight="1"/>
    <row r="2259" ht="18" customHeight="1"/>
    <row r="2260" ht="18" customHeight="1"/>
    <row r="2261" ht="18" customHeight="1"/>
    <row r="2262" ht="18" customHeight="1"/>
    <row r="2263" ht="18" customHeight="1"/>
    <row r="2264" ht="18" customHeight="1"/>
    <row r="2265" ht="18" customHeight="1"/>
    <row r="2266" ht="18" customHeight="1"/>
    <row r="2267" ht="18" customHeight="1"/>
    <row r="2268" ht="18" customHeight="1"/>
    <row r="2269" ht="18" customHeight="1"/>
    <row r="2270" ht="18" customHeight="1"/>
    <row r="2271" ht="18" customHeight="1"/>
    <row r="2272" ht="18" customHeight="1"/>
    <row r="2273" ht="18" customHeight="1"/>
    <row r="2274" ht="18" customHeight="1"/>
    <row r="2275" ht="18" customHeight="1"/>
    <row r="2276" ht="18" customHeight="1"/>
    <row r="2277" ht="18" customHeight="1"/>
    <row r="2278" ht="18" customHeight="1"/>
    <row r="2279" ht="18" customHeight="1"/>
    <row r="2280" ht="18" customHeight="1"/>
    <row r="2281" ht="18" customHeight="1"/>
    <row r="2282" ht="18" customHeight="1"/>
    <row r="2283" ht="18" customHeight="1"/>
    <row r="2284" ht="18" customHeight="1"/>
    <row r="2285" ht="18" customHeight="1"/>
    <row r="2286" ht="18" customHeight="1"/>
    <row r="2287" ht="18" customHeight="1"/>
    <row r="2288" ht="18" customHeight="1"/>
    <row r="2289" ht="18" customHeight="1"/>
    <row r="2290" ht="18" customHeight="1"/>
    <row r="2291" ht="18" customHeight="1"/>
    <row r="2292" ht="18" customHeight="1"/>
    <row r="2293" ht="18" customHeight="1"/>
    <row r="2294" ht="18" customHeight="1"/>
    <row r="2295" ht="18" customHeight="1"/>
    <row r="2296" ht="18" customHeight="1"/>
    <row r="2297" ht="18" customHeight="1"/>
    <row r="2298" ht="18" customHeight="1"/>
    <row r="2299" ht="18" customHeight="1"/>
    <row r="2300" ht="18" customHeight="1"/>
    <row r="2301" ht="18" customHeight="1"/>
    <row r="2302" ht="18" customHeight="1"/>
    <row r="2303" ht="18" customHeight="1"/>
    <row r="2304" ht="18" customHeight="1"/>
    <row r="2305" ht="18" customHeight="1"/>
    <row r="2306" ht="18" customHeight="1"/>
    <row r="2307" ht="18" customHeight="1"/>
    <row r="2308" ht="18" customHeight="1"/>
    <row r="2309" ht="18" customHeight="1"/>
    <row r="2310" ht="18" customHeight="1"/>
    <row r="2311" ht="18" customHeight="1"/>
    <row r="2312" ht="18" customHeight="1"/>
    <row r="2313" ht="18" customHeight="1"/>
    <row r="2314" ht="18" customHeight="1"/>
    <row r="2315" ht="18" customHeight="1"/>
    <row r="2316" ht="18" customHeight="1"/>
    <row r="2317" ht="18" customHeight="1"/>
    <row r="2318" ht="18" customHeight="1"/>
    <row r="2319" ht="18" customHeight="1"/>
    <row r="2320" ht="18" customHeight="1"/>
    <row r="2321" ht="18" customHeight="1"/>
    <row r="2322" ht="18" customHeight="1"/>
    <row r="2323" ht="18" customHeight="1"/>
    <row r="2324" ht="18" customHeight="1"/>
    <row r="2325" ht="18" customHeight="1"/>
    <row r="2326" ht="18" customHeight="1"/>
    <row r="2327" ht="18" customHeight="1"/>
    <row r="2328" ht="18" customHeight="1"/>
    <row r="2329" ht="18" customHeight="1"/>
    <row r="2330" ht="18" customHeight="1"/>
    <row r="2331" ht="18" customHeight="1"/>
    <row r="2332" ht="18" customHeight="1"/>
    <row r="2333" ht="18" customHeight="1"/>
    <row r="2334" ht="18" customHeight="1"/>
    <row r="2335" ht="18" customHeight="1"/>
    <row r="2336" ht="18" customHeight="1"/>
    <row r="2337" ht="18" customHeight="1"/>
    <row r="2338" ht="18" customHeight="1"/>
    <row r="2339" ht="18" customHeight="1"/>
    <row r="2340" ht="18" customHeight="1"/>
    <row r="2341" ht="18" customHeight="1"/>
    <row r="2342" ht="18" customHeight="1"/>
    <row r="2343" ht="18" customHeight="1"/>
    <row r="2344" ht="18" customHeight="1"/>
    <row r="2345" ht="18" customHeight="1"/>
    <row r="2346" ht="18" customHeight="1"/>
    <row r="2347" ht="18" customHeight="1"/>
    <row r="2348" ht="18" customHeight="1"/>
    <row r="2349" ht="18" customHeight="1"/>
    <row r="2350" ht="18" customHeight="1"/>
    <row r="2351" ht="18" customHeight="1"/>
    <row r="2352" ht="18" customHeight="1"/>
    <row r="2353" ht="18" customHeight="1"/>
    <row r="2354" ht="18" customHeight="1"/>
    <row r="2355" ht="18" customHeight="1"/>
    <row r="2356" ht="18" customHeight="1"/>
    <row r="2357" ht="18" customHeight="1"/>
    <row r="2358" ht="18" customHeight="1"/>
    <row r="2359" ht="18" customHeight="1"/>
    <row r="2360" ht="18" customHeight="1"/>
    <row r="2361" ht="18" customHeight="1"/>
    <row r="2362" ht="18" customHeight="1"/>
    <row r="2363" ht="18" customHeight="1"/>
    <row r="2364" ht="18" customHeight="1"/>
    <row r="2365" ht="18" customHeight="1"/>
    <row r="2366" ht="18" customHeight="1"/>
    <row r="2367" ht="18" customHeight="1"/>
    <row r="2368" ht="18" customHeight="1"/>
    <row r="2369" ht="18" customHeight="1"/>
    <row r="2370" ht="18" customHeight="1"/>
    <row r="2371" ht="18" customHeight="1"/>
    <row r="2372" ht="18" customHeight="1"/>
    <row r="2373" ht="18" customHeight="1"/>
    <row r="2374" ht="18" customHeight="1"/>
    <row r="2375" ht="18" customHeight="1"/>
    <row r="2376" ht="18" customHeight="1"/>
    <row r="2377" ht="18" customHeight="1"/>
    <row r="2378" ht="18" customHeight="1"/>
    <row r="2379" ht="18" customHeight="1"/>
    <row r="2380" ht="18" customHeight="1"/>
    <row r="2381" ht="18" customHeight="1"/>
    <row r="2382" ht="18" customHeight="1"/>
    <row r="2383" ht="18" customHeight="1"/>
    <row r="2384" ht="18" customHeight="1"/>
    <row r="2385" ht="18" customHeight="1"/>
    <row r="2386" ht="18" customHeight="1"/>
    <row r="2387" ht="18" customHeight="1"/>
    <row r="2388" ht="18" customHeight="1"/>
    <row r="2389" ht="18" customHeight="1"/>
    <row r="2390" ht="18" customHeight="1"/>
    <row r="2391" ht="18" customHeight="1"/>
    <row r="2392" ht="18" customHeight="1"/>
    <row r="2393" ht="18" customHeight="1"/>
    <row r="2394" ht="18" customHeight="1"/>
    <row r="2395" ht="18" customHeight="1"/>
    <row r="2396" ht="18" customHeight="1"/>
    <row r="2397" ht="18" customHeight="1"/>
    <row r="2398" ht="18" customHeight="1"/>
    <row r="2399" ht="18" customHeight="1"/>
    <row r="2400" ht="18" customHeight="1"/>
    <row r="2401" ht="18" customHeight="1"/>
    <row r="2402" ht="18" customHeight="1"/>
    <row r="2403" ht="18" customHeight="1"/>
    <row r="2404" ht="18" customHeight="1"/>
    <row r="2405" ht="18" customHeight="1"/>
    <row r="2406" ht="18" customHeight="1"/>
    <row r="2407" ht="18" customHeight="1"/>
    <row r="2408" ht="18" customHeight="1"/>
    <row r="2409" ht="18" customHeight="1"/>
    <row r="2410" ht="18" customHeight="1"/>
    <row r="2411" ht="18" customHeight="1"/>
    <row r="2412" ht="18" customHeight="1"/>
    <row r="2413" ht="18" customHeight="1"/>
    <row r="2414" ht="18" customHeight="1"/>
    <row r="2415" ht="18" customHeight="1"/>
    <row r="2416" ht="18" customHeight="1"/>
    <row r="2417" ht="18" customHeight="1"/>
    <row r="2418" ht="18" customHeight="1"/>
    <row r="2419" ht="18" customHeight="1"/>
    <row r="2420" ht="18" customHeight="1"/>
    <row r="2421" ht="18" customHeight="1"/>
    <row r="2422" ht="18" customHeight="1"/>
    <row r="2423" ht="18" customHeight="1"/>
    <row r="2424" ht="18" customHeight="1"/>
    <row r="2425" ht="18" customHeight="1"/>
    <row r="2426" ht="18" customHeight="1"/>
    <row r="2427" ht="18" customHeight="1"/>
    <row r="2428" ht="18" customHeight="1"/>
    <row r="2429" ht="18" customHeight="1"/>
    <row r="2430" ht="18" customHeight="1"/>
    <row r="2431" ht="18" customHeight="1"/>
    <row r="2432" ht="18" customHeight="1"/>
    <row r="2433" ht="18" customHeight="1"/>
    <row r="2434" ht="18" customHeight="1"/>
    <row r="2435" ht="18" customHeight="1"/>
    <row r="2436" ht="18" customHeight="1"/>
    <row r="2437" ht="18" customHeight="1"/>
    <row r="2438" ht="18" customHeight="1"/>
    <row r="2439" ht="18" customHeight="1"/>
    <row r="2440" ht="18" customHeight="1"/>
    <row r="2441" ht="18" customHeight="1"/>
    <row r="2442" ht="18" customHeight="1"/>
    <row r="2443" ht="18" customHeight="1"/>
    <row r="2444" ht="18" customHeight="1"/>
    <row r="2445" ht="18" customHeight="1"/>
    <row r="2446" ht="18" customHeight="1"/>
    <row r="2447" ht="18" customHeight="1"/>
    <row r="2448" ht="18" customHeight="1"/>
    <row r="2449" ht="18" customHeight="1"/>
    <row r="2450" ht="18" customHeight="1"/>
    <row r="2451" ht="18" customHeight="1"/>
    <row r="2452" ht="18" customHeight="1"/>
    <row r="2453" ht="18" customHeight="1"/>
    <row r="2454" ht="18" customHeight="1"/>
    <row r="2455" ht="18" customHeight="1"/>
    <row r="2456" ht="18" customHeight="1"/>
    <row r="2457" ht="18" customHeight="1"/>
    <row r="2458" ht="18" customHeight="1"/>
    <row r="2459" ht="18" customHeight="1"/>
    <row r="2460" ht="18" customHeight="1"/>
    <row r="2461" ht="18" customHeight="1"/>
    <row r="2462" ht="18" customHeight="1"/>
    <row r="2463" ht="18" customHeight="1"/>
    <row r="2464" ht="18" customHeight="1"/>
    <row r="2465" ht="18" customHeight="1"/>
    <row r="2466" ht="18" customHeight="1"/>
    <row r="2467" ht="18" customHeight="1"/>
    <row r="2468" ht="18" customHeight="1"/>
    <row r="2469" ht="18" customHeight="1"/>
    <row r="2470" ht="18" customHeight="1"/>
    <row r="2471" ht="18" customHeight="1"/>
    <row r="2472" ht="18" customHeight="1"/>
    <row r="2473" ht="18" customHeight="1"/>
    <row r="2474" ht="18" customHeight="1"/>
    <row r="2475" ht="18" customHeight="1"/>
    <row r="2476" ht="18" customHeight="1"/>
    <row r="2477" ht="18" customHeight="1"/>
    <row r="2478" ht="18" customHeight="1"/>
    <row r="2479" ht="18" customHeight="1"/>
    <row r="2480" ht="18" customHeight="1"/>
    <row r="2481" ht="18" customHeight="1"/>
    <row r="2482" ht="18" customHeight="1"/>
    <row r="2483" ht="18" customHeight="1"/>
    <row r="2484" ht="18" customHeight="1"/>
    <row r="2485" ht="18" customHeight="1"/>
    <row r="2486" ht="18" customHeight="1"/>
    <row r="2487" ht="18" customHeight="1"/>
    <row r="2488" ht="18" customHeight="1"/>
    <row r="2489" ht="18" customHeight="1"/>
    <row r="2490" ht="18" customHeight="1"/>
    <row r="2491" ht="18" customHeight="1"/>
    <row r="2492" ht="18" customHeight="1"/>
    <row r="2493" ht="18" customHeight="1"/>
    <row r="2494" ht="18" customHeight="1"/>
    <row r="2495" ht="18" customHeight="1"/>
    <row r="2496" ht="18" customHeight="1"/>
    <row r="2497" ht="18" customHeight="1"/>
    <row r="2498" ht="18" customHeight="1"/>
    <row r="2499" ht="18" customHeight="1"/>
    <row r="2500" ht="18" customHeight="1"/>
    <row r="2501" ht="18" customHeight="1"/>
    <row r="2502" ht="18" customHeight="1"/>
    <row r="2503" ht="18" customHeight="1"/>
    <row r="2504" ht="18" customHeight="1"/>
    <row r="2505" ht="18" customHeight="1"/>
    <row r="2506" ht="18" customHeight="1"/>
    <row r="2507" ht="18" customHeight="1"/>
    <row r="2508" ht="18" customHeight="1"/>
    <row r="2509" ht="18" customHeight="1"/>
    <row r="2510" ht="18" customHeight="1"/>
    <row r="2511" ht="18" customHeight="1"/>
    <row r="2512" ht="18" customHeight="1"/>
    <row r="2513" ht="18" customHeight="1"/>
    <row r="2514" ht="18" customHeight="1"/>
    <row r="2515" ht="18" customHeight="1"/>
    <row r="2516" ht="18" customHeight="1"/>
    <row r="2517" ht="18" customHeight="1"/>
    <row r="2518" ht="18" customHeight="1"/>
    <row r="2519" ht="18" customHeight="1"/>
    <row r="2520" ht="18" customHeight="1"/>
    <row r="2521" ht="18" customHeight="1"/>
    <row r="2522" ht="18" customHeight="1"/>
    <row r="2523" ht="18" customHeight="1"/>
    <row r="2524" ht="18" customHeight="1"/>
    <row r="2525" ht="18" customHeight="1"/>
    <row r="2526" ht="18" customHeight="1"/>
    <row r="2527" ht="18" customHeight="1"/>
    <row r="2528" ht="18" customHeight="1"/>
    <row r="2529" ht="18" customHeight="1"/>
    <row r="2530" ht="18" customHeight="1"/>
    <row r="2531" ht="18" customHeight="1"/>
    <row r="2532" ht="18" customHeight="1"/>
    <row r="2533" ht="18" customHeight="1"/>
    <row r="2534" ht="18" customHeight="1"/>
    <row r="2535" ht="18" customHeight="1"/>
    <row r="2536" ht="18" customHeight="1"/>
    <row r="2537" ht="18" customHeight="1"/>
    <row r="2538" ht="18" customHeight="1"/>
    <row r="2539" ht="18" customHeight="1"/>
    <row r="2540" ht="18" customHeight="1"/>
    <row r="2541" ht="18" customHeight="1"/>
    <row r="2542" ht="18" customHeight="1"/>
    <row r="2543" ht="18" customHeight="1"/>
    <row r="2544" ht="18" customHeight="1"/>
    <row r="2545" ht="18" customHeight="1"/>
    <row r="2546" ht="18" customHeight="1"/>
    <row r="2547" ht="18" customHeight="1"/>
    <row r="2548" ht="18" customHeight="1"/>
    <row r="2549" ht="18" customHeight="1"/>
    <row r="2550" ht="18" customHeight="1"/>
    <row r="2551" ht="18" customHeight="1"/>
    <row r="2552" ht="18" customHeight="1"/>
    <row r="2553" ht="18" customHeight="1"/>
    <row r="2554" ht="18" customHeight="1"/>
    <row r="2555" ht="18" customHeight="1"/>
    <row r="2556" ht="18" customHeight="1"/>
    <row r="2557" ht="18" customHeight="1"/>
    <row r="2558" ht="18" customHeight="1"/>
    <row r="2559" ht="18" customHeight="1"/>
    <row r="2560" ht="18" customHeight="1"/>
    <row r="2561" ht="18" customHeight="1"/>
    <row r="2562" ht="18" customHeight="1"/>
    <row r="2563" ht="18" customHeight="1"/>
    <row r="2564" ht="18" customHeight="1"/>
    <row r="2565" ht="18" customHeight="1"/>
    <row r="2566" ht="18" customHeight="1"/>
    <row r="2567" ht="18" customHeight="1"/>
    <row r="2568" ht="18" customHeight="1"/>
    <row r="2569" ht="18" customHeight="1"/>
    <row r="2570" ht="18" customHeight="1"/>
    <row r="2571" ht="18" customHeight="1"/>
    <row r="2572" ht="18" customHeight="1"/>
    <row r="2573" ht="18" customHeight="1"/>
    <row r="2574" ht="18" customHeight="1"/>
    <row r="2575" ht="18" customHeight="1"/>
    <row r="2576" ht="18" customHeight="1"/>
    <row r="2577" ht="18" customHeight="1"/>
    <row r="2578" ht="18" customHeight="1"/>
    <row r="2579" ht="18" customHeight="1"/>
    <row r="2580" ht="18" customHeight="1"/>
    <row r="2581" ht="18" customHeight="1"/>
    <row r="2582" ht="18" customHeight="1"/>
    <row r="2583" ht="18" customHeight="1"/>
    <row r="2584" ht="18" customHeight="1"/>
    <row r="2585" ht="18" customHeight="1"/>
    <row r="2586" ht="18" customHeight="1"/>
    <row r="2587" ht="18" customHeight="1"/>
    <row r="2588" ht="18" customHeight="1"/>
    <row r="2589" ht="18" customHeight="1"/>
    <row r="2590" ht="18" customHeight="1"/>
    <row r="2591" ht="18" customHeight="1"/>
    <row r="2592" ht="18" customHeight="1"/>
    <row r="2593" ht="18" customHeight="1"/>
    <row r="2594" ht="18" customHeight="1"/>
    <row r="2595" ht="18" customHeight="1"/>
    <row r="2596" ht="18" customHeight="1"/>
    <row r="2597" ht="18" customHeight="1"/>
    <row r="2598" ht="18" customHeight="1"/>
    <row r="2599" ht="18" customHeight="1"/>
    <row r="2600" ht="18" customHeight="1"/>
    <row r="2601" ht="18" customHeight="1"/>
    <row r="2602" ht="18" customHeight="1"/>
    <row r="2603" ht="18" customHeight="1"/>
    <row r="2604" ht="18" customHeight="1"/>
    <row r="2605" ht="18" customHeight="1"/>
    <row r="2606" ht="18" customHeight="1"/>
    <row r="2607" ht="18" customHeight="1"/>
    <row r="2608" ht="18" customHeight="1"/>
    <row r="2609" ht="18" customHeight="1"/>
    <row r="2610" ht="18" customHeight="1"/>
    <row r="2611" ht="18" customHeight="1"/>
    <row r="2612" ht="18" customHeight="1"/>
    <row r="2613" ht="18" customHeight="1"/>
    <row r="2614" ht="18" customHeight="1"/>
    <row r="2615" ht="18" customHeight="1"/>
    <row r="2616" ht="18" customHeight="1"/>
    <row r="2617" ht="18" customHeight="1"/>
    <row r="2618" ht="18" customHeight="1"/>
    <row r="2619" ht="18" customHeight="1"/>
    <row r="2620" ht="18" customHeight="1"/>
    <row r="2621" ht="18" customHeight="1"/>
    <row r="2622" ht="18" customHeight="1"/>
    <row r="2623" ht="18" customHeight="1"/>
    <row r="2624" ht="18" customHeight="1"/>
    <row r="2625" ht="18" customHeight="1"/>
    <row r="2626" ht="18" customHeight="1"/>
    <row r="2627" ht="18" customHeight="1"/>
    <row r="2628" ht="18" customHeight="1"/>
    <row r="2629" ht="18" customHeight="1"/>
    <row r="2630" ht="18" customHeight="1"/>
    <row r="2631" ht="18" customHeight="1"/>
    <row r="2632" ht="18" customHeight="1"/>
    <row r="2633" ht="18" customHeight="1"/>
    <row r="2634" ht="18" customHeight="1"/>
    <row r="2635" ht="18" customHeight="1"/>
    <row r="2636" ht="18" customHeight="1"/>
    <row r="2637" ht="18" customHeight="1"/>
    <row r="2638" ht="18" customHeight="1"/>
    <row r="2639" ht="18" customHeight="1"/>
    <row r="2640" ht="18" customHeight="1"/>
    <row r="2641" ht="18" customHeight="1"/>
    <row r="2642" ht="18" customHeight="1"/>
    <row r="2643" ht="18" customHeight="1"/>
    <row r="2644" ht="18" customHeight="1"/>
    <row r="2645" ht="18" customHeight="1"/>
    <row r="2646" ht="18" customHeight="1"/>
    <row r="2647" ht="18" customHeight="1"/>
    <row r="2648" ht="18" customHeight="1"/>
    <row r="2649" ht="18" customHeight="1"/>
    <row r="2650" ht="18" customHeight="1"/>
    <row r="2651" ht="18" customHeight="1"/>
    <row r="2652" ht="18" customHeight="1"/>
    <row r="2653" ht="18" customHeight="1"/>
    <row r="2654" ht="18" customHeight="1"/>
    <row r="2655" ht="18" customHeight="1"/>
    <row r="2656" ht="18" customHeight="1"/>
    <row r="2657" ht="18" customHeight="1"/>
    <row r="2658" ht="18" customHeight="1"/>
    <row r="2659" ht="18" customHeight="1"/>
    <row r="2660" ht="18" customHeight="1"/>
    <row r="2661" ht="18" customHeight="1"/>
    <row r="2662" ht="18" customHeight="1"/>
    <row r="2663" ht="18" customHeight="1"/>
    <row r="2664" ht="18" customHeight="1"/>
    <row r="2665" ht="18" customHeight="1"/>
    <row r="2666" ht="18" customHeight="1"/>
    <row r="2667" ht="18" customHeight="1"/>
    <row r="2668" ht="18" customHeight="1"/>
    <row r="2669" ht="18" customHeight="1"/>
    <row r="2670" ht="18" customHeight="1"/>
    <row r="2671" ht="18" customHeight="1"/>
    <row r="2672" ht="18" customHeight="1"/>
    <row r="2673" ht="18" customHeight="1"/>
    <row r="2674" ht="18" customHeight="1"/>
    <row r="2675" ht="18" customHeight="1"/>
    <row r="2676" ht="18" customHeight="1"/>
    <row r="2677" ht="18" customHeight="1"/>
    <row r="2678" ht="18" customHeight="1"/>
    <row r="2679" ht="18" customHeight="1"/>
    <row r="2680" ht="18" customHeight="1"/>
    <row r="2681" ht="18" customHeight="1"/>
    <row r="2682" ht="18" customHeight="1"/>
    <row r="2683" ht="18" customHeight="1"/>
    <row r="2684" ht="18" customHeight="1"/>
    <row r="2685" ht="18" customHeight="1"/>
    <row r="2686" ht="18" customHeight="1"/>
    <row r="2687" ht="18" customHeight="1"/>
    <row r="2688" ht="18" customHeight="1"/>
    <row r="2689" ht="18" customHeight="1"/>
    <row r="2690" ht="18" customHeight="1"/>
    <row r="2691" ht="18" customHeight="1"/>
    <row r="2692" ht="18" customHeight="1"/>
    <row r="2693" ht="18" customHeight="1"/>
    <row r="2694" ht="18" customHeight="1"/>
    <row r="2695" ht="18" customHeight="1"/>
    <row r="2696" ht="18" customHeight="1"/>
    <row r="2697" ht="18" customHeight="1"/>
    <row r="2698" ht="18" customHeight="1"/>
    <row r="2699" ht="18" customHeight="1"/>
    <row r="2700" ht="18" customHeight="1"/>
    <row r="2701" ht="18" customHeight="1"/>
    <row r="2702" ht="18" customHeight="1"/>
    <row r="2703" ht="18" customHeight="1"/>
    <row r="2704" ht="18" customHeight="1"/>
    <row r="2705" ht="18" customHeight="1"/>
    <row r="2706" ht="18" customHeight="1"/>
    <row r="2707" ht="18" customHeight="1"/>
    <row r="2708" ht="18" customHeight="1"/>
    <row r="2709" ht="18" customHeight="1"/>
    <row r="2710" ht="18" customHeight="1"/>
    <row r="2711" ht="18" customHeight="1"/>
    <row r="2712" ht="18" customHeight="1"/>
    <row r="2713" ht="18" customHeight="1"/>
    <row r="2714" ht="18" customHeight="1"/>
    <row r="2715" ht="18" customHeight="1"/>
    <row r="2716" ht="18" customHeight="1"/>
    <row r="2717" ht="18" customHeight="1"/>
    <row r="2718" ht="18" customHeight="1"/>
    <row r="2719" ht="18" customHeight="1"/>
    <row r="2720" ht="18" customHeight="1"/>
    <row r="2721" ht="18" customHeight="1"/>
    <row r="2722" ht="18" customHeight="1"/>
    <row r="2723" ht="18" customHeight="1"/>
    <row r="2724" ht="18" customHeight="1"/>
    <row r="2725" ht="18" customHeight="1"/>
    <row r="2726" ht="18" customHeight="1"/>
    <row r="2727" ht="18" customHeight="1"/>
    <row r="2728" ht="18" customHeight="1"/>
    <row r="2729" ht="18" customHeight="1"/>
    <row r="2730" ht="18" customHeight="1"/>
    <row r="2731" ht="18" customHeight="1"/>
    <row r="2732" ht="18" customHeight="1"/>
    <row r="2733" ht="18" customHeight="1"/>
    <row r="2734" ht="18" customHeight="1"/>
    <row r="2735" ht="18" customHeight="1"/>
    <row r="2736" ht="18" customHeight="1"/>
    <row r="2737" ht="18" customHeight="1"/>
    <row r="2738" ht="18" customHeight="1"/>
    <row r="2739" ht="18" customHeight="1"/>
    <row r="2740" ht="18" customHeight="1"/>
    <row r="2741" ht="18" customHeight="1"/>
    <row r="2742" ht="18" customHeight="1"/>
    <row r="2743" ht="18" customHeight="1"/>
    <row r="2744" ht="18" customHeight="1"/>
    <row r="2745" ht="18" customHeight="1"/>
    <row r="2746" ht="18" customHeight="1"/>
    <row r="2747" ht="18" customHeight="1"/>
    <row r="2748" ht="18" customHeight="1"/>
    <row r="2749" ht="18" customHeight="1"/>
    <row r="2750" ht="18" customHeight="1"/>
    <row r="2751" ht="18" customHeight="1"/>
    <row r="2752" ht="18" customHeight="1"/>
    <row r="2753" ht="18" customHeight="1"/>
    <row r="2754" ht="18" customHeight="1"/>
    <row r="2755" ht="18" customHeight="1"/>
    <row r="2756" ht="18" customHeight="1"/>
    <row r="2757" ht="18" customHeight="1"/>
    <row r="2758" ht="18" customHeight="1"/>
    <row r="2759" ht="18" customHeight="1"/>
    <row r="2760" ht="18" customHeight="1"/>
    <row r="2761" ht="18" customHeight="1"/>
    <row r="2762" ht="18" customHeight="1"/>
    <row r="2763" ht="18" customHeight="1"/>
    <row r="2764" ht="18" customHeight="1"/>
    <row r="2765" ht="18" customHeight="1"/>
    <row r="2766" ht="18" customHeight="1"/>
    <row r="2767" ht="18" customHeight="1"/>
    <row r="2768" ht="18" customHeight="1"/>
    <row r="2769" ht="18" customHeight="1"/>
    <row r="2770" ht="18" customHeight="1"/>
    <row r="2771" ht="18" customHeight="1"/>
    <row r="2772" ht="18" customHeight="1"/>
    <row r="2773" ht="18" customHeight="1"/>
    <row r="2774" ht="18" customHeight="1"/>
    <row r="2775" ht="18" customHeight="1"/>
    <row r="2776" ht="18" customHeight="1"/>
    <row r="2777" ht="18" customHeight="1"/>
    <row r="2778" ht="18" customHeight="1"/>
    <row r="2779" ht="18" customHeight="1"/>
    <row r="2780" ht="18" customHeight="1"/>
    <row r="2781" ht="18" customHeight="1"/>
    <row r="2782" ht="18" customHeight="1"/>
    <row r="2783" ht="18" customHeight="1"/>
    <row r="2784" ht="18" customHeight="1"/>
    <row r="2785" ht="18" customHeight="1"/>
    <row r="2786" ht="18" customHeight="1"/>
    <row r="2787" ht="18" customHeight="1"/>
    <row r="2788" ht="18" customHeight="1"/>
    <row r="2789" ht="18" customHeight="1"/>
    <row r="2790" ht="18" customHeight="1"/>
    <row r="2791" ht="18" customHeight="1"/>
    <row r="2792" ht="18" customHeight="1"/>
    <row r="2793" ht="18" customHeight="1"/>
    <row r="2794" ht="18" customHeight="1"/>
    <row r="2795" ht="18" customHeight="1"/>
    <row r="2796" ht="18" customHeight="1"/>
    <row r="2797" ht="18" customHeight="1"/>
    <row r="2798" ht="18" customHeight="1"/>
    <row r="2799" ht="18" customHeight="1"/>
    <row r="2800" ht="18" customHeight="1"/>
    <row r="2801" ht="18" customHeight="1"/>
    <row r="2802" ht="18" customHeight="1"/>
    <row r="2803" ht="18" customHeight="1"/>
    <row r="2804" ht="18" customHeight="1"/>
    <row r="2805" ht="18" customHeight="1"/>
    <row r="2806" ht="18" customHeight="1"/>
    <row r="2807" ht="18" customHeight="1"/>
    <row r="2808" ht="18" customHeight="1"/>
    <row r="2809" ht="18" customHeight="1"/>
    <row r="2810" ht="18" customHeight="1"/>
    <row r="2811" ht="18" customHeight="1"/>
    <row r="2812" ht="18" customHeight="1"/>
    <row r="2813" ht="18" customHeight="1"/>
    <row r="2814" ht="18" customHeight="1"/>
    <row r="2815" ht="18" customHeight="1"/>
    <row r="2816" ht="18" customHeight="1"/>
    <row r="2817" ht="18" customHeight="1"/>
    <row r="2818" ht="18" customHeight="1"/>
    <row r="2819" ht="18" customHeight="1"/>
    <row r="2820" ht="18" customHeight="1"/>
    <row r="2821" ht="18" customHeight="1"/>
    <row r="2822" ht="18" customHeight="1"/>
    <row r="2823" ht="18" customHeight="1"/>
    <row r="2824" ht="18" customHeight="1"/>
    <row r="2825" ht="18" customHeight="1"/>
    <row r="2826" ht="18" customHeight="1"/>
    <row r="2827" ht="18" customHeight="1"/>
    <row r="2828" ht="18" customHeight="1"/>
    <row r="2829" ht="18" customHeight="1"/>
    <row r="2830" ht="18" customHeight="1"/>
    <row r="2831" ht="18" customHeight="1"/>
    <row r="2832" ht="18" customHeight="1"/>
    <row r="2833" ht="18" customHeight="1"/>
    <row r="2834" ht="18" customHeight="1"/>
    <row r="2835" ht="18" customHeight="1"/>
    <row r="2836" ht="18" customHeight="1"/>
    <row r="2837" ht="18" customHeight="1"/>
    <row r="2838" ht="18" customHeight="1"/>
    <row r="2839" ht="18" customHeight="1"/>
    <row r="2840" ht="18" customHeight="1"/>
    <row r="2841" ht="18" customHeight="1"/>
    <row r="2842" ht="18" customHeight="1"/>
    <row r="2843" ht="18" customHeight="1"/>
    <row r="2844" ht="18" customHeight="1"/>
    <row r="2845" ht="18" customHeight="1"/>
    <row r="2846" ht="18" customHeight="1"/>
    <row r="2847" ht="18" customHeight="1"/>
    <row r="2848" ht="18" customHeight="1"/>
    <row r="2849" ht="18" customHeight="1"/>
    <row r="2850" ht="18" customHeight="1"/>
    <row r="2851" ht="18" customHeight="1"/>
    <row r="2852" ht="18" customHeight="1"/>
    <row r="2853" ht="18" customHeight="1"/>
    <row r="2854" ht="18" customHeight="1"/>
    <row r="2855" ht="18" customHeight="1"/>
    <row r="2856" ht="18" customHeight="1"/>
    <row r="2857" ht="18" customHeight="1"/>
    <row r="2858" ht="18" customHeight="1"/>
    <row r="2859" ht="18" customHeight="1"/>
    <row r="2860" ht="18" customHeight="1"/>
    <row r="2861" ht="18" customHeight="1"/>
    <row r="2862" ht="18" customHeight="1"/>
    <row r="2863" ht="18" customHeight="1"/>
    <row r="2864" ht="18" customHeight="1"/>
    <row r="2865" ht="18" customHeight="1"/>
    <row r="2866" ht="18" customHeight="1"/>
    <row r="2867" ht="18" customHeight="1"/>
    <row r="2868" ht="18" customHeight="1"/>
    <row r="2869" ht="18" customHeight="1"/>
    <row r="2870" ht="18" customHeight="1"/>
    <row r="2871" ht="18" customHeight="1"/>
    <row r="2872" ht="18" customHeight="1"/>
    <row r="2873" ht="18" customHeight="1"/>
    <row r="2874" ht="18" customHeight="1"/>
    <row r="2875" ht="18" customHeight="1"/>
    <row r="2876" ht="18" customHeight="1"/>
    <row r="2877" ht="18" customHeight="1"/>
    <row r="2878" ht="18" customHeight="1"/>
    <row r="2879" ht="18" customHeight="1"/>
    <row r="2880" ht="18" customHeight="1"/>
    <row r="2881" ht="18" customHeight="1"/>
    <row r="2882" ht="18" customHeight="1"/>
    <row r="2883" ht="18" customHeight="1"/>
    <row r="2884" ht="18" customHeight="1"/>
    <row r="2885" ht="18" customHeight="1"/>
    <row r="2886" ht="18" customHeight="1"/>
    <row r="2887" ht="18" customHeight="1"/>
    <row r="2888" ht="18" customHeight="1"/>
    <row r="2889" ht="18" customHeight="1"/>
    <row r="2890" ht="18" customHeight="1"/>
    <row r="2891" ht="18" customHeight="1"/>
    <row r="2892" ht="18" customHeight="1"/>
    <row r="2893" ht="18" customHeight="1"/>
    <row r="2894" ht="18" customHeight="1"/>
    <row r="2895" ht="18" customHeight="1"/>
    <row r="2896" ht="18" customHeight="1"/>
    <row r="2897" ht="18" customHeight="1"/>
    <row r="2898" ht="18" customHeight="1"/>
    <row r="2899" ht="18" customHeight="1"/>
    <row r="2900" ht="18" customHeight="1"/>
    <row r="2901" ht="18" customHeight="1"/>
    <row r="2902" ht="18" customHeight="1"/>
    <row r="2903" ht="18" customHeight="1"/>
    <row r="2904" ht="18" customHeight="1"/>
    <row r="2905" ht="18" customHeight="1"/>
    <row r="2906" ht="18" customHeight="1"/>
    <row r="2907" ht="18" customHeight="1"/>
    <row r="2908" ht="18" customHeight="1"/>
    <row r="2909" ht="18" customHeight="1"/>
    <row r="2910" ht="18" customHeight="1"/>
    <row r="2911" ht="18" customHeight="1"/>
    <row r="2912" ht="18" customHeight="1"/>
    <row r="2913" ht="18" customHeight="1"/>
    <row r="2914" ht="18" customHeight="1"/>
    <row r="2915" ht="18" customHeight="1"/>
    <row r="2916" ht="18" customHeight="1"/>
    <row r="2917" ht="18" customHeight="1"/>
    <row r="2918" ht="18" customHeight="1"/>
    <row r="2919" ht="18" customHeight="1"/>
    <row r="2920" ht="18" customHeight="1"/>
    <row r="2921" ht="18" customHeight="1"/>
    <row r="2922" ht="18" customHeight="1"/>
    <row r="2923" ht="18" customHeight="1"/>
    <row r="2924" ht="18" customHeight="1"/>
    <row r="2925" ht="18" customHeight="1"/>
    <row r="2926" ht="18" customHeight="1"/>
    <row r="2927" ht="18" customHeight="1"/>
    <row r="2928" ht="18" customHeight="1"/>
    <row r="2929" ht="18" customHeight="1"/>
    <row r="2930" ht="18" customHeight="1"/>
    <row r="2931" ht="18" customHeight="1"/>
    <row r="2932" ht="18" customHeight="1"/>
    <row r="2933" ht="18" customHeight="1"/>
    <row r="2934" ht="18" customHeight="1"/>
    <row r="2935" ht="18" customHeight="1"/>
    <row r="2936" ht="18" customHeight="1"/>
    <row r="2937" ht="18" customHeight="1"/>
    <row r="2938" ht="18" customHeight="1"/>
    <row r="2939" ht="18" customHeight="1"/>
    <row r="2940" ht="18" customHeight="1"/>
    <row r="2941" ht="18" customHeight="1"/>
    <row r="2942" ht="18" customHeight="1"/>
    <row r="2943" ht="18" customHeight="1"/>
    <row r="2944" ht="18" customHeight="1"/>
    <row r="2945" ht="18" customHeight="1"/>
    <row r="2946" ht="18" customHeight="1"/>
    <row r="2947" ht="18" customHeight="1"/>
    <row r="2948" ht="18" customHeight="1"/>
    <row r="2949" ht="18" customHeight="1"/>
    <row r="2950" ht="18" customHeight="1"/>
    <row r="2951" ht="18" customHeight="1"/>
    <row r="2952" ht="18" customHeight="1"/>
    <row r="2953" ht="18" customHeight="1"/>
    <row r="2954" ht="18" customHeight="1"/>
    <row r="2955" ht="18" customHeight="1"/>
    <row r="2956" ht="18" customHeight="1"/>
    <row r="2957" ht="18" customHeight="1"/>
    <row r="2958" ht="18" customHeight="1"/>
    <row r="2959" ht="18" customHeight="1"/>
    <row r="2960" ht="18" customHeight="1"/>
    <row r="2961" ht="18" customHeight="1"/>
    <row r="2962" ht="18" customHeight="1"/>
    <row r="2963" ht="18" customHeight="1"/>
    <row r="2964" ht="18" customHeight="1"/>
    <row r="2965" ht="18" customHeight="1"/>
    <row r="2966" ht="18" customHeight="1"/>
    <row r="2967" ht="18" customHeight="1"/>
    <row r="2968" ht="18" customHeight="1"/>
    <row r="2969" ht="18" customHeight="1"/>
    <row r="2970" ht="18" customHeight="1"/>
    <row r="2971" ht="18" customHeight="1"/>
    <row r="2972" ht="18" customHeight="1"/>
    <row r="2973" ht="18" customHeight="1"/>
    <row r="2974" ht="18" customHeight="1"/>
    <row r="2975" ht="18" customHeight="1"/>
    <row r="2976" ht="18" customHeight="1"/>
    <row r="2977" ht="18" customHeight="1"/>
    <row r="2978" ht="18" customHeight="1"/>
    <row r="2979" ht="18" customHeight="1"/>
    <row r="2980" ht="18" customHeight="1"/>
    <row r="2981" ht="18" customHeight="1"/>
    <row r="2982" ht="18" customHeight="1"/>
    <row r="2983" ht="18" customHeight="1"/>
    <row r="2984" ht="18" customHeight="1"/>
    <row r="2985" ht="18" customHeight="1"/>
    <row r="2986" ht="18" customHeight="1"/>
    <row r="2987" ht="18" customHeight="1"/>
    <row r="2988" ht="18" customHeight="1"/>
    <row r="2989" ht="18" customHeight="1"/>
    <row r="2990" ht="18" customHeight="1"/>
    <row r="2991" ht="18" customHeight="1"/>
    <row r="2992" ht="18" customHeight="1"/>
    <row r="2993" ht="18" customHeight="1"/>
    <row r="2994" ht="18" customHeight="1"/>
    <row r="2995" ht="18" customHeight="1"/>
    <row r="2996" ht="18" customHeight="1"/>
    <row r="2997" ht="18" customHeight="1"/>
    <row r="2998" ht="18" customHeight="1"/>
    <row r="2999" ht="18" customHeight="1"/>
    <row r="3000" ht="18" customHeight="1"/>
    <row r="3001" ht="18" customHeight="1"/>
    <row r="3002" ht="18" customHeight="1"/>
    <row r="3003" ht="18" customHeight="1"/>
    <row r="3004" ht="18" customHeight="1"/>
    <row r="3005" ht="18" customHeight="1"/>
    <row r="3006" ht="18" customHeight="1"/>
    <row r="3007" ht="18" customHeight="1"/>
    <row r="3008" ht="18" customHeight="1"/>
    <row r="3009" ht="18" customHeight="1"/>
    <row r="3010" ht="18" customHeight="1"/>
    <row r="3011" ht="18" customHeight="1"/>
    <row r="3012" ht="18" customHeight="1"/>
    <row r="3013" ht="18" customHeight="1"/>
    <row r="3014" ht="18" customHeight="1"/>
    <row r="3015" ht="18" customHeight="1"/>
    <row r="3016" ht="18" customHeight="1"/>
    <row r="3017" ht="18" customHeight="1"/>
    <row r="3018" ht="18" customHeight="1"/>
    <row r="3019" ht="18" customHeight="1"/>
    <row r="3020" ht="18" customHeight="1"/>
    <row r="3021" ht="18" customHeight="1"/>
    <row r="3022" ht="18" customHeight="1"/>
    <row r="3023" ht="18" customHeight="1"/>
    <row r="3024" ht="18" customHeight="1"/>
    <row r="3025" ht="18" customHeight="1"/>
    <row r="3026" ht="18" customHeight="1"/>
    <row r="3027" ht="18" customHeight="1"/>
    <row r="3028" ht="18" customHeight="1"/>
    <row r="3029" ht="18" customHeight="1"/>
    <row r="3030" ht="18" customHeight="1"/>
    <row r="3031" ht="18" customHeight="1"/>
    <row r="3032" ht="18" customHeight="1"/>
    <row r="3033" ht="18" customHeight="1"/>
    <row r="3034" ht="18" customHeight="1"/>
    <row r="3035" ht="18" customHeight="1"/>
    <row r="3036" ht="18" customHeight="1"/>
    <row r="3037" ht="18" customHeight="1"/>
    <row r="3038" ht="18" customHeight="1"/>
    <row r="3039" ht="18" customHeight="1"/>
    <row r="3040" ht="18" customHeight="1"/>
    <row r="3041" ht="18" customHeight="1"/>
    <row r="3042" ht="18" customHeight="1"/>
    <row r="3043" ht="18" customHeight="1"/>
    <row r="3044" ht="18" customHeight="1"/>
    <row r="3045" ht="18" customHeight="1"/>
    <row r="3046" ht="18" customHeight="1"/>
    <row r="3047" ht="18" customHeight="1"/>
    <row r="3048" ht="18" customHeight="1"/>
    <row r="3049" ht="18" customHeight="1"/>
    <row r="3050" ht="18" customHeight="1"/>
    <row r="3051" ht="18" customHeight="1"/>
    <row r="3052" ht="18" customHeight="1"/>
    <row r="3053" ht="18" customHeight="1"/>
    <row r="3054" ht="18" customHeight="1"/>
    <row r="3055" ht="18" customHeight="1"/>
    <row r="3056" ht="18" customHeight="1"/>
    <row r="3057" ht="18" customHeight="1"/>
    <row r="3058" ht="18" customHeight="1"/>
    <row r="3059" ht="18" customHeight="1"/>
    <row r="3060" ht="18" customHeight="1"/>
    <row r="3061" ht="18" customHeight="1"/>
    <row r="3062" ht="18" customHeight="1"/>
    <row r="3063" ht="18" customHeight="1"/>
    <row r="3064" ht="18" customHeight="1"/>
    <row r="3065" ht="18" customHeight="1"/>
    <row r="3066" ht="18" customHeight="1"/>
    <row r="3067" ht="18" customHeight="1"/>
    <row r="3068" ht="18" customHeight="1"/>
    <row r="3069" ht="18" customHeight="1"/>
    <row r="3070" ht="18" customHeight="1"/>
    <row r="3071" ht="18" customHeight="1"/>
    <row r="3072" ht="18" customHeight="1"/>
    <row r="3073" ht="18" customHeight="1"/>
    <row r="3074" ht="18" customHeight="1"/>
    <row r="3075" ht="18" customHeight="1"/>
    <row r="3076" ht="18" customHeight="1"/>
    <row r="3077" ht="18" customHeight="1"/>
    <row r="3078" ht="18" customHeight="1"/>
    <row r="3079" ht="18" customHeight="1"/>
    <row r="3080" ht="18" customHeight="1"/>
    <row r="3081" ht="18" customHeight="1"/>
    <row r="3082" ht="18" customHeight="1"/>
    <row r="3083" ht="18" customHeight="1"/>
    <row r="3084" ht="18" customHeight="1"/>
    <row r="3085" ht="18" customHeight="1"/>
    <row r="3086" ht="18" customHeight="1"/>
    <row r="3087" ht="18" customHeight="1"/>
    <row r="3088" ht="18" customHeight="1"/>
    <row r="3089" ht="18" customHeight="1"/>
    <row r="3090" ht="18" customHeight="1"/>
    <row r="3091" ht="18" customHeight="1"/>
    <row r="3092" ht="18" customHeight="1"/>
    <row r="3093" ht="18" customHeight="1"/>
    <row r="3094" ht="18" customHeight="1"/>
    <row r="3095" ht="18" customHeight="1"/>
    <row r="3096" ht="18" customHeight="1"/>
    <row r="3097" ht="18" customHeight="1"/>
    <row r="3098" ht="18" customHeight="1"/>
    <row r="3099" ht="18" customHeight="1"/>
    <row r="3100" ht="18" customHeight="1"/>
    <row r="3101" ht="18" customHeight="1"/>
    <row r="3102" ht="18" customHeight="1"/>
    <row r="3103" ht="18" customHeight="1"/>
    <row r="3104" ht="18" customHeight="1"/>
    <row r="3105" ht="18" customHeight="1"/>
    <row r="3106" ht="18" customHeight="1"/>
    <row r="3107" ht="18" customHeight="1"/>
    <row r="3108" ht="18" customHeight="1"/>
    <row r="3109" ht="18" customHeight="1"/>
    <row r="3110" ht="18" customHeight="1"/>
    <row r="3111" ht="18" customHeight="1"/>
    <row r="3112" ht="18" customHeight="1"/>
    <row r="3113" ht="18" customHeight="1"/>
    <row r="3114" ht="18" customHeight="1"/>
    <row r="3115" ht="18" customHeight="1"/>
    <row r="3116" ht="18" customHeight="1"/>
    <row r="3117" ht="18" customHeight="1"/>
    <row r="3118" ht="18" customHeight="1"/>
    <row r="3119" ht="18" customHeight="1"/>
    <row r="3120" ht="18" customHeight="1"/>
    <row r="3121" ht="18" customHeight="1"/>
    <row r="3122" ht="18" customHeight="1"/>
    <row r="3123" ht="18" customHeight="1"/>
    <row r="3124" ht="18" customHeight="1"/>
    <row r="3125" ht="18" customHeight="1"/>
    <row r="3126" ht="18" customHeight="1"/>
    <row r="3127" ht="18" customHeight="1"/>
    <row r="3128" ht="18" customHeight="1"/>
    <row r="3129" ht="18" customHeight="1"/>
    <row r="3130" ht="18" customHeight="1"/>
    <row r="3131" ht="18" customHeight="1"/>
    <row r="3132" ht="18" customHeight="1"/>
    <row r="3133" ht="18" customHeight="1"/>
    <row r="3134" ht="18" customHeight="1"/>
    <row r="3135" ht="18" customHeight="1"/>
    <row r="3136" ht="18" customHeight="1"/>
    <row r="3137" ht="18" customHeight="1"/>
    <row r="3138" ht="18" customHeight="1"/>
    <row r="3139" ht="18" customHeight="1"/>
    <row r="3140" ht="18" customHeight="1"/>
    <row r="3141" ht="18" customHeight="1"/>
    <row r="3142" ht="18" customHeight="1"/>
    <row r="3143" ht="18" customHeight="1"/>
    <row r="3144" ht="18" customHeight="1"/>
    <row r="3145" ht="18" customHeight="1"/>
    <row r="3146" ht="18" customHeight="1"/>
    <row r="3147" ht="18" customHeight="1"/>
    <row r="3148" ht="18" customHeight="1"/>
    <row r="3149" ht="18" customHeight="1"/>
    <row r="3150" ht="18" customHeight="1"/>
    <row r="3151" ht="18" customHeight="1"/>
    <row r="3152" ht="18" customHeight="1"/>
    <row r="3153" ht="18" customHeight="1"/>
    <row r="3154" ht="18" customHeight="1"/>
    <row r="3155" ht="18" customHeight="1"/>
    <row r="3156" ht="18" customHeight="1"/>
    <row r="3157" ht="18" customHeight="1"/>
    <row r="3158" ht="18" customHeight="1"/>
    <row r="3159" ht="18" customHeight="1"/>
    <row r="3160" ht="18" customHeight="1"/>
    <row r="3161" ht="18" customHeight="1"/>
    <row r="3162" ht="18" customHeight="1"/>
    <row r="3163" ht="18" customHeight="1"/>
    <row r="3164" ht="18" customHeight="1"/>
    <row r="3165" ht="18" customHeight="1"/>
    <row r="3166" ht="18" customHeight="1"/>
    <row r="3167" ht="18" customHeight="1"/>
    <row r="3168" ht="18" customHeight="1"/>
    <row r="3169" ht="18" customHeight="1"/>
    <row r="3170" ht="18" customHeight="1"/>
    <row r="3171" ht="18" customHeight="1"/>
    <row r="3172" ht="18" customHeight="1"/>
    <row r="3173" ht="18" customHeight="1"/>
    <row r="3174" ht="18" customHeight="1"/>
    <row r="3175" ht="18" customHeight="1"/>
    <row r="3176" ht="18" customHeight="1"/>
    <row r="3177" ht="18" customHeight="1"/>
    <row r="3178" ht="18" customHeight="1"/>
    <row r="3179" ht="18" customHeight="1"/>
    <row r="3180" ht="18" customHeight="1"/>
    <row r="3181" ht="18" customHeight="1"/>
    <row r="3182" ht="18" customHeight="1"/>
    <row r="3183" ht="18" customHeight="1"/>
    <row r="3184" ht="18" customHeight="1"/>
    <row r="3185" ht="18" customHeight="1"/>
    <row r="3186" ht="18" customHeight="1"/>
    <row r="3187" ht="18" customHeight="1"/>
    <row r="3188" ht="18" customHeight="1"/>
    <row r="3189" ht="18" customHeight="1"/>
    <row r="3190" ht="18" customHeight="1"/>
    <row r="3191" ht="18" customHeight="1"/>
    <row r="3192" ht="18" customHeight="1"/>
    <row r="3193" ht="18" customHeight="1"/>
    <row r="3194" ht="18" customHeight="1"/>
    <row r="3195" ht="18" customHeight="1"/>
    <row r="3196" ht="18" customHeight="1"/>
    <row r="3197" ht="18" customHeight="1"/>
    <row r="3198" ht="18" customHeight="1"/>
    <row r="3199" ht="18" customHeight="1"/>
    <row r="3200" ht="18" customHeight="1"/>
    <row r="3201" ht="18" customHeight="1"/>
    <row r="3202" ht="18" customHeight="1"/>
    <row r="3203" ht="18" customHeight="1"/>
    <row r="3204" ht="18" customHeight="1"/>
    <row r="3205" ht="18" customHeight="1"/>
    <row r="3206" ht="18" customHeight="1"/>
    <row r="3207" ht="18" customHeight="1"/>
    <row r="3208" ht="18" customHeight="1"/>
    <row r="3209" ht="18" customHeight="1"/>
    <row r="3210" ht="18" customHeight="1"/>
    <row r="3211" ht="18" customHeight="1"/>
    <row r="3212" ht="18" customHeight="1"/>
    <row r="3213" ht="18" customHeight="1"/>
    <row r="3214" ht="18" customHeight="1"/>
    <row r="3215" ht="18" customHeight="1"/>
    <row r="3216" ht="18" customHeight="1"/>
    <row r="3217" ht="18" customHeight="1"/>
    <row r="3218" ht="18" customHeight="1"/>
    <row r="3219" ht="18" customHeight="1"/>
    <row r="3220" ht="18" customHeight="1"/>
    <row r="3221" ht="18" customHeight="1"/>
    <row r="3222" ht="18" customHeight="1"/>
    <row r="3223" ht="18" customHeight="1"/>
    <row r="3224" ht="18" customHeight="1"/>
    <row r="3225" ht="18" customHeight="1"/>
    <row r="3226" ht="18" customHeight="1"/>
    <row r="3227" ht="18" customHeight="1"/>
    <row r="3228" ht="18" customHeight="1"/>
    <row r="3229" ht="18" customHeight="1"/>
    <row r="3230" ht="18" customHeight="1"/>
    <row r="3231" ht="18" customHeight="1"/>
    <row r="3232" ht="18" customHeight="1"/>
    <row r="3233" ht="18" customHeight="1"/>
    <row r="3234" ht="18" customHeight="1"/>
    <row r="3235" ht="18" customHeight="1"/>
    <row r="3236" ht="18" customHeight="1"/>
    <row r="3237" ht="18" customHeight="1"/>
    <row r="3238" ht="18" customHeight="1"/>
    <row r="3239" ht="18" customHeight="1"/>
    <row r="3240" ht="18" customHeight="1"/>
    <row r="3241" ht="18" customHeight="1"/>
    <row r="3242" ht="18" customHeight="1"/>
    <row r="3243" ht="18" customHeight="1"/>
    <row r="3244" ht="18" customHeight="1"/>
    <row r="3245" ht="18" customHeight="1"/>
    <row r="3246" ht="18" customHeight="1"/>
    <row r="3247" ht="18" customHeight="1"/>
    <row r="3248" ht="18" customHeight="1"/>
    <row r="3249" ht="18" customHeight="1"/>
    <row r="3250" ht="18" customHeight="1"/>
    <row r="3251" ht="18" customHeight="1"/>
    <row r="3252" ht="18" customHeight="1"/>
    <row r="3253" ht="18" customHeight="1"/>
    <row r="3254" ht="18" customHeight="1"/>
    <row r="3255" ht="18" customHeight="1"/>
    <row r="3256" ht="18" customHeight="1"/>
    <row r="3257" ht="18" customHeight="1"/>
    <row r="3258" ht="18" customHeight="1"/>
    <row r="3259" ht="18" customHeight="1"/>
    <row r="3260" ht="18" customHeight="1"/>
    <row r="3261" ht="18" customHeight="1"/>
    <row r="3262" ht="18" customHeight="1"/>
    <row r="3263" ht="18" customHeight="1"/>
    <row r="3264" ht="18" customHeight="1"/>
    <row r="3265" ht="18" customHeight="1"/>
    <row r="3266" ht="18" customHeight="1"/>
    <row r="3267" ht="18" customHeight="1"/>
    <row r="3268" ht="18" customHeight="1"/>
    <row r="3269" ht="18" customHeight="1"/>
    <row r="3270" ht="18" customHeight="1"/>
    <row r="3271" ht="18" customHeight="1"/>
    <row r="3272" ht="18" customHeight="1"/>
    <row r="3273" ht="18" customHeight="1"/>
    <row r="3274" ht="18" customHeight="1"/>
    <row r="3275" ht="18" customHeight="1"/>
    <row r="3276" ht="18" customHeight="1"/>
    <row r="3277" ht="18" customHeight="1"/>
    <row r="3278" ht="18" customHeight="1"/>
    <row r="3279" ht="18" customHeight="1"/>
    <row r="3280" ht="18" customHeight="1"/>
    <row r="3281" ht="18" customHeight="1"/>
    <row r="3282" ht="18" customHeight="1"/>
    <row r="3283" ht="18" customHeight="1"/>
    <row r="3284" ht="18" customHeight="1"/>
    <row r="3285" ht="18" customHeight="1"/>
    <row r="3286" ht="18" customHeight="1"/>
    <row r="3287" ht="18" customHeight="1"/>
    <row r="3288" ht="18" customHeight="1"/>
    <row r="3289" ht="18" customHeight="1"/>
    <row r="3290" ht="18" customHeight="1"/>
    <row r="3291" ht="18" customHeight="1"/>
    <row r="3292" ht="18" customHeight="1"/>
    <row r="3293" ht="18" customHeight="1"/>
    <row r="3294" ht="18" customHeight="1"/>
    <row r="3295" ht="18" customHeight="1"/>
    <row r="3296" ht="18" customHeight="1"/>
    <row r="3297" ht="18" customHeight="1"/>
    <row r="3298" ht="18" customHeight="1"/>
    <row r="3299" ht="18" customHeight="1"/>
    <row r="3300" ht="18" customHeight="1"/>
    <row r="3301" ht="18" customHeight="1"/>
    <row r="3302" ht="18" customHeight="1"/>
    <row r="3303" ht="18" customHeight="1"/>
    <row r="3304" ht="18" customHeight="1"/>
    <row r="3305" ht="18" customHeight="1"/>
    <row r="3306" ht="18" customHeight="1"/>
    <row r="3307" ht="18" customHeight="1"/>
    <row r="3308" ht="18" customHeight="1"/>
    <row r="3309" ht="18" customHeight="1"/>
    <row r="3310" ht="18" customHeight="1"/>
    <row r="3311" ht="18" customHeight="1"/>
    <row r="3312" ht="18" customHeight="1"/>
    <row r="3313" ht="18" customHeight="1"/>
    <row r="3314" ht="18" customHeight="1"/>
    <row r="3315" ht="18" customHeight="1"/>
    <row r="3316" ht="18" customHeight="1"/>
    <row r="3317" ht="18" customHeight="1"/>
    <row r="3318" ht="18" customHeight="1"/>
    <row r="3319" ht="18" customHeight="1"/>
    <row r="3320" ht="18" customHeight="1"/>
    <row r="3321" ht="18" customHeight="1"/>
    <row r="3322" ht="18" customHeight="1"/>
    <row r="3323" ht="18" customHeight="1"/>
    <row r="3324" ht="18" customHeight="1"/>
    <row r="3325" ht="18" customHeight="1"/>
    <row r="3326" ht="18" customHeight="1"/>
    <row r="3327" ht="18" customHeight="1"/>
    <row r="3328" ht="18" customHeight="1"/>
    <row r="3329" ht="18" customHeight="1"/>
    <row r="3330" ht="18" customHeight="1"/>
    <row r="3331" ht="18" customHeight="1"/>
    <row r="3332" ht="18" customHeight="1"/>
    <row r="3333" ht="18" customHeight="1"/>
    <row r="3334" ht="18" customHeight="1"/>
    <row r="3335" ht="18" customHeight="1"/>
    <row r="3336" ht="18" customHeight="1"/>
    <row r="3337" ht="18" customHeight="1"/>
    <row r="3338" ht="18" customHeight="1"/>
    <row r="3339" ht="18" customHeight="1"/>
    <row r="3340" ht="18" customHeight="1"/>
    <row r="3341" ht="18" customHeight="1"/>
    <row r="3342" ht="18" customHeight="1"/>
    <row r="3343" ht="18" customHeight="1"/>
    <row r="3344" ht="18" customHeight="1"/>
    <row r="3345" ht="18" customHeight="1"/>
    <row r="3346" ht="18" customHeight="1"/>
    <row r="3347" ht="18" customHeight="1"/>
    <row r="3348" ht="18" customHeight="1"/>
    <row r="3349" ht="18" customHeight="1"/>
    <row r="3350" ht="18" customHeight="1"/>
    <row r="3351" ht="18" customHeight="1"/>
    <row r="3352" ht="18" customHeight="1"/>
    <row r="3353" ht="18" customHeight="1"/>
    <row r="3354" ht="18" customHeight="1"/>
    <row r="3355" ht="18" customHeight="1"/>
    <row r="3356" ht="18" customHeight="1"/>
    <row r="3357" ht="18" customHeight="1"/>
    <row r="3358" ht="18" customHeight="1"/>
    <row r="3359" ht="18" customHeight="1"/>
    <row r="3360" ht="18" customHeight="1"/>
    <row r="3361" ht="18" customHeight="1"/>
    <row r="3362" ht="18" customHeight="1"/>
    <row r="3363" ht="18" customHeight="1"/>
    <row r="3364" ht="18" customHeight="1"/>
    <row r="3365" ht="18" customHeight="1"/>
    <row r="3366" ht="18" customHeight="1"/>
    <row r="3367" ht="18" customHeight="1"/>
    <row r="3368" ht="18" customHeight="1"/>
    <row r="3369" ht="18" customHeight="1"/>
    <row r="3370" ht="18" customHeight="1"/>
    <row r="3371" ht="18" customHeight="1"/>
    <row r="3372" ht="18" customHeight="1"/>
    <row r="3373" ht="18" customHeight="1"/>
    <row r="3374" ht="18" customHeight="1"/>
    <row r="3375" ht="18" customHeight="1"/>
    <row r="3376" ht="18" customHeight="1"/>
    <row r="3377" ht="18" customHeight="1"/>
    <row r="3378" ht="18" customHeight="1"/>
    <row r="3379" ht="18" customHeight="1"/>
    <row r="3380" ht="18" customHeight="1"/>
    <row r="3381" ht="18" customHeight="1"/>
    <row r="3382" ht="18" customHeight="1"/>
    <row r="3383" ht="18" customHeight="1"/>
    <row r="3384" ht="18" customHeight="1"/>
    <row r="3385" ht="18" customHeight="1"/>
    <row r="3386" ht="18" customHeight="1"/>
    <row r="3387" ht="18" customHeight="1"/>
    <row r="3388" ht="18" customHeight="1"/>
    <row r="3389" ht="18" customHeight="1"/>
    <row r="3390" ht="18" customHeight="1"/>
    <row r="3391" ht="18" customHeight="1"/>
    <row r="3392" ht="18" customHeight="1"/>
    <row r="3393" ht="18" customHeight="1"/>
    <row r="3394" ht="18" customHeight="1"/>
    <row r="3395" ht="18" customHeight="1"/>
    <row r="3396" ht="18" customHeight="1"/>
    <row r="3397" ht="18" customHeight="1"/>
    <row r="3398" ht="18" customHeight="1"/>
    <row r="3399" ht="18" customHeight="1"/>
    <row r="3400" ht="18" customHeight="1"/>
    <row r="3401" ht="18" customHeight="1"/>
    <row r="3402" ht="18" customHeight="1"/>
    <row r="3403" ht="18" customHeight="1"/>
    <row r="3404" ht="18" customHeight="1"/>
    <row r="3405" ht="18" customHeight="1"/>
    <row r="3406" ht="18" customHeight="1"/>
    <row r="3407" ht="18" customHeight="1"/>
    <row r="3408" ht="18" customHeight="1"/>
    <row r="3409" ht="18" customHeight="1"/>
    <row r="3410" ht="18" customHeight="1"/>
    <row r="3411" ht="18" customHeight="1"/>
    <row r="3412" ht="18" customHeight="1"/>
    <row r="3413" ht="18" customHeight="1"/>
    <row r="3414" ht="18" customHeight="1"/>
    <row r="3415" ht="18" customHeight="1"/>
    <row r="3416" ht="18" customHeight="1"/>
    <row r="3417" ht="18" customHeight="1"/>
    <row r="3418" ht="18" customHeight="1"/>
    <row r="3419" ht="18" customHeight="1"/>
    <row r="3420" ht="18" customHeight="1"/>
    <row r="3421" ht="18" customHeight="1"/>
    <row r="3422" ht="18" customHeight="1"/>
    <row r="3423" ht="18" customHeight="1"/>
    <row r="3424" ht="18" customHeight="1"/>
    <row r="3425" ht="18" customHeight="1"/>
    <row r="3426" ht="18" customHeight="1"/>
    <row r="3427" ht="18" customHeight="1"/>
    <row r="3428" ht="18" customHeight="1"/>
    <row r="3429" ht="18" customHeight="1"/>
    <row r="3430" ht="18" customHeight="1"/>
    <row r="3431" ht="18" customHeight="1"/>
    <row r="3432" ht="18" customHeight="1"/>
    <row r="3433" ht="18" customHeight="1"/>
    <row r="3434" ht="18" customHeight="1"/>
    <row r="3435" ht="18" customHeight="1"/>
    <row r="3436" ht="18" customHeight="1"/>
    <row r="3437" ht="18" customHeight="1"/>
    <row r="3438" ht="18" customHeight="1"/>
    <row r="3439" ht="18" customHeight="1"/>
    <row r="3440" ht="18" customHeight="1"/>
    <row r="3441" ht="18" customHeight="1"/>
    <row r="3442" ht="18" customHeight="1"/>
    <row r="3443" ht="18" customHeight="1"/>
    <row r="3444" ht="18" customHeight="1"/>
    <row r="3445" ht="18" customHeight="1"/>
    <row r="3446" ht="18" customHeight="1"/>
    <row r="3447" ht="18" customHeight="1"/>
    <row r="3448" ht="18" customHeight="1"/>
    <row r="3449" ht="18" customHeight="1"/>
    <row r="3450" ht="18" customHeight="1"/>
    <row r="3451" ht="18" customHeight="1"/>
    <row r="3452" ht="18" customHeight="1"/>
    <row r="3453" ht="18" customHeight="1"/>
    <row r="3454" ht="18" customHeight="1"/>
    <row r="3455" ht="18" customHeight="1"/>
    <row r="3456" ht="18" customHeight="1"/>
    <row r="3457" ht="18" customHeight="1"/>
    <row r="3458" ht="18" customHeight="1"/>
    <row r="3459" ht="18" customHeight="1"/>
    <row r="3460" ht="18" customHeight="1"/>
    <row r="3461" ht="18" customHeight="1"/>
    <row r="3462" ht="18" customHeight="1"/>
    <row r="3463" ht="18" customHeight="1"/>
    <row r="3464" ht="18" customHeight="1"/>
    <row r="3465" ht="18" customHeight="1"/>
    <row r="3466" ht="18" customHeight="1"/>
    <row r="3467" ht="18" customHeight="1"/>
    <row r="3468" ht="18" customHeight="1"/>
    <row r="3469" ht="18" customHeight="1"/>
    <row r="3470" ht="18" customHeight="1"/>
    <row r="3471" ht="18" customHeight="1"/>
    <row r="3472" ht="18" customHeight="1"/>
    <row r="3473" ht="18" customHeight="1"/>
    <row r="3474" ht="18" customHeight="1"/>
    <row r="3475" ht="18" customHeight="1"/>
    <row r="3476" ht="18" customHeight="1"/>
    <row r="3477" ht="18" customHeight="1"/>
    <row r="3478" ht="18" customHeight="1"/>
    <row r="3479" ht="18" customHeight="1"/>
    <row r="3480" ht="18" customHeight="1"/>
    <row r="3481" ht="18" customHeight="1"/>
    <row r="3482" ht="18" customHeight="1"/>
    <row r="3483" ht="18" customHeight="1"/>
    <row r="3484" ht="18" customHeight="1"/>
    <row r="3485" ht="18" customHeight="1"/>
    <row r="3486" ht="18" customHeight="1"/>
    <row r="3487" ht="18" customHeight="1"/>
    <row r="3488" ht="18" customHeight="1"/>
    <row r="3489" ht="18" customHeight="1"/>
    <row r="3490" ht="18" customHeight="1"/>
    <row r="3491" ht="18" customHeight="1"/>
    <row r="3492" ht="18" customHeight="1"/>
    <row r="3493" ht="18" customHeight="1"/>
    <row r="3494" ht="18" customHeight="1"/>
    <row r="3495" ht="18" customHeight="1"/>
    <row r="3496" ht="18" customHeight="1"/>
    <row r="3497" ht="18" customHeight="1"/>
    <row r="3498" ht="18" customHeight="1"/>
    <row r="3499" ht="18" customHeight="1"/>
    <row r="3500" ht="18" customHeight="1"/>
    <row r="3501" ht="18" customHeight="1"/>
    <row r="3502" ht="18" customHeight="1"/>
    <row r="3503" ht="18" customHeight="1"/>
    <row r="3504" ht="18" customHeight="1"/>
    <row r="3505" ht="18" customHeight="1"/>
    <row r="3506" ht="18" customHeight="1"/>
    <row r="3507" ht="18" customHeight="1"/>
    <row r="3508" ht="18" customHeight="1"/>
    <row r="3509" ht="18" customHeight="1"/>
    <row r="3510" ht="18" customHeight="1"/>
    <row r="3511" ht="18" customHeight="1"/>
    <row r="3512" ht="18" customHeight="1"/>
    <row r="3513" ht="18" customHeight="1"/>
    <row r="3514" ht="18" customHeight="1"/>
    <row r="3515" ht="18" customHeight="1"/>
    <row r="3516" ht="18" customHeight="1"/>
    <row r="3517" ht="18" customHeight="1"/>
    <row r="3518" ht="18" customHeight="1"/>
    <row r="3519" ht="18" customHeight="1"/>
    <row r="3520" ht="18" customHeight="1"/>
    <row r="3521" ht="18" customHeight="1"/>
    <row r="3522" ht="18" customHeight="1"/>
    <row r="3523" ht="18" customHeight="1"/>
    <row r="3524" ht="18" customHeight="1"/>
    <row r="3525" ht="18" customHeight="1"/>
    <row r="3526" ht="18" customHeight="1"/>
    <row r="3527" ht="18" customHeight="1"/>
    <row r="3528" ht="18" customHeight="1"/>
    <row r="3529" ht="18" customHeight="1"/>
    <row r="3530" ht="18" customHeight="1"/>
    <row r="3531" ht="18" customHeight="1"/>
    <row r="3532" ht="18" customHeight="1"/>
    <row r="3533" ht="18" customHeight="1"/>
    <row r="3534" ht="18" customHeight="1"/>
    <row r="3535" ht="18" customHeight="1"/>
    <row r="3536" ht="18" customHeight="1"/>
    <row r="3537" ht="18" customHeight="1"/>
    <row r="3538" ht="18" customHeight="1"/>
    <row r="3539" ht="18" customHeight="1"/>
    <row r="3540" ht="18" customHeight="1"/>
    <row r="3541" ht="18" customHeight="1"/>
    <row r="3542" ht="18" customHeight="1"/>
    <row r="3543" ht="18" customHeight="1"/>
    <row r="3544" ht="18" customHeight="1"/>
    <row r="3545" ht="18" customHeight="1"/>
    <row r="3546" ht="18" customHeight="1"/>
    <row r="3547" ht="18" customHeight="1"/>
    <row r="3548" ht="18" customHeight="1"/>
    <row r="3549" ht="18" customHeight="1"/>
    <row r="3550" ht="18" customHeight="1"/>
    <row r="3551" ht="18" customHeight="1"/>
    <row r="3552" ht="18" customHeight="1"/>
    <row r="3553" ht="18" customHeight="1"/>
    <row r="3554" ht="18" customHeight="1"/>
    <row r="3555" ht="18" customHeight="1"/>
    <row r="3556" ht="18" customHeight="1"/>
    <row r="3557" ht="18" customHeight="1"/>
    <row r="3558" ht="18" customHeight="1"/>
    <row r="3559" ht="18" customHeight="1"/>
    <row r="3560" ht="18" customHeight="1"/>
    <row r="3561" ht="18" customHeight="1"/>
    <row r="3562" ht="18" customHeight="1"/>
    <row r="3563" ht="18" customHeight="1"/>
    <row r="3564" ht="18" customHeight="1"/>
    <row r="3565" ht="18" customHeight="1"/>
    <row r="3566" ht="18" customHeight="1"/>
    <row r="3567" ht="18" customHeight="1"/>
    <row r="3568" ht="18" customHeight="1"/>
    <row r="3569" ht="18" customHeight="1"/>
    <row r="3570" ht="18" customHeight="1"/>
    <row r="3571" ht="18" customHeight="1"/>
    <row r="3572" ht="18" customHeight="1"/>
    <row r="3573" ht="18" customHeight="1"/>
    <row r="3574" ht="18" customHeight="1"/>
    <row r="3575" ht="18" customHeight="1"/>
    <row r="3576" ht="18" customHeight="1"/>
    <row r="3577" ht="18" customHeight="1"/>
    <row r="3578" ht="18" customHeight="1"/>
    <row r="3579" ht="18" customHeight="1"/>
    <row r="3580" ht="18" customHeight="1"/>
    <row r="3581" ht="18" customHeight="1"/>
    <row r="3582" ht="18" customHeight="1"/>
    <row r="3583" ht="18" customHeight="1"/>
    <row r="3584" ht="18" customHeight="1"/>
    <row r="3585" ht="18" customHeight="1"/>
    <row r="3586" ht="18" customHeight="1"/>
    <row r="3587" ht="18" customHeight="1"/>
    <row r="3588" ht="18" customHeight="1"/>
    <row r="3589" ht="18" customHeight="1"/>
    <row r="3590" ht="18" customHeight="1"/>
    <row r="3591" ht="18" customHeight="1"/>
    <row r="3592" ht="18" customHeight="1"/>
    <row r="3593" ht="18" customHeight="1"/>
    <row r="3594" ht="18" customHeight="1"/>
    <row r="3595" ht="18" customHeight="1"/>
    <row r="3596" ht="18" customHeight="1"/>
    <row r="3597" ht="18" customHeight="1"/>
    <row r="3598" ht="18" customHeight="1"/>
    <row r="3599" ht="18" customHeight="1"/>
    <row r="3600" ht="18" customHeight="1"/>
    <row r="3601" ht="18" customHeight="1"/>
    <row r="3602" ht="18" customHeight="1"/>
    <row r="3603" ht="18" customHeight="1"/>
    <row r="3604" ht="18" customHeight="1"/>
    <row r="3605" ht="18" customHeight="1"/>
    <row r="3606" ht="18" customHeight="1"/>
    <row r="3607" ht="18" customHeight="1"/>
    <row r="3608" ht="18" customHeight="1"/>
    <row r="3609" ht="18" customHeight="1"/>
    <row r="3610" ht="18" customHeight="1"/>
    <row r="3611" ht="18" customHeight="1"/>
    <row r="3612" ht="18" customHeight="1"/>
    <row r="3613" ht="18" customHeight="1"/>
    <row r="3614" ht="18" customHeight="1"/>
    <row r="3615" ht="18" customHeight="1"/>
    <row r="3616" ht="18" customHeight="1"/>
    <row r="3617" ht="18" customHeight="1"/>
    <row r="3618" ht="18" customHeight="1"/>
    <row r="3619" ht="18" customHeight="1"/>
    <row r="3620" ht="18" customHeight="1"/>
    <row r="3621" ht="18" customHeight="1"/>
    <row r="3622" ht="18" customHeight="1"/>
    <row r="3623" ht="18" customHeight="1"/>
    <row r="3624" ht="18" customHeight="1"/>
    <row r="3625" ht="18" customHeight="1"/>
    <row r="3626" ht="18" customHeight="1"/>
    <row r="3627" ht="18" customHeight="1"/>
    <row r="3628" ht="18" customHeight="1"/>
    <row r="3629" ht="18" customHeight="1"/>
    <row r="3630" ht="18" customHeight="1"/>
    <row r="3631" ht="18" customHeight="1"/>
    <row r="3632" ht="18" customHeight="1"/>
    <row r="3633" ht="18" customHeight="1"/>
    <row r="3634" ht="18" customHeight="1"/>
    <row r="3635" ht="18" customHeight="1"/>
    <row r="3636" ht="18" customHeight="1"/>
    <row r="3637" ht="18" customHeight="1"/>
    <row r="3638" ht="18" customHeight="1"/>
    <row r="3639" ht="18" customHeight="1"/>
    <row r="3640" ht="18" customHeight="1"/>
    <row r="3641" ht="18" customHeight="1"/>
    <row r="3642" ht="18" customHeight="1"/>
    <row r="3643" ht="18" customHeight="1"/>
    <row r="3644" ht="18" customHeight="1"/>
    <row r="3645" ht="18" customHeight="1"/>
    <row r="3646" ht="18" customHeight="1"/>
    <row r="3647" ht="18" customHeight="1"/>
    <row r="3648" ht="18" customHeight="1"/>
    <row r="3649" ht="18" customHeight="1"/>
    <row r="3650" ht="18" customHeight="1"/>
    <row r="3651" ht="18" customHeight="1"/>
    <row r="3652" ht="18" customHeight="1"/>
    <row r="3653" ht="18" customHeight="1"/>
    <row r="3654" ht="18" customHeight="1"/>
    <row r="3655" ht="18" customHeight="1"/>
    <row r="3656" ht="18" customHeight="1"/>
    <row r="3657" ht="18" customHeight="1"/>
    <row r="3658" ht="18" customHeight="1"/>
    <row r="3659" ht="18" customHeight="1"/>
    <row r="3660" ht="18" customHeight="1"/>
    <row r="3661" ht="18" customHeight="1"/>
    <row r="3662" ht="18" customHeight="1"/>
    <row r="3663" ht="18" customHeight="1"/>
    <row r="3664" ht="18" customHeight="1"/>
    <row r="3665" ht="18" customHeight="1"/>
    <row r="3666" ht="18" customHeight="1"/>
    <row r="3667" ht="18" customHeight="1"/>
    <row r="3668" ht="18" customHeight="1"/>
    <row r="3669" ht="18" customHeight="1"/>
    <row r="3670" ht="18" customHeight="1"/>
    <row r="3671" ht="18" customHeight="1"/>
    <row r="3672" ht="18" customHeight="1"/>
    <row r="3673" ht="18" customHeight="1"/>
    <row r="3674" ht="18" customHeight="1"/>
    <row r="3675" ht="18" customHeight="1"/>
    <row r="3676" ht="18" customHeight="1"/>
    <row r="3677" ht="18" customHeight="1"/>
    <row r="3678" ht="18" customHeight="1"/>
    <row r="3679" ht="18" customHeight="1"/>
    <row r="3680" ht="18" customHeight="1"/>
    <row r="3681" ht="18" customHeight="1"/>
    <row r="3682" ht="18" customHeight="1"/>
    <row r="3683" ht="18" customHeight="1"/>
    <row r="3684" ht="18" customHeight="1"/>
    <row r="3685" ht="18" customHeight="1"/>
    <row r="3686" ht="18" customHeight="1"/>
    <row r="3687" ht="18" customHeight="1"/>
    <row r="3688" ht="18" customHeight="1"/>
    <row r="3689" ht="18" customHeight="1"/>
    <row r="3690" ht="18" customHeight="1"/>
    <row r="3691" ht="18" customHeight="1"/>
    <row r="3692" ht="18" customHeight="1"/>
    <row r="3693" ht="18" customHeight="1"/>
    <row r="3694" ht="18" customHeight="1"/>
    <row r="3695" ht="18" customHeight="1"/>
    <row r="3696" ht="18" customHeight="1"/>
    <row r="3697" ht="18" customHeight="1"/>
    <row r="3698" ht="18" customHeight="1"/>
    <row r="3699" ht="18" customHeight="1"/>
    <row r="3700" ht="18" customHeight="1"/>
    <row r="3701" ht="18" customHeight="1"/>
    <row r="3702" ht="18" customHeight="1"/>
    <row r="3703" ht="18" customHeight="1"/>
    <row r="3704" ht="18" customHeight="1"/>
    <row r="3705" ht="18" customHeight="1"/>
    <row r="3706" ht="18" customHeight="1"/>
    <row r="3707" ht="18" customHeight="1"/>
    <row r="3708" ht="18" customHeight="1"/>
    <row r="3709" ht="18" customHeight="1"/>
    <row r="3710" ht="18" customHeight="1"/>
    <row r="3711" ht="18" customHeight="1"/>
    <row r="3712" ht="18" customHeight="1"/>
    <row r="3713" ht="18" customHeight="1"/>
    <row r="3714" ht="18" customHeight="1"/>
    <row r="3715" ht="18" customHeight="1"/>
    <row r="3716" ht="18" customHeight="1"/>
    <row r="3717" ht="18" customHeight="1"/>
    <row r="3718" ht="18" customHeight="1"/>
    <row r="3719" ht="18" customHeight="1"/>
    <row r="3720" ht="18" customHeight="1"/>
    <row r="3721" ht="18" customHeight="1"/>
    <row r="3722" ht="18" customHeight="1"/>
    <row r="3723" ht="18" customHeight="1"/>
    <row r="3724" ht="18" customHeight="1"/>
    <row r="3725" ht="18" customHeight="1"/>
    <row r="3726" ht="18" customHeight="1"/>
    <row r="3727" ht="18" customHeight="1"/>
    <row r="3728" ht="18" customHeight="1"/>
    <row r="3729" ht="18" customHeight="1"/>
    <row r="3730" ht="18" customHeight="1"/>
    <row r="3731" ht="18" customHeight="1"/>
    <row r="3732" ht="18" customHeight="1"/>
    <row r="3733" ht="18" customHeight="1"/>
    <row r="3734" ht="18" customHeight="1"/>
    <row r="3735" ht="18" customHeight="1"/>
    <row r="3736" ht="18" customHeight="1"/>
    <row r="3737" ht="18" customHeight="1"/>
    <row r="3738" ht="18" customHeight="1"/>
    <row r="3739" ht="18" customHeight="1"/>
    <row r="3740" ht="18" customHeight="1"/>
    <row r="3741" ht="18" customHeight="1"/>
    <row r="3742" ht="18" customHeight="1"/>
    <row r="3743" ht="18" customHeight="1"/>
    <row r="3744" ht="18" customHeight="1"/>
    <row r="3745" ht="18" customHeight="1"/>
    <row r="3746" ht="18" customHeight="1"/>
    <row r="3747" ht="18" customHeight="1"/>
    <row r="3748" ht="18" customHeight="1"/>
    <row r="3749" ht="18" customHeight="1"/>
    <row r="3750" ht="18" customHeight="1"/>
    <row r="3751" ht="18" customHeight="1"/>
    <row r="3752" ht="18" customHeight="1"/>
    <row r="3753" ht="18" customHeight="1"/>
    <row r="3754" ht="18" customHeight="1"/>
    <row r="3755" ht="18" customHeight="1"/>
    <row r="3756" ht="18" customHeight="1"/>
    <row r="3757" ht="18" customHeight="1"/>
    <row r="3758" ht="18" customHeight="1"/>
    <row r="3759" ht="18" customHeight="1"/>
    <row r="3760" ht="18" customHeight="1"/>
    <row r="3761" ht="18" customHeight="1"/>
    <row r="3762" ht="18" customHeight="1"/>
    <row r="3763" ht="18" customHeight="1"/>
    <row r="3764" ht="18" customHeight="1"/>
    <row r="3765" ht="18" customHeight="1"/>
    <row r="3766" ht="18" customHeight="1"/>
    <row r="3767" ht="18" customHeight="1"/>
    <row r="3768" ht="18" customHeight="1"/>
    <row r="3769" ht="18" customHeight="1"/>
    <row r="3770" ht="18" customHeight="1"/>
    <row r="3771" ht="18" customHeight="1"/>
    <row r="3772" ht="18" customHeight="1"/>
    <row r="3773" ht="18" customHeight="1"/>
    <row r="3774" ht="18" customHeight="1"/>
    <row r="3775" ht="18" customHeight="1"/>
    <row r="3776" ht="18" customHeight="1"/>
    <row r="3777" ht="18" customHeight="1"/>
    <row r="3778" ht="18" customHeight="1"/>
    <row r="3779" ht="18" customHeight="1"/>
    <row r="3780" ht="18" customHeight="1"/>
    <row r="3781" ht="18" customHeight="1"/>
    <row r="3782" ht="18" customHeight="1"/>
    <row r="3783" ht="18" customHeight="1"/>
    <row r="3784" ht="18" customHeight="1"/>
    <row r="3785" ht="18" customHeight="1"/>
    <row r="3786" ht="18" customHeight="1"/>
    <row r="3787" ht="18" customHeight="1"/>
    <row r="3788" ht="18" customHeight="1"/>
    <row r="3789" ht="18" customHeight="1"/>
    <row r="3790" ht="18" customHeight="1"/>
    <row r="3791" ht="18" customHeight="1"/>
    <row r="3792" ht="18" customHeight="1"/>
    <row r="3793" ht="18" customHeight="1"/>
    <row r="3794" ht="18" customHeight="1"/>
    <row r="3795" ht="18" customHeight="1"/>
    <row r="3796" ht="18" customHeight="1"/>
    <row r="3797" ht="18" customHeight="1"/>
    <row r="3798" ht="18" customHeight="1"/>
    <row r="3799" ht="18" customHeight="1"/>
    <row r="3800" ht="18" customHeight="1"/>
    <row r="3801" ht="18" customHeight="1"/>
    <row r="3802" ht="18" customHeight="1"/>
    <row r="3803" ht="18" customHeight="1"/>
    <row r="3804" ht="18" customHeight="1"/>
    <row r="3805" ht="18" customHeight="1"/>
    <row r="3806" ht="18" customHeight="1"/>
    <row r="3807" ht="18" customHeight="1"/>
    <row r="3808" ht="18" customHeight="1"/>
    <row r="3809" ht="18" customHeight="1"/>
    <row r="3810" ht="18" customHeight="1"/>
    <row r="3811" ht="18" customHeight="1"/>
    <row r="3812" ht="18" customHeight="1"/>
    <row r="3813" ht="18" customHeight="1"/>
    <row r="3814" ht="18" customHeight="1"/>
    <row r="3815" ht="18" customHeight="1"/>
    <row r="3816" ht="18" customHeight="1"/>
    <row r="3817" ht="18" customHeight="1"/>
    <row r="3818" ht="18" customHeight="1"/>
    <row r="3819" ht="18" customHeight="1"/>
    <row r="3820" ht="18" customHeight="1"/>
    <row r="3821" ht="18" customHeight="1"/>
    <row r="3822" ht="18" customHeight="1"/>
    <row r="3823" ht="18" customHeight="1"/>
    <row r="3824" ht="18" customHeight="1"/>
    <row r="3825" ht="18" customHeight="1"/>
    <row r="3826" ht="18" customHeight="1"/>
    <row r="3827" ht="18" customHeight="1"/>
    <row r="3828" ht="18" customHeight="1"/>
    <row r="3829" ht="18" customHeight="1"/>
    <row r="3830" ht="18" customHeight="1"/>
    <row r="3831" ht="18" customHeight="1"/>
    <row r="3832" ht="18" customHeight="1"/>
    <row r="3833" ht="18" customHeight="1"/>
    <row r="3834" ht="18" customHeight="1"/>
    <row r="3835" ht="18" customHeight="1"/>
    <row r="3836" ht="18" customHeight="1"/>
    <row r="3837" ht="18" customHeight="1"/>
    <row r="3838" ht="18" customHeight="1"/>
    <row r="3839" ht="18" customHeight="1"/>
    <row r="3840" ht="18" customHeight="1"/>
    <row r="3841" ht="18" customHeight="1"/>
    <row r="3842" ht="18" customHeight="1"/>
    <row r="3843" ht="18" customHeight="1"/>
    <row r="3844" ht="18" customHeight="1"/>
    <row r="3845" ht="18" customHeight="1"/>
    <row r="3846" ht="18" customHeight="1"/>
    <row r="3847" ht="18" customHeight="1"/>
    <row r="3848" ht="18" customHeight="1"/>
    <row r="3849" ht="18" customHeight="1"/>
    <row r="3850" ht="18" customHeight="1"/>
    <row r="3851" ht="18" customHeight="1"/>
    <row r="3852" ht="18" customHeight="1"/>
    <row r="3853" ht="18" customHeight="1"/>
    <row r="3854" ht="18" customHeight="1"/>
    <row r="3855" ht="18" customHeight="1"/>
    <row r="3856" ht="18" customHeight="1"/>
    <row r="3857" ht="18" customHeight="1"/>
    <row r="3858" ht="18" customHeight="1"/>
    <row r="3859" ht="18" customHeight="1"/>
    <row r="3860" ht="18" customHeight="1"/>
    <row r="3861" ht="18" customHeight="1"/>
    <row r="3862" ht="18" customHeight="1"/>
    <row r="3863" ht="18" customHeight="1"/>
    <row r="3864" ht="18" customHeight="1"/>
    <row r="3865" ht="18" customHeight="1"/>
    <row r="3866" ht="18" customHeight="1"/>
    <row r="3867" ht="18" customHeight="1"/>
    <row r="3868" ht="18" customHeight="1"/>
    <row r="3869" ht="18" customHeight="1"/>
    <row r="3870" ht="18" customHeight="1"/>
    <row r="3871" ht="18" customHeight="1"/>
    <row r="3872" ht="18" customHeight="1"/>
    <row r="3873" ht="18" customHeight="1"/>
    <row r="3874" ht="18" customHeight="1"/>
    <row r="3875" ht="18" customHeight="1"/>
    <row r="3876" ht="18" customHeight="1"/>
    <row r="3877" ht="18" customHeight="1"/>
    <row r="3878" ht="18" customHeight="1"/>
    <row r="3879" ht="18" customHeight="1"/>
    <row r="3880" ht="18" customHeight="1"/>
    <row r="3881" ht="18" customHeight="1"/>
    <row r="3882" ht="18" customHeight="1"/>
    <row r="3883" ht="18" customHeight="1"/>
    <row r="3884" ht="18" customHeight="1"/>
    <row r="3885" ht="18" customHeight="1"/>
    <row r="3886" ht="18" customHeight="1"/>
    <row r="3887" ht="18" customHeight="1"/>
    <row r="3888" ht="18" customHeight="1"/>
    <row r="3889" ht="18" customHeight="1"/>
    <row r="3890" ht="18" customHeight="1"/>
    <row r="3891" ht="18" customHeight="1"/>
    <row r="3892" ht="18" customHeight="1"/>
    <row r="3893" ht="18" customHeight="1"/>
    <row r="3894" ht="18" customHeight="1"/>
    <row r="3895" ht="18" customHeight="1"/>
    <row r="3896" ht="18" customHeight="1"/>
    <row r="3897" ht="18" customHeight="1"/>
    <row r="3898" ht="18" customHeight="1"/>
    <row r="3899" ht="18" customHeight="1"/>
    <row r="3900" ht="18" customHeight="1"/>
    <row r="3901" ht="18" customHeight="1"/>
    <row r="3902" ht="18" customHeight="1"/>
    <row r="3903" ht="18" customHeight="1"/>
    <row r="3904" ht="18" customHeight="1"/>
    <row r="3905" ht="18" customHeight="1"/>
    <row r="3906" ht="18" customHeight="1"/>
    <row r="3907" ht="18" customHeight="1"/>
    <row r="3908" ht="18" customHeight="1"/>
    <row r="3909" ht="18" customHeight="1"/>
    <row r="3910" ht="18" customHeight="1"/>
    <row r="3911" ht="18" customHeight="1"/>
    <row r="3912" ht="18" customHeight="1"/>
    <row r="3913" ht="18" customHeight="1"/>
    <row r="3914" ht="18" customHeight="1"/>
    <row r="3915" ht="18" customHeight="1"/>
    <row r="3916" ht="18" customHeight="1"/>
    <row r="3917" ht="18" customHeight="1"/>
    <row r="3918" ht="18" customHeight="1"/>
    <row r="3919" ht="18" customHeight="1"/>
    <row r="3920" ht="18" customHeight="1"/>
    <row r="3921" ht="18" customHeight="1"/>
    <row r="3922" ht="18" customHeight="1"/>
    <row r="3923" ht="18" customHeight="1"/>
    <row r="3924" ht="18" customHeight="1"/>
    <row r="3925" ht="18" customHeight="1"/>
    <row r="3926" ht="18" customHeight="1"/>
    <row r="3927" ht="18" customHeight="1"/>
    <row r="3928" ht="18" customHeight="1"/>
    <row r="3929" ht="18" customHeight="1"/>
    <row r="3930" ht="18" customHeight="1"/>
    <row r="3931" ht="18" customHeight="1"/>
    <row r="3932" ht="18" customHeight="1"/>
    <row r="3933" ht="18" customHeight="1"/>
    <row r="3934" ht="18" customHeight="1"/>
    <row r="3935" ht="18" customHeight="1"/>
    <row r="3936" ht="18" customHeight="1"/>
    <row r="3937" ht="18" customHeight="1"/>
    <row r="3938" ht="18" customHeight="1"/>
    <row r="3939" ht="18" customHeight="1"/>
    <row r="3940" ht="18" customHeight="1"/>
    <row r="3941" ht="18" customHeight="1"/>
    <row r="3942" ht="18" customHeight="1"/>
    <row r="3943" ht="18" customHeight="1"/>
    <row r="3944" ht="18" customHeight="1"/>
    <row r="3945" ht="18" customHeight="1"/>
    <row r="3946" ht="18" customHeight="1"/>
    <row r="3947" ht="18" customHeight="1"/>
    <row r="3948" ht="18" customHeight="1"/>
    <row r="3949" ht="18" customHeight="1"/>
    <row r="3950" ht="18" customHeight="1"/>
    <row r="3951" ht="18" customHeight="1"/>
    <row r="3952" ht="18" customHeight="1"/>
    <row r="3953" ht="18" customHeight="1"/>
    <row r="3954" ht="18" customHeight="1"/>
    <row r="3955" ht="18" customHeight="1"/>
    <row r="3956" ht="18" customHeight="1"/>
    <row r="3957" ht="18" customHeight="1"/>
    <row r="3958" ht="18" customHeight="1"/>
    <row r="3959" ht="18" customHeight="1"/>
    <row r="3960" ht="18" customHeight="1"/>
    <row r="3961" ht="18" customHeight="1"/>
    <row r="3962" ht="18" customHeight="1"/>
    <row r="3963" ht="18" customHeight="1"/>
    <row r="3964" ht="18" customHeight="1"/>
    <row r="3965" ht="18" customHeight="1"/>
    <row r="3966" ht="18" customHeight="1"/>
    <row r="3967" ht="18" customHeight="1"/>
    <row r="3968" ht="18" customHeight="1"/>
    <row r="3969" ht="18" customHeight="1"/>
    <row r="3970" ht="18" customHeight="1"/>
    <row r="3971" ht="18" customHeight="1"/>
    <row r="3972" ht="18" customHeight="1"/>
    <row r="3973" ht="18" customHeight="1"/>
    <row r="3974" ht="18" customHeight="1"/>
    <row r="3975" ht="18" customHeight="1"/>
    <row r="3976" ht="18" customHeight="1"/>
    <row r="3977" ht="18" customHeight="1"/>
    <row r="3978" ht="18" customHeight="1"/>
    <row r="3979" ht="18" customHeight="1"/>
    <row r="3980" ht="18" customHeight="1"/>
    <row r="3981" ht="18" customHeight="1"/>
    <row r="3982" ht="18" customHeight="1"/>
    <row r="3983" ht="18" customHeight="1"/>
    <row r="3984" ht="18" customHeight="1"/>
    <row r="3985" ht="18" customHeight="1"/>
    <row r="3986" ht="18" customHeight="1"/>
    <row r="3987" ht="18" customHeight="1"/>
    <row r="3988" ht="18" customHeight="1"/>
    <row r="3989" ht="18" customHeight="1"/>
    <row r="3990" ht="18" customHeight="1"/>
    <row r="3991" ht="18" customHeight="1"/>
    <row r="3992" ht="18" customHeight="1"/>
    <row r="3993" ht="18" customHeight="1"/>
    <row r="3994" ht="18" customHeight="1"/>
    <row r="3995" ht="18" customHeight="1"/>
    <row r="3996" ht="18" customHeight="1"/>
    <row r="3997" ht="18" customHeight="1"/>
    <row r="3998" ht="18" customHeight="1"/>
    <row r="3999" ht="18" customHeight="1"/>
    <row r="4000" ht="18" customHeight="1"/>
    <row r="4001" ht="18" customHeight="1"/>
    <row r="4002" ht="18" customHeight="1"/>
    <row r="4003" ht="18" customHeight="1"/>
    <row r="4004" ht="18" customHeight="1"/>
    <row r="4005" ht="18" customHeight="1"/>
    <row r="4006" ht="18" customHeight="1"/>
    <row r="4007" ht="18" customHeight="1"/>
    <row r="4008" ht="18" customHeight="1"/>
    <row r="4009" ht="18" customHeight="1"/>
    <row r="4010" ht="18" customHeight="1"/>
    <row r="4011" ht="18" customHeight="1"/>
    <row r="4012" ht="18" customHeight="1"/>
    <row r="4013" ht="18" customHeight="1"/>
    <row r="4014" ht="18" customHeight="1"/>
    <row r="4015" ht="18" customHeight="1"/>
    <row r="4016" ht="18" customHeight="1"/>
    <row r="4017" ht="18" customHeight="1"/>
    <row r="4018" ht="18" customHeight="1"/>
    <row r="4019" ht="18" customHeight="1"/>
    <row r="4020" ht="18" customHeight="1"/>
    <row r="4021" ht="18" customHeight="1"/>
    <row r="4022" ht="18" customHeight="1"/>
    <row r="4023" ht="18" customHeight="1"/>
    <row r="4024" ht="18" customHeight="1"/>
    <row r="4025" ht="18" customHeight="1"/>
    <row r="4026" ht="18" customHeight="1"/>
    <row r="4027" ht="18" customHeight="1"/>
    <row r="4028" ht="18" customHeight="1"/>
    <row r="4029" ht="18" customHeight="1"/>
    <row r="4030" ht="18" customHeight="1"/>
    <row r="4031" ht="18" customHeight="1"/>
    <row r="4032" ht="18" customHeight="1"/>
    <row r="4033" ht="18" customHeight="1"/>
    <row r="4034" ht="18" customHeight="1"/>
    <row r="4035" ht="18" customHeight="1"/>
    <row r="4036" ht="18" customHeight="1"/>
    <row r="4037" ht="18" customHeight="1"/>
    <row r="4038" ht="18" customHeight="1"/>
    <row r="4039" ht="18" customHeight="1"/>
    <row r="4040" ht="18" customHeight="1"/>
    <row r="4041" ht="18" customHeight="1"/>
    <row r="4042" ht="18" customHeight="1"/>
    <row r="4043" ht="18" customHeight="1"/>
    <row r="4044" ht="18" customHeight="1"/>
    <row r="4045" ht="18" customHeight="1"/>
    <row r="4046" ht="18" customHeight="1"/>
    <row r="4047" ht="18" customHeight="1"/>
    <row r="4048" ht="18" customHeight="1"/>
    <row r="4049" ht="18" customHeight="1"/>
    <row r="4050" ht="18" customHeight="1"/>
    <row r="4051" ht="18" customHeight="1"/>
    <row r="4052" ht="18" customHeight="1"/>
    <row r="4053" ht="18" customHeight="1"/>
    <row r="4054" ht="18" customHeight="1"/>
    <row r="4055" ht="18" customHeight="1"/>
    <row r="4056" ht="18" customHeight="1"/>
    <row r="4057" ht="18" customHeight="1"/>
    <row r="4058" ht="18" customHeight="1"/>
    <row r="4059" ht="18" customHeight="1"/>
    <row r="4060" ht="18" customHeight="1"/>
    <row r="4061" ht="18" customHeight="1"/>
    <row r="4062" ht="18" customHeight="1"/>
    <row r="4063" ht="18" customHeight="1"/>
    <row r="4064" ht="18" customHeight="1"/>
    <row r="4065" ht="18" customHeight="1"/>
    <row r="4066" ht="18" customHeight="1"/>
    <row r="4067" ht="18" customHeight="1"/>
    <row r="4068" ht="18" customHeight="1"/>
    <row r="4069" ht="18" customHeight="1"/>
    <row r="4070" ht="18" customHeight="1"/>
    <row r="4071" ht="18" customHeight="1"/>
    <row r="4072" ht="18" customHeight="1"/>
    <row r="4073" ht="18" customHeight="1"/>
    <row r="4074" ht="18" customHeight="1"/>
    <row r="4075" ht="18" customHeight="1"/>
    <row r="4076" ht="18" customHeight="1"/>
    <row r="4077" ht="18" customHeight="1"/>
    <row r="4078" ht="18" customHeight="1"/>
    <row r="4079" ht="18" customHeight="1"/>
    <row r="4080" ht="18" customHeight="1"/>
    <row r="4081" ht="18" customHeight="1"/>
    <row r="4082" ht="18" customHeight="1"/>
    <row r="4083" ht="18" customHeight="1"/>
    <row r="4084" ht="18" customHeight="1"/>
    <row r="4085" ht="18" customHeight="1"/>
    <row r="4086" ht="18" customHeight="1"/>
    <row r="4087" ht="18" customHeight="1"/>
    <row r="4088" ht="18" customHeight="1"/>
    <row r="4089" ht="18" customHeight="1"/>
    <row r="4090" ht="18" customHeight="1"/>
    <row r="4091" ht="18" customHeight="1"/>
    <row r="4092" ht="18" customHeight="1"/>
    <row r="4093" ht="18" customHeight="1"/>
    <row r="4094" ht="18" customHeight="1"/>
    <row r="4095" ht="18" customHeight="1"/>
    <row r="4096" ht="18" customHeight="1"/>
    <row r="4097" ht="18" customHeight="1"/>
    <row r="4098" ht="18" customHeight="1"/>
    <row r="4099" ht="18" customHeight="1"/>
    <row r="4100" ht="18" customHeight="1"/>
    <row r="4101" ht="18" customHeight="1"/>
    <row r="4102" ht="18" customHeight="1"/>
    <row r="4103" ht="18" customHeight="1"/>
    <row r="4104" ht="18" customHeight="1"/>
    <row r="4105" ht="18" customHeight="1"/>
    <row r="4106" ht="18" customHeight="1"/>
    <row r="4107" ht="18" customHeight="1"/>
    <row r="4108" ht="18" customHeight="1"/>
    <row r="4109" ht="18" customHeight="1"/>
    <row r="4110" ht="18" customHeight="1"/>
    <row r="4111" ht="18" customHeight="1"/>
    <row r="4112" ht="18" customHeight="1"/>
    <row r="4113" ht="18" customHeight="1"/>
    <row r="4114" ht="18" customHeight="1"/>
    <row r="4115" ht="18" customHeight="1"/>
    <row r="4116" ht="18" customHeight="1"/>
    <row r="4117" ht="18" customHeight="1"/>
    <row r="4118" ht="18" customHeight="1"/>
    <row r="4119" ht="18" customHeight="1"/>
    <row r="4120" ht="18" customHeight="1"/>
    <row r="4121" ht="18" customHeight="1"/>
    <row r="4122" ht="18" customHeight="1"/>
    <row r="4123" ht="18" customHeight="1"/>
    <row r="4124" ht="18" customHeight="1"/>
    <row r="4125" ht="18" customHeight="1"/>
    <row r="4126" ht="18" customHeight="1"/>
    <row r="4127" ht="18" customHeight="1"/>
    <row r="4128" ht="18" customHeight="1"/>
    <row r="4129" ht="18" customHeight="1"/>
    <row r="4130" ht="18" customHeight="1"/>
    <row r="4131" ht="18" customHeight="1"/>
    <row r="4132" ht="18" customHeight="1"/>
    <row r="4133" ht="18" customHeight="1"/>
    <row r="4134" ht="18" customHeight="1"/>
    <row r="4135" ht="18" customHeight="1"/>
    <row r="4136" ht="18" customHeight="1"/>
    <row r="4137" ht="18" customHeight="1"/>
    <row r="4138" ht="18" customHeight="1"/>
    <row r="4139" ht="18" customHeight="1"/>
    <row r="4140" ht="18" customHeight="1"/>
    <row r="4141" ht="18" customHeight="1"/>
    <row r="4142" ht="18" customHeight="1"/>
    <row r="4143" ht="18" customHeight="1"/>
    <row r="4144" ht="18" customHeight="1"/>
    <row r="4145" ht="18" customHeight="1"/>
    <row r="4146" ht="18" customHeight="1"/>
    <row r="4147" ht="18" customHeight="1"/>
    <row r="4148" ht="18" customHeight="1"/>
    <row r="4149" ht="18" customHeight="1"/>
    <row r="4150" ht="18" customHeight="1"/>
    <row r="4151" ht="18" customHeight="1"/>
    <row r="4152" ht="18" customHeight="1"/>
    <row r="4153" ht="18" customHeight="1"/>
    <row r="4154" ht="18" customHeight="1"/>
    <row r="4155" ht="18" customHeight="1"/>
    <row r="4156" ht="18" customHeight="1"/>
    <row r="4157" ht="18" customHeight="1"/>
    <row r="4158" ht="18" customHeight="1"/>
    <row r="4159" ht="18" customHeight="1"/>
    <row r="4160" ht="18" customHeight="1"/>
    <row r="4161" ht="18" customHeight="1"/>
    <row r="4162" ht="18" customHeight="1"/>
    <row r="4163" ht="18" customHeight="1"/>
    <row r="4164" ht="18" customHeight="1"/>
    <row r="4165" ht="18" customHeight="1"/>
    <row r="4166" ht="18" customHeight="1"/>
    <row r="4167" ht="18" customHeight="1"/>
    <row r="4168" ht="18" customHeight="1"/>
    <row r="4169" ht="18" customHeight="1"/>
    <row r="4170" ht="18" customHeight="1"/>
    <row r="4171" ht="18" customHeight="1"/>
    <row r="4172" ht="18" customHeight="1"/>
    <row r="4173" ht="18" customHeight="1"/>
    <row r="4174" ht="18" customHeight="1"/>
    <row r="4175" ht="18" customHeight="1"/>
    <row r="4176" ht="18" customHeight="1"/>
    <row r="4177" ht="18" customHeight="1"/>
    <row r="4178" ht="18" customHeight="1"/>
    <row r="4179" ht="18" customHeight="1"/>
    <row r="4180" ht="18" customHeight="1"/>
    <row r="4181" ht="18" customHeight="1"/>
    <row r="4182" ht="18" customHeight="1"/>
    <row r="4183" ht="18" customHeight="1"/>
    <row r="4184" ht="18" customHeight="1"/>
    <row r="4185" ht="18" customHeight="1"/>
    <row r="4186" ht="18" customHeight="1"/>
    <row r="4187" ht="18" customHeight="1"/>
    <row r="4188" ht="18" customHeight="1"/>
    <row r="4189" ht="18" customHeight="1"/>
    <row r="4190" ht="18" customHeight="1"/>
    <row r="4191" ht="18" customHeight="1"/>
    <row r="4192" ht="18" customHeight="1"/>
    <row r="4193" ht="18" customHeight="1"/>
    <row r="4194" ht="18" customHeight="1"/>
    <row r="4195" ht="18" customHeight="1"/>
    <row r="4196" ht="18" customHeight="1"/>
    <row r="4197" ht="18" customHeight="1"/>
    <row r="4198" ht="18" customHeight="1"/>
    <row r="4199" ht="18" customHeight="1"/>
    <row r="4200" ht="18" customHeight="1"/>
    <row r="4201" ht="18" customHeight="1"/>
    <row r="4202" ht="18" customHeight="1"/>
    <row r="4203" ht="18" customHeight="1"/>
    <row r="4204" ht="18" customHeight="1"/>
    <row r="4205" ht="18" customHeight="1"/>
    <row r="4206" ht="18" customHeight="1"/>
    <row r="4207" ht="18" customHeight="1"/>
    <row r="4208" ht="18" customHeight="1"/>
    <row r="4209" ht="18" customHeight="1"/>
    <row r="4210" ht="18" customHeight="1"/>
    <row r="4211" ht="18" customHeight="1"/>
    <row r="4212" ht="18" customHeight="1"/>
    <row r="4213" ht="18" customHeight="1"/>
    <row r="4214" ht="18" customHeight="1"/>
    <row r="4215" ht="18" customHeight="1"/>
    <row r="4216" ht="18" customHeight="1"/>
    <row r="4217" ht="18" customHeight="1"/>
    <row r="4218" ht="18" customHeight="1"/>
    <row r="4219" ht="18" customHeight="1"/>
    <row r="4220" ht="18" customHeight="1"/>
    <row r="4221" ht="18" customHeight="1"/>
    <row r="4222" ht="18" customHeight="1"/>
    <row r="4223" ht="18" customHeight="1"/>
    <row r="4224" ht="18" customHeight="1"/>
    <row r="4225" ht="18" customHeight="1"/>
    <row r="4226" ht="18" customHeight="1"/>
    <row r="4227" ht="18" customHeight="1"/>
    <row r="4228" ht="18" customHeight="1"/>
    <row r="4229" ht="18" customHeight="1"/>
    <row r="4230" ht="18" customHeight="1"/>
    <row r="4231" ht="18" customHeight="1"/>
    <row r="4232" ht="18" customHeight="1"/>
    <row r="4233" ht="18" customHeight="1"/>
    <row r="4234" ht="18" customHeight="1"/>
    <row r="4235" ht="18" customHeight="1"/>
    <row r="4236" ht="18" customHeight="1"/>
    <row r="4237" ht="18" customHeight="1"/>
    <row r="4238" ht="18" customHeight="1"/>
    <row r="4239" ht="18" customHeight="1"/>
    <row r="4240" ht="18" customHeight="1"/>
    <row r="4241" ht="18" customHeight="1"/>
    <row r="4242" ht="18" customHeight="1"/>
    <row r="4243" ht="18" customHeight="1"/>
    <row r="4244" ht="18" customHeight="1"/>
    <row r="4245" ht="18" customHeight="1"/>
    <row r="4246" ht="18" customHeight="1"/>
    <row r="4247" ht="18" customHeight="1"/>
    <row r="4248" ht="18" customHeight="1"/>
    <row r="4249" ht="18" customHeight="1"/>
    <row r="4250" ht="18" customHeight="1"/>
    <row r="4251" ht="18" customHeight="1"/>
    <row r="4252" ht="18" customHeight="1"/>
    <row r="4253" ht="18" customHeight="1"/>
    <row r="4254" ht="18" customHeight="1"/>
    <row r="4255" ht="18" customHeight="1"/>
    <row r="4256" ht="18" customHeight="1"/>
    <row r="4257" ht="18" customHeight="1"/>
    <row r="4258" ht="18" customHeight="1"/>
    <row r="4259" ht="18" customHeight="1"/>
    <row r="4260" ht="18" customHeight="1"/>
    <row r="4261" ht="18" customHeight="1"/>
    <row r="4262" ht="18" customHeight="1"/>
    <row r="4263" ht="18" customHeight="1"/>
    <row r="4264" ht="18" customHeight="1"/>
    <row r="4265" ht="18" customHeight="1"/>
    <row r="4266" ht="18" customHeight="1"/>
    <row r="4267" ht="18" customHeight="1"/>
    <row r="4268" ht="18" customHeight="1"/>
    <row r="4269" ht="18" customHeight="1"/>
    <row r="4270" ht="18" customHeight="1"/>
    <row r="4271" ht="18" customHeight="1"/>
    <row r="4272" ht="18" customHeight="1"/>
    <row r="4273" ht="18" customHeight="1"/>
    <row r="4274" ht="18" customHeight="1"/>
    <row r="4275" ht="18" customHeight="1"/>
    <row r="4276" ht="18" customHeight="1"/>
    <row r="4277" ht="18" customHeight="1"/>
    <row r="4278" ht="18" customHeight="1"/>
    <row r="4279" ht="18" customHeight="1"/>
    <row r="4280" ht="18" customHeight="1"/>
    <row r="4281" ht="18" customHeight="1"/>
    <row r="4282" ht="18" customHeight="1"/>
    <row r="4283" ht="18" customHeight="1"/>
    <row r="4284" ht="18" customHeight="1"/>
    <row r="4285" ht="18" customHeight="1"/>
    <row r="4286" ht="18" customHeight="1"/>
    <row r="4287" ht="18" customHeight="1"/>
    <row r="4288" ht="18" customHeight="1"/>
    <row r="4289" ht="18" customHeight="1"/>
    <row r="4290" ht="18" customHeight="1"/>
    <row r="4291" ht="18" customHeight="1"/>
    <row r="4292" ht="18" customHeight="1"/>
    <row r="4293" ht="18" customHeight="1"/>
    <row r="4294" ht="18" customHeight="1"/>
    <row r="4295" ht="18" customHeight="1"/>
    <row r="4296" ht="18" customHeight="1"/>
    <row r="4297" ht="18" customHeight="1"/>
    <row r="4298" ht="18" customHeight="1"/>
    <row r="4299" ht="18" customHeight="1"/>
    <row r="4300" ht="18" customHeight="1"/>
    <row r="4301" ht="18" customHeight="1"/>
    <row r="4302" ht="18" customHeight="1"/>
    <row r="4303" ht="18" customHeight="1"/>
    <row r="4304" ht="18" customHeight="1"/>
    <row r="4305" ht="18" customHeight="1"/>
    <row r="4306" ht="18" customHeight="1"/>
    <row r="4307" ht="18" customHeight="1"/>
    <row r="4308" ht="18" customHeight="1"/>
    <row r="4309" ht="18" customHeight="1"/>
    <row r="4310" ht="18" customHeight="1"/>
    <row r="4311" ht="18" customHeight="1"/>
    <row r="4312" ht="18" customHeight="1"/>
    <row r="4313" ht="18" customHeight="1"/>
    <row r="4314" ht="18" customHeight="1"/>
    <row r="4315" ht="18" customHeight="1"/>
    <row r="4316" ht="18" customHeight="1"/>
    <row r="4317" ht="18" customHeight="1"/>
    <row r="4318" ht="18" customHeight="1"/>
    <row r="4319" ht="18" customHeight="1"/>
    <row r="4320" ht="18" customHeight="1"/>
    <row r="4321" ht="18" customHeight="1"/>
    <row r="4322" ht="18" customHeight="1"/>
    <row r="4323" ht="18" customHeight="1"/>
    <row r="4324" ht="18" customHeight="1"/>
    <row r="4325" ht="18" customHeight="1"/>
    <row r="4326" ht="18" customHeight="1"/>
    <row r="4327" ht="18" customHeight="1"/>
    <row r="4328" ht="18" customHeight="1"/>
    <row r="4329" ht="18" customHeight="1"/>
    <row r="4330" ht="18" customHeight="1"/>
    <row r="4331" ht="18" customHeight="1"/>
    <row r="4332" ht="18" customHeight="1"/>
    <row r="4333" ht="18" customHeight="1"/>
    <row r="4334" ht="18" customHeight="1"/>
    <row r="4335" ht="18" customHeight="1"/>
    <row r="4336" ht="18" customHeight="1"/>
    <row r="4337" ht="18" customHeight="1"/>
    <row r="4338" ht="18" customHeight="1"/>
    <row r="4339" ht="18" customHeight="1"/>
    <row r="4340" ht="18" customHeight="1"/>
    <row r="4341" ht="18" customHeight="1"/>
    <row r="4342" ht="18" customHeight="1"/>
    <row r="4343" ht="18" customHeight="1"/>
    <row r="4344" ht="18" customHeight="1"/>
    <row r="4345" ht="18" customHeight="1"/>
    <row r="4346" ht="18" customHeight="1"/>
    <row r="4347" ht="18" customHeight="1"/>
    <row r="4348" ht="18" customHeight="1"/>
    <row r="4349" ht="18" customHeight="1"/>
    <row r="4350" ht="18" customHeight="1"/>
    <row r="4351" ht="18" customHeight="1"/>
    <row r="4352" ht="18" customHeight="1"/>
    <row r="4353" ht="18" customHeight="1"/>
    <row r="4354" ht="18" customHeight="1"/>
    <row r="4355" ht="18" customHeight="1"/>
    <row r="4356" ht="18" customHeight="1"/>
    <row r="4357" ht="18" customHeight="1"/>
    <row r="4358" ht="18" customHeight="1"/>
    <row r="4359" ht="18" customHeight="1"/>
    <row r="4360" ht="18" customHeight="1"/>
    <row r="4361" ht="18" customHeight="1"/>
    <row r="4362" ht="18" customHeight="1"/>
    <row r="4363" ht="18" customHeight="1"/>
    <row r="4364" ht="18" customHeight="1"/>
    <row r="4365" ht="18" customHeight="1"/>
    <row r="4366" ht="18" customHeight="1"/>
    <row r="4367" ht="18" customHeight="1"/>
    <row r="4368" ht="18" customHeight="1"/>
    <row r="4369" ht="18" customHeight="1"/>
    <row r="4370" ht="18" customHeight="1"/>
    <row r="4371" ht="18" customHeight="1"/>
    <row r="4372" ht="18" customHeight="1"/>
    <row r="4373" ht="18" customHeight="1"/>
    <row r="4374" ht="18" customHeight="1"/>
    <row r="4375" ht="18" customHeight="1"/>
    <row r="4376" ht="18" customHeight="1"/>
    <row r="4377" ht="18" customHeight="1"/>
    <row r="4378" ht="18" customHeight="1"/>
    <row r="4379" ht="18" customHeight="1"/>
    <row r="4380" ht="18" customHeight="1"/>
    <row r="4381" ht="18" customHeight="1"/>
    <row r="4382" ht="18" customHeight="1"/>
    <row r="4383" ht="18" customHeight="1"/>
    <row r="4384" ht="18" customHeight="1"/>
    <row r="4385" ht="18" customHeight="1"/>
    <row r="4386" ht="18" customHeight="1"/>
    <row r="4387" ht="18" customHeight="1"/>
    <row r="4388" ht="18" customHeight="1"/>
    <row r="4389" ht="18" customHeight="1"/>
    <row r="4390" ht="18" customHeight="1"/>
    <row r="4391" ht="18" customHeight="1"/>
    <row r="4392" ht="18" customHeight="1"/>
    <row r="4393" ht="18" customHeight="1"/>
    <row r="4394" ht="18" customHeight="1"/>
    <row r="4395" ht="18" customHeight="1"/>
    <row r="4396" ht="18" customHeight="1"/>
    <row r="4397" ht="18" customHeight="1"/>
    <row r="4398" ht="18" customHeight="1"/>
    <row r="4399" ht="18" customHeight="1"/>
    <row r="4400" ht="18" customHeight="1"/>
    <row r="4401" ht="18" customHeight="1"/>
    <row r="4402" ht="18" customHeight="1"/>
    <row r="4403" ht="18" customHeight="1"/>
    <row r="4404" ht="18" customHeight="1"/>
    <row r="4405" ht="18" customHeight="1"/>
    <row r="4406" ht="18" customHeight="1"/>
    <row r="4407" ht="18" customHeight="1"/>
    <row r="4408" ht="18" customHeight="1"/>
    <row r="4409" ht="18" customHeight="1"/>
    <row r="4410" ht="18" customHeight="1"/>
    <row r="4411" ht="18" customHeight="1"/>
    <row r="4412" ht="18" customHeight="1"/>
    <row r="4413" ht="18" customHeight="1"/>
    <row r="4414" ht="18" customHeight="1"/>
    <row r="4415" ht="18" customHeight="1"/>
    <row r="4416" ht="18" customHeight="1"/>
    <row r="4417" ht="18" customHeight="1"/>
    <row r="4418" ht="18" customHeight="1"/>
    <row r="4419" ht="18" customHeight="1"/>
    <row r="4420" ht="18" customHeight="1"/>
    <row r="4421" ht="18" customHeight="1"/>
    <row r="4422" ht="18" customHeight="1"/>
    <row r="4423" ht="18" customHeight="1"/>
    <row r="4424" ht="18" customHeight="1"/>
    <row r="4425" ht="18" customHeight="1"/>
    <row r="4426" ht="18" customHeight="1"/>
    <row r="4427" ht="18" customHeight="1"/>
    <row r="4428" ht="18" customHeight="1"/>
    <row r="4429" ht="18" customHeight="1"/>
    <row r="4430" ht="18" customHeight="1"/>
    <row r="4431" ht="18" customHeight="1"/>
    <row r="4432" ht="18" customHeight="1"/>
    <row r="4433" ht="18" customHeight="1"/>
    <row r="4434" ht="18" customHeight="1"/>
    <row r="4435" ht="18" customHeight="1"/>
    <row r="4436" ht="18" customHeight="1"/>
    <row r="4437" ht="18" customHeight="1"/>
    <row r="4438" ht="18" customHeight="1"/>
    <row r="4439" ht="18" customHeight="1"/>
    <row r="4440" ht="18" customHeight="1"/>
    <row r="4441" ht="18" customHeight="1"/>
    <row r="4442" ht="18" customHeight="1"/>
    <row r="4443" ht="18" customHeight="1"/>
    <row r="4444" ht="18" customHeight="1"/>
    <row r="4445" ht="18" customHeight="1"/>
    <row r="4446" ht="18" customHeight="1"/>
    <row r="4447" ht="18" customHeight="1"/>
    <row r="4448" ht="18" customHeight="1"/>
    <row r="4449" ht="18" customHeight="1"/>
    <row r="4450" ht="18" customHeight="1"/>
    <row r="4451" ht="18" customHeight="1"/>
    <row r="4452" ht="18" customHeight="1"/>
    <row r="4453" ht="18" customHeight="1"/>
    <row r="4454" ht="18" customHeight="1"/>
    <row r="4455" ht="18" customHeight="1"/>
    <row r="4456" ht="18" customHeight="1"/>
    <row r="4457" ht="18" customHeight="1"/>
    <row r="4458" ht="18" customHeight="1"/>
    <row r="4459" ht="18" customHeight="1"/>
    <row r="4460" ht="18" customHeight="1"/>
    <row r="4461" ht="18" customHeight="1"/>
    <row r="4462" ht="18" customHeight="1"/>
    <row r="4463" ht="18" customHeight="1"/>
    <row r="4464" ht="18" customHeight="1"/>
    <row r="4465" ht="18" customHeight="1"/>
    <row r="4466" ht="18" customHeight="1"/>
    <row r="4467" ht="18" customHeight="1"/>
    <row r="4468" ht="18" customHeight="1"/>
    <row r="4469" ht="18" customHeight="1"/>
    <row r="4470" ht="18" customHeight="1"/>
    <row r="4471" ht="18" customHeight="1"/>
    <row r="4472" ht="18" customHeight="1"/>
    <row r="4473" ht="18" customHeight="1"/>
    <row r="4474" ht="18" customHeight="1"/>
    <row r="4475" ht="18" customHeight="1"/>
    <row r="4476" ht="18" customHeight="1"/>
    <row r="4477" ht="18" customHeight="1"/>
    <row r="4478" ht="18" customHeight="1"/>
    <row r="4479" ht="18" customHeight="1"/>
    <row r="4480" ht="18" customHeight="1"/>
    <row r="4481" ht="18" customHeight="1"/>
    <row r="4482" ht="18" customHeight="1"/>
    <row r="4483" ht="18" customHeight="1"/>
    <row r="4484" ht="18" customHeight="1"/>
    <row r="4485" ht="18" customHeight="1"/>
    <row r="4486" ht="18" customHeight="1"/>
    <row r="4487" ht="18" customHeight="1"/>
    <row r="4488" ht="18" customHeight="1"/>
    <row r="4489" ht="18" customHeight="1"/>
    <row r="4490" ht="18" customHeight="1"/>
    <row r="4491" ht="18" customHeight="1"/>
    <row r="4492" ht="18" customHeight="1"/>
    <row r="4493" ht="18" customHeight="1"/>
    <row r="4494" ht="18" customHeight="1"/>
    <row r="4495" ht="18" customHeight="1"/>
    <row r="4496" ht="18" customHeight="1"/>
    <row r="4497" ht="18" customHeight="1"/>
    <row r="4498" ht="18" customHeight="1"/>
    <row r="4499" ht="18" customHeight="1"/>
    <row r="4500" ht="18" customHeight="1"/>
    <row r="4501" ht="18" customHeight="1"/>
    <row r="4502" ht="18" customHeight="1"/>
    <row r="4503" ht="18" customHeight="1"/>
    <row r="4504" ht="18" customHeight="1"/>
    <row r="4505" ht="18" customHeight="1"/>
    <row r="4506" ht="18" customHeight="1"/>
    <row r="4507" ht="18" customHeight="1"/>
    <row r="4508" ht="18" customHeight="1"/>
    <row r="4509" ht="18" customHeight="1"/>
    <row r="4510" ht="18" customHeight="1"/>
    <row r="4511" ht="18" customHeight="1"/>
    <row r="4512" ht="18" customHeight="1"/>
    <row r="4513" ht="18" customHeight="1"/>
    <row r="4514" ht="18" customHeight="1"/>
    <row r="4515" ht="18" customHeight="1"/>
    <row r="4516" ht="18" customHeight="1"/>
    <row r="4517" ht="18" customHeight="1"/>
    <row r="4518" ht="18" customHeight="1"/>
    <row r="4519" ht="18" customHeight="1"/>
    <row r="4520" ht="18" customHeight="1"/>
    <row r="4521" ht="18" customHeight="1"/>
    <row r="4522" ht="18" customHeight="1"/>
    <row r="4523" ht="18" customHeight="1"/>
    <row r="4524" ht="18" customHeight="1"/>
    <row r="4525" ht="18" customHeight="1"/>
    <row r="4526" ht="18" customHeight="1"/>
    <row r="4527" ht="18" customHeight="1"/>
    <row r="4528" ht="18" customHeight="1"/>
    <row r="4529" ht="18" customHeight="1"/>
    <row r="4530" ht="18" customHeight="1"/>
    <row r="4531" ht="18" customHeight="1"/>
    <row r="4532" ht="18" customHeight="1"/>
    <row r="4533" ht="18" customHeight="1"/>
    <row r="4534" ht="18" customHeight="1"/>
    <row r="4535" ht="18" customHeight="1"/>
    <row r="4536" ht="18" customHeight="1"/>
    <row r="4537" ht="18" customHeight="1"/>
    <row r="4538" ht="18" customHeight="1"/>
    <row r="4539" ht="18" customHeight="1"/>
    <row r="4540" ht="18" customHeight="1"/>
    <row r="4541" ht="18" customHeight="1"/>
    <row r="4542" ht="18" customHeight="1"/>
    <row r="4543" ht="18" customHeight="1"/>
    <row r="4544" ht="18" customHeight="1"/>
    <row r="4545" ht="18" customHeight="1"/>
    <row r="4546" ht="18" customHeight="1"/>
    <row r="4547" ht="18" customHeight="1"/>
    <row r="4548" ht="18" customHeight="1"/>
    <row r="4549" ht="18" customHeight="1"/>
    <row r="4550" ht="18" customHeight="1"/>
    <row r="4551" ht="18" customHeight="1"/>
    <row r="4552" ht="18" customHeight="1"/>
    <row r="4553" ht="18" customHeight="1"/>
    <row r="4554" ht="18" customHeight="1"/>
    <row r="4555" ht="18" customHeight="1"/>
    <row r="4556" ht="18" customHeight="1"/>
    <row r="4557" ht="18" customHeight="1"/>
    <row r="4558" ht="18" customHeight="1"/>
    <row r="4559" ht="18" customHeight="1"/>
    <row r="4560" ht="18" customHeight="1"/>
    <row r="4561" ht="18" customHeight="1"/>
    <row r="4562" ht="18" customHeight="1"/>
    <row r="4563" ht="18" customHeight="1"/>
    <row r="4564" ht="18" customHeight="1"/>
    <row r="4565" ht="18" customHeight="1"/>
    <row r="4566" ht="18" customHeight="1"/>
    <row r="4567" ht="18" customHeight="1"/>
    <row r="4568" ht="18" customHeight="1"/>
    <row r="4569" ht="18" customHeight="1"/>
    <row r="4570" ht="18" customHeight="1"/>
    <row r="4571" ht="18" customHeight="1"/>
    <row r="4572" ht="18" customHeight="1"/>
    <row r="4573" ht="18" customHeight="1"/>
    <row r="4574" ht="18" customHeight="1"/>
    <row r="4575" ht="18" customHeight="1"/>
    <row r="4576" ht="18" customHeight="1"/>
    <row r="4577" ht="18" customHeight="1"/>
    <row r="4578" ht="18" customHeight="1"/>
    <row r="4579" ht="18" customHeight="1"/>
    <row r="4580" ht="18" customHeight="1"/>
    <row r="4581" ht="18" customHeight="1"/>
    <row r="4582" ht="18" customHeight="1"/>
    <row r="4583" ht="18" customHeight="1"/>
    <row r="4584" ht="18" customHeight="1"/>
    <row r="4585" ht="18" customHeight="1"/>
    <row r="4586" ht="18" customHeight="1"/>
    <row r="4587" ht="18" customHeight="1"/>
    <row r="4588" ht="18" customHeight="1"/>
    <row r="4589" ht="18" customHeight="1"/>
    <row r="4590" ht="18" customHeight="1"/>
    <row r="4591" ht="18" customHeight="1"/>
    <row r="4592" ht="18" customHeight="1"/>
    <row r="4593" ht="18" customHeight="1"/>
    <row r="4594" ht="18" customHeight="1"/>
    <row r="4595" ht="18" customHeight="1"/>
    <row r="4596" ht="18" customHeight="1"/>
    <row r="4597" ht="18" customHeight="1"/>
    <row r="4598" ht="18" customHeight="1"/>
    <row r="4599" ht="18" customHeight="1"/>
    <row r="4600" ht="18" customHeight="1"/>
    <row r="4601" ht="18" customHeight="1"/>
    <row r="4602" ht="18" customHeight="1"/>
    <row r="4603" ht="18" customHeight="1"/>
    <row r="4604" ht="18" customHeight="1"/>
    <row r="4605" ht="18" customHeight="1"/>
    <row r="4606" ht="18" customHeight="1"/>
    <row r="4607" ht="18" customHeight="1"/>
    <row r="4608" ht="18" customHeight="1"/>
    <row r="4609" ht="18" customHeight="1"/>
    <row r="4610" ht="18" customHeight="1"/>
    <row r="4611" ht="18" customHeight="1"/>
    <row r="4612" ht="18" customHeight="1"/>
    <row r="4613" ht="18" customHeight="1"/>
    <row r="4614" ht="18" customHeight="1"/>
    <row r="4615" ht="18" customHeight="1"/>
    <row r="4616" ht="18" customHeight="1"/>
    <row r="4617" ht="18" customHeight="1"/>
    <row r="4618" ht="18" customHeight="1"/>
    <row r="4619" ht="18" customHeight="1"/>
    <row r="4620" ht="18" customHeight="1"/>
    <row r="4621" ht="18" customHeight="1"/>
    <row r="4622" ht="18" customHeight="1"/>
    <row r="4623" ht="18" customHeight="1"/>
    <row r="4624" ht="18" customHeight="1"/>
    <row r="4625" ht="18" customHeight="1"/>
    <row r="4626" ht="18" customHeight="1"/>
    <row r="4627" ht="18" customHeight="1"/>
    <row r="4628" ht="18" customHeight="1"/>
    <row r="4629" ht="18" customHeight="1"/>
    <row r="4630" ht="18" customHeight="1"/>
    <row r="4631" ht="18" customHeight="1"/>
    <row r="4632" ht="18" customHeight="1"/>
    <row r="4633" ht="18" customHeight="1"/>
    <row r="4634" ht="18" customHeight="1"/>
    <row r="4635" ht="18" customHeight="1"/>
    <row r="4636" ht="18" customHeight="1"/>
    <row r="4637" ht="18" customHeight="1"/>
    <row r="4638" ht="18" customHeight="1"/>
    <row r="4639" ht="18" customHeight="1"/>
    <row r="4640" ht="18" customHeight="1"/>
    <row r="4641" ht="18" customHeight="1"/>
    <row r="4642" ht="18" customHeight="1"/>
    <row r="4643" ht="18" customHeight="1"/>
    <row r="4644" ht="18" customHeight="1"/>
    <row r="4645" ht="18" customHeight="1"/>
    <row r="4646" ht="18" customHeight="1"/>
    <row r="4647" ht="18" customHeight="1"/>
    <row r="4648" ht="18" customHeight="1"/>
    <row r="4649" ht="18" customHeight="1"/>
    <row r="4650" ht="18" customHeight="1"/>
    <row r="4651" ht="18" customHeight="1"/>
    <row r="4652" ht="18" customHeight="1"/>
    <row r="4653" ht="18" customHeight="1"/>
    <row r="4654" ht="18" customHeight="1"/>
    <row r="4655" ht="18" customHeight="1"/>
    <row r="4656" ht="18" customHeight="1"/>
    <row r="4657" ht="18" customHeight="1"/>
    <row r="4658" ht="18" customHeight="1"/>
    <row r="4659" ht="18" customHeight="1"/>
    <row r="4660" ht="18" customHeight="1"/>
    <row r="4661" ht="18" customHeight="1"/>
    <row r="4662" ht="18" customHeight="1"/>
    <row r="4663" ht="18" customHeight="1"/>
    <row r="4664" ht="18" customHeight="1"/>
    <row r="4665" ht="18" customHeight="1"/>
    <row r="4666" ht="18" customHeight="1"/>
    <row r="4667" ht="18" customHeight="1"/>
    <row r="4668" ht="18" customHeight="1"/>
    <row r="4669" ht="18" customHeight="1"/>
    <row r="4670" ht="18" customHeight="1"/>
    <row r="4671" ht="18" customHeight="1"/>
    <row r="4672" ht="18" customHeight="1"/>
    <row r="4673" ht="18" customHeight="1"/>
    <row r="4674" ht="18" customHeight="1"/>
    <row r="4675" ht="18" customHeight="1"/>
    <row r="4676" ht="18" customHeight="1"/>
    <row r="4677" ht="18" customHeight="1"/>
    <row r="4678" ht="18" customHeight="1"/>
    <row r="4679" ht="18" customHeight="1"/>
    <row r="4680" ht="18" customHeight="1"/>
    <row r="4681" ht="18" customHeight="1"/>
    <row r="4682" ht="18" customHeight="1"/>
    <row r="4683" ht="18" customHeight="1"/>
    <row r="4684" ht="18" customHeight="1"/>
    <row r="4685" ht="18" customHeight="1"/>
    <row r="4686" ht="18" customHeight="1"/>
    <row r="4687" ht="18" customHeight="1"/>
    <row r="4688" ht="18" customHeight="1"/>
    <row r="4689" ht="18" customHeight="1"/>
    <row r="4690" ht="18" customHeight="1"/>
    <row r="4691" ht="18" customHeight="1"/>
    <row r="4692" ht="18" customHeight="1"/>
    <row r="4693" ht="18" customHeight="1"/>
    <row r="4694" ht="18" customHeight="1"/>
    <row r="4695" ht="18" customHeight="1"/>
    <row r="4696" ht="18" customHeight="1"/>
    <row r="4697" ht="18" customHeight="1"/>
    <row r="4698" ht="18" customHeight="1"/>
    <row r="4699" ht="18" customHeight="1"/>
    <row r="4700" ht="18" customHeight="1"/>
    <row r="4701" ht="18" customHeight="1"/>
    <row r="4702" ht="18" customHeight="1"/>
    <row r="4703" ht="18" customHeight="1"/>
    <row r="4704" ht="18" customHeight="1"/>
    <row r="4705" ht="18" customHeight="1"/>
    <row r="4706" ht="18" customHeight="1"/>
    <row r="4707" ht="18" customHeight="1"/>
    <row r="4708" ht="18" customHeight="1"/>
    <row r="4709" ht="18" customHeight="1"/>
    <row r="4710" ht="18" customHeight="1"/>
    <row r="4711" ht="18" customHeight="1"/>
    <row r="4712" ht="18" customHeight="1"/>
    <row r="4713" ht="18" customHeight="1"/>
    <row r="4714" ht="18" customHeight="1"/>
    <row r="4715" ht="18" customHeight="1"/>
    <row r="4716" ht="18" customHeight="1"/>
    <row r="4717" ht="18" customHeight="1"/>
    <row r="4718" ht="18" customHeight="1"/>
    <row r="4719" ht="18" customHeight="1"/>
    <row r="4720" ht="18" customHeight="1"/>
    <row r="4721" ht="18" customHeight="1"/>
    <row r="4722" ht="18" customHeight="1"/>
    <row r="4723" ht="18" customHeight="1"/>
    <row r="4724" ht="18" customHeight="1"/>
    <row r="4725" ht="18" customHeight="1"/>
    <row r="4726" ht="18" customHeight="1"/>
    <row r="4727" ht="18" customHeight="1"/>
    <row r="4728" ht="18" customHeight="1"/>
    <row r="4729" ht="18" customHeight="1"/>
    <row r="4730" ht="18" customHeight="1"/>
    <row r="4731" ht="18" customHeight="1"/>
    <row r="4732" ht="18" customHeight="1"/>
    <row r="4733" ht="18" customHeight="1"/>
    <row r="4734" ht="18" customHeight="1"/>
    <row r="4735" ht="18" customHeight="1"/>
    <row r="4736" ht="18" customHeight="1"/>
    <row r="4737" ht="18" customHeight="1"/>
    <row r="4738" ht="18" customHeight="1"/>
    <row r="4739" ht="18" customHeight="1"/>
    <row r="4740" ht="18" customHeight="1"/>
    <row r="4741" ht="18" customHeight="1"/>
    <row r="4742" ht="18" customHeight="1"/>
    <row r="4743" ht="18" customHeight="1"/>
    <row r="4744" ht="18" customHeight="1"/>
    <row r="4745" ht="18" customHeight="1"/>
    <row r="4746" ht="18" customHeight="1"/>
    <row r="4747" ht="18" customHeight="1"/>
    <row r="4748" ht="18" customHeight="1"/>
    <row r="4749" ht="18" customHeight="1"/>
    <row r="4750" ht="18" customHeight="1"/>
    <row r="4751" ht="18" customHeight="1"/>
    <row r="4752" ht="18" customHeight="1"/>
    <row r="4753" ht="18" customHeight="1"/>
    <row r="4754" ht="18" customHeight="1"/>
    <row r="4755" ht="18" customHeight="1"/>
    <row r="4756" ht="18" customHeight="1"/>
    <row r="4757" ht="18" customHeight="1"/>
    <row r="4758" ht="18" customHeight="1"/>
    <row r="4759" ht="18" customHeight="1"/>
    <row r="4760" ht="18" customHeight="1"/>
    <row r="4761" ht="18" customHeight="1"/>
    <row r="4762" ht="18" customHeight="1"/>
    <row r="4763" ht="18" customHeight="1"/>
    <row r="4764" ht="18" customHeight="1"/>
    <row r="4765" ht="18" customHeight="1"/>
    <row r="4766" ht="18" customHeight="1"/>
    <row r="4767" ht="18" customHeight="1"/>
    <row r="4768" ht="18" customHeight="1"/>
    <row r="4769" ht="18" customHeight="1"/>
    <row r="4770" ht="18" customHeight="1"/>
    <row r="4771" ht="18" customHeight="1"/>
    <row r="4772" ht="18" customHeight="1"/>
    <row r="4773" ht="18" customHeight="1"/>
    <row r="4774" ht="18" customHeight="1"/>
    <row r="4775" ht="18" customHeight="1"/>
    <row r="4776" ht="18" customHeight="1"/>
    <row r="4777" ht="18" customHeight="1"/>
    <row r="4778" ht="18" customHeight="1"/>
    <row r="4779" ht="18" customHeight="1"/>
    <row r="4780" ht="18" customHeight="1"/>
    <row r="4781" ht="18" customHeight="1"/>
    <row r="4782" ht="18" customHeight="1"/>
    <row r="4783" ht="18" customHeight="1"/>
    <row r="4784" ht="18" customHeight="1"/>
    <row r="4785" ht="18" customHeight="1"/>
    <row r="4786" ht="18" customHeight="1"/>
    <row r="4787" ht="18" customHeight="1"/>
    <row r="4788" ht="18" customHeight="1"/>
    <row r="4789" ht="18" customHeight="1"/>
    <row r="4790" ht="18" customHeight="1"/>
    <row r="4791" ht="18" customHeight="1"/>
    <row r="4792" ht="18" customHeight="1"/>
    <row r="4793" ht="18" customHeight="1"/>
    <row r="4794" ht="18" customHeight="1"/>
    <row r="4795" ht="18" customHeight="1"/>
    <row r="4796" ht="18" customHeight="1"/>
    <row r="4797" ht="18" customHeight="1"/>
    <row r="4798" ht="18" customHeight="1"/>
    <row r="4799" ht="18" customHeight="1"/>
    <row r="4800" ht="18" customHeight="1"/>
    <row r="4801" ht="18" customHeight="1"/>
    <row r="4802" ht="18" customHeight="1"/>
    <row r="4803" ht="18" customHeight="1"/>
    <row r="4804" ht="18" customHeight="1"/>
    <row r="4805" ht="18" customHeight="1"/>
    <row r="4806" ht="18" customHeight="1"/>
    <row r="4807" ht="18" customHeight="1"/>
    <row r="4808" ht="18" customHeight="1"/>
    <row r="4809" ht="18" customHeight="1"/>
    <row r="4810" ht="18" customHeight="1"/>
    <row r="4811" ht="18" customHeight="1"/>
    <row r="4812" ht="18" customHeight="1"/>
    <row r="4813" ht="18" customHeight="1"/>
    <row r="4814" ht="18" customHeight="1"/>
    <row r="4815" ht="18" customHeight="1"/>
    <row r="4816" ht="18" customHeight="1"/>
    <row r="4817" ht="18" customHeight="1"/>
    <row r="4818" ht="18" customHeight="1"/>
    <row r="4819" ht="18" customHeight="1"/>
    <row r="4820" ht="18" customHeight="1"/>
    <row r="4821" ht="18" customHeight="1"/>
    <row r="4822" ht="18" customHeight="1"/>
    <row r="4823" ht="18" customHeight="1"/>
    <row r="4824" ht="18" customHeight="1"/>
    <row r="4825" ht="18" customHeight="1"/>
    <row r="4826" ht="18" customHeight="1"/>
    <row r="4827" ht="18" customHeight="1"/>
    <row r="4828" ht="18" customHeight="1"/>
    <row r="4829" ht="18" customHeight="1"/>
    <row r="4830" ht="18" customHeight="1"/>
    <row r="4831" ht="18" customHeight="1"/>
    <row r="4832" ht="18" customHeight="1"/>
    <row r="4833" ht="18" customHeight="1"/>
    <row r="4834" ht="18" customHeight="1"/>
    <row r="4835" ht="18" customHeight="1"/>
    <row r="4836" ht="18" customHeight="1"/>
    <row r="4837" ht="18" customHeight="1"/>
    <row r="4838" ht="18" customHeight="1"/>
    <row r="4839" ht="18" customHeight="1"/>
    <row r="4840" ht="18" customHeight="1"/>
    <row r="4841" ht="18" customHeight="1"/>
    <row r="4842" ht="18" customHeight="1"/>
    <row r="4843" ht="18" customHeight="1"/>
    <row r="4844" ht="18" customHeight="1"/>
    <row r="4845" ht="18" customHeight="1"/>
    <row r="4846" ht="18" customHeight="1"/>
    <row r="4847" ht="18" customHeight="1"/>
    <row r="4848" ht="18" customHeight="1"/>
    <row r="4849" ht="18" customHeight="1"/>
    <row r="4850" ht="18" customHeight="1"/>
    <row r="4851" ht="18" customHeight="1"/>
    <row r="4852" ht="18" customHeight="1"/>
    <row r="4853" ht="18" customHeight="1"/>
    <row r="4854" ht="18" customHeight="1"/>
    <row r="4855" ht="18" customHeight="1"/>
    <row r="4856" ht="18" customHeight="1"/>
    <row r="4857" ht="18" customHeight="1"/>
    <row r="4858" ht="18" customHeight="1"/>
    <row r="4859" ht="18" customHeight="1"/>
    <row r="4860" ht="18" customHeight="1"/>
    <row r="4861" ht="18" customHeight="1"/>
    <row r="4862" ht="18" customHeight="1"/>
    <row r="4863" ht="18" customHeight="1"/>
    <row r="4864" ht="18" customHeight="1"/>
    <row r="4865" ht="18" customHeight="1"/>
    <row r="4866" ht="18" customHeight="1"/>
    <row r="4867" ht="18" customHeight="1"/>
    <row r="4868" ht="18" customHeight="1"/>
    <row r="4869" ht="18" customHeight="1"/>
    <row r="4870" ht="18" customHeight="1"/>
    <row r="4871" ht="18" customHeight="1"/>
    <row r="4872" ht="18" customHeight="1"/>
    <row r="4873" ht="18" customHeight="1"/>
    <row r="4874" ht="18" customHeight="1"/>
    <row r="4875" ht="18" customHeight="1"/>
    <row r="4876" ht="18" customHeight="1"/>
    <row r="4877" ht="18" customHeight="1"/>
    <row r="4878" ht="18" customHeight="1"/>
    <row r="4879" ht="18" customHeight="1"/>
    <row r="4880" ht="18" customHeight="1"/>
    <row r="4881" ht="18" customHeight="1"/>
    <row r="4882" ht="18" customHeight="1"/>
    <row r="4883" ht="18" customHeight="1"/>
    <row r="4884" ht="18" customHeight="1"/>
    <row r="4885" ht="18" customHeight="1"/>
    <row r="4886" ht="18" customHeight="1"/>
    <row r="4887" ht="18" customHeight="1"/>
    <row r="4888" ht="18" customHeight="1"/>
    <row r="4889" ht="18" customHeight="1"/>
    <row r="4890" ht="18" customHeight="1"/>
    <row r="4891" ht="18" customHeight="1"/>
    <row r="4892" ht="18" customHeight="1"/>
    <row r="4893" ht="18" customHeight="1"/>
    <row r="4894" ht="18" customHeight="1"/>
    <row r="4895" ht="18" customHeight="1"/>
    <row r="4896" ht="18" customHeight="1"/>
    <row r="4897" ht="18" customHeight="1"/>
    <row r="4898" ht="18" customHeight="1"/>
    <row r="4899" ht="18" customHeight="1"/>
    <row r="4900" ht="18" customHeight="1"/>
    <row r="4901" ht="18" customHeight="1"/>
    <row r="4902" ht="18" customHeight="1"/>
    <row r="4903" ht="18" customHeight="1"/>
    <row r="4904" ht="18" customHeight="1"/>
    <row r="4905" ht="18" customHeight="1"/>
    <row r="4906" ht="18" customHeight="1"/>
    <row r="4907" ht="18" customHeight="1"/>
    <row r="4908" ht="18" customHeight="1"/>
    <row r="4909" ht="18" customHeight="1"/>
    <row r="4910" ht="18" customHeight="1"/>
    <row r="4911" ht="18" customHeight="1"/>
    <row r="4912" ht="18" customHeight="1"/>
    <row r="4913" ht="18" customHeight="1"/>
    <row r="4914" ht="18" customHeight="1"/>
    <row r="4915" ht="18" customHeight="1"/>
    <row r="4916" ht="18" customHeight="1"/>
    <row r="4917" ht="18" customHeight="1"/>
    <row r="4918" ht="18" customHeight="1"/>
    <row r="4919" ht="18" customHeight="1"/>
    <row r="4920" ht="18" customHeight="1"/>
    <row r="4921" ht="18" customHeight="1"/>
    <row r="4922" ht="18" customHeight="1"/>
    <row r="4923" ht="18" customHeight="1"/>
    <row r="4924" ht="18" customHeight="1"/>
    <row r="4925" ht="18" customHeight="1"/>
    <row r="4926" ht="18" customHeight="1"/>
    <row r="4927" ht="18" customHeight="1"/>
    <row r="4928" ht="18" customHeight="1"/>
    <row r="4929" ht="18" customHeight="1"/>
    <row r="4930" ht="18" customHeight="1"/>
    <row r="4931" ht="18" customHeight="1"/>
    <row r="4932" ht="18" customHeight="1"/>
    <row r="4933" ht="18" customHeight="1"/>
    <row r="4934" ht="18" customHeight="1"/>
    <row r="4935" ht="18" customHeight="1"/>
    <row r="4936" ht="18" customHeight="1"/>
    <row r="4937" ht="18" customHeight="1"/>
    <row r="4938" ht="18" customHeight="1"/>
    <row r="4939" ht="18" customHeight="1"/>
    <row r="4940" ht="18" customHeight="1"/>
    <row r="4941" ht="18" customHeight="1"/>
    <row r="4942" ht="18" customHeight="1"/>
    <row r="4943" ht="18" customHeight="1"/>
    <row r="4944" ht="18" customHeight="1"/>
    <row r="4945" ht="18" customHeight="1"/>
    <row r="4946" ht="18" customHeight="1"/>
    <row r="4947" ht="18" customHeight="1"/>
    <row r="4948" ht="18" customHeight="1"/>
    <row r="4949" ht="18" customHeight="1"/>
    <row r="4950" ht="18" customHeight="1"/>
    <row r="4951" ht="18" customHeight="1"/>
    <row r="4952" ht="18" customHeight="1"/>
    <row r="4953" ht="18" customHeight="1"/>
    <row r="4954" ht="18" customHeight="1"/>
    <row r="4955" ht="18" customHeight="1"/>
    <row r="4956" ht="18" customHeight="1"/>
    <row r="4957" ht="18" customHeight="1"/>
    <row r="4958" ht="18" customHeight="1"/>
    <row r="4959" ht="18" customHeight="1"/>
    <row r="4960" ht="18" customHeight="1"/>
    <row r="4961" ht="18" customHeight="1"/>
    <row r="4962" ht="18" customHeight="1"/>
    <row r="4963" ht="18" customHeight="1"/>
    <row r="4964" ht="18" customHeight="1"/>
    <row r="4965" ht="18" customHeight="1"/>
    <row r="4966" ht="18" customHeight="1"/>
    <row r="4967" ht="18" customHeight="1"/>
    <row r="4968" ht="18" customHeight="1"/>
    <row r="4969" ht="18" customHeight="1"/>
    <row r="4970" ht="18" customHeight="1"/>
    <row r="4971" ht="18" customHeight="1"/>
    <row r="4972" ht="18" customHeight="1"/>
    <row r="4973" ht="18" customHeight="1"/>
    <row r="4974" ht="18" customHeight="1"/>
    <row r="4975" ht="18" customHeight="1"/>
    <row r="4976" ht="18" customHeight="1"/>
    <row r="4977" ht="18" customHeight="1"/>
    <row r="4978" ht="18" customHeight="1"/>
    <row r="4979" ht="18" customHeight="1"/>
    <row r="4980" ht="18" customHeight="1"/>
    <row r="4981" ht="18" customHeight="1"/>
    <row r="4982" ht="18" customHeight="1"/>
    <row r="4983" ht="18" customHeight="1"/>
    <row r="4984" ht="18" customHeight="1"/>
    <row r="4985" ht="18" customHeight="1"/>
    <row r="4986" ht="18" customHeight="1"/>
    <row r="4987" ht="18" customHeight="1"/>
    <row r="4988" ht="18" customHeight="1"/>
    <row r="4989" ht="18" customHeight="1"/>
    <row r="4990" ht="18" customHeight="1"/>
    <row r="4991" ht="18" customHeight="1"/>
    <row r="4992" ht="18" customHeight="1"/>
    <row r="4993" ht="18" customHeight="1"/>
    <row r="4994" ht="18" customHeight="1"/>
    <row r="4995" ht="18" customHeight="1"/>
    <row r="4996" ht="18" customHeight="1"/>
    <row r="4997" ht="18" customHeight="1"/>
    <row r="4998" ht="18" customHeight="1"/>
    <row r="4999" ht="18" customHeight="1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O5000"/>
  <sheetViews>
    <sheetView workbookViewId="0">
      <selection activeCell="A3" sqref="A3:O3"/>
    </sheetView>
  </sheetViews>
  <sheetFormatPr baseColWidth="10" defaultColWidth="9" defaultRowHeight="14.25"/>
  <cols>
    <col min="1" max="1" width="6" customWidth="1"/>
    <col min="2" max="2" width="0" hidden="1" customWidth="1"/>
    <col min="3" max="3" width="24" customWidth="1"/>
    <col min="4" max="4" width="48" customWidth="1"/>
    <col min="5" max="12" width="24" customWidth="1"/>
    <col min="13" max="13" width="18" customWidth="1"/>
    <col min="14" max="14" width="12" customWidth="1"/>
    <col min="15" max="15" width="38" customWidth="1"/>
  </cols>
  <sheetData>
    <row r="1" spans="1:15" ht="30" customHeight="1">
      <c r="A1" s="13" t="s">
        <v>10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1:15" ht="18" customHeight="1">
      <c r="A2" s="14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1:15" ht="27.95" customHeight="1">
      <c r="A3" s="15" t="s">
        <v>80</v>
      </c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1:15" ht="36" customHeight="1">
      <c r="A4" s="4" t="s">
        <v>11</v>
      </c>
      <c r="B4" s="4" t="s">
        <v>12</v>
      </c>
      <c r="C4" s="4" t="s">
        <v>13</v>
      </c>
      <c r="D4" s="4" t="s">
        <v>14</v>
      </c>
      <c r="E4" s="4" t="s">
        <v>15</v>
      </c>
      <c r="F4" s="4" t="s">
        <v>16</v>
      </c>
      <c r="G4" s="4" t="s">
        <v>17</v>
      </c>
      <c r="H4" s="4" t="s">
        <v>18</v>
      </c>
      <c r="I4" s="4" t="s">
        <v>19</v>
      </c>
      <c r="J4" s="4" t="s">
        <v>20</v>
      </c>
      <c r="K4" s="4" t="s">
        <v>21</v>
      </c>
      <c r="L4" s="4" t="s">
        <v>22</v>
      </c>
      <c r="M4" s="4" t="s">
        <v>23</v>
      </c>
      <c r="N4" s="4" t="s">
        <v>5</v>
      </c>
      <c r="O4" s="4" t="s">
        <v>6</v>
      </c>
    </row>
    <row r="5" spans="1:15" ht="18" customHeight="1">
      <c r="A5" s="5">
        <f t="shared" ref="A5:A36" si="0">IF(COUNTA(C5:N5)=0,"",ROW()-4)</f>
        <v>1</v>
      </c>
      <c r="B5" s="5" t="str">
        <f t="shared" ref="B5:B36" si="1">IF(COUNTA(C5:N5)=0,"","qcu")</f>
        <v>qcu</v>
      </c>
      <c r="C5" s="3" t="s">
        <v>24</v>
      </c>
      <c r="D5" s="3" t="s">
        <v>25</v>
      </c>
      <c r="E5" s="3" t="s">
        <v>26</v>
      </c>
      <c r="F5" s="3" t="s">
        <v>27</v>
      </c>
      <c r="G5" s="3" t="s">
        <v>28</v>
      </c>
      <c r="H5" s="3" t="s">
        <v>29</v>
      </c>
      <c r="I5" s="3"/>
      <c r="J5" s="3"/>
      <c r="K5" s="3"/>
      <c r="L5" s="3"/>
      <c r="M5" s="6" t="s">
        <v>30</v>
      </c>
      <c r="N5" s="7">
        <v>1</v>
      </c>
      <c r="O5" s="8" t="str">
        <f t="shared" ref="O5:O36" si="2">IF(COUNTA(C5:N5)=0,"",IF(D5="","Erreur : question manquante",IF((IF(E5="",0,1)+IF(F5="",0,1)+IF(G5="",0,1)+IF(H5="",0,1)+IF(I5="",0,1)+IF(J5="",0,1)+IF(K5="",0,1)+IF(L5="",0,1))&lt;2,"Erreur : au moins 2 réponses",IF(M5="","Erreur : bonne réponse manquante",IF(NOT(ISNUMBER(N5)),"Erreur : pondération numérique",IF(N5&lt;=0,"Erreur : pondération &gt; 0",IF(ISNUMBER(SEARCH(";",M5&amp;"")),"Erreur : QCU = 1 seule bonne réponse",IFERROR(IF(OR(VALUE(M5)&lt;1,VALUE(M5)&gt;8,VALUE(M5)&lt;&gt;INT(VALUE(M5))),"Erreur : bonne réponse 1-8",IF(INDEX(E5:L5,1,VALUE(M5))="","Erreur : réponse correcte vide","OK")),"Erreur : bonne réponse 1-8"))))))))</f>
        <v>OK</v>
      </c>
    </row>
    <row r="6" spans="1:15" ht="18" customHeight="1">
      <c r="A6" s="5" t="str">
        <f t="shared" si="0"/>
        <v/>
      </c>
      <c r="B6" s="5" t="str">
        <f t="shared" si="1"/>
        <v/>
      </c>
      <c r="C6" s="3"/>
      <c r="D6" s="3"/>
      <c r="E6" s="3"/>
      <c r="F6" s="3"/>
      <c r="G6" s="3"/>
      <c r="H6" s="3"/>
      <c r="I6" s="3"/>
      <c r="J6" s="3"/>
      <c r="K6" s="3"/>
      <c r="L6" s="3"/>
      <c r="M6" s="6"/>
      <c r="N6" s="7"/>
      <c r="O6" s="8" t="str">
        <f t="shared" si="2"/>
        <v/>
      </c>
    </row>
    <row r="7" spans="1:15" ht="18" customHeight="1">
      <c r="A7" s="5" t="str">
        <f t="shared" si="0"/>
        <v/>
      </c>
      <c r="B7" s="5" t="str">
        <f t="shared" si="1"/>
        <v/>
      </c>
      <c r="C7" s="3"/>
      <c r="D7" s="3"/>
      <c r="E7" s="3"/>
      <c r="F7" s="3"/>
      <c r="G7" s="3"/>
      <c r="H7" s="3"/>
      <c r="I7" s="3"/>
      <c r="J7" s="3"/>
      <c r="K7" s="3"/>
      <c r="L7" s="3"/>
      <c r="M7" s="6"/>
      <c r="N7" s="7"/>
      <c r="O7" s="8" t="str">
        <f t="shared" si="2"/>
        <v/>
      </c>
    </row>
    <row r="8" spans="1:15" ht="18" customHeight="1">
      <c r="A8" s="5" t="str">
        <f t="shared" si="0"/>
        <v/>
      </c>
      <c r="B8" s="5" t="str">
        <f t="shared" si="1"/>
        <v/>
      </c>
      <c r="C8" s="3"/>
      <c r="D8" s="3"/>
      <c r="E8" s="3"/>
      <c r="F8" s="3"/>
      <c r="G8" s="3"/>
      <c r="H8" s="3"/>
      <c r="I8" s="3"/>
      <c r="J8" s="3"/>
      <c r="K8" s="3"/>
      <c r="L8" s="3"/>
      <c r="M8" s="6"/>
      <c r="N8" s="7"/>
      <c r="O8" s="8" t="str">
        <f t="shared" si="2"/>
        <v/>
      </c>
    </row>
    <row r="9" spans="1:15" ht="18" customHeight="1">
      <c r="A9" s="5" t="str">
        <f t="shared" si="0"/>
        <v/>
      </c>
      <c r="B9" s="5" t="str">
        <f t="shared" si="1"/>
        <v/>
      </c>
      <c r="C9" s="3"/>
      <c r="D9" s="3"/>
      <c r="E9" s="3"/>
      <c r="F9" s="3"/>
      <c r="G9" s="3"/>
      <c r="H9" s="3"/>
      <c r="I9" s="3"/>
      <c r="J9" s="3"/>
      <c r="K9" s="3"/>
      <c r="L9" s="3"/>
      <c r="M9" s="6"/>
      <c r="N9" s="7"/>
      <c r="O9" s="8" t="str">
        <f t="shared" si="2"/>
        <v/>
      </c>
    </row>
    <row r="10" spans="1:15" ht="18" customHeight="1">
      <c r="A10" s="5" t="str">
        <f t="shared" si="0"/>
        <v/>
      </c>
      <c r="B10" s="5" t="str">
        <f t="shared" si="1"/>
        <v/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6"/>
      <c r="N10" s="7"/>
      <c r="O10" s="8" t="str">
        <f t="shared" si="2"/>
        <v/>
      </c>
    </row>
    <row r="11" spans="1:15" ht="18" customHeight="1">
      <c r="A11" s="5" t="str">
        <f t="shared" si="0"/>
        <v/>
      </c>
      <c r="B11" s="5" t="str">
        <f t="shared" si="1"/>
        <v/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6"/>
      <c r="N11" s="7"/>
      <c r="O11" s="8" t="str">
        <f t="shared" si="2"/>
        <v/>
      </c>
    </row>
    <row r="12" spans="1:15" ht="18" customHeight="1">
      <c r="A12" s="5" t="str">
        <f t="shared" si="0"/>
        <v/>
      </c>
      <c r="B12" s="5" t="str">
        <f t="shared" si="1"/>
        <v/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6"/>
      <c r="N12" s="7"/>
      <c r="O12" s="8" t="str">
        <f t="shared" si="2"/>
        <v/>
      </c>
    </row>
    <row r="13" spans="1:15" ht="18" customHeight="1">
      <c r="A13" s="5" t="str">
        <f t="shared" si="0"/>
        <v/>
      </c>
      <c r="B13" s="5" t="str">
        <f t="shared" si="1"/>
        <v/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6"/>
      <c r="N13" s="7"/>
      <c r="O13" s="8" t="str">
        <f t="shared" si="2"/>
        <v/>
      </c>
    </row>
    <row r="14" spans="1:15" ht="18" customHeight="1">
      <c r="A14" s="5" t="str">
        <f t="shared" si="0"/>
        <v/>
      </c>
      <c r="B14" s="5" t="str">
        <f t="shared" si="1"/>
        <v/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6"/>
      <c r="N14" s="7"/>
      <c r="O14" s="8" t="str">
        <f t="shared" si="2"/>
        <v/>
      </c>
    </row>
    <row r="15" spans="1:15" ht="18" customHeight="1">
      <c r="A15" s="5" t="str">
        <f t="shared" si="0"/>
        <v/>
      </c>
      <c r="B15" s="5" t="str">
        <f t="shared" si="1"/>
        <v/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6"/>
      <c r="N15" s="7"/>
      <c r="O15" s="8" t="str">
        <f t="shared" si="2"/>
        <v/>
      </c>
    </row>
    <row r="16" spans="1:15" ht="18" customHeight="1">
      <c r="A16" s="5" t="str">
        <f t="shared" si="0"/>
        <v/>
      </c>
      <c r="B16" s="5" t="str">
        <f t="shared" si="1"/>
        <v/>
      </c>
      <c r="C16" s="3"/>
      <c r="D16" s="3"/>
      <c r="E16" s="3"/>
      <c r="F16" s="3"/>
      <c r="G16" s="3"/>
      <c r="H16" s="3"/>
      <c r="I16" s="3"/>
      <c r="J16" s="3"/>
      <c r="K16" s="3"/>
      <c r="L16" s="3"/>
      <c r="M16" s="6"/>
      <c r="N16" s="7"/>
      <c r="O16" s="8" t="str">
        <f t="shared" si="2"/>
        <v/>
      </c>
    </row>
    <row r="17" spans="1:15" ht="18" customHeight="1">
      <c r="A17" s="5" t="str">
        <f t="shared" si="0"/>
        <v/>
      </c>
      <c r="B17" s="5" t="str">
        <f t="shared" si="1"/>
        <v/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6"/>
      <c r="N17" s="7"/>
      <c r="O17" s="8" t="str">
        <f t="shared" si="2"/>
        <v/>
      </c>
    </row>
    <row r="18" spans="1:15" ht="18" customHeight="1">
      <c r="A18" s="5" t="str">
        <f t="shared" si="0"/>
        <v/>
      </c>
      <c r="B18" s="5" t="str">
        <f t="shared" si="1"/>
        <v/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6"/>
      <c r="N18" s="7"/>
      <c r="O18" s="8" t="str">
        <f t="shared" si="2"/>
        <v/>
      </c>
    </row>
    <row r="19" spans="1:15" ht="18" customHeight="1">
      <c r="A19" s="5" t="str">
        <f t="shared" si="0"/>
        <v/>
      </c>
      <c r="B19" s="5" t="str">
        <f t="shared" si="1"/>
        <v/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6"/>
      <c r="N19" s="7"/>
      <c r="O19" s="8" t="str">
        <f t="shared" si="2"/>
        <v/>
      </c>
    </row>
    <row r="20" spans="1:15" ht="18" customHeight="1">
      <c r="A20" s="5" t="str">
        <f t="shared" si="0"/>
        <v/>
      </c>
      <c r="B20" s="5" t="str">
        <f t="shared" si="1"/>
        <v/>
      </c>
      <c r="C20" s="3"/>
      <c r="D20" s="3"/>
      <c r="E20" s="3"/>
      <c r="F20" s="3"/>
      <c r="G20" s="3"/>
      <c r="H20" s="3"/>
      <c r="I20" s="3"/>
      <c r="J20" s="3"/>
      <c r="K20" s="3"/>
      <c r="L20" s="3"/>
      <c r="M20" s="6"/>
      <c r="N20" s="7"/>
      <c r="O20" s="8" t="str">
        <f t="shared" si="2"/>
        <v/>
      </c>
    </row>
    <row r="21" spans="1:15" ht="18" customHeight="1">
      <c r="A21" s="5" t="str">
        <f t="shared" si="0"/>
        <v/>
      </c>
      <c r="B21" s="5" t="str">
        <f t="shared" si="1"/>
        <v/>
      </c>
      <c r="C21" s="3"/>
      <c r="D21" s="3"/>
      <c r="E21" s="3"/>
      <c r="F21" s="3"/>
      <c r="G21" s="3"/>
      <c r="H21" s="3"/>
      <c r="I21" s="3"/>
      <c r="J21" s="3"/>
      <c r="K21" s="3"/>
      <c r="L21" s="3"/>
      <c r="M21" s="6"/>
      <c r="N21" s="7"/>
      <c r="O21" s="8" t="str">
        <f t="shared" si="2"/>
        <v/>
      </c>
    </row>
    <row r="22" spans="1:15" ht="18" customHeight="1">
      <c r="A22" s="5" t="str">
        <f t="shared" si="0"/>
        <v/>
      </c>
      <c r="B22" s="5" t="str">
        <f t="shared" si="1"/>
        <v/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6"/>
      <c r="N22" s="7"/>
      <c r="O22" s="8" t="str">
        <f t="shared" si="2"/>
        <v/>
      </c>
    </row>
    <row r="23" spans="1:15" ht="18" customHeight="1">
      <c r="A23" s="5" t="str">
        <f t="shared" si="0"/>
        <v/>
      </c>
      <c r="B23" s="5" t="str">
        <f t="shared" si="1"/>
        <v/>
      </c>
      <c r="C23" s="3"/>
      <c r="D23" s="3"/>
      <c r="E23" s="3"/>
      <c r="F23" s="3"/>
      <c r="G23" s="3"/>
      <c r="H23" s="3"/>
      <c r="I23" s="3"/>
      <c r="J23" s="3"/>
      <c r="K23" s="3"/>
      <c r="L23" s="3"/>
      <c r="M23" s="6"/>
      <c r="N23" s="7"/>
      <c r="O23" s="8" t="str">
        <f t="shared" si="2"/>
        <v/>
      </c>
    </row>
    <row r="24" spans="1:15" ht="18" customHeight="1">
      <c r="A24" s="5" t="str">
        <f t="shared" si="0"/>
        <v/>
      </c>
      <c r="B24" s="5" t="str">
        <f t="shared" si="1"/>
        <v/>
      </c>
      <c r="C24" s="3"/>
      <c r="D24" s="3"/>
      <c r="E24" s="3"/>
      <c r="F24" s="3"/>
      <c r="G24" s="3"/>
      <c r="H24" s="3"/>
      <c r="I24" s="3"/>
      <c r="J24" s="3"/>
      <c r="K24" s="3"/>
      <c r="L24" s="3"/>
      <c r="M24" s="6"/>
      <c r="N24" s="7"/>
      <c r="O24" s="8" t="str">
        <f t="shared" si="2"/>
        <v/>
      </c>
    </row>
    <row r="25" spans="1:15" ht="18" customHeight="1">
      <c r="A25" s="5" t="str">
        <f t="shared" si="0"/>
        <v/>
      </c>
      <c r="B25" s="5" t="str">
        <f t="shared" si="1"/>
        <v/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6"/>
      <c r="N25" s="7"/>
      <c r="O25" s="8" t="str">
        <f t="shared" si="2"/>
        <v/>
      </c>
    </row>
    <row r="26" spans="1:15" ht="18" customHeight="1">
      <c r="A26" s="5" t="str">
        <f t="shared" si="0"/>
        <v/>
      </c>
      <c r="B26" s="5" t="str">
        <f t="shared" si="1"/>
        <v/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6"/>
      <c r="N26" s="7"/>
      <c r="O26" s="8" t="str">
        <f t="shared" si="2"/>
        <v/>
      </c>
    </row>
    <row r="27" spans="1:15" ht="18" customHeight="1">
      <c r="A27" s="5" t="str">
        <f t="shared" si="0"/>
        <v/>
      </c>
      <c r="B27" s="5" t="str">
        <f t="shared" si="1"/>
        <v/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6"/>
      <c r="N27" s="7"/>
      <c r="O27" s="8" t="str">
        <f t="shared" si="2"/>
        <v/>
      </c>
    </row>
    <row r="28" spans="1:15" ht="18" customHeight="1">
      <c r="A28" s="5" t="str">
        <f t="shared" si="0"/>
        <v/>
      </c>
      <c r="B28" s="5" t="str">
        <f t="shared" si="1"/>
        <v/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6"/>
      <c r="N28" s="7"/>
      <c r="O28" s="8" t="str">
        <f t="shared" si="2"/>
        <v/>
      </c>
    </row>
    <row r="29" spans="1:15" ht="18" customHeight="1">
      <c r="A29" s="5" t="str">
        <f t="shared" si="0"/>
        <v/>
      </c>
      <c r="B29" s="5" t="str">
        <f t="shared" si="1"/>
        <v/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6"/>
      <c r="N29" s="7"/>
      <c r="O29" s="8" t="str">
        <f t="shared" si="2"/>
        <v/>
      </c>
    </row>
    <row r="30" spans="1:15" ht="18" customHeight="1">
      <c r="A30" s="5" t="str">
        <f t="shared" si="0"/>
        <v/>
      </c>
      <c r="B30" s="5" t="str">
        <f t="shared" si="1"/>
        <v/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6"/>
      <c r="N30" s="7"/>
      <c r="O30" s="8" t="str">
        <f t="shared" si="2"/>
        <v/>
      </c>
    </row>
    <row r="31" spans="1:15" ht="18" customHeight="1">
      <c r="A31" s="5" t="str">
        <f t="shared" si="0"/>
        <v/>
      </c>
      <c r="B31" s="5" t="str">
        <f t="shared" si="1"/>
        <v/>
      </c>
      <c r="C31" s="3"/>
      <c r="D31" s="3"/>
      <c r="E31" s="3"/>
      <c r="F31" s="3"/>
      <c r="G31" s="3"/>
      <c r="H31" s="3"/>
      <c r="I31" s="3"/>
      <c r="J31" s="3"/>
      <c r="K31" s="3"/>
      <c r="L31" s="3"/>
      <c r="M31" s="6"/>
      <c r="N31" s="7"/>
      <c r="O31" s="8" t="str">
        <f t="shared" si="2"/>
        <v/>
      </c>
    </row>
    <row r="32" spans="1:15" ht="18" customHeight="1">
      <c r="A32" s="5" t="str">
        <f t="shared" si="0"/>
        <v/>
      </c>
      <c r="B32" s="5" t="str">
        <f t="shared" si="1"/>
        <v/>
      </c>
      <c r="C32" s="3"/>
      <c r="D32" s="3"/>
      <c r="E32" s="3"/>
      <c r="F32" s="3"/>
      <c r="G32" s="3"/>
      <c r="H32" s="3"/>
      <c r="I32" s="3"/>
      <c r="J32" s="3"/>
      <c r="K32" s="3"/>
      <c r="L32" s="3"/>
      <c r="M32" s="6"/>
      <c r="N32" s="7"/>
      <c r="O32" s="8" t="str">
        <f t="shared" si="2"/>
        <v/>
      </c>
    </row>
    <row r="33" spans="1:15" ht="18" customHeight="1">
      <c r="A33" s="5" t="str">
        <f t="shared" si="0"/>
        <v/>
      </c>
      <c r="B33" s="5" t="str">
        <f t="shared" si="1"/>
        <v/>
      </c>
      <c r="C33" s="3"/>
      <c r="D33" s="3"/>
      <c r="E33" s="3"/>
      <c r="F33" s="3"/>
      <c r="G33" s="3"/>
      <c r="H33" s="3"/>
      <c r="I33" s="3"/>
      <c r="J33" s="3"/>
      <c r="K33" s="3"/>
      <c r="L33" s="3"/>
      <c r="M33" s="6"/>
      <c r="N33" s="7"/>
      <c r="O33" s="8" t="str">
        <f t="shared" si="2"/>
        <v/>
      </c>
    </row>
    <row r="34" spans="1:15" ht="18" customHeight="1">
      <c r="A34" s="5" t="str">
        <f t="shared" si="0"/>
        <v/>
      </c>
      <c r="B34" s="5" t="str">
        <f t="shared" si="1"/>
        <v/>
      </c>
      <c r="C34" s="3"/>
      <c r="D34" s="3"/>
      <c r="E34" s="3"/>
      <c r="F34" s="3"/>
      <c r="G34" s="3"/>
      <c r="H34" s="3"/>
      <c r="I34" s="3"/>
      <c r="J34" s="3"/>
      <c r="K34" s="3"/>
      <c r="L34" s="3"/>
      <c r="M34" s="6"/>
      <c r="N34" s="7"/>
      <c r="O34" s="8" t="str">
        <f t="shared" si="2"/>
        <v/>
      </c>
    </row>
    <row r="35" spans="1:15" ht="18" customHeight="1">
      <c r="A35" s="5" t="str">
        <f t="shared" si="0"/>
        <v/>
      </c>
      <c r="B35" s="5" t="str">
        <f t="shared" si="1"/>
        <v/>
      </c>
      <c r="C35" s="3"/>
      <c r="D35" s="3"/>
      <c r="E35" s="3"/>
      <c r="F35" s="3"/>
      <c r="G35" s="3"/>
      <c r="H35" s="3"/>
      <c r="I35" s="3"/>
      <c r="J35" s="3"/>
      <c r="K35" s="3"/>
      <c r="L35" s="3"/>
      <c r="M35" s="6"/>
      <c r="N35" s="7"/>
      <c r="O35" s="8" t="str">
        <f t="shared" si="2"/>
        <v/>
      </c>
    </row>
    <row r="36" spans="1:15" ht="18" customHeight="1">
      <c r="A36" s="5" t="str">
        <f t="shared" si="0"/>
        <v/>
      </c>
      <c r="B36" s="5" t="str">
        <f t="shared" si="1"/>
        <v/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6"/>
      <c r="N36" s="7"/>
      <c r="O36" s="8" t="str">
        <f t="shared" si="2"/>
        <v/>
      </c>
    </row>
    <row r="37" spans="1:15" ht="18" customHeight="1">
      <c r="A37" s="5" t="str">
        <f t="shared" ref="A37:A68" si="3">IF(COUNTA(C37:N37)=0,"",ROW()-4)</f>
        <v/>
      </c>
      <c r="B37" s="5" t="str">
        <f t="shared" ref="B37:B68" si="4">IF(COUNTA(C37:N37)=0,"","qcu")</f>
        <v/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6"/>
      <c r="N37" s="7"/>
      <c r="O37" s="8" t="str">
        <f t="shared" ref="O37:O68" si="5">IF(COUNTA(C37:N37)=0,"",IF(D37="","Erreur : question manquante",IF((IF(E37="",0,1)+IF(F37="",0,1)+IF(G37="",0,1)+IF(H37="",0,1)+IF(I37="",0,1)+IF(J37="",0,1)+IF(K37="",0,1)+IF(L37="",0,1))&lt;2,"Erreur : au moins 2 réponses",IF(M37="","Erreur : bonne réponse manquante",IF(NOT(ISNUMBER(N37)),"Erreur : pondération numérique",IF(N37&lt;=0,"Erreur : pondération &gt; 0",IF(ISNUMBER(SEARCH(";",M37&amp;"")),"Erreur : QCU = 1 seule bonne réponse",IFERROR(IF(OR(VALUE(M37)&lt;1,VALUE(M37)&gt;8,VALUE(M37)&lt;&gt;INT(VALUE(M37))),"Erreur : bonne réponse 1-8",IF(INDEX(E37:L37,1,VALUE(M37))="","Erreur : réponse correcte vide","OK")),"Erreur : bonne réponse 1-8"))))))))</f>
        <v/>
      </c>
    </row>
    <row r="38" spans="1:15" ht="18" customHeight="1">
      <c r="A38" s="5" t="str">
        <f t="shared" si="3"/>
        <v/>
      </c>
      <c r="B38" s="5" t="str">
        <f t="shared" si="4"/>
        <v/>
      </c>
      <c r="C38" s="3"/>
      <c r="D38" s="3"/>
      <c r="E38" s="3"/>
      <c r="F38" s="3"/>
      <c r="G38" s="3"/>
      <c r="H38" s="3"/>
      <c r="I38" s="3"/>
      <c r="J38" s="3"/>
      <c r="K38" s="3"/>
      <c r="L38" s="3"/>
      <c r="M38" s="6"/>
      <c r="N38" s="7"/>
      <c r="O38" s="8" t="str">
        <f t="shared" si="5"/>
        <v/>
      </c>
    </row>
    <row r="39" spans="1:15" ht="18" customHeight="1">
      <c r="A39" s="5" t="str">
        <f t="shared" si="3"/>
        <v/>
      </c>
      <c r="B39" s="5" t="str">
        <f t="shared" si="4"/>
        <v/>
      </c>
      <c r="C39" s="3"/>
      <c r="D39" s="3"/>
      <c r="E39" s="3"/>
      <c r="F39" s="3"/>
      <c r="G39" s="3"/>
      <c r="H39" s="3"/>
      <c r="I39" s="3"/>
      <c r="J39" s="3"/>
      <c r="K39" s="3"/>
      <c r="L39" s="3"/>
      <c r="M39" s="6"/>
      <c r="N39" s="7"/>
      <c r="O39" s="8" t="str">
        <f t="shared" si="5"/>
        <v/>
      </c>
    </row>
    <row r="40" spans="1:15" ht="18" customHeight="1">
      <c r="A40" s="5" t="str">
        <f t="shared" si="3"/>
        <v/>
      </c>
      <c r="B40" s="5" t="str">
        <f t="shared" si="4"/>
        <v/>
      </c>
      <c r="C40" s="3"/>
      <c r="D40" s="3"/>
      <c r="E40" s="3"/>
      <c r="F40" s="3"/>
      <c r="G40" s="3"/>
      <c r="H40" s="3"/>
      <c r="I40" s="3"/>
      <c r="J40" s="3"/>
      <c r="K40" s="3"/>
      <c r="L40" s="3"/>
      <c r="M40" s="6"/>
      <c r="N40" s="7"/>
      <c r="O40" s="8" t="str">
        <f t="shared" si="5"/>
        <v/>
      </c>
    </row>
    <row r="41" spans="1:15" ht="18" customHeight="1">
      <c r="A41" s="5" t="str">
        <f t="shared" si="3"/>
        <v/>
      </c>
      <c r="B41" s="5" t="str">
        <f t="shared" si="4"/>
        <v/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6"/>
      <c r="N41" s="7"/>
      <c r="O41" s="8" t="str">
        <f t="shared" si="5"/>
        <v/>
      </c>
    </row>
    <row r="42" spans="1:15" ht="18" customHeight="1">
      <c r="A42" s="5" t="str">
        <f t="shared" si="3"/>
        <v/>
      </c>
      <c r="B42" s="5" t="str">
        <f t="shared" si="4"/>
        <v/>
      </c>
      <c r="C42" s="3"/>
      <c r="D42" s="3"/>
      <c r="E42" s="3"/>
      <c r="F42" s="3"/>
      <c r="G42" s="3"/>
      <c r="H42" s="3"/>
      <c r="I42" s="3"/>
      <c r="J42" s="3"/>
      <c r="K42" s="3"/>
      <c r="L42" s="3"/>
      <c r="M42" s="6"/>
      <c r="N42" s="7"/>
      <c r="O42" s="8" t="str">
        <f t="shared" si="5"/>
        <v/>
      </c>
    </row>
    <row r="43" spans="1:15" ht="18" customHeight="1">
      <c r="A43" s="5" t="str">
        <f t="shared" si="3"/>
        <v/>
      </c>
      <c r="B43" s="5" t="str">
        <f t="shared" si="4"/>
        <v/>
      </c>
      <c r="C43" s="3"/>
      <c r="D43" s="3"/>
      <c r="E43" s="3"/>
      <c r="F43" s="3"/>
      <c r="G43" s="3"/>
      <c r="H43" s="3"/>
      <c r="I43" s="3"/>
      <c r="J43" s="3"/>
      <c r="K43" s="3"/>
      <c r="L43" s="3"/>
      <c r="M43" s="6"/>
      <c r="N43" s="7"/>
      <c r="O43" s="8" t="str">
        <f t="shared" si="5"/>
        <v/>
      </c>
    </row>
    <row r="44" spans="1:15" ht="18" customHeight="1">
      <c r="A44" s="5" t="str">
        <f t="shared" si="3"/>
        <v/>
      </c>
      <c r="B44" s="5" t="str">
        <f t="shared" si="4"/>
        <v/>
      </c>
      <c r="C44" s="3"/>
      <c r="D44" s="3"/>
      <c r="E44" s="3"/>
      <c r="F44" s="3"/>
      <c r="G44" s="3"/>
      <c r="H44" s="3"/>
      <c r="I44" s="3"/>
      <c r="J44" s="3"/>
      <c r="K44" s="3"/>
      <c r="L44" s="3"/>
      <c r="M44" s="6"/>
      <c r="N44" s="7"/>
      <c r="O44" s="8" t="str">
        <f t="shared" si="5"/>
        <v/>
      </c>
    </row>
    <row r="45" spans="1:15" ht="18" customHeight="1">
      <c r="A45" s="5" t="str">
        <f t="shared" si="3"/>
        <v/>
      </c>
      <c r="B45" s="5" t="str">
        <f t="shared" si="4"/>
        <v/>
      </c>
      <c r="C45" s="3"/>
      <c r="D45" s="3"/>
      <c r="E45" s="3"/>
      <c r="F45" s="3"/>
      <c r="G45" s="3"/>
      <c r="H45" s="3"/>
      <c r="I45" s="3"/>
      <c r="J45" s="3"/>
      <c r="K45" s="3"/>
      <c r="L45" s="3"/>
      <c r="M45" s="6"/>
      <c r="N45" s="7"/>
      <c r="O45" s="8" t="str">
        <f t="shared" si="5"/>
        <v/>
      </c>
    </row>
    <row r="46" spans="1:15" ht="18" customHeight="1">
      <c r="A46" s="5" t="str">
        <f t="shared" si="3"/>
        <v/>
      </c>
      <c r="B46" s="5" t="str">
        <f t="shared" si="4"/>
        <v/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6"/>
      <c r="N46" s="7"/>
      <c r="O46" s="8" t="str">
        <f t="shared" si="5"/>
        <v/>
      </c>
    </row>
    <row r="47" spans="1:15" ht="18" customHeight="1">
      <c r="A47" s="5" t="str">
        <f t="shared" si="3"/>
        <v/>
      </c>
      <c r="B47" s="5" t="str">
        <f t="shared" si="4"/>
        <v/>
      </c>
      <c r="C47" s="3"/>
      <c r="D47" s="3"/>
      <c r="E47" s="3"/>
      <c r="F47" s="3"/>
      <c r="G47" s="3"/>
      <c r="H47" s="3"/>
      <c r="I47" s="3"/>
      <c r="J47" s="3"/>
      <c r="K47" s="3"/>
      <c r="L47" s="3"/>
      <c r="M47" s="6"/>
      <c r="N47" s="7"/>
      <c r="O47" s="8" t="str">
        <f t="shared" si="5"/>
        <v/>
      </c>
    </row>
    <row r="48" spans="1:15" ht="18" customHeight="1">
      <c r="A48" s="5" t="str">
        <f t="shared" si="3"/>
        <v/>
      </c>
      <c r="B48" s="5" t="str">
        <f t="shared" si="4"/>
        <v/>
      </c>
      <c r="C48" s="3"/>
      <c r="D48" s="3"/>
      <c r="E48" s="3"/>
      <c r="F48" s="3"/>
      <c r="G48" s="3"/>
      <c r="H48" s="3"/>
      <c r="I48" s="3"/>
      <c r="J48" s="3"/>
      <c r="K48" s="3"/>
      <c r="L48" s="3"/>
      <c r="M48" s="6"/>
      <c r="N48" s="7"/>
      <c r="O48" s="8" t="str">
        <f t="shared" si="5"/>
        <v/>
      </c>
    </row>
    <row r="49" spans="1:15" ht="18" customHeight="1">
      <c r="A49" s="5" t="str">
        <f t="shared" si="3"/>
        <v/>
      </c>
      <c r="B49" s="5" t="str">
        <f t="shared" si="4"/>
        <v/>
      </c>
      <c r="C49" s="3"/>
      <c r="D49" s="3"/>
      <c r="E49" s="3"/>
      <c r="F49" s="3"/>
      <c r="G49" s="3"/>
      <c r="H49" s="3"/>
      <c r="I49" s="3"/>
      <c r="J49" s="3"/>
      <c r="K49" s="3"/>
      <c r="L49" s="3"/>
      <c r="M49" s="6"/>
      <c r="N49" s="7"/>
      <c r="O49" s="8" t="str">
        <f t="shared" si="5"/>
        <v/>
      </c>
    </row>
    <row r="50" spans="1:15" ht="18" customHeight="1">
      <c r="A50" s="5" t="str">
        <f t="shared" si="3"/>
        <v/>
      </c>
      <c r="B50" s="5" t="str">
        <f t="shared" si="4"/>
        <v/>
      </c>
      <c r="C50" s="3"/>
      <c r="D50" s="3"/>
      <c r="E50" s="3"/>
      <c r="F50" s="3"/>
      <c r="G50" s="3"/>
      <c r="H50" s="3"/>
      <c r="I50" s="3"/>
      <c r="J50" s="3"/>
      <c r="K50" s="3"/>
      <c r="L50" s="3"/>
      <c r="M50" s="6"/>
      <c r="N50" s="7"/>
      <c r="O50" s="8" t="str">
        <f t="shared" si="5"/>
        <v/>
      </c>
    </row>
    <row r="51" spans="1:15" ht="18" customHeight="1">
      <c r="A51" s="5" t="str">
        <f t="shared" si="3"/>
        <v/>
      </c>
      <c r="B51" s="5" t="str">
        <f t="shared" si="4"/>
        <v/>
      </c>
      <c r="C51" s="3"/>
      <c r="D51" s="3"/>
      <c r="E51" s="3"/>
      <c r="F51" s="3"/>
      <c r="G51" s="3"/>
      <c r="H51" s="3"/>
      <c r="I51" s="3"/>
      <c r="J51" s="3"/>
      <c r="K51" s="3"/>
      <c r="L51" s="3"/>
      <c r="M51" s="6"/>
      <c r="N51" s="7"/>
      <c r="O51" s="8" t="str">
        <f t="shared" si="5"/>
        <v/>
      </c>
    </row>
    <row r="52" spans="1:15" ht="18" customHeight="1">
      <c r="A52" s="5" t="str">
        <f t="shared" si="3"/>
        <v/>
      </c>
      <c r="B52" s="5" t="str">
        <f t="shared" si="4"/>
        <v/>
      </c>
      <c r="C52" s="3"/>
      <c r="D52" s="3"/>
      <c r="E52" s="3"/>
      <c r="F52" s="3"/>
      <c r="G52" s="3"/>
      <c r="H52" s="3"/>
      <c r="I52" s="3"/>
      <c r="J52" s="3"/>
      <c r="K52" s="3"/>
      <c r="L52" s="3"/>
      <c r="M52" s="6"/>
      <c r="N52" s="7"/>
      <c r="O52" s="8" t="str">
        <f t="shared" si="5"/>
        <v/>
      </c>
    </row>
    <row r="53" spans="1:15" ht="18" customHeight="1">
      <c r="A53" s="5" t="str">
        <f t="shared" si="3"/>
        <v/>
      </c>
      <c r="B53" s="5" t="str">
        <f t="shared" si="4"/>
        <v/>
      </c>
      <c r="C53" s="3"/>
      <c r="D53" s="3"/>
      <c r="E53" s="3"/>
      <c r="F53" s="3"/>
      <c r="G53" s="3"/>
      <c r="H53" s="3"/>
      <c r="I53" s="3"/>
      <c r="J53" s="3"/>
      <c r="K53" s="3"/>
      <c r="L53" s="3"/>
      <c r="M53" s="6"/>
      <c r="N53" s="7"/>
      <c r="O53" s="8" t="str">
        <f t="shared" si="5"/>
        <v/>
      </c>
    </row>
    <row r="54" spans="1:15" ht="18" customHeight="1">
      <c r="A54" s="5" t="str">
        <f t="shared" si="3"/>
        <v/>
      </c>
      <c r="B54" s="5" t="str">
        <f t="shared" si="4"/>
        <v/>
      </c>
      <c r="C54" s="3"/>
      <c r="D54" s="3"/>
      <c r="E54" s="3"/>
      <c r="F54" s="3"/>
      <c r="G54" s="3"/>
      <c r="H54" s="3"/>
      <c r="I54" s="3"/>
      <c r="J54" s="3"/>
      <c r="K54" s="3"/>
      <c r="L54" s="3"/>
      <c r="M54" s="6"/>
      <c r="N54" s="7"/>
      <c r="O54" s="8" t="str">
        <f t="shared" si="5"/>
        <v/>
      </c>
    </row>
    <row r="55" spans="1:15" ht="18" customHeight="1">
      <c r="A55" s="5" t="str">
        <f t="shared" si="3"/>
        <v/>
      </c>
      <c r="B55" s="5" t="str">
        <f t="shared" si="4"/>
        <v/>
      </c>
      <c r="C55" s="3"/>
      <c r="D55" s="3"/>
      <c r="E55" s="3"/>
      <c r="F55" s="3"/>
      <c r="G55" s="3"/>
      <c r="H55" s="3"/>
      <c r="I55" s="3"/>
      <c r="J55" s="3"/>
      <c r="K55" s="3"/>
      <c r="L55" s="3"/>
      <c r="M55" s="6"/>
      <c r="N55" s="7"/>
      <c r="O55" s="8" t="str">
        <f t="shared" si="5"/>
        <v/>
      </c>
    </row>
    <row r="56" spans="1:15" ht="18" customHeight="1">
      <c r="A56" s="5" t="str">
        <f t="shared" si="3"/>
        <v/>
      </c>
      <c r="B56" s="5" t="str">
        <f t="shared" si="4"/>
        <v/>
      </c>
      <c r="C56" s="3"/>
      <c r="D56" s="3"/>
      <c r="E56" s="3"/>
      <c r="F56" s="3"/>
      <c r="G56" s="3"/>
      <c r="H56" s="3"/>
      <c r="I56" s="3"/>
      <c r="J56" s="3"/>
      <c r="K56" s="3"/>
      <c r="L56" s="3"/>
      <c r="M56" s="6"/>
      <c r="N56" s="7"/>
      <c r="O56" s="8" t="str">
        <f t="shared" si="5"/>
        <v/>
      </c>
    </row>
    <row r="57" spans="1:15" ht="18" customHeight="1">
      <c r="A57" s="5" t="str">
        <f t="shared" si="3"/>
        <v/>
      </c>
      <c r="B57" s="5" t="str">
        <f t="shared" si="4"/>
        <v/>
      </c>
      <c r="C57" s="3"/>
      <c r="D57" s="3"/>
      <c r="E57" s="3"/>
      <c r="F57" s="3"/>
      <c r="G57" s="3"/>
      <c r="H57" s="3"/>
      <c r="I57" s="3"/>
      <c r="J57" s="3"/>
      <c r="K57" s="3"/>
      <c r="L57" s="3"/>
      <c r="M57" s="6"/>
      <c r="N57" s="7"/>
      <c r="O57" s="8" t="str">
        <f t="shared" si="5"/>
        <v/>
      </c>
    </row>
    <row r="58" spans="1:15" ht="18" customHeight="1">
      <c r="A58" s="5" t="str">
        <f t="shared" si="3"/>
        <v/>
      </c>
      <c r="B58" s="5" t="str">
        <f t="shared" si="4"/>
        <v/>
      </c>
      <c r="C58" s="3"/>
      <c r="D58" s="3"/>
      <c r="E58" s="3"/>
      <c r="F58" s="3"/>
      <c r="G58" s="3"/>
      <c r="H58" s="3"/>
      <c r="I58" s="3"/>
      <c r="J58" s="3"/>
      <c r="K58" s="3"/>
      <c r="L58" s="3"/>
      <c r="M58" s="6"/>
      <c r="N58" s="7"/>
      <c r="O58" s="8" t="str">
        <f t="shared" si="5"/>
        <v/>
      </c>
    </row>
    <row r="59" spans="1:15" ht="18" customHeight="1">
      <c r="A59" s="5" t="str">
        <f t="shared" si="3"/>
        <v/>
      </c>
      <c r="B59" s="5" t="str">
        <f t="shared" si="4"/>
        <v/>
      </c>
      <c r="C59" s="3"/>
      <c r="D59" s="3"/>
      <c r="E59" s="3"/>
      <c r="F59" s="3"/>
      <c r="G59" s="3"/>
      <c r="H59" s="3"/>
      <c r="I59" s="3"/>
      <c r="J59" s="3"/>
      <c r="K59" s="3"/>
      <c r="L59" s="3"/>
      <c r="M59" s="6"/>
      <c r="N59" s="7"/>
      <c r="O59" s="8" t="str">
        <f t="shared" si="5"/>
        <v/>
      </c>
    </row>
    <row r="60" spans="1:15" ht="18" customHeight="1">
      <c r="A60" s="5" t="str">
        <f t="shared" si="3"/>
        <v/>
      </c>
      <c r="B60" s="5" t="str">
        <f t="shared" si="4"/>
        <v/>
      </c>
      <c r="C60" s="3"/>
      <c r="D60" s="3"/>
      <c r="E60" s="3"/>
      <c r="F60" s="3"/>
      <c r="G60" s="3"/>
      <c r="H60" s="3"/>
      <c r="I60" s="3"/>
      <c r="J60" s="3"/>
      <c r="K60" s="3"/>
      <c r="L60" s="3"/>
      <c r="M60" s="6"/>
      <c r="N60" s="7"/>
      <c r="O60" s="8" t="str">
        <f t="shared" si="5"/>
        <v/>
      </c>
    </row>
    <row r="61" spans="1:15" ht="18" customHeight="1">
      <c r="A61" s="5" t="str">
        <f t="shared" si="3"/>
        <v/>
      </c>
      <c r="B61" s="5" t="str">
        <f t="shared" si="4"/>
        <v/>
      </c>
      <c r="C61" s="3"/>
      <c r="D61" s="3"/>
      <c r="E61" s="3"/>
      <c r="F61" s="3"/>
      <c r="G61" s="3"/>
      <c r="H61" s="3"/>
      <c r="I61" s="3"/>
      <c r="J61" s="3"/>
      <c r="K61" s="3"/>
      <c r="L61" s="3"/>
      <c r="M61" s="6"/>
      <c r="N61" s="7"/>
      <c r="O61" s="8" t="str">
        <f t="shared" si="5"/>
        <v/>
      </c>
    </row>
    <row r="62" spans="1:15" ht="18" customHeight="1">
      <c r="A62" s="5" t="str">
        <f t="shared" si="3"/>
        <v/>
      </c>
      <c r="B62" s="5" t="str">
        <f t="shared" si="4"/>
        <v/>
      </c>
      <c r="C62" s="3"/>
      <c r="D62" s="3"/>
      <c r="E62" s="3"/>
      <c r="F62" s="3"/>
      <c r="G62" s="3"/>
      <c r="H62" s="3"/>
      <c r="I62" s="3"/>
      <c r="J62" s="3"/>
      <c r="K62" s="3"/>
      <c r="L62" s="3"/>
      <c r="M62" s="6"/>
      <c r="N62" s="7"/>
      <c r="O62" s="8" t="str">
        <f t="shared" si="5"/>
        <v/>
      </c>
    </row>
    <row r="63" spans="1:15" ht="18" customHeight="1">
      <c r="A63" s="5" t="str">
        <f t="shared" si="3"/>
        <v/>
      </c>
      <c r="B63" s="5" t="str">
        <f t="shared" si="4"/>
        <v/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6"/>
      <c r="N63" s="7"/>
      <c r="O63" s="8" t="str">
        <f t="shared" si="5"/>
        <v/>
      </c>
    </row>
    <row r="64" spans="1:15" ht="18" customHeight="1">
      <c r="A64" s="5" t="str">
        <f t="shared" si="3"/>
        <v/>
      </c>
      <c r="B64" s="5" t="str">
        <f t="shared" si="4"/>
        <v/>
      </c>
      <c r="C64" s="3"/>
      <c r="D64" s="3"/>
      <c r="E64" s="3"/>
      <c r="F64" s="3"/>
      <c r="G64" s="3"/>
      <c r="H64" s="3"/>
      <c r="I64" s="3"/>
      <c r="J64" s="3"/>
      <c r="K64" s="3"/>
      <c r="L64" s="3"/>
      <c r="M64" s="6"/>
      <c r="N64" s="7"/>
      <c r="O64" s="8" t="str">
        <f t="shared" si="5"/>
        <v/>
      </c>
    </row>
    <row r="65" spans="1:15" ht="18" customHeight="1">
      <c r="A65" s="5" t="str">
        <f t="shared" si="3"/>
        <v/>
      </c>
      <c r="B65" s="5" t="str">
        <f t="shared" si="4"/>
        <v/>
      </c>
      <c r="C65" s="3"/>
      <c r="D65" s="3"/>
      <c r="E65" s="3"/>
      <c r="F65" s="3"/>
      <c r="G65" s="3"/>
      <c r="H65" s="3"/>
      <c r="I65" s="3"/>
      <c r="J65" s="3"/>
      <c r="K65" s="3"/>
      <c r="L65" s="3"/>
      <c r="M65" s="6"/>
      <c r="N65" s="7"/>
      <c r="O65" s="8" t="str">
        <f t="shared" si="5"/>
        <v/>
      </c>
    </row>
    <row r="66" spans="1:15" ht="18" customHeight="1">
      <c r="A66" s="5" t="str">
        <f t="shared" si="3"/>
        <v/>
      </c>
      <c r="B66" s="5" t="str">
        <f t="shared" si="4"/>
        <v/>
      </c>
      <c r="C66" s="3"/>
      <c r="D66" s="3"/>
      <c r="E66" s="3"/>
      <c r="F66" s="3"/>
      <c r="G66" s="3"/>
      <c r="H66" s="3"/>
      <c r="I66" s="3"/>
      <c r="J66" s="3"/>
      <c r="K66" s="3"/>
      <c r="L66" s="3"/>
      <c r="M66" s="6"/>
      <c r="N66" s="7"/>
      <c r="O66" s="8" t="str">
        <f t="shared" si="5"/>
        <v/>
      </c>
    </row>
    <row r="67" spans="1:15" ht="18" customHeight="1">
      <c r="A67" s="5" t="str">
        <f t="shared" si="3"/>
        <v/>
      </c>
      <c r="B67" s="5" t="str">
        <f t="shared" si="4"/>
        <v/>
      </c>
      <c r="C67" s="3"/>
      <c r="D67" s="3"/>
      <c r="E67" s="3"/>
      <c r="F67" s="3"/>
      <c r="G67" s="3"/>
      <c r="H67" s="3"/>
      <c r="I67" s="3"/>
      <c r="J67" s="3"/>
      <c r="K67" s="3"/>
      <c r="L67" s="3"/>
      <c r="M67" s="6"/>
      <c r="N67" s="7"/>
      <c r="O67" s="8" t="str">
        <f t="shared" si="5"/>
        <v/>
      </c>
    </row>
    <row r="68" spans="1:15" ht="18" customHeight="1">
      <c r="A68" s="5" t="str">
        <f t="shared" si="3"/>
        <v/>
      </c>
      <c r="B68" s="5" t="str">
        <f t="shared" si="4"/>
        <v/>
      </c>
      <c r="C68" s="3"/>
      <c r="D68" s="3"/>
      <c r="E68" s="3"/>
      <c r="F68" s="3"/>
      <c r="G68" s="3"/>
      <c r="H68" s="3"/>
      <c r="I68" s="3"/>
      <c r="J68" s="3"/>
      <c r="K68" s="3"/>
      <c r="L68" s="3"/>
      <c r="M68" s="6"/>
      <c r="N68" s="7"/>
      <c r="O68" s="8" t="str">
        <f t="shared" si="5"/>
        <v/>
      </c>
    </row>
    <row r="69" spans="1:15" ht="18" customHeight="1">
      <c r="A69" s="5" t="str">
        <f t="shared" ref="A69:A104" si="6">IF(COUNTA(C69:N69)=0,"",ROW()-4)</f>
        <v/>
      </c>
      <c r="B69" s="5" t="str">
        <f t="shared" ref="B69:B100" si="7">IF(COUNTA(C69:N69)=0,"","qcu")</f>
        <v/>
      </c>
      <c r="C69" s="3"/>
      <c r="D69" s="3"/>
      <c r="E69" s="3"/>
      <c r="F69" s="3"/>
      <c r="G69" s="3"/>
      <c r="H69" s="3"/>
      <c r="I69" s="3"/>
      <c r="J69" s="3"/>
      <c r="K69" s="3"/>
      <c r="L69" s="3"/>
      <c r="M69" s="6"/>
      <c r="N69" s="7"/>
      <c r="O69" s="8" t="str">
        <f t="shared" ref="O69:O100" si="8">IF(COUNTA(C69:N69)=0,"",IF(D69="","Erreur : question manquante",IF((IF(E69="",0,1)+IF(F69="",0,1)+IF(G69="",0,1)+IF(H69="",0,1)+IF(I69="",0,1)+IF(J69="",0,1)+IF(K69="",0,1)+IF(L69="",0,1))&lt;2,"Erreur : au moins 2 réponses",IF(M69="","Erreur : bonne réponse manquante",IF(NOT(ISNUMBER(N69)),"Erreur : pondération numérique",IF(N69&lt;=0,"Erreur : pondération &gt; 0",IF(ISNUMBER(SEARCH(";",M69&amp;"")),"Erreur : QCU = 1 seule bonne réponse",IFERROR(IF(OR(VALUE(M69)&lt;1,VALUE(M69)&gt;8,VALUE(M69)&lt;&gt;INT(VALUE(M69))),"Erreur : bonne réponse 1-8",IF(INDEX(E69:L69,1,VALUE(M69))="","Erreur : réponse correcte vide","OK")),"Erreur : bonne réponse 1-8"))))))))</f>
        <v/>
      </c>
    </row>
    <row r="70" spans="1:15" ht="18" customHeight="1">
      <c r="A70" s="5" t="str">
        <f t="shared" si="6"/>
        <v/>
      </c>
      <c r="B70" s="5" t="str">
        <f t="shared" si="7"/>
        <v/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6"/>
      <c r="N70" s="7"/>
      <c r="O70" s="8" t="str">
        <f t="shared" si="8"/>
        <v/>
      </c>
    </row>
    <row r="71" spans="1:15" ht="18" customHeight="1">
      <c r="A71" s="5" t="str">
        <f t="shared" si="6"/>
        <v/>
      </c>
      <c r="B71" s="5" t="str">
        <f t="shared" si="7"/>
        <v/>
      </c>
      <c r="C71" s="3"/>
      <c r="D71" s="3"/>
      <c r="E71" s="3"/>
      <c r="F71" s="3"/>
      <c r="G71" s="3"/>
      <c r="H71" s="3"/>
      <c r="I71" s="3"/>
      <c r="J71" s="3"/>
      <c r="K71" s="3"/>
      <c r="L71" s="3"/>
      <c r="M71" s="6"/>
      <c r="N71" s="7"/>
      <c r="O71" s="8" t="str">
        <f t="shared" si="8"/>
        <v/>
      </c>
    </row>
    <row r="72" spans="1:15" ht="18" customHeight="1">
      <c r="A72" s="5" t="str">
        <f t="shared" si="6"/>
        <v/>
      </c>
      <c r="B72" s="5" t="str">
        <f t="shared" si="7"/>
        <v/>
      </c>
      <c r="C72" s="3"/>
      <c r="D72" s="3"/>
      <c r="E72" s="3"/>
      <c r="F72" s="3"/>
      <c r="G72" s="3"/>
      <c r="H72" s="3"/>
      <c r="I72" s="3"/>
      <c r="J72" s="3"/>
      <c r="K72" s="3"/>
      <c r="L72" s="3"/>
      <c r="M72" s="6"/>
      <c r="N72" s="7"/>
      <c r="O72" s="8" t="str">
        <f t="shared" si="8"/>
        <v/>
      </c>
    </row>
    <row r="73" spans="1:15" ht="18" customHeight="1">
      <c r="A73" s="5" t="str">
        <f t="shared" si="6"/>
        <v/>
      </c>
      <c r="B73" s="5" t="str">
        <f t="shared" si="7"/>
        <v/>
      </c>
      <c r="C73" s="3"/>
      <c r="D73" s="3"/>
      <c r="E73" s="3"/>
      <c r="F73" s="3"/>
      <c r="G73" s="3"/>
      <c r="H73" s="3"/>
      <c r="I73" s="3"/>
      <c r="J73" s="3"/>
      <c r="K73" s="3"/>
      <c r="L73" s="3"/>
      <c r="M73" s="6"/>
      <c r="N73" s="7"/>
      <c r="O73" s="8" t="str">
        <f t="shared" si="8"/>
        <v/>
      </c>
    </row>
    <row r="74" spans="1:15" ht="18" customHeight="1">
      <c r="A74" s="5" t="str">
        <f t="shared" si="6"/>
        <v/>
      </c>
      <c r="B74" s="5" t="str">
        <f t="shared" si="7"/>
        <v/>
      </c>
      <c r="C74" s="3"/>
      <c r="D74" s="3"/>
      <c r="E74" s="3"/>
      <c r="F74" s="3"/>
      <c r="G74" s="3"/>
      <c r="H74" s="3"/>
      <c r="I74" s="3"/>
      <c r="J74" s="3"/>
      <c r="K74" s="3"/>
      <c r="L74" s="3"/>
      <c r="M74" s="6"/>
      <c r="N74" s="7"/>
      <c r="O74" s="8" t="str">
        <f t="shared" si="8"/>
        <v/>
      </c>
    </row>
    <row r="75" spans="1:15" ht="18" customHeight="1">
      <c r="A75" s="5" t="str">
        <f t="shared" si="6"/>
        <v/>
      </c>
      <c r="B75" s="5" t="str">
        <f t="shared" si="7"/>
        <v/>
      </c>
      <c r="C75" s="3"/>
      <c r="D75" s="3"/>
      <c r="E75" s="3"/>
      <c r="F75" s="3"/>
      <c r="G75" s="3"/>
      <c r="H75" s="3"/>
      <c r="I75" s="3"/>
      <c r="J75" s="3"/>
      <c r="K75" s="3"/>
      <c r="L75" s="3"/>
      <c r="M75" s="6"/>
      <c r="N75" s="7"/>
      <c r="O75" s="8" t="str">
        <f t="shared" si="8"/>
        <v/>
      </c>
    </row>
    <row r="76" spans="1:15" ht="18" customHeight="1">
      <c r="A76" s="5" t="str">
        <f t="shared" si="6"/>
        <v/>
      </c>
      <c r="B76" s="5" t="str">
        <f t="shared" si="7"/>
        <v/>
      </c>
      <c r="C76" s="3"/>
      <c r="D76" s="3"/>
      <c r="E76" s="3"/>
      <c r="F76" s="3"/>
      <c r="G76" s="3"/>
      <c r="H76" s="3"/>
      <c r="I76" s="3"/>
      <c r="J76" s="3"/>
      <c r="K76" s="3"/>
      <c r="L76" s="3"/>
      <c r="M76" s="6"/>
      <c r="N76" s="7"/>
      <c r="O76" s="8" t="str">
        <f t="shared" si="8"/>
        <v/>
      </c>
    </row>
    <row r="77" spans="1:15" ht="18" customHeight="1">
      <c r="A77" s="5" t="str">
        <f t="shared" si="6"/>
        <v/>
      </c>
      <c r="B77" s="5" t="str">
        <f t="shared" si="7"/>
        <v/>
      </c>
      <c r="C77" s="3"/>
      <c r="D77" s="3"/>
      <c r="E77" s="3"/>
      <c r="F77" s="3"/>
      <c r="G77" s="3"/>
      <c r="H77" s="3"/>
      <c r="I77" s="3"/>
      <c r="J77" s="3"/>
      <c r="K77" s="3"/>
      <c r="L77" s="3"/>
      <c r="M77" s="6"/>
      <c r="N77" s="7"/>
      <c r="O77" s="8" t="str">
        <f t="shared" si="8"/>
        <v/>
      </c>
    </row>
    <row r="78" spans="1:15" ht="18" customHeight="1">
      <c r="A78" s="5" t="str">
        <f t="shared" si="6"/>
        <v/>
      </c>
      <c r="B78" s="5" t="str">
        <f t="shared" si="7"/>
        <v/>
      </c>
      <c r="C78" s="3"/>
      <c r="D78" s="3"/>
      <c r="E78" s="3"/>
      <c r="F78" s="3"/>
      <c r="G78" s="3"/>
      <c r="H78" s="3"/>
      <c r="I78" s="3"/>
      <c r="J78" s="3"/>
      <c r="K78" s="3"/>
      <c r="L78" s="3"/>
      <c r="M78" s="6"/>
      <c r="N78" s="7"/>
      <c r="O78" s="8" t="str">
        <f t="shared" si="8"/>
        <v/>
      </c>
    </row>
    <row r="79" spans="1:15" ht="18" customHeight="1">
      <c r="A79" s="5" t="str">
        <f t="shared" si="6"/>
        <v/>
      </c>
      <c r="B79" s="5" t="str">
        <f t="shared" si="7"/>
        <v/>
      </c>
      <c r="C79" s="3"/>
      <c r="D79" s="3"/>
      <c r="E79" s="3"/>
      <c r="F79" s="3"/>
      <c r="G79" s="3"/>
      <c r="H79" s="3"/>
      <c r="I79" s="3"/>
      <c r="J79" s="3"/>
      <c r="K79" s="3"/>
      <c r="L79" s="3"/>
      <c r="M79" s="6"/>
      <c r="N79" s="7"/>
      <c r="O79" s="8" t="str">
        <f t="shared" si="8"/>
        <v/>
      </c>
    </row>
    <row r="80" spans="1:15" ht="18" customHeight="1">
      <c r="A80" s="5" t="str">
        <f t="shared" si="6"/>
        <v/>
      </c>
      <c r="B80" s="5" t="str">
        <f t="shared" si="7"/>
        <v/>
      </c>
      <c r="C80" s="3"/>
      <c r="D80" s="3"/>
      <c r="E80" s="3"/>
      <c r="F80" s="3"/>
      <c r="G80" s="3"/>
      <c r="H80" s="3"/>
      <c r="I80" s="3"/>
      <c r="J80" s="3"/>
      <c r="K80" s="3"/>
      <c r="L80" s="3"/>
      <c r="M80" s="6"/>
      <c r="N80" s="7"/>
      <c r="O80" s="8" t="str">
        <f t="shared" si="8"/>
        <v/>
      </c>
    </row>
    <row r="81" spans="1:15" ht="18" customHeight="1">
      <c r="A81" s="5" t="str">
        <f t="shared" si="6"/>
        <v/>
      </c>
      <c r="B81" s="5" t="str">
        <f t="shared" si="7"/>
        <v/>
      </c>
      <c r="C81" s="3"/>
      <c r="D81" s="3"/>
      <c r="E81" s="3"/>
      <c r="F81" s="3"/>
      <c r="G81" s="3"/>
      <c r="H81" s="3"/>
      <c r="I81" s="3"/>
      <c r="J81" s="3"/>
      <c r="K81" s="3"/>
      <c r="L81" s="3"/>
      <c r="M81" s="6"/>
      <c r="N81" s="7"/>
      <c r="O81" s="8" t="str">
        <f t="shared" si="8"/>
        <v/>
      </c>
    </row>
    <row r="82" spans="1:15" ht="18" customHeight="1">
      <c r="A82" s="5" t="str">
        <f t="shared" si="6"/>
        <v/>
      </c>
      <c r="B82" s="5" t="str">
        <f t="shared" si="7"/>
        <v/>
      </c>
      <c r="C82" s="3"/>
      <c r="D82" s="3"/>
      <c r="E82" s="3"/>
      <c r="F82" s="3"/>
      <c r="G82" s="3"/>
      <c r="H82" s="3"/>
      <c r="I82" s="3"/>
      <c r="J82" s="3"/>
      <c r="K82" s="3"/>
      <c r="L82" s="3"/>
      <c r="M82" s="6"/>
      <c r="N82" s="7"/>
      <c r="O82" s="8" t="str">
        <f t="shared" si="8"/>
        <v/>
      </c>
    </row>
    <row r="83" spans="1:15" ht="18" customHeight="1">
      <c r="A83" s="5" t="str">
        <f t="shared" si="6"/>
        <v/>
      </c>
      <c r="B83" s="5" t="str">
        <f t="shared" si="7"/>
        <v/>
      </c>
      <c r="C83" s="3"/>
      <c r="D83" s="3"/>
      <c r="E83" s="3"/>
      <c r="F83" s="3"/>
      <c r="G83" s="3"/>
      <c r="H83" s="3"/>
      <c r="I83" s="3"/>
      <c r="J83" s="3"/>
      <c r="K83" s="3"/>
      <c r="L83" s="3"/>
      <c r="M83" s="6"/>
      <c r="N83" s="7"/>
      <c r="O83" s="8" t="str">
        <f t="shared" si="8"/>
        <v/>
      </c>
    </row>
    <row r="84" spans="1:15" ht="18" customHeight="1">
      <c r="A84" s="5" t="str">
        <f t="shared" si="6"/>
        <v/>
      </c>
      <c r="B84" s="5" t="str">
        <f t="shared" si="7"/>
        <v/>
      </c>
      <c r="C84" s="3"/>
      <c r="D84" s="3"/>
      <c r="E84" s="3"/>
      <c r="F84" s="3"/>
      <c r="G84" s="3"/>
      <c r="H84" s="3"/>
      <c r="I84" s="3"/>
      <c r="J84" s="3"/>
      <c r="K84" s="3"/>
      <c r="L84" s="3"/>
      <c r="M84" s="6"/>
      <c r="N84" s="7"/>
      <c r="O84" s="8" t="str">
        <f t="shared" si="8"/>
        <v/>
      </c>
    </row>
    <row r="85" spans="1:15" ht="18" customHeight="1">
      <c r="A85" s="5" t="str">
        <f t="shared" si="6"/>
        <v/>
      </c>
      <c r="B85" s="5" t="str">
        <f t="shared" si="7"/>
        <v/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6"/>
      <c r="N85" s="7"/>
      <c r="O85" s="8" t="str">
        <f t="shared" si="8"/>
        <v/>
      </c>
    </row>
    <row r="86" spans="1:15" ht="18" customHeight="1">
      <c r="A86" s="5" t="str">
        <f t="shared" si="6"/>
        <v/>
      </c>
      <c r="B86" s="5" t="str">
        <f t="shared" si="7"/>
        <v/>
      </c>
      <c r="C86" s="3"/>
      <c r="D86" s="3"/>
      <c r="E86" s="3"/>
      <c r="F86" s="3"/>
      <c r="G86" s="3"/>
      <c r="H86" s="3"/>
      <c r="I86" s="3"/>
      <c r="J86" s="3"/>
      <c r="K86" s="3"/>
      <c r="L86" s="3"/>
      <c r="M86" s="6"/>
      <c r="N86" s="7"/>
      <c r="O86" s="8" t="str">
        <f t="shared" si="8"/>
        <v/>
      </c>
    </row>
    <row r="87" spans="1:15" ht="18" customHeight="1">
      <c r="A87" s="5" t="str">
        <f t="shared" si="6"/>
        <v/>
      </c>
      <c r="B87" s="5" t="str">
        <f t="shared" si="7"/>
        <v/>
      </c>
      <c r="C87" s="3"/>
      <c r="D87" s="3"/>
      <c r="E87" s="3"/>
      <c r="F87" s="3"/>
      <c r="G87" s="3"/>
      <c r="H87" s="3"/>
      <c r="I87" s="3"/>
      <c r="J87" s="3"/>
      <c r="K87" s="3"/>
      <c r="L87" s="3"/>
      <c r="M87" s="6"/>
      <c r="N87" s="7"/>
      <c r="O87" s="8" t="str">
        <f t="shared" si="8"/>
        <v/>
      </c>
    </row>
    <row r="88" spans="1:15" ht="18" customHeight="1">
      <c r="A88" s="5" t="str">
        <f t="shared" si="6"/>
        <v/>
      </c>
      <c r="B88" s="5" t="str">
        <f t="shared" si="7"/>
        <v/>
      </c>
      <c r="C88" s="3"/>
      <c r="D88" s="3"/>
      <c r="E88" s="3"/>
      <c r="F88" s="3"/>
      <c r="G88" s="3"/>
      <c r="H88" s="3"/>
      <c r="I88" s="3"/>
      <c r="J88" s="3"/>
      <c r="K88" s="3"/>
      <c r="L88" s="3"/>
      <c r="M88" s="6"/>
      <c r="N88" s="7"/>
      <c r="O88" s="8" t="str">
        <f t="shared" si="8"/>
        <v/>
      </c>
    </row>
    <row r="89" spans="1:15" ht="18" customHeight="1">
      <c r="A89" s="5" t="str">
        <f t="shared" si="6"/>
        <v/>
      </c>
      <c r="B89" s="5" t="str">
        <f t="shared" si="7"/>
        <v/>
      </c>
      <c r="C89" s="3"/>
      <c r="D89" s="3"/>
      <c r="E89" s="3"/>
      <c r="F89" s="3"/>
      <c r="G89" s="3"/>
      <c r="H89" s="3"/>
      <c r="I89" s="3"/>
      <c r="J89" s="3"/>
      <c r="K89" s="3"/>
      <c r="L89" s="3"/>
      <c r="M89" s="6"/>
      <c r="N89" s="7"/>
      <c r="O89" s="8" t="str">
        <f t="shared" si="8"/>
        <v/>
      </c>
    </row>
    <row r="90" spans="1:15" ht="18" customHeight="1">
      <c r="A90" s="5" t="str">
        <f t="shared" si="6"/>
        <v/>
      </c>
      <c r="B90" s="5" t="str">
        <f t="shared" si="7"/>
        <v/>
      </c>
      <c r="C90" s="3"/>
      <c r="D90" s="3"/>
      <c r="E90" s="3"/>
      <c r="F90" s="3"/>
      <c r="G90" s="3"/>
      <c r="H90" s="3"/>
      <c r="I90" s="3"/>
      <c r="J90" s="3"/>
      <c r="K90" s="3"/>
      <c r="L90" s="3"/>
      <c r="M90" s="6"/>
      <c r="N90" s="7"/>
      <c r="O90" s="8" t="str">
        <f t="shared" si="8"/>
        <v/>
      </c>
    </row>
    <row r="91" spans="1:15" ht="18" customHeight="1">
      <c r="A91" s="5" t="str">
        <f t="shared" si="6"/>
        <v/>
      </c>
      <c r="B91" s="5" t="str">
        <f t="shared" si="7"/>
        <v/>
      </c>
      <c r="C91" s="3"/>
      <c r="D91" s="3"/>
      <c r="E91" s="3"/>
      <c r="F91" s="3"/>
      <c r="G91" s="3"/>
      <c r="H91" s="3"/>
      <c r="I91" s="3"/>
      <c r="J91" s="3"/>
      <c r="K91" s="3"/>
      <c r="L91" s="3"/>
      <c r="M91" s="6"/>
      <c r="N91" s="7"/>
      <c r="O91" s="8" t="str">
        <f t="shared" si="8"/>
        <v/>
      </c>
    </row>
    <row r="92" spans="1:15" ht="18" customHeight="1">
      <c r="A92" s="5" t="str">
        <f t="shared" si="6"/>
        <v/>
      </c>
      <c r="B92" s="5" t="str">
        <f t="shared" si="7"/>
        <v/>
      </c>
      <c r="C92" s="3"/>
      <c r="D92" s="3"/>
      <c r="E92" s="3"/>
      <c r="F92" s="3"/>
      <c r="G92" s="3"/>
      <c r="H92" s="3"/>
      <c r="I92" s="3"/>
      <c r="J92" s="3"/>
      <c r="K92" s="3"/>
      <c r="L92" s="3"/>
      <c r="M92" s="6"/>
      <c r="N92" s="7"/>
      <c r="O92" s="8" t="str">
        <f t="shared" si="8"/>
        <v/>
      </c>
    </row>
    <row r="93" spans="1:15" ht="18" customHeight="1">
      <c r="A93" s="5" t="str">
        <f t="shared" si="6"/>
        <v/>
      </c>
      <c r="B93" s="5" t="str">
        <f t="shared" si="7"/>
        <v/>
      </c>
      <c r="C93" s="3"/>
      <c r="D93" s="3"/>
      <c r="E93" s="3"/>
      <c r="F93" s="3"/>
      <c r="G93" s="3"/>
      <c r="H93" s="3"/>
      <c r="I93" s="3"/>
      <c r="J93" s="3"/>
      <c r="K93" s="3"/>
      <c r="L93" s="3"/>
      <c r="M93" s="6"/>
      <c r="N93" s="7"/>
      <c r="O93" s="8" t="str">
        <f t="shared" si="8"/>
        <v/>
      </c>
    </row>
    <row r="94" spans="1:15" ht="18" customHeight="1">
      <c r="A94" s="5" t="str">
        <f t="shared" si="6"/>
        <v/>
      </c>
      <c r="B94" s="5" t="str">
        <f t="shared" si="7"/>
        <v/>
      </c>
      <c r="C94" s="3"/>
      <c r="D94" s="3"/>
      <c r="E94" s="3"/>
      <c r="F94" s="3"/>
      <c r="G94" s="3"/>
      <c r="H94" s="3"/>
      <c r="I94" s="3"/>
      <c r="J94" s="3"/>
      <c r="K94" s="3"/>
      <c r="L94" s="3"/>
      <c r="M94" s="6"/>
      <c r="N94" s="7"/>
      <c r="O94" s="8" t="str">
        <f t="shared" si="8"/>
        <v/>
      </c>
    </row>
    <row r="95" spans="1:15" ht="18" customHeight="1">
      <c r="A95" s="5" t="str">
        <f t="shared" si="6"/>
        <v/>
      </c>
      <c r="B95" s="5" t="str">
        <f t="shared" si="7"/>
        <v/>
      </c>
      <c r="C95" s="3"/>
      <c r="D95" s="3"/>
      <c r="E95" s="3"/>
      <c r="F95" s="3"/>
      <c r="G95" s="3"/>
      <c r="H95" s="3"/>
      <c r="I95" s="3"/>
      <c r="J95" s="3"/>
      <c r="K95" s="3"/>
      <c r="L95" s="3"/>
      <c r="M95" s="6"/>
      <c r="N95" s="7"/>
      <c r="O95" s="8" t="str">
        <f t="shared" si="8"/>
        <v/>
      </c>
    </row>
    <row r="96" spans="1:15" ht="18" customHeight="1">
      <c r="A96" s="5" t="str">
        <f t="shared" si="6"/>
        <v/>
      </c>
      <c r="B96" s="5" t="str">
        <f t="shared" si="7"/>
        <v/>
      </c>
      <c r="C96" s="3"/>
      <c r="D96" s="3"/>
      <c r="E96" s="3"/>
      <c r="F96" s="3"/>
      <c r="G96" s="3"/>
      <c r="H96" s="3"/>
      <c r="I96" s="3"/>
      <c r="J96" s="3"/>
      <c r="K96" s="3"/>
      <c r="L96" s="3"/>
      <c r="M96" s="6"/>
      <c r="N96" s="7"/>
      <c r="O96" s="8" t="str">
        <f t="shared" si="8"/>
        <v/>
      </c>
    </row>
    <row r="97" spans="1:15" ht="18" customHeight="1">
      <c r="A97" s="5" t="str">
        <f t="shared" si="6"/>
        <v/>
      </c>
      <c r="B97" s="5" t="str">
        <f t="shared" si="7"/>
        <v/>
      </c>
      <c r="C97" s="3"/>
      <c r="D97" s="3"/>
      <c r="E97" s="3"/>
      <c r="F97" s="3"/>
      <c r="G97" s="3"/>
      <c r="H97" s="3"/>
      <c r="I97" s="3"/>
      <c r="J97" s="3"/>
      <c r="K97" s="3"/>
      <c r="L97" s="3"/>
      <c r="M97" s="6"/>
      <c r="N97" s="7"/>
      <c r="O97" s="8" t="str">
        <f t="shared" si="8"/>
        <v/>
      </c>
    </row>
    <row r="98" spans="1:15" ht="18" customHeight="1">
      <c r="A98" s="5" t="str">
        <f t="shared" si="6"/>
        <v/>
      </c>
      <c r="B98" s="5" t="str">
        <f t="shared" si="7"/>
        <v/>
      </c>
      <c r="C98" s="3"/>
      <c r="D98" s="3"/>
      <c r="E98" s="3"/>
      <c r="F98" s="3"/>
      <c r="G98" s="3"/>
      <c r="H98" s="3"/>
      <c r="I98" s="3"/>
      <c r="J98" s="3"/>
      <c r="K98" s="3"/>
      <c r="L98" s="3"/>
      <c r="M98" s="6"/>
      <c r="N98" s="7"/>
      <c r="O98" s="8" t="str">
        <f t="shared" si="8"/>
        <v/>
      </c>
    </row>
    <row r="99" spans="1:15" ht="18" customHeight="1">
      <c r="A99" s="5" t="str">
        <f t="shared" si="6"/>
        <v/>
      </c>
      <c r="B99" s="5" t="str">
        <f t="shared" si="7"/>
        <v/>
      </c>
      <c r="C99" s="3"/>
      <c r="D99" s="3"/>
      <c r="E99" s="3"/>
      <c r="F99" s="3"/>
      <c r="G99" s="3"/>
      <c r="H99" s="3"/>
      <c r="I99" s="3"/>
      <c r="J99" s="3"/>
      <c r="K99" s="3"/>
      <c r="L99" s="3"/>
      <c r="M99" s="6"/>
      <c r="N99" s="7"/>
      <c r="O99" s="8" t="str">
        <f t="shared" si="8"/>
        <v/>
      </c>
    </row>
    <row r="100" spans="1:15" ht="18" customHeight="1">
      <c r="A100" s="5" t="str">
        <f t="shared" si="6"/>
        <v/>
      </c>
      <c r="B100" s="5" t="str">
        <f t="shared" si="7"/>
        <v/>
      </c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6"/>
      <c r="N100" s="7"/>
      <c r="O100" s="8" t="str">
        <f t="shared" si="8"/>
        <v/>
      </c>
    </row>
    <row r="101" spans="1:15" ht="18" customHeight="1">
      <c r="A101" s="5" t="str">
        <f t="shared" si="6"/>
        <v/>
      </c>
      <c r="B101" s="5" t="str">
        <f t="shared" ref="B101:B104" si="9">IF(COUNTA(C101:N101)=0,"","qcu")</f>
        <v/>
      </c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6"/>
      <c r="N101" s="7"/>
      <c r="O101" s="8" t="str">
        <f t="shared" ref="O101:O104" si="10">IF(COUNTA(C101:N101)=0,"",IF(D101="","Erreur : question manquante",IF((IF(E101="",0,1)+IF(F101="",0,1)+IF(G101="",0,1)+IF(H101="",0,1)+IF(I101="",0,1)+IF(J101="",0,1)+IF(K101="",0,1)+IF(L101="",0,1))&lt;2,"Erreur : au moins 2 réponses",IF(M101="","Erreur : bonne réponse manquante",IF(NOT(ISNUMBER(N101)),"Erreur : pondération numérique",IF(N101&lt;=0,"Erreur : pondération &gt; 0",IF(ISNUMBER(SEARCH(";",M101&amp;"")),"Erreur : QCU = 1 seule bonne réponse",IFERROR(IF(OR(VALUE(M101)&lt;1,VALUE(M101)&gt;8,VALUE(M101)&lt;&gt;INT(VALUE(M101))),"Erreur : bonne réponse 1-8",IF(INDEX(E101:L101,1,VALUE(M101))="","Erreur : réponse correcte vide","OK")),"Erreur : bonne réponse 1-8"))))))))</f>
        <v/>
      </c>
    </row>
    <row r="102" spans="1:15" ht="18" customHeight="1">
      <c r="A102" s="5" t="str">
        <f t="shared" si="6"/>
        <v/>
      </c>
      <c r="B102" s="5" t="str">
        <f t="shared" si="9"/>
        <v/>
      </c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6"/>
      <c r="N102" s="7"/>
      <c r="O102" s="8" t="str">
        <f t="shared" si="10"/>
        <v/>
      </c>
    </row>
    <row r="103" spans="1:15" ht="18" customHeight="1">
      <c r="A103" s="5" t="str">
        <f t="shared" si="6"/>
        <v/>
      </c>
      <c r="B103" s="5" t="str">
        <f t="shared" si="9"/>
        <v/>
      </c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6"/>
      <c r="N103" s="7"/>
      <c r="O103" s="8" t="str">
        <f t="shared" si="10"/>
        <v/>
      </c>
    </row>
    <row r="104" spans="1:15" ht="18" customHeight="1">
      <c r="A104" s="5" t="str">
        <f t="shared" si="6"/>
        <v/>
      </c>
      <c r="B104" s="5" t="str">
        <f t="shared" si="9"/>
        <v/>
      </c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6"/>
      <c r="N104" s="7"/>
      <c r="O104" s="8" t="str">
        <f t="shared" si="10"/>
        <v/>
      </c>
    </row>
    <row r="105" spans="1:15" ht="18" customHeight="1"/>
    <row r="106" spans="1:15" ht="18" customHeight="1"/>
    <row r="107" spans="1:15" ht="18" customHeight="1"/>
    <row r="108" spans="1:15" ht="18" customHeight="1"/>
    <row r="109" spans="1:15" ht="18" customHeight="1"/>
    <row r="110" spans="1:15" ht="18" customHeight="1"/>
    <row r="111" spans="1:15" ht="18" customHeight="1"/>
    <row r="112" spans="1:15" ht="18" customHeight="1"/>
    <row r="113" ht="18" customHeight="1"/>
    <row r="114" ht="18" customHeight="1"/>
    <row r="115" ht="18" customHeight="1"/>
    <row r="116" ht="18" customHeight="1"/>
    <row r="117" ht="18" customHeight="1"/>
    <row r="118" ht="18" customHeight="1"/>
    <row r="119" ht="18" customHeight="1"/>
    <row r="120" ht="18" customHeight="1"/>
    <row r="121" ht="18" customHeight="1"/>
    <row r="122" ht="18" customHeight="1"/>
    <row r="123" ht="18" customHeight="1"/>
    <row r="124" ht="18" customHeight="1"/>
    <row r="125" ht="18" customHeight="1"/>
    <row r="126" ht="18" customHeight="1"/>
    <row r="127" ht="18" customHeight="1"/>
    <row r="128" ht="18" customHeight="1"/>
    <row r="129" ht="18" customHeight="1"/>
    <row r="130" ht="18" customHeight="1"/>
    <row r="131" ht="18" customHeight="1"/>
    <row r="132" ht="18" customHeight="1"/>
    <row r="133" ht="18" customHeight="1"/>
    <row r="134" ht="18" customHeight="1"/>
    <row r="135" ht="18" customHeight="1"/>
    <row r="136" ht="18" customHeight="1"/>
    <row r="137" ht="18" customHeight="1"/>
    <row r="138" ht="18" customHeight="1"/>
    <row r="139" ht="18" customHeight="1"/>
    <row r="140" ht="18" customHeight="1"/>
    <row r="141" ht="18" customHeight="1"/>
    <row r="142" ht="18" customHeight="1"/>
    <row r="143" ht="18" customHeight="1"/>
    <row r="144" ht="18" customHeight="1"/>
    <row r="145" ht="18" customHeight="1"/>
    <row r="146" ht="18" customHeight="1"/>
    <row r="147" ht="18" customHeight="1"/>
    <row r="148" ht="18" customHeight="1"/>
    <row r="149" ht="18" customHeight="1"/>
    <row r="150" ht="18" customHeight="1"/>
    <row r="151" ht="18" customHeight="1"/>
    <row r="152" ht="18" customHeight="1"/>
    <row r="153" ht="18" customHeight="1"/>
    <row r="154" ht="18" customHeight="1"/>
    <row r="155" ht="18" customHeight="1"/>
    <row r="156" ht="18" customHeight="1"/>
    <row r="157" ht="18" customHeight="1"/>
    <row r="158" ht="18" customHeight="1"/>
    <row r="159" ht="18" customHeight="1"/>
    <row r="160" ht="18" customHeight="1"/>
    <row r="161" ht="18" customHeight="1"/>
    <row r="162" ht="18" customHeight="1"/>
    <row r="163" ht="18" customHeight="1"/>
    <row r="164" ht="18" customHeight="1"/>
    <row r="165" ht="18" customHeight="1"/>
    <row r="166" ht="18" customHeight="1"/>
    <row r="167" ht="18" customHeight="1"/>
    <row r="168" ht="18" customHeight="1"/>
    <row r="169" ht="18" customHeight="1"/>
    <row r="170" ht="18" customHeight="1"/>
    <row r="171" ht="18" customHeight="1"/>
    <row r="172" ht="18" customHeight="1"/>
    <row r="173" ht="18" customHeight="1"/>
    <row r="174" ht="18" customHeight="1"/>
    <row r="175" ht="18" customHeight="1"/>
    <row r="176" ht="18" customHeight="1"/>
    <row r="177" ht="18" customHeight="1"/>
    <row r="178" ht="18" customHeight="1"/>
    <row r="179" ht="18" customHeight="1"/>
    <row r="180" ht="18" customHeight="1"/>
    <row r="181" ht="18" customHeight="1"/>
    <row r="182" ht="18" customHeight="1"/>
    <row r="183" ht="18" customHeight="1"/>
    <row r="184" ht="18" customHeight="1"/>
    <row r="185" ht="18" customHeight="1"/>
    <row r="186" ht="18" customHeight="1"/>
    <row r="187" ht="18" customHeight="1"/>
    <row r="188" ht="18" customHeight="1"/>
    <row r="189" ht="18" customHeight="1"/>
    <row r="190" ht="18" customHeight="1"/>
    <row r="191" ht="18" customHeight="1"/>
    <row r="192" ht="18" customHeight="1"/>
    <row r="193" ht="18" customHeight="1"/>
    <row r="194" ht="18" customHeight="1"/>
    <row r="195" ht="18" customHeight="1"/>
    <row r="196" ht="18" customHeight="1"/>
    <row r="197" ht="18" customHeight="1"/>
    <row r="198" ht="18" customHeight="1"/>
    <row r="199" ht="18" customHeight="1"/>
    <row r="200" ht="18" customHeight="1"/>
    <row r="201" ht="18" customHeight="1"/>
    <row r="202" ht="18" customHeight="1"/>
    <row r="203" ht="18" customHeight="1"/>
    <row r="204" ht="18" customHeight="1"/>
    <row r="205" ht="18" customHeight="1"/>
    <row r="206" ht="18" customHeight="1"/>
    <row r="207" ht="18" customHeight="1"/>
    <row r="208" ht="18" customHeight="1"/>
    <row r="209" ht="18" customHeight="1"/>
    <row r="210" ht="18" customHeight="1"/>
    <row r="211" ht="18" customHeight="1"/>
    <row r="212" ht="18" customHeight="1"/>
    <row r="213" ht="18" customHeight="1"/>
    <row r="214" ht="18" customHeight="1"/>
    <row r="215" ht="18" customHeight="1"/>
    <row r="216" ht="18" customHeight="1"/>
    <row r="217" ht="18" customHeight="1"/>
    <row r="218" ht="18" customHeight="1"/>
    <row r="219" ht="18" customHeight="1"/>
    <row r="220" ht="18" customHeight="1"/>
    <row r="221" ht="18" customHeight="1"/>
    <row r="222" ht="18" customHeight="1"/>
    <row r="223" ht="18" customHeight="1"/>
    <row r="224" ht="18" customHeight="1"/>
    <row r="225" ht="18" customHeight="1"/>
    <row r="226" ht="18" customHeight="1"/>
    <row r="227" ht="18" customHeight="1"/>
    <row r="228" ht="18" customHeight="1"/>
    <row r="229" ht="18" customHeight="1"/>
    <row r="230" ht="18" customHeight="1"/>
    <row r="231" ht="18" customHeight="1"/>
    <row r="232" ht="18" customHeight="1"/>
    <row r="233" ht="18" customHeight="1"/>
    <row r="234" ht="18" customHeight="1"/>
    <row r="235" ht="18" customHeight="1"/>
    <row r="236" ht="18" customHeight="1"/>
    <row r="237" ht="18" customHeight="1"/>
    <row r="238" ht="18" customHeight="1"/>
    <row r="239" ht="18" customHeight="1"/>
    <row r="240" ht="18" customHeight="1"/>
    <row r="241" ht="18" customHeight="1"/>
    <row r="242" ht="18" customHeight="1"/>
    <row r="243" ht="18" customHeight="1"/>
    <row r="244" ht="18" customHeight="1"/>
    <row r="245" ht="18" customHeight="1"/>
    <row r="246" ht="18" customHeight="1"/>
    <row r="247" ht="18" customHeight="1"/>
    <row r="248" ht="18" customHeight="1"/>
    <row r="249" ht="18" customHeight="1"/>
    <row r="250" ht="18" customHeight="1"/>
    <row r="251" ht="18" customHeight="1"/>
    <row r="252" ht="18" customHeight="1"/>
    <row r="253" ht="18" customHeight="1"/>
    <row r="254" ht="18" customHeight="1"/>
    <row r="255" ht="18" customHeight="1"/>
    <row r="256" ht="18" customHeight="1"/>
    <row r="257" ht="18" customHeight="1"/>
    <row r="258" ht="18" customHeight="1"/>
    <row r="259" ht="18" customHeight="1"/>
    <row r="260" ht="18" customHeight="1"/>
    <row r="261" ht="18" customHeight="1"/>
    <row r="262" ht="18" customHeight="1"/>
    <row r="263" ht="18" customHeight="1"/>
    <row r="264" ht="18" customHeight="1"/>
    <row r="265" ht="18" customHeight="1"/>
    <row r="266" ht="18" customHeight="1"/>
    <row r="267" ht="18" customHeight="1"/>
    <row r="268" ht="18" customHeight="1"/>
    <row r="269" ht="18" customHeight="1"/>
    <row r="270" ht="18" customHeight="1"/>
    <row r="271" ht="18" customHeight="1"/>
    <row r="272" ht="18" customHeight="1"/>
    <row r="273" ht="18" customHeight="1"/>
    <row r="274" ht="18" customHeight="1"/>
    <row r="275" ht="18" customHeight="1"/>
    <row r="276" ht="18" customHeight="1"/>
    <row r="277" ht="18" customHeight="1"/>
    <row r="278" ht="18" customHeight="1"/>
    <row r="279" ht="18" customHeight="1"/>
    <row r="280" ht="18" customHeight="1"/>
    <row r="281" ht="18" customHeight="1"/>
    <row r="282" ht="18" customHeight="1"/>
    <row r="283" ht="18" customHeight="1"/>
    <row r="284" ht="18" customHeight="1"/>
    <row r="285" ht="18" customHeight="1"/>
    <row r="286" ht="18" customHeight="1"/>
    <row r="287" ht="18" customHeight="1"/>
    <row r="288" ht="18" customHeight="1"/>
    <row r="289" ht="18" customHeight="1"/>
    <row r="290" ht="18" customHeight="1"/>
    <row r="291" ht="18" customHeight="1"/>
    <row r="292" ht="18" customHeight="1"/>
    <row r="293" ht="18" customHeight="1"/>
    <row r="294" ht="18" customHeight="1"/>
    <row r="295" ht="18" customHeight="1"/>
    <row r="296" ht="18" customHeight="1"/>
    <row r="297" ht="18" customHeight="1"/>
    <row r="298" ht="18" customHeight="1"/>
    <row r="299" ht="18" customHeight="1"/>
    <row r="300" ht="18" customHeight="1"/>
    <row r="301" ht="18" customHeight="1"/>
    <row r="302" ht="18" customHeight="1"/>
    <row r="303" ht="18" customHeight="1"/>
    <row r="304" ht="18" customHeight="1"/>
    <row r="305" ht="18" customHeight="1"/>
    <row r="306" ht="18" customHeight="1"/>
    <row r="307" ht="18" customHeight="1"/>
    <row r="308" ht="18" customHeight="1"/>
    <row r="309" ht="18" customHeight="1"/>
    <row r="310" ht="18" customHeight="1"/>
    <row r="311" ht="18" customHeight="1"/>
    <row r="312" ht="18" customHeight="1"/>
    <row r="313" ht="18" customHeight="1"/>
    <row r="314" ht="18" customHeight="1"/>
    <row r="315" ht="18" customHeight="1"/>
    <row r="316" ht="18" customHeight="1"/>
    <row r="317" ht="18" customHeight="1"/>
    <row r="318" ht="18" customHeight="1"/>
    <row r="319" ht="18" customHeight="1"/>
    <row r="320" ht="18" customHeight="1"/>
    <row r="321" ht="18" customHeight="1"/>
    <row r="322" ht="18" customHeight="1"/>
    <row r="323" ht="18" customHeight="1"/>
    <row r="324" ht="18" customHeight="1"/>
    <row r="325" ht="18" customHeight="1"/>
    <row r="326" ht="18" customHeight="1"/>
    <row r="327" ht="18" customHeight="1"/>
    <row r="328" ht="18" customHeight="1"/>
    <row r="329" ht="18" customHeight="1"/>
    <row r="330" ht="18" customHeight="1"/>
    <row r="331" ht="18" customHeight="1"/>
    <row r="332" ht="18" customHeight="1"/>
    <row r="333" ht="18" customHeight="1"/>
    <row r="334" ht="18" customHeight="1"/>
    <row r="335" ht="18" customHeight="1"/>
    <row r="336" ht="18" customHeight="1"/>
    <row r="337" ht="18" customHeight="1"/>
    <row r="338" ht="18" customHeight="1"/>
    <row r="339" ht="18" customHeight="1"/>
    <row r="340" ht="18" customHeight="1"/>
    <row r="341" ht="18" customHeight="1"/>
    <row r="342" ht="18" customHeight="1"/>
    <row r="343" ht="18" customHeight="1"/>
    <row r="344" ht="18" customHeight="1"/>
    <row r="345" ht="18" customHeight="1"/>
    <row r="346" ht="18" customHeight="1"/>
    <row r="347" ht="18" customHeight="1"/>
    <row r="348" ht="18" customHeight="1"/>
    <row r="349" ht="18" customHeight="1"/>
    <row r="350" ht="18" customHeight="1"/>
    <row r="351" ht="18" customHeight="1"/>
    <row r="352" ht="18" customHeight="1"/>
    <row r="353" ht="18" customHeight="1"/>
    <row r="354" ht="18" customHeight="1"/>
    <row r="355" ht="18" customHeight="1"/>
    <row r="356" ht="18" customHeight="1"/>
    <row r="357" ht="18" customHeight="1"/>
    <row r="358" ht="18" customHeight="1"/>
    <row r="359" ht="18" customHeight="1"/>
    <row r="360" ht="18" customHeight="1"/>
    <row r="361" ht="18" customHeight="1"/>
    <row r="362" ht="18" customHeight="1"/>
    <row r="363" ht="18" customHeight="1"/>
    <row r="364" ht="18" customHeight="1"/>
    <row r="365" ht="18" customHeight="1"/>
    <row r="366" ht="18" customHeight="1"/>
    <row r="367" ht="18" customHeight="1"/>
    <row r="368" ht="18" customHeight="1"/>
    <row r="369" ht="18" customHeight="1"/>
    <row r="370" ht="18" customHeight="1"/>
    <row r="371" ht="18" customHeight="1"/>
    <row r="372" ht="18" customHeight="1"/>
    <row r="373" ht="18" customHeight="1"/>
    <row r="374" ht="18" customHeight="1"/>
    <row r="375" ht="18" customHeight="1"/>
    <row r="376" ht="18" customHeight="1"/>
    <row r="377" ht="18" customHeight="1"/>
    <row r="378" ht="18" customHeight="1"/>
    <row r="379" ht="18" customHeight="1"/>
    <row r="380" ht="18" customHeight="1"/>
    <row r="381" ht="18" customHeight="1"/>
    <row r="382" ht="18" customHeight="1"/>
    <row r="383" ht="18" customHeight="1"/>
    <row r="384" ht="18" customHeight="1"/>
    <row r="385" ht="18" customHeight="1"/>
    <row r="386" ht="18" customHeight="1"/>
    <row r="387" ht="18" customHeight="1"/>
    <row r="388" ht="18" customHeight="1"/>
    <row r="389" ht="18" customHeight="1"/>
    <row r="390" ht="18" customHeight="1"/>
    <row r="391" ht="18" customHeight="1"/>
    <row r="392" ht="18" customHeight="1"/>
    <row r="393" ht="18" customHeight="1"/>
    <row r="394" ht="18" customHeight="1"/>
    <row r="395" ht="18" customHeight="1"/>
    <row r="396" ht="18" customHeight="1"/>
    <row r="397" ht="18" customHeight="1"/>
    <row r="398" ht="18" customHeight="1"/>
    <row r="399" ht="18" customHeight="1"/>
    <row r="400" ht="18" customHeight="1"/>
    <row r="401" ht="18" customHeight="1"/>
    <row r="402" ht="18" customHeight="1"/>
    <row r="403" ht="18" customHeight="1"/>
    <row r="404" ht="18" customHeight="1"/>
    <row r="405" ht="18" customHeight="1"/>
    <row r="406" ht="18" customHeight="1"/>
    <row r="407" ht="18" customHeight="1"/>
    <row r="408" ht="18" customHeight="1"/>
    <row r="409" ht="18" customHeight="1"/>
    <row r="410" ht="18" customHeight="1"/>
    <row r="411" ht="18" customHeight="1"/>
    <row r="412" ht="18" customHeight="1"/>
    <row r="413" ht="18" customHeight="1"/>
    <row r="414" ht="18" customHeight="1"/>
    <row r="415" ht="18" customHeight="1"/>
    <row r="416" ht="18" customHeight="1"/>
    <row r="417" ht="18" customHeight="1"/>
    <row r="418" ht="18" customHeight="1"/>
    <row r="419" ht="18" customHeight="1"/>
    <row r="420" ht="18" customHeight="1"/>
    <row r="421" ht="18" customHeight="1"/>
    <row r="422" ht="18" customHeight="1"/>
    <row r="423" ht="18" customHeight="1"/>
    <row r="424" ht="18" customHeight="1"/>
    <row r="425" ht="18" customHeight="1"/>
    <row r="426" ht="18" customHeight="1"/>
    <row r="427" ht="18" customHeight="1"/>
    <row r="428" ht="18" customHeight="1"/>
    <row r="429" ht="18" customHeight="1"/>
    <row r="430" ht="18" customHeight="1"/>
    <row r="431" ht="18" customHeight="1"/>
    <row r="432" ht="18" customHeight="1"/>
    <row r="433" ht="18" customHeight="1"/>
    <row r="434" ht="18" customHeight="1"/>
    <row r="435" ht="18" customHeight="1"/>
    <row r="436" ht="18" customHeight="1"/>
    <row r="437" ht="18" customHeight="1"/>
    <row r="438" ht="18" customHeight="1"/>
    <row r="439" ht="18" customHeight="1"/>
    <row r="440" ht="18" customHeight="1"/>
    <row r="441" ht="18" customHeight="1"/>
    <row r="442" ht="18" customHeight="1"/>
    <row r="443" ht="18" customHeight="1"/>
    <row r="444" ht="18" customHeight="1"/>
    <row r="445" ht="18" customHeight="1"/>
    <row r="446" ht="18" customHeight="1"/>
    <row r="447" ht="18" customHeight="1"/>
    <row r="448" ht="18" customHeight="1"/>
    <row r="449" ht="18" customHeight="1"/>
    <row r="450" ht="18" customHeight="1"/>
    <row r="451" ht="18" customHeight="1"/>
    <row r="452" ht="18" customHeight="1"/>
    <row r="453" ht="18" customHeight="1"/>
    <row r="454" ht="18" customHeight="1"/>
    <row r="455" ht="18" customHeight="1"/>
    <row r="456" ht="18" customHeight="1"/>
    <row r="457" ht="18" customHeight="1"/>
    <row r="458" ht="18" customHeight="1"/>
    <row r="459" ht="18" customHeight="1"/>
    <row r="460" ht="18" customHeight="1"/>
    <row r="461" ht="18" customHeight="1"/>
    <row r="462" ht="18" customHeight="1"/>
    <row r="463" ht="18" customHeight="1"/>
    <row r="464" ht="18" customHeight="1"/>
    <row r="465" ht="18" customHeight="1"/>
    <row r="466" ht="18" customHeight="1"/>
    <row r="467" ht="18" customHeight="1"/>
    <row r="468" ht="18" customHeight="1"/>
    <row r="469" ht="18" customHeight="1"/>
    <row r="470" ht="18" customHeight="1"/>
    <row r="471" ht="18" customHeight="1"/>
    <row r="472" ht="18" customHeight="1"/>
    <row r="473" ht="18" customHeight="1"/>
    <row r="474" ht="18" customHeight="1"/>
    <row r="475" ht="18" customHeight="1"/>
    <row r="476" ht="18" customHeight="1"/>
    <row r="477" ht="18" customHeight="1"/>
    <row r="478" ht="18" customHeight="1"/>
    <row r="479" ht="18" customHeight="1"/>
    <row r="480" ht="18" customHeight="1"/>
    <row r="481" ht="18" customHeight="1"/>
    <row r="482" ht="18" customHeight="1"/>
    <row r="483" ht="18" customHeight="1"/>
    <row r="484" ht="18" customHeight="1"/>
    <row r="485" ht="18" customHeight="1"/>
    <row r="486" ht="18" customHeight="1"/>
    <row r="487" ht="18" customHeight="1"/>
    <row r="488" ht="18" customHeight="1"/>
    <row r="489" ht="18" customHeight="1"/>
    <row r="490" ht="18" customHeight="1"/>
    <row r="491" ht="18" customHeight="1"/>
    <row r="492" ht="18" customHeight="1"/>
    <row r="493" ht="18" customHeight="1"/>
    <row r="494" ht="18" customHeight="1"/>
    <row r="495" ht="18" customHeight="1"/>
    <row r="496" ht="18" customHeight="1"/>
    <row r="497" ht="18" customHeight="1"/>
    <row r="498" ht="18" customHeight="1"/>
    <row r="499" ht="18" customHeight="1"/>
    <row r="500" ht="18" customHeight="1"/>
    <row r="501" ht="18" customHeight="1"/>
    <row r="502" ht="18" customHeight="1"/>
    <row r="503" ht="18" customHeight="1"/>
    <row r="504" ht="18" customHeight="1"/>
    <row r="505" ht="18" customHeight="1"/>
    <row r="506" ht="18" customHeight="1"/>
    <row r="507" ht="18" customHeight="1"/>
    <row r="508" ht="18" customHeight="1"/>
    <row r="509" ht="18" customHeight="1"/>
    <row r="510" ht="18" customHeight="1"/>
    <row r="511" ht="18" customHeight="1"/>
    <row r="512" ht="18" customHeight="1"/>
    <row r="513" ht="18" customHeight="1"/>
    <row r="514" ht="18" customHeight="1"/>
    <row r="515" ht="18" customHeight="1"/>
    <row r="516" ht="18" customHeight="1"/>
    <row r="517" ht="18" customHeight="1"/>
    <row r="518" ht="18" customHeight="1"/>
    <row r="519" ht="18" customHeight="1"/>
    <row r="520" ht="18" customHeight="1"/>
    <row r="521" ht="18" customHeight="1"/>
    <row r="522" ht="18" customHeight="1"/>
    <row r="523" ht="18" customHeight="1"/>
    <row r="524" ht="18" customHeight="1"/>
    <row r="525" ht="18" customHeight="1"/>
    <row r="526" ht="18" customHeight="1"/>
    <row r="527" ht="18" customHeight="1"/>
    <row r="528" ht="18" customHeight="1"/>
    <row r="529" ht="18" customHeight="1"/>
    <row r="530" ht="18" customHeight="1"/>
    <row r="531" ht="18" customHeight="1"/>
    <row r="532" ht="18" customHeight="1"/>
    <row r="533" ht="18" customHeight="1"/>
    <row r="534" ht="18" customHeight="1"/>
    <row r="535" ht="18" customHeight="1"/>
    <row r="536" ht="18" customHeight="1"/>
    <row r="537" ht="18" customHeight="1"/>
    <row r="538" ht="18" customHeight="1"/>
    <row r="539" ht="18" customHeight="1"/>
    <row r="540" ht="18" customHeight="1"/>
    <row r="541" ht="18" customHeight="1"/>
    <row r="542" ht="18" customHeight="1"/>
    <row r="543" ht="18" customHeight="1"/>
    <row r="544" ht="18" customHeight="1"/>
    <row r="545" ht="18" customHeight="1"/>
    <row r="546" ht="18" customHeight="1"/>
    <row r="547" ht="18" customHeight="1"/>
    <row r="548" ht="18" customHeight="1"/>
    <row r="549" ht="18" customHeight="1"/>
    <row r="550" ht="18" customHeight="1"/>
    <row r="551" ht="18" customHeight="1"/>
    <row r="552" ht="18" customHeight="1"/>
    <row r="553" ht="18" customHeight="1"/>
    <row r="554" ht="18" customHeight="1"/>
    <row r="555" ht="18" customHeight="1"/>
    <row r="556" ht="18" customHeight="1"/>
    <row r="557" ht="18" customHeight="1"/>
    <row r="558" ht="18" customHeight="1"/>
    <row r="559" ht="18" customHeight="1"/>
    <row r="560" ht="18" customHeight="1"/>
    <row r="561" ht="18" customHeight="1"/>
    <row r="562" ht="18" customHeight="1"/>
    <row r="563" ht="18" customHeight="1"/>
    <row r="564" ht="18" customHeight="1"/>
    <row r="565" ht="18" customHeight="1"/>
    <row r="566" ht="18" customHeight="1"/>
    <row r="567" ht="18" customHeight="1"/>
    <row r="568" ht="18" customHeight="1"/>
    <row r="569" ht="18" customHeight="1"/>
    <row r="570" ht="18" customHeight="1"/>
    <row r="571" ht="18" customHeight="1"/>
    <row r="572" ht="18" customHeight="1"/>
    <row r="573" ht="18" customHeight="1"/>
    <row r="574" ht="18" customHeight="1"/>
    <row r="575" ht="18" customHeight="1"/>
    <row r="576" ht="18" customHeight="1"/>
    <row r="577" ht="18" customHeight="1"/>
    <row r="578" ht="18" customHeight="1"/>
    <row r="579" ht="18" customHeight="1"/>
    <row r="580" ht="18" customHeight="1"/>
    <row r="581" ht="18" customHeight="1"/>
    <row r="582" ht="18" customHeight="1"/>
    <row r="583" ht="18" customHeight="1"/>
    <row r="584" ht="18" customHeight="1"/>
    <row r="585" ht="18" customHeight="1"/>
    <row r="586" ht="18" customHeight="1"/>
    <row r="587" ht="18" customHeight="1"/>
    <row r="588" ht="18" customHeight="1"/>
    <row r="589" ht="18" customHeight="1"/>
    <row r="590" ht="18" customHeight="1"/>
    <row r="591" ht="18" customHeight="1"/>
    <row r="592" ht="18" customHeight="1"/>
    <row r="593" ht="18" customHeight="1"/>
    <row r="594" ht="18" customHeight="1"/>
    <row r="595" ht="18" customHeight="1"/>
    <row r="596" ht="18" customHeight="1"/>
    <row r="597" ht="18" customHeight="1"/>
    <row r="598" ht="18" customHeight="1"/>
    <row r="599" ht="18" customHeight="1"/>
    <row r="600" ht="18" customHeight="1"/>
    <row r="601" ht="18" customHeight="1"/>
    <row r="602" ht="18" customHeight="1"/>
    <row r="603" ht="18" customHeight="1"/>
    <row r="604" ht="18" customHeight="1"/>
    <row r="605" ht="18" customHeight="1"/>
    <row r="606" ht="18" customHeight="1"/>
    <row r="607" ht="18" customHeight="1"/>
    <row r="608" ht="18" customHeight="1"/>
    <row r="609" ht="18" customHeight="1"/>
    <row r="610" ht="18" customHeight="1"/>
    <row r="611" ht="18" customHeight="1"/>
    <row r="612" ht="18" customHeight="1"/>
    <row r="613" ht="18" customHeight="1"/>
    <row r="614" ht="18" customHeight="1"/>
    <row r="615" ht="18" customHeight="1"/>
    <row r="616" ht="18" customHeight="1"/>
    <row r="617" ht="18" customHeight="1"/>
    <row r="618" ht="18" customHeight="1"/>
    <row r="619" ht="18" customHeight="1"/>
    <row r="620" ht="18" customHeight="1"/>
    <row r="621" ht="18" customHeight="1"/>
    <row r="622" ht="18" customHeight="1"/>
    <row r="623" ht="18" customHeight="1"/>
    <row r="624" ht="18" customHeight="1"/>
    <row r="625" ht="18" customHeight="1"/>
    <row r="626" ht="18" customHeight="1"/>
    <row r="627" ht="18" customHeight="1"/>
    <row r="628" ht="18" customHeight="1"/>
    <row r="629" ht="18" customHeight="1"/>
    <row r="630" ht="18" customHeight="1"/>
    <row r="631" ht="18" customHeight="1"/>
    <row r="632" ht="18" customHeight="1"/>
    <row r="633" ht="18" customHeight="1"/>
    <row r="634" ht="18" customHeight="1"/>
    <row r="635" ht="18" customHeight="1"/>
    <row r="636" ht="18" customHeight="1"/>
    <row r="637" ht="18" customHeight="1"/>
    <row r="638" ht="18" customHeight="1"/>
    <row r="639" ht="18" customHeight="1"/>
    <row r="640" ht="18" customHeight="1"/>
    <row r="641" ht="18" customHeight="1"/>
    <row r="642" ht="18" customHeight="1"/>
    <row r="643" ht="18" customHeight="1"/>
    <row r="644" ht="18" customHeight="1"/>
    <row r="645" ht="18" customHeight="1"/>
    <row r="646" ht="18" customHeight="1"/>
    <row r="647" ht="18" customHeight="1"/>
    <row r="648" ht="18" customHeight="1"/>
    <row r="649" ht="18" customHeight="1"/>
    <row r="650" ht="18" customHeight="1"/>
    <row r="651" ht="18" customHeight="1"/>
    <row r="652" ht="18" customHeight="1"/>
    <row r="653" ht="18" customHeight="1"/>
    <row r="654" ht="18" customHeight="1"/>
    <row r="655" ht="18" customHeight="1"/>
    <row r="656" ht="18" customHeight="1"/>
    <row r="657" ht="18" customHeight="1"/>
    <row r="658" ht="18" customHeight="1"/>
    <row r="659" ht="18" customHeight="1"/>
    <row r="660" ht="18" customHeight="1"/>
    <row r="661" ht="18" customHeight="1"/>
    <row r="662" ht="18" customHeight="1"/>
    <row r="663" ht="18" customHeight="1"/>
    <row r="664" ht="18" customHeight="1"/>
    <row r="665" ht="18" customHeight="1"/>
    <row r="666" ht="18" customHeight="1"/>
    <row r="667" ht="18" customHeight="1"/>
    <row r="668" ht="18" customHeight="1"/>
    <row r="669" ht="18" customHeight="1"/>
    <row r="670" ht="18" customHeight="1"/>
    <row r="671" ht="18" customHeight="1"/>
    <row r="672" ht="18" customHeight="1"/>
    <row r="673" ht="18" customHeight="1"/>
    <row r="674" ht="18" customHeight="1"/>
    <row r="675" ht="18" customHeight="1"/>
    <row r="676" ht="18" customHeight="1"/>
    <row r="677" ht="18" customHeight="1"/>
    <row r="678" ht="18" customHeight="1"/>
    <row r="679" ht="18" customHeight="1"/>
    <row r="680" ht="18" customHeight="1"/>
    <row r="681" ht="18" customHeight="1"/>
    <row r="682" ht="18" customHeight="1"/>
    <row r="683" ht="18" customHeight="1"/>
    <row r="684" ht="18" customHeight="1"/>
    <row r="685" ht="18" customHeight="1"/>
    <row r="686" ht="18" customHeight="1"/>
    <row r="687" ht="18" customHeight="1"/>
    <row r="688" ht="18" customHeight="1"/>
    <row r="689" ht="18" customHeight="1"/>
    <row r="690" ht="18" customHeight="1"/>
    <row r="691" ht="18" customHeight="1"/>
    <row r="692" ht="18" customHeight="1"/>
    <row r="693" ht="18" customHeight="1"/>
    <row r="694" ht="18" customHeight="1"/>
    <row r="695" ht="18" customHeight="1"/>
    <row r="696" ht="18" customHeight="1"/>
    <row r="697" ht="18" customHeight="1"/>
    <row r="698" ht="18" customHeight="1"/>
    <row r="699" ht="18" customHeight="1"/>
    <row r="700" ht="18" customHeight="1"/>
    <row r="701" ht="18" customHeight="1"/>
    <row r="702" ht="18" customHeight="1"/>
    <row r="703" ht="18" customHeight="1"/>
    <row r="704" ht="18" customHeight="1"/>
    <row r="705" ht="18" customHeight="1"/>
    <row r="706" ht="18" customHeight="1"/>
    <row r="707" ht="18" customHeight="1"/>
    <row r="708" ht="18" customHeight="1"/>
    <row r="709" ht="18" customHeight="1"/>
    <row r="710" ht="18" customHeight="1"/>
    <row r="711" ht="18" customHeight="1"/>
    <row r="712" ht="18" customHeight="1"/>
    <row r="713" ht="18" customHeight="1"/>
    <row r="714" ht="18" customHeight="1"/>
    <row r="715" ht="18" customHeight="1"/>
    <row r="716" ht="18" customHeight="1"/>
    <row r="717" ht="18" customHeight="1"/>
    <row r="718" ht="18" customHeight="1"/>
    <row r="719" ht="18" customHeight="1"/>
    <row r="720" ht="18" customHeight="1"/>
    <row r="721" ht="18" customHeight="1"/>
    <row r="722" ht="18" customHeight="1"/>
    <row r="723" ht="18" customHeight="1"/>
    <row r="724" ht="18" customHeight="1"/>
    <row r="725" ht="18" customHeight="1"/>
    <row r="726" ht="18" customHeight="1"/>
    <row r="727" ht="18" customHeight="1"/>
    <row r="728" ht="18" customHeight="1"/>
    <row r="729" ht="18" customHeight="1"/>
    <row r="730" ht="18" customHeight="1"/>
    <row r="731" ht="18" customHeight="1"/>
    <row r="732" ht="18" customHeight="1"/>
    <row r="733" ht="18" customHeight="1"/>
    <row r="734" ht="18" customHeight="1"/>
    <row r="735" ht="18" customHeight="1"/>
    <row r="736" ht="18" customHeight="1"/>
    <row r="737" ht="18" customHeight="1"/>
    <row r="738" ht="18" customHeight="1"/>
    <row r="739" ht="18" customHeight="1"/>
    <row r="740" ht="18" customHeight="1"/>
    <row r="741" ht="18" customHeight="1"/>
    <row r="742" ht="18" customHeight="1"/>
    <row r="743" ht="18" customHeight="1"/>
    <row r="744" ht="18" customHeight="1"/>
    <row r="745" ht="18" customHeight="1"/>
    <row r="746" ht="18" customHeight="1"/>
    <row r="747" ht="18" customHeight="1"/>
    <row r="748" ht="18" customHeight="1"/>
    <row r="749" ht="18" customHeight="1"/>
    <row r="750" ht="18" customHeight="1"/>
    <row r="751" ht="18" customHeight="1"/>
    <row r="752" ht="18" customHeight="1"/>
    <row r="753" ht="18" customHeight="1"/>
    <row r="754" ht="18" customHeight="1"/>
    <row r="755" ht="18" customHeight="1"/>
    <row r="756" ht="18" customHeight="1"/>
    <row r="757" ht="18" customHeight="1"/>
    <row r="758" ht="18" customHeight="1"/>
    <row r="759" ht="18" customHeight="1"/>
    <row r="760" ht="18" customHeight="1"/>
    <row r="761" ht="18" customHeight="1"/>
    <row r="762" ht="18" customHeight="1"/>
    <row r="763" ht="18" customHeight="1"/>
    <row r="764" ht="18" customHeight="1"/>
    <row r="765" ht="18" customHeight="1"/>
    <row r="766" ht="18" customHeight="1"/>
    <row r="767" ht="18" customHeight="1"/>
    <row r="768" ht="18" customHeight="1"/>
    <row r="769" ht="18" customHeight="1"/>
    <row r="770" ht="18" customHeight="1"/>
    <row r="771" ht="18" customHeight="1"/>
    <row r="772" ht="18" customHeight="1"/>
    <row r="773" ht="18" customHeight="1"/>
    <row r="774" ht="18" customHeight="1"/>
    <row r="775" ht="18" customHeight="1"/>
    <row r="776" ht="18" customHeight="1"/>
    <row r="777" ht="18" customHeight="1"/>
    <row r="778" ht="18" customHeight="1"/>
    <row r="779" ht="18" customHeight="1"/>
    <row r="780" ht="18" customHeight="1"/>
    <row r="781" ht="18" customHeight="1"/>
    <row r="782" ht="18" customHeight="1"/>
    <row r="783" ht="18" customHeight="1"/>
    <row r="784" ht="18" customHeight="1"/>
    <row r="785" ht="18" customHeight="1"/>
    <row r="786" ht="18" customHeight="1"/>
    <row r="787" ht="18" customHeight="1"/>
    <row r="788" ht="18" customHeight="1"/>
    <row r="789" ht="18" customHeight="1"/>
    <row r="790" ht="18" customHeight="1"/>
    <row r="791" ht="18" customHeight="1"/>
    <row r="792" ht="18" customHeight="1"/>
    <row r="793" ht="18" customHeight="1"/>
    <row r="794" ht="18" customHeight="1"/>
    <row r="795" ht="18" customHeight="1"/>
    <row r="796" ht="18" customHeight="1"/>
    <row r="797" ht="18" customHeight="1"/>
    <row r="798" ht="18" customHeight="1"/>
    <row r="799" ht="18" customHeight="1"/>
    <row r="800" ht="18" customHeight="1"/>
    <row r="801" ht="18" customHeight="1"/>
    <row r="802" ht="18" customHeight="1"/>
    <row r="803" ht="18" customHeight="1"/>
    <row r="804" ht="18" customHeight="1"/>
    <row r="805" ht="18" customHeight="1"/>
    <row r="806" ht="18" customHeight="1"/>
    <row r="807" ht="18" customHeight="1"/>
    <row r="808" ht="18" customHeight="1"/>
    <row r="809" ht="18" customHeight="1"/>
    <row r="810" ht="18" customHeight="1"/>
    <row r="811" ht="18" customHeight="1"/>
    <row r="812" ht="18" customHeight="1"/>
    <row r="813" ht="18" customHeight="1"/>
    <row r="814" ht="18" customHeight="1"/>
    <row r="815" ht="18" customHeight="1"/>
    <row r="816" ht="18" customHeight="1"/>
    <row r="817" ht="18" customHeight="1"/>
    <row r="818" ht="18" customHeight="1"/>
    <row r="819" ht="18" customHeight="1"/>
    <row r="820" ht="18" customHeight="1"/>
    <row r="821" ht="18" customHeight="1"/>
    <row r="822" ht="18" customHeight="1"/>
    <row r="823" ht="18" customHeight="1"/>
    <row r="824" ht="18" customHeight="1"/>
    <row r="825" ht="18" customHeight="1"/>
    <row r="826" ht="18" customHeight="1"/>
    <row r="827" ht="18" customHeight="1"/>
    <row r="828" ht="18" customHeight="1"/>
    <row r="829" ht="18" customHeight="1"/>
    <row r="830" ht="18" customHeight="1"/>
    <row r="831" ht="18" customHeight="1"/>
    <row r="832" ht="18" customHeight="1"/>
    <row r="833" ht="18" customHeight="1"/>
    <row r="834" ht="18" customHeight="1"/>
    <row r="835" ht="18" customHeight="1"/>
    <row r="836" ht="18" customHeight="1"/>
    <row r="837" ht="18" customHeight="1"/>
    <row r="838" ht="18" customHeight="1"/>
    <row r="839" ht="18" customHeight="1"/>
    <row r="840" ht="18" customHeight="1"/>
    <row r="841" ht="18" customHeight="1"/>
    <row r="842" ht="18" customHeight="1"/>
    <row r="843" ht="18" customHeight="1"/>
    <row r="844" ht="18" customHeight="1"/>
    <row r="845" ht="18" customHeight="1"/>
    <row r="846" ht="18" customHeight="1"/>
    <row r="847" ht="18" customHeight="1"/>
    <row r="848" ht="18" customHeight="1"/>
    <row r="849" ht="18" customHeight="1"/>
    <row r="850" ht="18" customHeight="1"/>
    <row r="851" ht="18" customHeight="1"/>
    <row r="852" ht="18" customHeight="1"/>
    <row r="853" ht="18" customHeight="1"/>
    <row r="854" ht="18" customHeight="1"/>
    <row r="855" ht="18" customHeight="1"/>
    <row r="856" ht="18" customHeight="1"/>
    <row r="857" ht="18" customHeight="1"/>
    <row r="858" ht="18" customHeight="1"/>
    <row r="859" ht="18" customHeight="1"/>
    <row r="860" ht="18" customHeight="1"/>
    <row r="861" ht="18" customHeight="1"/>
    <row r="862" ht="18" customHeight="1"/>
    <row r="863" ht="18" customHeight="1"/>
    <row r="864" ht="18" customHeight="1"/>
    <row r="865" ht="18" customHeight="1"/>
    <row r="866" ht="18" customHeight="1"/>
    <row r="867" ht="18" customHeight="1"/>
    <row r="868" ht="18" customHeight="1"/>
    <row r="869" ht="18" customHeight="1"/>
    <row r="870" ht="18" customHeight="1"/>
    <row r="871" ht="18" customHeight="1"/>
    <row r="872" ht="18" customHeight="1"/>
    <row r="873" ht="18" customHeight="1"/>
    <row r="874" ht="18" customHeight="1"/>
    <row r="875" ht="18" customHeight="1"/>
    <row r="876" ht="18" customHeight="1"/>
    <row r="877" ht="18" customHeight="1"/>
    <row r="878" ht="18" customHeight="1"/>
    <row r="879" ht="18" customHeight="1"/>
    <row r="880" ht="18" customHeight="1"/>
    <row r="881" ht="18" customHeight="1"/>
    <row r="882" ht="18" customHeight="1"/>
    <row r="883" ht="18" customHeight="1"/>
    <row r="884" ht="18" customHeight="1"/>
    <row r="885" ht="18" customHeight="1"/>
    <row r="886" ht="18" customHeight="1"/>
    <row r="887" ht="18" customHeight="1"/>
    <row r="888" ht="18" customHeight="1"/>
    <row r="889" ht="18" customHeight="1"/>
    <row r="890" ht="18" customHeight="1"/>
    <row r="891" ht="18" customHeight="1"/>
    <row r="892" ht="18" customHeight="1"/>
    <row r="893" ht="18" customHeight="1"/>
    <row r="894" ht="18" customHeight="1"/>
    <row r="895" ht="18" customHeight="1"/>
    <row r="896" ht="18" customHeight="1"/>
    <row r="897" ht="18" customHeight="1"/>
    <row r="898" ht="18" customHeight="1"/>
    <row r="899" ht="18" customHeight="1"/>
    <row r="900" ht="18" customHeight="1"/>
    <row r="901" ht="18" customHeight="1"/>
    <row r="902" ht="18" customHeight="1"/>
    <row r="903" ht="18" customHeight="1"/>
    <row r="904" ht="18" customHeight="1"/>
    <row r="905" ht="18" customHeight="1"/>
    <row r="906" ht="18" customHeight="1"/>
    <row r="907" ht="18" customHeight="1"/>
    <row r="908" ht="18" customHeight="1"/>
    <row r="909" ht="18" customHeight="1"/>
    <row r="910" ht="18" customHeight="1"/>
    <row r="911" ht="18" customHeight="1"/>
    <row r="912" ht="18" customHeight="1"/>
    <row r="913" ht="18" customHeight="1"/>
    <row r="914" ht="18" customHeight="1"/>
    <row r="915" ht="18" customHeight="1"/>
    <row r="916" ht="18" customHeight="1"/>
    <row r="917" ht="18" customHeight="1"/>
    <row r="918" ht="18" customHeight="1"/>
    <row r="919" ht="18" customHeight="1"/>
    <row r="920" ht="18" customHeight="1"/>
    <row r="921" ht="18" customHeight="1"/>
    <row r="922" ht="18" customHeight="1"/>
    <row r="923" ht="18" customHeight="1"/>
    <row r="924" ht="18" customHeight="1"/>
    <row r="925" ht="18" customHeight="1"/>
    <row r="926" ht="18" customHeight="1"/>
    <row r="927" ht="18" customHeight="1"/>
    <row r="928" ht="18" customHeight="1"/>
    <row r="929" ht="18" customHeight="1"/>
    <row r="930" ht="18" customHeight="1"/>
    <row r="931" ht="18" customHeight="1"/>
    <row r="932" ht="18" customHeight="1"/>
    <row r="933" ht="18" customHeight="1"/>
    <row r="934" ht="18" customHeight="1"/>
    <row r="935" ht="18" customHeight="1"/>
    <row r="936" ht="18" customHeight="1"/>
    <row r="937" ht="18" customHeight="1"/>
    <row r="938" ht="18" customHeight="1"/>
    <row r="939" ht="18" customHeight="1"/>
    <row r="940" ht="18" customHeight="1"/>
    <row r="941" ht="18" customHeight="1"/>
    <row r="942" ht="18" customHeight="1"/>
    <row r="943" ht="18" customHeight="1"/>
    <row r="944" ht="18" customHeight="1"/>
    <row r="945" ht="18" customHeight="1"/>
    <row r="946" ht="18" customHeight="1"/>
    <row r="947" ht="18" customHeight="1"/>
    <row r="948" ht="18" customHeight="1"/>
    <row r="949" ht="18" customHeight="1"/>
    <row r="950" ht="18" customHeight="1"/>
    <row r="951" ht="18" customHeight="1"/>
    <row r="952" ht="18" customHeight="1"/>
    <row r="953" ht="18" customHeight="1"/>
    <row r="954" ht="18" customHeight="1"/>
    <row r="955" ht="18" customHeight="1"/>
    <row r="956" ht="18" customHeight="1"/>
    <row r="957" ht="18" customHeight="1"/>
    <row r="958" ht="18" customHeight="1"/>
    <row r="959" ht="18" customHeight="1"/>
    <row r="960" ht="18" customHeight="1"/>
    <row r="961" ht="18" customHeight="1"/>
    <row r="962" ht="18" customHeight="1"/>
    <row r="963" ht="18" customHeight="1"/>
    <row r="964" ht="18" customHeight="1"/>
    <row r="965" ht="18" customHeight="1"/>
    <row r="966" ht="18" customHeight="1"/>
    <row r="967" ht="18" customHeight="1"/>
    <row r="968" ht="18" customHeight="1"/>
    <row r="969" ht="18" customHeight="1"/>
    <row r="970" ht="18" customHeight="1"/>
    <row r="971" ht="18" customHeight="1"/>
    <row r="972" ht="18" customHeight="1"/>
    <row r="973" ht="18" customHeight="1"/>
    <row r="974" ht="18" customHeight="1"/>
    <row r="975" ht="18" customHeight="1"/>
    <row r="976" ht="18" customHeight="1"/>
    <row r="977" ht="18" customHeight="1"/>
    <row r="978" ht="18" customHeight="1"/>
    <row r="979" ht="18" customHeight="1"/>
    <row r="980" ht="18" customHeight="1"/>
    <row r="981" ht="18" customHeight="1"/>
    <row r="982" ht="18" customHeight="1"/>
    <row r="983" ht="18" customHeight="1"/>
    <row r="984" ht="18" customHeight="1"/>
    <row r="985" ht="18" customHeight="1"/>
    <row r="986" ht="18" customHeight="1"/>
    <row r="987" ht="18" customHeight="1"/>
    <row r="988" ht="18" customHeight="1"/>
    <row r="989" ht="18" customHeight="1"/>
    <row r="990" ht="18" customHeight="1"/>
    <row r="991" ht="18" customHeight="1"/>
    <row r="992" ht="18" customHeight="1"/>
    <row r="993" ht="18" customHeight="1"/>
    <row r="994" ht="18" customHeight="1"/>
    <row r="995" ht="18" customHeight="1"/>
    <row r="996" ht="18" customHeight="1"/>
    <row r="997" ht="18" customHeight="1"/>
    <row r="998" ht="18" customHeight="1"/>
    <row r="999" ht="18" customHeight="1"/>
    <row r="1000" ht="18" customHeight="1"/>
    <row r="1001" ht="18" customHeight="1"/>
    <row r="1002" ht="18" customHeight="1"/>
    <row r="1003" ht="18" customHeight="1"/>
    <row r="1004" ht="18" customHeight="1"/>
    <row r="1005" ht="18" customHeight="1"/>
    <row r="1006" ht="18" customHeight="1"/>
    <row r="1007" ht="18" customHeight="1"/>
    <row r="1008" ht="18" customHeight="1"/>
    <row r="1009" ht="18" customHeight="1"/>
    <row r="1010" ht="18" customHeight="1"/>
    <row r="1011" ht="18" customHeight="1"/>
    <row r="1012" ht="18" customHeight="1"/>
    <row r="1013" ht="18" customHeight="1"/>
    <row r="1014" ht="18" customHeight="1"/>
    <row r="1015" ht="18" customHeight="1"/>
    <row r="1016" ht="18" customHeight="1"/>
    <row r="1017" ht="18" customHeight="1"/>
    <row r="1018" ht="18" customHeight="1"/>
    <row r="1019" ht="18" customHeight="1"/>
    <row r="1020" ht="18" customHeight="1"/>
    <row r="1021" ht="18" customHeight="1"/>
    <row r="1022" ht="18" customHeight="1"/>
    <row r="1023" ht="18" customHeight="1"/>
    <row r="1024" ht="18" customHeight="1"/>
    <row r="1025" ht="18" customHeight="1"/>
    <row r="1026" ht="18" customHeight="1"/>
    <row r="1027" ht="18" customHeight="1"/>
    <row r="1028" ht="18" customHeight="1"/>
    <row r="1029" ht="18" customHeight="1"/>
    <row r="1030" ht="18" customHeight="1"/>
    <row r="1031" ht="18" customHeight="1"/>
    <row r="1032" ht="18" customHeight="1"/>
    <row r="1033" ht="18" customHeight="1"/>
    <row r="1034" ht="18" customHeight="1"/>
    <row r="1035" ht="18" customHeight="1"/>
    <row r="1036" ht="18" customHeight="1"/>
    <row r="1037" ht="18" customHeight="1"/>
    <row r="1038" ht="18" customHeight="1"/>
    <row r="1039" ht="18" customHeight="1"/>
    <row r="1040" ht="18" customHeight="1"/>
    <row r="1041" ht="18" customHeight="1"/>
    <row r="1042" ht="18" customHeight="1"/>
    <row r="1043" ht="18" customHeight="1"/>
    <row r="1044" ht="18" customHeight="1"/>
    <row r="1045" ht="18" customHeight="1"/>
    <row r="1046" ht="18" customHeight="1"/>
    <row r="1047" ht="18" customHeight="1"/>
    <row r="1048" ht="18" customHeight="1"/>
    <row r="1049" ht="18" customHeight="1"/>
    <row r="1050" ht="18" customHeight="1"/>
    <row r="1051" ht="18" customHeight="1"/>
    <row r="1052" ht="18" customHeight="1"/>
    <row r="1053" ht="18" customHeight="1"/>
    <row r="1054" ht="18" customHeight="1"/>
    <row r="1055" ht="18" customHeight="1"/>
    <row r="1056" ht="18" customHeight="1"/>
    <row r="1057" ht="18" customHeight="1"/>
    <row r="1058" ht="18" customHeight="1"/>
    <row r="1059" ht="18" customHeight="1"/>
    <row r="1060" ht="18" customHeight="1"/>
    <row r="1061" ht="18" customHeight="1"/>
    <row r="1062" ht="18" customHeight="1"/>
    <row r="1063" ht="18" customHeight="1"/>
    <row r="1064" ht="18" customHeight="1"/>
    <row r="1065" ht="18" customHeight="1"/>
    <row r="1066" ht="18" customHeight="1"/>
    <row r="1067" ht="18" customHeight="1"/>
    <row r="1068" ht="18" customHeight="1"/>
    <row r="1069" ht="18" customHeight="1"/>
    <row r="1070" ht="18" customHeight="1"/>
    <row r="1071" ht="18" customHeight="1"/>
    <row r="1072" ht="18" customHeight="1"/>
    <row r="1073" ht="18" customHeight="1"/>
    <row r="1074" ht="18" customHeight="1"/>
    <row r="1075" ht="18" customHeight="1"/>
    <row r="1076" ht="18" customHeight="1"/>
    <row r="1077" ht="18" customHeight="1"/>
    <row r="1078" ht="18" customHeight="1"/>
    <row r="1079" ht="18" customHeight="1"/>
    <row r="1080" ht="18" customHeight="1"/>
    <row r="1081" ht="18" customHeight="1"/>
    <row r="1082" ht="18" customHeight="1"/>
    <row r="1083" ht="18" customHeight="1"/>
    <row r="1084" ht="18" customHeight="1"/>
    <row r="1085" ht="18" customHeight="1"/>
    <row r="1086" ht="18" customHeight="1"/>
    <row r="1087" ht="18" customHeight="1"/>
    <row r="1088" ht="18" customHeight="1"/>
    <row r="1089" ht="18" customHeight="1"/>
    <row r="1090" ht="18" customHeight="1"/>
    <row r="1091" ht="18" customHeight="1"/>
    <row r="1092" ht="18" customHeight="1"/>
    <row r="1093" ht="18" customHeight="1"/>
    <row r="1094" ht="18" customHeight="1"/>
    <row r="1095" ht="18" customHeight="1"/>
    <row r="1096" ht="18" customHeight="1"/>
    <row r="1097" ht="18" customHeight="1"/>
    <row r="1098" ht="18" customHeight="1"/>
    <row r="1099" ht="18" customHeight="1"/>
    <row r="1100" ht="18" customHeight="1"/>
    <row r="1101" ht="18" customHeight="1"/>
    <row r="1102" ht="18" customHeight="1"/>
    <row r="1103" ht="18" customHeight="1"/>
    <row r="1104" ht="18" customHeight="1"/>
    <row r="1105" ht="18" customHeight="1"/>
    <row r="1106" ht="18" customHeight="1"/>
    <row r="1107" ht="18" customHeight="1"/>
    <row r="1108" ht="18" customHeight="1"/>
    <row r="1109" ht="18" customHeight="1"/>
    <row r="1110" ht="18" customHeight="1"/>
    <row r="1111" ht="18" customHeight="1"/>
    <row r="1112" ht="18" customHeight="1"/>
    <row r="1113" ht="18" customHeight="1"/>
    <row r="1114" ht="18" customHeight="1"/>
    <row r="1115" ht="18" customHeight="1"/>
    <row r="1116" ht="18" customHeight="1"/>
    <row r="1117" ht="18" customHeight="1"/>
    <row r="1118" ht="18" customHeight="1"/>
    <row r="1119" ht="18" customHeight="1"/>
    <row r="1120" ht="18" customHeight="1"/>
    <row r="1121" ht="18" customHeight="1"/>
    <row r="1122" ht="18" customHeight="1"/>
    <row r="1123" ht="18" customHeight="1"/>
    <row r="1124" ht="18" customHeight="1"/>
    <row r="1125" ht="18" customHeight="1"/>
    <row r="1126" ht="18" customHeight="1"/>
    <row r="1127" ht="18" customHeight="1"/>
    <row r="1128" ht="18" customHeight="1"/>
    <row r="1129" ht="18" customHeight="1"/>
    <row r="1130" ht="18" customHeight="1"/>
    <row r="1131" ht="18" customHeight="1"/>
    <row r="1132" ht="18" customHeight="1"/>
    <row r="1133" ht="18" customHeight="1"/>
    <row r="1134" ht="18" customHeight="1"/>
    <row r="1135" ht="18" customHeight="1"/>
    <row r="1136" ht="18" customHeight="1"/>
    <row r="1137" ht="18" customHeight="1"/>
    <row r="1138" ht="18" customHeight="1"/>
    <row r="1139" ht="18" customHeight="1"/>
    <row r="1140" ht="18" customHeight="1"/>
    <row r="1141" ht="18" customHeight="1"/>
    <row r="1142" ht="18" customHeight="1"/>
    <row r="1143" ht="18" customHeight="1"/>
    <row r="1144" ht="18" customHeight="1"/>
    <row r="1145" ht="18" customHeight="1"/>
    <row r="1146" ht="18" customHeight="1"/>
    <row r="1147" ht="18" customHeight="1"/>
    <row r="1148" ht="18" customHeight="1"/>
    <row r="1149" ht="18" customHeight="1"/>
    <row r="1150" ht="18" customHeight="1"/>
    <row r="1151" ht="18" customHeight="1"/>
    <row r="1152" ht="18" customHeight="1"/>
    <row r="1153" ht="18" customHeight="1"/>
    <row r="1154" ht="18" customHeight="1"/>
    <row r="1155" ht="18" customHeight="1"/>
    <row r="1156" ht="18" customHeight="1"/>
    <row r="1157" ht="18" customHeight="1"/>
    <row r="1158" ht="18" customHeight="1"/>
    <row r="1159" ht="18" customHeight="1"/>
    <row r="1160" ht="18" customHeight="1"/>
    <row r="1161" ht="18" customHeight="1"/>
    <row r="1162" ht="18" customHeight="1"/>
    <row r="1163" ht="18" customHeight="1"/>
    <row r="1164" ht="18" customHeight="1"/>
    <row r="1165" ht="18" customHeight="1"/>
    <row r="1166" ht="18" customHeight="1"/>
    <row r="1167" ht="18" customHeight="1"/>
    <row r="1168" ht="18" customHeight="1"/>
    <row r="1169" ht="18" customHeight="1"/>
    <row r="1170" ht="18" customHeight="1"/>
    <row r="1171" ht="18" customHeight="1"/>
    <row r="1172" ht="18" customHeight="1"/>
    <row r="1173" ht="18" customHeight="1"/>
    <row r="1174" ht="18" customHeight="1"/>
    <row r="1175" ht="18" customHeight="1"/>
    <row r="1176" ht="18" customHeight="1"/>
    <row r="1177" ht="18" customHeight="1"/>
    <row r="1178" ht="18" customHeight="1"/>
    <row r="1179" ht="18" customHeight="1"/>
    <row r="1180" ht="18" customHeight="1"/>
    <row r="1181" ht="18" customHeight="1"/>
    <row r="1182" ht="18" customHeight="1"/>
    <row r="1183" ht="18" customHeight="1"/>
    <row r="1184" ht="18" customHeight="1"/>
    <row r="1185" ht="18" customHeight="1"/>
    <row r="1186" ht="18" customHeight="1"/>
    <row r="1187" ht="18" customHeight="1"/>
    <row r="1188" ht="18" customHeight="1"/>
    <row r="1189" ht="18" customHeight="1"/>
    <row r="1190" ht="18" customHeight="1"/>
    <row r="1191" ht="18" customHeight="1"/>
    <row r="1192" ht="18" customHeight="1"/>
    <row r="1193" ht="18" customHeight="1"/>
    <row r="1194" ht="18" customHeight="1"/>
    <row r="1195" ht="18" customHeight="1"/>
    <row r="1196" ht="18" customHeight="1"/>
    <row r="1197" ht="18" customHeight="1"/>
    <row r="1198" ht="18" customHeight="1"/>
    <row r="1199" ht="18" customHeight="1"/>
    <row r="1200" ht="18" customHeight="1"/>
    <row r="1201" ht="18" customHeight="1"/>
    <row r="1202" ht="18" customHeight="1"/>
    <row r="1203" ht="18" customHeight="1"/>
    <row r="1204" ht="18" customHeight="1"/>
    <row r="1205" ht="18" customHeight="1"/>
    <row r="1206" ht="18" customHeight="1"/>
    <row r="1207" ht="18" customHeight="1"/>
    <row r="1208" ht="18" customHeight="1"/>
    <row r="1209" ht="18" customHeight="1"/>
    <row r="1210" ht="18" customHeight="1"/>
    <row r="1211" ht="18" customHeight="1"/>
    <row r="1212" ht="18" customHeight="1"/>
    <row r="1213" ht="18" customHeight="1"/>
    <row r="1214" ht="18" customHeight="1"/>
    <row r="1215" ht="18" customHeight="1"/>
    <row r="1216" ht="18" customHeight="1"/>
    <row r="1217" ht="18" customHeight="1"/>
    <row r="1218" ht="18" customHeight="1"/>
    <row r="1219" ht="18" customHeight="1"/>
    <row r="1220" ht="18" customHeight="1"/>
    <row r="1221" ht="18" customHeight="1"/>
    <row r="1222" ht="18" customHeight="1"/>
    <row r="1223" ht="18" customHeight="1"/>
    <row r="1224" ht="18" customHeight="1"/>
    <row r="1225" ht="18" customHeight="1"/>
    <row r="1226" ht="18" customHeight="1"/>
    <row r="1227" ht="18" customHeight="1"/>
    <row r="1228" ht="18" customHeight="1"/>
    <row r="1229" ht="18" customHeight="1"/>
    <row r="1230" ht="18" customHeight="1"/>
    <row r="1231" ht="18" customHeight="1"/>
    <row r="1232" ht="18" customHeight="1"/>
    <row r="1233" ht="18" customHeight="1"/>
    <row r="1234" ht="18" customHeight="1"/>
    <row r="1235" ht="18" customHeight="1"/>
    <row r="1236" ht="18" customHeight="1"/>
    <row r="1237" ht="18" customHeight="1"/>
    <row r="1238" ht="18" customHeight="1"/>
    <row r="1239" ht="18" customHeight="1"/>
    <row r="1240" ht="18" customHeight="1"/>
    <row r="1241" ht="18" customHeight="1"/>
    <row r="1242" ht="18" customHeight="1"/>
    <row r="1243" ht="18" customHeight="1"/>
    <row r="1244" ht="18" customHeight="1"/>
    <row r="1245" ht="18" customHeight="1"/>
    <row r="1246" ht="18" customHeight="1"/>
    <row r="1247" ht="18" customHeight="1"/>
    <row r="1248" ht="18" customHeight="1"/>
    <row r="1249" ht="18" customHeight="1"/>
    <row r="1250" ht="18" customHeight="1"/>
    <row r="1251" ht="18" customHeight="1"/>
    <row r="1252" ht="18" customHeight="1"/>
    <row r="1253" ht="18" customHeight="1"/>
    <row r="1254" ht="18" customHeight="1"/>
    <row r="1255" ht="18" customHeight="1"/>
    <row r="1256" ht="18" customHeight="1"/>
    <row r="1257" ht="18" customHeight="1"/>
    <row r="1258" ht="18" customHeight="1"/>
    <row r="1259" ht="18" customHeight="1"/>
    <row r="1260" ht="18" customHeight="1"/>
    <row r="1261" ht="18" customHeight="1"/>
    <row r="1262" ht="18" customHeight="1"/>
    <row r="1263" ht="18" customHeight="1"/>
    <row r="1264" ht="18" customHeight="1"/>
    <row r="1265" ht="18" customHeight="1"/>
    <row r="1266" ht="18" customHeight="1"/>
    <row r="1267" ht="18" customHeight="1"/>
    <row r="1268" ht="18" customHeight="1"/>
    <row r="1269" ht="18" customHeight="1"/>
    <row r="1270" ht="18" customHeight="1"/>
    <row r="1271" ht="18" customHeight="1"/>
    <row r="1272" ht="18" customHeight="1"/>
    <row r="1273" ht="18" customHeight="1"/>
    <row r="1274" ht="18" customHeight="1"/>
    <row r="1275" ht="18" customHeight="1"/>
    <row r="1276" ht="18" customHeight="1"/>
    <row r="1277" ht="18" customHeight="1"/>
    <row r="1278" ht="18" customHeight="1"/>
    <row r="1279" ht="18" customHeight="1"/>
    <row r="1280" ht="18" customHeight="1"/>
    <row r="1281" ht="18" customHeight="1"/>
    <row r="1282" ht="18" customHeight="1"/>
    <row r="1283" ht="18" customHeight="1"/>
    <row r="1284" ht="18" customHeight="1"/>
    <row r="1285" ht="18" customHeight="1"/>
    <row r="1286" ht="18" customHeight="1"/>
    <row r="1287" ht="18" customHeight="1"/>
    <row r="1288" ht="18" customHeight="1"/>
    <row r="1289" ht="18" customHeight="1"/>
    <row r="1290" ht="18" customHeight="1"/>
    <row r="1291" ht="18" customHeight="1"/>
    <row r="1292" ht="18" customHeight="1"/>
    <row r="1293" ht="18" customHeight="1"/>
    <row r="1294" ht="18" customHeight="1"/>
    <row r="1295" ht="18" customHeight="1"/>
    <row r="1296" ht="18" customHeight="1"/>
    <row r="1297" ht="18" customHeight="1"/>
    <row r="1298" ht="18" customHeight="1"/>
    <row r="1299" ht="18" customHeight="1"/>
    <row r="1300" ht="18" customHeight="1"/>
    <row r="1301" ht="18" customHeight="1"/>
    <row r="1302" ht="18" customHeight="1"/>
    <row r="1303" ht="18" customHeight="1"/>
    <row r="1304" ht="18" customHeight="1"/>
    <row r="1305" ht="18" customHeight="1"/>
    <row r="1306" ht="18" customHeight="1"/>
    <row r="1307" ht="18" customHeight="1"/>
    <row r="1308" ht="18" customHeight="1"/>
    <row r="1309" ht="18" customHeight="1"/>
    <row r="1310" ht="18" customHeight="1"/>
    <row r="1311" ht="18" customHeight="1"/>
    <row r="1312" ht="18" customHeight="1"/>
    <row r="1313" ht="18" customHeight="1"/>
    <row r="1314" ht="18" customHeight="1"/>
    <row r="1315" ht="18" customHeight="1"/>
    <row r="1316" ht="18" customHeight="1"/>
    <row r="1317" ht="18" customHeight="1"/>
    <row r="1318" ht="18" customHeight="1"/>
    <row r="1319" ht="18" customHeight="1"/>
    <row r="1320" ht="18" customHeight="1"/>
    <row r="1321" ht="18" customHeight="1"/>
    <row r="1322" ht="18" customHeight="1"/>
    <row r="1323" ht="18" customHeight="1"/>
    <row r="1324" ht="18" customHeight="1"/>
    <row r="1325" ht="18" customHeight="1"/>
    <row r="1326" ht="18" customHeight="1"/>
    <row r="1327" ht="18" customHeight="1"/>
    <row r="1328" ht="18" customHeight="1"/>
    <row r="1329" ht="18" customHeight="1"/>
    <row r="1330" ht="18" customHeight="1"/>
    <row r="1331" ht="18" customHeight="1"/>
    <row r="1332" ht="18" customHeight="1"/>
    <row r="1333" ht="18" customHeight="1"/>
    <row r="1334" ht="18" customHeight="1"/>
    <row r="1335" ht="18" customHeight="1"/>
    <row r="1336" ht="18" customHeight="1"/>
    <row r="1337" ht="18" customHeight="1"/>
    <row r="1338" ht="18" customHeight="1"/>
    <row r="1339" ht="18" customHeight="1"/>
    <row r="1340" ht="18" customHeight="1"/>
    <row r="1341" ht="18" customHeight="1"/>
    <row r="1342" ht="18" customHeight="1"/>
    <row r="1343" ht="18" customHeight="1"/>
    <row r="1344" ht="18" customHeight="1"/>
    <row r="1345" ht="18" customHeight="1"/>
    <row r="1346" ht="18" customHeight="1"/>
    <row r="1347" ht="18" customHeight="1"/>
    <row r="1348" ht="18" customHeight="1"/>
    <row r="1349" ht="18" customHeight="1"/>
    <row r="1350" ht="18" customHeight="1"/>
    <row r="1351" ht="18" customHeight="1"/>
    <row r="1352" ht="18" customHeight="1"/>
    <row r="1353" ht="18" customHeight="1"/>
    <row r="1354" ht="18" customHeight="1"/>
    <row r="1355" ht="18" customHeight="1"/>
    <row r="1356" ht="18" customHeight="1"/>
    <row r="1357" ht="18" customHeight="1"/>
    <row r="1358" ht="18" customHeight="1"/>
    <row r="1359" ht="18" customHeight="1"/>
    <row r="1360" ht="18" customHeight="1"/>
    <row r="1361" ht="18" customHeight="1"/>
    <row r="1362" ht="18" customHeight="1"/>
    <row r="1363" ht="18" customHeight="1"/>
    <row r="1364" ht="18" customHeight="1"/>
    <row r="1365" ht="18" customHeight="1"/>
    <row r="1366" ht="18" customHeight="1"/>
    <row r="1367" ht="18" customHeight="1"/>
    <row r="1368" ht="18" customHeight="1"/>
    <row r="1369" ht="18" customHeight="1"/>
    <row r="1370" ht="18" customHeight="1"/>
    <row r="1371" ht="18" customHeight="1"/>
    <row r="1372" ht="18" customHeight="1"/>
    <row r="1373" ht="18" customHeight="1"/>
    <row r="1374" ht="18" customHeight="1"/>
    <row r="1375" ht="18" customHeight="1"/>
    <row r="1376" ht="18" customHeight="1"/>
    <row r="1377" ht="18" customHeight="1"/>
    <row r="1378" ht="18" customHeight="1"/>
    <row r="1379" ht="18" customHeight="1"/>
    <row r="1380" ht="18" customHeight="1"/>
    <row r="1381" ht="18" customHeight="1"/>
    <row r="1382" ht="18" customHeight="1"/>
    <row r="1383" ht="18" customHeight="1"/>
    <row r="1384" ht="18" customHeight="1"/>
    <row r="1385" ht="18" customHeight="1"/>
    <row r="1386" ht="18" customHeight="1"/>
    <row r="1387" ht="18" customHeight="1"/>
    <row r="1388" ht="18" customHeight="1"/>
    <row r="1389" ht="18" customHeight="1"/>
    <row r="1390" ht="18" customHeight="1"/>
    <row r="1391" ht="18" customHeight="1"/>
    <row r="1392" ht="18" customHeight="1"/>
    <row r="1393" ht="18" customHeight="1"/>
    <row r="1394" ht="18" customHeight="1"/>
    <row r="1395" ht="18" customHeight="1"/>
    <row r="1396" ht="18" customHeight="1"/>
    <row r="1397" ht="18" customHeight="1"/>
    <row r="1398" ht="18" customHeight="1"/>
    <row r="1399" ht="18" customHeight="1"/>
    <row r="1400" ht="18" customHeight="1"/>
    <row r="1401" ht="18" customHeight="1"/>
    <row r="1402" ht="18" customHeight="1"/>
    <row r="1403" ht="18" customHeight="1"/>
    <row r="1404" ht="18" customHeight="1"/>
    <row r="1405" ht="18" customHeight="1"/>
    <row r="1406" ht="18" customHeight="1"/>
    <row r="1407" ht="18" customHeight="1"/>
    <row r="1408" ht="18" customHeight="1"/>
    <row r="1409" ht="18" customHeight="1"/>
    <row r="1410" ht="18" customHeight="1"/>
    <row r="1411" ht="18" customHeight="1"/>
    <row r="1412" ht="18" customHeight="1"/>
    <row r="1413" ht="18" customHeight="1"/>
    <row r="1414" ht="18" customHeight="1"/>
    <row r="1415" ht="18" customHeight="1"/>
    <row r="1416" ht="18" customHeight="1"/>
    <row r="1417" ht="18" customHeight="1"/>
    <row r="1418" ht="18" customHeight="1"/>
    <row r="1419" ht="18" customHeight="1"/>
    <row r="1420" ht="18" customHeight="1"/>
    <row r="1421" ht="18" customHeight="1"/>
    <row r="1422" ht="18" customHeight="1"/>
    <row r="1423" ht="18" customHeight="1"/>
    <row r="1424" ht="18" customHeight="1"/>
    <row r="1425" ht="18" customHeight="1"/>
    <row r="1426" ht="18" customHeight="1"/>
    <row r="1427" ht="18" customHeight="1"/>
    <row r="1428" ht="18" customHeight="1"/>
    <row r="1429" ht="18" customHeight="1"/>
    <row r="1430" ht="18" customHeight="1"/>
    <row r="1431" ht="18" customHeight="1"/>
    <row r="1432" ht="18" customHeight="1"/>
    <row r="1433" ht="18" customHeight="1"/>
    <row r="1434" ht="18" customHeight="1"/>
    <row r="1435" ht="18" customHeight="1"/>
    <row r="1436" ht="18" customHeight="1"/>
    <row r="1437" ht="18" customHeight="1"/>
    <row r="1438" ht="18" customHeight="1"/>
    <row r="1439" ht="18" customHeight="1"/>
    <row r="1440" ht="18" customHeight="1"/>
    <row r="1441" ht="18" customHeight="1"/>
    <row r="1442" ht="18" customHeight="1"/>
    <row r="1443" ht="18" customHeight="1"/>
    <row r="1444" ht="18" customHeight="1"/>
    <row r="1445" ht="18" customHeight="1"/>
    <row r="1446" ht="18" customHeight="1"/>
    <row r="1447" ht="18" customHeight="1"/>
    <row r="1448" ht="18" customHeight="1"/>
    <row r="1449" ht="18" customHeight="1"/>
    <row r="1450" ht="18" customHeight="1"/>
    <row r="1451" ht="18" customHeight="1"/>
    <row r="1452" ht="18" customHeight="1"/>
    <row r="1453" ht="18" customHeight="1"/>
    <row r="1454" ht="18" customHeight="1"/>
    <row r="1455" ht="18" customHeight="1"/>
    <row r="1456" ht="18" customHeight="1"/>
    <row r="1457" ht="18" customHeight="1"/>
    <row r="1458" ht="18" customHeight="1"/>
    <row r="1459" ht="18" customHeight="1"/>
    <row r="1460" ht="18" customHeight="1"/>
    <row r="1461" ht="18" customHeight="1"/>
    <row r="1462" ht="18" customHeight="1"/>
    <row r="1463" ht="18" customHeight="1"/>
    <row r="1464" ht="18" customHeight="1"/>
    <row r="1465" ht="18" customHeight="1"/>
    <row r="1466" ht="18" customHeight="1"/>
    <row r="1467" ht="18" customHeight="1"/>
    <row r="1468" ht="18" customHeight="1"/>
    <row r="1469" ht="18" customHeight="1"/>
    <row r="1470" ht="18" customHeight="1"/>
    <row r="1471" ht="18" customHeight="1"/>
    <row r="1472" ht="18" customHeight="1"/>
    <row r="1473" ht="18" customHeight="1"/>
    <row r="1474" ht="18" customHeight="1"/>
    <row r="1475" ht="18" customHeight="1"/>
    <row r="1476" ht="18" customHeight="1"/>
    <row r="1477" ht="18" customHeight="1"/>
    <row r="1478" ht="18" customHeight="1"/>
    <row r="1479" ht="18" customHeight="1"/>
    <row r="1480" ht="18" customHeight="1"/>
    <row r="1481" ht="18" customHeight="1"/>
    <row r="1482" ht="18" customHeight="1"/>
    <row r="1483" ht="18" customHeight="1"/>
    <row r="1484" ht="18" customHeight="1"/>
    <row r="1485" ht="18" customHeight="1"/>
    <row r="1486" ht="18" customHeight="1"/>
    <row r="1487" ht="18" customHeight="1"/>
    <row r="1488" ht="18" customHeight="1"/>
    <row r="1489" ht="18" customHeight="1"/>
    <row r="1490" ht="18" customHeight="1"/>
    <row r="1491" ht="18" customHeight="1"/>
    <row r="1492" ht="18" customHeight="1"/>
    <row r="1493" ht="18" customHeight="1"/>
    <row r="1494" ht="18" customHeight="1"/>
    <row r="1495" ht="18" customHeight="1"/>
    <row r="1496" ht="18" customHeight="1"/>
    <row r="1497" ht="18" customHeight="1"/>
    <row r="1498" ht="18" customHeight="1"/>
    <row r="1499" ht="18" customHeight="1"/>
    <row r="1500" ht="18" customHeight="1"/>
    <row r="1501" ht="18" customHeight="1"/>
    <row r="1502" ht="18" customHeight="1"/>
    <row r="1503" ht="18" customHeight="1"/>
    <row r="1504" ht="18" customHeight="1"/>
    <row r="1505" ht="18" customHeight="1"/>
    <row r="1506" ht="18" customHeight="1"/>
    <row r="1507" ht="18" customHeight="1"/>
    <row r="1508" ht="18" customHeight="1"/>
    <row r="1509" ht="18" customHeight="1"/>
    <row r="1510" ht="18" customHeight="1"/>
    <row r="1511" ht="18" customHeight="1"/>
    <row r="1512" ht="18" customHeight="1"/>
    <row r="1513" ht="18" customHeight="1"/>
    <row r="1514" ht="18" customHeight="1"/>
    <row r="1515" ht="18" customHeight="1"/>
    <row r="1516" ht="18" customHeight="1"/>
    <row r="1517" ht="18" customHeight="1"/>
    <row r="1518" ht="18" customHeight="1"/>
    <row r="1519" ht="18" customHeight="1"/>
    <row r="1520" ht="18" customHeight="1"/>
    <row r="1521" ht="18" customHeight="1"/>
    <row r="1522" ht="18" customHeight="1"/>
    <row r="1523" ht="18" customHeight="1"/>
    <row r="1524" ht="18" customHeight="1"/>
    <row r="1525" ht="18" customHeight="1"/>
    <row r="1526" ht="18" customHeight="1"/>
    <row r="1527" ht="18" customHeight="1"/>
    <row r="1528" ht="18" customHeight="1"/>
    <row r="1529" ht="18" customHeight="1"/>
    <row r="1530" ht="18" customHeight="1"/>
    <row r="1531" ht="18" customHeight="1"/>
    <row r="1532" ht="18" customHeight="1"/>
    <row r="1533" ht="18" customHeight="1"/>
    <row r="1534" ht="18" customHeight="1"/>
    <row r="1535" ht="18" customHeight="1"/>
    <row r="1536" ht="18" customHeight="1"/>
    <row r="1537" ht="18" customHeight="1"/>
    <row r="1538" ht="18" customHeight="1"/>
    <row r="1539" ht="18" customHeight="1"/>
    <row r="1540" ht="18" customHeight="1"/>
    <row r="1541" ht="18" customHeight="1"/>
    <row r="1542" ht="18" customHeight="1"/>
    <row r="1543" ht="18" customHeight="1"/>
    <row r="1544" ht="18" customHeight="1"/>
    <row r="1545" ht="18" customHeight="1"/>
    <row r="1546" ht="18" customHeight="1"/>
    <row r="1547" ht="18" customHeight="1"/>
    <row r="1548" ht="18" customHeight="1"/>
    <row r="1549" ht="18" customHeight="1"/>
    <row r="1550" ht="18" customHeight="1"/>
    <row r="1551" ht="18" customHeight="1"/>
    <row r="1552" ht="18" customHeight="1"/>
    <row r="1553" ht="18" customHeight="1"/>
    <row r="1554" ht="18" customHeight="1"/>
    <row r="1555" ht="18" customHeight="1"/>
    <row r="1556" ht="18" customHeight="1"/>
    <row r="1557" ht="18" customHeight="1"/>
    <row r="1558" ht="18" customHeight="1"/>
    <row r="1559" ht="18" customHeight="1"/>
    <row r="1560" ht="18" customHeight="1"/>
    <row r="1561" ht="18" customHeight="1"/>
    <row r="1562" ht="18" customHeight="1"/>
    <row r="1563" ht="18" customHeight="1"/>
    <row r="1564" ht="18" customHeight="1"/>
    <row r="1565" ht="18" customHeight="1"/>
    <row r="1566" ht="18" customHeight="1"/>
    <row r="1567" ht="18" customHeight="1"/>
    <row r="1568" ht="18" customHeight="1"/>
    <row r="1569" ht="18" customHeight="1"/>
    <row r="1570" ht="18" customHeight="1"/>
    <row r="1571" ht="18" customHeight="1"/>
    <row r="1572" ht="18" customHeight="1"/>
    <row r="1573" ht="18" customHeight="1"/>
    <row r="1574" ht="18" customHeight="1"/>
    <row r="1575" ht="18" customHeight="1"/>
    <row r="1576" ht="18" customHeight="1"/>
    <row r="1577" ht="18" customHeight="1"/>
    <row r="1578" ht="18" customHeight="1"/>
    <row r="1579" ht="18" customHeight="1"/>
    <row r="1580" ht="18" customHeight="1"/>
    <row r="1581" ht="18" customHeight="1"/>
    <row r="1582" ht="18" customHeight="1"/>
    <row r="1583" ht="18" customHeight="1"/>
    <row r="1584" ht="18" customHeight="1"/>
    <row r="1585" ht="18" customHeight="1"/>
    <row r="1586" ht="18" customHeight="1"/>
    <row r="1587" ht="18" customHeight="1"/>
    <row r="1588" ht="18" customHeight="1"/>
    <row r="1589" ht="18" customHeight="1"/>
    <row r="1590" ht="18" customHeight="1"/>
    <row r="1591" ht="18" customHeight="1"/>
    <row r="1592" ht="18" customHeight="1"/>
    <row r="1593" ht="18" customHeight="1"/>
    <row r="1594" ht="18" customHeight="1"/>
    <row r="1595" ht="18" customHeight="1"/>
    <row r="1596" ht="18" customHeight="1"/>
    <row r="1597" ht="18" customHeight="1"/>
    <row r="1598" ht="18" customHeight="1"/>
    <row r="1599" ht="18" customHeight="1"/>
    <row r="1600" ht="18" customHeight="1"/>
    <row r="1601" ht="18" customHeight="1"/>
    <row r="1602" ht="18" customHeight="1"/>
    <row r="1603" ht="18" customHeight="1"/>
    <row r="1604" ht="18" customHeight="1"/>
    <row r="1605" ht="18" customHeight="1"/>
    <row r="1606" ht="18" customHeight="1"/>
    <row r="1607" ht="18" customHeight="1"/>
    <row r="1608" ht="18" customHeight="1"/>
    <row r="1609" ht="18" customHeight="1"/>
    <row r="1610" ht="18" customHeight="1"/>
    <row r="1611" ht="18" customHeight="1"/>
    <row r="1612" ht="18" customHeight="1"/>
    <row r="1613" ht="18" customHeight="1"/>
    <row r="1614" ht="18" customHeight="1"/>
    <row r="1615" ht="18" customHeight="1"/>
    <row r="1616" ht="18" customHeight="1"/>
    <row r="1617" ht="18" customHeight="1"/>
    <row r="1618" ht="18" customHeight="1"/>
    <row r="1619" ht="18" customHeight="1"/>
    <row r="1620" ht="18" customHeight="1"/>
    <row r="1621" ht="18" customHeight="1"/>
    <row r="1622" ht="18" customHeight="1"/>
    <row r="1623" ht="18" customHeight="1"/>
    <row r="1624" ht="18" customHeight="1"/>
    <row r="1625" ht="18" customHeight="1"/>
    <row r="1626" ht="18" customHeight="1"/>
    <row r="1627" ht="18" customHeight="1"/>
    <row r="1628" ht="18" customHeight="1"/>
    <row r="1629" ht="18" customHeight="1"/>
    <row r="1630" ht="18" customHeight="1"/>
    <row r="1631" ht="18" customHeight="1"/>
    <row r="1632" ht="18" customHeight="1"/>
    <row r="1633" ht="18" customHeight="1"/>
    <row r="1634" ht="18" customHeight="1"/>
    <row r="1635" ht="18" customHeight="1"/>
    <row r="1636" ht="18" customHeight="1"/>
    <row r="1637" ht="18" customHeight="1"/>
    <row r="1638" ht="18" customHeight="1"/>
    <row r="1639" ht="18" customHeight="1"/>
    <row r="1640" ht="18" customHeight="1"/>
    <row r="1641" ht="18" customHeight="1"/>
    <row r="1642" ht="18" customHeight="1"/>
    <row r="1643" ht="18" customHeight="1"/>
    <row r="1644" ht="18" customHeight="1"/>
    <row r="1645" ht="18" customHeight="1"/>
    <row r="1646" ht="18" customHeight="1"/>
    <row r="1647" ht="18" customHeight="1"/>
    <row r="1648" ht="18" customHeight="1"/>
    <row r="1649" ht="18" customHeight="1"/>
    <row r="1650" ht="18" customHeight="1"/>
    <row r="1651" ht="18" customHeight="1"/>
    <row r="1652" ht="18" customHeight="1"/>
    <row r="1653" ht="18" customHeight="1"/>
    <row r="1654" ht="18" customHeight="1"/>
    <row r="1655" ht="18" customHeight="1"/>
    <row r="1656" ht="18" customHeight="1"/>
    <row r="1657" ht="18" customHeight="1"/>
    <row r="1658" ht="18" customHeight="1"/>
    <row r="1659" ht="18" customHeight="1"/>
    <row r="1660" ht="18" customHeight="1"/>
    <row r="1661" ht="18" customHeight="1"/>
    <row r="1662" ht="18" customHeight="1"/>
    <row r="1663" ht="18" customHeight="1"/>
    <row r="1664" ht="18" customHeight="1"/>
    <row r="1665" ht="18" customHeight="1"/>
    <row r="1666" ht="18" customHeight="1"/>
    <row r="1667" ht="18" customHeight="1"/>
    <row r="1668" ht="18" customHeight="1"/>
    <row r="1669" ht="18" customHeight="1"/>
    <row r="1670" ht="18" customHeight="1"/>
    <row r="1671" ht="18" customHeight="1"/>
    <row r="1672" ht="18" customHeight="1"/>
    <row r="1673" ht="18" customHeight="1"/>
    <row r="1674" ht="18" customHeight="1"/>
    <row r="1675" ht="18" customHeight="1"/>
    <row r="1676" ht="18" customHeight="1"/>
    <row r="1677" ht="18" customHeight="1"/>
    <row r="1678" ht="18" customHeight="1"/>
    <row r="1679" ht="18" customHeight="1"/>
    <row r="1680" ht="18" customHeight="1"/>
    <row r="1681" ht="18" customHeight="1"/>
    <row r="1682" ht="18" customHeight="1"/>
    <row r="1683" ht="18" customHeight="1"/>
    <row r="1684" ht="18" customHeight="1"/>
    <row r="1685" ht="18" customHeight="1"/>
    <row r="1686" ht="18" customHeight="1"/>
    <row r="1687" ht="18" customHeight="1"/>
    <row r="1688" ht="18" customHeight="1"/>
    <row r="1689" ht="18" customHeight="1"/>
    <row r="1690" ht="18" customHeight="1"/>
    <row r="1691" ht="18" customHeight="1"/>
    <row r="1692" ht="18" customHeight="1"/>
    <row r="1693" ht="18" customHeight="1"/>
    <row r="1694" ht="18" customHeight="1"/>
    <row r="1695" ht="18" customHeight="1"/>
    <row r="1696" ht="18" customHeight="1"/>
    <row r="1697" ht="18" customHeight="1"/>
    <row r="1698" ht="18" customHeight="1"/>
    <row r="1699" ht="18" customHeight="1"/>
    <row r="1700" ht="18" customHeight="1"/>
    <row r="1701" ht="18" customHeight="1"/>
    <row r="1702" ht="18" customHeight="1"/>
    <row r="1703" ht="18" customHeight="1"/>
    <row r="1704" ht="18" customHeight="1"/>
    <row r="1705" ht="18" customHeight="1"/>
    <row r="1706" ht="18" customHeight="1"/>
    <row r="1707" ht="18" customHeight="1"/>
    <row r="1708" ht="18" customHeight="1"/>
    <row r="1709" ht="18" customHeight="1"/>
    <row r="1710" ht="18" customHeight="1"/>
    <row r="1711" ht="18" customHeight="1"/>
    <row r="1712" ht="18" customHeight="1"/>
    <row r="1713" ht="18" customHeight="1"/>
    <row r="1714" ht="18" customHeight="1"/>
    <row r="1715" ht="18" customHeight="1"/>
    <row r="1716" ht="18" customHeight="1"/>
    <row r="1717" ht="18" customHeight="1"/>
    <row r="1718" ht="18" customHeight="1"/>
    <row r="1719" ht="18" customHeight="1"/>
    <row r="1720" ht="18" customHeight="1"/>
    <row r="1721" ht="18" customHeight="1"/>
    <row r="1722" ht="18" customHeight="1"/>
    <row r="1723" ht="18" customHeight="1"/>
    <row r="1724" ht="18" customHeight="1"/>
    <row r="1725" ht="18" customHeight="1"/>
    <row r="1726" ht="18" customHeight="1"/>
    <row r="1727" ht="18" customHeight="1"/>
    <row r="1728" ht="18" customHeight="1"/>
    <row r="1729" ht="18" customHeight="1"/>
    <row r="1730" ht="18" customHeight="1"/>
    <row r="1731" ht="18" customHeight="1"/>
    <row r="1732" ht="18" customHeight="1"/>
    <row r="1733" ht="18" customHeight="1"/>
    <row r="1734" ht="18" customHeight="1"/>
    <row r="1735" ht="18" customHeight="1"/>
    <row r="1736" ht="18" customHeight="1"/>
    <row r="1737" ht="18" customHeight="1"/>
    <row r="1738" ht="18" customHeight="1"/>
    <row r="1739" ht="18" customHeight="1"/>
    <row r="1740" ht="18" customHeight="1"/>
    <row r="1741" ht="18" customHeight="1"/>
    <row r="1742" ht="18" customHeight="1"/>
    <row r="1743" ht="18" customHeight="1"/>
    <row r="1744" ht="18" customHeight="1"/>
    <row r="1745" ht="18" customHeight="1"/>
    <row r="1746" ht="18" customHeight="1"/>
    <row r="1747" ht="18" customHeight="1"/>
    <row r="1748" ht="18" customHeight="1"/>
    <row r="1749" ht="18" customHeight="1"/>
    <row r="1750" ht="18" customHeight="1"/>
    <row r="1751" ht="18" customHeight="1"/>
    <row r="1752" ht="18" customHeight="1"/>
    <row r="1753" ht="18" customHeight="1"/>
    <row r="1754" ht="18" customHeight="1"/>
    <row r="1755" ht="18" customHeight="1"/>
    <row r="1756" ht="18" customHeight="1"/>
    <row r="1757" ht="18" customHeight="1"/>
    <row r="1758" ht="18" customHeight="1"/>
    <row r="1759" ht="18" customHeight="1"/>
    <row r="1760" ht="18" customHeight="1"/>
    <row r="1761" ht="18" customHeight="1"/>
    <row r="1762" ht="18" customHeight="1"/>
    <row r="1763" ht="18" customHeight="1"/>
    <row r="1764" ht="18" customHeight="1"/>
    <row r="1765" ht="18" customHeight="1"/>
    <row r="1766" ht="18" customHeight="1"/>
    <row r="1767" ht="18" customHeight="1"/>
    <row r="1768" ht="18" customHeight="1"/>
    <row r="1769" ht="18" customHeight="1"/>
    <row r="1770" ht="18" customHeight="1"/>
    <row r="1771" ht="18" customHeight="1"/>
    <row r="1772" ht="18" customHeight="1"/>
    <row r="1773" ht="18" customHeight="1"/>
    <row r="1774" ht="18" customHeight="1"/>
    <row r="1775" ht="18" customHeight="1"/>
    <row r="1776" ht="18" customHeight="1"/>
    <row r="1777" ht="18" customHeight="1"/>
    <row r="1778" ht="18" customHeight="1"/>
    <row r="1779" ht="18" customHeight="1"/>
    <row r="1780" ht="18" customHeight="1"/>
    <row r="1781" ht="18" customHeight="1"/>
    <row r="1782" ht="18" customHeight="1"/>
    <row r="1783" ht="18" customHeight="1"/>
    <row r="1784" ht="18" customHeight="1"/>
    <row r="1785" ht="18" customHeight="1"/>
    <row r="1786" ht="18" customHeight="1"/>
    <row r="1787" ht="18" customHeight="1"/>
    <row r="1788" ht="18" customHeight="1"/>
    <row r="1789" ht="18" customHeight="1"/>
    <row r="1790" ht="18" customHeight="1"/>
    <row r="1791" ht="18" customHeight="1"/>
    <row r="1792" ht="18" customHeight="1"/>
    <row r="1793" ht="18" customHeight="1"/>
    <row r="1794" ht="18" customHeight="1"/>
    <row r="1795" ht="18" customHeight="1"/>
    <row r="1796" ht="18" customHeight="1"/>
    <row r="1797" ht="18" customHeight="1"/>
    <row r="1798" ht="18" customHeight="1"/>
    <row r="1799" ht="18" customHeight="1"/>
    <row r="1800" ht="18" customHeight="1"/>
    <row r="1801" ht="18" customHeight="1"/>
    <row r="1802" ht="18" customHeight="1"/>
    <row r="1803" ht="18" customHeight="1"/>
    <row r="1804" ht="18" customHeight="1"/>
    <row r="1805" ht="18" customHeight="1"/>
    <row r="1806" ht="18" customHeight="1"/>
    <row r="1807" ht="18" customHeight="1"/>
    <row r="1808" ht="18" customHeight="1"/>
    <row r="1809" ht="18" customHeight="1"/>
    <row r="1810" ht="18" customHeight="1"/>
    <row r="1811" ht="18" customHeight="1"/>
    <row r="1812" ht="18" customHeight="1"/>
    <row r="1813" ht="18" customHeight="1"/>
    <row r="1814" ht="18" customHeight="1"/>
    <row r="1815" ht="18" customHeight="1"/>
    <row r="1816" ht="18" customHeight="1"/>
    <row r="1817" ht="18" customHeight="1"/>
    <row r="1818" ht="18" customHeight="1"/>
    <row r="1819" ht="18" customHeight="1"/>
    <row r="1820" ht="18" customHeight="1"/>
    <row r="1821" ht="18" customHeight="1"/>
    <row r="1822" ht="18" customHeight="1"/>
    <row r="1823" ht="18" customHeight="1"/>
    <row r="1824" ht="18" customHeight="1"/>
    <row r="1825" ht="18" customHeight="1"/>
    <row r="1826" ht="18" customHeight="1"/>
    <row r="1827" ht="18" customHeight="1"/>
    <row r="1828" ht="18" customHeight="1"/>
    <row r="1829" ht="18" customHeight="1"/>
    <row r="1830" ht="18" customHeight="1"/>
    <row r="1831" ht="18" customHeight="1"/>
    <row r="1832" ht="18" customHeight="1"/>
    <row r="1833" ht="18" customHeight="1"/>
    <row r="1834" ht="18" customHeight="1"/>
    <row r="1835" ht="18" customHeight="1"/>
    <row r="1836" ht="18" customHeight="1"/>
    <row r="1837" ht="18" customHeight="1"/>
    <row r="1838" ht="18" customHeight="1"/>
    <row r="1839" ht="18" customHeight="1"/>
    <row r="1840" ht="18" customHeight="1"/>
    <row r="1841" ht="18" customHeight="1"/>
    <row r="1842" ht="18" customHeight="1"/>
    <row r="1843" ht="18" customHeight="1"/>
    <row r="1844" ht="18" customHeight="1"/>
    <row r="1845" ht="18" customHeight="1"/>
    <row r="1846" ht="18" customHeight="1"/>
    <row r="1847" ht="18" customHeight="1"/>
    <row r="1848" ht="18" customHeight="1"/>
    <row r="1849" ht="18" customHeight="1"/>
    <row r="1850" ht="18" customHeight="1"/>
    <row r="1851" ht="18" customHeight="1"/>
    <row r="1852" ht="18" customHeight="1"/>
    <row r="1853" ht="18" customHeight="1"/>
    <row r="1854" ht="18" customHeight="1"/>
    <row r="1855" ht="18" customHeight="1"/>
    <row r="1856" ht="18" customHeight="1"/>
    <row r="1857" ht="18" customHeight="1"/>
    <row r="1858" ht="18" customHeight="1"/>
    <row r="1859" ht="18" customHeight="1"/>
    <row r="1860" ht="18" customHeight="1"/>
    <row r="1861" ht="18" customHeight="1"/>
    <row r="1862" ht="18" customHeight="1"/>
    <row r="1863" ht="18" customHeight="1"/>
    <row r="1864" ht="18" customHeight="1"/>
    <row r="1865" ht="18" customHeight="1"/>
    <row r="1866" ht="18" customHeight="1"/>
    <row r="1867" ht="18" customHeight="1"/>
    <row r="1868" ht="18" customHeight="1"/>
    <row r="1869" ht="18" customHeight="1"/>
    <row r="1870" ht="18" customHeight="1"/>
    <row r="1871" ht="18" customHeight="1"/>
    <row r="1872" ht="18" customHeight="1"/>
    <row r="1873" ht="18" customHeight="1"/>
    <row r="1874" ht="18" customHeight="1"/>
    <row r="1875" ht="18" customHeight="1"/>
    <row r="1876" ht="18" customHeight="1"/>
    <row r="1877" ht="18" customHeight="1"/>
    <row r="1878" ht="18" customHeight="1"/>
    <row r="1879" ht="18" customHeight="1"/>
    <row r="1880" ht="18" customHeight="1"/>
    <row r="1881" ht="18" customHeight="1"/>
    <row r="1882" ht="18" customHeight="1"/>
    <row r="1883" ht="18" customHeight="1"/>
    <row r="1884" ht="18" customHeight="1"/>
    <row r="1885" ht="18" customHeight="1"/>
    <row r="1886" ht="18" customHeight="1"/>
    <row r="1887" ht="18" customHeight="1"/>
    <row r="1888" ht="18" customHeight="1"/>
    <row r="1889" ht="18" customHeight="1"/>
    <row r="1890" ht="18" customHeight="1"/>
    <row r="1891" ht="18" customHeight="1"/>
    <row r="1892" ht="18" customHeight="1"/>
    <row r="1893" ht="18" customHeight="1"/>
    <row r="1894" ht="18" customHeight="1"/>
    <row r="1895" ht="18" customHeight="1"/>
    <row r="1896" ht="18" customHeight="1"/>
    <row r="1897" ht="18" customHeight="1"/>
    <row r="1898" ht="18" customHeight="1"/>
    <row r="1899" ht="18" customHeight="1"/>
    <row r="1900" ht="18" customHeight="1"/>
    <row r="1901" ht="18" customHeight="1"/>
    <row r="1902" ht="18" customHeight="1"/>
    <row r="1903" ht="18" customHeight="1"/>
    <row r="1904" ht="18" customHeight="1"/>
    <row r="1905" ht="18" customHeight="1"/>
    <row r="1906" ht="18" customHeight="1"/>
    <row r="1907" ht="18" customHeight="1"/>
    <row r="1908" ht="18" customHeight="1"/>
    <row r="1909" ht="18" customHeight="1"/>
    <row r="1910" ht="18" customHeight="1"/>
    <row r="1911" ht="18" customHeight="1"/>
    <row r="1912" ht="18" customHeight="1"/>
    <row r="1913" ht="18" customHeight="1"/>
    <row r="1914" ht="18" customHeight="1"/>
    <row r="1915" ht="18" customHeight="1"/>
    <row r="1916" ht="18" customHeight="1"/>
    <row r="1917" ht="18" customHeight="1"/>
    <row r="1918" ht="18" customHeight="1"/>
    <row r="1919" ht="18" customHeight="1"/>
    <row r="1920" ht="18" customHeight="1"/>
    <row r="1921" ht="18" customHeight="1"/>
    <row r="1922" ht="18" customHeight="1"/>
    <row r="1923" ht="18" customHeight="1"/>
    <row r="1924" ht="18" customHeight="1"/>
    <row r="1925" ht="18" customHeight="1"/>
    <row r="1926" ht="18" customHeight="1"/>
    <row r="1927" ht="18" customHeight="1"/>
    <row r="1928" ht="18" customHeight="1"/>
    <row r="1929" ht="18" customHeight="1"/>
    <row r="1930" ht="18" customHeight="1"/>
    <row r="1931" ht="18" customHeight="1"/>
    <row r="1932" ht="18" customHeight="1"/>
    <row r="1933" ht="18" customHeight="1"/>
    <row r="1934" ht="18" customHeight="1"/>
    <row r="1935" ht="18" customHeight="1"/>
    <row r="1936" ht="18" customHeight="1"/>
    <row r="1937" ht="18" customHeight="1"/>
    <row r="1938" ht="18" customHeight="1"/>
    <row r="1939" ht="18" customHeight="1"/>
    <row r="1940" ht="18" customHeight="1"/>
    <row r="1941" ht="18" customHeight="1"/>
    <row r="1942" ht="18" customHeight="1"/>
    <row r="1943" ht="18" customHeight="1"/>
    <row r="1944" ht="18" customHeight="1"/>
    <row r="1945" ht="18" customHeight="1"/>
    <row r="1946" ht="18" customHeight="1"/>
    <row r="1947" ht="18" customHeight="1"/>
    <row r="1948" ht="18" customHeight="1"/>
    <row r="1949" ht="18" customHeight="1"/>
    <row r="1950" ht="18" customHeight="1"/>
    <row r="1951" ht="18" customHeight="1"/>
    <row r="1952" ht="18" customHeight="1"/>
    <row r="1953" ht="18" customHeight="1"/>
    <row r="1954" ht="18" customHeight="1"/>
    <row r="1955" ht="18" customHeight="1"/>
    <row r="1956" ht="18" customHeight="1"/>
    <row r="1957" ht="18" customHeight="1"/>
    <row r="1958" ht="18" customHeight="1"/>
    <row r="1959" ht="18" customHeight="1"/>
    <row r="1960" ht="18" customHeight="1"/>
    <row r="1961" ht="18" customHeight="1"/>
    <row r="1962" ht="18" customHeight="1"/>
    <row r="1963" ht="18" customHeight="1"/>
    <row r="1964" ht="18" customHeight="1"/>
    <row r="1965" ht="18" customHeight="1"/>
    <row r="1966" ht="18" customHeight="1"/>
    <row r="1967" ht="18" customHeight="1"/>
    <row r="1968" ht="18" customHeight="1"/>
    <row r="1969" ht="18" customHeight="1"/>
    <row r="1970" ht="18" customHeight="1"/>
    <row r="1971" ht="18" customHeight="1"/>
    <row r="1972" ht="18" customHeight="1"/>
    <row r="1973" ht="18" customHeight="1"/>
    <row r="1974" ht="18" customHeight="1"/>
    <row r="1975" ht="18" customHeight="1"/>
    <row r="1976" ht="18" customHeight="1"/>
    <row r="1977" ht="18" customHeight="1"/>
    <row r="1978" ht="18" customHeight="1"/>
    <row r="1979" ht="18" customHeight="1"/>
    <row r="1980" ht="18" customHeight="1"/>
    <row r="1981" ht="18" customHeight="1"/>
    <row r="1982" ht="18" customHeight="1"/>
    <row r="1983" ht="18" customHeight="1"/>
    <row r="1984" ht="18" customHeight="1"/>
    <row r="1985" ht="18" customHeight="1"/>
    <row r="1986" ht="18" customHeight="1"/>
    <row r="1987" ht="18" customHeight="1"/>
    <row r="1988" ht="18" customHeight="1"/>
    <row r="1989" ht="18" customHeight="1"/>
    <row r="1990" ht="18" customHeight="1"/>
    <row r="1991" ht="18" customHeight="1"/>
    <row r="1992" ht="18" customHeight="1"/>
    <row r="1993" ht="18" customHeight="1"/>
    <row r="1994" ht="18" customHeight="1"/>
    <row r="1995" ht="18" customHeight="1"/>
    <row r="1996" ht="18" customHeight="1"/>
    <row r="1997" ht="18" customHeight="1"/>
    <row r="1998" ht="18" customHeight="1"/>
    <row r="1999" ht="18" customHeight="1"/>
    <row r="2000" ht="18" customHeight="1"/>
    <row r="2001" ht="18" customHeight="1"/>
    <row r="2002" ht="18" customHeight="1"/>
    <row r="2003" ht="18" customHeight="1"/>
    <row r="2004" ht="18" customHeight="1"/>
    <row r="2005" ht="18" customHeight="1"/>
    <row r="2006" ht="18" customHeight="1"/>
    <row r="2007" ht="18" customHeight="1"/>
    <row r="2008" ht="18" customHeight="1"/>
    <row r="2009" ht="18" customHeight="1"/>
    <row r="2010" ht="18" customHeight="1"/>
    <row r="2011" ht="18" customHeight="1"/>
    <row r="2012" ht="18" customHeight="1"/>
    <row r="2013" ht="18" customHeight="1"/>
    <row r="2014" ht="18" customHeight="1"/>
    <row r="2015" ht="18" customHeight="1"/>
    <row r="2016" ht="18" customHeight="1"/>
    <row r="2017" ht="18" customHeight="1"/>
    <row r="2018" ht="18" customHeight="1"/>
    <row r="2019" ht="18" customHeight="1"/>
    <row r="2020" ht="18" customHeight="1"/>
    <row r="2021" ht="18" customHeight="1"/>
    <row r="2022" ht="18" customHeight="1"/>
    <row r="2023" ht="18" customHeight="1"/>
    <row r="2024" ht="18" customHeight="1"/>
    <row r="2025" ht="18" customHeight="1"/>
    <row r="2026" ht="18" customHeight="1"/>
    <row r="2027" ht="18" customHeight="1"/>
    <row r="2028" ht="18" customHeight="1"/>
    <row r="2029" ht="18" customHeight="1"/>
    <row r="2030" ht="18" customHeight="1"/>
    <row r="2031" ht="18" customHeight="1"/>
    <row r="2032" ht="18" customHeight="1"/>
    <row r="2033" ht="18" customHeight="1"/>
    <row r="2034" ht="18" customHeight="1"/>
    <row r="2035" ht="18" customHeight="1"/>
    <row r="2036" ht="18" customHeight="1"/>
    <row r="2037" ht="18" customHeight="1"/>
    <row r="2038" ht="18" customHeight="1"/>
    <row r="2039" ht="18" customHeight="1"/>
    <row r="2040" ht="18" customHeight="1"/>
    <row r="2041" ht="18" customHeight="1"/>
    <row r="2042" ht="18" customHeight="1"/>
    <row r="2043" ht="18" customHeight="1"/>
    <row r="2044" ht="18" customHeight="1"/>
    <row r="2045" ht="18" customHeight="1"/>
    <row r="2046" ht="18" customHeight="1"/>
    <row r="2047" ht="18" customHeight="1"/>
    <row r="2048" ht="18" customHeight="1"/>
    <row r="2049" ht="18" customHeight="1"/>
    <row r="2050" ht="18" customHeight="1"/>
    <row r="2051" ht="18" customHeight="1"/>
    <row r="2052" ht="18" customHeight="1"/>
    <row r="2053" ht="18" customHeight="1"/>
    <row r="2054" ht="18" customHeight="1"/>
    <row r="2055" ht="18" customHeight="1"/>
    <row r="2056" ht="18" customHeight="1"/>
    <row r="2057" ht="18" customHeight="1"/>
    <row r="2058" ht="18" customHeight="1"/>
    <row r="2059" ht="18" customHeight="1"/>
    <row r="2060" ht="18" customHeight="1"/>
    <row r="2061" ht="18" customHeight="1"/>
    <row r="2062" ht="18" customHeight="1"/>
    <row r="2063" ht="18" customHeight="1"/>
    <row r="2064" ht="18" customHeight="1"/>
    <row r="2065" ht="18" customHeight="1"/>
    <row r="2066" ht="18" customHeight="1"/>
    <row r="2067" ht="18" customHeight="1"/>
    <row r="2068" ht="18" customHeight="1"/>
    <row r="2069" ht="18" customHeight="1"/>
    <row r="2070" ht="18" customHeight="1"/>
    <row r="2071" ht="18" customHeight="1"/>
    <row r="2072" ht="18" customHeight="1"/>
    <row r="2073" ht="18" customHeight="1"/>
    <row r="2074" ht="18" customHeight="1"/>
    <row r="2075" ht="18" customHeight="1"/>
    <row r="2076" ht="18" customHeight="1"/>
    <row r="2077" ht="18" customHeight="1"/>
    <row r="2078" ht="18" customHeight="1"/>
    <row r="2079" ht="18" customHeight="1"/>
    <row r="2080" ht="18" customHeight="1"/>
    <row r="2081" ht="18" customHeight="1"/>
    <row r="2082" ht="18" customHeight="1"/>
    <row r="2083" ht="18" customHeight="1"/>
    <row r="2084" ht="18" customHeight="1"/>
    <row r="2085" ht="18" customHeight="1"/>
    <row r="2086" ht="18" customHeight="1"/>
    <row r="2087" ht="18" customHeight="1"/>
    <row r="2088" ht="18" customHeight="1"/>
    <row r="2089" ht="18" customHeight="1"/>
    <row r="2090" ht="18" customHeight="1"/>
    <row r="2091" ht="18" customHeight="1"/>
    <row r="2092" ht="18" customHeight="1"/>
    <row r="2093" ht="18" customHeight="1"/>
    <row r="2094" ht="18" customHeight="1"/>
    <row r="2095" ht="18" customHeight="1"/>
    <row r="2096" ht="18" customHeight="1"/>
    <row r="2097" ht="18" customHeight="1"/>
    <row r="2098" ht="18" customHeight="1"/>
    <row r="2099" ht="18" customHeight="1"/>
    <row r="2100" ht="18" customHeight="1"/>
    <row r="2101" ht="18" customHeight="1"/>
    <row r="2102" ht="18" customHeight="1"/>
    <row r="2103" ht="18" customHeight="1"/>
    <row r="2104" ht="18" customHeight="1"/>
    <row r="2105" ht="18" customHeight="1"/>
    <row r="2106" ht="18" customHeight="1"/>
    <row r="2107" ht="18" customHeight="1"/>
    <row r="2108" ht="18" customHeight="1"/>
    <row r="2109" ht="18" customHeight="1"/>
    <row r="2110" ht="18" customHeight="1"/>
    <row r="2111" ht="18" customHeight="1"/>
    <row r="2112" ht="18" customHeight="1"/>
    <row r="2113" ht="18" customHeight="1"/>
    <row r="2114" ht="18" customHeight="1"/>
    <row r="2115" ht="18" customHeight="1"/>
    <row r="2116" ht="18" customHeight="1"/>
    <row r="2117" ht="18" customHeight="1"/>
    <row r="2118" ht="18" customHeight="1"/>
    <row r="2119" ht="18" customHeight="1"/>
    <row r="2120" ht="18" customHeight="1"/>
    <row r="2121" ht="18" customHeight="1"/>
    <row r="2122" ht="18" customHeight="1"/>
    <row r="2123" ht="18" customHeight="1"/>
    <row r="2124" ht="18" customHeight="1"/>
    <row r="2125" ht="18" customHeight="1"/>
    <row r="2126" ht="18" customHeight="1"/>
    <row r="2127" ht="18" customHeight="1"/>
    <row r="2128" ht="18" customHeight="1"/>
    <row r="2129" ht="18" customHeight="1"/>
    <row r="2130" ht="18" customHeight="1"/>
    <row r="2131" ht="18" customHeight="1"/>
    <row r="2132" ht="18" customHeight="1"/>
    <row r="2133" ht="18" customHeight="1"/>
    <row r="2134" ht="18" customHeight="1"/>
    <row r="2135" ht="18" customHeight="1"/>
    <row r="2136" ht="18" customHeight="1"/>
    <row r="2137" ht="18" customHeight="1"/>
    <row r="2138" ht="18" customHeight="1"/>
    <row r="2139" ht="18" customHeight="1"/>
    <row r="2140" ht="18" customHeight="1"/>
    <row r="2141" ht="18" customHeight="1"/>
    <row r="2142" ht="18" customHeight="1"/>
    <row r="2143" ht="18" customHeight="1"/>
    <row r="2144" ht="18" customHeight="1"/>
    <row r="2145" ht="18" customHeight="1"/>
    <row r="2146" ht="18" customHeight="1"/>
    <row r="2147" ht="18" customHeight="1"/>
    <row r="2148" ht="18" customHeight="1"/>
    <row r="2149" ht="18" customHeight="1"/>
    <row r="2150" ht="18" customHeight="1"/>
    <row r="2151" ht="18" customHeight="1"/>
    <row r="2152" ht="18" customHeight="1"/>
    <row r="2153" ht="18" customHeight="1"/>
    <row r="2154" ht="18" customHeight="1"/>
    <row r="2155" ht="18" customHeight="1"/>
    <row r="2156" ht="18" customHeight="1"/>
    <row r="2157" ht="18" customHeight="1"/>
    <row r="2158" ht="18" customHeight="1"/>
    <row r="2159" ht="18" customHeight="1"/>
    <row r="2160" ht="18" customHeight="1"/>
    <row r="2161" ht="18" customHeight="1"/>
    <row r="2162" ht="18" customHeight="1"/>
    <row r="2163" ht="18" customHeight="1"/>
    <row r="2164" ht="18" customHeight="1"/>
    <row r="2165" ht="18" customHeight="1"/>
    <row r="2166" ht="18" customHeight="1"/>
    <row r="2167" ht="18" customHeight="1"/>
    <row r="2168" ht="18" customHeight="1"/>
    <row r="2169" ht="18" customHeight="1"/>
    <row r="2170" ht="18" customHeight="1"/>
    <row r="2171" ht="18" customHeight="1"/>
    <row r="2172" ht="18" customHeight="1"/>
    <row r="2173" ht="18" customHeight="1"/>
    <row r="2174" ht="18" customHeight="1"/>
    <row r="2175" ht="18" customHeight="1"/>
    <row r="2176" ht="18" customHeight="1"/>
    <row r="2177" ht="18" customHeight="1"/>
    <row r="2178" ht="18" customHeight="1"/>
    <row r="2179" ht="18" customHeight="1"/>
    <row r="2180" ht="18" customHeight="1"/>
    <row r="2181" ht="18" customHeight="1"/>
    <row r="2182" ht="18" customHeight="1"/>
    <row r="2183" ht="18" customHeight="1"/>
    <row r="2184" ht="18" customHeight="1"/>
    <row r="2185" ht="18" customHeight="1"/>
    <row r="2186" ht="18" customHeight="1"/>
    <row r="2187" ht="18" customHeight="1"/>
    <row r="2188" ht="18" customHeight="1"/>
    <row r="2189" ht="18" customHeight="1"/>
    <row r="2190" ht="18" customHeight="1"/>
    <row r="2191" ht="18" customHeight="1"/>
    <row r="2192" ht="18" customHeight="1"/>
    <row r="2193" ht="18" customHeight="1"/>
    <row r="2194" ht="18" customHeight="1"/>
    <row r="2195" ht="18" customHeight="1"/>
    <row r="2196" ht="18" customHeight="1"/>
    <row r="2197" ht="18" customHeight="1"/>
    <row r="2198" ht="18" customHeight="1"/>
    <row r="2199" ht="18" customHeight="1"/>
    <row r="2200" ht="18" customHeight="1"/>
    <row r="2201" ht="18" customHeight="1"/>
    <row r="2202" ht="18" customHeight="1"/>
    <row r="2203" ht="18" customHeight="1"/>
    <row r="2204" ht="18" customHeight="1"/>
    <row r="2205" ht="18" customHeight="1"/>
    <row r="2206" ht="18" customHeight="1"/>
    <row r="2207" ht="18" customHeight="1"/>
    <row r="2208" ht="18" customHeight="1"/>
    <row r="2209" ht="18" customHeight="1"/>
    <row r="2210" ht="18" customHeight="1"/>
    <row r="2211" ht="18" customHeight="1"/>
    <row r="2212" ht="18" customHeight="1"/>
    <row r="2213" ht="18" customHeight="1"/>
    <row r="2214" ht="18" customHeight="1"/>
    <row r="2215" ht="18" customHeight="1"/>
    <row r="2216" ht="18" customHeight="1"/>
    <row r="2217" ht="18" customHeight="1"/>
    <row r="2218" ht="18" customHeight="1"/>
    <row r="2219" ht="18" customHeight="1"/>
    <row r="2220" ht="18" customHeight="1"/>
    <row r="2221" ht="18" customHeight="1"/>
    <row r="2222" ht="18" customHeight="1"/>
    <row r="2223" ht="18" customHeight="1"/>
    <row r="2224" ht="18" customHeight="1"/>
    <row r="2225" ht="18" customHeight="1"/>
    <row r="2226" ht="18" customHeight="1"/>
    <row r="2227" ht="18" customHeight="1"/>
    <row r="2228" ht="18" customHeight="1"/>
    <row r="2229" ht="18" customHeight="1"/>
    <row r="2230" ht="18" customHeight="1"/>
    <row r="2231" ht="18" customHeight="1"/>
    <row r="2232" ht="18" customHeight="1"/>
    <row r="2233" ht="18" customHeight="1"/>
    <row r="2234" ht="18" customHeight="1"/>
    <row r="2235" ht="18" customHeight="1"/>
    <row r="2236" ht="18" customHeight="1"/>
    <row r="2237" ht="18" customHeight="1"/>
    <row r="2238" ht="18" customHeight="1"/>
    <row r="2239" ht="18" customHeight="1"/>
    <row r="2240" ht="18" customHeight="1"/>
    <row r="2241" ht="18" customHeight="1"/>
    <row r="2242" ht="18" customHeight="1"/>
    <row r="2243" ht="18" customHeight="1"/>
    <row r="2244" ht="18" customHeight="1"/>
    <row r="2245" ht="18" customHeight="1"/>
    <row r="2246" ht="18" customHeight="1"/>
    <row r="2247" ht="18" customHeight="1"/>
    <row r="2248" ht="18" customHeight="1"/>
    <row r="2249" ht="18" customHeight="1"/>
    <row r="2250" ht="18" customHeight="1"/>
    <row r="2251" ht="18" customHeight="1"/>
    <row r="2252" ht="18" customHeight="1"/>
    <row r="2253" ht="18" customHeight="1"/>
    <row r="2254" ht="18" customHeight="1"/>
    <row r="2255" ht="18" customHeight="1"/>
    <row r="2256" ht="18" customHeight="1"/>
    <row r="2257" ht="18" customHeight="1"/>
    <row r="2258" ht="18" customHeight="1"/>
    <row r="2259" ht="18" customHeight="1"/>
    <row r="2260" ht="18" customHeight="1"/>
    <row r="2261" ht="18" customHeight="1"/>
    <row r="2262" ht="18" customHeight="1"/>
    <row r="2263" ht="18" customHeight="1"/>
    <row r="2264" ht="18" customHeight="1"/>
    <row r="2265" ht="18" customHeight="1"/>
    <row r="2266" ht="18" customHeight="1"/>
    <row r="2267" ht="18" customHeight="1"/>
    <row r="2268" ht="18" customHeight="1"/>
    <row r="2269" ht="18" customHeight="1"/>
    <row r="2270" ht="18" customHeight="1"/>
    <row r="2271" ht="18" customHeight="1"/>
    <row r="2272" ht="18" customHeight="1"/>
    <row r="2273" ht="18" customHeight="1"/>
    <row r="2274" ht="18" customHeight="1"/>
    <row r="2275" ht="18" customHeight="1"/>
    <row r="2276" ht="18" customHeight="1"/>
    <row r="2277" ht="18" customHeight="1"/>
    <row r="2278" ht="18" customHeight="1"/>
    <row r="2279" ht="18" customHeight="1"/>
    <row r="2280" ht="18" customHeight="1"/>
    <row r="2281" ht="18" customHeight="1"/>
    <row r="2282" ht="18" customHeight="1"/>
    <row r="2283" ht="18" customHeight="1"/>
    <row r="2284" ht="18" customHeight="1"/>
    <row r="2285" ht="18" customHeight="1"/>
    <row r="2286" ht="18" customHeight="1"/>
    <row r="2287" ht="18" customHeight="1"/>
    <row r="2288" ht="18" customHeight="1"/>
    <row r="2289" ht="18" customHeight="1"/>
    <row r="2290" ht="18" customHeight="1"/>
    <row r="2291" ht="18" customHeight="1"/>
    <row r="2292" ht="18" customHeight="1"/>
    <row r="2293" ht="18" customHeight="1"/>
    <row r="2294" ht="18" customHeight="1"/>
    <row r="2295" ht="18" customHeight="1"/>
    <row r="2296" ht="18" customHeight="1"/>
    <row r="2297" ht="18" customHeight="1"/>
    <row r="2298" ht="18" customHeight="1"/>
    <row r="2299" ht="18" customHeight="1"/>
    <row r="2300" ht="18" customHeight="1"/>
    <row r="2301" ht="18" customHeight="1"/>
    <row r="2302" ht="18" customHeight="1"/>
    <row r="2303" ht="18" customHeight="1"/>
    <row r="2304" ht="18" customHeight="1"/>
    <row r="2305" ht="18" customHeight="1"/>
    <row r="2306" ht="18" customHeight="1"/>
    <row r="2307" ht="18" customHeight="1"/>
    <row r="2308" ht="18" customHeight="1"/>
    <row r="2309" ht="18" customHeight="1"/>
    <row r="2310" ht="18" customHeight="1"/>
    <row r="2311" ht="18" customHeight="1"/>
    <row r="2312" ht="18" customHeight="1"/>
    <row r="2313" ht="18" customHeight="1"/>
    <row r="2314" ht="18" customHeight="1"/>
    <row r="2315" ht="18" customHeight="1"/>
    <row r="2316" ht="18" customHeight="1"/>
    <row r="2317" ht="18" customHeight="1"/>
    <row r="2318" ht="18" customHeight="1"/>
    <row r="2319" ht="18" customHeight="1"/>
    <row r="2320" ht="18" customHeight="1"/>
    <row r="2321" ht="18" customHeight="1"/>
    <row r="2322" ht="18" customHeight="1"/>
    <row r="2323" ht="18" customHeight="1"/>
    <row r="2324" ht="18" customHeight="1"/>
    <row r="2325" ht="18" customHeight="1"/>
    <row r="2326" ht="18" customHeight="1"/>
    <row r="2327" ht="18" customHeight="1"/>
    <row r="2328" ht="18" customHeight="1"/>
    <row r="2329" ht="18" customHeight="1"/>
    <row r="2330" ht="18" customHeight="1"/>
    <row r="2331" ht="18" customHeight="1"/>
    <row r="2332" ht="18" customHeight="1"/>
    <row r="2333" ht="18" customHeight="1"/>
    <row r="2334" ht="18" customHeight="1"/>
    <row r="2335" ht="18" customHeight="1"/>
    <row r="2336" ht="18" customHeight="1"/>
    <row r="2337" ht="18" customHeight="1"/>
    <row r="2338" ht="18" customHeight="1"/>
    <row r="2339" ht="18" customHeight="1"/>
    <row r="2340" ht="18" customHeight="1"/>
    <row r="2341" ht="18" customHeight="1"/>
    <row r="2342" ht="18" customHeight="1"/>
    <row r="2343" ht="18" customHeight="1"/>
    <row r="2344" ht="18" customHeight="1"/>
    <row r="2345" ht="18" customHeight="1"/>
    <row r="2346" ht="18" customHeight="1"/>
    <row r="2347" ht="18" customHeight="1"/>
    <row r="2348" ht="18" customHeight="1"/>
    <row r="2349" ht="18" customHeight="1"/>
    <row r="2350" ht="18" customHeight="1"/>
    <row r="2351" ht="18" customHeight="1"/>
    <row r="2352" ht="18" customHeight="1"/>
    <row r="2353" ht="18" customHeight="1"/>
    <row r="2354" ht="18" customHeight="1"/>
    <row r="2355" ht="18" customHeight="1"/>
    <row r="2356" ht="18" customHeight="1"/>
    <row r="2357" ht="18" customHeight="1"/>
    <row r="2358" ht="18" customHeight="1"/>
    <row r="2359" ht="18" customHeight="1"/>
    <row r="2360" ht="18" customHeight="1"/>
    <row r="2361" ht="18" customHeight="1"/>
    <row r="2362" ht="18" customHeight="1"/>
    <row r="2363" ht="18" customHeight="1"/>
    <row r="2364" ht="18" customHeight="1"/>
    <row r="2365" ht="18" customHeight="1"/>
    <row r="2366" ht="18" customHeight="1"/>
    <row r="2367" ht="18" customHeight="1"/>
    <row r="2368" ht="18" customHeight="1"/>
    <row r="2369" ht="18" customHeight="1"/>
    <row r="2370" ht="18" customHeight="1"/>
    <row r="2371" ht="18" customHeight="1"/>
    <row r="2372" ht="18" customHeight="1"/>
    <row r="2373" ht="18" customHeight="1"/>
    <row r="2374" ht="18" customHeight="1"/>
    <row r="2375" ht="18" customHeight="1"/>
    <row r="2376" ht="18" customHeight="1"/>
    <row r="2377" ht="18" customHeight="1"/>
    <row r="2378" ht="18" customHeight="1"/>
    <row r="2379" ht="18" customHeight="1"/>
    <row r="2380" ht="18" customHeight="1"/>
    <row r="2381" ht="18" customHeight="1"/>
    <row r="2382" ht="18" customHeight="1"/>
    <row r="2383" ht="18" customHeight="1"/>
    <row r="2384" ht="18" customHeight="1"/>
    <row r="2385" ht="18" customHeight="1"/>
    <row r="2386" ht="18" customHeight="1"/>
    <row r="2387" ht="18" customHeight="1"/>
    <row r="2388" ht="18" customHeight="1"/>
    <row r="2389" ht="18" customHeight="1"/>
    <row r="2390" ht="18" customHeight="1"/>
    <row r="2391" ht="18" customHeight="1"/>
    <row r="2392" ht="18" customHeight="1"/>
    <row r="2393" ht="18" customHeight="1"/>
    <row r="2394" ht="18" customHeight="1"/>
    <row r="2395" ht="18" customHeight="1"/>
    <row r="2396" ht="18" customHeight="1"/>
    <row r="2397" ht="18" customHeight="1"/>
    <row r="2398" ht="18" customHeight="1"/>
    <row r="2399" ht="18" customHeight="1"/>
    <row r="2400" ht="18" customHeight="1"/>
    <row r="2401" ht="18" customHeight="1"/>
    <row r="2402" ht="18" customHeight="1"/>
    <row r="2403" ht="18" customHeight="1"/>
    <row r="2404" ht="18" customHeight="1"/>
    <row r="2405" ht="18" customHeight="1"/>
    <row r="2406" ht="18" customHeight="1"/>
    <row r="2407" ht="18" customHeight="1"/>
    <row r="2408" ht="18" customHeight="1"/>
    <row r="2409" ht="18" customHeight="1"/>
    <row r="2410" ht="18" customHeight="1"/>
    <row r="2411" ht="18" customHeight="1"/>
    <row r="2412" ht="18" customHeight="1"/>
    <row r="2413" ht="18" customHeight="1"/>
    <row r="2414" ht="18" customHeight="1"/>
    <row r="2415" ht="18" customHeight="1"/>
    <row r="2416" ht="18" customHeight="1"/>
    <row r="2417" ht="18" customHeight="1"/>
    <row r="2418" ht="18" customHeight="1"/>
    <row r="2419" ht="18" customHeight="1"/>
    <row r="2420" ht="18" customHeight="1"/>
    <row r="2421" ht="18" customHeight="1"/>
    <row r="2422" ht="18" customHeight="1"/>
    <row r="2423" ht="18" customHeight="1"/>
    <row r="2424" ht="18" customHeight="1"/>
    <row r="2425" ht="18" customHeight="1"/>
    <row r="2426" ht="18" customHeight="1"/>
    <row r="2427" ht="18" customHeight="1"/>
    <row r="2428" ht="18" customHeight="1"/>
    <row r="2429" ht="18" customHeight="1"/>
    <row r="2430" ht="18" customHeight="1"/>
    <row r="2431" ht="18" customHeight="1"/>
    <row r="2432" ht="18" customHeight="1"/>
    <row r="2433" ht="18" customHeight="1"/>
    <row r="2434" ht="18" customHeight="1"/>
    <row r="2435" ht="18" customHeight="1"/>
    <row r="2436" ht="18" customHeight="1"/>
    <row r="2437" ht="18" customHeight="1"/>
    <row r="2438" ht="18" customHeight="1"/>
    <row r="2439" ht="18" customHeight="1"/>
    <row r="2440" ht="18" customHeight="1"/>
    <row r="2441" ht="18" customHeight="1"/>
    <row r="2442" ht="18" customHeight="1"/>
    <row r="2443" ht="18" customHeight="1"/>
    <row r="2444" ht="18" customHeight="1"/>
    <row r="2445" ht="18" customHeight="1"/>
    <row r="2446" ht="18" customHeight="1"/>
    <row r="2447" ht="18" customHeight="1"/>
    <row r="2448" ht="18" customHeight="1"/>
    <row r="2449" ht="18" customHeight="1"/>
    <row r="2450" ht="18" customHeight="1"/>
    <row r="2451" ht="18" customHeight="1"/>
    <row r="2452" ht="18" customHeight="1"/>
    <row r="2453" ht="18" customHeight="1"/>
    <row r="2454" ht="18" customHeight="1"/>
    <row r="2455" ht="18" customHeight="1"/>
    <row r="2456" ht="18" customHeight="1"/>
    <row r="2457" ht="18" customHeight="1"/>
    <row r="2458" ht="18" customHeight="1"/>
    <row r="2459" ht="18" customHeight="1"/>
    <row r="2460" ht="18" customHeight="1"/>
    <row r="2461" ht="18" customHeight="1"/>
    <row r="2462" ht="18" customHeight="1"/>
    <row r="2463" ht="18" customHeight="1"/>
    <row r="2464" ht="18" customHeight="1"/>
    <row r="2465" ht="18" customHeight="1"/>
    <row r="2466" ht="18" customHeight="1"/>
    <row r="2467" ht="18" customHeight="1"/>
    <row r="2468" ht="18" customHeight="1"/>
    <row r="2469" ht="18" customHeight="1"/>
    <row r="2470" ht="18" customHeight="1"/>
    <row r="2471" ht="18" customHeight="1"/>
    <row r="2472" ht="18" customHeight="1"/>
    <row r="2473" ht="18" customHeight="1"/>
    <row r="2474" ht="18" customHeight="1"/>
    <row r="2475" ht="18" customHeight="1"/>
    <row r="2476" ht="18" customHeight="1"/>
    <row r="2477" ht="18" customHeight="1"/>
    <row r="2478" ht="18" customHeight="1"/>
    <row r="2479" ht="18" customHeight="1"/>
    <row r="2480" ht="18" customHeight="1"/>
    <row r="2481" ht="18" customHeight="1"/>
    <row r="2482" ht="18" customHeight="1"/>
    <row r="2483" ht="18" customHeight="1"/>
    <row r="2484" ht="18" customHeight="1"/>
    <row r="2485" ht="18" customHeight="1"/>
    <row r="2486" ht="18" customHeight="1"/>
    <row r="2487" ht="18" customHeight="1"/>
    <row r="2488" ht="18" customHeight="1"/>
    <row r="2489" ht="18" customHeight="1"/>
    <row r="2490" ht="18" customHeight="1"/>
    <row r="2491" ht="18" customHeight="1"/>
    <row r="2492" ht="18" customHeight="1"/>
    <row r="2493" ht="18" customHeight="1"/>
    <row r="2494" ht="18" customHeight="1"/>
    <row r="2495" ht="18" customHeight="1"/>
    <row r="2496" ht="18" customHeight="1"/>
    <row r="2497" ht="18" customHeight="1"/>
    <row r="2498" ht="18" customHeight="1"/>
    <row r="2499" ht="18" customHeight="1"/>
    <row r="2500" ht="18" customHeight="1"/>
    <row r="2501" ht="18" customHeight="1"/>
    <row r="2502" ht="18" customHeight="1"/>
    <row r="2503" ht="18" customHeight="1"/>
    <row r="2504" ht="18" customHeight="1"/>
    <row r="2505" ht="18" customHeight="1"/>
    <row r="2506" ht="18" customHeight="1"/>
    <row r="2507" ht="18" customHeight="1"/>
    <row r="2508" ht="18" customHeight="1"/>
    <row r="2509" ht="18" customHeight="1"/>
    <row r="2510" ht="18" customHeight="1"/>
    <row r="2511" ht="18" customHeight="1"/>
    <row r="2512" ht="18" customHeight="1"/>
    <row r="2513" ht="18" customHeight="1"/>
    <row r="2514" ht="18" customHeight="1"/>
    <row r="2515" ht="18" customHeight="1"/>
    <row r="2516" ht="18" customHeight="1"/>
    <row r="2517" ht="18" customHeight="1"/>
    <row r="2518" ht="18" customHeight="1"/>
    <row r="2519" ht="18" customHeight="1"/>
    <row r="2520" ht="18" customHeight="1"/>
    <row r="2521" ht="18" customHeight="1"/>
    <row r="2522" ht="18" customHeight="1"/>
    <row r="2523" ht="18" customHeight="1"/>
    <row r="2524" ht="18" customHeight="1"/>
    <row r="2525" ht="18" customHeight="1"/>
    <row r="2526" ht="18" customHeight="1"/>
    <row r="2527" ht="18" customHeight="1"/>
    <row r="2528" ht="18" customHeight="1"/>
    <row r="2529" ht="18" customHeight="1"/>
    <row r="2530" ht="18" customHeight="1"/>
    <row r="2531" ht="18" customHeight="1"/>
    <row r="2532" ht="18" customHeight="1"/>
    <row r="2533" ht="18" customHeight="1"/>
    <row r="2534" ht="18" customHeight="1"/>
    <row r="2535" ht="18" customHeight="1"/>
    <row r="2536" ht="18" customHeight="1"/>
    <row r="2537" ht="18" customHeight="1"/>
    <row r="2538" ht="18" customHeight="1"/>
    <row r="2539" ht="18" customHeight="1"/>
    <row r="2540" ht="18" customHeight="1"/>
    <row r="2541" ht="18" customHeight="1"/>
    <row r="2542" ht="18" customHeight="1"/>
    <row r="2543" ht="18" customHeight="1"/>
    <row r="2544" ht="18" customHeight="1"/>
    <row r="2545" ht="18" customHeight="1"/>
    <row r="2546" ht="18" customHeight="1"/>
    <row r="2547" ht="18" customHeight="1"/>
    <row r="2548" ht="18" customHeight="1"/>
    <row r="2549" ht="18" customHeight="1"/>
    <row r="2550" ht="18" customHeight="1"/>
    <row r="2551" ht="18" customHeight="1"/>
    <row r="2552" ht="18" customHeight="1"/>
    <row r="2553" ht="18" customHeight="1"/>
    <row r="2554" ht="18" customHeight="1"/>
    <row r="2555" ht="18" customHeight="1"/>
    <row r="2556" ht="18" customHeight="1"/>
    <row r="2557" ht="18" customHeight="1"/>
    <row r="2558" ht="18" customHeight="1"/>
    <row r="2559" ht="18" customHeight="1"/>
    <row r="2560" ht="18" customHeight="1"/>
    <row r="2561" ht="18" customHeight="1"/>
    <row r="2562" ht="18" customHeight="1"/>
    <row r="2563" ht="18" customHeight="1"/>
    <row r="2564" ht="18" customHeight="1"/>
    <row r="2565" ht="18" customHeight="1"/>
    <row r="2566" ht="18" customHeight="1"/>
    <row r="2567" ht="18" customHeight="1"/>
    <row r="2568" ht="18" customHeight="1"/>
    <row r="2569" ht="18" customHeight="1"/>
    <row r="2570" ht="18" customHeight="1"/>
    <row r="2571" ht="18" customHeight="1"/>
    <row r="2572" ht="18" customHeight="1"/>
    <row r="2573" ht="18" customHeight="1"/>
    <row r="2574" ht="18" customHeight="1"/>
    <row r="2575" ht="18" customHeight="1"/>
    <row r="2576" ht="18" customHeight="1"/>
    <row r="2577" ht="18" customHeight="1"/>
    <row r="2578" ht="18" customHeight="1"/>
    <row r="2579" ht="18" customHeight="1"/>
    <row r="2580" ht="18" customHeight="1"/>
    <row r="2581" ht="18" customHeight="1"/>
    <row r="2582" ht="18" customHeight="1"/>
    <row r="2583" ht="18" customHeight="1"/>
    <row r="2584" ht="18" customHeight="1"/>
    <row r="2585" ht="18" customHeight="1"/>
    <row r="2586" ht="18" customHeight="1"/>
    <row r="2587" ht="18" customHeight="1"/>
    <row r="2588" ht="18" customHeight="1"/>
    <row r="2589" ht="18" customHeight="1"/>
    <row r="2590" ht="18" customHeight="1"/>
    <row r="2591" ht="18" customHeight="1"/>
    <row r="2592" ht="18" customHeight="1"/>
    <row r="2593" ht="18" customHeight="1"/>
    <row r="2594" ht="18" customHeight="1"/>
    <row r="2595" ht="18" customHeight="1"/>
    <row r="2596" ht="18" customHeight="1"/>
    <row r="2597" ht="18" customHeight="1"/>
    <row r="2598" ht="18" customHeight="1"/>
    <row r="2599" ht="18" customHeight="1"/>
    <row r="2600" ht="18" customHeight="1"/>
    <row r="2601" ht="18" customHeight="1"/>
    <row r="2602" ht="18" customHeight="1"/>
    <row r="2603" ht="18" customHeight="1"/>
    <row r="2604" ht="18" customHeight="1"/>
    <row r="2605" ht="18" customHeight="1"/>
    <row r="2606" ht="18" customHeight="1"/>
    <row r="2607" ht="18" customHeight="1"/>
    <row r="2608" ht="18" customHeight="1"/>
    <row r="2609" ht="18" customHeight="1"/>
    <row r="2610" ht="18" customHeight="1"/>
    <row r="2611" ht="18" customHeight="1"/>
    <row r="2612" ht="18" customHeight="1"/>
    <row r="2613" ht="18" customHeight="1"/>
    <row r="2614" ht="18" customHeight="1"/>
    <row r="2615" ht="18" customHeight="1"/>
    <row r="2616" ht="18" customHeight="1"/>
    <row r="2617" ht="18" customHeight="1"/>
    <row r="2618" ht="18" customHeight="1"/>
    <row r="2619" ht="18" customHeight="1"/>
    <row r="2620" ht="18" customHeight="1"/>
    <row r="2621" ht="18" customHeight="1"/>
    <row r="2622" ht="18" customHeight="1"/>
    <row r="2623" ht="18" customHeight="1"/>
    <row r="2624" ht="18" customHeight="1"/>
    <row r="2625" ht="18" customHeight="1"/>
    <row r="2626" ht="18" customHeight="1"/>
    <row r="2627" ht="18" customHeight="1"/>
    <row r="2628" ht="18" customHeight="1"/>
    <row r="2629" ht="18" customHeight="1"/>
    <row r="2630" ht="18" customHeight="1"/>
    <row r="2631" ht="18" customHeight="1"/>
    <row r="2632" ht="18" customHeight="1"/>
    <row r="2633" ht="18" customHeight="1"/>
    <row r="2634" ht="18" customHeight="1"/>
    <row r="2635" ht="18" customHeight="1"/>
    <row r="2636" ht="18" customHeight="1"/>
    <row r="2637" ht="18" customHeight="1"/>
    <row r="2638" ht="18" customHeight="1"/>
    <row r="2639" ht="18" customHeight="1"/>
    <row r="2640" ht="18" customHeight="1"/>
    <row r="2641" ht="18" customHeight="1"/>
    <row r="2642" ht="18" customHeight="1"/>
    <row r="2643" ht="18" customHeight="1"/>
    <row r="2644" ht="18" customHeight="1"/>
    <row r="2645" ht="18" customHeight="1"/>
    <row r="2646" ht="18" customHeight="1"/>
    <row r="2647" ht="18" customHeight="1"/>
    <row r="2648" ht="18" customHeight="1"/>
    <row r="2649" ht="18" customHeight="1"/>
    <row r="2650" ht="18" customHeight="1"/>
    <row r="2651" ht="18" customHeight="1"/>
    <row r="2652" ht="18" customHeight="1"/>
    <row r="2653" ht="18" customHeight="1"/>
    <row r="2654" ht="18" customHeight="1"/>
    <row r="2655" ht="18" customHeight="1"/>
    <row r="2656" ht="18" customHeight="1"/>
    <row r="2657" ht="18" customHeight="1"/>
    <row r="2658" ht="18" customHeight="1"/>
    <row r="2659" ht="18" customHeight="1"/>
    <row r="2660" ht="18" customHeight="1"/>
    <row r="2661" ht="18" customHeight="1"/>
    <row r="2662" ht="18" customHeight="1"/>
    <row r="2663" ht="18" customHeight="1"/>
    <row r="2664" ht="18" customHeight="1"/>
    <row r="2665" ht="18" customHeight="1"/>
    <row r="2666" ht="18" customHeight="1"/>
    <row r="2667" ht="18" customHeight="1"/>
    <row r="2668" ht="18" customHeight="1"/>
    <row r="2669" ht="18" customHeight="1"/>
    <row r="2670" ht="18" customHeight="1"/>
    <row r="2671" ht="18" customHeight="1"/>
    <row r="2672" ht="18" customHeight="1"/>
    <row r="2673" ht="18" customHeight="1"/>
    <row r="2674" ht="18" customHeight="1"/>
    <row r="2675" ht="18" customHeight="1"/>
    <row r="2676" ht="18" customHeight="1"/>
    <row r="2677" ht="18" customHeight="1"/>
    <row r="2678" ht="18" customHeight="1"/>
    <row r="2679" ht="18" customHeight="1"/>
    <row r="2680" ht="18" customHeight="1"/>
    <row r="2681" ht="18" customHeight="1"/>
    <row r="2682" ht="18" customHeight="1"/>
    <row r="2683" ht="18" customHeight="1"/>
    <row r="2684" ht="18" customHeight="1"/>
    <row r="2685" ht="18" customHeight="1"/>
    <row r="2686" ht="18" customHeight="1"/>
    <row r="2687" ht="18" customHeight="1"/>
    <row r="2688" ht="18" customHeight="1"/>
    <row r="2689" ht="18" customHeight="1"/>
    <row r="2690" ht="18" customHeight="1"/>
    <row r="2691" ht="18" customHeight="1"/>
    <row r="2692" ht="18" customHeight="1"/>
    <row r="2693" ht="18" customHeight="1"/>
    <row r="2694" ht="18" customHeight="1"/>
    <row r="2695" ht="18" customHeight="1"/>
    <row r="2696" ht="18" customHeight="1"/>
    <row r="2697" ht="18" customHeight="1"/>
    <row r="2698" ht="18" customHeight="1"/>
    <row r="2699" ht="18" customHeight="1"/>
    <row r="2700" ht="18" customHeight="1"/>
    <row r="2701" ht="18" customHeight="1"/>
    <row r="2702" ht="18" customHeight="1"/>
    <row r="2703" ht="18" customHeight="1"/>
    <row r="2704" ht="18" customHeight="1"/>
    <row r="2705" ht="18" customHeight="1"/>
    <row r="2706" ht="18" customHeight="1"/>
    <row r="2707" ht="18" customHeight="1"/>
    <row r="2708" ht="18" customHeight="1"/>
    <row r="2709" ht="18" customHeight="1"/>
    <row r="2710" ht="18" customHeight="1"/>
    <row r="2711" ht="18" customHeight="1"/>
    <row r="2712" ht="18" customHeight="1"/>
    <row r="2713" ht="18" customHeight="1"/>
    <row r="2714" ht="18" customHeight="1"/>
    <row r="2715" ht="18" customHeight="1"/>
    <row r="2716" ht="18" customHeight="1"/>
    <row r="2717" ht="18" customHeight="1"/>
    <row r="2718" ht="18" customHeight="1"/>
    <row r="2719" ht="18" customHeight="1"/>
    <row r="2720" ht="18" customHeight="1"/>
    <row r="2721" ht="18" customHeight="1"/>
    <row r="2722" ht="18" customHeight="1"/>
    <row r="2723" ht="18" customHeight="1"/>
    <row r="2724" ht="18" customHeight="1"/>
    <row r="2725" ht="18" customHeight="1"/>
    <row r="2726" ht="18" customHeight="1"/>
    <row r="2727" ht="18" customHeight="1"/>
    <row r="2728" ht="18" customHeight="1"/>
    <row r="2729" ht="18" customHeight="1"/>
    <row r="2730" ht="18" customHeight="1"/>
    <row r="2731" ht="18" customHeight="1"/>
    <row r="2732" ht="18" customHeight="1"/>
    <row r="2733" ht="18" customHeight="1"/>
    <row r="2734" ht="18" customHeight="1"/>
    <row r="2735" ht="18" customHeight="1"/>
    <row r="2736" ht="18" customHeight="1"/>
    <row r="2737" ht="18" customHeight="1"/>
    <row r="2738" ht="18" customHeight="1"/>
    <row r="2739" ht="18" customHeight="1"/>
    <row r="2740" ht="18" customHeight="1"/>
    <row r="2741" ht="18" customHeight="1"/>
    <row r="2742" ht="18" customHeight="1"/>
    <row r="2743" ht="18" customHeight="1"/>
    <row r="2744" ht="18" customHeight="1"/>
    <row r="2745" ht="18" customHeight="1"/>
    <row r="2746" ht="18" customHeight="1"/>
    <row r="2747" ht="18" customHeight="1"/>
    <row r="2748" ht="18" customHeight="1"/>
    <row r="2749" ht="18" customHeight="1"/>
    <row r="2750" ht="18" customHeight="1"/>
    <row r="2751" ht="18" customHeight="1"/>
    <row r="2752" ht="18" customHeight="1"/>
    <row r="2753" ht="18" customHeight="1"/>
    <row r="2754" ht="18" customHeight="1"/>
    <row r="2755" ht="18" customHeight="1"/>
    <row r="2756" ht="18" customHeight="1"/>
    <row r="2757" ht="18" customHeight="1"/>
    <row r="2758" ht="18" customHeight="1"/>
    <row r="2759" ht="18" customHeight="1"/>
    <row r="2760" ht="18" customHeight="1"/>
    <row r="2761" ht="18" customHeight="1"/>
    <row r="2762" ht="18" customHeight="1"/>
    <row r="2763" ht="18" customHeight="1"/>
    <row r="2764" ht="18" customHeight="1"/>
    <row r="2765" ht="18" customHeight="1"/>
    <row r="2766" ht="18" customHeight="1"/>
    <row r="2767" ht="18" customHeight="1"/>
    <row r="2768" ht="18" customHeight="1"/>
    <row r="2769" ht="18" customHeight="1"/>
    <row r="2770" ht="18" customHeight="1"/>
    <row r="2771" ht="18" customHeight="1"/>
    <row r="2772" ht="18" customHeight="1"/>
    <row r="2773" ht="18" customHeight="1"/>
    <row r="2774" ht="18" customHeight="1"/>
    <row r="2775" ht="18" customHeight="1"/>
    <row r="2776" ht="18" customHeight="1"/>
    <row r="2777" ht="18" customHeight="1"/>
    <row r="2778" ht="18" customHeight="1"/>
    <row r="2779" ht="18" customHeight="1"/>
    <row r="2780" ht="18" customHeight="1"/>
    <row r="2781" ht="18" customHeight="1"/>
    <row r="2782" ht="18" customHeight="1"/>
    <row r="2783" ht="18" customHeight="1"/>
    <row r="2784" ht="18" customHeight="1"/>
    <row r="2785" ht="18" customHeight="1"/>
    <row r="2786" ht="18" customHeight="1"/>
    <row r="2787" ht="18" customHeight="1"/>
    <row r="2788" ht="18" customHeight="1"/>
    <row r="2789" ht="18" customHeight="1"/>
    <row r="2790" ht="18" customHeight="1"/>
    <row r="2791" ht="18" customHeight="1"/>
    <row r="2792" ht="18" customHeight="1"/>
    <row r="2793" ht="18" customHeight="1"/>
    <row r="2794" ht="18" customHeight="1"/>
    <row r="2795" ht="18" customHeight="1"/>
    <row r="2796" ht="18" customHeight="1"/>
    <row r="2797" ht="18" customHeight="1"/>
    <row r="2798" ht="18" customHeight="1"/>
    <row r="2799" ht="18" customHeight="1"/>
    <row r="2800" ht="18" customHeight="1"/>
    <row r="2801" ht="18" customHeight="1"/>
    <row r="2802" ht="18" customHeight="1"/>
    <row r="2803" ht="18" customHeight="1"/>
    <row r="2804" ht="18" customHeight="1"/>
    <row r="2805" ht="18" customHeight="1"/>
    <row r="2806" ht="18" customHeight="1"/>
    <row r="2807" ht="18" customHeight="1"/>
    <row r="2808" ht="18" customHeight="1"/>
    <row r="2809" ht="18" customHeight="1"/>
    <row r="2810" ht="18" customHeight="1"/>
    <row r="2811" ht="18" customHeight="1"/>
    <row r="2812" ht="18" customHeight="1"/>
    <row r="2813" ht="18" customHeight="1"/>
    <row r="2814" ht="18" customHeight="1"/>
    <row r="2815" ht="18" customHeight="1"/>
    <row r="2816" ht="18" customHeight="1"/>
    <row r="2817" ht="18" customHeight="1"/>
    <row r="2818" ht="18" customHeight="1"/>
    <row r="2819" ht="18" customHeight="1"/>
    <row r="2820" ht="18" customHeight="1"/>
    <row r="2821" ht="18" customHeight="1"/>
    <row r="2822" ht="18" customHeight="1"/>
    <row r="2823" ht="18" customHeight="1"/>
    <row r="2824" ht="18" customHeight="1"/>
    <row r="2825" ht="18" customHeight="1"/>
    <row r="2826" ht="18" customHeight="1"/>
    <row r="2827" ht="18" customHeight="1"/>
    <row r="2828" ht="18" customHeight="1"/>
    <row r="2829" ht="18" customHeight="1"/>
    <row r="2830" ht="18" customHeight="1"/>
    <row r="2831" ht="18" customHeight="1"/>
    <row r="2832" ht="18" customHeight="1"/>
    <row r="2833" ht="18" customHeight="1"/>
    <row r="2834" ht="18" customHeight="1"/>
    <row r="2835" ht="18" customHeight="1"/>
    <row r="2836" ht="18" customHeight="1"/>
    <row r="2837" ht="18" customHeight="1"/>
    <row r="2838" ht="18" customHeight="1"/>
    <row r="2839" ht="18" customHeight="1"/>
    <row r="2840" ht="18" customHeight="1"/>
    <row r="2841" ht="18" customHeight="1"/>
    <row r="2842" ht="18" customHeight="1"/>
    <row r="2843" ht="18" customHeight="1"/>
    <row r="2844" ht="18" customHeight="1"/>
    <row r="2845" ht="18" customHeight="1"/>
    <row r="2846" ht="18" customHeight="1"/>
    <row r="2847" ht="18" customHeight="1"/>
    <row r="2848" ht="18" customHeight="1"/>
    <row r="2849" ht="18" customHeight="1"/>
    <row r="2850" ht="18" customHeight="1"/>
    <row r="2851" ht="18" customHeight="1"/>
    <row r="2852" ht="18" customHeight="1"/>
    <row r="2853" ht="18" customHeight="1"/>
    <row r="2854" ht="18" customHeight="1"/>
    <row r="2855" ht="18" customHeight="1"/>
    <row r="2856" ht="18" customHeight="1"/>
    <row r="2857" ht="18" customHeight="1"/>
    <row r="2858" ht="18" customHeight="1"/>
    <row r="2859" ht="18" customHeight="1"/>
    <row r="2860" ht="18" customHeight="1"/>
    <row r="2861" ht="18" customHeight="1"/>
    <row r="2862" ht="18" customHeight="1"/>
    <row r="2863" ht="18" customHeight="1"/>
    <row r="2864" ht="18" customHeight="1"/>
    <row r="2865" ht="18" customHeight="1"/>
    <row r="2866" ht="18" customHeight="1"/>
    <row r="2867" ht="18" customHeight="1"/>
    <row r="2868" ht="18" customHeight="1"/>
    <row r="2869" ht="18" customHeight="1"/>
    <row r="2870" ht="18" customHeight="1"/>
    <row r="2871" ht="18" customHeight="1"/>
    <row r="2872" ht="18" customHeight="1"/>
    <row r="2873" ht="18" customHeight="1"/>
    <row r="2874" ht="18" customHeight="1"/>
    <row r="2875" ht="18" customHeight="1"/>
    <row r="2876" ht="18" customHeight="1"/>
    <row r="2877" ht="18" customHeight="1"/>
    <row r="2878" ht="18" customHeight="1"/>
    <row r="2879" ht="18" customHeight="1"/>
    <row r="2880" ht="18" customHeight="1"/>
    <row r="2881" ht="18" customHeight="1"/>
    <row r="2882" ht="18" customHeight="1"/>
    <row r="2883" ht="18" customHeight="1"/>
    <row r="2884" ht="18" customHeight="1"/>
    <row r="2885" ht="18" customHeight="1"/>
    <row r="2886" ht="18" customHeight="1"/>
    <row r="2887" ht="18" customHeight="1"/>
    <row r="2888" ht="18" customHeight="1"/>
    <row r="2889" ht="18" customHeight="1"/>
    <row r="2890" ht="18" customHeight="1"/>
    <row r="2891" ht="18" customHeight="1"/>
    <row r="2892" ht="18" customHeight="1"/>
    <row r="2893" ht="18" customHeight="1"/>
    <row r="2894" ht="18" customHeight="1"/>
    <row r="2895" ht="18" customHeight="1"/>
    <row r="2896" ht="18" customHeight="1"/>
    <row r="2897" ht="18" customHeight="1"/>
    <row r="2898" ht="18" customHeight="1"/>
    <row r="2899" ht="18" customHeight="1"/>
    <row r="2900" ht="18" customHeight="1"/>
    <row r="2901" ht="18" customHeight="1"/>
    <row r="2902" ht="18" customHeight="1"/>
    <row r="2903" ht="18" customHeight="1"/>
    <row r="2904" ht="18" customHeight="1"/>
    <row r="2905" ht="18" customHeight="1"/>
    <row r="2906" ht="18" customHeight="1"/>
    <row r="2907" ht="18" customHeight="1"/>
    <row r="2908" ht="18" customHeight="1"/>
    <row r="2909" ht="18" customHeight="1"/>
    <row r="2910" ht="18" customHeight="1"/>
    <row r="2911" ht="18" customHeight="1"/>
    <row r="2912" ht="18" customHeight="1"/>
    <row r="2913" ht="18" customHeight="1"/>
    <row r="2914" ht="18" customHeight="1"/>
    <row r="2915" ht="18" customHeight="1"/>
    <row r="2916" ht="18" customHeight="1"/>
    <row r="2917" ht="18" customHeight="1"/>
    <row r="2918" ht="18" customHeight="1"/>
    <row r="2919" ht="18" customHeight="1"/>
    <row r="2920" ht="18" customHeight="1"/>
    <row r="2921" ht="18" customHeight="1"/>
    <row r="2922" ht="18" customHeight="1"/>
    <row r="2923" ht="18" customHeight="1"/>
    <row r="2924" ht="18" customHeight="1"/>
    <row r="2925" ht="18" customHeight="1"/>
    <row r="2926" ht="18" customHeight="1"/>
    <row r="2927" ht="18" customHeight="1"/>
    <row r="2928" ht="18" customHeight="1"/>
    <row r="2929" ht="18" customHeight="1"/>
    <row r="2930" ht="18" customHeight="1"/>
    <row r="2931" ht="18" customHeight="1"/>
    <row r="2932" ht="18" customHeight="1"/>
    <row r="2933" ht="18" customHeight="1"/>
    <row r="2934" ht="18" customHeight="1"/>
    <row r="2935" ht="18" customHeight="1"/>
    <row r="2936" ht="18" customHeight="1"/>
    <row r="2937" ht="18" customHeight="1"/>
    <row r="2938" ht="18" customHeight="1"/>
    <row r="2939" ht="18" customHeight="1"/>
    <row r="2940" ht="18" customHeight="1"/>
    <row r="2941" ht="18" customHeight="1"/>
    <row r="2942" ht="18" customHeight="1"/>
    <row r="2943" ht="18" customHeight="1"/>
    <row r="2944" ht="18" customHeight="1"/>
    <row r="2945" ht="18" customHeight="1"/>
    <row r="2946" ht="18" customHeight="1"/>
    <row r="2947" ht="18" customHeight="1"/>
    <row r="2948" ht="18" customHeight="1"/>
    <row r="2949" ht="18" customHeight="1"/>
    <row r="2950" ht="18" customHeight="1"/>
    <row r="2951" ht="18" customHeight="1"/>
    <row r="2952" ht="18" customHeight="1"/>
    <row r="2953" ht="18" customHeight="1"/>
    <row r="2954" ht="18" customHeight="1"/>
    <row r="2955" ht="18" customHeight="1"/>
    <row r="2956" ht="18" customHeight="1"/>
    <row r="2957" ht="18" customHeight="1"/>
    <row r="2958" ht="18" customHeight="1"/>
    <row r="2959" ht="18" customHeight="1"/>
    <row r="2960" ht="18" customHeight="1"/>
    <row r="2961" ht="18" customHeight="1"/>
    <row r="2962" ht="18" customHeight="1"/>
    <row r="2963" ht="18" customHeight="1"/>
    <row r="2964" ht="18" customHeight="1"/>
    <row r="2965" ht="18" customHeight="1"/>
    <row r="2966" ht="18" customHeight="1"/>
    <row r="2967" ht="18" customHeight="1"/>
    <row r="2968" ht="18" customHeight="1"/>
    <row r="2969" ht="18" customHeight="1"/>
    <row r="2970" ht="18" customHeight="1"/>
    <row r="2971" ht="18" customHeight="1"/>
    <row r="2972" ht="18" customHeight="1"/>
    <row r="2973" ht="18" customHeight="1"/>
    <row r="2974" ht="18" customHeight="1"/>
    <row r="2975" ht="18" customHeight="1"/>
    <row r="2976" ht="18" customHeight="1"/>
    <row r="2977" ht="18" customHeight="1"/>
    <row r="2978" ht="18" customHeight="1"/>
    <row r="2979" ht="18" customHeight="1"/>
    <row r="2980" ht="18" customHeight="1"/>
    <row r="2981" ht="18" customHeight="1"/>
    <row r="2982" ht="18" customHeight="1"/>
    <row r="2983" ht="18" customHeight="1"/>
    <row r="2984" ht="18" customHeight="1"/>
    <row r="2985" ht="18" customHeight="1"/>
    <row r="2986" ht="18" customHeight="1"/>
    <row r="2987" ht="18" customHeight="1"/>
    <row r="2988" ht="18" customHeight="1"/>
    <row r="2989" ht="18" customHeight="1"/>
    <row r="2990" ht="18" customHeight="1"/>
    <row r="2991" ht="18" customHeight="1"/>
    <row r="2992" ht="18" customHeight="1"/>
    <row r="2993" ht="18" customHeight="1"/>
    <row r="2994" ht="18" customHeight="1"/>
    <row r="2995" ht="18" customHeight="1"/>
    <row r="2996" ht="18" customHeight="1"/>
    <row r="2997" ht="18" customHeight="1"/>
    <row r="2998" ht="18" customHeight="1"/>
    <row r="2999" ht="18" customHeight="1"/>
    <row r="3000" ht="18" customHeight="1"/>
    <row r="3001" ht="18" customHeight="1"/>
    <row r="3002" ht="18" customHeight="1"/>
    <row r="3003" ht="18" customHeight="1"/>
    <row r="3004" ht="18" customHeight="1"/>
    <row r="3005" ht="18" customHeight="1"/>
    <row r="3006" ht="18" customHeight="1"/>
    <row r="3007" ht="18" customHeight="1"/>
    <row r="3008" ht="18" customHeight="1"/>
    <row r="3009" ht="18" customHeight="1"/>
    <row r="3010" ht="18" customHeight="1"/>
    <row r="3011" ht="18" customHeight="1"/>
    <row r="3012" ht="18" customHeight="1"/>
    <row r="3013" ht="18" customHeight="1"/>
    <row r="3014" ht="18" customHeight="1"/>
    <row r="3015" ht="18" customHeight="1"/>
    <row r="3016" ht="18" customHeight="1"/>
    <row r="3017" ht="18" customHeight="1"/>
    <row r="3018" ht="18" customHeight="1"/>
    <row r="3019" ht="18" customHeight="1"/>
    <row r="3020" ht="18" customHeight="1"/>
    <row r="3021" ht="18" customHeight="1"/>
    <row r="3022" ht="18" customHeight="1"/>
    <row r="3023" ht="18" customHeight="1"/>
    <row r="3024" ht="18" customHeight="1"/>
    <row r="3025" ht="18" customHeight="1"/>
    <row r="3026" ht="18" customHeight="1"/>
    <row r="3027" ht="18" customHeight="1"/>
    <row r="3028" ht="18" customHeight="1"/>
    <row r="3029" ht="18" customHeight="1"/>
    <row r="3030" ht="18" customHeight="1"/>
    <row r="3031" ht="18" customHeight="1"/>
    <row r="3032" ht="18" customHeight="1"/>
    <row r="3033" ht="18" customHeight="1"/>
    <row r="3034" ht="18" customHeight="1"/>
    <row r="3035" ht="18" customHeight="1"/>
    <row r="3036" ht="18" customHeight="1"/>
    <row r="3037" ht="18" customHeight="1"/>
    <row r="3038" ht="18" customHeight="1"/>
    <row r="3039" ht="18" customHeight="1"/>
    <row r="3040" ht="18" customHeight="1"/>
    <row r="3041" ht="18" customHeight="1"/>
    <row r="3042" ht="18" customHeight="1"/>
    <row r="3043" ht="18" customHeight="1"/>
    <row r="3044" ht="18" customHeight="1"/>
    <row r="3045" ht="18" customHeight="1"/>
    <row r="3046" ht="18" customHeight="1"/>
    <row r="3047" ht="18" customHeight="1"/>
    <row r="3048" ht="18" customHeight="1"/>
    <row r="3049" ht="18" customHeight="1"/>
    <row r="3050" ht="18" customHeight="1"/>
    <row r="3051" ht="18" customHeight="1"/>
    <row r="3052" ht="18" customHeight="1"/>
    <row r="3053" ht="18" customHeight="1"/>
    <row r="3054" ht="18" customHeight="1"/>
    <row r="3055" ht="18" customHeight="1"/>
    <row r="3056" ht="18" customHeight="1"/>
    <row r="3057" ht="18" customHeight="1"/>
    <row r="3058" ht="18" customHeight="1"/>
    <row r="3059" ht="18" customHeight="1"/>
    <row r="3060" ht="18" customHeight="1"/>
    <row r="3061" ht="18" customHeight="1"/>
    <row r="3062" ht="18" customHeight="1"/>
    <row r="3063" ht="18" customHeight="1"/>
    <row r="3064" ht="18" customHeight="1"/>
    <row r="3065" ht="18" customHeight="1"/>
    <row r="3066" ht="18" customHeight="1"/>
    <row r="3067" ht="18" customHeight="1"/>
    <row r="3068" ht="18" customHeight="1"/>
    <row r="3069" ht="18" customHeight="1"/>
    <row r="3070" ht="18" customHeight="1"/>
    <row r="3071" ht="18" customHeight="1"/>
    <row r="3072" ht="18" customHeight="1"/>
    <row r="3073" ht="18" customHeight="1"/>
    <row r="3074" ht="18" customHeight="1"/>
    <row r="3075" ht="18" customHeight="1"/>
    <row r="3076" ht="18" customHeight="1"/>
    <row r="3077" ht="18" customHeight="1"/>
    <row r="3078" ht="18" customHeight="1"/>
    <row r="3079" ht="18" customHeight="1"/>
    <row r="3080" ht="18" customHeight="1"/>
    <row r="3081" ht="18" customHeight="1"/>
    <row r="3082" ht="18" customHeight="1"/>
    <row r="3083" ht="18" customHeight="1"/>
    <row r="3084" ht="18" customHeight="1"/>
    <row r="3085" ht="18" customHeight="1"/>
    <row r="3086" ht="18" customHeight="1"/>
    <row r="3087" ht="18" customHeight="1"/>
    <row r="3088" ht="18" customHeight="1"/>
    <row r="3089" ht="18" customHeight="1"/>
    <row r="3090" ht="18" customHeight="1"/>
    <row r="3091" ht="18" customHeight="1"/>
    <row r="3092" ht="18" customHeight="1"/>
    <row r="3093" ht="18" customHeight="1"/>
    <row r="3094" ht="18" customHeight="1"/>
    <row r="3095" ht="18" customHeight="1"/>
    <row r="3096" ht="18" customHeight="1"/>
    <row r="3097" ht="18" customHeight="1"/>
    <row r="3098" ht="18" customHeight="1"/>
    <row r="3099" ht="18" customHeight="1"/>
    <row r="3100" ht="18" customHeight="1"/>
    <row r="3101" ht="18" customHeight="1"/>
    <row r="3102" ht="18" customHeight="1"/>
    <row r="3103" ht="18" customHeight="1"/>
    <row r="3104" ht="18" customHeight="1"/>
    <row r="3105" ht="18" customHeight="1"/>
    <row r="3106" ht="18" customHeight="1"/>
    <row r="3107" ht="18" customHeight="1"/>
    <row r="3108" ht="18" customHeight="1"/>
    <row r="3109" ht="18" customHeight="1"/>
    <row r="3110" ht="18" customHeight="1"/>
    <row r="3111" ht="18" customHeight="1"/>
    <row r="3112" ht="18" customHeight="1"/>
    <row r="3113" ht="18" customHeight="1"/>
    <row r="3114" ht="18" customHeight="1"/>
    <row r="3115" ht="18" customHeight="1"/>
    <row r="3116" ht="18" customHeight="1"/>
    <row r="3117" ht="18" customHeight="1"/>
    <row r="3118" ht="18" customHeight="1"/>
    <row r="3119" ht="18" customHeight="1"/>
    <row r="3120" ht="18" customHeight="1"/>
    <row r="3121" ht="18" customHeight="1"/>
    <row r="3122" ht="18" customHeight="1"/>
    <row r="3123" ht="18" customHeight="1"/>
    <row r="3124" ht="18" customHeight="1"/>
    <row r="3125" ht="18" customHeight="1"/>
    <row r="3126" ht="18" customHeight="1"/>
    <row r="3127" ht="18" customHeight="1"/>
    <row r="3128" ht="18" customHeight="1"/>
    <row r="3129" ht="18" customHeight="1"/>
    <row r="3130" ht="18" customHeight="1"/>
    <row r="3131" ht="18" customHeight="1"/>
    <row r="3132" ht="18" customHeight="1"/>
    <row r="3133" ht="18" customHeight="1"/>
    <row r="3134" ht="18" customHeight="1"/>
    <row r="3135" ht="18" customHeight="1"/>
    <row r="3136" ht="18" customHeight="1"/>
    <row r="3137" ht="18" customHeight="1"/>
    <row r="3138" ht="18" customHeight="1"/>
    <row r="3139" ht="18" customHeight="1"/>
    <row r="3140" ht="18" customHeight="1"/>
    <row r="3141" ht="18" customHeight="1"/>
    <row r="3142" ht="18" customHeight="1"/>
    <row r="3143" ht="18" customHeight="1"/>
    <row r="3144" ht="18" customHeight="1"/>
    <row r="3145" ht="18" customHeight="1"/>
    <row r="3146" ht="18" customHeight="1"/>
    <row r="3147" ht="18" customHeight="1"/>
    <row r="3148" ht="18" customHeight="1"/>
    <row r="3149" ht="18" customHeight="1"/>
    <row r="3150" ht="18" customHeight="1"/>
    <row r="3151" ht="18" customHeight="1"/>
    <row r="3152" ht="18" customHeight="1"/>
    <row r="3153" ht="18" customHeight="1"/>
    <row r="3154" ht="18" customHeight="1"/>
    <row r="3155" ht="18" customHeight="1"/>
    <row r="3156" ht="18" customHeight="1"/>
    <row r="3157" ht="18" customHeight="1"/>
    <row r="3158" ht="18" customHeight="1"/>
    <row r="3159" ht="18" customHeight="1"/>
    <row r="3160" ht="18" customHeight="1"/>
    <row r="3161" ht="18" customHeight="1"/>
    <row r="3162" ht="18" customHeight="1"/>
    <row r="3163" ht="18" customHeight="1"/>
    <row r="3164" ht="18" customHeight="1"/>
    <row r="3165" ht="18" customHeight="1"/>
    <row r="3166" ht="18" customHeight="1"/>
    <row r="3167" ht="18" customHeight="1"/>
    <row r="3168" ht="18" customHeight="1"/>
    <row r="3169" ht="18" customHeight="1"/>
    <row r="3170" ht="18" customHeight="1"/>
    <row r="3171" ht="18" customHeight="1"/>
    <row r="3172" ht="18" customHeight="1"/>
    <row r="3173" ht="18" customHeight="1"/>
    <row r="3174" ht="18" customHeight="1"/>
    <row r="3175" ht="18" customHeight="1"/>
    <row r="3176" ht="18" customHeight="1"/>
    <row r="3177" ht="18" customHeight="1"/>
    <row r="3178" ht="18" customHeight="1"/>
    <row r="3179" ht="18" customHeight="1"/>
    <row r="3180" ht="18" customHeight="1"/>
    <row r="3181" ht="18" customHeight="1"/>
    <row r="3182" ht="18" customHeight="1"/>
    <row r="3183" ht="18" customHeight="1"/>
    <row r="3184" ht="18" customHeight="1"/>
    <row r="3185" ht="18" customHeight="1"/>
    <row r="3186" ht="18" customHeight="1"/>
    <row r="3187" ht="18" customHeight="1"/>
    <row r="3188" ht="18" customHeight="1"/>
    <row r="3189" ht="18" customHeight="1"/>
    <row r="3190" ht="18" customHeight="1"/>
    <row r="3191" ht="18" customHeight="1"/>
    <row r="3192" ht="18" customHeight="1"/>
    <row r="3193" ht="18" customHeight="1"/>
    <row r="3194" ht="18" customHeight="1"/>
    <row r="3195" ht="18" customHeight="1"/>
    <row r="3196" ht="18" customHeight="1"/>
    <row r="3197" ht="18" customHeight="1"/>
    <row r="3198" ht="18" customHeight="1"/>
    <row r="3199" ht="18" customHeight="1"/>
    <row r="3200" ht="18" customHeight="1"/>
    <row r="3201" ht="18" customHeight="1"/>
    <row r="3202" ht="18" customHeight="1"/>
    <row r="3203" ht="18" customHeight="1"/>
    <row r="3204" ht="18" customHeight="1"/>
    <row r="3205" ht="18" customHeight="1"/>
    <row r="3206" ht="18" customHeight="1"/>
    <row r="3207" ht="18" customHeight="1"/>
    <row r="3208" ht="18" customHeight="1"/>
    <row r="3209" ht="18" customHeight="1"/>
    <row r="3210" ht="18" customHeight="1"/>
    <row r="3211" ht="18" customHeight="1"/>
    <row r="3212" ht="18" customHeight="1"/>
    <row r="3213" ht="18" customHeight="1"/>
    <row r="3214" ht="18" customHeight="1"/>
    <row r="3215" ht="18" customHeight="1"/>
    <row r="3216" ht="18" customHeight="1"/>
    <row r="3217" ht="18" customHeight="1"/>
    <row r="3218" ht="18" customHeight="1"/>
    <row r="3219" ht="18" customHeight="1"/>
    <row r="3220" ht="18" customHeight="1"/>
    <row r="3221" ht="18" customHeight="1"/>
    <row r="3222" ht="18" customHeight="1"/>
    <row r="3223" ht="18" customHeight="1"/>
    <row r="3224" ht="18" customHeight="1"/>
    <row r="3225" ht="18" customHeight="1"/>
    <row r="3226" ht="18" customHeight="1"/>
    <row r="3227" ht="18" customHeight="1"/>
    <row r="3228" ht="18" customHeight="1"/>
    <row r="3229" ht="18" customHeight="1"/>
    <row r="3230" ht="18" customHeight="1"/>
    <row r="3231" ht="18" customHeight="1"/>
    <row r="3232" ht="18" customHeight="1"/>
    <row r="3233" ht="18" customHeight="1"/>
    <row r="3234" ht="18" customHeight="1"/>
    <row r="3235" ht="18" customHeight="1"/>
    <row r="3236" ht="18" customHeight="1"/>
    <row r="3237" ht="18" customHeight="1"/>
    <row r="3238" ht="18" customHeight="1"/>
    <row r="3239" ht="18" customHeight="1"/>
    <row r="3240" ht="18" customHeight="1"/>
    <row r="3241" ht="18" customHeight="1"/>
    <row r="3242" ht="18" customHeight="1"/>
    <row r="3243" ht="18" customHeight="1"/>
    <row r="3244" ht="18" customHeight="1"/>
    <row r="3245" ht="18" customHeight="1"/>
    <row r="3246" ht="18" customHeight="1"/>
    <row r="3247" ht="18" customHeight="1"/>
    <row r="3248" ht="18" customHeight="1"/>
    <row r="3249" ht="18" customHeight="1"/>
    <row r="3250" ht="18" customHeight="1"/>
    <row r="3251" ht="18" customHeight="1"/>
    <row r="3252" ht="18" customHeight="1"/>
    <row r="3253" ht="18" customHeight="1"/>
    <row r="3254" ht="18" customHeight="1"/>
    <row r="3255" ht="18" customHeight="1"/>
    <row r="3256" ht="18" customHeight="1"/>
    <row r="3257" ht="18" customHeight="1"/>
    <row r="3258" ht="18" customHeight="1"/>
    <row r="3259" ht="18" customHeight="1"/>
    <row r="3260" ht="18" customHeight="1"/>
    <row r="3261" ht="18" customHeight="1"/>
    <row r="3262" ht="18" customHeight="1"/>
    <row r="3263" ht="18" customHeight="1"/>
    <row r="3264" ht="18" customHeight="1"/>
    <row r="3265" ht="18" customHeight="1"/>
    <row r="3266" ht="18" customHeight="1"/>
    <row r="3267" ht="18" customHeight="1"/>
    <row r="3268" ht="18" customHeight="1"/>
    <row r="3269" ht="18" customHeight="1"/>
    <row r="3270" ht="18" customHeight="1"/>
    <row r="3271" ht="18" customHeight="1"/>
    <row r="3272" ht="18" customHeight="1"/>
    <row r="3273" ht="18" customHeight="1"/>
    <row r="3274" ht="18" customHeight="1"/>
    <row r="3275" ht="18" customHeight="1"/>
    <row r="3276" ht="18" customHeight="1"/>
    <row r="3277" ht="18" customHeight="1"/>
    <row r="3278" ht="18" customHeight="1"/>
    <row r="3279" ht="18" customHeight="1"/>
    <row r="3280" ht="18" customHeight="1"/>
    <row r="3281" ht="18" customHeight="1"/>
    <row r="3282" ht="18" customHeight="1"/>
    <row r="3283" ht="18" customHeight="1"/>
    <row r="3284" ht="18" customHeight="1"/>
    <row r="3285" ht="18" customHeight="1"/>
    <row r="3286" ht="18" customHeight="1"/>
    <row r="3287" ht="18" customHeight="1"/>
    <row r="3288" ht="18" customHeight="1"/>
    <row r="3289" ht="18" customHeight="1"/>
    <row r="3290" ht="18" customHeight="1"/>
    <row r="3291" ht="18" customHeight="1"/>
    <row r="3292" ht="18" customHeight="1"/>
    <row r="3293" ht="18" customHeight="1"/>
    <row r="3294" ht="18" customHeight="1"/>
    <row r="3295" ht="18" customHeight="1"/>
    <row r="3296" ht="18" customHeight="1"/>
    <row r="3297" ht="18" customHeight="1"/>
    <row r="3298" ht="18" customHeight="1"/>
    <row r="3299" ht="18" customHeight="1"/>
    <row r="3300" ht="18" customHeight="1"/>
    <row r="3301" ht="18" customHeight="1"/>
    <row r="3302" ht="18" customHeight="1"/>
    <row r="3303" ht="18" customHeight="1"/>
    <row r="3304" ht="18" customHeight="1"/>
    <row r="3305" ht="18" customHeight="1"/>
    <row r="3306" ht="18" customHeight="1"/>
    <row r="3307" ht="18" customHeight="1"/>
    <row r="3308" ht="18" customHeight="1"/>
    <row r="3309" ht="18" customHeight="1"/>
    <row r="3310" ht="18" customHeight="1"/>
    <row r="3311" ht="18" customHeight="1"/>
    <row r="3312" ht="18" customHeight="1"/>
    <row r="3313" ht="18" customHeight="1"/>
    <row r="3314" ht="18" customHeight="1"/>
    <row r="3315" ht="18" customHeight="1"/>
    <row r="3316" ht="18" customHeight="1"/>
    <row r="3317" ht="18" customHeight="1"/>
    <row r="3318" ht="18" customHeight="1"/>
    <row r="3319" ht="18" customHeight="1"/>
    <row r="3320" ht="18" customHeight="1"/>
    <row r="3321" ht="18" customHeight="1"/>
    <row r="3322" ht="18" customHeight="1"/>
    <row r="3323" ht="18" customHeight="1"/>
    <row r="3324" ht="18" customHeight="1"/>
    <row r="3325" ht="18" customHeight="1"/>
    <row r="3326" ht="18" customHeight="1"/>
    <row r="3327" ht="18" customHeight="1"/>
    <row r="3328" ht="18" customHeight="1"/>
    <row r="3329" ht="18" customHeight="1"/>
    <row r="3330" ht="18" customHeight="1"/>
    <row r="3331" ht="18" customHeight="1"/>
    <row r="3332" ht="18" customHeight="1"/>
    <row r="3333" ht="18" customHeight="1"/>
    <row r="3334" ht="18" customHeight="1"/>
    <row r="3335" ht="18" customHeight="1"/>
    <row r="3336" ht="18" customHeight="1"/>
    <row r="3337" ht="18" customHeight="1"/>
    <row r="3338" ht="18" customHeight="1"/>
    <row r="3339" ht="18" customHeight="1"/>
    <row r="3340" ht="18" customHeight="1"/>
    <row r="3341" ht="18" customHeight="1"/>
    <row r="3342" ht="18" customHeight="1"/>
    <row r="3343" ht="18" customHeight="1"/>
    <row r="3344" ht="18" customHeight="1"/>
    <row r="3345" ht="18" customHeight="1"/>
    <row r="3346" ht="18" customHeight="1"/>
    <row r="3347" ht="18" customHeight="1"/>
    <row r="3348" ht="18" customHeight="1"/>
    <row r="3349" ht="18" customHeight="1"/>
    <row r="3350" ht="18" customHeight="1"/>
    <row r="3351" ht="18" customHeight="1"/>
    <row r="3352" ht="18" customHeight="1"/>
    <row r="3353" ht="18" customHeight="1"/>
    <row r="3354" ht="18" customHeight="1"/>
    <row r="3355" ht="18" customHeight="1"/>
    <row r="3356" ht="18" customHeight="1"/>
    <row r="3357" ht="18" customHeight="1"/>
    <row r="3358" ht="18" customHeight="1"/>
    <row r="3359" ht="18" customHeight="1"/>
    <row r="3360" ht="18" customHeight="1"/>
    <row r="3361" ht="18" customHeight="1"/>
    <row r="3362" ht="18" customHeight="1"/>
    <row r="3363" ht="18" customHeight="1"/>
    <row r="3364" ht="18" customHeight="1"/>
    <row r="3365" ht="18" customHeight="1"/>
    <row r="3366" ht="18" customHeight="1"/>
    <row r="3367" ht="18" customHeight="1"/>
    <row r="3368" ht="18" customHeight="1"/>
    <row r="3369" ht="18" customHeight="1"/>
    <row r="3370" ht="18" customHeight="1"/>
    <row r="3371" ht="18" customHeight="1"/>
    <row r="3372" ht="18" customHeight="1"/>
    <row r="3373" ht="18" customHeight="1"/>
    <row r="3374" ht="18" customHeight="1"/>
    <row r="3375" ht="18" customHeight="1"/>
    <row r="3376" ht="18" customHeight="1"/>
    <row r="3377" ht="18" customHeight="1"/>
    <row r="3378" ht="18" customHeight="1"/>
    <row r="3379" ht="18" customHeight="1"/>
    <row r="3380" ht="18" customHeight="1"/>
    <row r="3381" ht="18" customHeight="1"/>
    <row r="3382" ht="18" customHeight="1"/>
    <row r="3383" ht="18" customHeight="1"/>
    <row r="3384" ht="18" customHeight="1"/>
    <row r="3385" ht="18" customHeight="1"/>
    <row r="3386" ht="18" customHeight="1"/>
    <row r="3387" ht="18" customHeight="1"/>
    <row r="3388" ht="18" customHeight="1"/>
    <row r="3389" ht="18" customHeight="1"/>
    <row r="3390" ht="18" customHeight="1"/>
    <row r="3391" ht="18" customHeight="1"/>
    <row r="3392" ht="18" customHeight="1"/>
    <row r="3393" ht="18" customHeight="1"/>
    <row r="3394" ht="18" customHeight="1"/>
    <row r="3395" ht="18" customHeight="1"/>
    <row r="3396" ht="18" customHeight="1"/>
    <row r="3397" ht="18" customHeight="1"/>
    <row r="3398" ht="18" customHeight="1"/>
    <row r="3399" ht="18" customHeight="1"/>
    <row r="3400" ht="18" customHeight="1"/>
    <row r="3401" ht="18" customHeight="1"/>
    <row r="3402" ht="18" customHeight="1"/>
    <row r="3403" ht="18" customHeight="1"/>
    <row r="3404" ht="18" customHeight="1"/>
    <row r="3405" ht="18" customHeight="1"/>
    <row r="3406" ht="18" customHeight="1"/>
    <row r="3407" ht="18" customHeight="1"/>
    <row r="3408" ht="18" customHeight="1"/>
    <row r="3409" ht="18" customHeight="1"/>
    <row r="3410" ht="18" customHeight="1"/>
    <row r="3411" ht="18" customHeight="1"/>
    <row r="3412" ht="18" customHeight="1"/>
    <row r="3413" ht="18" customHeight="1"/>
    <row r="3414" ht="18" customHeight="1"/>
    <row r="3415" ht="18" customHeight="1"/>
    <row r="3416" ht="18" customHeight="1"/>
    <row r="3417" ht="18" customHeight="1"/>
    <row r="3418" ht="18" customHeight="1"/>
    <row r="3419" ht="18" customHeight="1"/>
    <row r="3420" ht="18" customHeight="1"/>
    <row r="3421" ht="18" customHeight="1"/>
    <row r="3422" ht="18" customHeight="1"/>
    <row r="3423" ht="18" customHeight="1"/>
    <row r="3424" ht="18" customHeight="1"/>
    <row r="3425" ht="18" customHeight="1"/>
    <row r="3426" ht="18" customHeight="1"/>
    <row r="3427" ht="18" customHeight="1"/>
    <row r="3428" ht="18" customHeight="1"/>
    <row r="3429" ht="18" customHeight="1"/>
    <row r="3430" ht="18" customHeight="1"/>
    <row r="3431" ht="18" customHeight="1"/>
    <row r="3432" ht="18" customHeight="1"/>
    <row r="3433" ht="18" customHeight="1"/>
    <row r="3434" ht="18" customHeight="1"/>
    <row r="3435" ht="18" customHeight="1"/>
    <row r="3436" ht="18" customHeight="1"/>
    <row r="3437" ht="18" customHeight="1"/>
    <row r="3438" ht="18" customHeight="1"/>
    <row r="3439" ht="18" customHeight="1"/>
    <row r="3440" ht="18" customHeight="1"/>
    <row r="3441" ht="18" customHeight="1"/>
    <row r="3442" ht="18" customHeight="1"/>
    <row r="3443" ht="18" customHeight="1"/>
    <row r="3444" ht="18" customHeight="1"/>
    <row r="3445" ht="18" customHeight="1"/>
    <row r="3446" ht="18" customHeight="1"/>
    <row r="3447" ht="18" customHeight="1"/>
    <row r="3448" ht="18" customHeight="1"/>
    <row r="3449" ht="18" customHeight="1"/>
    <row r="3450" ht="18" customHeight="1"/>
    <row r="3451" ht="18" customHeight="1"/>
    <row r="3452" ht="18" customHeight="1"/>
    <row r="3453" ht="18" customHeight="1"/>
    <row r="3454" ht="18" customHeight="1"/>
    <row r="3455" ht="18" customHeight="1"/>
    <row r="3456" ht="18" customHeight="1"/>
    <row r="3457" ht="18" customHeight="1"/>
    <row r="3458" ht="18" customHeight="1"/>
    <row r="3459" ht="18" customHeight="1"/>
    <row r="3460" ht="18" customHeight="1"/>
    <row r="3461" ht="18" customHeight="1"/>
    <row r="3462" ht="18" customHeight="1"/>
    <row r="3463" ht="18" customHeight="1"/>
    <row r="3464" ht="18" customHeight="1"/>
    <row r="3465" ht="18" customHeight="1"/>
    <row r="3466" ht="18" customHeight="1"/>
    <row r="3467" ht="18" customHeight="1"/>
    <row r="3468" ht="18" customHeight="1"/>
    <row r="3469" ht="18" customHeight="1"/>
    <row r="3470" ht="18" customHeight="1"/>
    <row r="3471" ht="18" customHeight="1"/>
    <row r="3472" ht="18" customHeight="1"/>
    <row r="3473" ht="18" customHeight="1"/>
    <row r="3474" ht="18" customHeight="1"/>
    <row r="3475" ht="18" customHeight="1"/>
    <row r="3476" ht="18" customHeight="1"/>
    <row r="3477" ht="18" customHeight="1"/>
    <row r="3478" ht="18" customHeight="1"/>
    <row r="3479" ht="18" customHeight="1"/>
    <row r="3480" ht="18" customHeight="1"/>
    <row r="3481" ht="18" customHeight="1"/>
    <row r="3482" ht="18" customHeight="1"/>
    <row r="3483" ht="18" customHeight="1"/>
    <row r="3484" ht="18" customHeight="1"/>
    <row r="3485" ht="18" customHeight="1"/>
    <row r="3486" ht="18" customHeight="1"/>
    <row r="3487" ht="18" customHeight="1"/>
    <row r="3488" ht="18" customHeight="1"/>
    <row r="3489" ht="18" customHeight="1"/>
    <row r="3490" ht="18" customHeight="1"/>
    <row r="3491" ht="18" customHeight="1"/>
    <row r="3492" ht="18" customHeight="1"/>
    <row r="3493" ht="18" customHeight="1"/>
    <row r="3494" ht="18" customHeight="1"/>
    <row r="3495" ht="18" customHeight="1"/>
    <row r="3496" ht="18" customHeight="1"/>
    <row r="3497" ht="18" customHeight="1"/>
    <row r="3498" ht="18" customHeight="1"/>
    <row r="3499" ht="18" customHeight="1"/>
    <row r="3500" ht="18" customHeight="1"/>
    <row r="3501" ht="18" customHeight="1"/>
    <row r="3502" ht="18" customHeight="1"/>
    <row r="3503" ht="18" customHeight="1"/>
    <row r="3504" ht="18" customHeight="1"/>
    <row r="3505" ht="18" customHeight="1"/>
    <row r="3506" ht="18" customHeight="1"/>
    <row r="3507" ht="18" customHeight="1"/>
    <row r="3508" ht="18" customHeight="1"/>
    <row r="3509" ht="18" customHeight="1"/>
    <row r="3510" ht="18" customHeight="1"/>
    <row r="3511" ht="18" customHeight="1"/>
    <row r="3512" ht="18" customHeight="1"/>
    <row r="3513" ht="18" customHeight="1"/>
    <row r="3514" ht="18" customHeight="1"/>
    <row r="3515" ht="18" customHeight="1"/>
    <row r="3516" ht="18" customHeight="1"/>
    <row r="3517" ht="18" customHeight="1"/>
    <row r="3518" ht="18" customHeight="1"/>
    <row r="3519" ht="18" customHeight="1"/>
    <row r="3520" ht="18" customHeight="1"/>
    <row r="3521" ht="18" customHeight="1"/>
    <row r="3522" ht="18" customHeight="1"/>
    <row r="3523" ht="18" customHeight="1"/>
    <row r="3524" ht="18" customHeight="1"/>
    <row r="3525" ht="18" customHeight="1"/>
    <row r="3526" ht="18" customHeight="1"/>
    <row r="3527" ht="18" customHeight="1"/>
    <row r="3528" ht="18" customHeight="1"/>
    <row r="3529" ht="18" customHeight="1"/>
    <row r="3530" ht="18" customHeight="1"/>
    <row r="3531" ht="18" customHeight="1"/>
    <row r="3532" ht="18" customHeight="1"/>
    <row r="3533" ht="18" customHeight="1"/>
    <row r="3534" ht="18" customHeight="1"/>
    <row r="3535" ht="18" customHeight="1"/>
    <row r="3536" ht="18" customHeight="1"/>
    <row r="3537" ht="18" customHeight="1"/>
    <row r="3538" ht="18" customHeight="1"/>
    <row r="3539" ht="18" customHeight="1"/>
    <row r="3540" ht="18" customHeight="1"/>
    <row r="3541" ht="18" customHeight="1"/>
    <row r="3542" ht="18" customHeight="1"/>
    <row r="3543" ht="18" customHeight="1"/>
    <row r="3544" ht="18" customHeight="1"/>
    <row r="3545" ht="18" customHeight="1"/>
    <row r="3546" ht="18" customHeight="1"/>
    <row r="3547" ht="18" customHeight="1"/>
    <row r="3548" ht="18" customHeight="1"/>
    <row r="3549" ht="18" customHeight="1"/>
    <row r="3550" ht="18" customHeight="1"/>
    <row r="3551" ht="18" customHeight="1"/>
    <row r="3552" ht="18" customHeight="1"/>
    <row r="3553" ht="18" customHeight="1"/>
    <row r="3554" ht="18" customHeight="1"/>
    <row r="3555" ht="18" customHeight="1"/>
    <row r="3556" ht="18" customHeight="1"/>
    <row r="3557" ht="18" customHeight="1"/>
    <row r="3558" ht="18" customHeight="1"/>
    <row r="3559" ht="18" customHeight="1"/>
    <row r="3560" ht="18" customHeight="1"/>
    <row r="3561" ht="18" customHeight="1"/>
    <row r="3562" ht="18" customHeight="1"/>
    <row r="3563" ht="18" customHeight="1"/>
    <row r="3564" ht="18" customHeight="1"/>
    <row r="3565" ht="18" customHeight="1"/>
    <row r="3566" ht="18" customHeight="1"/>
    <row r="3567" ht="18" customHeight="1"/>
    <row r="3568" ht="18" customHeight="1"/>
    <row r="3569" ht="18" customHeight="1"/>
    <row r="3570" ht="18" customHeight="1"/>
    <row r="3571" ht="18" customHeight="1"/>
    <row r="3572" ht="18" customHeight="1"/>
    <row r="3573" ht="18" customHeight="1"/>
    <row r="3574" ht="18" customHeight="1"/>
    <row r="3575" ht="18" customHeight="1"/>
    <row r="3576" ht="18" customHeight="1"/>
    <row r="3577" ht="18" customHeight="1"/>
    <row r="3578" ht="18" customHeight="1"/>
    <row r="3579" ht="18" customHeight="1"/>
    <row r="3580" ht="18" customHeight="1"/>
    <row r="3581" ht="18" customHeight="1"/>
    <row r="3582" ht="18" customHeight="1"/>
    <row r="3583" ht="18" customHeight="1"/>
    <row r="3584" ht="18" customHeight="1"/>
    <row r="3585" ht="18" customHeight="1"/>
    <row r="3586" ht="18" customHeight="1"/>
    <row r="3587" ht="18" customHeight="1"/>
    <row r="3588" ht="18" customHeight="1"/>
    <row r="3589" ht="18" customHeight="1"/>
    <row r="3590" ht="18" customHeight="1"/>
    <row r="3591" ht="18" customHeight="1"/>
    <row r="3592" ht="18" customHeight="1"/>
    <row r="3593" ht="18" customHeight="1"/>
    <row r="3594" ht="18" customHeight="1"/>
    <row r="3595" ht="18" customHeight="1"/>
    <row r="3596" ht="18" customHeight="1"/>
    <row r="3597" ht="18" customHeight="1"/>
    <row r="3598" ht="18" customHeight="1"/>
    <row r="3599" ht="18" customHeight="1"/>
    <row r="3600" ht="18" customHeight="1"/>
    <row r="3601" ht="18" customHeight="1"/>
    <row r="3602" ht="18" customHeight="1"/>
    <row r="3603" ht="18" customHeight="1"/>
    <row r="3604" ht="18" customHeight="1"/>
    <row r="3605" ht="18" customHeight="1"/>
    <row r="3606" ht="18" customHeight="1"/>
    <row r="3607" ht="18" customHeight="1"/>
    <row r="3608" ht="18" customHeight="1"/>
    <row r="3609" ht="18" customHeight="1"/>
    <row r="3610" ht="18" customHeight="1"/>
    <row r="3611" ht="18" customHeight="1"/>
    <row r="3612" ht="18" customHeight="1"/>
    <row r="3613" ht="18" customHeight="1"/>
    <row r="3614" ht="18" customHeight="1"/>
    <row r="3615" ht="18" customHeight="1"/>
    <row r="3616" ht="18" customHeight="1"/>
    <row r="3617" ht="18" customHeight="1"/>
    <row r="3618" ht="18" customHeight="1"/>
    <row r="3619" ht="18" customHeight="1"/>
    <row r="3620" ht="18" customHeight="1"/>
    <row r="3621" ht="18" customHeight="1"/>
    <row r="3622" ht="18" customHeight="1"/>
    <row r="3623" ht="18" customHeight="1"/>
    <row r="3624" ht="18" customHeight="1"/>
    <row r="3625" ht="18" customHeight="1"/>
    <row r="3626" ht="18" customHeight="1"/>
    <row r="3627" ht="18" customHeight="1"/>
    <row r="3628" ht="18" customHeight="1"/>
    <row r="3629" ht="18" customHeight="1"/>
    <row r="3630" ht="18" customHeight="1"/>
    <row r="3631" ht="18" customHeight="1"/>
    <row r="3632" ht="18" customHeight="1"/>
    <row r="3633" ht="18" customHeight="1"/>
    <row r="3634" ht="18" customHeight="1"/>
    <row r="3635" ht="18" customHeight="1"/>
    <row r="3636" ht="18" customHeight="1"/>
    <row r="3637" ht="18" customHeight="1"/>
    <row r="3638" ht="18" customHeight="1"/>
    <row r="3639" ht="18" customHeight="1"/>
    <row r="3640" ht="18" customHeight="1"/>
    <row r="3641" ht="18" customHeight="1"/>
    <row r="3642" ht="18" customHeight="1"/>
    <row r="3643" ht="18" customHeight="1"/>
    <row r="3644" ht="18" customHeight="1"/>
    <row r="3645" ht="18" customHeight="1"/>
    <row r="3646" ht="18" customHeight="1"/>
    <row r="3647" ht="18" customHeight="1"/>
    <row r="3648" ht="18" customHeight="1"/>
    <row r="3649" ht="18" customHeight="1"/>
    <row r="3650" ht="18" customHeight="1"/>
    <row r="3651" ht="18" customHeight="1"/>
    <row r="3652" ht="18" customHeight="1"/>
    <row r="3653" ht="18" customHeight="1"/>
    <row r="3654" ht="18" customHeight="1"/>
    <row r="3655" ht="18" customHeight="1"/>
    <row r="3656" ht="18" customHeight="1"/>
    <row r="3657" ht="18" customHeight="1"/>
    <row r="3658" ht="18" customHeight="1"/>
    <row r="3659" ht="18" customHeight="1"/>
    <row r="3660" ht="18" customHeight="1"/>
    <row r="3661" ht="18" customHeight="1"/>
    <row r="3662" ht="18" customHeight="1"/>
    <row r="3663" ht="18" customHeight="1"/>
    <row r="3664" ht="18" customHeight="1"/>
    <row r="3665" ht="18" customHeight="1"/>
    <row r="3666" ht="18" customHeight="1"/>
    <row r="3667" ht="18" customHeight="1"/>
    <row r="3668" ht="18" customHeight="1"/>
    <row r="3669" ht="18" customHeight="1"/>
    <row r="3670" ht="18" customHeight="1"/>
    <row r="3671" ht="18" customHeight="1"/>
    <row r="3672" ht="18" customHeight="1"/>
    <row r="3673" ht="18" customHeight="1"/>
    <row r="3674" ht="18" customHeight="1"/>
    <row r="3675" ht="18" customHeight="1"/>
    <row r="3676" ht="18" customHeight="1"/>
    <row r="3677" ht="18" customHeight="1"/>
    <row r="3678" ht="18" customHeight="1"/>
    <row r="3679" ht="18" customHeight="1"/>
    <row r="3680" ht="18" customHeight="1"/>
    <row r="3681" ht="18" customHeight="1"/>
    <row r="3682" ht="18" customHeight="1"/>
    <row r="3683" ht="18" customHeight="1"/>
    <row r="3684" ht="18" customHeight="1"/>
    <row r="3685" ht="18" customHeight="1"/>
    <row r="3686" ht="18" customHeight="1"/>
    <row r="3687" ht="18" customHeight="1"/>
    <row r="3688" ht="18" customHeight="1"/>
    <row r="3689" ht="18" customHeight="1"/>
    <row r="3690" ht="18" customHeight="1"/>
    <row r="3691" ht="18" customHeight="1"/>
    <row r="3692" ht="18" customHeight="1"/>
    <row r="3693" ht="18" customHeight="1"/>
    <row r="3694" ht="18" customHeight="1"/>
    <row r="3695" ht="18" customHeight="1"/>
    <row r="3696" ht="18" customHeight="1"/>
    <row r="3697" ht="18" customHeight="1"/>
    <row r="3698" ht="18" customHeight="1"/>
    <row r="3699" ht="18" customHeight="1"/>
    <row r="3700" ht="18" customHeight="1"/>
    <row r="3701" ht="18" customHeight="1"/>
    <row r="3702" ht="18" customHeight="1"/>
    <row r="3703" ht="18" customHeight="1"/>
    <row r="3704" ht="18" customHeight="1"/>
    <row r="3705" ht="18" customHeight="1"/>
    <row r="3706" ht="18" customHeight="1"/>
    <row r="3707" ht="18" customHeight="1"/>
    <row r="3708" ht="18" customHeight="1"/>
    <row r="3709" ht="18" customHeight="1"/>
    <row r="3710" ht="18" customHeight="1"/>
    <row r="3711" ht="18" customHeight="1"/>
    <row r="3712" ht="18" customHeight="1"/>
    <row r="3713" ht="18" customHeight="1"/>
    <row r="3714" ht="18" customHeight="1"/>
    <row r="3715" ht="18" customHeight="1"/>
    <row r="3716" ht="18" customHeight="1"/>
    <row r="3717" ht="18" customHeight="1"/>
    <row r="3718" ht="18" customHeight="1"/>
    <row r="3719" ht="18" customHeight="1"/>
    <row r="3720" ht="18" customHeight="1"/>
    <row r="3721" ht="18" customHeight="1"/>
    <row r="3722" ht="18" customHeight="1"/>
    <row r="3723" ht="18" customHeight="1"/>
    <row r="3724" ht="18" customHeight="1"/>
    <row r="3725" ht="18" customHeight="1"/>
    <row r="3726" ht="18" customHeight="1"/>
    <row r="3727" ht="18" customHeight="1"/>
    <row r="3728" ht="18" customHeight="1"/>
    <row r="3729" ht="18" customHeight="1"/>
    <row r="3730" ht="18" customHeight="1"/>
    <row r="3731" ht="18" customHeight="1"/>
    <row r="3732" ht="18" customHeight="1"/>
    <row r="3733" ht="18" customHeight="1"/>
    <row r="3734" ht="18" customHeight="1"/>
    <row r="3735" ht="18" customHeight="1"/>
    <row r="3736" ht="18" customHeight="1"/>
    <row r="3737" ht="18" customHeight="1"/>
    <row r="3738" ht="18" customHeight="1"/>
    <row r="3739" ht="18" customHeight="1"/>
    <row r="3740" ht="18" customHeight="1"/>
    <row r="3741" ht="18" customHeight="1"/>
    <row r="3742" ht="18" customHeight="1"/>
    <row r="3743" ht="18" customHeight="1"/>
    <row r="3744" ht="18" customHeight="1"/>
    <row r="3745" ht="18" customHeight="1"/>
    <row r="3746" ht="18" customHeight="1"/>
    <row r="3747" ht="18" customHeight="1"/>
    <row r="3748" ht="18" customHeight="1"/>
    <row r="3749" ht="18" customHeight="1"/>
    <row r="3750" ht="18" customHeight="1"/>
    <row r="3751" ht="18" customHeight="1"/>
    <row r="3752" ht="18" customHeight="1"/>
    <row r="3753" ht="18" customHeight="1"/>
    <row r="3754" ht="18" customHeight="1"/>
    <row r="3755" ht="18" customHeight="1"/>
    <row r="3756" ht="18" customHeight="1"/>
    <row r="3757" ht="18" customHeight="1"/>
    <row r="3758" ht="18" customHeight="1"/>
    <row r="3759" ht="18" customHeight="1"/>
    <row r="3760" ht="18" customHeight="1"/>
    <row r="3761" ht="18" customHeight="1"/>
    <row r="3762" ht="18" customHeight="1"/>
    <row r="3763" ht="18" customHeight="1"/>
    <row r="3764" ht="18" customHeight="1"/>
    <row r="3765" ht="18" customHeight="1"/>
    <row r="3766" ht="18" customHeight="1"/>
    <row r="3767" ht="18" customHeight="1"/>
    <row r="3768" ht="18" customHeight="1"/>
    <row r="3769" ht="18" customHeight="1"/>
    <row r="3770" ht="18" customHeight="1"/>
    <row r="3771" ht="18" customHeight="1"/>
    <row r="3772" ht="18" customHeight="1"/>
    <row r="3773" ht="18" customHeight="1"/>
    <row r="3774" ht="18" customHeight="1"/>
    <row r="3775" ht="18" customHeight="1"/>
    <row r="3776" ht="18" customHeight="1"/>
    <row r="3777" ht="18" customHeight="1"/>
    <row r="3778" ht="18" customHeight="1"/>
    <row r="3779" ht="18" customHeight="1"/>
    <row r="3780" ht="18" customHeight="1"/>
    <row r="3781" ht="18" customHeight="1"/>
    <row r="3782" ht="18" customHeight="1"/>
    <row r="3783" ht="18" customHeight="1"/>
    <row r="3784" ht="18" customHeight="1"/>
    <row r="3785" ht="18" customHeight="1"/>
    <row r="3786" ht="18" customHeight="1"/>
    <row r="3787" ht="18" customHeight="1"/>
    <row r="3788" ht="18" customHeight="1"/>
    <row r="3789" ht="18" customHeight="1"/>
    <row r="3790" ht="18" customHeight="1"/>
    <row r="3791" ht="18" customHeight="1"/>
    <row r="3792" ht="18" customHeight="1"/>
    <row r="3793" ht="18" customHeight="1"/>
    <row r="3794" ht="18" customHeight="1"/>
    <row r="3795" ht="18" customHeight="1"/>
    <row r="3796" ht="18" customHeight="1"/>
    <row r="3797" ht="18" customHeight="1"/>
    <row r="3798" ht="18" customHeight="1"/>
    <row r="3799" ht="18" customHeight="1"/>
    <row r="3800" ht="18" customHeight="1"/>
    <row r="3801" ht="18" customHeight="1"/>
    <row r="3802" ht="18" customHeight="1"/>
    <row r="3803" ht="18" customHeight="1"/>
    <row r="3804" ht="18" customHeight="1"/>
    <row r="3805" ht="18" customHeight="1"/>
    <row r="3806" ht="18" customHeight="1"/>
    <row r="3807" ht="18" customHeight="1"/>
    <row r="3808" ht="18" customHeight="1"/>
    <row r="3809" ht="18" customHeight="1"/>
    <row r="3810" ht="18" customHeight="1"/>
    <row r="3811" ht="18" customHeight="1"/>
    <row r="3812" ht="18" customHeight="1"/>
    <row r="3813" ht="18" customHeight="1"/>
    <row r="3814" ht="18" customHeight="1"/>
    <row r="3815" ht="18" customHeight="1"/>
    <row r="3816" ht="18" customHeight="1"/>
    <row r="3817" ht="18" customHeight="1"/>
    <row r="3818" ht="18" customHeight="1"/>
    <row r="3819" ht="18" customHeight="1"/>
    <row r="3820" ht="18" customHeight="1"/>
    <row r="3821" ht="18" customHeight="1"/>
    <row r="3822" ht="18" customHeight="1"/>
    <row r="3823" ht="18" customHeight="1"/>
    <row r="3824" ht="18" customHeight="1"/>
    <row r="3825" ht="18" customHeight="1"/>
    <row r="3826" ht="18" customHeight="1"/>
    <row r="3827" ht="18" customHeight="1"/>
    <row r="3828" ht="18" customHeight="1"/>
    <row r="3829" ht="18" customHeight="1"/>
    <row r="3830" ht="18" customHeight="1"/>
    <row r="3831" ht="18" customHeight="1"/>
    <row r="3832" ht="18" customHeight="1"/>
    <row r="3833" ht="18" customHeight="1"/>
    <row r="3834" ht="18" customHeight="1"/>
    <row r="3835" ht="18" customHeight="1"/>
    <row r="3836" ht="18" customHeight="1"/>
    <row r="3837" ht="18" customHeight="1"/>
    <row r="3838" ht="18" customHeight="1"/>
    <row r="3839" ht="18" customHeight="1"/>
    <row r="3840" ht="18" customHeight="1"/>
    <row r="3841" ht="18" customHeight="1"/>
    <row r="3842" ht="18" customHeight="1"/>
    <row r="3843" ht="18" customHeight="1"/>
    <row r="3844" ht="18" customHeight="1"/>
    <row r="3845" ht="18" customHeight="1"/>
    <row r="3846" ht="18" customHeight="1"/>
    <row r="3847" ht="18" customHeight="1"/>
    <row r="3848" ht="18" customHeight="1"/>
    <row r="3849" ht="18" customHeight="1"/>
    <row r="3850" ht="18" customHeight="1"/>
    <row r="3851" ht="18" customHeight="1"/>
    <row r="3852" ht="18" customHeight="1"/>
    <row r="3853" ht="18" customHeight="1"/>
    <row r="3854" ht="18" customHeight="1"/>
    <row r="3855" ht="18" customHeight="1"/>
    <row r="3856" ht="18" customHeight="1"/>
    <row r="3857" ht="18" customHeight="1"/>
    <row r="3858" ht="18" customHeight="1"/>
    <row r="3859" ht="18" customHeight="1"/>
    <row r="3860" ht="18" customHeight="1"/>
    <row r="3861" ht="18" customHeight="1"/>
    <row r="3862" ht="18" customHeight="1"/>
    <row r="3863" ht="18" customHeight="1"/>
    <row r="3864" ht="18" customHeight="1"/>
    <row r="3865" ht="18" customHeight="1"/>
    <row r="3866" ht="18" customHeight="1"/>
    <row r="3867" ht="18" customHeight="1"/>
    <row r="3868" ht="18" customHeight="1"/>
    <row r="3869" ht="18" customHeight="1"/>
    <row r="3870" ht="18" customHeight="1"/>
    <row r="3871" ht="18" customHeight="1"/>
    <row r="3872" ht="18" customHeight="1"/>
    <row r="3873" ht="18" customHeight="1"/>
    <row r="3874" ht="18" customHeight="1"/>
    <row r="3875" ht="18" customHeight="1"/>
    <row r="3876" ht="18" customHeight="1"/>
    <row r="3877" ht="18" customHeight="1"/>
    <row r="3878" ht="18" customHeight="1"/>
    <row r="3879" ht="18" customHeight="1"/>
    <row r="3880" ht="18" customHeight="1"/>
    <row r="3881" ht="18" customHeight="1"/>
    <row r="3882" ht="18" customHeight="1"/>
    <row r="3883" ht="18" customHeight="1"/>
    <row r="3884" ht="18" customHeight="1"/>
    <row r="3885" ht="18" customHeight="1"/>
    <row r="3886" ht="18" customHeight="1"/>
    <row r="3887" ht="18" customHeight="1"/>
    <row r="3888" ht="18" customHeight="1"/>
    <row r="3889" ht="18" customHeight="1"/>
    <row r="3890" ht="18" customHeight="1"/>
    <row r="3891" ht="18" customHeight="1"/>
    <row r="3892" ht="18" customHeight="1"/>
    <row r="3893" ht="18" customHeight="1"/>
    <row r="3894" ht="18" customHeight="1"/>
    <row r="3895" ht="18" customHeight="1"/>
    <row r="3896" ht="18" customHeight="1"/>
    <row r="3897" ht="18" customHeight="1"/>
    <row r="3898" ht="18" customHeight="1"/>
    <row r="3899" ht="18" customHeight="1"/>
    <row r="3900" ht="18" customHeight="1"/>
    <row r="3901" ht="18" customHeight="1"/>
    <row r="3902" ht="18" customHeight="1"/>
    <row r="3903" ht="18" customHeight="1"/>
    <row r="3904" ht="18" customHeight="1"/>
    <row r="3905" ht="18" customHeight="1"/>
    <row r="3906" ht="18" customHeight="1"/>
    <row r="3907" ht="18" customHeight="1"/>
    <row r="3908" ht="18" customHeight="1"/>
    <row r="3909" ht="18" customHeight="1"/>
    <row r="3910" ht="18" customHeight="1"/>
    <row r="3911" ht="18" customHeight="1"/>
    <row r="3912" ht="18" customHeight="1"/>
    <row r="3913" ht="18" customHeight="1"/>
    <row r="3914" ht="18" customHeight="1"/>
    <row r="3915" ht="18" customHeight="1"/>
    <row r="3916" ht="18" customHeight="1"/>
    <row r="3917" ht="18" customHeight="1"/>
    <row r="3918" ht="18" customHeight="1"/>
    <row r="3919" ht="18" customHeight="1"/>
    <row r="3920" ht="18" customHeight="1"/>
    <row r="3921" ht="18" customHeight="1"/>
    <row r="3922" ht="18" customHeight="1"/>
    <row r="3923" ht="18" customHeight="1"/>
    <row r="3924" ht="18" customHeight="1"/>
    <row r="3925" ht="18" customHeight="1"/>
    <row r="3926" ht="18" customHeight="1"/>
    <row r="3927" ht="18" customHeight="1"/>
    <row r="3928" ht="18" customHeight="1"/>
    <row r="3929" ht="18" customHeight="1"/>
    <row r="3930" ht="18" customHeight="1"/>
    <row r="3931" ht="18" customHeight="1"/>
    <row r="3932" ht="18" customHeight="1"/>
    <row r="3933" ht="18" customHeight="1"/>
    <row r="3934" ht="18" customHeight="1"/>
    <row r="3935" ht="18" customHeight="1"/>
    <row r="3936" ht="18" customHeight="1"/>
    <row r="3937" ht="18" customHeight="1"/>
    <row r="3938" ht="18" customHeight="1"/>
    <row r="3939" ht="18" customHeight="1"/>
    <row r="3940" ht="18" customHeight="1"/>
    <row r="3941" ht="18" customHeight="1"/>
    <row r="3942" ht="18" customHeight="1"/>
    <row r="3943" ht="18" customHeight="1"/>
    <row r="3944" ht="18" customHeight="1"/>
    <row r="3945" ht="18" customHeight="1"/>
    <row r="3946" ht="18" customHeight="1"/>
    <row r="3947" ht="18" customHeight="1"/>
    <row r="3948" ht="18" customHeight="1"/>
    <row r="3949" ht="18" customHeight="1"/>
    <row r="3950" ht="18" customHeight="1"/>
    <row r="3951" ht="18" customHeight="1"/>
    <row r="3952" ht="18" customHeight="1"/>
    <row r="3953" ht="18" customHeight="1"/>
    <row r="3954" ht="18" customHeight="1"/>
    <row r="3955" ht="18" customHeight="1"/>
    <row r="3956" ht="18" customHeight="1"/>
    <row r="3957" ht="18" customHeight="1"/>
    <row r="3958" ht="18" customHeight="1"/>
    <row r="3959" ht="18" customHeight="1"/>
    <row r="3960" ht="18" customHeight="1"/>
    <row r="3961" ht="18" customHeight="1"/>
    <row r="3962" ht="18" customHeight="1"/>
    <row r="3963" ht="18" customHeight="1"/>
    <row r="3964" ht="18" customHeight="1"/>
    <row r="3965" ht="18" customHeight="1"/>
    <row r="3966" ht="18" customHeight="1"/>
    <row r="3967" ht="18" customHeight="1"/>
    <row r="3968" ht="18" customHeight="1"/>
    <row r="3969" ht="18" customHeight="1"/>
    <row r="3970" ht="18" customHeight="1"/>
    <row r="3971" ht="18" customHeight="1"/>
    <row r="3972" ht="18" customHeight="1"/>
    <row r="3973" ht="18" customHeight="1"/>
    <row r="3974" ht="18" customHeight="1"/>
    <row r="3975" ht="18" customHeight="1"/>
    <row r="3976" ht="18" customHeight="1"/>
    <row r="3977" ht="18" customHeight="1"/>
    <row r="3978" ht="18" customHeight="1"/>
    <row r="3979" ht="18" customHeight="1"/>
    <row r="3980" ht="18" customHeight="1"/>
    <row r="3981" ht="18" customHeight="1"/>
    <row r="3982" ht="18" customHeight="1"/>
    <row r="3983" ht="18" customHeight="1"/>
    <row r="3984" ht="18" customHeight="1"/>
    <row r="3985" ht="18" customHeight="1"/>
    <row r="3986" ht="18" customHeight="1"/>
    <row r="3987" ht="18" customHeight="1"/>
    <row r="3988" ht="18" customHeight="1"/>
    <row r="3989" ht="18" customHeight="1"/>
    <row r="3990" ht="18" customHeight="1"/>
    <row r="3991" ht="18" customHeight="1"/>
    <row r="3992" ht="18" customHeight="1"/>
    <row r="3993" ht="18" customHeight="1"/>
    <row r="3994" ht="18" customHeight="1"/>
    <row r="3995" ht="18" customHeight="1"/>
    <row r="3996" ht="18" customHeight="1"/>
    <row r="3997" ht="18" customHeight="1"/>
    <row r="3998" ht="18" customHeight="1"/>
    <row r="3999" ht="18" customHeight="1"/>
    <row r="4000" ht="18" customHeight="1"/>
    <row r="4001" ht="18" customHeight="1"/>
    <row r="4002" ht="18" customHeight="1"/>
    <row r="4003" ht="18" customHeight="1"/>
    <row r="4004" ht="18" customHeight="1"/>
    <row r="4005" ht="18" customHeight="1"/>
    <row r="4006" ht="18" customHeight="1"/>
    <row r="4007" ht="18" customHeight="1"/>
    <row r="4008" ht="18" customHeight="1"/>
    <row r="4009" ht="18" customHeight="1"/>
    <row r="4010" ht="18" customHeight="1"/>
    <row r="4011" ht="18" customHeight="1"/>
    <row r="4012" ht="18" customHeight="1"/>
    <row r="4013" ht="18" customHeight="1"/>
    <row r="4014" ht="18" customHeight="1"/>
    <row r="4015" ht="18" customHeight="1"/>
    <row r="4016" ht="18" customHeight="1"/>
    <row r="4017" ht="18" customHeight="1"/>
    <row r="4018" ht="18" customHeight="1"/>
    <row r="4019" ht="18" customHeight="1"/>
    <row r="4020" ht="18" customHeight="1"/>
    <row r="4021" ht="18" customHeight="1"/>
    <row r="4022" ht="18" customHeight="1"/>
    <row r="4023" ht="18" customHeight="1"/>
    <row r="4024" ht="18" customHeight="1"/>
    <row r="4025" ht="18" customHeight="1"/>
    <row r="4026" ht="18" customHeight="1"/>
    <row r="4027" ht="18" customHeight="1"/>
    <row r="4028" ht="18" customHeight="1"/>
    <row r="4029" ht="18" customHeight="1"/>
    <row r="4030" ht="18" customHeight="1"/>
    <row r="4031" ht="18" customHeight="1"/>
    <row r="4032" ht="18" customHeight="1"/>
    <row r="4033" ht="18" customHeight="1"/>
    <row r="4034" ht="18" customHeight="1"/>
    <row r="4035" ht="18" customHeight="1"/>
    <row r="4036" ht="18" customHeight="1"/>
    <row r="4037" ht="18" customHeight="1"/>
    <row r="4038" ht="18" customHeight="1"/>
    <row r="4039" ht="18" customHeight="1"/>
    <row r="4040" ht="18" customHeight="1"/>
    <row r="4041" ht="18" customHeight="1"/>
    <row r="4042" ht="18" customHeight="1"/>
    <row r="4043" ht="18" customHeight="1"/>
    <row r="4044" ht="18" customHeight="1"/>
    <row r="4045" ht="18" customHeight="1"/>
    <row r="4046" ht="18" customHeight="1"/>
    <row r="4047" ht="18" customHeight="1"/>
    <row r="4048" ht="18" customHeight="1"/>
    <row r="4049" ht="18" customHeight="1"/>
    <row r="4050" ht="18" customHeight="1"/>
    <row r="4051" ht="18" customHeight="1"/>
    <row r="4052" ht="18" customHeight="1"/>
    <row r="4053" ht="18" customHeight="1"/>
    <row r="4054" ht="18" customHeight="1"/>
    <row r="4055" ht="18" customHeight="1"/>
    <row r="4056" ht="18" customHeight="1"/>
    <row r="4057" ht="18" customHeight="1"/>
    <row r="4058" ht="18" customHeight="1"/>
    <row r="4059" ht="18" customHeight="1"/>
    <row r="4060" ht="18" customHeight="1"/>
    <row r="4061" ht="18" customHeight="1"/>
    <row r="4062" ht="18" customHeight="1"/>
    <row r="4063" ht="18" customHeight="1"/>
    <row r="4064" ht="18" customHeight="1"/>
    <row r="4065" ht="18" customHeight="1"/>
    <row r="4066" ht="18" customHeight="1"/>
    <row r="4067" ht="18" customHeight="1"/>
    <row r="4068" ht="18" customHeight="1"/>
    <row r="4069" ht="18" customHeight="1"/>
    <row r="4070" ht="18" customHeight="1"/>
    <row r="4071" ht="18" customHeight="1"/>
    <row r="4072" ht="18" customHeight="1"/>
    <row r="4073" ht="18" customHeight="1"/>
    <row r="4074" ht="18" customHeight="1"/>
    <row r="4075" ht="18" customHeight="1"/>
    <row r="4076" ht="18" customHeight="1"/>
    <row r="4077" ht="18" customHeight="1"/>
    <row r="4078" ht="18" customHeight="1"/>
    <row r="4079" ht="18" customHeight="1"/>
    <row r="4080" ht="18" customHeight="1"/>
    <row r="4081" ht="18" customHeight="1"/>
    <row r="4082" ht="18" customHeight="1"/>
    <row r="4083" ht="18" customHeight="1"/>
    <row r="4084" ht="18" customHeight="1"/>
    <row r="4085" ht="18" customHeight="1"/>
    <row r="4086" ht="18" customHeight="1"/>
    <row r="4087" ht="18" customHeight="1"/>
    <row r="4088" ht="18" customHeight="1"/>
    <row r="4089" ht="18" customHeight="1"/>
    <row r="4090" ht="18" customHeight="1"/>
    <row r="4091" ht="18" customHeight="1"/>
    <row r="4092" ht="18" customHeight="1"/>
    <row r="4093" ht="18" customHeight="1"/>
    <row r="4094" ht="18" customHeight="1"/>
    <row r="4095" ht="18" customHeight="1"/>
    <row r="4096" ht="18" customHeight="1"/>
    <row r="4097" ht="18" customHeight="1"/>
    <row r="4098" ht="18" customHeight="1"/>
    <row r="4099" ht="18" customHeight="1"/>
    <row r="4100" ht="18" customHeight="1"/>
    <row r="4101" ht="18" customHeight="1"/>
    <row r="4102" ht="18" customHeight="1"/>
    <row r="4103" ht="18" customHeight="1"/>
    <row r="4104" ht="18" customHeight="1"/>
    <row r="4105" ht="18" customHeight="1"/>
    <row r="4106" ht="18" customHeight="1"/>
    <row r="4107" ht="18" customHeight="1"/>
    <row r="4108" ht="18" customHeight="1"/>
    <row r="4109" ht="18" customHeight="1"/>
    <row r="4110" ht="18" customHeight="1"/>
    <row r="4111" ht="18" customHeight="1"/>
    <row r="4112" ht="18" customHeight="1"/>
    <row r="4113" ht="18" customHeight="1"/>
    <row r="4114" ht="18" customHeight="1"/>
    <row r="4115" ht="18" customHeight="1"/>
    <row r="4116" ht="18" customHeight="1"/>
    <row r="4117" ht="18" customHeight="1"/>
    <row r="4118" ht="18" customHeight="1"/>
    <row r="4119" ht="18" customHeight="1"/>
    <row r="4120" ht="18" customHeight="1"/>
    <row r="4121" ht="18" customHeight="1"/>
    <row r="4122" ht="18" customHeight="1"/>
    <row r="4123" ht="18" customHeight="1"/>
    <row r="4124" ht="18" customHeight="1"/>
    <row r="4125" ht="18" customHeight="1"/>
    <row r="4126" ht="18" customHeight="1"/>
    <row r="4127" ht="18" customHeight="1"/>
    <row r="4128" ht="18" customHeight="1"/>
    <row r="4129" ht="18" customHeight="1"/>
    <row r="4130" ht="18" customHeight="1"/>
    <row r="4131" ht="18" customHeight="1"/>
    <row r="4132" ht="18" customHeight="1"/>
    <row r="4133" ht="18" customHeight="1"/>
    <row r="4134" ht="18" customHeight="1"/>
    <row r="4135" ht="18" customHeight="1"/>
    <row r="4136" ht="18" customHeight="1"/>
    <row r="4137" ht="18" customHeight="1"/>
    <row r="4138" ht="18" customHeight="1"/>
    <row r="4139" ht="18" customHeight="1"/>
    <row r="4140" ht="18" customHeight="1"/>
    <row r="4141" ht="18" customHeight="1"/>
    <row r="4142" ht="18" customHeight="1"/>
    <row r="4143" ht="18" customHeight="1"/>
    <row r="4144" ht="18" customHeight="1"/>
    <row r="4145" ht="18" customHeight="1"/>
    <row r="4146" ht="18" customHeight="1"/>
    <row r="4147" ht="18" customHeight="1"/>
    <row r="4148" ht="18" customHeight="1"/>
    <row r="4149" ht="18" customHeight="1"/>
    <row r="4150" ht="18" customHeight="1"/>
    <row r="4151" ht="18" customHeight="1"/>
    <row r="4152" ht="18" customHeight="1"/>
    <row r="4153" ht="18" customHeight="1"/>
    <row r="4154" ht="18" customHeight="1"/>
    <row r="4155" ht="18" customHeight="1"/>
    <row r="4156" ht="18" customHeight="1"/>
    <row r="4157" ht="18" customHeight="1"/>
    <row r="4158" ht="18" customHeight="1"/>
    <row r="4159" ht="18" customHeight="1"/>
    <row r="4160" ht="18" customHeight="1"/>
    <row r="4161" ht="18" customHeight="1"/>
    <row r="4162" ht="18" customHeight="1"/>
    <row r="4163" ht="18" customHeight="1"/>
    <row r="4164" ht="18" customHeight="1"/>
    <row r="4165" ht="18" customHeight="1"/>
    <row r="4166" ht="18" customHeight="1"/>
    <row r="4167" ht="18" customHeight="1"/>
    <row r="4168" ht="18" customHeight="1"/>
    <row r="4169" ht="18" customHeight="1"/>
    <row r="4170" ht="18" customHeight="1"/>
    <row r="4171" ht="18" customHeight="1"/>
    <row r="4172" ht="18" customHeight="1"/>
    <row r="4173" ht="18" customHeight="1"/>
    <row r="4174" ht="18" customHeight="1"/>
    <row r="4175" ht="18" customHeight="1"/>
    <row r="4176" ht="18" customHeight="1"/>
    <row r="4177" ht="18" customHeight="1"/>
    <row r="4178" ht="18" customHeight="1"/>
    <row r="4179" ht="18" customHeight="1"/>
    <row r="4180" ht="18" customHeight="1"/>
    <row r="4181" ht="18" customHeight="1"/>
    <row r="4182" ht="18" customHeight="1"/>
    <row r="4183" ht="18" customHeight="1"/>
    <row r="4184" ht="18" customHeight="1"/>
    <row r="4185" ht="18" customHeight="1"/>
    <row r="4186" ht="18" customHeight="1"/>
    <row r="4187" ht="18" customHeight="1"/>
    <row r="4188" ht="18" customHeight="1"/>
    <row r="4189" ht="18" customHeight="1"/>
    <row r="4190" ht="18" customHeight="1"/>
    <row r="4191" ht="18" customHeight="1"/>
    <row r="4192" ht="18" customHeight="1"/>
    <row r="4193" ht="18" customHeight="1"/>
    <row r="4194" ht="18" customHeight="1"/>
    <row r="4195" ht="18" customHeight="1"/>
    <row r="4196" ht="18" customHeight="1"/>
    <row r="4197" ht="18" customHeight="1"/>
    <row r="4198" ht="18" customHeight="1"/>
    <row r="4199" ht="18" customHeight="1"/>
    <row r="4200" ht="18" customHeight="1"/>
    <row r="4201" ht="18" customHeight="1"/>
    <row r="4202" ht="18" customHeight="1"/>
    <row r="4203" ht="18" customHeight="1"/>
    <row r="4204" ht="18" customHeight="1"/>
    <row r="4205" ht="18" customHeight="1"/>
    <row r="4206" ht="18" customHeight="1"/>
    <row r="4207" ht="18" customHeight="1"/>
    <row r="4208" ht="18" customHeight="1"/>
    <row r="4209" ht="18" customHeight="1"/>
    <row r="4210" ht="18" customHeight="1"/>
    <row r="4211" ht="18" customHeight="1"/>
    <row r="4212" ht="18" customHeight="1"/>
    <row r="4213" ht="18" customHeight="1"/>
    <row r="4214" ht="18" customHeight="1"/>
    <row r="4215" ht="18" customHeight="1"/>
    <row r="4216" ht="18" customHeight="1"/>
    <row r="4217" ht="18" customHeight="1"/>
    <row r="4218" ht="18" customHeight="1"/>
    <row r="4219" ht="18" customHeight="1"/>
    <row r="4220" ht="18" customHeight="1"/>
    <row r="4221" ht="18" customHeight="1"/>
    <row r="4222" ht="18" customHeight="1"/>
    <row r="4223" ht="18" customHeight="1"/>
    <row r="4224" ht="18" customHeight="1"/>
    <row r="4225" ht="18" customHeight="1"/>
    <row r="4226" ht="18" customHeight="1"/>
    <row r="4227" ht="18" customHeight="1"/>
    <row r="4228" ht="18" customHeight="1"/>
    <row r="4229" ht="18" customHeight="1"/>
    <row r="4230" ht="18" customHeight="1"/>
    <row r="4231" ht="18" customHeight="1"/>
    <row r="4232" ht="18" customHeight="1"/>
    <row r="4233" ht="18" customHeight="1"/>
    <row r="4234" ht="18" customHeight="1"/>
    <row r="4235" ht="18" customHeight="1"/>
    <row r="4236" ht="18" customHeight="1"/>
    <row r="4237" ht="18" customHeight="1"/>
    <row r="4238" ht="18" customHeight="1"/>
    <row r="4239" ht="18" customHeight="1"/>
    <row r="4240" ht="18" customHeight="1"/>
    <row r="4241" ht="18" customHeight="1"/>
    <row r="4242" ht="18" customHeight="1"/>
    <row r="4243" ht="18" customHeight="1"/>
    <row r="4244" ht="18" customHeight="1"/>
    <row r="4245" ht="18" customHeight="1"/>
    <row r="4246" ht="18" customHeight="1"/>
    <row r="4247" ht="18" customHeight="1"/>
    <row r="4248" ht="18" customHeight="1"/>
    <row r="4249" ht="18" customHeight="1"/>
    <row r="4250" ht="18" customHeight="1"/>
    <row r="4251" ht="18" customHeight="1"/>
    <row r="4252" ht="18" customHeight="1"/>
    <row r="4253" ht="18" customHeight="1"/>
    <row r="4254" ht="18" customHeight="1"/>
    <row r="4255" ht="18" customHeight="1"/>
    <row r="4256" ht="18" customHeight="1"/>
    <row r="4257" ht="18" customHeight="1"/>
    <row r="4258" ht="18" customHeight="1"/>
    <row r="4259" ht="18" customHeight="1"/>
    <row r="4260" ht="18" customHeight="1"/>
    <row r="4261" ht="18" customHeight="1"/>
    <row r="4262" ht="18" customHeight="1"/>
    <row r="4263" ht="18" customHeight="1"/>
    <row r="4264" ht="18" customHeight="1"/>
    <row r="4265" ht="18" customHeight="1"/>
    <row r="4266" ht="18" customHeight="1"/>
    <row r="4267" ht="18" customHeight="1"/>
    <row r="4268" ht="18" customHeight="1"/>
    <row r="4269" ht="18" customHeight="1"/>
    <row r="4270" ht="18" customHeight="1"/>
    <row r="4271" ht="18" customHeight="1"/>
    <row r="4272" ht="18" customHeight="1"/>
    <row r="4273" ht="18" customHeight="1"/>
    <row r="4274" ht="18" customHeight="1"/>
    <row r="4275" ht="18" customHeight="1"/>
    <row r="4276" ht="18" customHeight="1"/>
    <row r="4277" ht="18" customHeight="1"/>
    <row r="4278" ht="18" customHeight="1"/>
    <row r="4279" ht="18" customHeight="1"/>
    <row r="4280" ht="18" customHeight="1"/>
    <row r="4281" ht="18" customHeight="1"/>
    <row r="4282" ht="18" customHeight="1"/>
    <row r="4283" ht="18" customHeight="1"/>
    <row r="4284" ht="18" customHeight="1"/>
    <row r="4285" ht="18" customHeight="1"/>
    <row r="4286" ht="18" customHeight="1"/>
    <row r="4287" ht="18" customHeight="1"/>
    <row r="4288" ht="18" customHeight="1"/>
    <row r="4289" ht="18" customHeight="1"/>
    <row r="4290" ht="18" customHeight="1"/>
    <row r="4291" ht="18" customHeight="1"/>
    <row r="4292" ht="18" customHeight="1"/>
    <row r="4293" ht="18" customHeight="1"/>
    <row r="4294" ht="18" customHeight="1"/>
    <row r="4295" ht="18" customHeight="1"/>
    <row r="4296" ht="18" customHeight="1"/>
    <row r="4297" ht="18" customHeight="1"/>
    <row r="4298" ht="18" customHeight="1"/>
    <row r="4299" ht="18" customHeight="1"/>
    <row r="4300" ht="18" customHeight="1"/>
    <row r="4301" ht="18" customHeight="1"/>
    <row r="4302" ht="18" customHeight="1"/>
    <row r="4303" ht="18" customHeight="1"/>
    <row r="4304" ht="18" customHeight="1"/>
    <row r="4305" ht="18" customHeight="1"/>
    <row r="4306" ht="18" customHeight="1"/>
    <row r="4307" ht="18" customHeight="1"/>
    <row r="4308" ht="18" customHeight="1"/>
    <row r="4309" ht="18" customHeight="1"/>
    <row r="4310" ht="18" customHeight="1"/>
    <row r="4311" ht="18" customHeight="1"/>
    <row r="4312" ht="18" customHeight="1"/>
    <row r="4313" ht="18" customHeight="1"/>
    <row r="4314" ht="18" customHeight="1"/>
    <row r="4315" ht="18" customHeight="1"/>
    <row r="4316" ht="18" customHeight="1"/>
    <row r="4317" ht="18" customHeight="1"/>
    <row r="4318" ht="18" customHeight="1"/>
    <row r="4319" ht="18" customHeight="1"/>
    <row r="4320" ht="18" customHeight="1"/>
    <row r="4321" ht="18" customHeight="1"/>
    <row r="4322" ht="18" customHeight="1"/>
    <row r="4323" ht="18" customHeight="1"/>
    <row r="4324" ht="18" customHeight="1"/>
    <row r="4325" ht="18" customHeight="1"/>
    <row r="4326" ht="18" customHeight="1"/>
    <row r="4327" ht="18" customHeight="1"/>
    <row r="4328" ht="18" customHeight="1"/>
    <row r="4329" ht="18" customHeight="1"/>
    <row r="4330" ht="18" customHeight="1"/>
    <row r="4331" ht="18" customHeight="1"/>
    <row r="4332" ht="18" customHeight="1"/>
    <row r="4333" ht="18" customHeight="1"/>
    <row r="4334" ht="18" customHeight="1"/>
    <row r="4335" ht="18" customHeight="1"/>
    <row r="4336" ht="18" customHeight="1"/>
    <row r="4337" ht="18" customHeight="1"/>
    <row r="4338" ht="18" customHeight="1"/>
    <row r="4339" ht="18" customHeight="1"/>
    <row r="4340" ht="18" customHeight="1"/>
    <row r="4341" ht="18" customHeight="1"/>
    <row r="4342" ht="18" customHeight="1"/>
    <row r="4343" ht="18" customHeight="1"/>
    <row r="4344" ht="18" customHeight="1"/>
    <row r="4345" ht="18" customHeight="1"/>
    <row r="4346" ht="18" customHeight="1"/>
    <row r="4347" ht="18" customHeight="1"/>
    <row r="4348" ht="18" customHeight="1"/>
    <row r="4349" ht="18" customHeight="1"/>
    <row r="4350" ht="18" customHeight="1"/>
    <row r="4351" ht="18" customHeight="1"/>
    <row r="4352" ht="18" customHeight="1"/>
    <row r="4353" ht="18" customHeight="1"/>
    <row r="4354" ht="18" customHeight="1"/>
    <row r="4355" ht="18" customHeight="1"/>
    <row r="4356" ht="18" customHeight="1"/>
    <row r="4357" ht="18" customHeight="1"/>
    <row r="4358" ht="18" customHeight="1"/>
    <row r="4359" ht="18" customHeight="1"/>
    <row r="4360" ht="18" customHeight="1"/>
    <row r="4361" ht="18" customHeight="1"/>
    <row r="4362" ht="18" customHeight="1"/>
    <row r="4363" ht="18" customHeight="1"/>
    <row r="4364" ht="18" customHeight="1"/>
    <row r="4365" ht="18" customHeight="1"/>
    <row r="4366" ht="18" customHeight="1"/>
    <row r="4367" ht="18" customHeight="1"/>
    <row r="4368" ht="18" customHeight="1"/>
    <row r="4369" ht="18" customHeight="1"/>
    <row r="4370" ht="18" customHeight="1"/>
    <row r="4371" ht="18" customHeight="1"/>
    <row r="4372" ht="18" customHeight="1"/>
    <row r="4373" ht="18" customHeight="1"/>
    <row r="4374" ht="18" customHeight="1"/>
    <row r="4375" ht="18" customHeight="1"/>
    <row r="4376" ht="18" customHeight="1"/>
    <row r="4377" ht="18" customHeight="1"/>
    <row r="4378" ht="18" customHeight="1"/>
    <row r="4379" ht="18" customHeight="1"/>
    <row r="4380" ht="18" customHeight="1"/>
    <row r="4381" ht="18" customHeight="1"/>
    <row r="4382" ht="18" customHeight="1"/>
    <row r="4383" ht="18" customHeight="1"/>
    <row r="4384" ht="18" customHeight="1"/>
    <row r="4385" ht="18" customHeight="1"/>
    <row r="4386" ht="18" customHeight="1"/>
    <row r="4387" ht="18" customHeight="1"/>
    <row r="4388" ht="18" customHeight="1"/>
    <row r="4389" ht="18" customHeight="1"/>
    <row r="4390" ht="18" customHeight="1"/>
    <row r="4391" ht="18" customHeight="1"/>
    <row r="4392" ht="18" customHeight="1"/>
    <row r="4393" ht="18" customHeight="1"/>
    <row r="4394" ht="18" customHeight="1"/>
    <row r="4395" ht="18" customHeight="1"/>
    <row r="4396" ht="18" customHeight="1"/>
    <row r="4397" ht="18" customHeight="1"/>
    <row r="4398" ht="18" customHeight="1"/>
    <row r="4399" ht="18" customHeight="1"/>
    <row r="4400" ht="18" customHeight="1"/>
    <row r="4401" ht="18" customHeight="1"/>
    <row r="4402" ht="18" customHeight="1"/>
    <row r="4403" ht="18" customHeight="1"/>
    <row r="4404" ht="18" customHeight="1"/>
    <row r="4405" ht="18" customHeight="1"/>
    <row r="4406" ht="18" customHeight="1"/>
    <row r="4407" ht="18" customHeight="1"/>
    <row r="4408" ht="18" customHeight="1"/>
    <row r="4409" ht="18" customHeight="1"/>
    <row r="4410" ht="18" customHeight="1"/>
    <row r="4411" ht="18" customHeight="1"/>
    <row r="4412" ht="18" customHeight="1"/>
    <row r="4413" ht="18" customHeight="1"/>
    <row r="4414" ht="18" customHeight="1"/>
    <row r="4415" ht="18" customHeight="1"/>
    <row r="4416" ht="18" customHeight="1"/>
    <row r="4417" ht="18" customHeight="1"/>
    <row r="4418" ht="18" customHeight="1"/>
    <row r="4419" ht="18" customHeight="1"/>
    <row r="4420" ht="18" customHeight="1"/>
    <row r="4421" ht="18" customHeight="1"/>
    <row r="4422" ht="18" customHeight="1"/>
    <row r="4423" ht="18" customHeight="1"/>
    <row r="4424" ht="18" customHeight="1"/>
    <row r="4425" ht="18" customHeight="1"/>
    <row r="4426" ht="18" customHeight="1"/>
    <row r="4427" ht="18" customHeight="1"/>
    <row r="4428" ht="18" customHeight="1"/>
    <row r="4429" ht="18" customHeight="1"/>
    <row r="4430" ht="18" customHeight="1"/>
    <row r="4431" ht="18" customHeight="1"/>
    <row r="4432" ht="18" customHeight="1"/>
    <row r="4433" ht="18" customHeight="1"/>
    <row r="4434" ht="18" customHeight="1"/>
    <row r="4435" ht="18" customHeight="1"/>
    <row r="4436" ht="18" customHeight="1"/>
    <row r="4437" ht="18" customHeight="1"/>
    <row r="4438" ht="18" customHeight="1"/>
    <row r="4439" ht="18" customHeight="1"/>
    <row r="4440" ht="18" customHeight="1"/>
    <row r="4441" ht="18" customHeight="1"/>
    <row r="4442" ht="18" customHeight="1"/>
    <row r="4443" ht="18" customHeight="1"/>
    <row r="4444" ht="18" customHeight="1"/>
    <row r="4445" ht="18" customHeight="1"/>
    <row r="4446" ht="18" customHeight="1"/>
    <row r="4447" ht="18" customHeight="1"/>
    <row r="4448" ht="18" customHeight="1"/>
    <row r="4449" ht="18" customHeight="1"/>
    <row r="4450" ht="18" customHeight="1"/>
    <row r="4451" ht="18" customHeight="1"/>
    <row r="4452" ht="18" customHeight="1"/>
    <row r="4453" ht="18" customHeight="1"/>
    <row r="4454" ht="18" customHeight="1"/>
    <row r="4455" ht="18" customHeight="1"/>
    <row r="4456" ht="18" customHeight="1"/>
    <row r="4457" ht="18" customHeight="1"/>
    <row r="4458" ht="18" customHeight="1"/>
    <row r="4459" ht="18" customHeight="1"/>
    <row r="4460" ht="18" customHeight="1"/>
    <row r="4461" ht="18" customHeight="1"/>
    <row r="4462" ht="18" customHeight="1"/>
    <row r="4463" ht="18" customHeight="1"/>
    <row r="4464" ht="18" customHeight="1"/>
    <row r="4465" ht="18" customHeight="1"/>
    <row r="4466" ht="18" customHeight="1"/>
    <row r="4467" ht="18" customHeight="1"/>
    <row r="4468" ht="18" customHeight="1"/>
    <row r="4469" ht="18" customHeight="1"/>
    <row r="4470" ht="18" customHeight="1"/>
    <row r="4471" ht="18" customHeight="1"/>
    <row r="4472" ht="18" customHeight="1"/>
    <row r="4473" ht="18" customHeight="1"/>
    <row r="4474" ht="18" customHeight="1"/>
    <row r="4475" ht="18" customHeight="1"/>
    <row r="4476" ht="18" customHeight="1"/>
    <row r="4477" ht="18" customHeight="1"/>
    <row r="4478" ht="18" customHeight="1"/>
    <row r="4479" ht="18" customHeight="1"/>
    <row r="4480" ht="18" customHeight="1"/>
    <row r="4481" ht="18" customHeight="1"/>
    <row r="4482" ht="18" customHeight="1"/>
    <row r="4483" ht="18" customHeight="1"/>
    <row r="4484" ht="18" customHeight="1"/>
    <row r="4485" ht="18" customHeight="1"/>
    <row r="4486" ht="18" customHeight="1"/>
    <row r="4487" ht="18" customHeight="1"/>
    <row r="4488" ht="18" customHeight="1"/>
    <row r="4489" ht="18" customHeight="1"/>
    <row r="4490" ht="18" customHeight="1"/>
    <row r="4491" ht="18" customHeight="1"/>
    <row r="4492" ht="18" customHeight="1"/>
    <row r="4493" ht="18" customHeight="1"/>
    <row r="4494" ht="18" customHeight="1"/>
    <row r="4495" ht="18" customHeight="1"/>
    <row r="4496" ht="18" customHeight="1"/>
    <row r="4497" ht="18" customHeight="1"/>
    <row r="4498" ht="18" customHeight="1"/>
    <row r="4499" ht="18" customHeight="1"/>
    <row r="4500" ht="18" customHeight="1"/>
    <row r="4501" ht="18" customHeight="1"/>
    <row r="4502" ht="18" customHeight="1"/>
    <row r="4503" ht="18" customHeight="1"/>
    <row r="4504" ht="18" customHeight="1"/>
    <row r="4505" ht="18" customHeight="1"/>
    <row r="4506" ht="18" customHeight="1"/>
    <row r="4507" ht="18" customHeight="1"/>
    <row r="4508" ht="18" customHeight="1"/>
    <row r="4509" ht="18" customHeight="1"/>
    <row r="4510" ht="18" customHeight="1"/>
    <row r="4511" ht="18" customHeight="1"/>
    <row r="4512" ht="18" customHeight="1"/>
    <row r="4513" ht="18" customHeight="1"/>
    <row r="4514" ht="18" customHeight="1"/>
    <row r="4515" ht="18" customHeight="1"/>
    <row r="4516" ht="18" customHeight="1"/>
    <row r="4517" ht="18" customHeight="1"/>
    <row r="4518" ht="18" customHeight="1"/>
    <row r="4519" ht="18" customHeight="1"/>
    <row r="4520" ht="18" customHeight="1"/>
    <row r="4521" ht="18" customHeight="1"/>
    <row r="4522" ht="18" customHeight="1"/>
    <row r="4523" ht="18" customHeight="1"/>
    <row r="4524" ht="18" customHeight="1"/>
    <row r="4525" ht="18" customHeight="1"/>
    <row r="4526" ht="18" customHeight="1"/>
    <row r="4527" ht="18" customHeight="1"/>
    <row r="4528" ht="18" customHeight="1"/>
    <row r="4529" ht="18" customHeight="1"/>
    <row r="4530" ht="18" customHeight="1"/>
    <row r="4531" ht="18" customHeight="1"/>
    <row r="4532" ht="18" customHeight="1"/>
    <row r="4533" ht="18" customHeight="1"/>
    <row r="4534" ht="18" customHeight="1"/>
    <row r="4535" ht="18" customHeight="1"/>
    <row r="4536" ht="18" customHeight="1"/>
    <row r="4537" ht="18" customHeight="1"/>
    <row r="4538" ht="18" customHeight="1"/>
    <row r="4539" ht="18" customHeight="1"/>
    <row r="4540" ht="18" customHeight="1"/>
    <row r="4541" ht="18" customHeight="1"/>
    <row r="4542" ht="18" customHeight="1"/>
    <row r="4543" ht="18" customHeight="1"/>
    <row r="4544" ht="18" customHeight="1"/>
    <row r="4545" ht="18" customHeight="1"/>
    <row r="4546" ht="18" customHeight="1"/>
    <row r="4547" ht="18" customHeight="1"/>
    <row r="4548" ht="18" customHeight="1"/>
    <row r="4549" ht="18" customHeight="1"/>
    <row r="4550" ht="18" customHeight="1"/>
    <row r="4551" ht="18" customHeight="1"/>
    <row r="4552" ht="18" customHeight="1"/>
    <row r="4553" ht="18" customHeight="1"/>
    <row r="4554" ht="18" customHeight="1"/>
    <row r="4555" ht="18" customHeight="1"/>
    <row r="4556" ht="18" customHeight="1"/>
    <row r="4557" ht="18" customHeight="1"/>
    <row r="4558" ht="18" customHeight="1"/>
    <row r="4559" ht="18" customHeight="1"/>
    <row r="4560" ht="18" customHeight="1"/>
    <row r="4561" ht="18" customHeight="1"/>
    <row r="4562" ht="18" customHeight="1"/>
    <row r="4563" ht="18" customHeight="1"/>
    <row r="4564" ht="18" customHeight="1"/>
    <row r="4565" ht="18" customHeight="1"/>
    <row r="4566" ht="18" customHeight="1"/>
    <row r="4567" ht="18" customHeight="1"/>
    <row r="4568" ht="18" customHeight="1"/>
    <row r="4569" ht="18" customHeight="1"/>
    <row r="4570" ht="18" customHeight="1"/>
    <row r="4571" ht="18" customHeight="1"/>
    <row r="4572" ht="18" customHeight="1"/>
    <row r="4573" ht="18" customHeight="1"/>
    <row r="4574" ht="18" customHeight="1"/>
    <row r="4575" ht="18" customHeight="1"/>
    <row r="4576" ht="18" customHeight="1"/>
    <row r="4577" ht="18" customHeight="1"/>
    <row r="4578" ht="18" customHeight="1"/>
    <row r="4579" ht="18" customHeight="1"/>
    <row r="4580" ht="18" customHeight="1"/>
    <row r="4581" ht="18" customHeight="1"/>
    <row r="4582" ht="18" customHeight="1"/>
    <row r="4583" ht="18" customHeight="1"/>
    <row r="4584" ht="18" customHeight="1"/>
    <row r="4585" ht="18" customHeight="1"/>
    <row r="4586" ht="18" customHeight="1"/>
    <row r="4587" ht="18" customHeight="1"/>
    <row r="4588" ht="18" customHeight="1"/>
    <row r="4589" ht="18" customHeight="1"/>
    <row r="4590" ht="18" customHeight="1"/>
    <row r="4591" ht="18" customHeight="1"/>
    <row r="4592" ht="18" customHeight="1"/>
    <row r="4593" ht="18" customHeight="1"/>
    <row r="4594" ht="18" customHeight="1"/>
    <row r="4595" ht="18" customHeight="1"/>
    <row r="4596" ht="18" customHeight="1"/>
    <row r="4597" ht="18" customHeight="1"/>
    <row r="4598" ht="18" customHeight="1"/>
    <row r="4599" ht="18" customHeight="1"/>
    <row r="4600" ht="18" customHeight="1"/>
    <row r="4601" ht="18" customHeight="1"/>
    <row r="4602" ht="18" customHeight="1"/>
    <row r="4603" ht="18" customHeight="1"/>
    <row r="4604" ht="18" customHeight="1"/>
    <row r="4605" ht="18" customHeight="1"/>
    <row r="4606" ht="18" customHeight="1"/>
    <row r="4607" ht="18" customHeight="1"/>
    <row r="4608" ht="18" customHeight="1"/>
    <row r="4609" ht="18" customHeight="1"/>
    <row r="4610" ht="18" customHeight="1"/>
    <row r="4611" ht="18" customHeight="1"/>
    <row r="4612" ht="18" customHeight="1"/>
    <row r="4613" ht="18" customHeight="1"/>
    <row r="4614" ht="18" customHeight="1"/>
    <row r="4615" ht="18" customHeight="1"/>
    <row r="4616" ht="18" customHeight="1"/>
    <row r="4617" ht="18" customHeight="1"/>
    <row r="4618" ht="18" customHeight="1"/>
    <row r="4619" ht="18" customHeight="1"/>
    <row r="4620" ht="18" customHeight="1"/>
    <row r="4621" ht="18" customHeight="1"/>
    <row r="4622" ht="18" customHeight="1"/>
    <row r="4623" ht="18" customHeight="1"/>
    <row r="4624" ht="18" customHeight="1"/>
    <row r="4625" ht="18" customHeight="1"/>
    <row r="4626" ht="18" customHeight="1"/>
    <row r="4627" ht="18" customHeight="1"/>
    <row r="4628" ht="18" customHeight="1"/>
    <row r="4629" ht="18" customHeight="1"/>
    <row r="4630" ht="18" customHeight="1"/>
    <row r="4631" ht="18" customHeight="1"/>
    <row r="4632" ht="18" customHeight="1"/>
    <row r="4633" ht="18" customHeight="1"/>
    <row r="4634" ht="18" customHeight="1"/>
    <row r="4635" ht="18" customHeight="1"/>
    <row r="4636" ht="18" customHeight="1"/>
    <row r="4637" ht="18" customHeight="1"/>
    <row r="4638" ht="18" customHeight="1"/>
    <row r="4639" ht="18" customHeight="1"/>
    <row r="4640" ht="18" customHeight="1"/>
    <row r="4641" ht="18" customHeight="1"/>
    <row r="4642" ht="18" customHeight="1"/>
    <row r="4643" ht="18" customHeight="1"/>
    <row r="4644" ht="18" customHeight="1"/>
    <row r="4645" ht="18" customHeight="1"/>
    <row r="4646" ht="18" customHeight="1"/>
    <row r="4647" ht="18" customHeight="1"/>
    <row r="4648" ht="18" customHeight="1"/>
    <row r="4649" ht="18" customHeight="1"/>
    <row r="4650" ht="18" customHeight="1"/>
    <row r="4651" ht="18" customHeight="1"/>
    <row r="4652" ht="18" customHeight="1"/>
    <row r="4653" ht="18" customHeight="1"/>
    <row r="4654" ht="18" customHeight="1"/>
    <row r="4655" ht="18" customHeight="1"/>
    <row r="4656" ht="18" customHeight="1"/>
    <row r="4657" ht="18" customHeight="1"/>
    <row r="4658" ht="18" customHeight="1"/>
    <row r="4659" ht="18" customHeight="1"/>
    <row r="4660" ht="18" customHeight="1"/>
    <row r="4661" ht="18" customHeight="1"/>
    <row r="4662" ht="18" customHeight="1"/>
    <row r="4663" ht="18" customHeight="1"/>
    <row r="4664" ht="18" customHeight="1"/>
    <row r="4665" ht="18" customHeight="1"/>
    <row r="4666" ht="18" customHeight="1"/>
    <row r="4667" ht="18" customHeight="1"/>
    <row r="4668" ht="18" customHeight="1"/>
    <row r="4669" ht="18" customHeight="1"/>
    <row r="4670" ht="18" customHeight="1"/>
    <row r="4671" ht="18" customHeight="1"/>
    <row r="4672" ht="18" customHeight="1"/>
    <row r="4673" ht="18" customHeight="1"/>
    <row r="4674" ht="18" customHeight="1"/>
    <row r="4675" ht="18" customHeight="1"/>
    <row r="4676" ht="18" customHeight="1"/>
    <row r="4677" ht="18" customHeight="1"/>
    <row r="4678" ht="18" customHeight="1"/>
    <row r="4679" ht="18" customHeight="1"/>
    <row r="4680" ht="18" customHeight="1"/>
    <row r="4681" ht="18" customHeight="1"/>
    <row r="4682" ht="18" customHeight="1"/>
    <row r="4683" ht="18" customHeight="1"/>
    <row r="4684" ht="18" customHeight="1"/>
    <row r="4685" ht="18" customHeight="1"/>
    <row r="4686" ht="18" customHeight="1"/>
    <row r="4687" ht="18" customHeight="1"/>
    <row r="4688" ht="18" customHeight="1"/>
    <row r="4689" ht="18" customHeight="1"/>
    <row r="4690" ht="18" customHeight="1"/>
    <row r="4691" ht="18" customHeight="1"/>
    <row r="4692" ht="18" customHeight="1"/>
    <row r="4693" ht="18" customHeight="1"/>
    <row r="4694" ht="18" customHeight="1"/>
    <row r="4695" ht="18" customHeight="1"/>
    <row r="4696" ht="18" customHeight="1"/>
    <row r="4697" ht="18" customHeight="1"/>
    <row r="4698" ht="18" customHeight="1"/>
    <row r="4699" ht="18" customHeight="1"/>
    <row r="4700" ht="18" customHeight="1"/>
    <row r="4701" ht="18" customHeight="1"/>
    <row r="4702" ht="18" customHeight="1"/>
    <row r="4703" ht="18" customHeight="1"/>
    <row r="4704" ht="18" customHeight="1"/>
    <row r="4705" ht="18" customHeight="1"/>
    <row r="4706" ht="18" customHeight="1"/>
    <row r="4707" ht="18" customHeight="1"/>
    <row r="4708" ht="18" customHeight="1"/>
    <row r="4709" ht="18" customHeight="1"/>
    <row r="4710" ht="18" customHeight="1"/>
    <row r="4711" ht="18" customHeight="1"/>
    <row r="4712" ht="18" customHeight="1"/>
    <row r="4713" ht="18" customHeight="1"/>
    <row r="4714" ht="18" customHeight="1"/>
    <row r="4715" ht="18" customHeight="1"/>
    <row r="4716" ht="18" customHeight="1"/>
    <row r="4717" ht="18" customHeight="1"/>
    <row r="4718" ht="18" customHeight="1"/>
    <row r="4719" ht="18" customHeight="1"/>
    <row r="4720" ht="18" customHeight="1"/>
    <row r="4721" ht="18" customHeight="1"/>
    <row r="4722" ht="18" customHeight="1"/>
    <row r="4723" ht="18" customHeight="1"/>
    <row r="4724" ht="18" customHeight="1"/>
    <row r="4725" ht="18" customHeight="1"/>
    <row r="4726" ht="18" customHeight="1"/>
    <row r="4727" ht="18" customHeight="1"/>
    <row r="4728" ht="18" customHeight="1"/>
    <row r="4729" ht="18" customHeight="1"/>
    <row r="4730" ht="18" customHeight="1"/>
    <row r="4731" ht="18" customHeight="1"/>
    <row r="4732" ht="18" customHeight="1"/>
    <row r="4733" ht="18" customHeight="1"/>
    <row r="4734" ht="18" customHeight="1"/>
    <row r="4735" ht="18" customHeight="1"/>
    <row r="4736" ht="18" customHeight="1"/>
    <row r="4737" ht="18" customHeight="1"/>
    <row r="4738" ht="18" customHeight="1"/>
    <row r="4739" ht="18" customHeight="1"/>
    <row r="4740" ht="18" customHeight="1"/>
    <row r="4741" ht="18" customHeight="1"/>
    <row r="4742" ht="18" customHeight="1"/>
    <row r="4743" ht="18" customHeight="1"/>
    <row r="4744" ht="18" customHeight="1"/>
    <row r="4745" ht="18" customHeight="1"/>
    <row r="4746" ht="18" customHeight="1"/>
    <row r="4747" ht="18" customHeight="1"/>
    <row r="4748" ht="18" customHeight="1"/>
    <row r="4749" ht="18" customHeight="1"/>
    <row r="4750" ht="18" customHeight="1"/>
    <row r="4751" ht="18" customHeight="1"/>
    <row r="4752" ht="18" customHeight="1"/>
    <row r="4753" ht="18" customHeight="1"/>
    <row r="4754" ht="18" customHeight="1"/>
    <row r="4755" ht="18" customHeight="1"/>
    <row r="4756" ht="18" customHeight="1"/>
    <row r="4757" ht="18" customHeight="1"/>
    <row r="4758" ht="18" customHeight="1"/>
    <row r="4759" ht="18" customHeight="1"/>
    <row r="4760" ht="18" customHeight="1"/>
    <row r="4761" ht="18" customHeight="1"/>
    <row r="4762" ht="18" customHeight="1"/>
    <row r="4763" ht="18" customHeight="1"/>
    <row r="4764" ht="18" customHeight="1"/>
    <row r="4765" ht="18" customHeight="1"/>
    <row r="4766" ht="18" customHeight="1"/>
    <row r="4767" ht="18" customHeight="1"/>
    <row r="4768" ht="18" customHeight="1"/>
    <row r="4769" ht="18" customHeight="1"/>
    <row r="4770" ht="18" customHeight="1"/>
    <row r="4771" ht="18" customHeight="1"/>
    <row r="4772" ht="18" customHeight="1"/>
    <row r="4773" ht="18" customHeight="1"/>
    <row r="4774" ht="18" customHeight="1"/>
    <row r="4775" ht="18" customHeight="1"/>
    <row r="4776" ht="18" customHeight="1"/>
    <row r="4777" ht="18" customHeight="1"/>
    <row r="4778" ht="18" customHeight="1"/>
    <row r="4779" ht="18" customHeight="1"/>
    <row r="4780" ht="18" customHeight="1"/>
    <row r="4781" ht="18" customHeight="1"/>
    <row r="4782" ht="18" customHeight="1"/>
    <row r="4783" ht="18" customHeight="1"/>
    <row r="4784" ht="18" customHeight="1"/>
    <row r="4785" ht="18" customHeight="1"/>
    <row r="4786" ht="18" customHeight="1"/>
    <row r="4787" ht="18" customHeight="1"/>
    <row r="4788" ht="18" customHeight="1"/>
    <row r="4789" ht="18" customHeight="1"/>
    <row r="4790" ht="18" customHeight="1"/>
    <row r="4791" ht="18" customHeight="1"/>
    <row r="4792" ht="18" customHeight="1"/>
    <row r="4793" ht="18" customHeight="1"/>
    <row r="4794" ht="18" customHeight="1"/>
    <row r="4795" ht="18" customHeight="1"/>
    <row r="4796" ht="18" customHeight="1"/>
    <row r="4797" ht="18" customHeight="1"/>
    <row r="4798" ht="18" customHeight="1"/>
    <row r="4799" ht="18" customHeight="1"/>
    <row r="4800" ht="18" customHeight="1"/>
    <row r="4801" ht="18" customHeight="1"/>
    <row r="4802" ht="18" customHeight="1"/>
    <row r="4803" ht="18" customHeight="1"/>
    <row r="4804" ht="18" customHeight="1"/>
    <row r="4805" ht="18" customHeight="1"/>
    <row r="4806" ht="18" customHeight="1"/>
    <row r="4807" ht="18" customHeight="1"/>
    <row r="4808" ht="18" customHeight="1"/>
    <row r="4809" ht="18" customHeight="1"/>
    <row r="4810" ht="18" customHeight="1"/>
    <row r="4811" ht="18" customHeight="1"/>
    <row r="4812" ht="18" customHeight="1"/>
    <row r="4813" ht="18" customHeight="1"/>
    <row r="4814" ht="18" customHeight="1"/>
    <row r="4815" ht="18" customHeight="1"/>
    <row r="4816" ht="18" customHeight="1"/>
    <row r="4817" ht="18" customHeight="1"/>
    <row r="4818" ht="18" customHeight="1"/>
    <row r="4819" ht="18" customHeight="1"/>
    <row r="4820" ht="18" customHeight="1"/>
    <row r="4821" ht="18" customHeight="1"/>
    <row r="4822" ht="18" customHeight="1"/>
    <row r="4823" ht="18" customHeight="1"/>
    <row r="4824" ht="18" customHeight="1"/>
    <row r="4825" ht="18" customHeight="1"/>
    <row r="4826" ht="18" customHeight="1"/>
    <row r="4827" ht="18" customHeight="1"/>
    <row r="4828" ht="18" customHeight="1"/>
    <row r="4829" ht="18" customHeight="1"/>
    <row r="4830" ht="18" customHeight="1"/>
    <row r="4831" ht="18" customHeight="1"/>
    <row r="4832" ht="18" customHeight="1"/>
    <row r="4833" ht="18" customHeight="1"/>
    <row r="4834" ht="18" customHeight="1"/>
    <row r="4835" ht="18" customHeight="1"/>
    <row r="4836" ht="18" customHeight="1"/>
    <row r="4837" ht="18" customHeight="1"/>
    <row r="4838" ht="18" customHeight="1"/>
    <row r="4839" ht="18" customHeight="1"/>
    <row r="4840" ht="18" customHeight="1"/>
    <row r="4841" ht="18" customHeight="1"/>
    <row r="4842" ht="18" customHeight="1"/>
    <row r="4843" ht="18" customHeight="1"/>
    <row r="4844" ht="18" customHeight="1"/>
    <row r="4845" ht="18" customHeight="1"/>
    <row r="4846" ht="18" customHeight="1"/>
    <row r="4847" ht="18" customHeight="1"/>
    <row r="4848" ht="18" customHeight="1"/>
    <row r="4849" ht="18" customHeight="1"/>
    <row r="4850" ht="18" customHeight="1"/>
    <row r="4851" ht="18" customHeight="1"/>
    <row r="4852" ht="18" customHeight="1"/>
    <row r="4853" ht="18" customHeight="1"/>
    <row r="4854" ht="18" customHeight="1"/>
    <row r="4855" ht="18" customHeight="1"/>
    <row r="4856" ht="18" customHeight="1"/>
    <row r="4857" ht="18" customHeight="1"/>
    <row r="4858" ht="18" customHeight="1"/>
    <row r="4859" ht="18" customHeight="1"/>
    <row r="4860" ht="18" customHeight="1"/>
    <row r="4861" ht="18" customHeight="1"/>
    <row r="4862" ht="18" customHeight="1"/>
    <row r="4863" ht="18" customHeight="1"/>
    <row r="4864" ht="18" customHeight="1"/>
    <row r="4865" ht="18" customHeight="1"/>
    <row r="4866" ht="18" customHeight="1"/>
    <row r="4867" ht="18" customHeight="1"/>
    <row r="4868" ht="18" customHeight="1"/>
    <row r="4869" ht="18" customHeight="1"/>
    <row r="4870" ht="18" customHeight="1"/>
    <row r="4871" ht="18" customHeight="1"/>
    <row r="4872" ht="18" customHeight="1"/>
    <row r="4873" ht="18" customHeight="1"/>
    <row r="4874" ht="18" customHeight="1"/>
    <row r="4875" ht="18" customHeight="1"/>
    <row r="4876" ht="18" customHeight="1"/>
    <row r="4877" ht="18" customHeight="1"/>
    <row r="4878" ht="18" customHeight="1"/>
    <row r="4879" ht="18" customHeight="1"/>
    <row r="4880" ht="18" customHeight="1"/>
    <row r="4881" ht="18" customHeight="1"/>
    <row r="4882" ht="18" customHeight="1"/>
    <row r="4883" ht="18" customHeight="1"/>
    <row r="4884" ht="18" customHeight="1"/>
    <row r="4885" ht="18" customHeight="1"/>
    <row r="4886" ht="18" customHeight="1"/>
    <row r="4887" ht="18" customHeight="1"/>
    <row r="4888" ht="18" customHeight="1"/>
    <row r="4889" ht="18" customHeight="1"/>
    <row r="4890" ht="18" customHeight="1"/>
    <row r="4891" ht="18" customHeight="1"/>
    <row r="4892" ht="18" customHeight="1"/>
    <row r="4893" ht="18" customHeight="1"/>
    <row r="4894" ht="18" customHeight="1"/>
    <row r="4895" ht="18" customHeight="1"/>
    <row r="4896" ht="18" customHeight="1"/>
    <row r="4897" ht="18" customHeight="1"/>
    <row r="4898" ht="18" customHeight="1"/>
    <row r="4899" ht="18" customHeight="1"/>
    <row r="4900" ht="18" customHeight="1"/>
    <row r="4901" ht="18" customHeight="1"/>
    <row r="4902" ht="18" customHeight="1"/>
    <row r="4903" ht="18" customHeight="1"/>
    <row r="4904" ht="18" customHeight="1"/>
    <row r="4905" ht="18" customHeight="1"/>
    <row r="4906" ht="18" customHeight="1"/>
    <row r="4907" ht="18" customHeight="1"/>
    <row r="4908" ht="18" customHeight="1"/>
    <row r="4909" ht="18" customHeight="1"/>
    <row r="4910" ht="18" customHeight="1"/>
    <row r="4911" ht="18" customHeight="1"/>
    <row r="4912" ht="18" customHeight="1"/>
    <row r="4913" ht="18" customHeight="1"/>
    <row r="4914" ht="18" customHeight="1"/>
    <row r="4915" ht="18" customHeight="1"/>
    <row r="4916" ht="18" customHeight="1"/>
    <row r="4917" ht="18" customHeight="1"/>
    <row r="4918" ht="18" customHeight="1"/>
    <row r="4919" ht="18" customHeight="1"/>
    <row r="4920" ht="18" customHeight="1"/>
    <row r="4921" ht="18" customHeight="1"/>
    <row r="4922" ht="18" customHeight="1"/>
    <row r="4923" ht="18" customHeight="1"/>
    <row r="4924" ht="18" customHeight="1"/>
    <row r="4925" ht="18" customHeight="1"/>
    <row r="4926" ht="18" customHeight="1"/>
    <row r="4927" ht="18" customHeight="1"/>
    <row r="4928" ht="18" customHeight="1"/>
    <row r="4929" ht="18" customHeight="1"/>
    <row r="4930" ht="18" customHeight="1"/>
    <row r="4931" ht="18" customHeight="1"/>
    <row r="4932" ht="18" customHeight="1"/>
    <row r="4933" ht="18" customHeight="1"/>
    <row r="4934" ht="18" customHeight="1"/>
    <row r="4935" ht="18" customHeight="1"/>
    <row r="4936" ht="18" customHeight="1"/>
    <row r="4937" ht="18" customHeight="1"/>
    <row r="4938" ht="18" customHeight="1"/>
    <row r="4939" ht="18" customHeight="1"/>
    <row r="4940" ht="18" customHeight="1"/>
    <row r="4941" ht="18" customHeight="1"/>
    <row r="4942" ht="18" customHeight="1"/>
    <row r="4943" ht="18" customHeight="1"/>
    <row r="4944" ht="18" customHeight="1"/>
    <row r="4945" ht="18" customHeight="1"/>
    <row r="4946" ht="18" customHeight="1"/>
    <row r="4947" ht="18" customHeight="1"/>
    <row r="4948" ht="18" customHeight="1"/>
    <row r="4949" ht="18" customHeight="1"/>
    <row r="4950" ht="18" customHeight="1"/>
    <row r="4951" ht="18" customHeight="1"/>
    <row r="4952" ht="18" customHeight="1"/>
    <row r="4953" ht="18" customHeight="1"/>
    <row r="4954" ht="18" customHeight="1"/>
    <row r="4955" ht="18" customHeight="1"/>
    <row r="4956" ht="18" customHeight="1"/>
    <row r="4957" ht="18" customHeight="1"/>
    <row r="4958" ht="18" customHeight="1"/>
    <row r="4959" ht="18" customHeight="1"/>
    <row r="4960" ht="18" customHeight="1"/>
    <row r="4961" ht="18" customHeight="1"/>
    <row r="4962" ht="18" customHeight="1"/>
    <row r="4963" ht="18" customHeight="1"/>
    <row r="4964" ht="18" customHeight="1"/>
    <row r="4965" ht="18" customHeight="1"/>
    <row r="4966" ht="18" customHeight="1"/>
    <row r="4967" ht="18" customHeight="1"/>
    <row r="4968" ht="18" customHeight="1"/>
    <row r="4969" ht="18" customHeight="1"/>
    <row r="4970" ht="18" customHeight="1"/>
    <row r="4971" ht="18" customHeight="1"/>
    <row r="4972" ht="18" customHeight="1"/>
    <row r="4973" ht="18" customHeight="1"/>
    <row r="4974" ht="18" customHeight="1"/>
    <row r="4975" ht="18" customHeight="1"/>
    <row r="4976" ht="18" customHeight="1"/>
    <row r="4977" ht="18" customHeight="1"/>
    <row r="4978" ht="18" customHeight="1"/>
    <row r="4979" ht="18" customHeight="1"/>
    <row r="4980" ht="18" customHeight="1"/>
    <row r="4981" ht="18" customHeight="1"/>
    <row r="4982" ht="18" customHeight="1"/>
    <row r="4983" ht="18" customHeight="1"/>
    <row r="4984" ht="18" customHeight="1"/>
    <row r="4985" ht="18" customHeight="1"/>
    <row r="4986" ht="18" customHeight="1"/>
    <row r="4987" ht="18" customHeight="1"/>
    <row r="4988" ht="18" customHeight="1"/>
    <row r="4989" ht="18" customHeight="1"/>
    <row r="4990" ht="18" customHeight="1"/>
    <row r="4991" ht="18" customHeight="1"/>
    <row r="4992" ht="18" customHeight="1"/>
    <row r="4993" ht="18" customHeight="1"/>
    <row r="4994" ht="18" customHeight="1"/>
    <row r="4995" ht="18" customHeight="1"/>
    <row r="4996" ht="18" customHeight="1"/>
    <row r="4997" ht="18" customHeight="1"/>
    <row r="4998" ht="18" customHeight="1"/>
    <row r="4999" ht="18" customHeight="1"/>
    <row r="5000" ht="18" customHeight="1"/>
  </sheetData>
  <mergeCells count="3">
    <mergeCell ref="A1:O1"/>
    <mergeCell ref="A2:O2"/>
    <mergeCell ref="A3:O3"/>
  </mergeCells>
  <conditionalFormatting sqref="O5:O104">
    <cfRule type="expression" dxfId="1" priority="1">
      <formula>$O5="OK"</formula>
    </cfRule>
    <cfRule type="expression" dxfId="0" priority="2">
      <formula>LEFT($O5,6)="Erreur"</formula>
    </cfRule>
  </conditionalFormatting>
  <dataValidations count="1">
    <dataValidation type="list" sqref="B5:B104">
      <formula1>"qcu"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erXML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209550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000"/>
  <sheetViews>
    <sheetView workbookViewId="0"/>
  </sheetViews>
  <sheetFormatPr baseColWidth="10" defaultColWidth="9" defaultRowHeight="14.25"/>
  <cols>
    <col min="1" max="1" width="140" customWidth="1"/>
    <col min="2" max="3" width="24" customWidth="1"/>
  </cols>
  <sheetData>
    <row r="1" spans="1:3" ht="18" customHeight="1">
      <c r="A1" s="9" t="s">
        <v>31</v>
      </c>
      <c r="B1" s="1" t="s">
        <v>32</v>
      </c>
      <c r="C1">
        <f>COUNTIF(Saisie_Questions!O5:O104,"OK")</f>
        <v>1</v>
      </c>
    </row>
    <row r="2" spans="1:3" ht="18" customHeight="1">
      <c r="A2" s="10" t="s">
        <v>33</v>
      </c>
      <c r="B2" s="1" t="s">
        <v>34</v>
      </c>
      <c r="C2">
        <f>COUNTIF(Saisie_Questions!O5:O104,"Erreur*")</f>
        <v>0</v>
      </c>
    </row>
    <row r="3" spans="1:3" ht="18" customHeight="1">
      <c r="A3" s="10" t="s">
        <v>35</v>
      </c>
      <c r="B3" s="1"/>
    </row>
    <row r="4" spans="1:3" ht="18" customHeight="1">
      <c r="A4" t="str">
        <f>IF(Generation!$B5,"  &lt;item ident=""il_0_qst_"&amp;TEXT(Generation!$A5,"000")&amp;""" title="""&amp;Generation!$F5&amp;"""&gt;","")</f>
        <v xml:space="preserve">  &lt;item ident="il_0_qst_001" title="Exemple QCU"&gt;</v>
      </c>
      <c r="B4" s="1" t="s">
        <v>36</v>
      </c>
      <c r="C4" s="2" t="s">
        <v>37</v>
      </c>
    </row>
    <row r="5" spans="1:3" ht="18" customHeight="1">
      <c r="A5" t="str">
        <f>IF(Generation!$B5,"    &lt;duration&gt;P0Y0M0DT0H1M0S&lt;/duration&gt;","")</f>
        <v xml:space="preserve">    &lt;duration&gt;P0Y0M0DT0H1M0S&lt;/duration&gt;</v>
      </c>
    </row>
    <row r="6" spans="1:3" ht="18" customHeight="1">
      <c r="A6" t="str">
        <f>IF(Generation!$B5,"    &lt;itemmetadata&gt;","")</f>
        <v xml:space="preserve">    &lt;itemmetadata&gt;</v>
      </c>
    </row>
    <row r="7" spans="1:3" ht="18" customHeight="1">
      <c r="A7" t="str">
        <f>IF(Generation!$B5,"      &lt;qtimetadata&gt;","")</f>
        <v xml:space="preserve">      &lt;qtimetadata&gt;</v>
      </c>
    </row>
    <row r="8" spans="1:3" ht="18" customHeight="1">
      <c r="A8" t="str">
        <f>IF(Generation!$B5,"        &lt;qtimetadatafield&gt;&lt;fieldlabel&gt;ILIAS_VERSION&lt;/fieldlabel&gt;&lt;fieldentry&gt;8&lt;/fieldentry&gt;&lt;/qtimetadatafield&gt;","")</f>
        <v xml:space="preserve">        &lt;qtimetadatafield&gt;&lt;fieldlabel&gt;ILIAS_VERSION&lt;/fieldlabel&gt;&lt;fieldentry&gt;8&lt;/fieldentry&gt;&lt;/qtimetadatafield&gt;</v>
      </c>
    </row>
    <row r="9" spans="1:3" ht="18" customHeight="1">
      <c r="A9" t="str">
        <f>IF(Generation!$B5,"        &lt;qtimetadatafield&gt;&lt;fieldlabel&gt;QUESTIONTYPE&lt;/fieldlabel&gt;&lt;fieldentry&gt;"&amp;Generation!$D5&amp;"&lt;/fieldentry&gt;&lt;/qtimetadatafield&gt;","")</f>
        <v xml:space="preserve">        &lt;qtimetadatafield&gt;&lt;fieldlabel&gt;QUESTIONTYPE&lt;/fieldlabel&gt;&lt;fieldentry&gt;SINGLE CHOICE QUESTION&lt;/fieldentry&gt;&lt;/qtimetadatafield&gt;</v>
      </c>
    </row>
    <row r="10" spans="1:3" ht="18" customHeight="1">
      <c r="A10" t="str">
        <f>IF(Generation!$B5,"        &lt;qtimetadatafield&gt;&lt;fieldlabel&gt;AUTHOR&lt;/fieldlabel&gt;&lt;fieldentry&gt;Générateur Excel QTI&lt;/fieldentry&gt;&lt;/qtimetadatafield&gt;","")</f>
        <v xml:space="preserve">        &lt;qtimetadatafield&gt;&lt;fieldlabel&gt;AUTHOR&lt;/fieldlabel&gt;&lt;fieldentry&gt;Générateur Excel QTI&lt;/fieldentry&gt;&lt;/qtimetadatafield&gt;</v>
      </c>
    </row>
    <row r="11" spans="1:3" ht="18" customHeight="1">
      <c r="A11" t="str">
        <f>IF(Generation!$B5,"        &lt;qtimetadatafield&gt;&lt;fieldlabel&gt;identicalScoring&lt;/fieldlabel&gt;&lt;fieldentry&gt;1&lt;/fieldentry&gt;&lt;/qtimetadatafield&gt;","")</f>
        <v xml:space="preserve">        &lt;qtimetadatafield&gt;&lt;fieldlabel&gt;identicalScoring&lt;/fieldlabel&gt;&lt;fieldentry&gt;1&lt;/fieldentry&gt;&lt;/qtimetadatafield&gt;</v>
      </c>
    </row>
    <row r="12" spans="1:3" ht="18" customHeight="1">
      <c r="A12" t="str">
        <f>IF(Generation!$B5,"      &lt;/qtimetadata&gt;","")</f>
        <v xml:space="preserve">      &lt;/qtimetadata&gt;</v>
      </c>
    </row>
    <row r="13" spans="1:3" ht="18" customHeight="1">
      <c r="A13" t="str">
        <f>IF(Generation!$B5,"    &lt;/itemmetadata&gt;","")</f>
        <v xml:space="preserve">    &lt;/itemmetadata&gt;</v>
      </c>
    </row>
    <row r="14" spans="1:3" ht="18" customHeight="1">
      <c r="A14" t="str">
        <f>IF(Generation!$B5,"    &lt;presentation label="""&amp;Generation!$F5&amp;"""&gt;","")</f>
        <v xml:space="preserve">    &lt;presentation label="Exemple QCU"&gt;</v>
      </c>
    </row>
    <row r="15" spans="1:3" ht="18" customHeight="1">
      <c r="A15" t="str">
        <f>IF(Generation!$B5,"      &lt;material&gt;&lt;mattext texttype=""text/html""&gt;"&amp;Generation!$G5&amp;"&lt;/mattext&gt;&lt;/material&gt;","")</f>
        <v xml:space="preserve">      &lt;material&gt;&lt;mattext texttype="text/html"&gt;Quelle est la capitale de la France ?&lt;/mattext&gt;&lt;/material&gt;</v>
      </c>
    </row>
    <row r="16" spans="1:3" ht="18" customHeight="1">
      <c r="A16" t="str">
        <f>IF(Generation!$B5,"      &lt;response_lid ident=""RESPONSE"" rcardinality="""&amp;Generation!$E5&amp;"""&gt;","")</f>
        <v xml:space="preserve">      &lt;response_lid ident="RESPONSE" rcardinality="Single"&gt;</v>
      </c>
    </row>
    <row r="17" spans="1:1" ht="18" customHeight="1">
      <c r="A17" t="str">
        <f>IF(Generation!$B5,"        &lt;render_choice shuffle=""No""&gt;","")</f>
        <v xml:space="preserve">        &lt;render_choice shuffle="No"&gt;</v>
      </c>
    </row>
    <row r="18" spans="1:1" ht="18" customHeight="1">
      <c r="A18" t="str">
        <f>IF(Generation!AB5="","",Generation!AB5)</f>
        <v xml:space="preserve">        &lt;response_label ident="0"&gt;&lt;material&gt;&lt;mattext texttype="text/html"&gt;Paris&lt;/mattext&gt;&lt;/material&gt;&lt;/response_label&gt;</v>
      </c>
    </row>
    <row r="19" spans="1:1" ht="18" customHeight="1">
      <c r="A19" t="str">
        <f>IF(Generation!AC5="","",Generation!AC5)</f>
        <v xml:space="preserve">        &lt;response_label ident="1"&gt;&lt;material&gt;&lt;mattext texttype="text/html"&gt;Lyon&lt;/mattext&gt;&lt;/material&gt;&lt;/response_label&gt;</v>
      </c>
    </row>
    <row r="20" spans="1:1" ht="18" customHeight="1">
      <c r="A20" t="str">
        <f>IF(Generation!AD5="","",Generation!AD5)</f>
        <v xml:space="preserve">        &lt;response_label ident="2"&gt;&lt;material&gt;&lt;mattext texttype="text/html"&gt;Marseille&lt;/mattext&gt;&lt;/material&gt;&lt;/response_label&gt;</v>
      </c>
    </row>
    <row r="21" spans="1:1" ht="18" customHeight="1">
      <c r="A21" t="str">
        <f>IF(Generation!AE5="","",Generation!AE5)</f>
        <v xml:space="preserve">        &lt;response_label ident="3"&gt;&lt;material&gt;&lt;mattext texttype="text/html"&gt;Toulouse&lt;/mattext&gt;&lt;/material&gt;&lt;/response_label&gt;</v>
      </c>
    </row>
    <row r="22" spans="1:1" ht="18" customHeight="1">
      <c r="A22" t="str">
        <f>IF(Generation!AF5="","",Generation!AF5)</f>
        <v/>
      </c>
    </row>
    <row r="23" spans="1:1" ht="18" customHeight="1">
      <c r="A23" t="str">
        <f>IF(Generation!AG5="","",Generation!AG5)</f>
        <v/>
      </c>
    </row>
    <row r="24" spans="1:1" ht="18" customHeight="1">
      <c r="A24" t="str">
        <f>IF(Generation!AH5="","",Generation!AH5)</f>
        <v/>
      </c>
    </row>
    <row r="25" spans="1:1" ht="18" customHeight="1">
      <c r="A25" t="str">
        <f>IF(Generation!AI5="","",Generation!AI5)</f>
        <v/>
      </c>
    </row>
    <row r="26" spans="1:1" ht="18" customHeight="1">
      <c r="A26" t="str">
        <f>IF(Generation!$B5,"        &lt;/render_choice&gt;","")</f>
        <v xml:space="preserve">        &lt;/render_choice&gt;</v>
      </c>
    </row>
    <row r="27" spans="1:1" ht="18" customHeight="1">
      <c r="A27" t="str">
        <f>IF(Generation!$B5,"      &lt;/response_lid&gt;","")</f>
        <v xml:space="preserve">      &lt;/response_lid&gt;</v>
      </c>
    </row>
    <row r="28" spans="1:1" ht="18" customHeight="1">
      <c r="A28" t="str">
        <f>IF(Generation!$B5,"    &lt;/presentation&gt;","")</f>
        <v xml:space="preserve">    &lt;/presentation&gt;</v>
      </c>
    </row>
    <row r="29" spans="1:1" ht="18" customHeight="1">
      <c r="A29" t="str">
        <f>IF(Generation!$B5,"    &lt;resprocessing&gt;","")</f>
        <v xml:space="preserve">    &lt;resprocessing&gt;</v>
      </c>
    </row>
    <row r="30" spans="1:1" ht="18" customHeight="1">
      <c r="A30" t="str">
        <f>IF(Generation!$B5,"      &lt;outcomes&gt;&lt;decvar varname=""SCORE"" vartype=""Decimal"" minvalue=""0"" maxvalue="""&amp;Generation!$H5&amp;"""/&gt;&lt;/outcomes&gt;","")</f>
        <v xml:space="preserve">      &lt;outcomes&gt;&lt;decvar varname="SCORE" vartype="Decimal" minvalue="0" maxvalue="1"/&gt;&lt;/outcomes&gt;</v>
      </c>
    </row>
    <row r="31" spans="1:1" ht="18" customHeight="1">
      <c r="A31" t="str">
        <f>IF(Generation!AJ5="","",Generation!AJ5)</f>
        <v xml:space="preserve">      &lt;respcondition continue="Yes"&gt;&lt;conditionvar&gt;&lt;varequal respident="RESPONSE"&gt;0&lt;/varequal&gt;&lt;/conditionvar&gt;&lt;setvar action="Add"&gt;1&lt;/setvar&gt;&lt;/respcondition&gt;</v>
      </c>
    </row>
    <row r="32" spans="1:1" ht="18" customHeight="1">
      <c r="A32" t="str">
        <f>IF(Generation!AK5="","",Generation!AK5)</f>
        <v/>
      </c>
    </row>
    <row r="33" spans="1:1" ht="18" customHeight="1">
      <c r="A33" t="str">
        <f>IF(Generation!AL5="","",Generation!AL5)</f>
        <v/>
      </c>
    </row>
    <row r="34" spans="1:1" ht="18" customHeight="1">
      <c r="A34" t="str">
        <f>IF(Generation!AM5="","",Generation!AM5)</f>
        <v/>
      </c>
    </row>
    <row r="35" spans="1:1" ht="18" customHeight="1">
      <c r="A35" t="str">
        <f>IF(Generation!AN5="","",Generation!AN5)</f>
        <v/>
      </c>
    </row>
    <row r="36" spans="1:1" ht="18" customHeight="1">
      <c r="A36" t="str">
        <f>IF(Generation!AO5="","",Generation!AO5)</f>
        <v/>
      </c>
    </row>
    <row r="37" spans="1:1" ht="18" customHeight="1">
      <c r="A37" t="str">
        <f>IF(Generation!AP5="","",Generation!AP5)</f>
        <v/>
      </c>
    </row>
    <row r="38" spans="1:1" ht="18" customHeight="1">
      <c r="A38" t="str">
        <f>IF(Generation!AQ5="","",Generation!AQ5)</f>
        <v/>
      </c>
    </row>
    <row r="39" spans="1:1" ht="18" customHeight="1">
      <c r="A39" t="str">
        <f>IF(Generation!$B5,"    &lt;/resprocessing&gt;","")</f>
        <v xml:space="preserve">    &lt;/resprocessing&gt;</v>
      </c>
    </row>
    <row r="40" spans="1:1" ht="18" customHeight="1">
      <c r="A40" t="str">
        <f>IF(Generation!$B5,"    &lt;itemfeedback ident=""response""&gt;&lt;flow_mat&gt;&lt;material&gt;&lt;mattext texttype=""text/plain""&gt;&lt;/mattext&gt;&lt;/material&gt;&lt;/flow_mat&gt;&lt;/itemfeedback&gt;","")</f>
        <v xml:space="preserve">    &lt;itemfeedback ident="response"&gt;&lt;flow_mat&gt;&lt;material&gt;&lt;mattext texttype="text/plain"&gt;&lt;/mattext&gt;&lt;/material&gt;&lt;/flow_mat&gt;&lt;/itemfeedback&gt;</v>
      </c>
    </row>
    <row r="41" spans="1:1" ht="18" customHeight="1">
      <c r="A41" t="str">
        <f>IF(Generation!$B5,"  &lt;/item&gt;","")</f>
        <v xml:space="preserve">  &lt;/item&gt;</v>
      </c>
    </row>
    <row r="42" spans="1:1" ht="18" customHeight="1">
      <c r="A42" t="str">
        <f>IF(Generation!$B5,"","")</f>
        <v/>
      </c>
    </row>
    <row r="43" spans="1:1" ht="18" customHeight="1">
      <c r="A43" t="str">
        <f>""</f>
        <v/>
      </c>
    </row>
    <row r="44" spans="1:1" ht="18" customHeight="1">
      <c r="A44" t="str">
        <f>IF(Generation!$B6,"  &lt;item ident=""il_0_qst_"&amp;TEXT(Generation!$A6,"000")&amp;""" title="""&amp;Generation!$F6&amp;"""&gt;","")</f>
        <v/>
      </c>
    </row>
    <row r="45" spans="1:1" ht="18" customHeight="1">
      <c r="A45" t="str">
        <f>IF(Generation!$B6,"    &lt;duration&gt;P0Y0M0DT0H1M0S&lt;/duration&gt;","")</f>
        <v/>
      </c>
    </row>
    <row r="46" spans="1:1" ht="18" customHeight="1">
      <c r="A46" t="str">
        <f>IF(Generation!$B6,"    &lt;itemmetadata&gt;","")</f>
        <v/>
      </c>
    </row>
    <row r="47" spans="1:1" ht="18" customHeight="1">
      <c r="A47" t="str">
        <f>IF(Generation!$B6,"      &lt;qtimetadata&gt;","")</f>
        <v/>
      </c>
    </row>
    <row r="48" spans="1:1" ht="18" customHeight="1">
      <c r="A48" t="str">
        <f>IF(Generation!$B6,"        &lt;qtimetadatafield&gt;&lt;fieldlabel&gt;ILIAS_VERSION&lt;/fieldlabel&gt;&lt;fieldentry&gt;8&lt;/fieldentry&gt;&lt;/qtimetadatafield&gt;","")</f>
        <v/>
      </c>
    </row>
    <row r="49" spans="1:1" ht="18" customHeight="1">
      <c r="A49" t="str">
        <f>IF(Generation!$B6,"        &lt;qtimetadatafield&gt;&lt;fieldlabel&gt;QUESTIONTYPE&lt;/fieldlabel&gt;&lt;fieldentry&gt;"&amp;Generation!$D6&amp;"&lt;/fieldentry&gt;&lt;/qtimetadatafield&gt;","")</f>
        <v/>
      </c>
    </row>
    <row r="50" spans="1:1" ht="18" customHeight="1">
      <c r="A50" t="str">
        <f>IF(Generation!$B6,"        &lt;qtimetadatafield&gt;&lt;fieldlabel&gt;AUTHOR&lt;/fieldlabel&gt;&lt;fieldentry&gt;Générateur Excel QTI&lt;/fieldentry&gt;&lt;/qtimetadatafield&gt;","")</f>
        <v/>
      </c>
    </row>
    <row r="51" spans="1:1" ht="18" customHeight="1">
      <c r="A51" t="str">
        <f>IF(Generation!$B6,"        &lt;qtimetadatafield&gt;&lt;fieldlabel&gt;identicalScoring&lt;/fieldlabel&gt;&lt;fieldentry&gt;1&lt;/fieldentry&gt;&lt;/qtimetadatafield&gt;","")</f>
        <v/>
      </c>
    </row>
    <row r="52" spans="1:1" ht="18" customHeight="1">
      <c r="A52" t="str">
        <f>IF(Generation!$B6,"      &lt;/qtimetadata&gt;","")</f>
        <v/>
      </c>
    </row>
    <row r="53" spans="1:1" ht="18" customHeight="1">
      <c r="A53" t="str">
        <f>IF(Generation!$B6,"    &lt;/itemmetadata&gt;","")</f>
        <v/>
      </c>
    </row>
    <row r="54" spans="1:1" ht="18" customHeight="1">
      <c r="A54" t="str">
        <f>IF(Generation!$B6,"    &lt;presentation label="""&amp;Generation!$F6&amp;"""&gt;","")</f>
        <v/>
      </c>
    </row>
    <row r="55" spans="1:1" ht="18" customHeight="1">
      <c r="A55" t="str">
        <f>IF(Generation!$B6,"      &lt;material&gt;&lt;mattext texttype=""text/html""&gt;"&amp;Generation!$G6&amp;"&lt;/mattext&gt;&lt;/material&gt;","")</f>
        <v/>
      </c>
    </row>
    <row r="56" spans="1:1" ht="18" customHeight="1">
      <c r="A56" t="str">
        <f>IF(Generation!$B6,"      &lt;response_lid ident=""RESPONSE"" rcardinality="""&amp;Generation!$E6&amp;"""&gt;","")</f>
        <v/>
      </c>
    </row>
    <row r="57" spans="1:1" ht="18" customHeight="1">
      <c r="A57" t="str">
        <f>IF(Generation!$B6,"        &lt;render_choice shuffle=""No""&gt;","")</f>
        <v/>
      </c>
    </row>
    <row r="58" spans="1:1" ht="18" customHeight="1">
      <c r="A58" t="str">
        <f>IF(Generation!AB6="","",Generation!AB6)</f>
        <v/>
      </c>
    </row>
    <row r="59" spans="1:1" ht="18" customHeight="1">
      <c r="A59" t="str">
        <f>IF(Generation!AC6="","",Generation!AC6)</f>
        <v/>
      </c>
    </row>
    <row r="60" spans="1:1" ht="18" customHeight="1">
      <c r="A60" t="str">
        <f>IF(Generation!AD6="","",Generation!AD6)</f>
        <v/>
      </c>
    </row>
    <row r="61" spans="1:1" ht="18" customHeight="1">
      <c r="A61" t="str">
        <f>IF(Generation!AE6="","",Generation!AE6)</f>
        <v/>
      </c>
    </row>
    <row r="62" spans="1:1" ht="18" customHeight="1">
      <c r="A62" t="str">
        <f>IF(Generation!AF6="","",Generation!AF6)</f>
        <v/>
      </c>
    </row>
    <row r="63" spans="1:1" ht="18" customHeight="1">
      <c r="A63" t="str">
        <f>IF(Generation!AG6="","",Generation!AG6)</f>
        <v/>
      </c>
    </row>
    <row r="64" spans="1:1" ht="18" customHeight="1">
      <c r="A64" t="str">
        <f>IF(Generation!AH6="","",Generation!AH6)</f>
        <v/>
      </c>
    </row>
    <row r="65" spans="1:1" ht="18" customHeight="1">
      <c r="A65" t="str">
        <f>IF(Generation!AI6="","",Generation!AI6)</f>
        <v/>
      </c>
    </row>
    <row r="66" spans="1:1" ht="18" customHeight="1">
      <c r="A66" t="str">
        <f>IF(Generation!$B6,"        &lt;/render_choice&gt;","")</f>
        <v/>
      </c>
    </row>
    <row r="67" spans="1:1" ht="18" customHeight="1">
      <c r="A67" t="str">
        <f>IF(Generation!$B6,"      &lt;/response_lid&gt;","")</f>
        <v/>
      </c>
    </row>
    <row r="68" spans="1:1" ht="18" customHeight="1">
      <c r="A68" t="str">
        <f>IF(Generation!$B6,"    &lt;/presentation&gt;","")</f>
        <v/>
      </c>
    </row>
    <row r="69" spans="1:1" ht="18" customHeight="1">
      <c r="A69" t="str">
        <f>IF(Generation!$B6,"    &lt;resprocessing&gt;","")</f>
        <v/>
      </c>
    </row>
    <row r="70" spans="1:1" ht="18" customHeight="1">
      <c r="A70" t="str">
        <f>IF(Generation!$B6,"      &lt;outcomes&gt;&lt;decvar varname=""SCORE"" vartype=""Decimal"" minvalue=""0"" maxvalue="""&amp;Generation!$H6&amp;"""/&gt;&lt;/outcomes&gt;","")</f>
        <v/>
      </c>
    </row>
    <row r="71" spans="1:1" ht="18" customHeight="1">
      <c r="A71" t="str">
        <f>IF(Generation!AJ6="","",Generation!AJ6)</f>
        <v/>
      </c>
    </row>
    <row r="72" spans="1:1" ht="18" customHeight="1">
      <c r="A72" t="str">
        <f>IF(Generation!AK6="","",Generation!AK6)</f>
        <v/>
      </c>
    </row>
    <row r="73" spans="1:1" ht="18" customHeight="1">
      <c r="A73" t="str">
        <f>IF(Generation!AL6="","",Generation!AL6)</f>
        <v/>
      </c>
    </row>
    <row r="74" spans="1:1" ht="18" customHeight="1">
      <c r="A74" t="str">
        <f>IF(Generation!AM6="","",Generation!AM6)</f>
        <v/>
      </c>
    </row>
    <row r="75" spans="1:1" ht="18" customHeight="1">
      <c r="A75" t="str">
        <f>IF(Generation!AN6="","",Generation!AN6)</f>
        <v/>
      </c>
    </row>
    <row r="76" spans="1:1" ht="18" customHeight="1">
      <c r="A76" t="str">
        <f>IF(Generation!AO6="","",Generation!AO6)</f>
        <v/>
      </c>
    </row>
    <row r="77" spans="1:1" ht="18" customHeight="1">
      <c r="A77" t="str">
        <f>IF(Generation!AP6="","",Generation!AP6)</f>
        <v/>
      </c>
    </row>
    <row r="78" spans="1:1" ht="18" customHeight="1">
      <c r="A78" t="str">
        <f>IF(Generation!AQ6="","",Generation!AQ6)</f>
        <v/>
      </c>
    </row>
    <row r="79" spans="1:1" ht="18" customHeight="1">
      <c r="A79" t="str">
        <f>IF(Generation!$B6,"    &lt;/resprocessing&gt;","")</f>
        <v/>
      </c>
    </row>
    <row r="80" spans="1:1" ht="18" customHeight="1">
      <c r="A80" t="str">
        <f>IF(Generation!$B6,"    &lt;itemfeedback ident=""response""&gt;&lt;flow_mat&gt;&lt;material&gt;&lt;mattext texttype=""text/plain""&gt;&lt;/mattext&gt;&lt;/material&gt;&lt;/flow_mat&gt;&lt;/itemfeedback&gt;","")</f>
        <v/>
      </c>
    </row>
    <row r="81" spans="1:1" ht="18" customHeight="1">
      <c r="A81" t="str">
        <f>IF(Generation!$B6,"  &lt;/item&gt;","")</f>
        <v/>
      </c>
    </row>
    <row r="82" spans="1:1" ht="18" customHeight="1">
      <c r="A82" t="str">
        <f>IF(Generation!$B6,"","")</f>
        <v/>
      </c>
    </row>
    <row r="83" spans="1:1" ht="18" customHeight="1">
      <c r="A83" t="str">
        <f>""</f>
        <v/>
      </c>
    </row>
    <row r="84" spans="1:1" ht="18" customHeight="1">
      <c r="A84" t="str">
        <f>IF(Generation!$B7,"  &lt;item ident=""il_0_qst_"&amp;TEXT(Generation!$A7,"000")&amp;""" title="""&amp;Generation!$F7&amp;"""&gt;","")</f>
        <v/>
      </c>
    </row>
    <row r="85" spans="1:1" ht="18" customHeight="1">
      <c r="A85" t="str">
        <f>IF(Generation!$B7,"    &lt;duration&gt;P0Y0M0DT0H1M0S&lt;/duration&gt;","")</f>
        <v/>
      </c>
    </row>
    <row r="86" spans="1:1" ht="18" customHeight="1">
      <c r="A86" t="str">
        <f>IF(Generation!$B7,"    &lt;itemmetadata&gt;","")</f>
        <v/>
      </c>
    </row>
    <row r="87" spans="1:1" ht="18" customHeight="1">
      <c r="A87" t="str">
        <f>IF(Generation!$B7,"      &lt;qtimetadata&gt;","")</f>
        <v/>
      </c>
    </row>
    <row r="88" spans="1:1" ht="18" customHeight="1">
      <c r="A88" t="str">
        <f>IF(Generation!$B7,"        &lt;qtimetadatafield&gt;&lt;fieldlabel&gt;ILIAS_VERSION&lt;/fieldlabel&gt;&lt;fieldentry&gt;8&lt;/fieldentry&gt;&lt;/qtimetadatafield&gt;","")</f>
        <v/>
      </c>
    </row>
    <row r="89" spans="1:1" ht="18" customHeight="1">
      <c r="A89" t="str">
        <f>IF(Generation!$B7,"        &lt;qtimetadatafield&gt;&lt;fieldlabel&gt;QUESTIONTYPE&lt;/fieldlabel&gt;&lt;fieldentry&gt;"&amp;Generation!$D7&amp;"&lt;/fieldentry&gt;&lt;/qtimetadatafield&gt;","")</f>
        <v/>
      </c>
    </row>
    <row r="90" spans="1:1" ht="18" customHeight="1">
      <c r="A90" t="str">
        <f>IF(Generation!$B7,"        &lt;qtimetadatafield&gt;&lt;fieldlabel&gt;AUTHOR&lt;/fieldlabel&gt;&lt;fieldentry&gt;Générateur Excel QTI&lt;/fieldentry&gt;&lt;/qtimetadatafield&gt;","")</f>
        <v/>
      </c>
    </row>
    <row r="91" spans="1:1" ht="18" customHeight="1">
      <c r="A91" t="str">
        <f>IF(Generation!$B7,"        &lt;qtimetadatafield&gt;&lt;fieldlabel&gt;identicalScoring&lt;/fieldlabel&gt;&lt;fieldentry&gt;1&lt;/fieldentry&gt;&lt;/qtimetadatafield&gt;","")</f>
        <v/>
      </c>
    </row>
    <row r="92" spans="1:1" ht="18" customHeight="1">
      <c r="A92" t="str">
        <f>IF(Generation!$B7,"      &lt;/qtimetadata&gt;","")</f>
        <v/>
      </c>
    </row>
    <row r="93" spans="1:1" ht="18" customHeight="1">
      <c r="A93" t="str">
        <f>IF(Generation!$B7,"    &lt;/itemmetadata&gt;","")</f>
        <v/>
      </c>
    </row>
    <row r="94" spans="1:1" ht="18" customHeight="1">
      <c r="A94" t="str">
        <f>IF(Generation!$B7,"    &lt;presentation label="""&amp;Generation!$F7&amp;"""&gt;","")</f>
        <v/>
      </c>
    </row>
    <row r="95" spans="1:1" ht="18" customHeight="1">
      <c r="A95" t="str">
        <f>IF(Generation!$B7,"      &lt;material&gt;&lt;mattext texttype=""text/html""&gt;"&amp;Generation!$G7&amp;"&lt;/mattext&gt;&lt;/material&gt;","")</f>
        <v/>
      </c>
    </row>
    <row r="96" spans="1:1" ht="18" customHeight="1">
      <c r="A96" t="str">
        <f>IF(Generation!$B7,"      &lt;response_lid ident=""RESPONSE"" rcardinality="""&amp;Generation!$E7&amp;"""&gt;","")</f>
        <v/>
      </c>
    </row>
    <row r="97" spans="1:1" ht="18" customHeight="1">
      <c r="A97" t="str">
        <f>IF(Generation!$B7,"        &lt;render_choice shuffle=""No""&gt;","")</f>
        <v/>
      </c>
    </row>
    <row r="98" spans="1:1" ht="18" customHeight="1">
      <c r="A98" t="str">
        <f>IF(Generation!AB7="","",Generation!AB7)</f>
        <v/>
      </c>
    </row>
    <row r="99" spans="1:1" ht="18" customHeight="1">
      <c r="A99" t="str">
        <f>IF(Generation!AC7="","",Generation!AC7)</f>
        <v/>
      </c>
    </row>
    <row r="100" spans="1:1" ht="18" customHeight="1">
      <c r="A100" t="str">
        <f>IF(Generation!AD7="","",Generation!AD7)</f>
        <v/>
      </c>
    </row>
    <row r="101" spans="1:1" ht="18" customHeight="1">
      <c r="A101" t="str">
        <f>IF(Generation!AE7="","",Generation!AE7)</f>
        <v/>
      </c>
    </row>
    <row r="102" spans="1:1" ht="18" customHeight="1">
      <c r="A102" t="str">
        <f>IF(Generation!AF7="","",Generation!AF7)</f>
        <v/>
      </c>
    </row>
    <row r="103" spans="1:1" ht="18" customHeight="1">
      <c r="A103" t="str">
        <f>IF(Generation!AG7="","",Generation!AG7)</f>
        <v/>
      </c>
    </row>
    <row r="104" spans="1:1" ht="18" customHeight="1">
      <c r="A104" t="str">
        <f>IF(Generation!AH7="","",Generation!AH7)</f>
        <v/>
      </c>
    </row>
    <row r="105" spans="1:1" ht="18" customHeight="1">
      <c r="A105" t="str">
        <f>IF(Generation!AI7="","",Generation!AI7)</f>
        <v/>
      </c>
    </row>
    <row r="106" spans="1:1" ht="18" customHeight="1">
      <c r="A106" t="str">
        <f>IF(Generation!$B7,"        &lt;/render_choice&gt;","")</f>
        <v/>
      </c>
    </row>
    <row r="107" spans="1:1" ht="18" customHeight="1">
      <c r="A107" t="str">
        <f>IF(Generation!$B7,"      &lt;/response_lid&gt;","")</f>
        <v/>
      </c>
    </row>
    <row r="108" spans="1:1" ht="18" customHeight="1">
      <c r="A108" t="str">
        <f>IF(Generation!$B7,"    &lt;/presentation&gt;","")</f>
        <v/>
      </c>
    </row>
    <row r="109" spans="1:1" ht="18" customHeight="1">
      <c r="A109" t="str">
        <f>IF(Generation!$B7,"    &lt;resprocessing&gt;","")</f>
        <v/>
      </c>
    </row>
    <row r="110" spans="1:1" ht="18" customHeight="1">
      <c r="A110" t="str">
        <f>IF(Generation!$B7,"      &lt;outcomes&gt;&lt;decvar varname=""SCORE"" vartype=""Decimal"" minvalue=""0"" maxvalue="""&amp;Generation!$H7&amp;"""/&gt;&lt;/outcomes&gt;","")</f>
        <v/>
      </c>
    </row>
    <row r="111" spans="1:1" ht="18" customHeight="1">
      <c r="A111" t="str">
        <f>IF(Generation!AJ7="","",Generation!AJ7)</f>
        <v/>
      </c>
    </row>
    <row r="112" spans="1:1" ht="18" customHeight="1">
      <c r="A112" t="str">
        <f>IF(Generation!AK7="","",Generation!AK7)</f>
        <v/>
      </c>
    </row>
    <row r="113" spans="1:1" ht="18" customHeight="1">
      <c r="A113" t="str">
        <f>IF(Generation!AL7="","",Generation!AL7)</f>
        <v/>
      </c>
    </row>
    <row r="114" spans="1:1" ht="18" customHeight="1">
      <c r="A114" t="str">
        <f>IF(Generation!AM7="","",Generation!AM7)</f>
        <v/>
      </c>
    </row>
    <row r="115" spans="1:1" ht="18" customHeight="1">
      <c r="A115" t="str">
        <f>IF(Generation!AN7="","",Generation!AN7)</f>
        <v/>
      </c>
    </row>
    <row r="116" spans="1:1" ht="18" customHeight="1">
      <c r="A116" t="str">
        <f>IF(Generation!AO7="","",Generation!AO7)</f>
        <v/>
      </c>
    </row>
    <row r="117" spans="1:1" ht="18" customHeight="1">
      <c r="A117" t="str">
        <f>IF(Generation!AP7="","",Generation!AP7)</f>
        <v/>
      </c>
    </row>
    <row r="118" spans="1:1" ht="18" customHeight="1">
      <c r="A118" t="str">
        <f>IF(Generation!AQ7="","",Generation!AQ7)</f>
        <v/>
      </c>
    </row>
    <row r="119" spans="1:1" ht="18" customHeight="1">
      <c r="A119" t="str">
        <f>IF(Generation!$B7,"    &lt;/resprocessing&gt;","")</f>
        <v/>
      </c>
    </row>
    <row r="120" spans="1:1" ht="18" customHeight="1">
      <c r="A120" t="str">
        <f>IF(Generation!$B7,"    &lt;itemfeedback ident=""response""&gt;&lt;flow_mat&gt;&lt;material&gt;&lt;mattext texttype=""text/plain""&gt;&lt;/mattext&gt;&lt;/material&gt;&lt;/flow_mat&gt;&lt;/itemfeedback&gt;","")</f>
        <v/>
      </c>
    </row>
    <row r="121" spans="1:1" ht="18" customHeight="1">
      <c r="A121" t="str">
        <f>IF(Generation!$B7,"  &lt;/item&gt;","")</f>
        <v/>
      </c>
    </row>
    <row r="122" spans="1:1" ht="18" customHeight="1">
      <c r="A122" t="str">
        <f>IF(Generation!$B7,"","")</f>
        <v/>
      </c>
    </row>
    <row r="123" spans="1:1" ht="18" customHeight="1">
      <c r="A123" t="str">
        <f>""</f>
        <v/>
      </c>
    </row>
    <row r="124" spans="1:1" ht="18" customHeight="1">
      <c r="A124" t="str">
        <f>IF(Generation!$B8,"  &lt;item ident=""il_0_qst_"&amp;TEXT(Generation!$A8,"000")&amp;""" title="""&amp;Generation!$F8&amp;"""&gt;","")</f>
        <v/>
      </c>
    </row>
    <row r="125" spans="1:1" ht="18" customHeight="1">
      <c r="A125" t="str">
        <f>IF(Generation!$B8,"    &lt;duration&gt;P0Y0M0DT0H1M0S&lt;/duration&gt;","")</f>
        <v/>
      </c>
    </row>
    <row r="126" spans="1:1" ht="18" customHeight="1">
      <c r="A126" t="str">
        <f>IF(Generation!$B8,"    &lt;itemmetadata&gt;","")</f>
        <v/>
      </c>
    </row>
    <row r="127" spans="1:1" ht="18" customHeight="1">
      <c r="A127" t="str">
        <f>IF(Generation!$B8,"      &lt;qtimetadata&gt;","")</f>
        <v/>
      </c>
    </row>
    <row r="128" spans="1:1" ht="18" customHeight="1">
      <c r="A128" t="str">
        <f>IF(Generation!$B8,"        &lt;qtimetadatafield&gt;&lt;fieldlabel&gt;ILIAS_VERSION&lt;/fieldlabel&gt;&lt;fieldentry&gt;8&lt;/fieldentry&gt;&lt;/qtimetadatafield&gt;","")</f>
        <v/>
      </c>
    </row>
    <row r="129" spans="1:1" ht="18" customHeight="1">
      <c r="A129" t="str">
        <f>IF(Generation!$B8,"        &lt;qtimetadatafield&gt;&lt;fieldlabel&gt;QUESTIONTYPE&lt;/fieldlabel&gt;&lt;fieldentry&gt;"&amp;Generation!$D8&amp;"&lt;/fieldentry&gt;&lt;/qtimetadatafield&gt;","")</f>
        <v/>
      </c>
    </row>
    <row r="130" spans="1:1" ht="18" customHeight="1">
      <c r="A130" t="str">
        <f>IF(Generation!$B8,"        &lt;qtimetadatafield&gt;&lt;fieldlabel&gt;AUTHOR&lt;/fieldlabel&gt;&lt;fieldentry&gt;Générateur Excel QTI&lt;/fieldentry&gt;&lt;/qtimetadatafield&gt;","")</f>
        <v/>
      </c>
    </row>
    <row r="131" spans="1:1" ht="18" customHeight="1">
      <c r="A131" t="str">
        <f>IF(Generation!$B8,"        &lt;qtimetadatafield&gt;&lt;fieldlabel&gt;identicalScoring&lt;/fieldlabel&gt;&lt;fieldentry&gt;1&lt;/fieldentry&gt;&lt;/qtimetadatafield&gt;","")</f>
        <v/>
      </c>
    </row>
    <row r="132" spans="1:1" ht="18" customHeight="1">
      <c r="A132" t="str">
        <f>IF(Generation!$B8,"      &lt;/qtimetadata&gt;","")</f>
        <v/>
      </c>
    </row>
    <row r="133" spans="1:1" ht="18" customHeight="1">
      <c r="A133" t="str">
        <f>IF(Generation!$B8,"    &lt;/itemmetadata&gt;","")</f>
        <v/>
      </c>
    </row>
    <row r="134" spans="1:1" ht="18" customHeight="1">
      <c r="A134" t="str">
        <f>IF(Generation!$B8,"    &lt;presentation label="""&amp;Generation!$F8&amp;"""&gt;","")</f>
        <v/>
      </c>
    </row>
    <row r="135" spans="1:1" ht="18" customHeight="1">
      <c r="A135" t="str">
        <f>IF(Generation!$B8,"      &lt;material&gt;&lt;mattext texttype=""text/html""&gt;"&amp;Generation!$G8&amp;"&lt;/mattext&gt;&lt;/material&gt;","")</f>
        <v/>
      </c>
    </row>
    <row r="136" spans="1:1" ht="18" customHeight="1">
      <c r="A136" t="str">
        <f>IF(Generation!$B8,"      &lt;response_lid ident=""RESPONSE"" rcardinality="""&amp;Generation!$E8&amp;"""&gt;","")</f>
        <v/>
      </c>
    </row>
    <row r="137" spans="1:1" ht="18" customHeight="1">
      <c r="A137" t="str">
        <f>IF(Generation!$B8,"        &lt;render_choice shuffle=""No""&gt;","")</f>
        <v/>
      </c>
    </row>
    <row r="138" spans="1:1" ht="18" customHeight="1">
      <c r="A138" t="str">
        <f>IF(Generation!AB8="","",Generation!AB8)</f>
        <v/>
      </c>
    </row>
    <row r="139" spans="1:1" ht="18" customHeight="1">
      <c r="A139" t="str">
        <f>IF(Generation!AC8="","",Generation!AC8)</f>
        <v/>
      </c>
    </row>
    <row r="140" spans="1:1" ht="18" customHeight="1">
      <c r="A140" t="str">
        <f>IF(Generation!AD8="","",Generation!AD8)</f>
        <v/>
      </c>
    </row>
    <row r="141" spans="1:1" ht="18" customHeight="1">
      <c r="A141" t="str">
        <f>IF(Generation!AE8="","",Generation!AE8)</f>
        <v/>
      </c>
    </row>
    <row r="142" spans="1:1" ht="18" customHeight="1">
      <c r="A142" t="str">
        <f>IF(Generation!AF8="","",Generation!AF8)</f>
        <v/>
      </c>
    </row>
    <row r="143" spans="1:1" ht="18" customHeight="1">
      <c r="A143" t="str">
        <f>IF(Generation!AG8="","",Generation!AG8)</f>
        <v/>
      </c>
    </row>
    <row r="144" spans="1:1" ht="18" customHeight="1">
      <c r="A144" t="str">
        <f>IF(Generation!AH8="","",Generation!AH8)</f>
        <v/>
      </c>
    </row>
    <row r="145" spans="1:1" ht="18" customHeight="1">
      <c r="A145" t="str">
        <f>IF(Generation!AI8="","",Generation!AI8)</f>
        <v/>
      </c>
    </row>
    <row r="146" spans="1:1" ht="18" customHeight="1">
      <c r="A146" t="str">
        <f>IF(Generation!$B8,"        &lt;/render_choice&gt;","")</f>
        <v/>
      </c>
    </row>
    <row r="147" spans="1:1" ht="18" customHeight="1">
      <c r="A147" t="str">
        <f>IF(Generation!$B8,"      &lt;/response_lid&gt;","")</f>
        <v/>
      </c>
    </row>
    <row r="148" spans="1:1" ht="18" customHeight="1">
      <c r="A148" t="str">
        <f>IF(Generation!$B8,"    &lt;/presentation&gt;","")</f>
        <v/>
      </c>
    </row>
    <row r="149" spans="1:1" ht="18" customHeight="1">
      <c r="A149" t="str">
        <f>IF(Generation!$B8,"    &lt;resprocessing&gt;","")</f>
        <v/>
      </c>
    </row>
    <row r="150" spans="1:1" ht="18" customHeight="1">
      <c r="A150" t="str">
        <f>IF(Generation!$B8,"      &lt;outcomes&gt;&lt;decvar varname=""SCORE"" vartype=""Decimal"" minvalue=""0"" maxvalue="""&amp;Generation!$H8&amp;"""/&gt;&lt;/outcomes&gt;","")</f>
        <v/>
      </c>
    </row>
    <row r="151" spans="1:1" ht="18" customHeight="1">
      <c r="A151" t="str">
        <f>IF(Generation!AJ8="","",Generation!AJ8)</f>
        <v/>
      </c>
    </row>
    <row r="152" spans="1:1" ht="18" customHeight="1">
      <c r="A152" t="str">
        <f>IF(Generation!AK8="","",Generation!AK8)</f>
        <v/>
      </c>
    </row>
    <row r="153" spans="1:1" ht="18" customHeight="1">
      <c r="A153" t="str">
        <f>IF(Generation!AL8="","",Generation!AL8)</f>
        <v/>
      </c>
    </row>
    <row r="154" spans="1:1" ht="18" customHeight="1">
      <c r="A154" t="str">
        <f>IF(Generation!AM8="","",Generation!AM8)</f>
        <v/>
      </c>
    </row>
    <row r="155" spans="1:1" ht="18" customHeight="1">
      <c r="A155" t="str">
        <f>IF(Generation!AN8="","",Generation!AN8)</f>
        <v/>
      </c>
    </row>
    <row r="156" spans="1:1" ht="18" customHeight="1">
      <c r="A156" t="str">
        <f>IF(Generation!AO8="","",Generation!AO8)</f>
        <v/>
      </c>
    </row>
    <row r="157" spans="1:1" ht="18" customHeight="1">
      <c r="A157" t="str">
        <f>IF(Generation!AP8="","",Generation!AP8)</f>
        <v/>
      </c>
    </row>
    <row r="158" spans="1:1" ht="18" customHeight="1">
      <c r="A158" t="str">
        <f>IF(Generation!AQ8="","",Generation!AQ8)</f>
        <v/>
      </c>
    </row>
    <row r="159" spans="1:1" ht="18" customHeight="1">
      <c r="A159" t="str">
        <f>IF(Generation!$B8,"    &lt;/resprocessing&gt;","")</f>
        <v/>
      </c>
    </row>
    <row r="160" spans="1:1" ht="18" customHeight="1">
      <c r="A160" t="str">
        <f>IF(Generation!$B8,"    &lt;itemfeedback ident=""response""&gt;&lt;flow_mat&gt;&lt;material&gt;&lt;mattext texttype=""text/plain""&gt;&lt;/mattext&gt;&lt;/material&gt;&lt;/flow_mat&gt;&lt;/itemfeedback&gt;","")</f>
        <v/>
      </c>
    </row>
    <row r="161" spans="1:1" ht="18" customHeight="1">
      <c r="A161" t="str">
        <f>IF(Generation!$B8,"  &lt;/item&gt;","")</f>
        <v/>
      </c>
    </row>
    <row r="162" spans="1:1" ht="18" customHeight="1">
      <c r="A162" t="str">
        <f>IF(Generation!$B8,"","")</f>
        <v/>
      </c>
    </row>
    <row r="163" spans="1:1" ht="18" customHeight="1">
      <c r="A163" t="str">
        <f>""</f>
        <v/>
      </c>
    </row>
    <row r="164" spans="1:1" ht="18" customHeight="1">
      <c r="A164" t="str">
        <f>IF(Generation!$B9,"  &lt;item ident=""il_0_qst_"&amp;TEXT(Generation!$A9,"000")&amp;""" title="""&amp;Generation!$F9&amp;"""&gt;","")</f>
        <v/>
      </c>
    </row>
    <row r="165" spans="1:1" ht="18" customHeight="1">
      <c r="A165" t="str">
        <f>IF(Generation!$B9,"    &lt;duration&gt;P0Y0M0DT0H1M0S&lt;/duration&gt;","")</f>
        <v/>
      </c>
    </row>
    <row r="166" spans="1:1" ht="18" customHeight="1">
      <c r="A166" t="str">
        <f>IF(Generation!$B9,"    &lt;itemmetadata&gt;","")</f>
        <v/>
      </c>
    </row>
    <row r="167" spans="1:1" ht="18" customHeight="1">
      <c r="A167" t="str">
        <f>IF(Generation!$B9,"      &lt;qtimetadata&gt;","")</f>
        <v/>
      </c>
    </row>
    <row r="168" spans="1:1" ht="18" customHeight="1">
      <c r="A168" t="str">
        <f>IF(Generation!$B9,"        &lt;qtimetadatafield&gt;&lt;fieldlabel&gt;ILIAS_VERSION&lt;/fieldlabel&gt;&lt;fieldentry&gt;8&lt;/fieldentry&gt;&lt;/qtimetadatafield&gt;","")</f>
        <v/>
      </c>
    </row>
    <row r="169" spans="1:1" ht="18" customHeight="1">
      <c r="A169" t="str">
        <f>IF(Generation!$B9,"        &lt;qtimetadatafield&gt;&lt;fieldlabel&gt;QUESTIONTYPE&lt;/fieldlabel&gt;&lt;fieldentry&gt;"&amp;Generation!$D9&amp;"&lt;/fieldentry&gt;&lt;/qtimetadatafield&gt;","")</f>
        <v/>
      </c>
    </row>
    <row r="170" spans="1:1" ht="18" customHeight="1">
      <c r="A170" t="str">
        <f>IF(Generation!$B9,"        &lt;qtimetadatafield&gt;&lt;fieldlabel&gt;AUTHOR&lt;/fieldlabel&gt;&lt;fieldentry&gt;Générateur Excel QTI&lt;/fieldentry&gt;&lt;/qtimetadatafield&gt;","")</f>
        <v/>
      </c>
    </row>
    <row r="171" spans="1:1" ht="18" customHeight="1">
      <c r="A171" t="str">
        <f>IF(Generation!$B9,"        &lt;qtimetadatafield&gt;&lt;fieldlabel&gt;identicalScoring&lt;/fieldlabel&gt;&lt;fieldentry&gt;1&lt;/fieldentry&gt;&lt;/qtimetadatafield&gt;","")</f>
        <v/>
      </c>
    </row>
    <row r="172" spans="1:1" ht="18" customHeight="1">
      <c r="A172" t="str">
        <f>IF(Generation!$B9,"      &lt;/qtimetadata&gt;","")</f>
        <v/>
      </c>
    </row>
    <row r="173" spans="1:1" ht="18" customHeight="1">
      <c r="A173" t="str">
        <f>IF(Generation!$B9,"    &lt;/itemmetadata&gt;","")</f>
        <v/>
      </c>
    </row>
    <row r="174" spans="1:1" ht="18" customHeight="1">
      <c r="A174" t="str">
        <f>IF(Generation!$B9,"    &lt;presentation label="""&amp;Generation!$F9&amp;"""&gt;","")</f>
        <v/>
      </c>
    </row>
    <row r="175" spans="1:1" ht="18" customHeight="1">
      <c r="A175" t="str">
        <f>IF(Generation!$B9,"      &lt;material&gt;&lt;mattext texttype=""text/html""&gt;"&amp;Generation!$G9&amp;"&lt;/mattext&gt;&lt;/material&gt;","")</f>
        <v/>
      </c>
    </row>
    <row r="176" spans="1:1" ht="18" customHeight="1">
      <c r="A176" t="str">
        <f>IF(Generation!$B9,"      &lt;response_lid ident=""RESPONSE"" rcardinality="""&amp;Generation!$E9&amp;"""&gt;","")</f>
        <v/>
      </c>
    </row>
    <row r="177" spans="1:1" ht="18" customHeight="1">
      <c r="A177" t="str">
        <f>IF(Generation!$B9,"        &lt;render_choice shuffle=""No""&gt;","")</f>
        <v/>
      </c>
    </row>
    <row r="178" spans="1:1" ht="18" customHeight="1">
      <c r="A178" t="str">
        <f>IF(Generation!AB9="","",Generation!AB9)</f>
        <v/>
      </c>
    </row>
    <row r="179" spans="1:1" ht="18" customHeight="1">
      <c r="A179" t="str">
        <f>IF(Generation!AC9="","",Generation!AC9)</f>
        <v/>
      </c>
    </row>
    <row r="180" spans="1:1" ht="18" customHeight="1">
      <c r="A180" t="str">
        <f>IF(Generation!AD9="","",Generation!AD9)</f>
        <v/>
      </c>
    </row>
    <row r="181" spans="1:1" ht="18" customHeight="1">
      <c r="A181" t="str">
        <f>IF(Generation!AE9="","",Generation!AE9)</f>
        <v/>
      </c>
    </row>
    <row r="182" spans="1:1" ht="18" customHeight="1">
      <c r="A182" t="str">
        <f>IF(Generation!AF9="","",Generation!AF9)</f>
        <v/>
      </c>
    </row>
    <row r="183" spans="1:1" ht="18" customHeight="1">
      <c r="A183" t="str">
        <f>IF(Generation!AG9="","",Generation!AG9)</f>
        <v/>
      </c>
    </row>
    <row r="184" spans="1:1" ht="18" customHeight="1">
      <c r="A184" t="str">
        <f>IF(Generation!AH9="","",Generation!AH9)</f>
        <v/>
      </c>
    </row>
    <row r="185" spans="1:1" ht="18" customHeight="1">
      <c r="A185" t="str">
        <f>IF(Generation!AI9="","",Generation!AI9)</f>
        <v/>
      </c>
    </row>
    <row r="186" spans="1:1" ht="18" customHeight="1">
      <c r="A186" t="str">
        <f>IF(Generation!$B9,"        &lt;/render_choice&gt;","")</f>
        <v/>
      </c>
    </row>
    <row r="187" spans="1:1" ht="18" customHeight="1">
      <c r="A187" t="str">
        <f>IF(Generation!$B9,"      &lt;/response_lid&gt;","")</f>
        <v/>
      </c>
    </row>
    <row r="188" spans="1:1" ht="18" customHeight="1">
      <c r="A188" t="str">
        <f>IF(Generation!$B9,"    &lt;/presentation&gt;","")</f>
        <v/>
      </c>
    </row>
    <row r="189" spans="1:1" ht="18" customHeight="1">
      <c r="A189" t="str">
        <f>IF(Generation!$B9,"    &lt;resprocessing&gt;","")</f>
        <v/>
      </c>
    </row>
    <row r="190" spans="1:1" ht="18" customHeight="1">
      <c r="A190" t="str">
        <f>IF(Generation!$B9,"      &lt;outcomes&gt;&lt;decvar varname=""SCORE"" vartype=""Decimal"" minvalue=""0"" maxvalue="""&amp;Generation!$H9&amp;"""/&gt;&lt;/outcomes&gt;","")</f>
        <v/>
      </c>
    </row>
    <row r="191" spans="1:1" ht="18" customHeight="1">
      <c r="A191" t="str">
        <f>IF(Generation!AJ9="","",Generation!AJ9)</f>
        <v/>
      </c>
    </row>
    <row r="192" spans="1:1" ht="18" customHeight="1">
      <c r="A192" t="str">
        <f>IF(Generation!AK9="","",Generation!AK9)</f>
        <v/>
      </c>
    </row>
    <row r="193" spans="1:1" ht="18" customHeight="1">
      <c r="A193" t="str">
        <f>IF(Generation!AL9="","",Generation!AL9)</f>
        <v/>
      </c>
    </row>
    <row r="194" spans="1:1" ht="18" customHeight="1">
      <c r="A194" t="str">
        <f>IF(Generation!AM9="","",Generation!AM9)</f>
        <v/>
      </c>
    </row>
    <row r="195" spans="1:1" ht="18" customHeight="1">
      <c r="A195" t="str">
        <f>IF(Generation!AN9="","",Generation!AN9)</f>
        <v/>
      </c>
    </row>
    <row r="196" spans="1:1" ht="18" customHeight="1">
      <c r="A196" t="str">
        <f>IF(Generation!AO9="","",Generation!AO9)</f>
        <v/>
      </c>
    </row>
    <row r="197" spans="1:1" ht="18" customHeight="1">
      <c r="A197" t="str">
        <f>IF(Generation!AP9="","",Generation!AP9)</f>
        <v/>
      </c>
    </row>
    <row r="198" spans="1:1" ht="18" customHeight="1">
      <c r="A198" t="str">
        <f>IF(Generation!AQ9="","",Generation!AQ9)</f>
        <v/>
      </c>
    </row>
    <row r="199" spans="1:1" ht="18" customHeight="1">
      <c r="A199" t="str">
        <f>IF(Generation!$B9,"    &lt;/resprocessing&gt;","")</f>
        <v/>
      </c>
    </row>
    <row r="200" spans="1:1" ht="18" customHeight="1">
      <c r="A200" t="str">
        <f>IF(Generation!$B9,"    &lt;itemfeedback ident=""response""&gt;&lt;flow_mat&gt;&lt;material&gt;&lt;mattext texttype=""text/plain""&gt;&lt;/mattext&gt;&lt;/material&gt;&lt;/flow_mat&gt;&lt;/itemfeedback&gt;","")</f>
        <v/>
      </c>
    </row>
    <row r="201" spans="1:1" ht="18" customHeight="1">
      <c r="A201" t="str">
        <f>IF(Generation!$B9,"  &lt;/item&gt;","")</f>
        <v/>
      </c>
    </row>
    <row r="202" spans="1:1" ht="18" customHeight="1">
      <c r="A202" t="str">
        <f>IF(Generation!$B9,"","")</f>
        <v/>
      </c>
    </row>
    <row r="203" spans="1:1" ht="18" customHeight="1">
      <c r="A203" t="str">
        <f>""</f>
        <v/>
      </c>
    </row>
    <row r="204" spans="1:1" ht="18" customHeight="1">
      <c r="A204" t="str">
        <f>IF(Generation!$B10,"  &lt;item ident=""il_0_qst_"&amp;TEXT(Generation!$A10,"000")&amp;""" title="""&amp;Generation!$F10&amp;"""&gt;","")</f>
        <v/>
      </c>
    </row>
    <row r="205" spans="1:1" ht="18" customHeight="1">
      <c r="A205" t="str">
        <f>IF(Generation!$B10,"    &lt;duration&gt;P0Y0M0DT0H1M0S&lt;/duration&gt;","")</f>
        <v/>
      </c>
    </row>
    <row r="206" spans="1:1" ht="18" customHeight="1">
      <c r="A206" t="str">
        <f>IF(Generation!$B10,"    &lt;itemmetadata&gt;","")</f>
        <v/>
      </c>
    </row>
    <row r="207" spans="1:1" ht="18" customHeight="1">
      <c r="A207" t="str">
        <f>IF(Generation!$B10,"      &lt;qtimetadata&gt;","")</f>
        <v/>
      </c>
    </row>
    <row r="208" spans="1:1" ht="18" customHeight="1">
      <c r="A208" t="str">
        <f>IF(Generation!$B10,"        &lt;qtimetadatafield&gt;&lt;fieldlabel&gt;ILIAS_VERSION&lt;/fieldlabel&gt;&lt;fieldentry&gt;8&lt;/fieldentry&gt;&lt;/qtimetadatafield&gt;","")</f>
        <v/>
      </c>
    </row>
    <row r="209" spans="1:1" ht="18" customHeight="1">
      <c r="A209" t="str">
        <f>IF(Generation!$B10,"        &lt;qtimetadatafield&gt;&lt;fieldlabel&gt;QUESTIONTYPE&lt;/fieldlabel&gt;&lt;fieldentry&gt;"&amp;Generation!$D10&amp;"&lt;/fieldentry&gt;&lt;/qtimetadatafield&gt;","")</f>
        <v/>
      </c>
    </row>
    <row r="210" spans="1:1" ht="18" customHeight="1">
      <c r="A210" t="str">
        <f>IF(Generation!$B10,"        &lt;qtimetadatafield&gt;&lt;fieldlabel&gt;AUTHOR&lt;/fieldlabel&gt;&lt;fieldentry&gt;Générateur Excel QTI&lt;/fieldentry&gt;&lt;/qtimetadatafield&gt;","")</f>
        <v/>
      </c>
    </row>
    <row r="211" spans="1:1" ht="18" customHeight="1">
      <c r="A211" t="str">
        <f>IF(Generation!$B10,"        &lt;qtimetadatafield&gt;&lt;fieldlabel&gt;identicalScoring&lt;/fieldlabel&gt;&lt;fieldentry&gt;1&lt;/fieldentry&gt;&lt;/qtimetadatafield&gt;","")</f>
        <v/>
      </c>
    </row>
    <row r="212" spans="1:1" ht="18" customHeight="1">
      <c r="A212" t="str">
        <f>IF(Generation!$B10,"      &lt;/qtimetadata&gt;","")</f>
        <v/>
      </c>
    </row>
    <row r="213" spans="1:1" ht="18" customHeight="1">
      <c r="A213" t="str">
        <f>IF(Generation!$B10,"    &lt;/itemmetadata&gt;","")</f>
        <v/>
      </c>
    </row>
    <row r="214" spans="1:1" ht="18" customHeight="1">
      <c r="A214" t="str">
        <f>IF(Generation!$B10,"    &lt;presentation label="""&amp;Generation!$F10&amp;"""&gt;","")</f>
        <v/>
      </c>
    </row>
    <row r="215" spans="1:1" ht="18" customHeight="1">
      <c r="A215" t="str">
        <f>IF(Generation!$B10,"      &lt;material&gt;&lt;mattext texttype=""text/html""&gt;"&amp;Generation!$G10&amp;"&lt;/mattext&gt;&lt;/material&gt;","")</f>
        <v/>
      </c>
    </row>
    <row r="216" spans="1:1" ht="18" customHeight="1">
      <c r="A216" t="str">
        <f>IF(Generation!$B10,"      &lt;response_lid ident=""RESPONSE"" rcardinality="""&amp;Generation!$E10&amp;"""&gt;","")</f>
        <v/>
      </c>
    </row>
    <row r="217" spans="1:1" ht="18" customHeight="1">
      <c r="A217" t="str">
        <f>IF(Generation!$B10,"        &lt;render_choice shuffle=""No""&gt;","")</f>
        <v/>
      </c>
    </row>
    <row r="218" spans="1:1" ht="18" customHeight="1">
      <c r="A218" t="str">
        <f>IF(Generation!AB10="","",Generation!AB10)</f>
        <v/>
      </c>
    </row>
    <row r="219" spans="1:1" ht="18" customHeight="1">
      <c r="A219" t="str">
        <f>IF(Generation!AC10="","",Generation!AC10)</f>
        <v/>
      </c>
    </row>
    <row r="220" spans="1:1" ht="18" customHeight="1">
      <c r="A220" t="str">
        <f>IF(Generation!AD10="","",Generation!AD10)</f>
        <v/>
      </c>
    </row>
    <row r="221" spans="1:1" ht="18" customHeight="1">
      <c r="A221" t="str">
        <f>IF(Generation!AE10="","",Generation!AE10)</f>
        <v/>
      </c>
    </row>
    <row r="222" spans="1:1" ht="18" customHeight="1">
      <c r="A222" t="str">
        <f>IF(Generation!AF10="","",Generation!AF10)</f>
        <v/>
      </c>
    </row>
    <row r="223" spans="1:1" ht="18" customHeight="1">
      <c r="A223" t="str">
        <f>IF(Generation!AG10="","",Generation!AG10)</f>
        <v/>
      </c>
    </row>
    <row r="224" spans="1:1" ht="18" customHeight="1">
      <c r="A224" t="str">
        <f>IF(Generation!AH10="","",Generation!AH10)</f>
        <v/>
      </c>
    </row>
    <row r="225" spans="1:1" ht="18" customHeight="1">
      <c r="A225" t="str">
        <f>IF(Generation!AI10="","",Generation!AI10)</f>
        <v/>
      </c>
    </row>
    <row r="226" spans="1:1" ht="18" customHeight="1">
      <c r="A226" t="str">
        <f>IF(Generation!$B10,"        &lt;/render_choice&gt;","")</f>
        <v/>
      </c>
    </row>
    <row r="227" spans="1:1" ht="18" customHeight="1">
      <c r="A227" t="str">
        <f>IF(Generation!$B10,"      &lt;/response_lid&gt;","")</f>
        <v/>
      </c>
    </row>
    <row r="228" spans="1:1" ht="18" customHeight="1">
      <c r="A228" t="str">
        <f>IF(Generation!$B10,"    &lt;/presentation&gt;","")</f>
        <v/>
      </c>
    </row>
    <row r="229" spans="1:1" ht="18" customHeight="1">
      <c r="A229" t="str">
        <f>IF(Generation!$B10,"    &lt;resprocessing&gt;","")</f>
        <v/>
      </c>
    </row>
    <row r="230" spans="1:1" ht="18" customHeight="1">
      <c r="A230" t="str">
        <f>IF(Generation!$B10,"      &lt;outcomes&gt;&lt;decvar varname=""SCORE"" vartype=""Decimal"" minvalue=""0"" maxvalue="""&amp;Generation!$H10&amp;"""/&gt;&lt;/outcomes&gt;","")</f>
        <v/>
      </c>
    </row>
    <row r="231" spans="1:1" ht="18" customHeight="1">
      <c r="A231" t="str">
        <f>IF(Generation!AJ10="","",Generation!AJ10)</f>
        <v/>
      </c>
    </row>
    <row r="232" spans="1:1" ht="18" customHeight="1">
      <c r="A232" t="str">
        <f>IF(Generation!AK10="","",Generation!AK10)</f>
        <v/>
      </c>
    </row>
    <row r="233" spans="1:1" ht="18" customHeight="1">
      <c r="A233" t="str">
        <f>IF(Generation!AL10="","",Generation!AL10)</f>
        <v/>
      </c>
    </row>
    <row r="234" spans="1:1" ht="18" customHeight="1">
      <c r="A234" t="str">
        <f>IF(Generation!AM10="","",Generation!AM10)</f>
        <v/>
      </c>
    </row>
    <row r="235" spans="1:1" ht="18" customHeight="1">
      <c r="A235" t="str">
        <f>IF(Generation!AN10="","",Generation!AN10)</f>
        <v/>
      </c>
    </row>
    <row r="236" spans="1:1" ht="18" customHeight="1">
      <c r="A236" t="str">
        <f>IF(Generation!AO10="","",Generation!AO10)</f>
        <v/>
      </c>
    </row>
    <row r="237" spans="1:1" ht="18" customHeight="1">
      <c r="A237" t="str">
        <f>IF(Generation!AP10="","",Generation!AP10)</f>
        <v/>
      </c>
    </row>
    <row r="238" spans="1:1" ht="18" customHeight="1">
      <c r="A238" t="str">
        <f>IF(Generation!AQ10="","",Generation!AQ10)</f>
        <v/>
      </c>
    </row>
    <row r="239" spans="1:1" ht="18" customHeight="1">
      <c r="A239" t="str">
        <f>IF(Generation!$B10,"    &lt;/resprocessing&gt;","")</f>
        <v/>
      </c>
    </row>
    <row r="240" spans="1:1" ht="18" customHeight="1">
      <c r="A240" t="str">
        <f>IF(Generation!$B10,"    &lt;itemfeedback ident=""response""&gt;&lt;flow_mat&gt;&lt;material&gt;&lt;mattext texttype=""text/plain""&gt;&lt;/mattext&gt;&lt;/material&gt;&lt;/flow_mat&gt;&lt;/itemfeedback&gt;","")</f>
        <v/>
      </c>
    </row>
    <row r="241" spans="1:1" ht="18" customHeight="1">
      <c r="A241" t="str">
        <f>IF(Generation!$B10,"  &lt;/item&gt;","")</f>
        <v/>
      </c>
    </row>
    <row r="242" spans="1:1" ht="18" customHeight="1">
      <c r="A242" t="str">
        <f>IF(Generation!$B10,"","")</f>
        <v/>
      </c>
    </row>
    <row r="243" spans="1:1" ht="18" customHeight="1">
      <c r="A243" t="str">
        <f>""</f>
        <v/>
      </c>
    </row>
    <row r="244" spans="1:1" ht="18" customHeight="1">
      <c r="A244" t="str">
        <f>IF(Generation!$B11,"  &lt;item ident=""il_0_qst_"&amp;TEXT(Generation!$A11,"000")&amp;""" title="""&amp;Generation!$F11&amp;"""&gt;","")</f>
        <v/>
      </c>
    </row>
    <row r="245" spans="1:1" ht="18" customHeight="1">
      <c r="A245" t="str">
        <f>IF(Generation!$B11,"    &lt;duration&gt;P0Y0M0DT0H1M0S&lt;/duration&gt;","")</f>
        <v/>
      </c>
    </row>
    <row r="246" spans="1:1" ht="18" customHeight="1">
      <c r="A246" t="str">
        <f>IF(Generation!$B11,"    &lt;itemmetadata&gt;","")</f>
        <v/>
      </c>
    </row>
    <row r="247" spans="1:1" ht="18" customHeight="1">
      <c r="A247" t="str">
        <f>IF(Generation!$B11,"      &lt;qtimetadata&gt;","")</f>
        <v/>
      </c>
    </row>
    <row r="248" spans="1:1" ht="18" customHeight="1">
      <c r="A248" t="str">
        <f>IF(Generation!$B11,"        &lt;qtimetadatafield&gt;&lt;fieldlabel&gt;ILIAS_VERSION&lt;/fieldlabel&gt;&lt;fieldentry&gt;8&lt;/fieldentry&gt;&lt;/qtimetadatafield&gt;","")</f>
        <v/>
      </c>
    </row>
    <row r="249" spans="1:1" ht="18" customHeight="1">
      <c r="A249" t="str">
        <f>IF(Generation!$B11,"        &lt;qtimetadatafield&gt;&lt;fieldlabel&gt;QUESTIONTYPE&lt;/fieldlabel&gt;&lt;fieldentry&gt;"&amp;Generation!$D11&amp;"&lt;/fieldentry&gt;&lt;/qtimetadatafield&gt;","")</f>
        <v/>
      </c>
    </row>
    <row r="250" spans="1:1" ht="18" customHeight="1">
      <c r="A250" t="str">
        <f>IF(Generation!$B11,"        &lt;qtimetadatafield&gt;&lt;fieldlabel&gt;AUTHOR&lt;/fieldlabel&gt;&lt;fieldentry&gt;Générateur Excel QTI&lt;/fieldentry&gt;&lt;/qtimetadatafield&gt;","")</f>
        <v/>
      </c>
    </row>
    <row r="251" spans="1:1" ht="18" customHeight="1">
      <c r="A251" t="str">
        <f>IF(Generation!$B11,"        &lt;qtimetadatafield&gt;&lt;fieldlabel&gt;identicalScoring&lt;/fieldlabel&gt;&lt;fieldentry&gt;1&lt;/fieldentry&gt;&lt;/qtimetadatafield&gt;","")</f>
        <v/>
      </c>
    </row>
    <row r="252" spans="1:1" ht="18" customHeight="1">
      <c r="A252" t="str">
        <f>IF(Generation!$B11,"      &lt;/qtimetadata&gt;","")</f>
        <v/>
      </c>
    </row>
    <row r="253" spans="1:1" ht="18" customHeight="1">
      <c r="A253" t="str">
        <f>IF(Generation!$B11,"    &lt;/itemmetadata&gt;","")</f>
        <v/>
      </c>
    </row>
    <row r="254" spans="1:1" ht="18" customHeight="1">
      <c r="A254" t="str">
        <f>IF(Generation!$B11,"    &lt;presentation label="""&amp;Generation!$F11&amp;"""&gt;","")</f>
        <v/>
      </c>
    </row>
    <row r="255" spans="1:1" ht="18" customHeight="1">
      <c r="A255" t="str">
        <f>IF(Generation!$B11,"      &lt;material&gt;&lt;mattext texttype=""text/html""&gt;"&amp;Generation!$G11&amp;"&lt;/mattext&gt;&lt;/material&gt;","")</f>
        <v/>
      </c>
    </row>
    <row r="256" spans="1:1" ht="18" customHeight="1">
      <c r="A256" t="str">
        <f>IF(Generation!$B11,"      &lt;response_lid ident=""RESPONSE"" rcardinality="""&amp;Generation!$E11&amp;"""&gt;","")</f>
        <v/>
      </c>
    </row>
    <row r="257" spans="1:1" ht="18" customHeight="1">
      <c r="A257" t="str">
        <f>IF(Generation!$B11,"        &lt;render_choice shuffle=""No""&gt;","")</f>
        <v/>
      </c>
    </row>
    <row r="258" spans="1:1" ht="18" customHeight="1">
      <c r="A258" t="str">
        <f>IF(Generation!AB11="","",Generation!AB11)</f>
        <v/>
      </c>
    </row>
    <row r="259" spans="1:1" ht="18" customHeight="1">
      <c r="A259" t="str">
        <f>IF(Generation!AC11="","",Generation!AC11)</f>
        <v/>
      </c>
    </row>
    <row r="260" spans="1:1" ht="18" customHeight="1">
      <c r="A260" t="str">
        <f>IF(Generation!AD11="","",Generation!AD11)</f>
        <v/>
      </c>
    </row>
    <row r="261" spans="1:1" ht="18" customHeight="1">
      <c r="A261" t="str">
        <f>IF(Generation!AE11="","",Generation!AE11)</f>
        <v/>
      </c>
    </row>
    <row r="262" spans="1:1" ht="18" customHeight="1">
      <c r="A262" t="str">
        <f>IF(Generation!AF11="","",Generation!AF11)</f>
        <v/>
      </c>
    </row>
    <row r="263" spans="1:1" ht="18" customHeight="1">
      <c r="A263" t="str">
        <f>IF(Generation!AG11="","",Generation!AG11)</f>
        <v/>
      </c>
    </row>
    <row r="264" spans="1:1" ht="18" customHeight="1">
      <c r="A264" t="str">
        <f>IF(Generation!AH11="","",Generation!AH11)</f>
        <v/>
      </c>
    </row>
    <row r="265" spans="1:1" ht="18" customHeight="1">
      <c r="A265" t="str">
        <f>IF(Generation!AI11="","",Generation!AI11)</f>
        <v/>
      </c>
    </row>
    <row r="266" spans="1:1" ht="18" customHeight="1">
      <c r="A266" t="str">
        <f>IF(Generation!$B11,"        &lt;/render_choice&gt;","")</f>
        <v/>
      </c>
    </row>
    <row r="267" spans="1:1" ht="18" customHeight="1">
      <c r="A267" t="str">
        <f>IF(Generation!$B11,"      &lt;/response_lid&gt;","")</f>
        <v/>
      </c>
    </row>
    <row r="268" spans="1:1" ht="18" customHeight="1">
      <c r="A268" t="str">
        <f>IF(Generation!$B11,"    &lt;/presentation&gt;","")</f>
        <v/>
      </c>
    </row>
    <row r="269" spans="1:1" ht="18" customHeight="1">
      <c r="A269" t="str">
        <f>IF(Generation!$B11,"    &lt;resprocessing&gt;","")</f>
        <v/>
      </c>
    </row>
    <row r="270" spans="1:1" ht="18" customHeight="1">
      <c r="A270" t="str">
        <f>IF(Generation!$B11,"      &lt;outcomes&gt;&lt;decvar varname=""SCORE"" vartype=""Decimal"" minvalue=""0"" maxvalue="""&amp;Generation!$H11&amp;"""/&gt;&lt;/outcomes&gt;","")</f>
        <v/>
      </c>
    </row>
    <row r="271" spans="1:1" ht="18" customHeight="1">
      <c r="A271" t="str">
        <f>IF(Generation!AJ11="","",Generation!AJ11)</f>
        <v/>
      </c>
    </row>
    <row r="272" spans="1:1" ht="18" customHeight="1">
      <c r="A272" t="str">
        <f>IF(Generation!AK11="","",Generation!AK11)</f>
        <v/>
      </c>
    </row>
    <row r="273" spans="1:1" ht="18" customHeight="1">
      <c r="A273" t="str">
        <f>IF(Generation!AL11="","",Generation!AL11)</f>
        <v/>
      </c>
    </row>
    <row r="274" spans="1:1" ht="18" customHeight="1">
      <c r="A274" t="str">
        <f>IF(Generation!AM11="","",Generation!AM11)</f>
        <v/>
      </c>
    </row>
    <row r="275" spans="1:1" ht="18" customHeight="1">
      <c r="A275" t="str">
        <f>IF(Generation!AN11="","",Generation!AN11)</f>
        <v/>
      </c>
    </row>
    <row r="276" spans="1:1" ht="18" customHeight="1">
      <c r="A276" t="str">
        <f>IF(Generation!AO11="","",Generation!AO11)</f>
        <v/>
      </c>
    </row>
    <row r="277" spans="1:1" ht="18" customHeight="1">
      <c r="A277" t="str">
        <f>IF(Generation!AP11="","",Generation!AP11)</f>
        <v/>
      </c>
    </row>
    <row r="278" spans="1:1" ht="18" customHeight="1">
      <c r="A278" t="str">
        <f>IF(Generation!AQ11="","",Generation!AQ11)</f>
        <v/>
      </c>
    </row>
    <row r="279" spans="1:1" ht="18" customHeight="1">
      <c r="A279" t="str">
        <f>IF(Generation!$B11,"    &lt;/resprocessing&gt;","")</f>
        <v/>
      </c>
    </row>
    <row r="280" spans="1:1" ht="18" customHeight="1">
      <c r="A280" t="str">
        <f>IF(Generation!$B11,"    &lt;itemfeedback ident=""response""&gt;&lt;flow_mat&gt;&lt;material&gt;&lt;mattext texttype=""text/plain""&gt;&lt;/mattext&gt;&lt;/material&gt;&lt;/flow_mat&gt;&lt;/itemfeedback&gt;","")</f>
        <v/>
      </c>
    </row>
    <row r="281" spans="1:1" ht="18" customHeight="1">
      <c r="A281" t="str">
        <f>IF(Generation!$B11,"  &lt;/item&gt;","")</f>
        <v/>
      </c>
    </row>
    <row r="282" spans="1:1" ht="18" customHeight="1">
      <c r="A282" t="str">
        <f>IF(Generation!$B11,"","")</f>
        <v/>
      </c>
    </row>
    <row r="283" spans="1:1" ht="18" customHeight="1">
      <c r="A283" t="str">
        <f>""</f>
        <v/>
      </c>
    </row>
    <row r="284" spans="1:1" ht="18" customHeight="1">
      <c r="A284" t="str">
        <f>IF(Generation!$B12,"  &lt;item ident=""il_0_qst_"&amp;TEXT(Generation!$A12,"000")&amp;""" title="""&amp;Generation!$F12&amp;"""&gt;","")</f>
        <v/>
      </c>
    </row>
    <row r="285" spans="1:1" ht="18" customHeight="1">
      <c r="A285" t="str">
        <f>IF(Generation!$B12,"    &lt;duration&gt;P0Y0M0DT0H1M0S&lt;/duration&gt;","")</f>
        <v/>
      </c>
    </row>
    <row r="286" spans="1:1" ht="18" customHeight="1">
      <c r="A286" t="str">
        <f>IF(Generation!$B12,"    &lt;itemmetadata&gt;","")</f>
        <v/>
      </c>
    </row>
    <row r="287" spans="1:1" ht="18" customHeight="1">
      <c r="A287" t="str">
        <f>IF(Generation!$B12,"      &lt;qtimetadata&gt;","")</f>
        <v/>
      </c>
    </row>
    <row r="288" spans="1:1" ht="18" customHeight="1">
      <c r="A288" t="str">
        <f>IF(Generation!$B12,"        &lt;qtimetadatafield&gt;&lt;fieldlabel&gt;ILIAS_VERSION&lt;/fieldlabel&gt;&lt;fieldentry&gt;8&lt;/fieldentry&gt;&lt;/qtimetadatafield&gt;","")</f>
        <v/>
      </c>
    </row>
    <row r="289" spans="1:1" ht="18" customHeight="1">
      <c r="A289" t="str">
        <f>IF(Generation!$B12,"        &lt;qtimetadatafield&gt;&lt;fieldlabel&gt;QUESTIONTYPE&lt;/fieldlabel&gt;&lt;fieldentry&gt;"&amp;Generation!$D12&amp;"&lt;/fieldentry&gt;&lt;/qtimetadatafield&gt;","")</f>
        <v/>
      </c>
    </row>
    <row r="290" spans="1:1" ht="18" customHeight="1">
      <c r="A290" t="str">
        <f>IF(Generation!$B12,"        &lt;qtimetadatafield&gt;&lt;fieldlabel&gt;AUTHOR&lt;/fieldlabel&gt;&lt;fieldentry&gt;Générateur Excel QTI&lt;/fieldentry&gt;&lt;/qtimetadatafield&gt;","")</f>
        <v/>
      </c>
    </row>
    <row r="291" spans="1:1" ht="18" customHeight="1">
      <c r="A291" t="str">
        <f>IF(Generation!$B12,"        &lt;qtimetadatafield&gt;&lt;fieldlabel&gt;identicalScoring&lt;/fieldlabel&gt;&lt;fieldentry&gt;1&lt;/fieldentry&gt;&lt;/qtimetadatafield&gt;","")</f>
        <v/>
      </c>
    </row>
    <row r="292" spans="1:1" ht="18" customHeight="1">
      <c r="A292" t="str">
        <f>IF(Generation!$B12,"      &lt;/qtimetadata&gt;","")</f>
        <v/>
      </c>
    </row>
    <row r="293" spans="1:1" ht="18" customHeight="1">
      <c r="A293" t="str">
        <f>IF(Generation!$B12,"    &lt;/itemmetadata&gt;","")</f>
        <v/>
      </c>
    </row>
    <row r="294" spans="1:1" ht="18" customHeight="1">
      <c r="A294" t="str">
        <f>IF(Generation!$B12,"    &lt;presentation label="""&amp;Generation!$F12&amp;"""&gt;","")</f>
        <v/>
      </c>
    </row>
    <row r="295" spans="1:1" ht="18" customHeight="1">
      <c r="A295" t="str">
        <f>IF(Generation!$B12,"      &lt;material&gt;&lt;mattext texttype=""text/html""&gt;"&amp;Generation!$G12&amp;"&lt;/mattext&gt;&lt;/material&gt;","")</f>
        <v/>
      </c>
    </row>
    <row r="296" spans="1:1" ht="18" customHeight="1">
      <c r="A296" t="str">
        <f>IF(Generation!$B12,"      &lt;response_lid ident=""RESPONSE"" rcardinality="""&amp;Generation!$E12&amp;"""&gt;","")</f>
        <v/>
      </c>
    </row>
    <row r="297" spans="1:1" ht="18" customHeight="1">
      <c r="A297" t="str">
        <f>IF(Generation!$B12,"        &lt;render_choice shuffle=""No""&gt;","")</f>
        <v/>
      </c>
    </row>
    <row r="298" spans="1:1" ht="18" customHeight="1">
      <c r="A298" t="str">
        <f>IF(Generation!AB12="","",Generation!AB12)</f>
        <v/>
      </c>
    </row>
    <row r="299" spans="1:1" ht="18" customHeight="1">
      <c r="A299" t="str">
        <f>IF(Generation!AC12="","",Generation!AC12)</f>
        <v/>
      </c>
    </row>
    <row r="300" spans="1:1" ht="18" customHeight="1">
      <c r="A300" t="str">
        <f>IF(Generation!AD12="","",Generation!AD12)</f>
        <v/>
      </c>
    </row>
    <row r="301" spans="1:1" ht="18" customHeight="1">
      <c r="A301" t="str">
        <f>IF(Generation!AE12="","",Generation!AE12)</f>
        <v/>
      </c>
    </row>
    <row r="302" spans="1:1" ht="18" customHeight="1">
      <c r="A302" t="str">
        <f>IF(Generation!AF12="","",Generation!AF12)</f>
        <v/>
      </c>
    </row>
    <row r="303" spans="1:1" ht="18" customHeight="1">
      <c r="A303" t="str">
        <f>IF(Generation!AG12="","",Generation!AG12)</f>
        <v/>
      </c>
    </row>
    <row r="304" spans="1:1" ht="18" customHeight="1">
      <c r="A304" t="str">
        <f>IF(Generation!AH12="","",Generation!AH12)</f>
        <v/>
      </c>
    </row>
    <row r="305" spans="1:1" ht="18" customHeight="1">
      <c r="A305" t="str">
        <f>IF(Generation!AI12="","",Generation!AI12)</f>
        <v/>
      </c>
    </row>
    <row r="306" spans="1:1" ht="18" customHeight="1">
      <c r="A306" t="str">
        <f>IF(Generation!$B12,"        &lt;/render_choice&gt;","")</f>
        <v/>
      </c>
    </row>
    <row r="307" spans="1:1" ht="18" customHeight="1">
      <c r="A307" t="str">
        <f>IF(Generation!$B12,"      &lt;/response_lid&gt;","")</f>
        <v/>
      </c>
    </row>
    <row r="308" spans="1:1" ht="18" customHeight="1">
      <c r="A308" t="str">
        <f>IF(Generation!$B12,"    &lt;/presentation&gt;","")</f>
        <v/>
      </c>
    </row>
    <row r="309" spans="1:1" ht="18" customHeight="1">
      <c r="A309" t="str">
        <f>IF(Generation!$B12,"    &lt;resprocessing&gt;","")</f>
        <v/>
      </c>
    </row>
    <row r="310" spans="1:1" ht="18" customHeight="1">
      <c r="A310" t="str">
        <f>IF(Generation!$B12,"      &lt;outcomes&gt;&lt;decvar varname=""SCORE"" vartype=""Decimal"" minvalue=""0"" maxvalue="""&amp;Generation!$H12&amp;"""/&gt;&lt;/outcomes&gt;","")</f>
        <v/>
      </c>
    </row>
    <row r="311" spans="1:1" ht="18" customHeight="1">
      <c r="A311" t="str">
        <f>IF(Generation!AJ12="","",Generation!AJ12)</f>
        <v/>
      </c>
    </row>
    <row r="312" spans="1:1" ht="18" customHeight="1">
      <c r="A312" t="str">
        <f>IF(Generation!AK12="","",Generation!AK12)</f>
        <v/>
      </c>
    </row>
    <row r="313" spans="1:1" ht="18" customHeight="1">
      <c r="A313" t="str">
        <f>IF(Generation!AL12="","",Generation!AL12)</f>
        <v/>
      </c>
    </row>
    <row r="314" spans="1:1" ht="18" customHeight="1">
      <c r="A314" t="str">
        <f>IF(Generation!AM12="","",Generation!AM12)</f>
        <v/>
      </c>
    </row>
    <row r="315" spans="1:1" ht="18" customHeight="1">
      <c r="A315" t="str">
        <f>IF(Generation!AN12="","",Generation!AN12)</f>
        <v/>
      </c>
    </row>
    <row r="316" spans="1:1" ht="18" customHeight="1">
      <c r="A316" t="str">
        <f>IF(Generation!AO12="","",Generation!AO12)</f>
        <v/>
      </c>
    </row>
    <row r="317" spans="1:1" ht="18" customHeight="1">
      <c r="A317" t="str">
        <f>IF(Generation!AP12="","",Generation!AP12)</f>
        <v/>
      </c>
    </row>
    <row r="318" spans="1:1" ht="18" customHeight="1">
      <c r="A318" t="str">
        <f>IF(Generation!AQ12="","",Generation!AQ12)</f>
        <v/>
      </c>
    </row>
    <row r="319" spans="1:1" ht="18" customHeight="1">
      <c r="A319" t="str">
        <f>IF(Generation!$B12,"    &lt;/resprocessing&gt;","")</f>
        <v/>
      </c>
    </row>
    <row r="320" spans="1:1" ht="18" customHeight="1">
      <c r="A320" t="str">
        <f>IF(Generation!$B12,"    &lt;itemfeedback ident=""response""&gt;&lt;flow_mat&gt;&lt;material&gt;&lt;mattext texttype=""text/plain""&gt;&lt;/mattext&gt;&lt;/material&gt;&lt;/flow_mat&gt;&lt;/itemfeedback&gt;","")</f>
        <v/>
      </c>
    </row>
    <row r="321" spans="1:1" ht="18" customHeight="1">
      <c r="A321" t="str">
        <f>IF(Generation!$B12,"  &lt;/item&gt;","")</f>
        <v/>
      </c>
    </row>
    <row r="322" spans="1:1" ht="18" customHeight="1">
      <c r="A322" t="str">
        <f>IF(Generation!$B12,"","")</f>
        <v/>
      </c>
    </row>
    <row r="323" spans="1:1" ht="18" customHeight="1">
      <c r="A323" t="str">
        <f>""</f>
        <v/>
      </c>
    </row>
    <row r="324" spans="1:1" ht="18" customHeight="1">
      <c r="A324" t="str">
        <f>IF(Generation!$B13,"  &lt;item ident=""il_0_qst_"&amp;TEXT(Generation!$A13,"000")&amp;""" title="""&amp;Generation!$F13&amp;"""&gt;","")</f>
        <v/>
      </c>
    </row>
    <row r="325" spans="1:1" ht="18" customHeight="1">
      <c r="A325" t="str">
        <f>IF(Generation!$B13,"    &lt;duration&gt;P0Y0M0DT0H1M0S&lt;/duration&gt;","")</f>
        <v/>
      </c>
    </row>
    <row r="326" spans="1:1" ht="18" customHeight="1">
      <c r="A326" t="str">
        <f>IF(Generation!$B13,"    &lt;itemmetadata&gt;","")</f>
        <v/>
      </c>
    </row>
    <row r="327" spans="1:1" ht="18" customHeight="1">
      <c r="A327" t="str">
        <f>IF(Generation!$B13,"      &lt;qtimetadata&gt;","")</f>
        <v/>
      </c>
    </row>
    <row r="328" spans="1:1" ht="18" customHeight="1">
      <c r="A328" t="str">
        <f>IF(Generation!$B13,"        &lt;qtimetadatafield&gt;&lt;fieldlabel&gt;ILIAS_VERSION&lt;/fieldlabel&gt;&lt;fieldentry&gt;8&lt;/fieldentry&gt;&lt;/qtimetadatafield&gt;","")</f>
        <v/>
      </c>
    </row>
    <row r="329" spans="1:1" ht="18" customHeight="1">
      <c r="A329" t="str">
        <f>IF(Generation!$B13,"        &lt;qtimetadatafield&gt;&lt;fieldlabel&gt;QUESTIONTYPE&lt;/fieldlabel&gt;&lt;fieldentry&gt;"&amp;Generation!$D13&amp;"&lt;/fieldentry&gt;&lt;/qtimetadatafield&gt;","")</f>
        <v/>
      </c>
    </row>
    <row r="330" spans="1:1" ht="18" customHeight="1">
      <c r="A330" t="str">
        <f>IF(Generation!$B13,"        &lt;qtimetadatafield&gt;&lt;fieldlabel&gt;AUTHOR&lt;/fieldlabel&gt;&lt;fieldentry&gt;Générateur Excel QTI&lt;/fieldentry&gt;&lt;/qtimetadatafield&gt;","")</f>
        <v/>
      </c>
    </row>
    <row r="331" spans="1:1" ht="18" customHeight="1">
      <c r="A331" t="str">
        <f>IF(Generation!$B13,"        &lt;qtimetadatafield&gt;&lt;fieldlabel&gt;identicalScoring&lt;/fieldlabel&gt;&lt;fieldentry&gt;1&lt;/fieldentry&gt;&lt;/qtimetadatafield&gt;","")</f>
        <v/>
      </c>
    </row>
    <row r="332" spans="1:1" ht="18" customHeight="1">
      <c r="A332" t="str">
        <f>IF(Generation!$B13,"      &lt;/qtimetadata&gt;","")</f>
        <v/>
      </c>
    </row>
    <row r="333" spans="1:1" ht="18" customHeight="1">
      <c r="A333" t="str">
        <f>IF(Generation!$B13,"    &lt;/itemmetadata&gt;","")</f>
        <v/>
      </c>
    </row>
    <row r="334" spans="1:1" ht="18" customHeight="1">
      <c r="A334" t="str">
        <f>IF(Generation!$B13,"    &lt;presentation label="""&amp;Generation!$F13&amp;"""&gt;","")</f>
        <v/>
      </c>
    </row>
    <row r="335" spans="1:1" ht="18" customHeight="1">
      <c r="A335" t="str">
        <f>IF(Generation!$B13,"      &lt;material&gt;&lt;mattext texttype=""text/html""&gt;"&amp;Generation!$G13&amp;"&lt;/mattext&gt;&lt;/material&gt;","")</f>
        <v/>
      </c>
    </row>
    <row r="336" spans="1:1" ht="18" customHeight="1">
      <c r="A336" t="str">
        <f>IF(Generation!$B13,"      &lt;response_lid ident=""RESPONSE"" rcardinality="""&amp;Generation!$E13&amp;"""&gt;","")</f>
        <v/>
      </c>
    </row>
    <row r="337" spans="1:1" ht="18" customHeight="1">
      <c r="A337" t="str">
        <f>IF(Generation!$B13,"        &lt;render_choice shuffle=""No""&gt;","")</f>
        <v/>
      </c>
    </row>
    <row r="338" spans="1:1" ht="18" customHeight="1">
      <c r="A338" t="str">
        <f>IF(Generation!AB13="","",Generation!AB13)</f>
        <v/>
      </c>
    </row>
    <row r="339" spans="1:1" ht="18" customHeight="1">
      <c r="A339" t="str">
        <f>IF(Generation!AC13="","",Generation!AC13)</f>
        <v/>
      </c>
    </row>
    <row r="340" spans="1:1" ht="18" customHeight="1">
      <c r="A340" t="str">
        <f>IF(Generation!AD13="","",Generation!AD13)</f>
        <v/>
      </c>
    </row>
    <row r="341" spans="1:1" ht="18" customHeight="1">
      <c r="A341" t="str">
        <f>IF(Generation!AE13="","",Generation!AE13)</f>
        <v/>
      </c>
    </row>
    <row r="342" spans="1:1" ht="18" customHeight="1">
      <c r="A342" t="str">
        <f>IF(Generation!AF13="","",Generation!AF13)</f>
        <v/>
      </c>
    </row>
    <row r="343" spans="1:1" ht="18" customHeight="1">
      <c r="A343" t="str">
        <f>IF(Generation!AG13="","",Generation!AG13)</f>
        <v/>
      </c>
    </row>
    <row r="344" spans="1:1" ht="18" customHeight="1">
      <c r="A344" t="str">
        <f>IF(Generation!AH13="","",Generation!AH13)</f>
        <v/>
      </c>
    </row>
    <row r="345" spans="1:1" ht="18" customHeight="1">
      <c r="A345" t="str">
        <f>IF(Generation!AI13="","",Generation!AI13)</f>
        <v/>
      </c>
    </row>
    <row r="346" spans="1:1" ht="18" customHeight="1">
      <c r="A346" t="str">
        <f>IF(Generation!$B13,"        &lt;/render_choice&gt;","")</f>
        <v/>
      </c>
    </row>
    <row r="347" spans="1:1" ht="18" customHeight="1">
      <c r="A347" t="str">
        <f>IF(Generation!$B13,"      &lt;/response_lid&gt;","")</f>
        <v/>
      </c>
    </row>
    <row r="348" spans="1:1" ht="18" customHeight="1">
      <c r="A348" t="str">
        <f>IF(Generation!$B13,"    &lt;/presentation&gt;","")</f>
        <v/>
      </c>
    </row>
    <row r="349" spans="1:1" ht="18" customHeight="1">
      <c r="A349" t="str">
        <f>IF(Generation!$B13,"    &lt;resprocessing&gt;","")</f>
        <v/>
      </c>
    </row>
    <row r="350" spans="1:1" ht="18" customHeight="1">
      <c r="A350" t="str">
        <f>IF(Generation!$B13,"      &lt;outcomes&gt;&lt;decvar varname=""SCORE"" vartype=""Decimal"" minvalue=""0"" maxvalue="""&amp;Generation!$H13&amp;"""/&gt;&lt;/outcomes&gt;","")</f>
        <v/>
      </c>
    </row>
    <row r="351" spans="1:1" ht="18" customHeight="1">
      <c r="A351" t="str">
        <f>IF(Generation!AJ13="","",Generation!AJ13)</f>
        <v/>
      </c>
    </row>
    <row r="352" spans="1:1" ht="18" customHeight="1">
      <c r="A352" t="str">
        <f>IF(Generation!AK13="","",Generation!AK13)</f>
        <v/>
      </c>
    </row>
    <row r="353" spans="1:1" ht="18" customHeight="1">
      <c r="A353" t="str">
        <f>IF(Generation!AL13="","",Generation!AL13)</f>
        <v/>
      </c>
    </row>
    <row r="354" spans="1:1" ht="18" customHeight="1">
      <c r="A354" t="str">
        <f>IF(Generation!AM13="","",Generation!AM13)</f>
        <v/>
      </c>
    </row>
    <row r="355" spans="1:1" ht="18" customHeight="1">
      <c r="A355" t="str">
        <f>IF(Generation!AN13="","",Generation!AN13)</f>
        <v/>
      </c>
    </row>
    <row r="356" spans="1:1" ht="18" customHeight="1">
      <c r="A356" t="str">
        <f>IF(Generation!AO13="","",Generation!AO13)</f>
        <v/>
      </c>
    </row>
    <row r="357" spans="1:1" ht="18" customHeight="1">
      <c r="A357" t="str">
        <f>IF(Generation!AP13="","",Generation!AP13)</f>
        <v/>
      </c>
    </row>
    <row r="358" spans="1:1" ht="18" customHeight="1">
      <c r="A358" t="str">
        <f>IF(Generation!AQ13="","",Generation!AQ13)</f>
        <v/>
      </c>
    </row>
    <row r="359" spans="1:1" ht="18" customHeight="1">
      <c r="A359" t="str">
        <f>IF(Generation!$B13,"    &lt;/resprocessing&gt;","")</f>
        <v/>
      </c>
    </row>
    <row r="360" spans="1:1" ht="18" customHeight="1">
      <c r="A360" t="str">
        <f>IF(Generation!$B13,"    &lt;itemfeedback ident=""response""&gt;&lt;flow_mat&gt;&lt;material&gt;&lt;mattext texttype=""text/plain""&gt;&lt;/mattext&gt;&lt;/material&gt;&lt;/flow_mat&gt;&lt;/itemfeedback&gt;","")</f>
        <v/>
      </c>
    </row>
    <row r="361" spans="1:1" ht="18" customHeight="1">
      <c r="A361" t="str">
        <f>IF(Generation!$B13,"  &lt;/item&gt;","")</f>
        <v/>
      </c>
    </row>
    <row r="362" spans="1:1" ht="18" customHeight="1">
      <c r="A362" t="str">
        <f>IF(Generation!$B13,"","")</f>
        <v/>
      </c>
    </row>
    <row r="363" spans="1:1" ht="18" customHeight="1">
      <c r="A363" t="str">
        <f>""</f>
        <v/>
      </c>
    </row>
    <row r="364" spans="1:1" ht="18" customHeight="1">
      <c r="A364" t="str">
        <f>IF(Generation!$B14,"  &lt;item ident=""il_0_qst_"&amp;TEXT(Generation!$A14,"000")&amp;""" title="""&amp;Generation!$F14&amp;"""&gt;","")</f>
        <v/>
      </c>
    </row>
    <row r="365" spans="1:1" ht="18" customHeight="1">
      <c r="A365" t="str">
        <f>IF(Generation!$B14,"    &lt;duration&gt;P0Y0M0DT0H1M0S&lt;/duration&gt;","")</f>
        <v/>
      </c>
    </row>
    <row r="366" spans="1:1" ht="18" customHeight="1">
      <c r="A366" t="str">
        <f>IF(Generation!$B14,"    &lt;itemmetadata&gt;","")</f>
        <v/>
      </c>
    </row>
    <row r="367" spans="1:1" ht="18" customHeight="1">
      <c r="A367" t="str">
        <f>IF(Generation!$B14,"      &lt;qtimetadata&gt;","")</f>
        <v/>
      </c>
    </row>
    <row r="368" spans="1:1" ht="18" customHeight="1">
      <c r="A368" t="str">
        <f>IF(Generation!$B14,"        &lt;qtimetadatafield&gt;&lt;fieldlabel&gt;ILIAS_VERSION&lt;/fieldlabel&gt;&lt;fieldentry&gt;8&lt;/fieldentry&gt;&lt;/qtimetadatafield&gt;","")</f>
        <v/>
      </c>
    </row>
    <row r="369" spans="1:1" ht="18" customHeight="1">
      <c r="A369" t="str">
        <f>IF(Generation!$B14,"        &lt;qtimetadatafield&gt;&lt;fieldlabel&gt;QUESTIONTYPE&lt;/fieldlabel&gt;&lt;fieldentry&gt;"&amp;Generation!$D14&amp;"&lt;/fieldentry&gt;&lt;/qtimetadatafield&gt;","")</f>
        <v/>
      </c>
    </row>
    <row r="370" spans="1:1" ht="18" customHeight="1">
      <c r="A370" t="str">
        <f>IF(Generation!$B14,"        &lt;qtimetadatafield&gt;&lt;fieldlabel&gt;AUTHOR&lt;/fieldlabel&gt;&lt;fieldentry&gt;Générateur Excel QTI&lt;/fieldentry&gt;&lt;/qtimetadatafield&gt;","")</f>
        <v/>
      </c>
    </row>
    <row r="371" spans="1:1" ht="18" customHeight="1">
      <c r="A371" t="str">
        <f>IF(Generation!$B14,"        &lt;qtimetadatafield&gt;&lt;fieldlabel&gt;identicalScoring&lt;/fieldlabel&gt;&lt;fieldentry&gt;1&lt;/fieldentry&gt;&lt;/qtimetadatafield&gt;","")</f>
        <v/>
      </c>
    </row>
    <row r="372" spans="1:1" ht="18" customHeight="1">
      <c r="A372" t="str">
        <f>IF(Generation!$B14,"      &lt;/qtimetadata&gt;","")</f>
        <v/>
      </c>
    </row>
    <row r="373" spans="1:1" ht="18" customHeight="1">
      <c r="A373" t="str">
        <f>IF(Generation!$B14,"    &lt;/itemmetadata&gt;","")</f>
        <v/>
      </c>
    </row>
    <row r="374" spans="1:1" ht="18" customHeight="1">
      <c r="A374" t="str">
        <f>IF(Generation!$B14,"    &lt;presentation label="""&amp;Generation!$F14&amp;"""&gt;","")</f>
        <v/>
      </c>
    </row>
    <row r="375" spans="1:1" ht="18" customHeight="1">
      <c r="A375" t="str">
        <f>IF(Generation!$B14,"      &lt;material&gt;&lt;mattext texttype=""text/html""&gt;"&amp;Generation!$G14&amp;"&lt;/mattext&gt;&lt;/material&gt;","")</f>
        <v/>
      </c>
    </row>
    <row r="376" spans="1:1" ht="18" customHeight="1">
      <c r="A376" t="str">
        <f>IF(Generation!$B14,"      &lt;response_lid ident=""RESPONSE"" rcardinality="""&amp;Generation!$E14&amp;"""&gt;","")</f>
        <v/>
      </c>
    </row>
    <row r="377" spans="1:1" ht="18" customHeight="1">
      <c r="A377" t="str">
        <f>IF(Generation!$B14,"        &lt;render_choice shuffle=""No""&gt;","")</f>
        <v/>
      </c>
    </row>
    <row r="378" spans="1:1" ht="18" customHeight="1">
      <c r="A378" t="str">
        <f>IF(Generation!AB14="","",Generation!AB14)</f>
        <v/>
      </c>
    </row>
    <row r="379" spans="1:1" ht="18" customHeight="1">
      <c r="A379" t="str">
        <f>IF(Generation!AC14="","",Generation!AC14)</f>
        <v/>
      </c>
    </row>
    <row r="380" spans="1:1" ht="18" customHeight="1">
      <c r="A380" t="str">
        <f>IF(Generation!AD14="","",Generation!AD14)</f>
        <v/>
      </c>
    </row>
    <row r="381" spans="1:1" ht="18" customHeight="1">
      <c r="A381" t="str">
        <f>IF(Generation!AE14="","",Generation!AE14)</f>
        <v/>
      </c>
    </row>
    <row r="382" spans="1:1" ht="18" customHeight="1">
      <c r="A382" t="str">
        <f>IF(Generation!AF14="","",Generation!AF14)</f>
        <v/>
      </c>
    </row>
    <row r="383" spans="1:1" ht="18" customHeight="1">
      <c r="A383" t="str">
        <f>IF(Generation!AG14="","",Generation!AG14)</f>
        <v/>
      </c>
    </row>
    <row r="384" spans="1:1" ht="18" customHeight="1">
      <c r="A384" t="str">
        <f>IF(Generation!AH14="","",Generation!AH14)</f>
        <v/>
      </c>
    </row>
    <row r="385" spans="1:1" ht="18" customHeight="1">
      <c r="A385" t="str">
        <f>IF(Generation!AI14="","",Generation!AI14)</f>
        <v/>
      </c>
    </row>
    <row r="386" spans="1:1" ht="18" customHeight="1">
      <c r="A386" t="str">
        <f>IF(Generation!$B14,"        &lt;/render_choice&gt;","")</f>
        <v/>
      </c>
    </row>
    <row r="387" spans="1:1" ht="18" customHeight="1">
      <c r="A387" t="str">
        <f>IF(Generation!$B14,"      &lt;/response_lid&gt;","")</f>
        <v/>
      </c>
    </row>
    <row r="388" spans="1:1" ht="18" customHeight="1">
      <c r="A388" t="str">
        <f>IF(Generation!$B14,"    &lt;/presentation&gt;","")</f>
        <v/>
      </c>
    </row>
    <row r="389" spans="1:1" ht="18" customHeight="1">
      <c r="A389" t="str">
        <f>IF(Generation!$B14,"    &lt;resprocessing&gt;","")</f>
        <v/>
      </c>
    </row>
    <row r="390" spans="1:1" ht="18" customHeight="1">
      <c r="A390" t="str">
        <f>IF(Generation!$B14,"      &lt;outcomes&gt;&lt;decvar varname=""SCORE"" vartype=""Decimal"" minvalue=""0"" maxvalue="""&amp;Generation!$H14&amp;"""/&gt;&lt;/outcomes&gt;","")</f>
        <v/>
      </c>
    </row>
    <row r="391" spans="1:1" ht="18" customHeight="1">
      <c r="A391" t="str">
        <f>IF(Generation!AJ14="","",Generation!AJ14)</f>
        <v/>
      </c>
    </row>
    <row r="392" spans="1:1" ht="18" customHeight="1">
      <c r="A392" t="str">
        <f>IF(Generation!AK14="","",Generation!AK14)</f>
        <v/>
      </c>
    </row>
    <row r="393" spans="1:1" ht="18" customHeight="1">
      <c r="A393" t="str">
        <f>IF(Generation!AL14="","",Generation!AL14)</f>
        <v/>
      </c>
    </row>
    <row r="394" spans="1:1" ht="18" customHeight="1">
      <c r="A394" t="str">
        <f>IF(Generation!AM14="","",Generation!AM14)</f>
        <v/>
      </c>
    </row>
    <row r="395" spans="1:1" ht="18" customHeight="1">
      <c r="A395" t="str">
        <f>IF(Generation!AN14="","",Generation!AN14)</f>
        <v/>
      </c>
    </row>
    <row r="396" spans="1:1" ht="18" customHeight="1">
      <c r="A396" t="str">
        <f>IF(Generation!AO14="","",Generation!AO14)</f>
        <v/>
      </c>
    </row>
    <row r="397" spans="1:1" ht="18" customHeight="1">
      <c r="A397" t="str">
        <f>IF(Generation!AP14="","",Generation!AP14)</f>
        <v/>
      </c>
    </row>
    <row r="398" spans="1:1" ht="18" customHeight="1">
      <c r="A398" t="str">
        <f>IF(Generation!AQ14="","",Generation!AQ14)</f>
        <v/>
      </c>
    </row>
    <row r="399" spans="1:1" ht="18" customHeight="1">
      <c r="A399" t="str">
        <f>IF(Generation!$B14,"    &lt;/resprocessing&gt;","")</f>
        <v/>
      </c>
    </row>
    <row r="400" spans="1:1" ht="18" customHeight="1">
      <c r="A400" t="str">
        <f>IF(Generation!$B14,"    &lt;itemfeedback ident=""response""&gt;&lt;flow_mat&gt;&lt;material&gt;&lt;mattext texttype=""text/plain""&gt;&lt;/mattext&gt;&lt;/material&gt;&lt;/flow_mat&gt;&lt;/itemfeedback&gt;","")</f>
        <v/>
      </c>
    </row>
    <row r="401" spans="1:1" ht="18" customHeight="1">
      <c r="A401" t="str">
        <f>IF(Generation!$B14,"  &lt;/item&gt;","")</f>
        <v/>
      </c>
    </row>
    <row r="402" spans="1:1" ht="18" customHeight="1">
      <c r="A402" t="str">
        <f>IF(Generation!$B14,"","")</f>
        <v/>
      </c>
    </row>
    <row r="403" spans="1:1" ht="18" customHeight="1">
      <c r="A403" t="str">
        <f>""</f>
        <v/>
      </c>
    </row>
    <row r="404" spans="1:1" ht="18" customHeight="1">
      <c r="A404" t="str">
        <f>IF(Generation!$B15,"  &lt;item ident=""il_0_qst_"&amp;TEXT(Generation!$A15,"000")&amp;""" title="""&amp;Generation!$F15&amp;"""&gt;","")</f>
        <v/>
      </c>
    </row>
    <row r="405" spans="1:1" ht="18" customHeight="1">
      <c r="A405" t="str">
        <f>IF(Generation!$B15,"    &lt;duration&gt;P0Y0M0DT0H1M0S&lt;/duration&gt;","")</f>
        <v/>
      </c>
    </row>
    <row r="406" spans="1:1" ht="18" customHeight="1">
      <c r="A406" t="str">
        <f>IF(Generation!$B15,"    &lt;itemmetadata&gt;","")</f>
        <v/>
      </c>
    </row>
    <row r="407" spans="1:1" ht="18" customHeight="1">
      <c r="A407" t="str">
        <f>IF(Generation!$B15,"      &lt;qtimetadata&gt;","")</f>
        <v/>
      </c>
    </row>
    <row r="408" spans="1:1" ht="18" customHeight="1">
      <c r="A408" t="str">
        <f>IF(Generation!$B15,"        &lt;qtimetadatafield&gt;&lt;fieldlabel&gt;ILIAS_VERSION&lt;/fieldlabel&gt;&lt;fieldentry&gt;8&lt;/fieldentry&gt;&lt;/qtimetadatafield&gt;","")</f>
        <v/>
      </c>
    </row>
    <row r="409" spans="1:1" ht="18" customHeight="1">
      <c r="A409" t="str">
        <f>IF(Generation!$B15,"        &lt;qtimetadatafield&gt;&lt;fieldlabel&gt;QUESTIONTYPE&lt;/fieldlabel&gt;&lt;fieldentry&gt;"&amp;Generation!$D15&amp;"&lt;/fieldentry&gt;&lt;/qtimetadatafield&gt;","")</f>
        <v/>
      </c>
    </row>
    <row r="410" spans="1:1" ht="18" customHeight="1">
      <c r="A410" t="str">
        <f>IF(Generation!$B15,"        &lt;qtimetadatafield&gt;&lt;fieldlabel&gt;AUTHOR&lt;/fieldlabel&gt;&lt;fieldentry&gt;Générateur Excel QTI&lt;/fieldentry&gt;&lt;/qtimetadatafield&gt;","")</f>
        <v/>
      </c>
    </row>
    <row r="411" spans="1:1" ht="18" customHeight="1">
      <c r="A411" t="str">
        <f>IF(Generation!$B15,"        &lt;qtimetadatafield&gt;&lt;fieldlabel&gt;identicalScoring&lt;/fieldlabel&gt;&lt;fieldentry&gt;1&lt;/fieldentry&gt;&lt;/qtimetadatafield&gt;","")</f>
        <v/>
      </c>
    </row>
    <row r="412" spans="1:1" ht="18" customHeight="1">
      <c r="A412" t="str">
        <f>IF(Generation!$B15,"      &lt;/qtimetadata&gt;","")</f>
        <v/>
      </c>
    </row>
    <row r="413" spans="1:1" ht="18" customHeight="1">
      <c r="A413" t="str">
        <f>IF(Generation!$B15,"    &lt;/itemmetadata&gt;","")</f>
        <v/>
      </c>
    </row>
    <row r="414" spans="1:1" ht="18" customHeight="1">
      <c r="A414" t="str">
        <f>IF(Generation!$B15,"    &lt;presentation label="""&amp;Generation!$F15&amp;"""&gt;","")</f>
        <v/>
      </c>
    </row>
    <row r="415" spans="1:1" ht="18" customHeight="1">
      <c r="A415" t="str">
        <f>IF(Generation!$B15,"      &lt;material&gt;&lt;mattext texttype=""text/html""&gt;"&amp;Generation!$G15&amp;"&lt;/mattext&gt;&lt;/material&gt;","")</f>
        <v/>
      </c>
    </row>
    <row r="416" spans="1:1" ht="18" customHeight="1">
      <c r="A416" t="str">
        <f>IF(Generation!$B15,"      &lt;response_lid ident=""RESPONSE"" rcardinality="""&amp;Generation!$E15&amp;"""&gt;","")</f>
        <v/>
      </c>
    </row>
    <row r="417" spans="1:1" ht="18" customHeight="1">
      <c r="A417" t="str">
        <f>IF(Generation!$B15,"        &lt;render_choice shuffle=""No""&gt;","")</f>
        <v/>
      </c>
    </row>
    <row r="418" spans="1:1" ht="18" customHeight="1">
      <c r="A418" t="str">
        <f>IF(Generation!AB15="","",Generation!AB15)</f>
        <v/>
      </c>
    </row>
    <row r="419" spans="1:1" ht="18" customHeight="1">
      <c r="A419" t="str">
        <f>IF(Generation!AC15="","",Generation!AC15)</f>
        <v/>
      </c>
    </row>
    <row r="420" spans="1:1" ht="18" customHeight="1">
      <c r="A420" t="str">
        <f>IF(Generation!AD15="","",Generation!AD15)</f>
        <v/>
      </c>
    </row>
    <row r="421" spans="1:1" ht="18" customHeight="1">
      <c r="A421" t="str">
        <f>IF(Generation!AE15="","",Generation!AE15)</f>
        <v/>
      </c>
    </row>
    <row r="422" spans="1:1" ht="18" customHeight="1">
      <c r="A422" t="str">
        <f>IF(Generation!AF15="","",Generation!AF15)</f>
        <v/>
      </c>
    </row>
    <row r="423" spans="1:1" ht="18" customHeight="1">
      <c r="A423" t="str">
        <f>IF(Generation!AG15="","",Generation!AG15)</f>
        <v/>
      </c>
    </row>
    <row r="424" spans="1:1" ht="18" customHeight="1">
      <c r="A424" t="str">
        <f>IF(Generation!AH15="","",Generation!AH15)</f>
        <v/>
      </c>
    </row>
    <row r="425" spans="1:1" ht="18" customHeight="1">
      <c r="A425" t="str">
        <f>IF(Generation!AI15="","",Generation!AI15)</f>
        <v/>
      </c>
    </row>
    <row r="426" spans="1:1" ht="18" customHeight="1">
      <c r="A426" t="str">
        <f>IF(Generation!$B15,"        &lt;/render_choice&gt;","")</f>
        <v/>
      </c>
    </row>
    <row r="427" spans="1:1" ht="18" customHeight="1">
      <c r="A427" t="str">
        <f>IF(Generation!$B15,"      &lt;/response_lid&gt;","")</f>
        <v/>
      </c>
    </row>
    <row r="428" spans="1:1" ht="18" customHeight="1">
      <c r="A428" t="str">
        <f>IF(Generation!$B15,"    &lt;/presentation&gt;","")</f>
        <v/>
      </c>
    </row>
    <row r="429" spans="1:1" ht="18" customHeight="1">
      <c r="A429" t="str">
        <f>IF(Generation!$B15,"    &lt;resprocessing&gt;","")</f>
        <v/>
      </c>
    </row>
    <row r="430" spans="1:1" ht="18" customHeight="1">
      <c r="A430" t="str">
        <f>IF(Generation!$B15,"      &lt;outcomes&gt;&lt;decvar varname=""SCORE"" vartype=""Decimal"" minvalue=""0"" maxvalue="""&amp;Generation!$H15&amp;"""/&gt;&lt;/outcomes&gt;","")</f>
        <v/>
      </c>
    </row>
    <row r="431" spans="1:1" ht="18" customHeight="1">
      <c r="A431" t="str">
        <f>IF(Generation!AJ15="","",Generation!AJ15)</f>
        <v/>
      </c>
    </row>
    <row r="432" spans="1:1" ht="18" customHeight="1">
      <c r="A432" t="str">
        <f>IF(Generation!AK15="","",Generation!AK15)</f>
        <v/>
      </c>
    </row>
    <row r="433" spans="1:1" ht="18" customHeight="1">
      <c r="A433" t="str">
        <f>IF(Generation!AL15="","",Generation!AL15)</f>
        <v/>
      </c>
    </row>
    <row r="434" spans="1:1" ht="18" customHeight="1">
      <c r="A434" t="str">
        <f>IF(Generation!AM15="","",Generation!AM15)</f>
        <v/>
      </c>
    </row>
    <row r="435" spans="1:1" ht="18" customHeight="1">
      <c r="A435" t="str">
        <f>IF(Generation!AN15="","",Generation!AN15)</f>
        <v/>
      </c>
    </row>
    <row r="436" spans="1:1" ht="18" customHeight="1">
      <c r="A436" t="str">
        <f>IF(Generation!AO15="","",Generation!AO15)</f>
        <v/>
      </c>
    </row>
    <row r="437" spans="1:1" ht="18" customHeight="1">
      <c r="A437" t="str">
        <f>IF(Generation!AP15="","",Generation!AP15)</f>
        <v/>
      </c>
    </row>
    <row r="438" spans="1:1" ht="18" customHeight="1">
      <c r="A438" t="str">
        <f>IF(Generation!AQ15="","",Generation!AQ15)</f>
        <v/>
      </c>
    </row>
    <row r="439" spans="1:1" ht="18" customHeight="1">
      <c r="A439" t="str">
        <f>IF(Generation!$B15,"    &lt;/resprocessing&gt;","")</f>
        <v/>
      </c>
    </row>
    <row r="440" spans="1:1" ht="18" customHeight="1">
      <c r="A440" t="str">
        <f>IF(Generation!$B15,"    &lt;itemfeedback ident=""response""&gt;&lt;flow_mat&gt;&lt;material&gt;&lt;mattext texttype=""text/plain""&gt;&lt;/mattext&gt;&lt;/material&gt;&lt;/flow_mat&gt;&lt;/itemfeedback&gt;","")</f>
        <v/>
      </c>
    </row>
    <row r="441" spans="1:1" ht="18" customHeight="1">
      <c r="A441" t="str">
        <f>IF(Generation!$B15,"  &lt;/item&gt;","")</f>
        <v/>
      </c>
    </row>
    <row r="442" spans="1:1" ht="18" customHeight="1">
      <c r="A442" t="str">
        <f>IF(Generation!$B15,"","")</f>
        <v/>
      </c>
    </row>
    <row r="443" spans="1:1" ht="18" customHeight="1">
      <c r="A443" t="str">
        <f>""</f>
        <v/>
      </c>
    </row>
    <row r="444" spans="1:1" ht="18" customHeight="1">
      <c r="A444" t="str">
        <f>IF(Generation!$B16,"  &lt;item ident=""il_0_qst_"&amp;TEXT(Generation!$A16,"000")&amp;""" title="""&amp;Generation!$F16&amp;"""&gt;","")</f>
        <v/>
      </c>
    </row>
    <row r="445" spans="1:1" ht="18" customHeight="1">
      <c r="A445" t="str">
        <f>IF(Generation!$B16,"    &lt;duration&gt;P0Y0M0DT0H1M0S&lt;/duration&gt;","")</f>
        <v/>
      </c>
    </row>
    <row r="446" spans="1:1" ht="18" customHeight="1">
      <c r="A446" t="str">
        <f>IF(Generation!$B16,"    &lt;itemmetadata&gt;","")</f>
        <v/>
      </c>
    </row>
    <row r="447" spans="1:1" ht="18" customHeight="1">
      <c r="A447" t="str">
        <f>IF(Generation!$B16,"      &lt;qtimetadata&gt;","")</f>
        <v/>
      </c>
    </row>
    <row r="448" spans="1:1" ht="18" customHeight="1">
      <c r="A448" t="str">
        <f>IF(Generation!$B16,"        &lt;qtimetadatafield&gt;&lt;fieldlabel&gt;ILIAS_VERSION&lt;/fieldlabel&gt;&lt;fieldentry&gt;8&lt;/fieldentry&gt;&lt;/qtimetadatafield&gt;","")</f>
        <v/>
      </c>
    </row>
    <row r="449" spans="1:1" ht="18" customHeight="1">
      <c r="A449" t="str">
        <f>IF(Generation!$B16,"        &lt;qtimetadatafield&gt;&lt;fieldlabel&gt;QUESTIONTYPE&lt;/fieldlabel&gt;&lt;fieldentry&gt;"&amp;Generation!$D16&amp;"&lt;/fieldentry&gt;&lt;/qtimetadatafield&gt;","")</f>
        <v/>
      </c>
    </row>
    <row r="450" spans="1:1" ht="18" customHeight="1">
      <c r="A450" t="str">
        <f>IF(Generation!$B16,"        &lt;qtimetadatafield&gt;&lt;fieldlabel&gt;AUTHOR&lt;/fieldlabel&gt;&lt;fieldentry&gt;Générateur Excel QTI&lt;/fieldentry&gt;&lt;/qtimetadatafield&gt;","")</f>
        <v/>
      </c>
    </row>
    <row r="451" spans="1:1" ht="18" customHeight="1">
      <c r="A451" t="str">
        <f>IF(Generation!$B16,"        &lt;qtimetadatafield&gt;&lt;fieldlabel&gt;identicalScoring&lt;/fieldlabel&gt;&lt;fieldentry&gt;1&lt;/fieldentry&gt;&lt;/qtimetadatafield&gt;","")</f>
        <v/>
      </c>
    </row>
    <row r="452" spans="1:1" ht="18" customHeight="1">
      <c r="A452" t="str">
        <f>IF(Generation!$B16,"      &lt;/qtimetadata&gt;","")</f>
        <v/>
      </c>
    </row>
    <row r="453" spans="1:1" ht="18" customHeight="1">
      <c r="A453" t="str">
        <f>IF(Generation!$B16,"    &lt;/itemmetadata&gt;","")</f>
        <v/>
      </c>
    </row>
    <row r="454" spans="1:1" ht="18" customHeight="1">
      <c r="A454" t="str">
        <f>IF(Generation!$B16,"    &lt;presentation label="""&amp;Generation!$F16&amp;"""&gt;","")</f>
        <v/>
      </c>
    </row>
    <row r="455" spans="1:1" ht="18" customHeight="1">
      <c r="A455" t="str">
        <f>IF(Generation!$B16,"      &lt;material&gt;&lt;mattext texttype=""text/html""&gt;"&amp;Generation!$G16&amp;"&lt;/mattext&gt;&lt;/material&gt;","")</f>
        <v/>
      </c>
    </row>
    <row r="456" spans="1:1" ht="18" customHeight="1">
      <c r="A456" t="str">
        <f>IF(Generation!$B16,"      &lt;response_lid ident=""RESPONSE"" rcardinality="""&amp;Generation!$E16&amp;"""&gt;","")</f>
        <v/>
      </c>
    </row>
    <row r="457" spans="1:1" ht="18" customHeight="1">
      <c r="A457" t="str">
        <f>IF(Generation!$B16,"        &lt;render_choice shuffle=""No""&gt;","")</f>
        <v/>
      </c>
    </row>
    <row r="458" spans="1:1" ht="18" customHeight="1">
      <c r="A458" t="str">
        <f>IF(Generation!AB16="","",Generation!AB16)</f>
        <v/>
      </c>
    </row>
    <row r="459" spans="1:1" ht="18" customHeight="1">
      <c r="A459" t="str">
        <f>IF(Generation!AC16="","",Generation!AC16)</f>
        <v/>
      </c>
    </row>
    <row r="460" spans="1:1" ht="18" customHeight="1">
      <c r="A460" t="str">
        <f>IF(Generation!AD16="","",Generation!AD16)</f>
        <v/>
      </c>
    </row>
    <row r="461" spans="1:1" ht="18" customHeight="1">
      <c r="A461" t="str">
        <f>IF(Generation!AE16="","",Generation!AE16)</f>
        <v/>
      </c>
    </row>
    <row r="462" spans="1:1" ht="18" customHeight="1">
      <c r="A462" t="str">
        <f>IF(Generation!AF16="","",Generation!AF16)</f>
        <v/>
      </c>
    </row>
    <row r="463" spans="1:1" ht="18" customHeight="1">
      <c r="A463" t="str">
        <f>IF(Generation!AG16="","",Generation!AG16)</f>
        <v/>
      </c>
    </row>
    <row r="464" spans="1:1" ht="18" customHeight="1">
      <c r="A464" t="str">
        <f>IF(Generation!AH16="","",Generation!AH16)</f>
        <v/>
      </c>
    </row>
    <row r="465" spans="1:1" ht="18" customHeight="1">
      <c r="A465" t="str">
        <f>IF(Generation!AI16="","",Generation!AI16)</f>
        <v/>
      </c>
    </row>
    <row r="466" spans="1:1" ht="18" customHeight="1">
      <c r="A466" t="str">
        <f>IF(Generation!$B16,"        &lt;/render_choice&gt;","")</f>
        <v/>
      </c>
    </row>
    <row r="467" spans="1:1" ht="18" customHeight="1">
      <c r="A467" t="str">
        <f>IF(Generation!$B16,"      &lt;/response_lid&gt;","")</f>
        <v/>
      </c>
    </row>
    <row r="468" spans="1:1" ht="18" customHeight="1">
      <c r="A468" t="str">
        <f>IF(Generation!$B16,"    &lt;/presentation&gt;","")</f>
        <v/>
      </c>
    </row>
    <row r="469" spans="1:1" ht="18" customHeight="1">
      <c r="A469" t="str">
        <f>IF(Generation!$B16,"    &lt;resprocessing&gt;","")</f>
        <v/>
      </c>
    </row>
    <row r="470" spans="1:1" ht="18" customHeight="1">
      <c r="A470" t="str">
        <f>IF(Generation!$B16,"      &lt;outcomes&gt;&lt;decvar varname=""SCORE"" vartype=""Decimal"" minvalue=""0"" maxvalue="""&amp;Generation!$H16&amp;"""/&gt;&lt;/outcomes&gt;","")</f>
        <v/>
      </c>
    </row>
    <row r="471" spans="1:1" ht="18" customHeight="1">
      <c r="A471" t="str">
        <f>IF(Generation!AJ16="","",Generation!AJ16)</f>
        <v/>
      </c>
    </row>
    <row r="472" spans="1:1" ht="18" customHeight="1">
      <c r="A472" t="str">
        <f>IF(Generation!AK16="","",Generation!AK16)</f>
        <v/>
      </c>
    </row>
    <row r="473" spans="1:1" ht="18" customHeight="1">
      <c r="A473" t="str">
        <f>IF(Generation!AL16="","",Generation!AL16)</f>
        <v/>
      </c>
    </row>
    <row r="474" spans="1:1" ht="18" customHeight="1">
      <c r="A474" t="str">
        <f>IF(Generation!AM16="","",Generation!AM16)</f>
        <v/>
      </c>
    </row>
    <row r="475" spans="1:1" ht="18" customHeight="1">
      <c r="A475" t="str">
        <f>IF(Generation!AN16="","",Generation!AN16)</f>
        <v/>
      </c>
    </row>
    <row r="476" spans="1:1" ht="18" customHeight="1">
      <c r="A476" t="str">
        <f>IF(Generation!AO16="","",Generation!AO16)</f>
        <v/>
      </c>
    </row>
    <row r="477" spans="1:1" ht="18" customHeight="1">
      <c r="A477" t="str">
        <f>IF(Generation!AP16="","",Generation!AP16)</f>
        <v/>
      </c>
    </row>
    <row r="478" spans="1:1" ht="18" customHeight="1">
      <c r="A478" t="str">
        <f>IF(Generation!AQ16="","",Generation!AQ16)</f>
        <v/>
      </c>
    </row>
    <row r="479" spans="1:1" ht="18" customHeight="1">
      <c r="A479" t="str">
        <f>IF(Generation!$B16,"    &lt;/resprocessing&gt;","")</f>
        <v/>
      </c>
    </row>
    <row r="480" spans="1:1" ht="18" customHeight="1">
      <c r="A480" t="str">
        <f>IF(Generation!$B16,"    &lt;itemfeedback ident=""response""&gt;&lt;flow_mat&gt;&lt;material&gt;&lt;mattext texttype=""text/plain""&gt;&lt;/mattext&gt;&lt;/material&gt;&lt;/flow_mat&gt;&lt;/itemfeedback&gt;","")</f>
        <v/>
      </c>
    </row>
    <row r="481" spans="1:1" ht="18" customHeight="1">
      <c r="A481" t="str">
        <f>IF(Generation!$B16,"  &lt;/item&gt;","")</f>
        <v/>
      </c>
    </row>
    <row r="482" spans="1:1" ht="18" customHeight="1">
      <c r="A482" t="str">
        <f>IF(Generation!$B16,"","")</f>
        <v/>
      </c>
    </row>
    <row r="483" spans="1:1" ht="18" customHeight="1">
      <c r="A483" t="str">
        <f>""</f>
        <v/>
      </c>
    </row>
    <row r="484" spans="1:1" ht="18" customHeight="1">
      <c r="A484" t="str">
        <f>IF(Generation!$B17,"  &lt;item ident=""il_0_qst_"&amp;TEXT(Generation!$A17,"000")&amp;""" title="""&amp;Generation!$F17&amp;"""&gt;","")</f>
        <v/>
      </c>
    </row>
    <row r="485" spans="1:1" ht="18" customHeight="1">
      <c r="A485" t="str">
        <f>IF(Generation!$B17,"    &lt;duration&gt;P0Y0M0DT0H1M0S&lt;/duration&gt;","")</f>
        <v/>
      </c>
    </row>
    <row r="486" spans="1:1" ht="18" customHeight="1">
      <c r="A486" t="str">
        <f>IF(Generation!$B17,"    &lt;itemmetadata&gt;","")</f>
        <v/>
      </c>
    </row>
    <row r="487" spans="1:1" ht="18" customHeight="1">
      <c r="A487" t="str">
        <f>IF(Generation!$B17,"      &lt;qtimetadata&gt;","")</f>
        <v/>
      </c>
    </row>
    <row r="488" spans="1:1" ht="18" customHeight="1">
      <c r="A488" t="str">
        <f>IF(Generation!$B17,"        &lt;qtimetadatafield&gt;&lt;fieldlabel&gt;ILIAS_VERSION&lt;/fieldlabel&gt;&lt;fieldentry&gt;8&lt;/fieldentry&gt;&lt;/qtimetadatafield&gt;","")</f>
        <v/>
      </c>
    </row>
    <row r="489" spans="1:1" ht="18" customHeight="1">
      <c r="A489" t="str">
        <f>IF(Generation!$B17,"        &lt;qtimetadatafield&gt;&lt;fieldlabel&gt;QUESTIONTYPE&lt;/fieldlabel&gt;&lt;fieldentry&gt;"&amp;Generation!$D17&amp;"&lt;/fieldentry&gt;&lt;/qtimetadatafield&gt;","")</f>
        <v/>
      </c>
    </row>
    <row r="490" spans="1:1" ht="18" customHeight="1">
      <c r="A490" t="str">
        <f>IF(Generation!$B17,"        &lt;qtimetadatafield&gt;&lt;fieldlabel&gt;AUTHOR&lt;/fieldlabel&gt;&lt;fieldentry&gt;Générateur Excel QTI&lt;/fieldentry&gt;&lt;/qtimetadatafield&gt;","")</f>
        <v/>
      </c>
    </row>
    <row r="491" spans="1:1" ht="18" customHeight="1">
      <c r="A491" t="str">
        <f>IF(Generation!$B17,"        &lt;qtimetadatafield&gt;&lt;fieldlabel&gt;identicalScoring&lt;/fieldlabel&gt;&lt;fieldentry&gt;1&lt;/fieldentry&gt;&lt;/qtimetadatafield&gt;","")</f>
        <v/>
      </c>
    </row>
    <row r="492" spans="1:1" ht="18" customHeight="1">
      <c r="A492" t="str">
        <f>IF(Generation!$B17,"      &lt;/qtimetadata&gt;","")</f>
        <v/>
      </c>
    </row>
    <row r="493" spans="1:1" ht="18" customHeight="1">
      <c r="A493" t="str">
        <f>IF(Generation!$B17,"    &lt;/itemmetadata&gt;","")</f>
        <v/>
      </c>
    </row>
    <row r="494" spans="1:1" ht="18" customHeight="1">
      <c r="A494" t="str">
        <f>IF(Generation!$B17,"    &lt;presentation label="""&amp;Generation!$F17&amp;"""&gt;","")</f>
        <v/>
      </c>
    </row>
    <row r="495" spans="1:1" ht="18" customHeight="1">
      <c r="A495" t="str">
        <f>IF(Generation!$B17,"      &lt;material&gt;&lt;mattext texttype=""text/html""&gt;"&amp;Generation!$G17&amp;"&lt;/mattext&gt;&lt;/material&gt;","")</f>
        <v/>
      </c>
    </row>
    <row r="496" spans="1:1" ht="18" customHeight="1">
      <c r="A496" t="str">
        <f>IF(Generation!$B17,"      &lt;response_lid ident=""RESPONSE"" rcardinality="""&amp;Generation!$E17&amp;"""&gt;","")</f>
        <v/>
      </c>
    </row>
    <row r="497" spans="1:1" ht="18" customHeight="1">
      <c r="A497" t="str">
        <f>IF(Generation!$B17,"        &lt;render_choice shuffle=""No""&gt;","")</f>
        <v/>
      </c>
    </row>
    <row r="498" spans="1:1" ht="18" customHeight="1">
      <c r="A498" t="str">
        <f>IF(Generation!AB17="","",Generation!AB17)</f>
        <v/>
      </c>
    </row>
    <row r="499" spans="1:1" ht="18" customHeight="1">
      <c r="A499" t="str">
        <f>IF(Generation!AC17="","",Generation!AC17)</f>
        <v/>
      </c>
    </row>
    <row r="500" spans="1:1" ht="18" customHeight="1">
      <c r="A500" t="str">
        <f>IF(Generation!AD17="","",Generation!AD17)</f>
        <v/>
      </c>
    </row>
    <row r="501" spans="1:1" ht="18" customHeight="1">
      <c r="A501" t="str">
        <f>IF(Generation!AE17="","",Generation!AE17)</f>
        <v/>
      </c>
    </row>
    <row r="502" spans="1:1" ht="18" customHeight="1">
      <c r="A502" t="str">
        <f>IF(Generation!AF17="","",Generation!AF17)</f>
        <v/>
      </c>
    </row>
    <row r="503" spans="1:1" ht="18" customHeight="1">
      <c r="A503" t="str">
        <f>IF(Generation!AG17="","",Generation!AG17)</f>
        <v/>
      </c>
    </row>
    <row r="504" spans="1:1" ht="18" customHeight="1">
      <c r="A504" t="str">
        <f>IF(Generation!AH17="","",Generation!AH17)</f>
        <v/>
      </c>
    </row>
    <row r="505" spans="1:1" ht="18" customHeight="1">
      <c r="A505" t="str">
        <f>IF(Generation!AI17="","",Generation!AI17)</f>
        <v/>
      </c>
    </row>
    <row r="506" spans="1:1" ht="18" customHeight="1">
      <c r="A506" t="str">
        <f>IF(Generation!$B17,"        &lt;/render_choice&gt;","")</f>
        <v/>
      </c>
    </row>
    <row r="507" spans="1:1" ht="18" customHeight="1">
      <c r="A507" t="str">
        <f>IF(Generation!$B17,"      &lt;/response_lid&gt;","")</f>
        <v/>
      </c>
    </row>
    <row r="508" spans="1:1" ht="18" customHeight="1">
      <c r="A508" t="str">
        <f>IF(Generation!$B17,"    &lt;/presentation&gt;","")</f>
        <v/>
      </c>
    </row>
    <row r="509" spans="1:1" ht="18" customHeight="1">
      <c r="A509" t="str">
        <f>IF(Generation!$B17,"    &lt;resprocessing&gt;","")</f>
        <v/>
      </c>
    </row>
    <row r="510" spans="1:1" ht="18" customHeight="1">
      <c r="A510" t="str">
        <f>IF(Generation!$B17,"      &lt;outcomes&gt;&lt;decvar varname=""SCORE"" vartype=""Decimal"" minvalue=""0"" maxvalue="""&amp;Generation!$H17&amp;"""/&gt;&lt;/outcomes&gt;","")</f>
        <v/>
      </c>
    </row>
    <row r="511" spans="1:1" ht="18" customHeight="1">
      <c r="A511" t="str">
        <f>IF(Generation!AJ17="","",Generation!AJ17)</f>
        <v/>
      </c>
    </row>
    <row r="512" spans="1:1" ht="18" customHeight="1">
      <c r="A512" t="str">
        <f>IF(Generation!AK17="","",Generation!AK17)</f>
        <v/>
      </c>
    </row>
    <row r="513" spans="1:1" ht="18" customHeight="1">
      <c r="A513" t="str">
        <f>IF(Generation!AL17="","",Generation!AL17)</f>
        <v/>
      </c>
    </row>
    <row r="514" spans="1:1" ht="18" customHeight="1">
      <c r="A514" t="str">
        <f>IF(Generation!AM17="","",Generation!AM17)</f>
        <v/>
      </c>
    </row>
    <row r="515" spans="1:1" ht="18" customHeight="1">
      <c r="A515" t="str">
        <f>IF(Generation!AN17="","",Generation!AN17)</f>
        <v/>
      </c>
    </row>
    <row r="516" spans="1:1" ht="18" customHeight="1">
      <c r="A516" t="str">
        <f>IF(Generation!AO17="","",Generation!AO17)</f>
        <v/>
      </c>
    </row>
    <row r="517" spans="1:1" ht="18" customHeight="1">
      <c r="A517" t="str">
        <f>IF(Generation!AP17="","",Generation!AP17)</f>
        <v/>
      </c>
    </row>
    <row r="518" spans="1:1" ht="18" customHeight="1">
      <c r="A518" t="str">
        <f>IF(Generation!AQ17="","",Generation!AQ17)</f>
        <v/>
      </c>
    </row>
    <row r="519" spans="1:1" ht="18" customHeight="1">
      <c r="A519" t="str">
        <f>IF(Generation!$B17,"    &lt;/resprocessing&gt;","")</f>
        <v/>
      </c>
    </row>
    <row r="520" spans="1:1" ht="18" customHeight="1">
      <c r="A520" t="str">
        <f>IF(Generation!$B17,"    &lt;itemfeedback ident=""response""&gt;&lt;flow_mat&gt;&lt;material&gt;&lt;mattext texttype=""text/plain""&gt;&lt;/mattext&gt;&lt;/material&gt;&lt;/flow_mat&gt;&lt;/itemfeedback&gt;","")</f>
        <v/>
      </c>
    </row>
    <row r="521" spans="1:1" ht="18" customHeight="1">
      <c r="A521" t="str">
        <f>IF(Generation!$B17,"  &lt;/item&gt;","")</f>
        <v/>
      </c>
    </row>
    <row r="522" spans="1:1" ht="18" customHeight="1">
      <c r="A522" t="str">
        <f>IF(Generation!$B17,"","")</f>
        <v/>
      </c>
    </row>
    <row r="523" spans="1:1" ht="18" customHeight="1">
      <c r="A523" t="str">
        <f>""</f>
        <v/>
      </c>
    </row>
    <row r="524" spans="1:1" ht="18" customHeight="1">
      <c r="A524" t="str">
        <f>IF(Generation!$B18,"  &lt;item ident=""il_0_qst_"&amp;TEXT(Generation!$A18,"000")&amp;""" title="""&amp;Generation!$F18&amp;"""&gt;","")</f>
        <v/>
      </c>
    </row>
    <row r="525" spans="1:1" ht="18" customHeight="1">
      <c r="A525" t="str">
        <f>IF(Generation!$B18,"    &lt;duration&gt;P0Y0M0DT0H1M0S&lt;/duration&gt;","")</f>
        <v/>
      </c>
    </row>
    <row r="526" spans="1:1" ht="18" customHeight="1">
      <c r="A526" t="str">
        <f>IF(Generation!$B18,"    &lt;itemmetadata&gt;","")</f>
        <v/>
      </c>
    </row>
    <row r="527" spans="1:1" ht="18" customHeight="1">
      <c r="A527" t="str">
        <f>IF(Generation!$B18,"      &lt;qtimetadata&gt;","")</f>
        <v/>
      </c>
    </row>
    <row r="528" spans="1:1" ht="18" customHeight="1">
      <c r="A528" t="str">
        <f>IF(Generation!$B18,"        &lt;qtimetadatafield&gt;&lt;fieldlabel&gt;ILIAS_VERSION&lt;/fieldlabel&gt;&lt;fieldentry&gt;8&lt;/fieldentry&gt;&lt;/qtimetadatafield&gt;","")</f>
        <v/>
      </c>
    </row>
    <row r="529" spans="1:1" ht="18" customHeight="1">
      <c r="A529" t="str">
        <f>IF(Generation!$B18,"        &lt;qtimetadatafield&gt;&lt;fieldlabel&gt;QUESTIONTYPE&lt;/fieldlabel&gt;&lt;fieldentry&gt;"&amp;Generation!$D18&amp;"&lt;/fieldentry&gt;&lt;/qtimetadatafield&gt;","")</f>
        <v/>
      </c>
    </row>
    <row r="530" spans="1:1" ht="18" customHeight="1">
      <c r="A530" t="str">
        <f>IF(Generation!$B18,"        &lt;qtimetadatafield&gt;&lt;fieldlabel&gt;AUTHOR&lt;/fieldlabel&gt;&lt;fieldentry&gt;Générateur Excel QTI&lt;/fieldentry&gt;&lt;/qtimetadatafield&gt;","")</f>
        <v/>
      </c>
    </row>
    <row r="531" spans="1:1" ht="18" customHeight="1">
      <c r="A531" t="str">
        <f>IF(Generation!$B18,"        &lt;qtimetadatafield&gt;&lt;fieldlabel&gt;identicalScoring&lt;/fieldlabel&gt;&lt;fieldentry&gt;1&lt;/fieldentry&gt;&lt;/qtimetadatafield&gt;","")</f>
        <v/>
      </c>
    </row>
    <row r="532" spans="1:1" ht="18" customHeight="1">
      <c r="A532" t="str">
        <f>IF(Generation!$B18,"      &lt;/qtimetadata&gt;","")</f>
        <v/>
      </c>
    </row>
    <row r="533" spans="1:1" ht="18" customHeight="1">
      <c r="A533" t="str">
        <f>IF(Generation!$B18,"    &lt;/itemmetadata&gt;","")</f>
        <v/>
      </c>
    </row>
    <row r="534" spans="1:1" ht="18" customHeight="1">
      <c r="A534" t="str">
        <f>IF(Generation!$B18,"    &lt;presentation label="""&amp;Generation!$F18&amp;"""&gt;","")</f>
        <v/>
      </c>
    </row>
    <row r="535" spans="1:1" ht="18" customHeight="1">
      <c r="A535" t="str">
        <f>IF(Generation!$B18,"      &lt;material&gt;&lt;mattext texttype=""text/html""&gt;"&amp;Generation!$G18&amp;"&lt;/mattext&gt;&lt;/material&gt;","")</f>
        <v/>
      </c>
    </row>
    <row r="536" spans="1:1" ht="18" customHeight="1">
      <c r="A536" t="str">
        <f>IF(Generation!$B18,"      &lt;response_lid ident=""RESPONSE"" rcardinality="""&amp;Generation!$E18&amp;"""&gt;","")</f>
        <v/>
      </c>
    </row>
    <row r="537" spans="1:1" ht="18" customHeight="1">
      <c r="A537" t="str">
        <f>IF(Generation!$B18,"        &lt;render_choice shuffle=""No""&gt;","")</f>
        <v/>
      </c>
    </row>
    <row r="538" spans="1:1" ht="18" customHeight="1">
      <c r="A538" t="str">
        <f>IF(Generation!AB18="","",Generation!AB18)</f>
        <v/>
      </c>
    </row>
    <row r="539" spans="1:1" ht="18" customHeight="1">
      <c r="A539" t="str">
        <f>IF(Generation!AC18="","",Generation!AC18)</f>
        <v/>
      </c>
    </row>
    <row r="540" spans="1:1" ht="18" customHeight="1">
      <c r="A540" t="str">
        <f>IF(Generation!AD18="","",Generation!AD18)</f>
        <v/>
      </c>
    </row>
    <row r="541" spans="1:1" ht="18" customHeight="1">
      <c r="A541" t="str">
        <f>IF(Generation!AE18="","",Generation!AE18)</f>
        <v/>
      </c>
    </row>
    <row r="542" spans="1:1" ht="18" customHeight="1">
      <c r="A542" t="str">
        <f>IF(Generation!AF18="","",Generation!AF18)</f>
        <v/>
      </c>
    </row>
    <row r="543" spans="1:1" ht="18" customHeight="1">
      <c r="A543" t="str">
        <f>IF(Generation!AG18="","",Generation!AG18)</f>
        <v/>
      </c>
    </row>
    <row r="544" spans="1:1" ht="18" customHeight="1">
      <c r="A544" t="str">
        <f>IF(Generation!AH18="","",Generation!AH18)</f>
        <v/>
      </c>
    </row>
    <row r="545" spans="1:1" ht="18" customHeight="1">
      <c r="A545" t="str">
        <f>IF(Generation!AI18="","",Generation!AI18)</f>
        <v/>
      </c>
    </row>
    <row r="546" spans="1:1" ht="18" customHeight="1">
      <c r="A546" t="str">
        <f>IF(Generation!$B18,"        &lt;/render_choice&gt;","")</f>
        <v/>
      </c>
    </row>
    <row r="547" spans="1:1" ht="18" customHeight="1">
      <c r="A547" t="str">
        <f>IF(Generation!$B18,"      &lt;/response_lid&gt;","")</f>
        <v/>
      </c>
    </row>
    <row r="548" spans="1:1" ht="18" customHeight="1">
      <c r="A548" t="str">
        <f>IF(Generation!$B18,"    &lt;/presentation&gt;","")</f>
        <v/>
      </c>
    </row>
    <row r="549" spans="1:1" ht="18" customHeight="1">
      <c r="A549" t="str">
        <f>IF(Generation!$B18,"    &lt;resprocessing&gt;","")</f>
        <v/>
      </c>
    </row>
    <row r="550" spans="1:1" ht="18" customHeight="1">
      <c r="A550" t="str">
        <f>IF(Generation!$B18,"      &lt;outcomes&gt;&lt;decvar varname=""SCORE"" vartype=""Decimal"" minvalue=""0"" maxvalue="""&amp;Generation!$H18&amp;"""/&gt;&lt;/outcomes&gt;","")</f>
        <v/>
      </c>
    </row>
    <row r="551" spans="1:1" ht="18" customHeight="1">
      <c r="A551" t="str">
        <f>IF(Generation!AJ18="","",Generation!AJ18)</f>
        <v/>
      </c>
    </row>
    <row r="552" spans="1:1" ht="18" customHeight="1">
      <c r="A552" t="str">
        <f>IF(Generation!AK18="","",Generation!AK18)</f>
        <v/>
      </c>
    </row>
    <row r="553" spans="1:1" ht="18" customHeight="1">
      <c r="A553" t="str">
        <f>IF(Generation!AL18="","",Generation!AL18)</f>
        <v/>
      </c>
    </row>
    <row r="554" spans="1:1" ht="18" customHeight="1">
      <c r="A554" t="str">
        <f>IF(Generation!AM18="","",Generation!AM18)</f>
        <v/>
      </c>
    </row>
    <row r="555" spans="1:1" ht="18" customHeight="1">
      <c r="A555" t="str">
        <f>IF(Generation!AN18="","",Generation!AN18)</f>
        <v/>
      </c>
    </row>
    <row r="556" spans="1:1" ht="18" customHeight="1">
      <c r="A556" t="str">
        <f>IF(Generation!AO18="","",Generation!AO18)</f>
        <v/>
      </c>
    </row>
    <row r="557" spans="1:1" ht="18" customHeight="1">
      <c r="A557" t="str">
        <f>IF(Generation!AP18="","",Generation!AP18)</f>
        <v/>
      </c>
    </row>
    <row r="558" spans="1:1" ht="18" customHeight="1">
      <c r="A558" t="str">
        <f>IF(Generation!AQ18="","",Generation!AQ18)</f>
        <v/>
      </c>
    </row>
    <row r="559" spans="1:1" ht="18" customHeight="1">
      <c r="A559" t="str">
        <f>IF(Generation!$B18,"    &lt;/resprocessing&gt;","")</f>
        <v/>
      </c>
    </row>
    <row r="560" spans="1:1" ht="18" customHeight="1">
      <c r="A560" t="str">
        <f>IF(Generation!$B18,"    &lt;itemfeedback ident=""response""&gt;&lt;flow_mat&gt;&lt;material&gt;&lt;mattext texttype=""text/plain""&gt;&lt;/mattext&gt;&lt;/material&gt;&lt;/flow_mat&gt;&lt;/itemfeedback&gt;","")</f>
        <v/>
      </c>
    </row>
    <row r="561" spans="1:1" ht="18" customHeight="1">
      <c r="A561" t="str">
        <f>IF(Generation!$B18,"  &lt;/item&gt;","")</f>
        <v/>
      </c>
    </row>
    <row r="562" spans="1:1" ht="18" customHeight="1">
      <c r="A562" t="str">
        <f>IF(Generation!$B18,"","")</f>
        <v/>
      </c>
    </row>
    <row r="563" spans="1:1" ht="18" customHeight="1">
      <c r="A563" t="str">
        <f>""</f>
        <v/>
      </c>
    </row>
    <row r="564" spans="1:1" ht="18" customHeight="1">
      <c r="A564" t="str">
        <f>IF(Generation!$B19,"  &lt;item ident=""il_0_qst_"&amp;TEXT(Generation!$A19,"000")&amp;""" title="""&amp;Generation!$F19&amp;"""&gt;","")</f>
        <v/>
      </c>
    </row>
    <row r="565" spans="1:1" ht="18" customHeight="1">
      <c r="A565" t="str">
        <f>IF(Generation!$B19,"    &lt;duration&gt;P0Y0M0DT0H1M0S&lt;/duration&gt;","")</f>
        <v/>
      </c>
    </row>
    <row r="566" spans="1:1" ht="18" customHeight="1">
      <c r="A566" t="str">
        <f>IF(Generation!$B19,"    &lt;itemmetadata&gt;","")</f>
        <v/>
      </c>
    </row>
    <row r="567" spans="1:1" ht="18" customHeight="1">
      <c r="A567" t="str">
        <f>IF(Generation!$B19,"      &lt;qtimetadata&gt;","")</f>
        <v/>
      </c>
    </row>
    <row r="568" spans="1:1" ht="18" customHeight="1">
      <c r="A568" t="str">
        <f>IF(Generation!$B19,"        &lt;qtimetadatafield&gt;&lt;fieldlabel&gt;ILIAS_VERSION&lt;/fieldlabel&gt;&lt;fieldentry&gt;8&lt;/fieldentry&gt;&lt;/qtimetadatafield&gt;","")</f>
        <v/>
      </c>
    </row>
    <row r="569" spans="1:1" ht="18" customHeight="1">
      <c r="A569" t="str">
        <f>IF(Generation!$B19,"        &lt;qtimetadatafield&gt;&lt;fieldlabel&gt;QUESTIONTYPE&lt;/fieldlabel&gt;&lt;fieldentry&gt;"&amp;Generation!$D19&amp;"&lt;/fieldentry&gt;&lt;/qtimetadatafield&gt;","")</f>
        <v/>
      </c>
    </row>
    <row r="570" spans="1:1" ht="18" customHeight="1">
      <c r="A570" t="str">
        <f>IF(Generation!$B19,"        &lt;qtimetadatafield&gt;&lt;fieldlabel&gt;AUTHOR&lt;/fieldlabel&gt;&lt;fieldentry&gt;Générateur Excel QTI&lt;/fieldentry&gt;&lt;/qtimetadatafield&gt;","")</f>
        <v/>
      </c>
    </row>
    <row r="571" spans="1:1" ht="18" customHeight="1">
      <c r="A571" t="str">
        <f>IF(Generation!$B19,"        &lt;qtimetadatafield&gt;&lt;fieldlabel&gt;identicalScoring&lt;/fieldlabel&gt;&lt;fieldentry&gt;1&lt;/fieldentry&gt;&lt;/qtimetadatafield&gt;","")</f>
        <v/>
      </c>
    </row>
    <row r="572" spans="1:1" ht="18" customHeight="1">
      <c r="A572" t="str">
        <f>IF(Generation!$B19,"      &lt;/qtimetadata&gt;","")</f>
        <v/>
      </c>
    </row>
    <row r="573" spans="1:1" ht="18" customHeight="1">
      <c r="A573" t="str">
        <f>IF(Generation!$B19,"    &lt;/itemmetadata&gt;","")</f>
        <v/>
      </c>
    </row>
    <row r="574" spans="1:1" ht="18" customHeight="1">
      <c r="A574" t="str">
        <f>IF(Generation!$B19,"    &lt;presentation label="""&amp;Generation!$F19&amp;"""&gt;","")</f>
        <v/>
      </c>
    </row>
    <row r="575" spans="1:1" ht="18" customHeight="1">
      <c r="A575" t="str">
        <f>IF(Generation!$B19,"      &lt;material&gt;&lt;mattext texttype=""text/html""&gt;"&amp;Generation!$G19&amp;"&lt;/mattext&gt;&lt;/material&gt;","")</f>
        <v/>
      </c>
    </row>
    <row r="576" spans="1:1" ht="18" customHeight="1">
      <c r="A576" t="str">
        <f>IF(Generation!$B19,"      &lt;response_lid ident=""RESPONSE"" rcardinality="""&amp;Generation!$E19&amp;"""&gt;","")</f>
        <v/>
      </c>
    </row>
    <row r="577" spans="1:1" ht="18" customHeight="1">
      <c r="A577" t="str">
        <f>IF(Generation!$B19,"        &lt;render_choice shuffle=""No""&gt;","")</f>
        <v/>
      </c>
    </row>
    <row r="578" spans="1:1" ht="18" customHeight="1">
      <c r="A578" t="str">
        <f>IF(Generation!AB19="","",Generation!AB19)</f>
        <v/>
      </c>
    </row>
    <row r="579" spans="1:1" ht="18" customHeight="1">
      <c r="A579" t="str">
        <f>IF(Generation!AC19="","",Generation!AC19)</f>
        <v/>
      </c>
    </row>
    <row r="580" spans="1:1" ht="18" customHeight="1">
      <c r="A580" t="str">
        <f>IF(Generation!AD19="","",Generation!AD19)</f>
        <v/>
      </c>
    </row>
    <row r="581" spans="1:1" ht="18" customHeight="1">
      <c r="A581" t="str">
        <f>IF(Generation!AE19="","",Generation!AE19)</f>
        <v/>
      </c>
    </row>
    <row r="582" spans="1:1" ht="18" customHeight="1">
      <c r="A582" t="str">
        <f>IF(Generation!AF19="","",Generation!AF19)</f>
        <v/>
      </c>
    </row>
    <row r="583" spans="1:1" ht="18" customHeight="1">
      <c r="A583" t="str">
        <f>IF(Generation!AG19="","",Generation!AG19)</f>
        <v/>
      </c>
    </row>
    <row r="584" spans="1:1" ht="18" customHeight="1">
      <c r="A584" t="str">
        <f>IF(Generation!AH19="","",Generation!AH19)</f>
        <v/>
      </c>
    </row>
    <row r="585" spans="1:1" ht="18" customHeight="1">
      <c r="A585" t="str">
        <f>IF(Generation!AI19="","",Generation!AI19)</f>
        <v/>
      </c>
    </row>
    <row r="586" spans="1:1" ht="18" customHeight="1">
      <c r="A586" t="str">
        <f>IF(Generation!$B19,"        &lt;/render_choice&gt;","")</f>
        <v/>
      </c>
    </row>
    <row r="587" spans="1:1" ht="18" customHeight="1">
      <c r="A587" t="str">
        <f>IF(Generation!$B19,"      &lt;/response_lid&gt;","")</f>
        <v/>
      </c>
    </row>
    <row r="588" spans="1:1" ht="18" customHeight="1">
      <c r="A588" t="str">
        <f>IF(Generation!$B19,"    &lt;/presentation&gt;","")</f>
        <v/>
      </c>
    </row>
    <row r="589" spans="1:1" ht="18" customHeight="1">
      <c r="A589" t="str">
        <f>IF(Generation!$B19,"    &lt;resprocessing&gt;","")</f>
        <v/>
      </c>
    </row>
    <row r="590" spans="1:1" ht="18" customHeight="1">
      <c r="A590" t="str">
        <f>IF(Generation!$B19,"      &lt;outcomes&gt;&lt;decvar varname=""SCORE"" vartype=""Decimal"" minvalue=""0"" maxvalue="""&amp;Generation!$H19&amp;"""/&gt;&lt;/outcomes&gt;","")</f>
        <v/>
      </c>
    </row>
    <row r="591" spans="1:1" ht="18" customHeight="1">
      <c r="A591" t="str">
        <f>IF(Generation!AJ19="","",Generation!AJ19)</f>
        <v/>
      </c>
    </row>
    <row r="592" spans="1:1" ht="18" customHeight="1">
      <c r="A592" t="str">
        <f>IF(Generation!AK19="","",Generation!AK19)</f>
        <v/>
      </c>
    </row>
    <row r="593" spans="1:1" ht="18" customHeight="1">
      <c r="A593" t="str">
        <f>IF(Generation!AL19="","",Generation!AL19)</f>
        <v/>
      </c>
    </row>
    <row r="594" spans="1:1" ht="18" customHeight="1">
      <c r="A594" t="str">
        <f>IF(Generation!AM19="","",Generation!AM19)</f>
        <v/>
      </c>
    </row>
    <row r="595" spans="1:1" ht="18" customHeight="1">
      <c r="A595" t="str">
        <f>IF(Generation!AN19="","",Generation!AN19)</f>
        <v/>
      </c>
    </row>
    <row r="596" spans="1:1" ht="18" customHeight="1">
      <c r="A596" t="str">
        <f>IF(Generation!AO19="","",Generation!AO19)</f>
        <v/>
      </c>
    </row>
    <row r="597" spans="1:1" ht="18" customHeight="1">
      <c r="A597" t="str">
        <f>IF(Generation!AP19="","",Generation!AP19)</f>
        <v/>
      </c>
    </row>
    <row r="598" spans="1:1" ht="18" customHeight="1">
      <c r="A598" t="str">
        <f>IF(Generation!AQ19="","",Generation!AQ19)</f>
        <v/>
      </c>
    </row>
    <row r="599" spans="1:1" ht="18" customHeight="1">
      <c r="A599" t="str">
        <f>IF(Generation!$B19,"    &lt;/resprocessing&gt;","")</f>
        <v/>
      </c>
    </row>
    <row r="600" spans="1:1" ht="18" customHeight="1">
      <c r="A600" t="str">
        <f>IF(Generation!$B19,"    &lt;itemfeedback ident=""response""&gt;&lt;flow_mat&gt;&lt;material&gt;&lt;mattext texttype=""text/plain""&gt;&lt;/mattext&gt;&lt;/material&gt;&lt;/flow_mat&gt;&lt;/itemfeedback&gt;","")</f>
        <v/>
      </c>
    </row>
    <row r="601" spans="1:1" ht="18" customHeight="1">
      <c r="A601" t="str">
        <f>IF(Generation!$B19,"  &lt;/item&gt;","")</f>
        <v/>
      </c>
    </row>
    <row r="602" spans="1:1" ht="18" customHeight="1">
      <c r="A602" t="str">
        <f>IF(Generation!$B19,"","")</f>
        <v/>
      </c>
    </row>
    <row r="603" spans="1:1" ht="18" customHeight="1">
      <c r="A603" t="str">
        <f>""</f>
        <v/>
      </c>
    </row>
    <row r="604" spans="1:1" ht="18" customHeight="1">
      <c r="A604" t="str">
        <f>IF(Generation!$B20,"  &lt;item ident=""il_0_qst_"&amp;TEXT(Generation!$A20,"000")&amp;""" title="""&amp;Generation!$F20&amp;"""&gt;","")</f>
        <v/>
      </c>
    </row>
    <row r="605" spans="1:1" ht="18" customHeight="1">
      <c r="A605" t="str">
        <f>IF(Generation!$B20,"    &lt;duration&gt;P0Y0M0DT0H1M0S&lt;/duration&gt;","")</f>
        <v/>
      </c>
    </row>
    <row r="606" spans="1:1" ht="18" customHeight="1">
      <c r="A606" t="str">
        <f>IF(Generation!$B20,"    &lt;itemmetadata&gt;","")</f>
        <v/>
      </c>
    </row>
    <row r="607" spans="1:1" ht="18" customHeight="1">
      <c r="A607" t="str">
        <f>IF(Generation!$B20,"      &lt;qtimetadata&gt;","")</f>
        <v/>
      </c>
    </row>
    <row r="608" spans="1:1" ht="18" customHeight="1">
      <c r="A608" t="str">
        <f>IF(Generation!$B20,"        &lt;qtimetadatafield&gt;&lt;fieldlabel&gt;ILIAS_VERSION&lt;/fieldlabel&gt;&lt;fieldentry&gt;8&lt;/fieldentry&gt;&lt;/qtimetadatafield&gt;","")</f>
        <v/>
      </c>
    </row>
    <row r="609" spans="1:1" ht="18" customHeight="1">
      <c r="A609" t="str">
        <f>IF(Generation!$B20,"        &lt;qtimetadatafield&gt;&lt;fieldlabel&gt;QUESTIONTYPE&lt;/fieldlabel&gt;&lt;fieldentry&gt;"&amp;Generation!$D20&amp;"&lt;/fieldentry&gt;&lt;/qtimetadatafield&gt;","")</f>
        <v/>
      </c>
    </row>
    <row r="610" spans="1:1" ht="18" customHeight="1">
      <c r="A610" t="str">
        <f>IF(Generation!$B20,"        &lt;qtimetadatafield&gt;&lt;fieldlabel&gt;AUTHOR&lt;/fieldlabel&gt;&lt;fieldentry&gt;Générateur Excel QTI&lt;/fieldentry&gt;&lt;/qtimetadatafield&gt;","")</f>
        <v/>
      </c>
    </row>
    <row r="611" spans="1:1" ht="18" customHeight="1">
      <c r="A611" t="str">
        <f>IF(Generation!$B20,"        &lt;qtimetadatafield&gt;&lt;fieldlabel&gt;identicalScoring&lt;/fieldlabel&gt;&lt;fieldentry&gt;1&lt;/fieldentry&gt;&lt;/qtimetadatafield&gt;","")</f>
        <v/>
      </c>
    </row>
    <row r="612" spans="1:1" ht="18" customHeight="1">
      <c r="A612" t="str">
        <f>IF(Generation!$B20,"      &lt;/qtimetadata&gt;","")</f>
        <v/>
      </c>
    </row>
    <row r="613" spans="1:1" ht="18" customHeight="1">
      <c r="A613" t="str">
        <f>IF(Generation!$B20,"    &lt;/itemmetadata&gt;","")</f>
        <v/>
      </c>
    </row>
    <row r="614" spans="1:1" ht="18" customHeight="1">
      <c r="A614" t="str">
        <f>IF(Generation!$B20,"    &lt;presentation label="""&amp;Generation!$F20&amp;"""&gt;","")</f>
        <v/>
      </c>
    </row>
    <row r="615" spans="1:1" ht="18" customHeight="1">
      <c r="A615" t="str">
        <f>IF(Generation!$B20,"      &lt;material&gt;&lt;mattext texttype=""text/html""&gt;"&amp;Generation!$G20&amp;"&lt;/mattext&gt;&lt;/material&gt;","")</f>
        <v/>
      </c>
    </row>
    <row r="616" spans="1:1" ht="18" customHeight="1">
      <c r="A616" t="str">
        <f>IF(Generation!$B20,"      &lt;response_lid ident=""RESPONSE"" rcardinality="""&amp;Generation!$E20&amp;"""&gt;","")</f>
        <v/>
      </c>
    </row>
    <row r="617" spans="1:1" ht="18" customHeight="1">
      <c r="A617" t="str">
        <f>IF(Generation!$B20,"        &lt;render_choice shuffle=""No""&gt;","")</f>
        <v/>
      </c>
    </row>
    <row r="618" spans="1:1" ht="18" customHeight="1">
      <c r="A618" t="str">
        <f>IF(Generation!AB20="","",Generation!AB20)</f>
        <v/>
      </c>
    </row>
    <row r="619" spans="1:1" ht="18" customHeight="1">
      <c r="A619" t="str">
        <f>IF(Generation!AC20="","",Generation!AC20)</f>
        <v/>
      </c>
    </row>
    <row r="620" spans="1:1" ht="18" customHeight="1">
      <c r="A620" t="str">
        <f>IF(Generation!AD20="","",Generation!AD20)</f>
        <v/>
      </c>
    </row>
    <row r="621" spans="1:1" ht="18" customHeight="1">
      <c r="A621" t="str">
        <f>IF(Generation!AE20="","",Generation!AE20)</f>
        <v/>
      </c>
    </row>
    <row r="622" spans="1:1" ht="18" customHeight="1">
      <c r="A622" t="str">
        <f>IF(Generation!AF20="","",Generation!AF20)</f>
        <v/>
      </c>
    </row>
    <row r="623" spans="1:1" ht="18" customHeight="1">
      <c r="A623" t="str">
        <f>IF(Generation!AG20="","",Generation!AG20)</f>
        <v/>
      </c>
    </row>
    <row r="624" spans="1:1" ht="18" customHeight="1">
      <c r="A624" t="str">
        <f>IF(Generation!AH20="","",Generation!AH20)</f>
        <v/>
      </c>
    </row>
    <row r="625" spans="1:1" ht="18" customHeight="1">
      <c r="A625" t="str">
        <f>IF(Generation!AI20="","",Generation!AI20)</f>
        <v/>
      </c>
    </row>
    <row r="626" spans="1:1" ht="18" customHeight="1">
      <c r="A626" t="str">
        <f>IF(Generation!$B20,"        &lt;/render_choice&gt;","")</f>
        <v/>
      </c>
    </row>
    <row r="627" spans="1:1" ht="18" customHeight="1">
      <c r="A627" t="str">
        <f>IF(Generation!$B20,"      &lt;/response_lid&gt;","")</f>
        <v/>
      </c>
    </row>
    <row r="628" spans="1:1" ht="18" customHeight="1">
      <c r="A628" t="str">
        <f>IF(Generation!$B20,"    &lt;/presentation&gt;","")</f>
        <v/>
      </c>
    </row>
    <row r="629" spans="1:1" ht="18" customHeight="1">
      <c r="A629" t="str">
        <f>IF(Generation!$B20,"    &lt;resprocessing&gt;","")</f>
        <v/>
      </c>
    </row>
    <row r="630" spans="1:1" ht="18" customHeight="1">
      <c r="A630" t="str">
        <f>IF(Generation!$B20,"      &lt;outcomes&gt;&lt;decvar varname=""SCORE"" vartype=""Decimal"" minvalue=""0"" maxvalue="""&amp;Generation!$H20&amp;"""/&gt;&lt;/outcomes&gt;","")</f>
        <v/>
      </c>
    </row>
    <row r="631" spans="1:1" ht="18" customHeight="1">
      <c r="A631" t="str">
        <f>IF(Generation!AJ20="","",Generation!AJ20)</f>
        <v/>
      </c>
    </row>
    <row r="632" spans="1:1" ht="18" customHeight="1">
      <c r="A632" t="str">
        <f>IF(Generation!AK20="","",Generation!AK20)</f>
        <v/>
      </c>
    </row>
    <row r="633" spans="1:1" ht="18" customHeight="1">
      <c r="A633" t="str">
        <f>IF(Generation!AL20="","",Generation!AL20)</f>
        <v/>
      </c>
    </row>
    <row r="634" spans="1:1" ht="18" customHeight="1">
      <c r="A634" t="str">
        <f>IF(Generation!AM20="","",Generation!AM20)</f>
        <v/>
      </c>
    </row>
    <row r="635" spans="1:1" ht="18" customHeight="1">
      <c r="A635" t="str">
        <f>IF(Generation!AN20="","",Generation!AN20)</f>
        <v/>
      </c>
    </row>
    <row r="636" spans="1:1" ht="18" customHeight="1">
      <c r="A636" t="str">
        <f>IF(Generation!AO20="","",Generation!AO20)</f>
        <v/>
      </c>
    </row>
    <row r="637" spans="1:1" ht="18" customHeight="1">
      <c r="A637" t="str">
        <f>IF(Generation!AP20="","",Generation!AP20)</f>
        <v/>
      </c>
    </row>
    <row r="638" spans="1:1" ht="18" customHeight="1">
      <c r="A638" t="str">
        <f>IF(Generation!AQ20="","",Generation!AQ20)</f>
        <v/>
      </c>
    </row>
    <row r="639" spans="1:1" ht="18" customHeight="1">
      <c r="A639" t="str">
        <f>IF(Generation!$B20,"    &lt;/resprocessing&gt;","")</f>
        <v/>
      </c>
    </row>
    <row r="640" spans="1:1" ht="18" customHeight="1">
      <c r="A640" t="str">
        <f>IF(Generation!$B20,"    &lt;itemfeedback ident=""response""&gt;&lt;flow_mat&gt;&lt;material&gt;&lt;mattext texttype=""text/plain""&gt;&lt;/mattext&gt;&lt;/material&gt;&lt;/flow_mat&gt;&lt;/itemfeedback&gt;","")</f>
        <v/>
      </c>
    </row>
    <row r="641" spans="1:1" ht="18" customHeight="1">
      <c r="A641" t="str">
        <f>IF(Generation!$B20,"  &lt;/item&gt;","")</f>
        <v/>
      </c>
    </row>
    <row r="642" spans="1:1" ht="18" customHeight="1">
      <c r="A642" t="str">
        <f>IF(Generation!$B20,"","")</f>
        <v/>
      </c>
    </row>
    <row r="643" spans="1:1" ht="18" customHeight="1">
      <c r="A643" t="str">
        <f>""</f>
        <v/>
      </c>
    </row>
    <row r="644" spans="1:1" ht="18" customHeight="1">
      <c r="A644" t="str">
        <f>IF(Generation!$B21,"  &lt;item ident=""il_0_qst_"&amp;TEXT(Generation!$A21,"000")&amp;""" title="""&amp;Generation!$F21&amp;"""&gt;","")</f>
        <v/>
      </c>
    </row>
    <row r="645" spans="1:1" ht="18" customHeight="1">
      <c r="A645" t="str">
        <f>IF(Generation!$B21,"    &lt;duration&gt;P0Y0M0DT0H1M0S&lt;/duration&gt;","")</f>
        <v/>
      </c>
    </row>
    <row r="646" spans="1:1" ht="18" customHeight="1">
      <c r="A646" t="str">
        <f>IF(Generation!$B21,"    &lt;itemmetadata&gt;","")</f>
        <v/>
      </c>
    </row>
    <row r="647" spans="1:1" ht="18" customHeight="1">
      <c r="A647" t="str">
        <f>IF(Generation!$B21,"      &lt;qtimetadata&gt;","")</f>
        <v/>
      </c>
    </row>
    <row r="648" spans="1:1" ht="18" customHeight="1">
      <c r="A648" t="str">
        <f>IF(Generation!$B21,"        &lt;qtimetadatafield&gt;&lt;fieldlabel&gt;ILIAS_VERSION&lt;/fieldlabel&gt;&lt;fieldentry&gt;8&lt;/fieldentry&gt;&lt;/qtimetadatafield&gt;","")</f>
        <v/>
      </c>
    </row>
    <row r="649" spans="1:1" ht="18" customHeight="1">
      <c r="A649" t="str">
        <f>IF(Generation!$B21,"        &lt;qtimetadatafield&gt;&lt;fieldlabel&gt;QUESTIONTYPE&lt;/fieldlabel&gt;&lt;fieldentry&gt;"&amp;Generation!$D21&amp;"&lt;/fieldentry&gt;&lt;/qtimetadatafield&gt;","")</f>
        <v/>
      </c>
    </row>
    <row r="650" spans="1:1" ht="18" customHeight="1">
      <c r="A650" t="str">
        <f>IF(Generation!$B21,"        &lt;qtimetadatafield&gt;&lt;fieldlabel&gt;AUTHOR&lt;/fieldlabel&gt;&lt;fieldentry&gt;Générateur Excel QTI&lt;/fieldentry&gt;&lt;/qtimetadatafield&gt;","")</f>
        <v/>
      </c>
    </row>
    <row r="651" spans="1:1" ht="18" customHeight="1">
      <c r="A651" t="str">
        <f>IF(Generation!$B21,"        &lt;qtimetadatafield&gt;&lt;fieldlabel&gt;identicalScoring&lt;/fieldlabel&gt;&lt;fieldentry&gt;1&lt;/fieldentry&gt;&lt;/qtimetadatafield&gt;","")</f>
        <v/>
      </c>
    </row>
    <row r="652" spans="1:1" ht="18" customHeight="1">
      <c r="A652" t="str">
        <f>IF(Generation!$B21,"      &lt;/qtimetadata&gt;","")</f>
        <v/>
      </c>
    </row>
    <row r="653" spans="1:1" ht="18" customHeight="1">
      <c r="A653" t="str">
        <f>IF(Generation!$B21,"    &lt;/itemmetadata&gt;","")</f>
        <v/>
      </c>
    </row>
    <row r="654" spans="1:1" ht="18" customHeight="1">
      <c r="A654" t="str">
        <f>IF(Generation!$B21,"    &lt;presentation label="""&amp;Generation!$F21&amp;"""&gt;","")</f>
        <v/>
      </c>
    </row>
    <row r="655" spans="1:1" ht="18" customHeight="1">
      <c r="A655" t="str">
        <f>IF(Generation!$B21,"      &lt;material&gt;&lt;mattext texttype=""text/html""&gt;"&amp;Generation!$G21&amp;"&lt;/mattext&gt;&lt;/material&gt;","")</f>
        <v/>
      </c>
    </row>
    <row r="656" spans="1:1" ht="18" customHeight="1">
      <c r="A656" t="str">
        <f>IF(Generation!$B21,"      &lt;response_lid ident=""RESPONSE"" rcardinality="""&amp;Generation!$E21&amp;"""&gt;","")</f>
        <v/>
      </c>
    </row>
    <row r="657" spans="1:1" ht="18" customHeight="1">
      <c r="A657" t="str">
        <f>IF(Generation!$B21,"        &lt;render_choice shuffle=""No""&gt;","")</f>
        <v/>
      </c>
    </row>
    <row r="658" spans="1:1" ht="18" customHeight="1">
      <c r="A658" t="str">
        <f>IF(Generation!AB21="","",Generation!AB21)</f>
        <v/>
      </c>
    </row>
    <row r="659" spans="1:1" ht="18" customHeight="1">
      <c r="A659" t="str">
        <f>IF(Generation!AC21="","",Generation!AC21)</f>
        <v/>
      </c>
    </row>
    <row r="660" spans="1:1" ht="18" customHeight="1">
      <c r="A660" t="str">
        <f>IF(Generation!AD21="","",Generation!AD21)</f>
        <v/>
      </c>
    </row>
    <row r="661" spans="1:1" ht="18" customHeight="1">
      <c r="A661" t="str">
        <f>IF(Generation!AE21="","",Generation!AE21)</f>
        <v/>
      </c>
    </row>
    <row r="662" spans="1:1" ht="18" customHeight="1">
      <c r="A662" t="str">
        <f>IF(Generation!AF21="","",Generation!AF21)</f>
        <v/>
      </c>
    </row>
    <row r="663" spans="1:1" ht="18" customHeight="1">
      <c r="A663" t="str">
        <f>IF(Generation!AG21="","",Generation!AG21)</f>
        <v/>
      </c>
    </row>
    <row r="664" spans="1:1" ht="18" customHeight="1">
      <c r="A664" t="str">
        <f>IF(Generation!AH21="","",Generation!AH21)</f>
        <v/>
      </c>
    </row>
    <row r="665" spans="1:1" ht="18" customHeight="1">
      <c r="A665" t="str">
        <f>IF(Generation!AI21="","",Generation!AI21)</f>
        <v/>
      </c>
    </row>
    <row r="666" spans="1:1" ht="18" customHeight="1">
      <c r="A666" t="str">
        <f>IF(Generation!$B21,"        &lt;/render_choice&gt;","")</f>
        <v/>
      </c>
    </row>
    <row r="667" spans="1:1" ht="18" customHeight="1">
      <c r="A667" t="str">
        <f>IF(Generation!$B21,"      &lt;/response_lid&gt;","")</f>
        <v/>
      </c>
    </row>
    <row r="668" spans="1:1" ht="18" customHeight="1">
      <c r="A668" t="str">
        <f>IF(Generation!$B21,"    &lt;/presentation&gt;","")</f>
        <v/>
      </c>
    </row>
    <row r="669" spans="1:1" ht="18" customHeight="1">
      <c r="A669" t="str">
        <f>IF(Generation!$B21,"    &lt;resprocessing&gt;","")</f>
        <v/>
      </c>
    </row>
    <row r="670" spans="1:1" ht="18" customHeight="1">
      <c r="A670" t="str">
        <f>IF(Generation!$B21,"      &lt;outcomes&gt;&lt;decvar varname=""SCORE"" vartype=""Decimal"" minvalue=""0"" maxvalue="""&amp;Generation!$H21&amp;"""/&gt;&lt;/outcomes&gt;","")</f>
        <v/>
      </c>
    </row>
    <row r="671" spans="1:1" ht="18" customHeight="1">
      <c r="A671" t="str">
        <f>IF(Generation!AJ21="","",Generation!AJ21)</f>
        <v/>
      </c>
    </row>
    <row r="672" spans="1:1" ht="18" customHeight="1">
      <c r="A672" t="str">
        <f>IF(Generation!AK21="","",Generation!AK21)</f>
        <v/>
      </c>
    </row>
    <row r="673" spans="1:1" ht="18" customHeight="1">
      <c r="A673" t="str">
        <f>IF(Generation!AL21="","",Generation!AL21)</f>
        <v/>
      </c>
    </row>
    <row r="674" spans="1:1" ht="18" customHeight="1">
      <c r="A674" t="str">
        <f>IF(Generation!AM21="","",Generation!AM21)</f>
        <v/>
      </c>
    </row>
    <row r="675" spans="1:1" ht="18" customHeight="1">
      <c r="A675" t="str">
        <f>IF(Generation!AN21="","",Generation!AN21)</f>
        <v/>
      </c>
    </row>
    <row r="676" spans="1:1" ht="18" customHeight="1">
      <c r="A676" t="str">
        <f>IF(Generation!AO21="","",Generation!AO21)</f>
        <v/>
      </c>
    </row>
    <row r="677" spans="1:1" ht="18" customHeight="1">
      <c r="A677" t="str">
        <f>IF(Generation!AP21="","",Generation!AP21)</f>
        <v/>
      </c>
    </row>
    <row r="678" spans="1:1" ht="18" customHeight="1">
      <c r="A678" t="str">
        <f>IF(Generation!AQ21="","",Generation!AQ21)</f>
        <v/>
      </c>
    </row>
    <row r="679" spans="1:1" ht="18" customHeight="1">
      <c r="A679" t="str">
        <f>IF(Generation!$B21,"    &lt;/resprocessing&gt;","")</f>
        <v/>
      </c>
    </row>
    <row r="680" spans="1:1" ht="18" customHeight="1">
      <c r="A680" t="str">
        <f>IF(Generation!$B21,"    &lt;itemfeedback ident=""response""&gt;&lt;flow_mat&gt;&lt;material&gt;&lt;mattext texttype=""text/plain""&gt;&lt;/mattext&gt;&lt;/material&gt;&lt;/flow_mat&gt;&lt;/itemfeedback&gt;","")</f>
        <v/>
      </c>
    </row>
    <row r="681" spans="1:1" ht="18" customHeight="1">
      <c r="A681" t="str">
        <f>IF(Generation!$B21,"  &lt;/item&gt;","")</f>
        <v/>
      </c>
    </row>
    <row r="682" spans="1:1" ht="18" customHeight="1">
      <c r="A682" t="str">
        <f>IF(Generation!$B21,"","")</f>
        <v/>
      </c>
    </row>
    <row r="683" spans="1:1" ht="18" customHeight="1">
      <c r="A683" t="str">
        <f>""</f>
        <v/>
      </c>
    </row>
    <row r="684" spans="1:1" ht="18" customHeight="1">
      <c r="A684" t="str">
        <f>IF(Generation!$B22,"  &lt;item ident=""il_0_qst_"&amp;TEXT(Generation!$A22,"000")&amp;""" title="""&amp;Generation!$F22&amp;"""&gt;","")</f>
        <v/>
      </c>
    </row>
    <row r="685" spans="1:1" ht="18" customHeight="1">
      <c r="A685" t="str">
        <f>IF(Generation!$B22,"    &lt;duration&gt;P0Y0M0DT0H1M0S&lt;/duration&gt;","")</f>
        <v/>
      </c>
    </row>
    <row r="686" spans="1:1" ht="18" customHeight="1">
      <c r="A686" t="str">
        <f>IF(Generation!$B22,"    &lt;itemmetadata&gt;","")</f>
        <v/>
      </c>
    </row>
    <row r="687" spans="1:1" ht="18" customHeight="1">
      <c r="A687" t="str">
        <f>IF(Generation!$B22,"      &lt;qtimetadata&gt;","")</f>
        <v/>
      </c>
    </row>
    <row r="688" spans="1:1" ht="18" customHeight="1">
      <c r="A688" t="str">
        <f>IF(Generation!$B22,"        &lt;qtimetadatafield&gt;&lt;fieldlabel&gt;ILIAS_VERSION&lt;/fieldlabel&gt;&lt;fieldentry&gt;8&lt;/fieldentry&gt;&lt;/qtimetadatafield&gt;","")</f>
        <v/>
      </c>
    </row>
    <row r="689" spans="1:1" ht="18" customHeight="1">
      <c r="A689" t="str">
        <f>IF(Generation!$B22,"        &lt;qtimetadatafield&gt;&lt;fieldlabel&gt;QUESTIONTYPE&lt;/fieldlabel&gt;&lt;fieldentry&gt;"&amp;Generation!$D22&amp;"&lt;/fieldentry&gt;&lt;/qtimetadatafield&gt;","")</f>
        <v/>
      </c>
    </row>
    <row r="690" spans="1:1" ht="18" customHeight="1">
      <c r="A690" t="str">
        <f>IF(Generation!$B22,"        &lt;qtimetadatafield&gt;&lt;fieldlabel&gt;AUTHOR&lt;/fieldlabel&gt;&lt;fieldentry&gt;Générateur Excel QTI&lt;/fieldentry&gt;&lt;/qtimetadatafield&gt;","")</f>
        <v/>
      </c>
    </row>
    <row r="691" spans="1:1" ht="18" customHeight="1">
      <c r="A691" t="str">
        <f>IF(Generation!$B22,"        &lt;qtimetadatafield&gt;&lt;fieldlabel&gt;identicalScoring&lt;/fieldlabel&gt;&lt;fieldentry&gt;1&lt;/fieldentry&gt;&lt;/qtimetadatafield&gt;","")</f>
        <v/>
      </c>
    </row>
    <row r="692" spans="1:1" ht="18" customHeight="1">
      <c r="A692" t="str">
        <f>IF(Generation!$B22,"      &lt;/qtimetadata&gt;","")</f>
        <v/>
      </c>
    </row>
    <row r="693" spans="1:1" ht="18" customHeight="1">
      <c r="A693" t="str">
        <f>IF(Generation!$B22,"    &lt;/itemmetadata&gt;","")</f>
        <v/>
      </c>
    </row>
    <row r="694" spans="1:1" ht="18" customHeight="1">
      <c r="A694" t="str">
        <f>IF(Generation!$B22,"    &lt;presentation label="""&amp;Generation!$F22&amp;"""&gt;","")</f>
        <v/>
      </c>
    </row>
    <row r="695" spans="1:1" ht="18" customHeight="1">
      <c r="A695" t="str">
        <f>IF(Generation!$B22,"      &lt;material&gt;&lt;mattext texttype=""text/html""&gt;"&amp;Generation!$G22&amp;"&lt;/mattext&gt;&lt;/material&gt;","")</f>
        <v/>
      </c>
    </row>
    <row r="696" spans="1:1" ht="18" customHeight="1">
      <c r="A696" t="str">
        <f>IF(Generation!$B22,"      &lt;response_lid ident=""RESPONSE"" rcardinality="""&amp;Generation!$E22&amp;"""&gt;","")</f>
        <v/>
      </c>
    </row>
    <row r="697" spans="1:1" ht="18" customHeight="1">
      <c r="A697" t="str">
        <f>IF(Generation!$B22,"        &lt;render_choice shuffle=""No""&gt;","")</f>
        <v/>
      </c>
    </row>
    <row r="698" spans="1:1" ht="18" customHeight="1">
      <c r="A698" t="str">
        <f>IF(Generation!AB22="","",Generation!AB22)</f>
        <v/>
      </c>
    </row>
    <row r="699" spans="1:1" ht="18" customHeight="1">
      <c r="A699" t="str">
        <f>IF(Generation!AC22="","",Generation!AC22)</f>
        <v/>
      </c>
    </row>
    <row r="700" spans="1:1" ht="18" customHeight="1">
      <c r="A700" t="str">
        <f>IF(Generation!AD22="","",Generation!AD22)</f>
        <v/>
      </c>
    </row>
    <row r="701" spans="1:1" ht="18" customHeight="1">
      <c r="A701" t="str">
        <f>IF(Generation!AE22="","",Generation!AE22)</f>
        <v/>
      </c>
    </row>
    <row r="702" spans="1:1" ht="18" customHeight="1">
      <c r="A702" t="str">
        <f>IF(Generation!AF22="","",Generation!AF22)</f>
        <v/>
      </c>
    </row>
    <row r="703" spans="1:1" ht="18" customHeight="1">
      <c r="A703" t="str">
        <f>IF(Generation!AG22="","",Generation!AG22)</f>
        <v/>
      </c>
    </row>
    <row r="704" spans="1:1" ht="18" customHeight="1">
      <c r="A704" t="str">
        <f>IF(Generation!AH22="","",Generation!AH22)</f>
        <v/>
      </c>
    </row>
    <row r="705" spans="1:1" ht="18" customHeight="1">
      <c r="A705" t="str">
        <f>IF(Generation!AI22="","",Generation!AI22)</f>
        <v/>
      </c>
    </row>
    <row r="706" spans="1:1" ht="18" customHeight="1">
      <c r="A706" t="str">
        <f>IF(Generation!$B22,"        &lt;/render_choice&gt;","")</f>
        <v/>
      </c>
    </row>
    <row r="707" spans="1:1" ht="18" customHeight="1">
      <c r="A707" t="str">
        <f>IF(Generation!$B22,"      &lt;/response_lid&gt;","")</f>
        <v/>
      </c>
    </row>
    <row r="708" spans="1:1" ht="18" customHeight="1">
      <c r="A708" t="str">
        <f>IF(Generation!$B22,"    &lt;/presentation&gt;","")</f>
        <v/>
      </c>
    </row>
    <row r="709" spans="1:1" ht="18" customHeight="1">
      <c r="A709" t="str">
        <f>IF(Generation!$B22,"    &lt;resprocessing&gt;","")</f>
        <v/>
      </c>
    </row>
    <row r="710" spans="1:1" ht="18" customHeight="1">
      <c r="A710" t="str">
        <f>IF(Generation!$B22,"      &lt;outcomes&gt;&lt;decvar varname=""SCORE"" vartype=""Decimal"" minvalue=""0"" maxvalue="""&amp;Generation!$H22&amp;"""/&gt;&lt;/outcomes&gt;","")</f>
        <v/>
      </c>
    </row>
    <row r="711" spans="1:1" ht="18" customHeight="1">
      <c r="A711" t="str">
        <f>IF(Generation!AJ22="","",Generation!AJ22)</f>
        <v/>
      </c>
    </row>
    <row r="712" spans="1:1" ht="18" customHeight="1">
      <c r="A712" t="str">
        <f>IF(Generation!AK22="","",Generation!AK22)</f>
        <v/>
      </c>
    </row>
    <row r="713" spans="1:1" ht="18" customHeight="1">
      <c r="A713" t="str">
        <f>IF(Generation!AL22="","",Generation!AL22)</f>
        <v/>
      </c>
    </row>
    <row r="714" spans="1:1" ht="18" customHeight="1">
      <c r="A714" t="str">
        <f>IF(Generation!AM22="","",Generation!AM22)</f>
        <v/>
      </c>
    </row>
    <row r="715" spans="1:1" ht="18" customHeight="1">
      <c r="A715" t="str">
        <f>IF(Generation!AN22="","",Generation!AN22)</f>
        <v/>
      </c>
    </row>
    <row r="716" spans="1:1" ht="18" customHeight="1">
      <c r="A716" t="str">
        <f>IF(Generation!AO22="","",Generation!AO22)</f>
        <v/>
      </c>
    </row>
    <row r="717" spans="1:1" ht="18" customHeight="1">
      <c r="A717" t="str">
        <f>IF(Generation!AP22="","",Generation!AP22)</f>
        <v/>
      </c>
    </row>
    <row r="718" spans="1:1" ht="18" customHeight="1">
      <c r="A718" t="str">
        <f>IF(Generation!AQ22="","",Generation!AQ22)</f>
        <v/>
      </c>
    </row>
    <row r="719" spans="1:1" ht="18" customHeight="1">
      <c r="A719" t="str">
        <f>IF(Generation!$B22,"    &lt;/resprocessing&gt;","")</f>
        <v/>
      </c>
    </row>
    <row r="720" spans="1:1" ht="18" customHeight="1">
      <c r="A720" t="str">
        <f>IF(Generation!$B22,"    &lt;itemfeedback ident=""response""&gt;&lt;flow_mat&gt;&lt;material&gt;&lt;mattext texttype=""text/plain""&gt;&lt;/mattext&gt;&lt;/material&gt;&lt;/flow_mat&gt;&lt;/itemfeedback&gt;","")</f>
        <v/>
      </c>
    </row>
    <row r="721" spans="1:1" ht="18" customHeight="1">
      <c r="A721" t="str">
        <f>IF(Generation!$B22,"  &lt;/item&gt;","")</f>
        <v/>
      </c>
    </row>
    <row r="722" spans="1:1" ht="18" customHeight="1">
      <c r="A722" t="str">
        <f>IF(Generation!$B22,"","")</f>
        <v/>
      </c>
    </row>
    <row r="723" spans="1:1" ht="18" customHeight="1">
      <c r="A723" t="str">
        <f>""</f>
        <v/>
      </c>
    </row>
    <row r="724" spans="1:1" ht="18" customHeight="1">
      <c r="A724" t="str">
        <f>IF(Generation!$B23,"  &lt;item ident=""il_0_qst_"&amp;TEXT(Generation!$A23,"000")&amp;""" title="""&amp;Generation!$F23&amp;"""&gt;","")</f>
        <v/>
      </c>
    </row>
    <row r="725" spans="1:1" ht="18" customHeight="1">
      <c r="A725" t="str">
        <f>IF(Generation!$B23,"    &lt;duration&gt;P0Y0M0DT0H1M0S&lt;/duration&gt;","")</f>
        <v/>
      </c>
    </row>
    <row r="726" spans="1:1" ht="18" customHeight="1">
      <c r="A726" t="str">
        <f>IF(Generation!$B23,"    &lt;itemmetadata&gt;","")</f>
        <v/>
      </c>
    </row>
    <row r="727" spans="1:1" ht="18" customHeight="1">
      <c r="A727" t="str">
        <f>IF(Generation!$B23,"      &lt;qtimetadata&gt;","")</f>
        <v/>
      </c>
    </row>
    <row r="728" spans="1:1" ht="18" customHeight="1">
      <c r="A728" t="str">
        <f>IF(Generation!$B23,"        &lt;qtimetadatafield&gt;&lt;fieldlabel&gt;ILIAS_VERSION&lt;/fieldlabel&gt;&lt;fieldentry&gt;8&lt;/fieldentry&gt;&lt;/qtimetadatafield&gt;","")</f>
        <v/>
      </c>
    </row>
    <row r="729" spans="1:1" ht="18" customHeight="1">
      <c r="A729" t="str">
        <f>IF(Generation!$B23,"        &lt;qtimetadatafield&gt;&lt;fieldlabel&gt;QUESTIONTYPE&lt;/fieldlabel&gt;&lt;fieldentry&gt;"&amp;Generation!$D23&amp;"&lt;/fieldentry&gt;&lt;/qtimetadatafield&gt;","")</f>
        <v/>
      </c>
    </row>
    <row r="730" spans="1:1" ht="18" customHeight="1">
      <c r="A730" t="str">
        <f>IF(Generation!$B23,"        &lt;qtimetadatafield&gt;&lt;fieldlabel&gt;AUTHOR&lt;/fieldlabel&gt;&lt;fieldentry&gt;Générateur Excel QTI&lt;/fieldentry&gt;&lt;/qtimetadatafield&gt;","")</f>
        <v/>
      </c>
    </row>
    <row r="731" spans="1:1" ht="18" customHeight="1">
      <c r="A731" t="str">
        <f>IF(Generation!$B23,"        &lt;qtimetadatafield&gt;&lt;fieldlabel&gt;identicalScoring&lt;/fieldlabel&gt;&lt;fieldentry&gt;1&lt;/fieldentry&gt;&lt;/qtimetadatafield&gt;","")</f>
        <v/>
      </c>
    </row>
    <row r="732" spans="1:1" ht="18" customHeight="1">
      <c r="A732" t="str">
        <f>IF(Generation!$B23,"      &lt;/qtimetadata&gt;","")</f>
        <v/>
      </c>
    </row>
    <row r="733" spans="1:1" ht="18" customHeight="1">
      <c r="A733" t="str">
        <f>IF(Generation!$B23,"    &lt;/itemmetadata&gt;","")</f>
        <v/>
      </c>
    </row>
    <row r="734" spans="1:1" ht="18" customHeight="1">
      <c r="A734" t="str">
        <f>IF(Generation!$B23,"    &lt;presentation label="""&amp;Generation!$F23&amp;"""&gt;","")</f>
        <v/>
      </c>
    </row>
    <row r="735" spans="1:1" ht="18" customHeight="1">
      <c r="A735" t="str">
        <f>IF(Generation!$B23,"      &lt;material&gt;&lt;mattext texttype=""text/html""&gt;"&amp;Generation!$G23&amp;"&lt;/mattext&gt;&lt;/material&gt;","")</f>
        <v/>
      </c>
    </row>
    <row r="736" spans="1:1" ht="18" customHeight="1">
      <c r="A736" t="str">
        <f>IF(Generation!$B23,"      &lt;response_lid ident=""RESPONSE"" rcardinality="""&amp;Generation!$E23&amp;"""&gt;","")</f>
        <v/>
      </c>
    </row>
    <row r="737" spans="1:1" ht="18" customHeight="1">
      <c r="A737" t="str">
        <f>IF(Generation!$B23,"        &lt;render_choice shuffle=""No""&gt;","")</f>
        <v/>
      </c>
    </row>
    <row r="738" spans="1:1" ht="18" customHeight="1">
      <c r="A738" t="str">
        <f>IF(Generation!AB23="","",Generation!AB23)</f>
        <v/>
      </c>
    </row>
    <row r="739" spans="1:1" ht="18" customHeight="1">
      <c r="A739" t="str">
        <f>IF(Generation!AC23="","",Generation!AC23)</f>
        <v/>
      </c>
    </row>
    <row r="740" spans="1:1" ht="18" customHeight="1">
      <c r="A740" t="str">
        <f>IF(Generation!AD23="","",Generation!AD23)</f>
        <v/>
      </c>
    </row>
    <row r="741" spans="1:1" ht="18" customHeight="1">
      <c r="A741" t="str">
        <f>IF(Generation!AE23="","",Generation!AE23)</f>
        <v/>
      </c>
    </row>
    <row r="742" spans="1:1" ht="18" customHeight="1">
      <c r="A742" t="str">
        <f>IF(Generation!AF23="","",Generation!AF23)</f>
        <v/>
      </c>
    </row>
    <row r="743" spans="1:1" ht="18" customHeight="1">
      <c r="A743" t="str">
        <f>IF(Generation!AG23="","",Generation!AG23)</f>
        <v/>
      </c>
    </row>
    <row r="744" spans="1:1" ht="18" customHeight="1">
      <c r="A744" t="str">
        <f>IF(Generation!AH23="","",Generation!AH23)</f>
        <v/>
      </c>
    </row>
    <row r="745" spans="1:1" ht="18" customHeight="1">
      <c r="A745" t="str">
        <f>IF(Generation!AI23="","",Generation!AI23)</f>
        <v/>
      </c>
    </row>
    <row r="746" spans="1:1" ht="18" customHeight="1">
      <c r="A746" t="str">
        <f>IF(Generation!$B23,"        &lt;/render_choice&gt;","")</f>
        <v/>
      </c>
    </row>
    <row r="747" spans="1:1" ht="18" customHeight="1">
      <c r="A747" t="str">
        <f>IF(Generation!$B23,"      &lt;/response_lid&gt;","")</f>
        <v/>
      </c>
    </row>
    <row r="748" spans="1:1" ht="18" customHeight="1">
      <c r="A748" t="str">
        <f>IF(Generation!$B23,"    &lt;/presentation&gt;","")</f>
        <v/>
      </c>
    </row>
    <row r="749" spans="1:1" ht="18" customHeight="1">
      <c r="A749" t="str">
        <f>IF(Generation!$B23,"    &lt;resprocessing&gt;","")</f>
        <v/>
      </c>
    </row>
    <row r="750" spans="1:1" ht="18" customHeight="1">
      <c r="A750" t="str">
        <f>IF(Generation!$B23,"      &lt;outcomes&gt;&lt;decvar varname=""SCORE"" vartype=""Decimal"" minvalue=""0"" maxvalue="""&amp;Generation!$H23&amp;"""/&gt;&lt;/outcomes&gt;","")</f>
        <v/>
      </c>
    </row>
    <row r="751" spans="1:1" ht="18" customHeight="1">
      <c r="A751" t="str">
        <f>IF(Generation!AJ23="","",Generation!AJ23)</f>
        <v/>
      </c>
    </row>
    <row r="752" spans="1:1" ht="18" customHeight="1">
      <c r="A752" t="str">
        <f>IF(Generation!AK23="","",Generation!AK23)</f>
        <v/>
      </c>
    </row>
    <row r="753" spans="1:1" ht="18" customHeight="1">
      <c r="A753" t="str">
        <f>IF(Generation!AL23="","",Generation!AL23)</f>
        <v/>
      </c>
    </row>
    <row r="754" spans="1:1" ht="18" customHeight="1">
      <c r="A754" t="str">
        <f>IF(Generation!AM23="","",Generation!AM23)</f>
        <v/>
      </c>
    </row>
    <row r="755" spans="1:1" ht="18" customHeight="1">
      <c r="A755" t="str">
        <f>IF(Generation!AN23="","",Generation!AN23)</f>
        <v/>
      </c>
    </row>
    <row r="756" spans="1:1" ht="18" customHeight="1">
      <c r="A756" t="str">
        <f>IF(Generation!AO23="","",Generation!AO23)</f>
        <v/>
      </c>
    </row>
    <row r="757" spans="1:1" ht="18" customHeight="1">
      <c r="A757" t="str">
        <f>IF(Generation!AP23="","",Generation!AP23)</f>
        <v/>
      </c>
    </row>
    <row r="758" spans="1:1" ht="18" customHeight="1">
      <c r="A758" t="str">
        <f>IF(Generation!AQ23="","",Generation!AQ23)</f>
        <v/>
      </c>
    </row>
    <row r="759" spans="1:1" ht="18" customHeight="1">
      <c r="A759" t="str">
        <f>IF(Generation!$B23,"    &lt;/resprocessing&gt;","")</f>
        <v/>
      </c>
    </row>
    <row r="760" spans="1:1" ht="18" customHeight="1">
      <c r="A760" t="str">
        <f>IF(Generation!$B23,"    &lt;itemfeedback ident=""response""&gt;&lt;flow_mat&gt;&lt;material&gt;&lt;mattext texttype=""text/plain""&gt;&lt;/mattext&gt;&lt;/material&gt;&lt;/flow_mat&gt;&lt;/itemfeedback&gt;","")</f>
        <v/>
      </c>
    </row>
    <row r="761" spans="1:1" ht="18" customHeight="1">
      <c r="A761" t="str">
        <f>IF(Generation!$B23,"  &lt;/item&gt;","")</f>
        <v/>
      </c>
    </row>
    <row r="762" spans="1:1" ht="18" customHeight="1">
      <c r="A762" t="str">
        <f>IF(Generation!$B23,"","")</f>
        <v/>
      </c>
    </row>
    <row r="763" spans="1:1" ht="18" customHeight="1">
      <c r="A763" t="str">
        <f>""</f>
        <v/>
      </c>
    </row>
    <row r="764" spans="1:1" ht="18" customHeight="1">
      <c r="A764" t="str">
        <f>IF(Generation!$B24,"  &lt;item ident=""il_0_qst_"&amp;TEXT(Generation!$A24,"000")&amp;""" title="""&amp;Generation!$F24&amp;"""&gt;","")</f>
        <v/>
      </c>
    </row>
    <row r="765" spans="1:1" ht="18" customHeight="1">
      <c r="A765" t="str">
        <f>IF(Generation!$B24,"    &lt;duration&gt;P0Y0M0DT0H1M0S&lt;/duration&gt;","")</f>
        <v/>
      </c>
    </row>
    <row r="766" spans="1:1" ht="18" customHeight="1">
      <c r="A766" t="str">
        <f>IF(Generation!$B24,"    &lt;itemmetadata&gt;","")</f>
        <v/>
      </c>
    </row>
    <row r="767" spans="1:1" ht="18" customHeight="1">
      <c r="A767" t="str">
        <f>IF(Generation!$B24,"      &lt;qtimetadata&gt;","")</f>
        <v/>
      </c>
    </row>
    <row r="768" spans="1:1" ht="18" customHeight="1">
      <c r="A768" t="str">
        <f>IF(Generation!$B24,"        &lt;qtimetadatafield&gt;&lt;fieldlabel&gt;ILIAS_VERSION&lt;/fieldlabel&gt;&lt;fieldentry&gt;8&lt;/fieldentry&gt;&lt;/qtimetadatafield&gt;","")</f>
        <v/>
      </c>
    </row>
    <row r="769" spans="1:1" ht="18" customHeight="1">
      <c r="A769" t="str">
        <f>IF(Generation!$B24,"        &lt;qtimetadatafield&gt;&lt;fieldlabel&gt;QUESTIONTYPE&lt;/fieldlabel&gt;&lt;fieldentry&gt;"&amp;Generation!$D24&amp;"&lt;/fieldentry&gt;&lt;/qtimetadatafield&gt;","")</f>
        <v/>
      </c>
    </row>
    <row r="770" spans="1:1" ht="18" customHeight="1">
      <c r="A770" t="str">
        <f>IF(Generation!$B24,"        &lt;qtimetadatafield&gt;&lt;fieldlabel&gt;AUTHOR&lt;/fieldlabel&gt;&lt;fieldentry&gt;Générateur Excel QTI&lt;/fieldentry&gt;&lt;/qtimetadatafield&gt;","")</f>
        <v/>
      </c>
    </row>
    <row r="771" spans="1:1" ht="18" customHeight="1">
      <c r="A771" t="str">
        <f>IF(Generation!$B24,"        &lt;qtimetadatafield&gt;&lt;fieldlabel&gt;identicalScoring&lt;/fieldlabel&gt;&lt;fieldentry&gt;1&lt;/fieldentry&gt;&lt;/qtimetadatafield&gt;","")</f>
        <v/>
      </c>
    </row>
    <row r="772" spans="1:1" ht="18" customHeight="1">
      <c r="A772" t="str">
        <f>IF(Generation!$B24,"      &lt;/qtimetadata&gt;","")</f>
        <v/>
      </c>
    </row>
    <row r="773" spans="1:1" ht="18" customHeight="1">
      <c r="A773" t="str">
        <f>IF(Generation!$B24,"    &lt;/itemmetadata&gt;","")</f>
        <v/>
      </c>
    </row>
    <row r="774" spans="1:1" ht="18" customHeight="1">
      <c r="A774" t="str">
        <f>IF(Generation!$B24,"    &lt;presentation label="""&amp;Generation!$F24&amp;"""&gt;","")</f>
        <v/>
      </c>
    </row>
    <row r="775" spans="1:1" ht="18" customHeight="1">
      <c r="A775" t="str">
        <f>IF(Generation!$B24,"      &lt;material&gt;&lt;mattext texttype=""text/html""&gt;"&amp;Generation!$G24&amp;"&lt;/mattext&gt;&lt;/material&gt;","")</f>
        <v/>
      </c>
    </row>
    <row r="776" spans="1:1" ht="18" customHeight="1">
      <c r="A776" t="str">
        <f>IF(Generation!$B24,"      &lt;response_lid ident=""RESPONSE"" rcardinality="""&amp;Generation!$E24&amp;"""&gt;","")</f>
        <v/>
      </c>
    </row>
    <row r="777" spans="1:1" ht="18" customHeight="1">
      <c r="A777" t="str">
        <f>IF(Generation!$B24,"        &lt;render_choice shuffle=""No""&gt;","")</f>
        <v/>
      </c>
    </row>
    <row r="778" spans="1:1" ht="18" customHeight="1">
      <c r="A778" t="str">
        <f>IF(Generation!AB24="","",Generation!AB24)</f>
        <v/>
      </c>
    </row>
    <row r="779" spans="1:1" ht="18" customHeight="1">
      <c r="A779" t="str">
        <f>IF(Generation!AC24="","",Generation!AC24)</f>
        <v/>
      </c>
    </row>
    <row r="780" spans="1:1" ht="18" customHeight="1">
      <c r="A780" t="str">
        <f>IF(Generation!AD24="","",Generation!AD24)</f>
        <v/>
      </c>
    </row>
    <row r="781" spans="1:1" ht="18" customHeight="1">
      <c r="A781" t="str">
        <f>IF(Generation!AE24="","",Generation!AE24)</f>
        <v/>
      </c>
    </row>
    <row r="782" spans="1:1" ht="18" customHeight="1">
      <c r="A782" t="str">
        <f>IF(Generation!AF24="","",Generation!AF24)</f>
        <v/>
      </c>
    </row>
    <row r="783" spans="1:1" ht="18" customHeight="1">
      <c r="A783" t="str">
        <f>IF(Generation!AG24="","",Generation!AG24)</f>
        <v/>
      </c>
    </row>
    <row r="784" spans="1:1" ht="18" customHeight="1">
      <c r="A784" t="str">
        <f>IF(Generation!AH24="","",Generation!AH24)</f>
        <v/>
      </c>
    </row>
    <row r="785" spans="1:1" ht="18" customHeight="1">
      <c r="A785" t="str">
        <f>IF(Generation!AI24="","",Generation!AI24)</f>
        <v/>
      </c>
    </row>
    <row r="786" spans="1:1" ht="18" customHeight="1">
      <c r="A786" t="str">
        <f>IF(Generation!$B24,"        &lt;/render_choice&gt;","")</f>
        <v/>
      </c>
    </row>
    <row r="787" spans="1:1" ht="18" customHeight="1">
      <c r="A787" t="str">
        <f>IF(Generation!$B24,"      &lt;/response_lid&gt;","")</f>
        <v/>
      </c>
    </row>
    <row r="788" spans="1:1" ht="18" customHeight="1">
      <c r="A788" t="str">
        <f>IF(Generation!$B24,"    &lt;/presentation&gt;","")</f>
        <v/>
      </c>
    </row>
    <row r="789" spans="1:1" ht="18" customHeight="1">
      <c r="A789" t="str">
        <f>IF(Generation!$B24,"    &lt;resprocessing&gt;","")</f>
        <v/>
      </c>
    </row>
    <row r="790" spans="1:1" ht="18" customHeight="1">
      <c r="A790" t="str">
        <f>IF(Generation!$B24,"      &lt;outcomes&gt;&lt;decvar varname=""SCORE"" vartype=""Decimal"" minvalue=""0"" maxvalue="""&amp;Generation!$H24&amp;"""/&gt;&lt;/outcomes&gt;","")</f>
        <v/>
      </c>
    </row>
    <row r="791" spans="1:1" ht="18" customHeight="1">
      <c r="A791" t="str">
        <f>IF(Generation!AJ24="","",Generation!AJ24)</f>
        <v/>
      </c>
    </row>
    <row r="792" spans="1:1" ht="18" customHeight="1">
      <c r="A792" t="str">
        <f>IF(Generation!AK24="","",Generation!AK24)</f>
        <v/>
      </c>
    </row>
    <row r="793" spans="1:1" ht="18" customHeight="1">
      <c r="A793" t="str">
        <f>IF(Generation!AL24="","",Generation!AL24)</f>
        <v/>
      </c>
    </row>
    <row r="794" spans="1:1" ht="18" customHeight="1">
      <c r="A794" t="str">
        <f>IF(Generation!AM24="","",Generation!AM24)</f>
        <v/>
      </c>
    </row>
    <row r="795" spans="1:1" ht="18" customHeight="1">
      <c r="A795" t="str">
        <f>IF(Generation!AN24="","",Generation!AN24)</f>
        <v/>
      </c>
    </row>
    <row r="796" spans="1:1" ht="18" customHeight="1">
      <c r="A796" t="str">
        <f>IF(Generation!AO24="","",Generation!AO24)</f>
        <v/>
      </c>
    </row>
    <row r="797" spans="1:1" ht="18" customHeight="1">
      <c r="A797" t="str">
        <f>IF(Generation!AP24="","",Generation!AP24)</f>
        <v/>
      </c>
    </row>
    <row r="798" spans="1:1" ht="18" customHeight="1">
      <c r="A798" t="str">
        <f>IF(Generation!AQ24="","",Generation!AQ24)</f>
        <v/>
      </c>
    </row>
    <row r="799" spans="1:1" ht="18" customHeight="1">
      <c r="A799" t="str">
        <f>IF(Generation!$B24,"    &lt;/resprocessing&gt;","")</f>
        <v/>
      </c>
    </row>
    <row r="800" spans="1:1" ht="18" customHeight="1">
      <c r="A800" t="str">
        <f>IF(Generation!$B24,"    &lt;itemfeedback ident=""response""&gt;&lt;flow_mat&gt;&lt;material&gt;&lt;mattext texttype=""text/plain""&gt;&lt;/mattext&gt;&lt;/material&gt;&lt;/flow_mat&gt;&lt;/itemfeedback&gt;","")</f>
        <v/>
      </c>
    </row>
    <row r="801" spans="1:1" ht="18" customHeight="1">
      <c r="A801" t="str">
        <f>IF(Generation!$B24,"  &lt;/item&gt;","")</f>
        <v/>
      </c>
    </row>
    <row r="802" spans="1:1" ht="18" customHeight="1">
      <c r="A802" t="str">
        <f>IF(Generation!$B24,"","")</f>
        <v/>
      </c>
    </row>
    <row r="803" spans="1:1" ht="18" customHeight="1">
      <c r="A803" t="str">
        <f>""</f>
        <v/>
      </c>
    </row>
    <row r="804" spans="1:1" ht="18" customHeight="1">
      <c r="A804" t="str">
        <f>IF(Generation!$B25,"  &lt;item ident=""il_0_qst_"&amp;TEXT(Generation!$A25,"000")&amp;""" title="""&amp;Generation!$F25&amp;"""&gt;","")</f>
        <v/>
      </c>
    </row>
    <row r="805" spans="1:1" ht="18" customHeight="1">
      <c r="A805" t="str">
        <f>IF(Generation!$B25,"    &lt;duration&gt;P0Y0M0DT0H1M0S&lt;/duration&gt;","")</f>
        <v/>
      </c>
    </row>
    <row r="806" spans="1:1" ht="18" customHeight="1">
      <c r="A806" t="str">
        <f>IF(Generation!$B25,"    &lt;itemmetadata&gt;","")</f>
        <v/>
      </c>
    </row>
    <row r="807" spans="1:1" ht="18" customHeight="1">
      <c r="A807" t="str">
        <f>IF(Generation!$B25,"      &lt;qtimetadata&gt;","")</f>
        <v/>
      </c>
    </row>
    <row r="808" spans="1:1" ht="18" customHeight="1">
      <c r="A808" t="str">
        <f>IF(Generation!$B25,"        &lt;qtimetadatafield&gt;&lt;fieldlabel&gt;ILIAS_VERSION&lt;/fieldlabel&gt;&lt;fieldentry&gt;8&lt;/fieldentry&gt;&lt;/qtimetadatafield&gt;","")</f>
        <v/>
      </c>
    </row>
    <row r="809" spans="1:1" ht="18" customHeight="1">
      <c r="A809" t="str">
        <f>IF(Generation!$B25,"        &lt;qtimetadatafield&gt;&lt;fieldlabel&gt;QUESTIONTYPE&lt;/fieldlabel&gt;&lt;fieldentry&gt;"&amp;Generation!$D25&amp;"&lt;/fieldentry&gt;&lt;/qtimetadatafield&gt;","")</f>
        <v/>
      </c>
    </row>
    <row r="810" spans="1:1" ht="18" customHeight="1">
      <c r="A810" t="str">
        <f>IF(Generation!$B25,"        &lt;qtimetadatafield&gt;&lt;fieldlabel&gt;AUTHOR&lt;/fieldlabel&gt;&lt;fieldentry&gt;Générateur Excel QTI&lt;/fieldentry&gt;&lt;/qtimetadatafield&gt;","")</f>
        <v/>
      </c>
    </row>
    <row r="811" spans="1:1" ht="18" customHeight="1">
      <c r="A811" t="str">
        <f>IF(Generation!$B25,"        &lt;qtimetadatafield&gt;&lt;fieldlabel&gt;identicalScoring&lt;/fieldlabel&gt;&lt;fieldentry&gt;1&lt;/fieldentry&gt;&lt;/qtimetadatafield&gt;","")</f>
        <v/>
      </c>
    </row>
    <row r="812" spans="1:1" ht="18" customHeight="1">
      <c r="A812" t="str">
        <f>IF(Generation!$B25,"      &lt;/qtimetadata&gt;","")</f>
        <v/>
      </c>
    </row>
    <row r="813" spans="1:1" ht="18" customHeight="1">
      <c r="A813" t="str">
        <f>IF(Generation!$B25,"    &lt;/itemmetadata&gt;","")</f>
        <v/>
      </c>
    </row>
    <row r="814" spans="1:1" ht="18" customHeight="1">
      <c r="A814" t="str">
        <f>IF(Generation!$B25,"    &lt;presentation label="""&amp;Generation!$F25&amp;"""&gt;","")</f>
        <v/>
      </c>
    </row>
    <row r="815" spans="1:1" ht="18" customHeight="1">
      <c r="A815" t="str">
        <f>IF(Generation!$B25,"      &lt;material&gt;&lt;mattext texttype=""text/html""&gt;"&amp;Generation!$G25&amp;"&lt;/mattext&gt;&lt;/material&gt;","")</f>
        <v/>
      </c>
    </row>
    <row r="816" spans="1:1" ht="18" customHeight="1">
      <c r="A816" t="str">
        <f>IF(Generation!$B25,"      &lt;response_lid ident=""RESPONSE"" rcardinality="""&amp;Generation!$E25&amp;"""&gt;","")</f>
        <v/>
      </c>
    </row>
    <row r="817" spans="1:1" ht="18" customHeight="1">
      <c r="A817" t="str">
        <f>IF(Generation!$B25,"        &lt;render_choice shuffle=""No""&gt;","")</f>
        <v/>
      </c>
    </row>
    <row r="818" spans="1:1" ht="18" customHeight="1">
      <c r="A818" t="str">
        <f>IF(Generation!AB25="","",Generation!AB25)</f>
        <v/>
      </c>
    </row>
    <row r="819" spans="1:1" ht="18" customHeight="1">
      <c r="A819" t="str">
        <f>IF(Generation!AC25="","",Generation!AC25)</f>
        <v/>
      </c>
    </row>
    <row r="820" spans="1:1" ht="18" customHeight="1">
      <c r="A820" t="str">
        <f>IF(Generation!AD25="","",Generation!AD25)</f>
        <v/>
      </c>
    </row>
    <row r="821" spans="1:1" ht="18" customHeight="1">
      <c r="A821" t="str">
        <f>IF(Generation!AE25="","",Generation!AE25)</f>
        <v/>
      </c>
    </row>
    <row r="822" spans="1:1" ht="18" customHeight="1">
      <c r="A822" t="str">
        <f>IF(Generation!AF25="","",Generation!AF25)</f>
        <v/>
      </c>
    </row>
    <row r="823" spans="1:1" ht="18" customHeight="1">
      <c r="A823" t="str">
        <f>IF(Generation!AG25="","",Generation!AG25)</f>
        <v/>
      </c>
    </row>
    <row r="824" spans="1:1" ht="18" customHeight="1">
      <c r="A824" t="str">
        <f>IF(Generation!AH25="","",Generation!AH25)</f>
        <v/>
      </c>
    </row>
    <row r="825" spans="1:1" ht="18" customHeight="1">
      <c r="A825" t="str">
        <f>IF(Generation!AI25="","",Generation!AI25)</f>
        <v/>
      </c>
    </row>
    <row r="826" spans="1:1" ht="18" customHeight="1">
      <c r="A826" t="str">
        <f>IF(Generation!$B25,"        &lt;/render_choice&gt;","")</f>
        <v/>
      </c>
    </row>
    <row r="827" spans="1:1" ht="18" customHeight="1">
      <c r="A827" t="str">
        <f>IF(Generation!$B25,"      &lt;/response_lid&gt;","")</f>
        <v/>
      </c>
    </row>
    <row r="828" spans="1:1" ht="18" customHeight="1">
      <c r="A828" t="str">
        <f>IF(Generation!$B25,"    &lt;/presentation&gt;","")</f>
        <v/>
      </c>
    </row>
    <row r="829" spans="1:1" ht="18" customHeight="1">
      <c r="A829" t="str">
        <f>IF(Generation!$B25,"    &lt;resprocessing&gt;","")</f>
        <v/>
      </c>
    </row>
    <row r="830" spans="1:1" ht="18" customHeight="1">
      <c r="A830" t="str">
        <f>IF(Generation!$B25,"      &lt;outcomes&gt;&lt;decvar varname=""SCORE"" vartype=""Decimal"" minvalue=""0"" maxvalue="""&amp;Generation!$H25&amp;"""/&gt;&lt;/outcomes&gt;","")</f>
        <v/>
      </c>
    </row>
    <row r="831" spans="1:1" ht="18" customHeight="1">
      <c r="A831" t="str">
        <f>IF(Generation!AJ25="","",Generation!AJ25)</f>
        <v/>
      </c>
    </row>
    <row r="832" spans="1:1" ht="18" customHeight="1">
      <c r="A832" t="str">
        <f>IF(Generation!AK25="","",Generation!AK25)</f>
        <v/>
      </c>
    </row>
    <row r="833" spans="1:1" ht="18" customHeight="1">
      <c r="A833" t="str">
        <f>IF(Generation!AL25="","",Generation!AL25)</f>
        <v/>
      </c>
    </row>
    <row r="834" spans="1:1" ht="18" customHeight="1">
      <c r="A834" t="str">
        <f>IF(Generation!AM25="","",Generation!AM25)</f>
        <v/>
      </c>
    </row>
    <row r="835" spans="1:1" ht="18" customHeight="1">
      <c r="A835" t="str">
        <f>IF(Generation!AN25="","",Generation!AN25)</f>
        <v/>
      </c>
    </row>
    <row r="836" spans="1:1" ht="18" customHeight="1">
      <c r="A836" t="str">
        <f>IF(Generation!AO25="","",Generation!AO25)</f>
        <v/>
      </c>
    </row>
    <row r="837" spans="1:1" ht="18" customHeight="1">
      <c r="A837" t="str">
        <f>IF(Generation!AP25="","",Generation!AP25)</f>
        <v/>
      </c>
    </row>
    <row r="838" spans="1:1" ht="18" customHeight="1">
      <c r="A838" t="str">
        <f>IF(Generation!AQ25="","",Generation!AQ25)</f>
        <v/>
      </c>
    </row>
    <row r="839" spans="1:1" ht="18" customHeight="1">
      <c r="A839" t="str">
        <f>IF(Generation!$B25,"    &lt;/resprocessing&gt;","")</f>
        <v/>
      </c>
    </row>
    <row r="840" spans="1:1" ht="18" customHeight="1">
      <c r="A840" t="str">
        <f>IF(Generation!$B25,"    &lt;itemfeedback ident=""response""&gt;&lt;flow_mat&gt;&lt;material&gt;&lt;mattext texttype=""text/plain""&gt;&lt;/mattext&gt;&lt;/material&gt;&lt;/flow_mat&gt;&lt;/itemfeedback&gt;","")</f>
        <v/>
      </c>
    </row>
    <row r="841" spans="1:1" ht="18" customHeight="1">
      <c r="A841" t="str">
        <f>IF(Generation!$B25,"  &lt;/item&gt;","")</f>
        <v/>
      </c>
    </row>
    <row r="842" spans="1:1" ht="18" customHeight="1">
      <c r="A842" t="str">
        <f>IF(Generation!$B25,"","")</f>
        <v/>
      </c>
    </row>
    <row r="843" spans="1:1" ht="18" customHeight="1">
      <c r="A843" t="str">
        <f>""</f>
        <v/>
      </c>
    </row>
    <row r="844" spans="1:1" ht="18" customHeight="1">
      <c r="A844" t="str">
        <f>IF(Generation!$B26,"  &lt;item ident=""il_0_qst_"&amp;TEXT(Generation!$A26,"000")&amp;""" title="""&amp;Generation!$F26&amp;"""&gt;","")</f>
        <v/>
      </c>
    </row>
    <row r="845" spans="1:1" ht="18" customHeight="1">
      <c r="A845" t="str">
        <f>IF(Generation!$B26,"    &lt;duration&gt;P0Y0M0DT0H1M0S&lt;/duration&gt;","")</f>
        <v/>
      </c>
    </row>
    <row r="846" spans="1:1" ht="18" customHeight="1">
      <c r="A846" t="str">
        <f>IF(Generation!$B26,"    &lt;itemmetadata&gt;","")</f>
        <v/>
      </c>
    </row>
    <row r="847" spans="1:1" ht="18" customHeight="1">
      <c r="A847" t="str">
        <f>IF(Generation!$B26,"      &lt;qtimetadata&gt;","")</f>
        <v/>
      </c>
    </row>
    <row r="848" spans="1:1" ht="18" customHeight="1">
      <c r="A848" t="str">
        <f>IF(Generation!$B26,"        &lt;qtimetadatafield&gt;&lt;fieldlabel&gt;ILIAS_VERSION&lt;/fieldlabel&gt;&lt;fieldentry&gt;8&lt;/fieldentry&gt;&lt;/qtimetadatafield&gt;","")</f>
        <v/>
      </c>
    </row>
    <row r="849" spans="1:1" ht="18" customHeight="1">
      <c r="A849" t="str">
        <f>IF(Generation!$B26,"        &lt;qtimetadatafield&gt;&lt;fieldlabel&gt;QUESTIONTYPE&lt;/fieldlabel&gt;&lt;fieldentry&gt;"&amp;Generation!$D26&amp;"&lt;/fieldentry&gt;&lt;/qtimetadatafield&gt;","")</f>
        <v/>
      </c>
    </row>
    <row r="850" spans="1:1" ht="18" customHeight="1">
      <c r="A850" t="str">
        <f>IF(Generation!$B26,"        &lt;qtimetadatafield&gt;&lt;fieldlabel&gt;AUTHOR&lt;/fieldlabel&gt;&lt;fieldentry&gt;Générateur Excel QTI&lt;/fieldentry&gt;&lt;/qtimetadatafield&gt;","")</f>
        <v/>
      </c>
    </row>
    <row r="851" spans="1:1" ht="18" customHeight="1">
      <c r="A851" t="str">
        <f>IF(Generation!$B26,"        &lt;qtimetadatafield&gt;&lt;fieldlabel&gt;identicalScoring&lt;/fieldlabel&gt;&lt;fieldentry&gt;1&lt;/fieldentry&gt;&lt;/qtimetadatafield&gt;","")</f>
        <v/>
      </c>
    </row>
    <row r="852" spans="1:1" ht="18" customHeight="1">
      <c r="A852" t="str">
        <f>IF(Generation!$B26,"      &lt;/qtimetadata&gt;","")</f>
        <v/>
      </c>
    </row>
    <row r="853" spans="1:1" ht="18" customHeight="1">
      <c r="A853" t="str">
        <f>IF(Generation!$B26,"    &lt;/itemmetadata&gt;","")</f>
        <v/>
      </c>
    </row>
    <row r="854" spans="1:1" ht="18" customHeight="1">
      <c r="A854" t="str">
        <f>IF(Generation!$B26,"    &lt;presentation label="""&amp;Generation!$F26&amp;"""&gt;","")</f>
        <v/>
      </c>
    </row>
    <row r="855" spans="1:1" ht="18" customHeight="1">
      <c r="A855" t="str">
        <f>IF(Generation!$B26,"      &lt;material&gt;&lt;mattext texttype=""text/html""&gt;"&amp;Generation!$G26&amp;"&lt;/mattext&gt;&lt;/material&gt;","")</f>
        <v/>
      </c>
    </row>
    <row r="856" spans="1:1" ht="18" customHeight="1">
      <c r="A856" t="str">
        <f>IF(Generation!$B26,"      &lt;response_lid ident=""RESPONSE"" rcardinality="""&amp;Generation!$E26&amp;"""&gt;","")</f>
        <v/>
      </c>
    </row>
    <row r="857" spans="1:1" ht="18" customHeight="1">
      <c r="A857" t="str">
        <f>IF(Generation!$B26,"        &lt;render_choice shuffle=""No""&gt;","")</f>
        <v/>
      </c>
    </row>
    <row r="858" spans="1:1" ht="18" customHeight="1">
      <c r="A858" t="str">
        <f>IF(Generation!AB26="","",Generation!AB26)</f>
        <v/>
      </c>
    </row>
    <row r="859" spans="1:1" ht="18" customHeight="1">
      <c r="A859" t="str">
        <f>IF(Generation!AC26="","",Generation!AC26)</f>
        <v/>
      </c>
    </row>
    <row r="860" spans="1:1" ht="18" customHeight="1">
      <c r="A860" t="str">
        <f>IF(Generation!AD26="","",Generation!AD26)</f>
        <v/>
      </c>
    </row>
    <row r="861" spans="1:1" ht="18" customHeight="1">
      <c r="A861" t="str">
        <f>IF(Generation!AE26="","",Generation!AE26)</f>
        <v/>
      </c>
    </row>
    <row r="862" spans="1:1" ht="18" customHeight="1">
      <c r="A862" t="str">
        <f>IF(Generation!AF26="","",Generation!AF26)</f>
        <v/>
      </c>
    </row>
    <row r="863" spans="1:1" ht="18" customHeight="1">
      <c r="A863" t="str">
        <f>IF(Generation!AG26="","",Generation!AG26)</f>
        <v/>
      </c>
    </row>
    <row r="864" spans="1:1" ht="18" customHeight="1">
      <c r="A864" t="str">
        <f>IF(Generation!AH26="","",Generation!AH26)</f>
        <v/>
      </c>
    </row>
    <row r="865" spans="1:1" ht="18" customHeight="1">
      <c r="A865" t="str">
        <f>IF(Generation!AI26="","",Generation!AI26)</f>
        <v/>
      </c>
    </row>
    <row r="866" spans="1:1" ht="18" customHeight="1">
      <c r="A866" t="str">
        <f>IF(Generation!$B26,"        &lt;/render_choice&gt;","")</f>
        <v/>
      </c>
    </row>
    <row r="867" spans="1:1" ht="18" customHeight="1">
      <c r="A867" t="str">
        <f>IF(Generation!$B26,"      &lt;/response_lid&gt;","")</f>
        <v/>
      </c>
    </row>
    <row r="868" spans="1:1" ht="18" customHeight="1">
      <c r="A868" t="str">
        <f>IF(Generation!$B26,"    &lt;/presentation&gt;","")</f>
        <v/>
      </c>
    </row>
    <row r="869" spans="1:1" ht="18" customHeight="1">
      <c r="A869" t="str">
        <f>IF(Generation!$B26,"    &lt;resprocessing&gt;","")</f>
        <v/>
      </c>
    </row>
    <row r="870" spans="1:1" ht="18" customHeight="1">
      <c r="A870" t="str">
        <f>IF(Generation!$B26,"      &lt;outcomes&gt;&lt;decvar varname=""SCORE"" vartype=""Decimal"" minvalue=""0"" maxvalue="""&amp;Generation!$H26&amp;"""/&gt;&lt;/outcomes&gt;","")</f>
        <v/>
      </c>
    </row>
    <row r="871" spans="1:1" ht="18" customHeight="1">
      <c r="A871" t="str">
        <f>IF(Generation!AJ26="","",Generation!AJ26)</f>
        <v/>
      </c>
    </row>
    <row r="872" spans="1:1" ht="18" customHeight="1">
      <c r="A872" t="str">
        <f>IF(Generation!AK26="","",Generation!AK26)</f>
        <v/>
      </c>
    </row>
    <row r="873" spans="1:1" ht="18" customHeight="1">
      <c r="A873" t="str">
        <f>IF(Generation!AL26="","",Generation!AL26)</f>
        <v/>
      </c>
    </row>
    <row r="874" spans="1:1" ht="18" customHeight="1">
      <c r="A874" t="str">
        <f>IF(Generation!AM26="","",Generation!AM26)</f>
        <v/>
      </c>
    </row>
    <row r="875" spans="1:1" ht="18" customHeight="1">
      <c r="A875" t="str">
        <f>IF(Generation!AN26="","",Generation!AN26)</f>
        <v/>
      </c>
    </row>
    <row r="876" spans="1:1" ht="18" customHeight="1">
      <c r="A876" t="str">
        <f>IF(Generation!AO26="","",Generation!AO26)</f>
        <v/>
      </c>
    </row>
    <row r="877" spans="1:1" ht="18" customHeight="1">
      <c r="A877" t="str">
        <f>IF(Generation!AP26="","",Generation!AP26)</f>
        <v/>
      </c>
    </row>
    <row r="878" spans="1:1" ht="18" customHeight="1">
      <c r="A878" t="str">
        <f>IF(Generation!AQ26="","",Generation!AQ26)</f>
        <v/>
      </c>
    </row>
    <row r="879" spans="1:1" ht="18" customHeight="1">
      <c r="A879" t="str">
        <f>IF(Generation!$B26,"    &lt;/resprocessing&gt;","")</f>
        <v/>
      </c>
    </row>
    <row r="880" spans="1:1" ht="18" customHeight="1">
      <c r="A880" t="str">
        <f>IF(Generation!$B26,"    &lt;itemfeedback ident=""response""&gt;&lt;flow_mat&gt;&lt;material&gt;&lt;mattext texttype=""text/plain""&gt;&lt;/mattext&gt;&lt;/material&gt;&lt;/flow_mat&gt;&lt;/itemfeedback&gt;","")</f>
        <v/>
      </c>
    </row>
    <row r="881" spans="1:1" ht="18" customHeight="1">
      <c r="A881" t="str">
        <f>IF(Generation!$B26,"  &lt;/item&gt;","")</f>
        <v/>
      </c>
    </row>
    <row r="882" spans="1:1" ht="18" customHeight="1">
      <c r="A882" t="str">
        <f>IF(Generation!$B26,"","")</f>
        <v/>
      </c>
    </row>
    <row r="883" spans="1:1" ht="18" customHeight="1">
      <c r="A883" t="str">
        <f>""</f>
        <v/>
      </c>
    </row>
    <row r="884" spans="1:1" ht="18" customHeight="1">
      <c r="A884" t="str">
        <f>IF(Generation!$B27,"  &lt;item ident=""il_0_qst_"&amp;TEXT(Generation!$A27,"000")&amp;""" title="""&amp;Generation!$F27&amp;"""&gt;","")</f>
        <v/>
      </c>
    </row>
    <row r="885" spans="1:1" ht="18" customHeight="1">
      <c r="A885" t="str">
        <f>IF(Generation!$B27,"    &lt;duration&gt;P0Y0M0DT0H1M0S&lt;/duration&gt;","")</f>
        <v/>
      </c>
    </row>
    <row r="886" spans="1:1" ht="18" customHeight="1">
      <c r="A886" t="str">
        <f>IF(Generation!$B27,"    &lt;itemmetadata&gt;","")</f>
        <v/>
      </c>
    </row>
    <row r="887" spans="1:1" ht="18" customHeight="1">
      <c r="A887" t="str">
        <f>IF(Generation!$B27,"      &lt;qtimetadata&gt;","")</f>
        <v/>
      </c>
    </row>
    <row r="888" spans="1:1" ht="18" customHeight="1">
      <c r="A888" t="str">
        <f>IF(Generation!$B27,"        &lt;qtimetadatafield&gt;&lt;fieldlabel&gt;ILIAS_VERSION&lt;/fieldlabel&gt;&lt;fieldentry&gt;8&lt;/fieldentry&gt;&lt;/qtimetadatafield&gt;","")</f>
        <v/>
      </c>
    </row>
    <row r="889" spans="1:1" ht="18" customHeight="1">
      <c r="A889" t="str">
        <f>IF(Generation!$B27,"        &lt;qtimetadatafield&gt;&lt;fieldlabel&gt;QUESTIONTYPE&lt;/fieldlabel&gt;&lt;fieldentry&gt;"&amp;Generation!$D27&amp;"&lt;/fieldentry&gt;&lt;/qtimetadatafield&gt;","")</f>
        <v/>
      </c>
    </row>
    <row r="890" spans="1:1" ht="18" customHeight="1">
      <c r="A890" t="str">
        <f>IF(Generation!$B27,"        &lt;qtimetadatafield&gt;&lt;fieldlabel&gt;AUTHOR&lt;/fieldlabel&gt;&lt;fieldentry&gt;Générateur Excel QTI&lt;/fieldentry&gt;&lt;/qtimetadatafield&gt;","")</f>
        <v/>
      </c>
    </row>
    <row r="891" spans="1:1" ht="18" customHeight="1">
      <c r="A891" t="str">
        <f>IF(Generation!$B27,"        &lt;qtimetadatafield&gt;&lt;fieldlabel&gt;identicalScoring&lt;/fieldlabel&gt;&lt;fieldentry&gt;1&lt;/fieldentry&gt;&lt;/qtimetadatafield&gt;","")</f>
        <v/>
      </c>
    </row>
    <row r="892" spans="1:1" ht="18" customHeight="1">
      <c r="A892" t="str">
        <f>IF(Generation!$B27,"      &lt;/qtimetadata&gt;","")</f>
        <v/>
      </c>
    </row>
    <row r="893" spans="1:1" ht="18" customHeight="1">
      <c r="A893" t="str">
        <f>IF(Generation!$B27,"    &lt;/itemmetadata&gt;","")</f>
        <v/>
      </c>
    </row>
    <row r="894" spans="1:1" ht="18" customHeight="1">
      <c r="A894" t="str">
        <f>IF(Generation!$B27,"    &lt;presentation label="""&amp;Generation!$F27&amp;"""&gt;","")</f>
        <v/>
      </c>
    </row>
    <row r="895" spans="1:1" ht="18" customHeight="1">
      <c r="A895" t="str">
        <f>IF(Generation!$B27,"      &lt;material&gt;&lt;mattext texttype=""text/html""&gt;"&amp;Generation!$G27&amp;"&lt;/mattext&gt;&lt;/material&gt;","")</f>
        <v/>
      </c>
    </row>
    <row r="896" spans="1:1" ht="18" customHeight="1">
      <c r="A896" t="str">
        <f>IF(Generation!$B27,"      &lt;response_lid ident=""RESPONSE"" rcardinality="""&amp;Generation!$E27&amp;"""&gt;","")</f>
        <v/>
      </c>
    </row>
    <row r="897" spans="1:1" ht="18" customHeight="1">
      <c r="A897" t="str">
        <f>IF(Generation!$B27,"        &lt;render_choice shuffle=""No""&gt;","")</f>
        <v/>
      </c>
    </row>
    <row r="898" spans="1:1" ht="18" customHeight="1">
      <c r="A898" t="str">
        <f>IF(Generation!AB27="","",Generation!AB27)</f>
        <v/>
      </c>
    </row>
    <row r="899" spans="1:1" ht="18" customHeight="1">
      <c r="A899" t="str">
        <f>IF(Generation!AC27="","",Generation!AC27)</f>
        <v/>
      </c>
    </row>
    <row r="900" spans="1:1" ht="18" customHeight="1">
      <c r="A900" t="str">
        <f>IF(Generation!AD27="","",Generation!AD27)</f>
        <v/>
      </c>
    </row>
    <row r="901" spans="1:1" ht="18" customHeight="1">
      <c r="A901" t="str">
        <f>IF(Generation!AE27="","",Generation!AE27)</f>
        <v/>
      </c>
    </row>
    <row r="902" spans="1:1" ht="18" customHeight="1">
      <c r="A902" t="str">
        <f>IF(Generation!AF27="","",Generation!AF27)</f>
        <v/>
      </c>
    </row>
    <row r="903" spans="1:1" ht="18" customHeight="1">
      <c r="A903" t="str">
        <f>IF(Generation!AG27="","",Generation!AG27)</f>
        <v/>
      </c>
    </row>
    <row r="904" spans="1:1" ht="18" customHeight="1">
      <c r="A904" t="str">
        <f>IF(Generation!AH27="","",Generation!AH27)</f>
        <v/>
      </c>
    </row>
    <row r="905" spans="1:1" ht="18" customHeight="1">
      <c r="A905" t="str">
        <f>IF(Generation!AI27="","",Generation!AI27)</f>
        <v/>
      </c>
    </row>
    <row r="906" spans="1:1" ht="18" customHeight="1">
      <c r="A906" t="str">
        <f>IF(Generation!$B27,"        &lt;/render_choice&gt;","")</f>
        <v/>
      </c>
    </row>
    <row r="907" spans="1:1" ht="18" customHeight="1">
      <c r="A907" t="str">
        <f>IF(Generation!$B27,"      &lt;/response_lid&gt;","")</f>
        <v/>
      </c>
    </row>
    <row r="908" spans="1:1" ht="18" customHeight="1">
      <c r="A908" t="str">
        <f>IF(Generation!$B27,"    &lt;/presentation&gt;","")</f>
        <v/>
      </c>
    </row>
    <row r="909" spans="1:1" ht="18" customHeight="1">
      <c r="A909" t="str">
        <f>IF(Generation!$B27,"    &lt;resprocessing&gt;","")</f>
        <v/>
      </c>
    </row>
    <row r="910" spans="1:1" ht="18" customHeight="1">
      <c r="A910" t="str">
        <f>IF(Generation!$B27,"      &lt;outcomes&gt;&lt;decvar varname=""SCORE"" vartype=""Decimal"" minvalue=""0"" maxvalue="""&amp;Generation!$H27&amp;"""/&gt;&lt;/outcomes&gt;","")</f>
        <v/>
      </c>
    </row>
    <row r="911" spans="1:1" ht="18" customHeight="1">
      <c r="A911" t="str">
        <f>IF(Generation!AJ27="","",Generation!AJ27)</f>
        <v/>
      </c>
    </row>
    <row r="912" spans="1:1" ht="18" customHeight="1">
      <c r="A912" t="str">
        <f>IF(Generation!AK27="","",Generation!AK27)</f>
        <v/>
      </c>
    </row>
    <row r="913" spans="1:1" ht="18" customHeight="1">
      <c r="A913" t="str">
        <f>IF(Generation!AL27="","",Generation!AL27)</f>
        <v/>
      </c>
    </row>
    <row r="914" spans="1:1" ht="18" customHeight="1">
      <c r="A914" t="str">
        <f>IF(Generation!AM27="","",Generation!AM27)</f>
        <v/>
      </c>
    </row>
    <row r="915" spans="1:1" ht="18" customHeight="1">
      <c r="A915" t="str">
        <f>IF(Generation!AN27="","",Generation!AN27)</f>
        <v/>
      </c>
    </row>
    <row r="916" spans="1:1" ht="18" customHeight="1">
      <c r="A916" t="str">
        <f>IF(Generation!AO27="","",Generation!AO27)</f>
        <v/>
      </c>
    </row>
    <row r="917" spans="1:1" ht="18" customHeight="1">
      <c r="A917" t="str">
        <f>IF(Generation!AP27="","",Generation!AP27)</f>
        <v/>
      </c>
    </row>
    <row r="918" spans="1:1" ht="18" customHeight="1">
      <c r="A918" t="str">
        <f>IF(Generation!AQ27="","",Generation!AQ27)</f>
        <v/>
      </c>
    </row>
    <row r="919" spans="1:1" ht="18" customHeight="1">
      <c r="A919" t="str">
        <f>IF(Generation!$B27,"    &lt;/resprocessing&gt;","")</f>
        <v/>
      </c>
    </row>
    <row r="920" spans="1:1" ht="18" customHeight="1">
      <c r="A920" t="str">
        <f>IF(Generation!$B27,"    &lt;itemfeedback ident=""response""&gt;&lt;flow_mat&gt;&lt;material&gt;&lt;mattext texttype=""text/plain""&gt;&lt;/mattext&gt;&lt;/material&gt;&lt;/flow_mat&gt;&lt;/itemfeedback&gt;","")</f>
        <v/>
      </c>
    </row>
    <row r="921" spans="1:1" ht="18" customHeight="1">
      <c r="A921" t="str">
        <f>IF(Generation!$B27,"  &lt;/item&gt;","")</f>
        <v/>
      </c>
    </row>
    <row r="922" spans="1:1" ht="18" customHeight="1">
      <c r="A922" t="str">
        <f>IF(Generation!$B27,"","")</f>
        <v/>
      </c>
    </row>
    <row r="923" spans="1:1" ht="18" customHeight="1">
      <c r="A923" t="str">
        <f>""</f>
        <v/>
      </c>
    </row>
    <row r="924" spans="1:1" ht="18" customHeight="1">
      <c r="A924" t="str">
        <f>IF(Generation!$B28,"  &lt;item ident=""il_0_qst_"&amp;TEXT(Generation!$A28,"000")&amp;""" title="""&amp;Generation!$F28&amp;"""&gt;","")</f>
        <v/>
      </c>
    </row>
    <row r="925" spans="1:1" ht="18" customHeight="1">
      <c r="A925" t="str">
        <f>IF(Generation!$B28,"    &lt;duration&gt;P0Y0M0DT0H1M0S&lt;/duration&gt;","")</f>
        <v/>
      </c>
    </row>
    <row r="926" spans="1:1" ht="18" customHeight="1">
      <c r="A926" t="str">
        <f>IF(Generation!$B28,"    &lt;itemmetadata&gt;","")</f>
        <v/>
      </c>
    </row>
    <row r="927" spans="1:1" ht="18" customHeight="1">
      <c r="A927" t="str">
        <f>IF(Generation!$B28,"      &lt;qtimetadata&gt;","")</f>
        <v/>
      </c>
    </row>
    <row r="928" spans="1:1" ht="18" customHeight="1">
      <c r="A928" t="str">
        <f>IF(Generation!$B28,"        &lt;qtimetadatafield&gt;&lt;fieldlabel&gt;ILIAS_VERSION&lt;/fieldlabel&gt;&lt;fieldentry&gt;8&lt;/fieldentry&gt;&lt;/qtimetadatafield&gt;","")</f>
        <v/>
      </c>
    </row>
    <row r="929" spans="1:1" ht="18" customHeight="1">
      <c r="A929" t="str">
        <f>IF(Generation!$B28,"        &lt;qtimetadatafield&gt;&lt;fieldlabel&gt;QUESTIONTYPE&lt;/fieldlabel&gt;&lt;fieldentry&gt;"&amp;Generation!$D28&amp;"&lt;/fieldentry&gt;&lt;/qtimetadatafield&gt;","")</f>
        <v/>
      </c>
    </row>
    <row r="930" spans="1:1" ht="18" customHeight="1">
      <c r="A930" t="str">
        <f>IF(Generation!$B28,"        &lt;qtimetadatafield&gt;&lt;fieldlabel&gt;AUTHOR&lt;/fieldlabel&gt;&lt;fieldentry&gt;Générateur Excel QTI&lt;/fieldentry&gt;&lt;/qtimetadatafield&gt;","")</f>
        <v/>
      </c>
    </row>
    <row r="931" spans="1:1" ht="18" customHeight="1">
      <c r="A931" t="str">
        <f>IF(Generation!$B28,"        &lt;qtimetadatafield&gt;&lt;fieldlabel&gt;identicalScoring&lt;/fieldlabel&gt;&lt;fieldentry&gt;1&lt;/fieldentry&gt;&lt;/qtimetadatafield&gt;","")</f>
        <v/>
      </c>
    </row>
    <row r="932" spans="1:1" ht="18" customHeight="1">
      <c r="A932" t="str">
        <f>IF(Generation!$B28,"      &lt;/qtimetadata&gt;","")</f>
        <v/>
      </c>
    </row>
    <row r="933" spans="1:1" ht="18" customHeight="1">
      <c r="A933" t="str">
        <f>IF(Generation!$B28,"    &lt;/itemmetadata&gt;","")</f>
        <v/>
      </c>
    </row>
    <row r="934" spans="1:1" ht="18" customHeight="1">
      <c r="A934" t="str">
        <f>IF(Generation!$B28,"    &lt;presentation label="""&amp;Generation!$F28&amp;"""&gt;","")</f>
        <v/>
      </c>
    </row>
    <row r="935" spans="1:1" ht="18" customHeight="1">
      <c r="A935" t="str">
        <f>IF(Generation!$B28,"      &lt;material&gt;&lt;mattext texttype=""text/html""&gt;"&amp;Generation!$G28&amp;"&lt;/mattext&gt;&lt;/material&gt;","")</f>
        <v/>
      </c>
    </row>
    <row r="936" spans="1:1" ht="18" customHeight="1">
      <c r="A936" t="str">
        <f>IF(Generation!$B28,"      &lt;response_lid ident=""RESPONSE"" rcardinality="""&amp;Generation!$E28&amp;"""&gt;","")</f>
        <v/>
      </c>
    </row>
    <row r="937" spans="1:1" ht="18" customHeight="1">
      <c r="A937" t="str">
        <f>IF(Generation!$B28,"        &lt;render_choice shuffle=""No""&gt;","")</f>
        <v/>
      </c>
    </row>
    <row r="938" spans="1:1" ht="18" customHeight="1">
      <c r="A938" t="str">
        <f>IF(Generation!AB28="","",Generation!AB28)</f>
        <v/>
      </c>
    </row>
    <row r="939" spans="1:1" ht="18" customHeight="1">
      <c r="A939" t="str">
        <f>IF(Generation!AC28="","",Generation!AC28)</f>
        <v/>
      </c>
    </row>
    <row r="940" spans="1:1" ht="18" customHeight="1">
      <c r="A940" t="str">
        <f>IF(Generation!AD28="","",Generation!AD28)</f>
        <v/>
      </c>
    </row>
    <row r="941" spans="1:1" ht="18" customHeight="1">
      <c r="A941" t="str">
        <f>IF(Generation!AE28="","",Generation!AE28)</f>
        <v/>
      </c>
    </row>
    <row r="942" spans="1:1" ht="18" customHeight="1">
      <c r="A942" t="str">
        <f>IF(Generation!AF28="","",Generation!AF28)</f>
        <v/>
      </c>
    </row>
    <row r="943" spans="1:1" ht="18" customHeight="1">
      <c r="A943" t="str">
        <f>IF(Generation!AG28="","",Generation!AG28)</f>
        <v/>
      </c>
    </row>
    <row r="944" spans="1:1" ht="18" customHeight="1">
      <c r="A944" t="str">
        <f>IF(Generation!AH28="","",Generation!AH28)</f>
        <v/>
      </c>
    </row>
    <row r="945" spans="1:1" ht="18" customHeight="1">
      <c r="A945" t="str">
        <f>IF(Generation!AI28="","",Generation!AI28)</f>
        <v/>
      </c>
    </row>
    <row r="946" spans="1:1" ht="18" customHeight="1">
      <c r="A946" t="str">
        <f>IF(Generation!$B28,"        &lt;/render_choice&gt;","")</f>
        <v/>
      </c>
    </row>
    <row r="947" spans="1:1" ht="18" customHeight="1">
      <c r="A947" t="str">
        <f>IF(Generation!$B28,"      &lt;/response_lid&gt;","")</f>
        <v/>
      </c>
    </row>
    <row r="948" spans="1:1" ht="18" customHeight="1">
      <c r="A948" t="str">
        <f>IF(Generation!$B28,"    &lt;/presentation&gt;","")</f>
        <v/>
      </c>
    </row>
    <row r="949" spans="1:1" ht="18" customHeight="1">
      <c r="A949" t="str">
        <f>IF(Generation!$B28,"    &lt;resprocessing&gt;","")</f>
        <v/>
      </c>
    </row>
    <row r="950" spans="1:1" ht="18" customHeight="1">
      <c r="A950" t="str">
        <f>IF(Generation!$B28,"      &lt;outcomes&gt;&lt;decvar varname=""SCORE"" vartype=""Decimal"" minvalue=""0"" maxvalue="""&amp;Generation!$H28&amp;"""/&gt;&lt;/outcomes&gt;","")</f>
        <v/>
      </c>
    </row>
    <row r="951" spans="1:1" ht="18" customHeight="1">
      <c r="A951" t="str">
        <f>IF(Generation!AJ28="","",Generation!AJ28)</f>
        <v/>
      </c>
    </row>
    <row r="952" spans="1:1" ht="18" customHeight="1">
      <c r="A952" t="str">
        <f>IF(Generation!AK28="","",Generation!AK28)</f>
        <v/>
      </c>
    </row>
    <row r="953" spans="1:1" ht="18" customHeight="1">
      <c r="A953" t="str">
        <f>IF(Generation!AL28="","",Generation!AL28)</f>
        <v/>
      </c>
    </row>
    <row r="954" spans="1:1" ht="18" customHeight="1">
      <c r="A954" t="str">
        <f>IF(Generation!AM28="","",Generation!AM28)</f>
        <v/>
      </c>
    </row>
    <row r="955" spans="1:1" ht="18" customHeight="1">
      <c r="A955" t="str">
        <f>IF(Generation!AN28="","",Generation!AN28)</f>
        <v/>
      </c>
    </row>
    <row r="956" spans="1:1" ht="18" customHeight="1">
      <c r="A956" t="str">
        <f>IF(Generation!AO28="","",Generation!AO28)</f>
        <v/>
      </c>
    </row>
    <row r="957" spans="1:1" ht="18" customHeight="1">
      <c r="A957" t="str">
        <f>IF(Generation!AP28="","",Generation!AP28)</f>
        <v/>
      </c>
    </row>
    <row r="958" spans="1:1" ht="18" customHeight="1">
      <c r="A958" t="str">
        <f>IF(Generation!AQ28="","",Generation!AQ28)</f>
        <v/>
      </c>
    </row>
    <row r="959" spans="1:1" ht="18" customHeight="1">
      <c r="A959" t="str">
        <f>IF(Generation!$B28,"    &lt;/resprocessing&gt;","")</f>
        <v/>
      </c>
    </row>
    <row r="960" spans="1:1" ht="18" customHeight="1">
      <c r="A960" t="str">
        <f>IF(Generation!$B28,"    &lt;itemfeedback ident=""response""&gt;&lt;flow_mat&gt;&lt;material&gt;&lt;mattext texttype=""text/plain""&gt;&lt;/mattext&gt;&lt;/material&gt;&lt;/flow_mat&gt;&lt;/itemfeedback&gt;","")</f>
        <v/>
      </c>
    </row>
    <row r="961" spans="1:1" ht="18" customHeight="1">
      <c r="A961" t="str">
        <f>IF(Generation!$B28,"  &lt;/item&gt;","")</f>
        <v/>
      </c>
    </row>
    <row r="962" spans="1:1" ht="18" customHeight="1">
      <c r="A962" t="str">
        <f>IF(Generation!$B28,"","")</f>
        <v/>
      </c>
    </row>
    <row r="963" spans="1:1" ht="18" customHeight="1">
      <c r="A963" t="str">
        <f>""</f>
        <v/>
      </c>
    </row>
    <row r="964" spans="1:1" ht="18" customHeight="1">
      <c r="A964" t="str">
        <f>IF(Generation!$B29,"  &lt;item ident=""il_0_qst_"&amp;TEXT(Generation!$A29,"000")&amp;""" title="""&amp;Generation!$F29&amp;"""&gt;","")</f>
        <v/>
      </c>
    </row>
    <row r="965" spans="1:1" ht="18" customHeight="1">
      <c r="A965" t="str">
        <f>IF(Generation!$B29,"    &lt;duration&gt;P0Y0M0DT0H1M0S&lt;/duration&gt;","")</f>
        <v/>
      </c>
    </row>
    <row r="966" spans="1:1" ht="18" customHeight="1">
      <c r="A966" t="str">
        <f>IF(Generation!$B29,"    &lt;itemmetadata&gt;","")</f>
        <v/>
      </c>
    </row>
    <row r="967" spans="1:1" ht="18" customHeight="1">
      <c r="A967" t="str">
        <f>IF(Generation!$B29,"      &lt;qtimetadata&gt;","")</f>
        <v/>
      </c>
    </row>
    <row r="968" spans="1:1" ht="18" customHeight="1">
      <c r="A968" t="str">
        <f>IF(Generation!$B29,"        &lt;qtimetadatafield&gt;&lt;fieldlabel&gt;ILIAS_VERSION&lt;/fieldlabel&gt;&lt;fieldentry&gt;8&lt;/fieldentry&gt;&lt;/qtimetadatafield&gt;","")</f>
        <v/>
      </c>
    </row>
    <row r="969" spans="1:1" ht="18" customHeight="1">
      <c r="A969" t="str">
        <f>IF(Generation!$B29,"        &lt;qtimetadatafield&gt;&lt;fieldlabel&gt;QUESTIONTYPE&lt;/fieldlabel&gt;&lt;fieldentry&gt;"&amp;Generation!$D29&amp;"&lt;/fieldentry&gt;&lt;/qtimetadatafield&gt;","")</f>
        <v/>
      </c>
    </row>
    <row r="970" spans="1:1" ht="18" customHeight="1">
      <c r="A970" t="str">
        <f>IF(Generation!$B29,"        &lt;qtimetadatafield&gt;&lt;fieldlabel&gt;AUTHOR&lt;/fieldlabel&gt;&lt;fieldentry&gt;Générateur Excel QTI&lt;/fieldentry&gt;&lt;/qtimetadatafield&gt;","")</f>
        <v/>
      </c>
    </row>
    <row r="971" spans="1:1" ht="18" customHeight="1">
      <c r="A971" t="str">
        <f>IF(Generation!$B29,"        &lt;qtimetadatafield&gt;&lt;fieldlabel&gt;identicalScoring&lt;/fieldlabel&gt;&lt;fieldentry&gt;1&lt;/fieldentry&gt;&lt;/qtimetadatafield&gt;","")</f>
        <v/>
      </c>
    </row>
    <row r="972" spans="1:1" ht="18" customHeight="1">
      <c r="A972" t="str">
        <f>IF(Generation!$B29,"      &lt;/qtimetadata&gt;","")</f>
        <v/>
      </c>
    </row>
    <row r="973" spans="1:1" ht="18" customHeight="1">
      <c r="A973" t="str">
        <f>IF(Generation!$B29,"    &lt;/itemmetadata&gt;","")</f>
        <v/>
      </c>
    </row>
    <row r="974" spans="1:1" ht="18" customHeight="1">
      <c r="A974" t="str">
        <f>IF(Generation!$B29,"    &lt;presentation label="""&amp;Generation!$F29&amp;"""&gt;","")</f>
        <v/>
      </c>
    </row>
    <row r="975" spans="1:1" ht="18" customHeight="1">
      <c r="A975" t="str">
        <f>IF(Generation!$B29,"      &lt;material&gt;&lt;mattext texttype=""text/html""&gt;"&amp;Generation!$G29&amp;"&lt;/mattext&gt;&lt;/material&gt;","")</f>
        <v/>
      </c>
    </row>
    <row r="976" spans="1:1" ht="18" customHeight="1">
      <c r="A976" t="str">
        <f>IF(Generation!$B29,"      &lt;response_lid ident=""RESPONSE"" rcardinality="""&amp;Generation!$E29&amp;"""&gt;","")</f>
        <v/>
      </c>
    </row>
    <row r="977" spans="1:1" ht="18" customHeight="1">
      <c r="A977" t="str">
        <f>IF(Generation!$B29,"        &lt;render_choice shuffle=""No""&gt;","")</f>
        <v/>
      </c>
    </row>
    <row r="978" spans="1:1" ht="18" customHeight="1">
      <c r="A978" t="str">
        <f>IF(Generation!AB29="","",Generation!AB29)</f>
        <v/>
      </c>
    </row>
    <row r="979" spans="1:1" ht="18" customHeight="1">
      <c r="A979" t="str">
        <f>IF(Generation!AC29="","",Generation!AC29)</f>
        <v/>
      </c>
    </row>
    <row r="980" spans="1:1" ht="18" customHeight="1">
      <c r="A980" t="str">
        <f>IF(Generation!AD29="","",Generation!AD29)</f>
        <v/>
      </c>
    </row>
    <row r="981" spans="1:1" ht="18" customHeight="1">
      <c r="A981" t="str">
        <f>IF(Generation!AE29="","",Generation!AE29)</f>
        <v/>
      </c>
    </row>
    <row r="982" spans="1:1" ht="18" customHeight="1">
      <c r="A982" t="str">
        <f>IF(Generation!AF29="","",Generation!AF29)</f>
        <v/>
      </c>
    </row>
    <row r="983" spans="1:1" ht="18" customHeight="1">
      <c r="A983" t="str">
        <f>IF(Generation!AG29="","",Generation!AG29)</f>
        <v/>
      </c>
    </row>
    <row r="984" spans="1:1" ht="18" customHeight="1">
      <c r="A984" t="str">
        <f>IF(Generation!AH29="","",Generation!AH29)</f>
        <v/>
      </c>
    </row>
    <row r="985" spans="1:1" ht="18" customHeight="1">
      <c r="A985" t="str">
        <f>IF(Generation!AI29="","",Generation!AI29)</f>
        <v/>
      </c>
    </row>
    <row r="986" spans="1:1" ht="18" customHeight="1">
      <c r="A986" t="str">
        <f>IF(Generation!$B29,"        &lt;/render_choice&gt;","")</f>
        <v/>
      </c>
    </row>
    <row r="987" spans="1:1" ht="18" customHeight="1">
      <c r="A987" t="str">
        <f>IF(Generation!$B29,"      &lt;/response_lid&gt;","")</f>
        <v/>
      </c>
    </row>
    <row r="988" spans="1:1" ht="18" customHeight="1">
      <c r="A988" t="str">
        <f>IF(Generation!$B29,"    &lt;/presentation&gt;","")</f>
        <v/>
      </c>
    </row>
    <row r="989" spans="1:1" ht="18" customHeight="1">
      <c r="A989" t="str">
        <f>IF(Generation!$B29,"    &lt;resprocessing&gt;","")</f>
        <v/>
      </c>
    </row>
    <row r="990" spans="1:1" ht="18" customHeight="1">
      <c r="A990" t="str">
        <f>IF(Generation!$B29,"      &lt;outcomes&gt;&lt;decvar varname=""SCORE"" vartype=""Decimal"" minvalue=""0"" maxvalue="""&amp;Generation!$H29&amp;"""/&gt;&lt;/outcomes&gt;","")</f>
        <v/>
      </c>
    </row>
    <row r="991" spans="1:1" ht="18" customHeight="1">
      <c r="A991" t="str">
        <f>IF(Generation!AJ29="","",Generation!AJ29)</f>
        <v/>
      </c>
    </row>
    <row r="992" spans="1:1" ht="18" customHeight="1">
      <c r="A992" t="str">
        <f>IF(Generation!AK29="","",Generation!AK29)</f>
        <v/>
      </c>
    </row>
    <row r="993" spans="1:1" ht="18" customHeight="1">
      <c r="A993" t="str">
        <f>IF(Generation!AL29="","",Generation!AL29)</f>
        <v/>
      </c>
    </row>
    <row r="994" spans="1:1" ht="18" customHeight="1">
      <c r="A994" t="str">
        <f>IF(Generation!AM29="","",Generation!AM29)</f>
        <v/>
      </c>
    </row>
    <row r="995" spans="1:1" ht="18" customHeight="1">
      <c r="A995" t="str">
        <f>IF(Generation!AN29="","",Generation!AN29)</f>
        <v/>
      </c>
    </row>
    <row r="996" spans="1:1" ht="18" customHeight="1">
      <c r="A996" t="str">
        <f>IF(Generation!AO29="","",Generation!AO29)</f>
        <v/>
      </c>
    </row>
    <row r="997" spans="1:1" ht="18" customHeight="1">
      <c r="A997" t="str">
        <f>IF(Generation!AP29="","",Generation!AP29)</f>
        <v/>
      </c>
    </row>
    <row r="998" spans="1:1" ht="18" customHeight="1">
      <c r="A998" t="str">
        <f>IF(Generation!AQ29="","",Generation!AQ29)</f>
        <v/>
      </c>
    </row>
    <row r="999" spans="1:1" ht="18" customHeight="1">
      <c r="A999" t="str">
        <f>IF(Generation!$B29,"    &lt;/resprocessing&gt;","")</f>
        <v/>
      </c>
    </row>
    <row r="1000" spans="1:1" ht="18" customHeight="1">
      <c r="A1000" t="str">
        <f>IF(Generation!$B29,"    &lt;itemfeedback ident=""response""&gt;&lt;flow_mat&gt;&lt;material&gt;&lt;mattext texttype=""text/plain""&gt;&lt;/mattext&gt;&lt;/material&gt;&lt;/flow_mat&gt;&lt;/itemfeedback&gt;","")</f>
        <v/>
      </c>
    </row>
    <row r="1001" spans="1:1" ht="18" customHeight="1">
      <c r="A1001" t="str">
        <f>IF(Generation!$B29,"  &lt;/item&gt;","")</f>
        <v/>
      </c>
    </row>
    <row r="1002" spans="1:1" ht="18" customHeight="1">
      <c r="A1002" t="str">
        <f>IF(Generation!$B29,"","")</f>
        <v/>
      </c>
    </row>
    <row r="1003" spans="1:1" ht="18" customHeight="1">
      <c r="A1003" t="str">
        <f>""</f>
        <v/>
      </c>
    </row>
    <row r="1004" spans="1:1" ht="18" customHeight="1">
      <c r="A1004" t="str">
        <f>IF(Generation!$B30,"  &lt;item ident=""il_0_qst_"&amp;TEXT(Generation!$A30,"000")&amp;""" title="""&amp;Generation!$F30&amp;"""&gt;","")</f>
        <v/>
      </c>
    </row>
    <row r="1005" spans="1:1" ht="18" customHeight="1">
      <c r="A1005" t="str">
        <f>IF(Generation!$B30,"    &lt;duration&gt;P0Y0M0DT0H1M0S&lt;/duration&gt;","")</f>
        <v/>
      </c>
    </row>
    <row r="1006" spans="1:1" ht="18" customHeight="1">
      <c r="A1006" t="str">
        <f>IF(Generation!$B30,"    &lt;itemmetadata&gt;","")</f>
        <v/>
      </c>
    </row>
    <row r="1007" spans="1:1" ht="18" customHeight="1">
      <c r="A1007" t="str">
        <f>IF(Generation!$B30,"      &lt;qtimetadata&gt;","")</f>
        <v/>
      </c>
    </row>
    <row r="1008" spans="1:1" ht="18" customHeight="1">
      <c r="A1008" t="str">
        <f>IF(Generation!$B30,"        &lt;qtimetadatafield&gt;&lt;fieldlabel&gt;ILIAS_VERSION&lt;/fieldlabel&gt;&lt;fieldentry&gt;8&lt;/fieldentry&gt;&lt;/qtimetadatafield&gt;","")</f>
        <v/>
      </c>
    </row>
    <row r="1009" spans="1:1" ht="18" customHeight="1">
      <c r="A1009" t="str">
        <f>IF(Generation!$B30,"        &lt;qtimetadatafield&gt;&lt;fieldlabel&gt;QUESTIONTYPE&lt;/fieldlabel&gt;&lt;fieldentry&gt;"&amp;Generation!$D30&amp;"&lt;/fieldentry&gt;&lt;/qtimetadatafield&gt;","")</f>
        <v/>
      </c>
    </row>
    <row r="1010" spans="1:1" ht="18" customHeight="1">
      <c r="A1010" t="str">
        <f>IF(Generation!$B30,"        &lt;qtimetadatafield&gt;&lt;fieldlabel&gt;AUTHOR&lt;/fieldlabel&gt;&lt;fieldentry&gt;Générateur Excel QTI&lt;/fieldentry&gt;&lt;/qtimetadatafield&gt;","")</f>
        <v/>
      </c>
    </row>
    <row r="1011" spans="1:1" ht="18" customHeight="1">
      <c r="A1011" t="str">
        <f>IF(Generation!$B30,"        &lt;qtimetadatafield&gt;&lt;fieldlabel&gt;identicalScoring&lt;/fieldlabel&gt;&lt;fieldentry&gt;1&lt;/fieldentry&gt;&lt;/qtimetadatafield&gt;","")</f>
        <v/>
      </c>
    </row>
    <row r="1012" spans="1:1" ht="18" customHeight="1">
      <c r="A1012" t="str">
        <f>IF(Generation!$B30,"      &lt;/qtimetadata&gt;","")</f>
        <v/>
      </c>
    </row>
    <row r="1013" spans="1:1" ht="18" customHeight="1">
      <c r="A1013" t="str">
        <f>IF(Generation!$B30,"    &lt;/itemmetadata&gt;","")</f>
        <v/>
      </c>
    </row>
    <row r="1014" spans="1:1" ht="18" customHeight="1">
      <c r="A1014" t="str">
        <f>IF(Generation!$B30,"    &lt;presentation label="""&amp;Generation!$F30&amp;"""&gt;","")</f>
        <v/>
      </c>
    </row>
    <row r="1015" spans="1:1" ht="18" customHeight="1">
      <c r="A1015" t="str">
        <f>IF(Generation!$B30,"      &lt;material&gt;&lt;mattext texttype=""text/html""&gt;"&amp;Generation!$G30&amp;"&lt;/mattext&gt;&lt;/material&gt;","")</f>
        <v/>
      </c>
    </row>
    <row r="1016" spans="1:1" ht="18" customHeight="1">
      <c r="A1016" t="str">
        <f>IF(Generation!$B30,"      &lt;response_lid ident=""RESPONSE"" rcardinality="""&amp;Generation!$E30&amp;"""&gt;","")</f>
        <v/>
      </c>
    </row>
    <row r="1017" spans="1:1" ht="18" customHeight="1">
      <c r="A1017" t="str">
        <f>IF(Generation!$B30,"        &lt;render_choice shuffle=""No""&gt;","")</f>
        <v/>
      </c>
    </row>
    <row r="1018" spans="1:1" ht="18" customHeight="1">
      <c r="A1018" t="str">
        <f>IF(Generation!AB30="","",Generation!AB30)</f>
        <v/>
      </c>
    </row>
    <row r="1019" spans="1:1" ht="18" customHeight="1">
      <c r="A1019" t="str">
        <f>IF(Generation!AC30="","",Generation!AC30)</f>
        <v/>
      </c>
    </row>
    <row r="1020" spans="1:1" ht="18" customHeight="1">
      <c r="A1020" t="str">
        <f>IF(Generation!AD30="","",Generation!AD30)</f>
        <v/>
      </c>
    </row>
    <row r="1021" spans="1:1" ht="18" customHeight="1">
      <c r="A1021" t="str">
        <f>IF(Generation!AE30="","",Generation!AE30)</f>
        <v/>
      </c>
    </row>
    <row r="1022" spans="1:1" ht="18" customHeight="1">
      <c r="A1022" t="str">
        <f>IF(Generation!AF30="","",Generation!AF30)</f>
        <v/>
      </c>
    </row>
    <row r="1023" spans="1:1" ht="18" customHeight="1">
      <c r="A1023" t="str">
        <f>IF(Generation!AG30="","",Generation!AG30)</f>
        <v/>
      </c>
    </row>
    <row r="1024" spans="1:1" ht="18" customHeight="1">
      <c r="A1024" t="str">
        <f>IF(Generation!AH30="","",Generation!AH30)</f>
        <v/>
      </c>
    </row>
    <row r="1025" spans="1:1" ht="18" customHeight="1">
      <c r="A1025" t="str">
        <f>IF(Generation!AI30="","",Generation!AI30)</f>
        <v/>
      </c>
    </row>
    <row r="1026" spans="1:1" ht="18" customHeight="1">
      <c r="A1026" t="str">
        <f>IF(Generation!$B30,"        &lt;/render_choice&gt;","")</f>
        <v/>
      </c>
    </row>
    <row r="1027" spans="1:1" ht="18" customHeight="1">
      <c r="A1027" t="str">
        <f>IF(Generation!$B30,"      &lt;/response_lid&gt;","")</f>
        <v/>
      </c>
    </row>
    <row r="1028" spans="1:1" ht="18" customHeight="1">
      <c r="A1028" t="str">
        <f>IF(Generation!$B30,"    &lt;/presentation&gt;","")</f>
        <v/>
      </c>
    </row>
    <row r="1029" spans="1:1" ht="18" customHeight="1">
      <c r="A1029" t="str">
        <f>IF(Generation!$B30,"    &lt;resprocessing&gt;","")</f>
        <v/>
      </c>
    </row>
    <row r="1030" spans="1:1" ht="18" customHeight="1">
      <c r="A1030" t="str">
        <f>IF(Generation!$B30,"      &lt;outcomes&gt;&lt;decvar varname=""SCORE"" vartype=""Decimal"" minvalue=""0"" maxvalue="""&amp;Generation!$H30&amp;"""/&gt;&lt;/outcomes&gt;","")</f>
        <v/>
      </c>
    </row>
    <row r="1031" spans="1:1" ht="18" customHeight="1">
      <c r="A1031" t="str">
        <f>IF(Generation!AJ30="","",Generation!AJ30)</f>
        <v/>
      </c>
    </row>
    <row r="1032" spans="1:1" ht="18" customHeight="1">
      <c r="A1032" t="str">
        <f>IF(Generation!AK30="","",Generation!AK30)</f>
        <v/>
      </c>
    </row>
    <row r="1033" spans="1:1" ht="18" customHeight="1">
      <c r="A1033" t="str">
        <f>IF(Generation!AL30="","",Generation!AL30)</f>
        <v/>
      </c>
    </row>
    <row r="1034" spans="1:1" ht="18" customHeight="1">
      <c r="A1034" t="str">
        <f>IF(Generation!AM30="","",Generation!AM30)</f>
        <v/>
      </c>
    </row>
    <row r="1035" spans="1:1" ht="18" customHeight="1">
      <c r="A1035" t="str">
        <f>IF(Generation!AN30="","",Generation!AN30)</f>
        <v/>
      </c>
    </row>
    <row r="1036" spans="1:1" ht="18" customHeight="1">
      <c r="A1036" t="str">
        <f>IF(Generation!AO30="","",Generation!AO30)</f>
        <v/>
      </c>
    </row>
    <row r="1037" spans="1:1" ht="18" customHeight="1">
      <c r="A1037" t="str">
        <f>IF(Generation!AP30="","",Generation!AP30)</f>
        <v/>
      </c>
    </row>
    <row r="1038" spans="1:1" ht="18" customHeight="1">
      <c r="A1038" t="str">
        <f>IF(Generation!AQ30="","",Generation!AQ30)</f>
        <v/>
      </c>
    </row>
    <row r="1039" spans="1:1" ht="18" customHeight="1">
      <c r="A1039" t="str">
        <f>IF(Generation!$B30,"    &lt;/resprocessing&gt;","")</f>
        <v/>
      </c>
    </row>
    <row r="1040" spans="1:1" ht="18" customHeight="1">
      <c r="A1040" t="str">
        <f>IF(Generation!$B30,"    &lt;itemfeedback ident=""response""&gt;&lt;flow_mat&gt;&lt;material&gt;&lt;mattext texttype=""text/plain""&gt;&lt;/mattext&gt;&lt;/material&gt;&lt;/flow_mat&gt;&lt;/itemfeedback&gt;","")</f>
        <v/>
      </c>
    </row>
    <row r="1041" spans="1:1" ht="18" customHeight="1">
      <c r="A1041" t="str">
        <f>IF(Generation!$B30,"  &lt;/item&gt;","")</f>
        <v/>
      </c>
    </row>
    <row r="1042" spans="1:1" ht="18" customHeight="1">
      <c r="A1042" t="str">
        <f>IF(Generation!$B30,"","")</f>
        <v/>
      </c>
    </row>
    <row r="1043" spans="1:1" ht="18" customHeight="1">
      <c r="A1043" t="str">
        <f>""</f>
        <v/>
      </c>
    </row>
    <row r="1044" spans="1:1" ht="18" customHeight="1">
      <c r="A1044" t="str">
        <f>IF(Generation!$B31,"  &lt;item ident=""il_0_qst_"&amp;TEXT(Generation!$A31,"000")&amp;""" title="""&amp;Generation!$F31&amp;"""&gt;","")</f>
        <v/>
      </c>
    </row>
    <row r="1045" spans="1:1" ht="18" customHeight="1">
      <c r="A1045" t="str">
        <f>IF(Generation!$B31,"    &lt;duration&gt;P0Y0M0DT0H1M0S&lt;/duration&gt;","")</f>
        <v/>
      </c>
    </row>
    <row r="1046" spans="1:1" ht="18" customHeight="1">
      <c r="A1046" t="str">
        <f>IF(Generation!$B31,"    &lt;itemmetadata&gt;","")</f>
        <v/>
      </c>
    </row>
    <row r="1047" spans="1:1" ht="18" customHeight="1">
      <c r="A1047" t="str">
        <f>IF(Generation!$B31,"      &lt;qtimetadata&gt;","")</f>
        <v/>
      </c>
    </row>
    <row r="1048" spans="1:1" ht="18" customHeight="1">
      <c r="A1048" t="str">
        <f>IF(Generation!$B31,"        &lt;qtimetadatafield&gt;&lt;fieldlabel&gt;ILIAS_VERSION&lt;/fieldlabel&gt;&lt;fieldentry&gt;8&lt;/fieldentry&gt;&lt;/qtimetadatafield&gt;","")</f>
        <v/>
      </c>
    </row>
    <row r="1049" spans="1:1" ht="18" customHeight="1">
      <c r="A1049" t="str">
        <f>IF(Generation!$B31,"        &lt;qtimetadatafield&gt;&lt;fieldlabel&gt;QUESTIONTYPE&lt;/fieldlabel&gt;&lt;fieldentry&gt;"&amp;Generation!$D31&amp;"&lt;/fieldentry&gt;&lt;/qtimetadatafield&gt;","")</f>
        <v/>
      </c>
    </row>
    <row r="1050" spans="1:1" ht="18" customHeight="1">
      <c r="A1050" t="str">
        <f>IF(Generation!$B31,"        &lt;qtimetadatafield&gt;&lt;fieldlabel&gt;AUTHOR&lt;/fieldlabel&gt;&lt;fieldentry&gt;Générateur Excel QTI&lt;/fieldentry&gt;&lt;/qtimetadatafield&gt;","")</f>
        <v/>
      </c>
    </row>
    <row r="1051" spans="1:1" ht="18" customHeight="1">
      <c r="A1051" t="str">
        <f>IF(Generation!$B31,"        &lt;qtimetadatafield&gt;&lt;fieldlabel&gt;identicalScoring&lt;/fieldlabel&gt;&lt;fieldentry&gt;1&lt;/fieldentry&gt;&lt;/qtimetadatafield&gt;","")</f>
        <v/>
      </c>
    </row>
    <row r="1052" spans="1:1" ht="18" customHeight="1">
      <c r="A1052" t="str">
        <f>IF(Generation!$B31,"      &lt;/qtimetadata&gt;","")</f>
        <v/>
      </c>
    </row>
    <row r="1053" spans="1:1" ht="18" customHeight="1">
      <c r="A1053" t="str">
        <f>IF(Generation!$B31,"    &lt;/itemmetadata&gt;","")</f>
        <v/>
      </c>
    </row>
    <row r="1054" spans="1:1" ht="18" customHeight="1">
      <c r="A1054" t="str">
        <f>IF(Generation!$B31,"    &lt;presentation label="""&amp;Generation!$F31&amp;"""&gt;","")</f>
        <v/>
      </c>
    </row>
    <row r="1055" spans="1:1" ht="18" customHeight="1">
      <c r="A1055" t="str">
        <f>IF(Generation!$B31,"      &lt;material&gt;&lt;mattext texttype=""text/html""&gt;"&amp;Generation!$G31&amp;"&lt;/mattext&gt;&lt;/material&gt;","")</f>
        <v/>
      </c>
    </row>
    <row r="1056" spans="1:1" ht="18" customHeight="1">
      <c r="A1056" t="str">
        <f>IF(Generation!$B31,"      &lt;response_lid ident=""RESPONSE"" rcardinality="""&amp;Generation!$E31&amp;"""&gt;","")</f>
        <v/>
      </c>
    </row>
    <row r="1057" spans="1:1" ht="18" customHeight="1">
      <c r="A1057" t="str">
        <f>IF(Generation!$B31,"        &lt;render_choice shuffle=""No""&gt;","")</f>
        <v/>
      </c>
    </row>
    <row r="1058" spans="1:1" ht="18" customHeight="1">
      <c r="A1058" t="str">
        <f>IF(Generation!AB31="","",Generation!AB31)</f>
        <v/>
      </c>
    </row>
    <row r="1059" spans="1:1" ht="18" customHeight="1">
      <c r="A1059" t="str">
        <f>IF(Generation!AC31="","",Generation!AC31)</f>
        <v/>
      </c>
    </row>
    <row r="1060" spans="1:1" ht="18" customHeight="1">
      <c r="A1060" t="str">
        <f>IF(Generation!AD31="","",Generation!AD31)</f>
        <v/>
      </c>
    </row>
    <row r="1061" spans="1:1" ht="18" customHeight="1">
      <c r="A1061" t="str">
        <f>IF(Generation!AE31="","",Generation!AE31)</f>
        <v/>
      </c>
    </row>
    <row r="1062" spans="1:1" ht="18" customHeight="1">
      <c r="A1062" t="str">
        <f>IF(Generation!AF31="","",Generation!AF31)</f>
        <v/>
      </c>
    </row>
    <row r="1063" spans="1:1" ht="18" customHeight="1">
      <c r="A1063" t="str">
        <f>IF(Generation!AG31="","",Generation!AG31)</f>
        <v/>
      </c>
    </row>
    <row r="1064" spans="1:1" ht="18" customHeight="1">
      <c r="A1064" t="str">
        <f>IF(Generation!AH31="","",Generation!AH31)</f>
        <v/>
      </c>
    </row>
    <row r="1065" spans="1:1" ht="18" customHeight="1">
      <c r="A1065" t="str">
        <f>IF(Generation!AI31="","",Generation!AI31)</f>
        <v/>
      </c>
    </row>
    <row r="1066" spans="1:1" ht="18" customHeight="1">
      <c r="A1066" t="str">
        <f>IF(Generation!$B31,"        &lt;/render_choice&gt;","")</f>
        <v/>
      </c>
    </row>
    <row r="1067" spans="1:1" ht="18" customHeight="1">
      <c r="A1067" t="str">
        <f>IF(Generation!$B31,"      &lt;/response_lid&gt;","")</f>
        <v/>
      </c>
    </row>
    <row r="1068" spans="1:1" ht="18" customHeight="1">
      <c r="A1068" t="str">
        <f>IF(Generation!$B31,"    &lt;/presentation&gt;","")</f>
        <v/>
      </c>
    </row>
    <row r="1069" spans="1:1" ht="18" customHeight="1">
      <c r="A1069" t="str">
        <f>IF(Generation!$B31,"    &lt;resprocessing&gt;","")</f>
        <v/>
      </c>
    </row>
    <row r="1070" spans="1:1" ht="18" customHeight="1">
      <c r="A1070" t="str">
        <f>IF(Generation!$B31,"      &lt;outcomes&gt;&lt;decvar varname=""SCORE"" vartype=""Decimal"" minvalue=""0"" maxvalue="""&amp;Generation!$H31&amp;"""/&gt;&lt;/outcomes&gt;","")</f>
        <v/>
      </c>
    </row>
    <row r="1071" spans="1:1" ht="18" customHeight="1">
      <c r="A1071" t="str">
        <f>IF(Generation!AJ31="","",Generation!AJ31)</f>
        <v/>
      </c>
    </row>
    <row r="1072" spans="1:1" ht="18" customHeight="1">
      <c r="A1072" t="str">
        <f>IF(Generation!AK31="","",Generation!AK31)</f>
        <v/>
      </c>
    </row>
    <row r="1073" spans="1:1" ht="18" customHeight="1">
      <c r="A1073" t="str">
        <f>IF(Generation!AL31="","",Generation!AL31)</f>
        <v/>
      </c>
    </row>
    <row r="1074" spans="1:1" ht="18" customHeight="1">
      <c r="A1074" t="str">
        <f>IF(Generation!AM31="","",Generation!AM31)</f>
        <v/>
      </c>
    </row>
    <row r="1075" spans="1:1" ht="18" customHeight="1">
      <c r="A1075" t="str">
        <f>IF(Generation!AN31="","",Generation!AN31)</f>
        <v/>
      </c>
    </row>
    <row r="1076" spans="1:1" ht="18" customHeight="1">
      <c r="A1076" t="str">
        <f>IF(Generation!AO31="","",Generation!AO31)</f>
        <v/>
      </c>
    </row>
    <row r="1077" spans="1:1" ht="18" customHeight="1">
      <c r="A1077" t="str">
        <f>IF(Generation!AP31="","",Generation!AP31)</f>
        <v/>
      </c>
    </row>
    <row r="1078" spans="1:1" ht="18" customHeight="1">
      <c r="A1078" t="str">
        <f>IF(Generation!AQ31="","",Generation!AQ31)</f>
        <v/>
      </c>
    </row>
    <row r="1079" spans="1:1" ht="18" customHeight="1">
      <c r="A1079" t="str">
        <f>IF(Generation!$B31,"    &lt;/resprocessing&gt;","")</f>
        <v/>
      </c>
    </row>
    <row r="1080" spans="1:1" ht="18" customHeight="1">
      <c r="A1080" t="str">
        <f>IF(Generation!$B31,"    &lt;itemfeedback ident=""response""&gt;&lt;flow_mat&gt;&lt;material&gt;&lt;mattext texttype=""text/plain""&gt;&lt;/mattext&gt;&lt;/material&gt;&lt;/flow_mat&gt;&lt;/itemfeedback&gt;","")</f>
        <v/>
      </c>
    </row>
    <row r="1081" spans="1:1" ht="18" customHeight="1">
      <c r="A1081" t="str">
        <f>IF(Generation!$B31,"  &lt;/item&gt;","")</f>
        <v/>
      </c>
    </row>
    <row r="1082" spans="1:1" ht="18" customHeight="1">
      <c r="A1082" t="str">
        <f>IF(Generation!$B31,"","")</f>
        <v/>
      </c>
    </row>
    <row r="1083" spans="1:1" ht="18" customHeight="1">
      <c r="A1083" t="str">
        <f>""</f>
        <v/>
      </c>
    </row>
    <row r="1084" spans="1:1" ht="18" customHeight="1">
      <c r="A1084" t="str">
        <f>IF(Generation!$B32,"  &lt;item ident=""il_0_qst_"&amp;TEXT(Generation!$A32,"000")&amp;""" title="""&amp;Generation!$F32&amp;"""&gt;","")</f>
        <v/>
      </c>
    </row>
    <row r="1085" spans="1:1" ht="18" customHeight="1">
      <c r="A1085" t="str">
        <f>IF(Generation!$B32,"    &lt;duration&gt;P0Y0M0DT0H1M0S&lt;/duration&gt;","")</f>
        <v/>
      </c>
    </row>
    <row r="1086" spans="1:1" ht="18" customHeight="1">
      <c r="A1086" t="str">
        <f>IF(Generation!$B32,"    &lt;itemmetadata&gt;","")</f>
        <v/>
      </c>
    </row>
    <row r="1087" spans="1:1" ht="18" customHeight="1">
      <c r="A1087" t="str">
        <f>IF(Generation!$B32,"      &lt;qtimetadata&gt;","")</f>
        <v/>
      </c>
    </row>
    <row r="1088" spans="1:1" ht="18" customHeight="1">
      <c r="A1088" t="str">
        <f>IF(Generation!$B32,"        &lt;qtimetadatafield&gt;&lt;fieldlabel&gt;ILIAS_VERSION&lt;/fieldlabel&gt;&lt;fieldentry&gt;8&lt;/fieldentry&gt;&lt;/qtimetadatafield&gt;","")</f>
        <v/>
      </c>
    </row>
    <row r="1089" spans="1:1" ht="18" customHeight="1">
      <c r="A1089" t="str">
        <f>IF(Generation!$B32,"        &lt;qtimetadatafield&gt;&lt;fieldlabel&gt;QUESTIONTYPE&lt;/fieldlabel&gt;&lt;fieldentry&gt;"&amp;Generation!$D32&amp;"&lt;/fieldentry&gt;&lt;/qtimetadatafield&gt;","")</f>
        <v/>
      </c>
    </row>
    <row r="1090" spans="1:1" ht="18" customHeight="1">
      <c r="A1090" t="str">
        <f>IF(Generation!$B32,"        &lt;qtimetadatafield&gt;&lt;fieldlabel&gt;AUTHOR&lt;/fieldlabel&gt;&lt;fieldentry&gt;Générateur Excel QTI&lt;/fieldentry&gt;&lt;/qtimetadatafield&gt;","")</f>
        <v/>
      </c>
    </row>
    <row r="1091" spans="1:1" ht="18" customHeight="1">
      <c r="A1091" t="str">
        <f>IF(Generation!$B32,"        &lt;qtimetadatafield&gt;&lt;fieldlabel&gt;identicalScoring&lt;/fieldlabel&gt;&lt;fieldentry&gt;1&lt;/fieldentry&gt;&lt;/qtimetadatafield&gt;","")</f>
        <v/>
      </c>
    </row>
    <row r="1092" spans="1:1" ht="18" customHeight="1">
      <c r="A1092" t="str">
        <f>IF(Generation!$B32,"      &lt;/qtimetadata&gt;","")</f>
        <v/>
      </c>
    </row>
    <row r="1093" spans="1:1" ht="18" customHeight="1">
      <c r="A1093" t="str">
        <f>IF(Generation!$B32,"    &lt;/itemmetadata&gt;","")</f>
        <v/>
      </c>
    </row>
    <row r="1094" spans="1:1" ht="18" customHeight="1">
      <c r="A1094" t="str">
        <f>IF(Generation!$B32,"    &lt;presentation label="""&amp;Generation!$F32&amp;"""&gt;","")</f>
        <v/>
      </c>
    </row>
    <row r="1095" spans="1:1" ht="18" customHeight="1">
      <c r="A1095" t="str">
        <f>IF(Generation!$B32,"      &lt;material&gt;&lt;mattext texttype=""text/html""&gt;"&amp;Generation!$G32&amp;"&lt;/mattext&gt;&lt;/material&gt;","")</f>
        <v/>
      </c>
    </row>
    <row r="1096" spans="1:1" ht="18" customHeight="1">
      <c r="A1096" t="str">
        <f>IF(Generation!$B32,"      &lt;response_lid ident=""RESPONSE"" rcardinality="""&amp;Generation!$E32&amp;"""&gt;","")</f>
        <v/>
      </c>
    </row>
    <row r="1097" spans="1:1" ht="18" customHeight="1">
      <c r="A1097" t="str">
        <f>IF(Generation!$B32,"        &lt;render_choice shuffle=""No""&gt;","")</f>
        <v/>
      </c>
    </row>
    <row r="1098" spans="1:1" ht="18" customHeight="1">
      <c r="A1098" t="str">
        <f>IF(Generation!AB32="","",Generation!AB32)</f>
        <v/>
      </c>
    </row>
    <row r="1099" spans="1:1" ht="18" customHeight="1">
      <c r="A1099" t="str">
        <f>IF(Generation!AC32="","",Generation!AC32)</f>
        <v/>
      </c>
    </row>
    <row r="1100" spans="1:1" ht="18" customHeight="1">
      <c r="A1100" t="str">
        <f>IF(Generation!AD32="","",Generation!AD32)</f>
        <v/>
      </c>
    </row>
    <row r="1101" spans="1:1" ht="18" customHeight="1">
      <c r="A1101" t="str">
        <f>IF(Generation!AE32="","",Generation!AE32)</f>
        <v/>
      </c>
    </row>
    <row r="1102" spans="1:1" ht="18" customHeight="1">
      <c r="A1102" t="str">
        <f>IF(Generation!AF32="","",Generation!AF32)</f>
        <v/>
      </c>
    </row>
    <row r="1103" spans="1:1" ht="18" customHeight="1">
      <c r="A1103" t="str">
        <f>IF(Generation!AG32="","",Generation!AG32)</f>
        <v/>
      </c>
    </row>
    <row r="1104" spans="1:1" ht="18" customHeight="1">
      <c r="A1104" t="str">
        <f>IF(Generation!AH32="","",Generation!AH32)</f>
        <v/>
      </c>
    </row>
    <row r="1105" spans="1:1" ht="18" customHeight="1">
      <c r="A1105" t="str">
        <f>IF(Generation!AI32="","",Generation!AI32)</f>
        <v/>
      </c>
    </row>
    <row r="1106" spans="1:1" ht="18" customHeight="1">
      <c r="A1106" t="str">
        <f>IF(Generation!$B32,"        &lt;/render_choice&gt;","")</f>
        <v/>
      </c>
    </row>
    <row r="1107" spans="1:1" ht="18" customHeight="1">
      <c r="A1107" t="str">
        <f>IF(Generation!$B32,"      &lt;/response_lid&gt;","")</f>
        <v/>
      </c>
    </row>
    <row r="1108" spans="1:1" ht="18" customHeight="1">
      <c r="A1108" t="str">
        <f>IF(Generation!$B32,"    &lt;/presentation&gt;","")</f>
        <v/>
      </c>
    </row>
    <row r="1109" spans="1:1" ht="18" customHeight="1">
      <c r="A1109" t="str">
        <f>IF(Generation!$B32,"    &lt;resprocessing&gt;","")</f>
        <v/>
      </c>
    </row>
    <row r="1110" spans="1:1" ht="18" customHeight="1">
      <c r="A1110" t="str">
        <f>IF(Generation!$B32,"      &lt;outcomes&gt;&lt;decvar varname=""SCORE"" vartype=""Decimal"" minvalue=""0"" maxvalue="""&amp;Generation!$H32&amp;"""/&gt;&lt;/outcomes&gt;","")</f>
        <v/>
      </c>
    </row>
    <row r="1111" spans="1:1" ht="18" customHeight="1">
      <c r="A1111" t="str">
        <f>IF(Generation!AJ32="","",Generation!AJ32)</f>
        <v/>
      </c>
    </row>
    <row r="1112" spans="1:1" ht="18" customHeight="1">
      <c r="A1112" t="str">
        <f>IF(Generation!AK32="","",Generation!AK32)</f>
        <v/>
      </c>
    </row>
    <row r="1113" spans="1:1" ht="18" customHeight="1">
      <c r="A1113" t="str">
        <f>IF(Generation!AL32="","",Generation!AL32)</f>
        <v/>
      </c>
    </row>
    <row r="1114" spans="1:1" ht="18" customHeight="1">
      <c r="A1114" t="str">
        <f>IF(Generation!AM32="","",Generation!AM32)</f>
        <v/>
      </c>
    </row>
    <row r="1115" spans="1:1" ht="18" customHeight="1">
      <c r="A1115" t="str">
        <f>IF(Generation!AN32="","",Generation!AN32)</f>
        <v/>
      </c>
    </row>
    <row r="1116" spans="1:1" ht="18" customHeight="1">
      <c r="A1116" t="str">
        <f>IF(Generation!AO32="","",Generation!AO32)</f>
        <v/>
      </c>
    </row>
    <row r="1117" spans="1:1" ht="18" customHeight="1">
      <c r="A1117" t="str">
        <f>IF(Generation!AP32="","",Generation!AP32)</f>
        <v/>
      </c>
    </row>
    <row r="1118" spans="1:1" ht="18" customHeight="1">
      <c r="A1118" t="str">
        <f>IF(Generation!AQ32="","",Generation!AQ32)</f>
        <v/>
      </c>
    </row>
    <row r="1119" spans="1:1" ht="18" customHeight="1">
      <c r="A1119" t="str">
        <f>IF(Generation!$B32,"    &lt;/resprocessing&gt;","")</f>
        <v/>
      </c>
    </row>
    <row r="1120" spans="1:1" ht="18" customHeight="1">
      <c r="A1120" t="str">
        <f>IF(Generation!$B32,"    &lt;itemfeedback ident=""response""&gt;&lt;flow_mat&gt;&lt;material&gt;&lt;mattext texttype=""text/plain""&gt;&lt;/mattext&gt;&lt;/material&gt;&lt;/flow_mat&gt;&lt;/itemfeedback&gt;","")</f>
        <v/>
      </c>
    </row>
    <row r="1121" spans="1:1" ht="18" customHeight="1">
      <c r="A1121" t="str">
        <f>IF(Generation!$B32,"  &lt;/item&gt;","")</f>
        <v/>
      </c>
    </row>
    <row r="1122" spans="1:1" ht="18" customHeight="1">
      <c r="A1122" t="str">
        <f>IF(Generation!$B32,"","")</f>
        <v/>
      </c>
    </row>
    <row r="1123" spans="1:1" ht="18" customHeight="1">
      <c r="A1123" t="str">
        <f>""</f>
        <v/>
      </c>
    </row>
    <row r="1124" spans="1:1" ht="18" customHeight="1">
      <c r="A1124" t="str">
        <f>IF(Generation!$B33,"  &lt;item ident=""il_0_qst_"&amp;TEXT(Generation!$A33,"000")&amp;""" title="""&amp;Generation!$F33&amp;"""&gt;","")</f>
        <v/>
      </c>
    </row>
    <row r="1125" spans="1:1" ht="18" customHeight="1">
      <c r="A1125" t="str">
        <f>IF(Generation!$B33,"    &lt;duration&gt;P0Y0M0DT0H1M0S&lt;/duration&gt;","")</f>
        <v/>
      </c>
    </row>
    <row r="1126" spans="1:1" ht="18" customHeight="1">
      <c r="A1126" t="str">
        <f>IF(Generation!$B33,"    &lt;itemmetadata&gt;","")</f>
        <v/>
      </c>
    </row>
    <row r="1127" spans="1:1" ht="18" customHeight="1">
      <c r="A1127" t="str">
        <f>IF(Generation!$B33,"      &lt;qtimetadata&gt;","")</f>
        <v/>
      </c>
    </row>
    <row r="1128" spans="1:1" ht="18" customHeight="1">
      <c r="A1128" t="str">
        <f>IF(Generation!$B33,"        &lt;qtimetadatafield&gt;&lt;fieldlabel&gt;ILIAS_VERSION&lt;/fieldlabel&gt;&lt;fieldentry&gt;8&lt;/fieldentry&gt;&lt;/qtimetadatafield&gt;","")</f>
        <v/>
      </c>
    </row>
    <row r="1129" spans="1:1" ht="18" customHeight="1">
      <c r="A1129" t="str">
        <f>IF(Generation!$B33,"        &lt;qtimetadatafield&gt;&lt;fieldlabel&gt;QUESTIONTYPE&lt;/fieldlabel&gt;&lt;fieldentry&gt;"&amp;Generation!$D33&amp;"&lt;/fieldentry&gt;&lt;/qtimetadatafield&gt;","")</f>
        <v/>
      </c>
    </row>
    <row r="1130" spans="1:1" ht="18" customHeight="1">
      <c r="A1130" t="str">
        <f>IF(Generation!$B33,"        &lt;qtimetadatafield&gt;&lt;fieldlabel&gt;AUTHOR&lt;/fieldlabel&gt;&lt;fieldentry&gt;Générateur Excel QTI&lt;/fieldentry&gt;&lt;/qtimetadatafield&gt;","")</f>
        <v/>
      </c>
    </row>
    <row r="1131" spans="1:1" ht="18" customHeight="1">
      <c r="A1131" t="str">
        <f>IF(Generation!$B33,"        &lt;qtimetadatafield&gt;&lt;fieldlabel&gt;identicalScoring&lt;/fieldlabel&gt;&lt;fieldentry&gt;1&lt;/fieldentry&gt;&lt;/qtimetadatafield&gt;","")</f>
        <v/>
      </c>
    </row>
    <row r="1132" spans="1:1" ht="18" customHeight="1">
      <c r="A1132" t="str">
        <f>IF(Generation!$B33,"      &lt;/qtimetadata&gt;","")</f>
        <v/>
      </c>
    </row>
    <row r="1133" spans="1:1" ht="18" customHeight="1">
      <c r="A1133" t="str">
        <f>IF(Generation!$B33,"    &lt;/itemmetadata&gt;","")</f>
        <v/>
      </c>
    </row>
    <row r="1134" spans="1:1" ht="18" customHeight="1">
      <c r="A1134" t="str">
        <f>IF(Generation!$B33,"    &lt;presentation label="""&amp;Generation!$F33&amp;"""&gt;","")</f>
        <v/>
      </c>
    </row>
    <row r="1135" spans="1:1" ht="18" customHeight="1">
      <c r="A1135" t="str">
        <f>IF(Generation!$B33,"      &lt;material&gt;&lt;mattext texttype=""text/html""&gt;"&amp;Generation!$G33&amp;"&lt;/mattext&gt;&lt;/material&gt;","")</f>
        <v/>
      </c>
    </row>
    <row r="1136" spans="1:1" ht="18" customHeight="1">
      <c r="A1136" t="str">
        <f>IF(Generation!$B33,"      &lt;response_lid ident=""RESPONSE"" rcardinality="""&amp;Generation!$E33&amp;"""&gt;","")</f>
        <v/>
      </c>
    </row>
    <row r="1137" spans="1:1" ht="18" customHeight="1">
      <c r="A1137" t="str">
        <f>IF(Generation!$B33,"        &lt;render_choice shuffle=""No""&gt;","")</f>
        <v/>
      </c>
    </row>
    <row r="1138" spans="1:1" ht="18" customHeight="1">
      <c r="A1138" t="str">
        <f>IF(Generation!AB33="","",Generation!AB33)</f>
        <v/>
      </c>
    </row>
    <row r="1139" spans="1:1" ht="18" customHeight="1">
      <c r="A1139" t="str">
        <f>IF(Generation!AC33="","",Generation!AC33)</f>
        <v/>
      </c>
    </row>
    <row r="1140" spans="1:1" ht="18" customHeight="1">
      <c r="A1140" t="str">
        <f>IF(Generation!AD33="","",Generation!AD33)</f>
        <v/>
      </c>
    </row>
    <row r="1141" spans="1:1" ht="18" customHeight="1">
      <c r="A1141" t="str">
        <f>IF(Generation!AE33="","",Generation!AE33)</f>
        <v/>
      </c>
    </row>
    <row r="1142" spans="1:1" ht="18" customHeight="1">
      <c r="A1142" t="str">
        <f>IF(Generation!AF33="","",Generation!AF33)</f>
        <v/>
      </c>
    </row>
    <row r="1143" spans="1:1" ht="18" customHeight="1">
      <c r="A1143" t="str">
        <f>IF(Generation!AG33="","",Generation!AG33)</f>
        <v/>
      </c>
    </row>
    <row r="1144" spans="1:1" ht="18" customHeight="1">
      <c r="A1144" t="str">
        <f>IF(Generation!AH33="","",Generation!AH33)</f>
        <v/>
      </c>
    </row>
    <row r="1145" spans="1:1" ht="18" customHeight="1">
      <c r="A1145" t="str">
        <f>IF(Generation!AI33="","",Generation!AI33)</f>
        <v/>
      </c>
    </row>
    <row r="1146" spans="1:1" ht="18" customHeight="1">
      <c r="A1146" t="str">
        <f>IF(Generation!$B33,"        &lt;/render_choice&gt;","")</f>
        <v/>
      </c>
    </row>
    <row r="1147" spans="1:1" ht="18" customHeight="1">
      <c r="A1147" t="str">
        <f>IF(Generation!$B33,"      &lt;/response_lid&gt;","")</f>
        <v/>
      </c>
    </row>
    <row r="1148" spans="1:1" ht="18" customHeight="1">
      <c r="A1148" t="str">
        <f>IF(Generation!$B33,"    &lt;/presentation&gt;","")</f>
        <v/>
      </c>
    </row>
    <row r="1149" spans="1:1" ht="18" customHeight="1">
      <c r="A1149" t="str">
        <f>IF(Generation!$B33,"    &lt;resprocessing&gt;","")</f>
        <v/>
      </c>
    </row>
    <row r="1150" spans="1:1" ht="18" customHeight="1">
      <c r="A1150" t="str">
        <f>IF(Generation!$B33,"      &lt;outcomes&gt;&lt;decvar varname=""SCORE"" vartype=""Decimal"" minvalue=""0"" maxvalue="""&amp;Generation!$H33&amp;"""/&gt;&lt;/outcomes&gt;","")</f>
        <v/>
      </c>
    </row>
    <row r="1151" spans="1:1" ht="18" customHeight="1">
      <c r="A1151" t="str">
        <f>IF(Generation!AJ33="","",Generation!AJ33)</f>
        <v/>
      </c>
    </row>
    <row r="1152" spans="1:1" ht="18" customHeight="1">
      <c r="A1152" t="str">
        <f>IF(Generation!AK33="","",Generation!AK33)</f>
        <v/>
      </c>
    </row>
    <row r="1153" spans="1:1" ht="18" customHeight="1">
      <c r="A1153" t="str">
        <f>IF(Generation!AL33="","",Generation!AL33)</f>
        <v/>
      </c>
    </row>
    <row r="1154" spans="1:1" ht="18" customHeight="1">
      <c r="A1154" t="str">
        <f>IF(Generation!AM33="","",Generation!AM33)</f>
        <v/>
      </c>
    </row>
    <row r="1155" spans="1:1" ht="18" customHeight="1">
      <c r="A1155" t="str">
        <f>IF(Generation!AN33="","",Generation!AN33)</f>
        <v/>
      </c>
    </row>
    <row r="1156" spans="1:1" ht="18" customHeight="1">
      <c r="A1156" t="str">
        <f>IF(Generation!AO33="","",Generation!AO33)</f>
        <v/>
      </c>
    </row>
    <row r="1157" spans="1:1" ht="18" customHeight="1">
      <c r="A1157" t="str">
        <f>IF(Generation!AP33="","",Generation!AP33)</f>
        <v/>
      </c>
    </row>
    <row r="1158" spans="1:1" ht="18" customHeight="1">
      <c r="A1158" t="str">
        <f>IF(Generation!AQ33="","",Generation!AQ33)</f>
        <v/>
      </c>
    </row>
    <row r="1159" spans="1:1" ht="18" customHeight="1">
      <c r="A1159" t="str">
        <f>IF(Generation!$B33,"    &lt;/resprocessing&gt;","")</f>
        <v/>
      </c>
    </row>
    <row r="1160" spans="1:1" ht="18" customHeight="1">
      <c r="A1160" t="str">
        <f>IF(Generation!$B33,"    &lt;itemfeedback ident=""response""&gt;&lt;flow_mat&gt;&lt;material&gt;&lt;mattext texttype=""text/plain""&gt;&lt;/mattext&gt;&lt;/material&gt;&lt;/flow_mat&gt;&lt;/itemfeedback&gt;","")</f>
        <v/>
      </c>
    </row>
    <row r="1161" spans="1:1" ht="18" customHeight="1">
      <c r="A1161" t="str">
        <f>IF(Generation!$B33,"  &lt;/item&gt;","")</f>
        <v/>
      </c>
    </row>
    <row r="1162" spans="1:1" ht="18" customHeight="1">
      <c r="A1162" t="str">
        <f>IF(Generation!$B33,"","")</f>
        <v/>
      </c>
    </row>
    <row r="1163" spans="1:1" ht="18" customHeight="1">
      <c r="A1163" t="str">
        <f>""</f>
        <v/>
      </c>
    </row>
    <row r="1164" spans="1:1" ht="18" customHeight="1">
      <c r="A1164" t="str">
        <f>IF(Generation!$B34,"  &lt;item ident=""il_0_qst_"&amp;TEXT(Generation!$A34,"000")&amp;""" title="""&amp;Generation!$F34&amp;"""&gt;","")</f>
        <v/>
      </c>
    </row>
    <row r="1165" spans="1:1" ht="18" customHeight="1">
      <c r="A1165" t="str">
        <f>IF(Generation!$B34,"    &lt;duration&gt;P0Y0M0DT0H1M0S&lt;/duration&gt;","")</f>
        <v/>
      </c>
    </row>
    <row r="1166" spans="1:1" ht="18" customHeight="1">
      <c r="A1166" t="str">
        <f>IF(Generation!$B34,"    &lt;itemmetadata&gt;","")</f>
        <v/>
      </c>
    </row>
    <row r="1167" spans="1:1" ht="18" customHeight="1">
      <c r="A1167" t="str">
        <f>IF(Generation!$B34,"      &lt;qtimetadata&gt;","")</f>
        <v/>
      </c>
    </row>
    <row r="1168" spans="1:1" ht="18" customHeight="1">
      <c r="A1168" t="str">
        <f>IF(Generation!$B34,"        &lt;qtimetadatafield&gt;&lt;fieldlabel&gt;ILIAS_VERSION&lt;/fieldlabel&gt;&lt;fieldentry&gt;8&lt;/fieldentry&gt;&lt;/qtimetadatafield&gt;","")</f>
        <v/>
      </c>
    </row>
    <row r="1169" spans="1:1" ht="18" customHeight="1">
      <c r="A1169" t="str">
        <f>IF(Generation!$B34,"        &lt;qtimetadatafield&gt;&lt;fieldlabel&gt;QUESTIONTYPE&lt;/fieldlabel&gt;&lt;fieldentry&gt;"&amp;Generation!$D34&amp;"&lt;/fieldentry&gt;&lt;/qtimetadatafield&gt;","")</f>
        <v/>
      </c>
    </row>
    <row r="1170" spans="1:1" ht="18" customHeight="1">
      <c r="A1170" t="str">
        <f>IF(Generation!$B34,"        &lt;qtimetadatafield&gt;&lt;fieldlabel&gt;AUTHOR&lt;/fieldlabel&gt;&lt;fieldentry&gt;Générateur Excel QTI&lt;/fieldentry&gt;&lt;/qtimetadatafield&gt;","")</f>
        <v/>
      </c>
    </row>
    <row r="1171" spans="1:1" ht="18" customHeight="1">
      <c r="A1171" t="str">
        <f>IF(Generation!$B34,"        &lt;qtimetadatafield&gt;&lt;fieldlabel&gt;identicalScoring&lt;/fieldlabel&gt;&lt;fieldentry&gt;1&lt;/fieldentry&gt;&lt;/qtimetadatafield&gt;","")</f>
        <v/>
      </c>
    </row>
    <row r="1172" spans="1:1" ht="18" customHeight="1">
      <c r="A1172" t="str">
        <f>IF(Generation!$B34,"      &lt;/qtimetadata&gt;","")</f>
        <v/>
      </c>
    </row>
    <row r="1173" spans="1:1" ht="18" customHeight="1">
      <c r="A1173" t="str">
        <f>IF(Generation!$B34,"    &lt;/itemmetadata&gt;","")</f>
        <v/>
      </c>
    </row>
    <row r="1174" spans="1:1" ht="18" customHeight="1">
      <c r="A1174" t="str">
        <f>IF(Generation!$B34,"    &lt;presentation label="""&amp;Generation!$F34&amp;"""&gt;","")</f>
        <v/>
      </c>
    </row>
    <row r="1175" spans="1:1" ht="18" customHeight="1">
      <c r="A1175" t="str">
        <f>IF(Generation!$B34,"      &lt;material&gt;&lt;mattext texttype=""text/html""&gt;"&amp;Generation!$G34&amp;"&lt;/mattext&gt;&lt;/material&gt;","")</f>
        <v/>
      </c>
    </row>
    <row r="1176" spans="1:1" ht="18" customHeight="1">
      <c r="A1176" t="str">
        <f>IF(Generation!$B34,"      &lt;response_lid ident=""RESPONSE"" rcardinality="""&amp;Generation!$E34&amp;"""&gt;","")</f>
        <v/>
      </c>
    </row>
    <row r="1177" spans="1:1" ht="18" customHeight="1">
      <c r="A1177" t="str">
        <f>IF(Generation!$B34,"        &lt;render_choice shuffle=""No""&gt;","")</f>
        <v/>
      </c>
    </row>
    <row r="1178" spans="1:1" ht="18" customHeight="1">
      <c r="A1178" t="str">
        <f>IF(Generation!AB34="","",Generation!AB34)</f>
        <v/>
      </c>
    </row>
    <row r="1179" spans="1:1" ht="18" customHeight="1">
      <c r="A1179" t="str">
        <f>IF(Generation!AC34="","",Generation!AC34)</f>
        <v/>
      </c>
    </row>
    <row r="1180" spans="1:1" ht="18" customHeight="1">
      <c r="A1180" t="str">
        <f>IF(Generation!AD34="","",Generation!AD34)</f>
        <v/>
      </c>
    </row>
    <row r="1181" spans="1:1" ht="18" customHeight="1">
      <c r="A1181" t="str">
        <f>IF(Generation!AE34="","",Generation!AE34)</f>
        <v/>
      </c>
    </row>
    <row r="1182" spans="1:1" ht="18" customHeight="1">
      <c r="A1182" t="str">
        <f>IF(Generation!AF34="","",Generation!AF34)</f>
        <v/>
      </c>
    </row>
    <row r="1183" spans="1:1" ht="18" customHeight="1">
      <c r="A1183" t="str">
        <f>IF(Generation!AG34="","",Generation!AG34)</f>
        <v/>
      </c>
    </row>
    <row r="1184" spans="1:1" ht="18" customHeight="1">
      <c r="A1184" t="str">
        <f>IF(Generation!AH34="","",Generation!AH34)</f>
        <v/>
      </c>
    </row>
    <row r="1185" spans="1:1" ht="18" customHeight="1">
      <c r="A1185" t="str">
        <f>IF(Generation!AI34="","",Generation!AI34)</f>
        <v/>
      </c>
    </row>
    <row r="1186" spans="1:1" ht="18" customHeight="1">
      <c r="A1186" t="str">
        <f>IF(Generation!$B34,"        &lt;/render_choice&gt;","")</f>
        <v/>
      </c>
    </row>
    <row r="1187" spans="1:1" ht="18" customHeight="1">
      <c r="A1187" t="str">
        <f>IF(Generation!$B34,"      &lt;/response_lid&gt;","")</f>
        <v/>
      </c>
    </row>
    <row r="1188" spans="1:1" ht="18" customHeight="1">
      <c r="A1188" t="str">
        <f>IF(Generation!$B34,"    &lt;/presentation&gt;","")</f>
        <v/>
      </c>
    </row>
    <row r="1189" spans="1:1" ht="18" customHeight="1">
      <c r="A1189" t="str">
        <f>IF(Generation!$B34,"    &lt;resprocessing&gt;","")</f>
        <v/>
      </c>
    </row>
    <row r="1190" spans="1:1" ht="18" customHeight="1">
      <c r="A1190" t="str">
        <f>IF(Generation!$B34,"      &lt;outcomes&gt;&lt;decvar varname=""SCORE"" vartype=""Decimal"" minvalue=""0"" maxvalue="""&amp;Generation!$H34&amp;"""/&gt;&lt;/outcomes&gt;","")</f>
        <v/>
      </c>
    </row>
    <row r="1191" spans="1:1" ht="18" customHeight="1">
      <c r="A1191" t="str">
        <f>IF(Generation!AJ34="","",Generation!AJ34)</f>
        <v/>
      </c>
    </row>
    <row r="1192" spans="1:1" ht="18" customHeight="1">
      <c r="A1192" t="str">
        <f>IF(Generation!AK34="","",Generation!AK34)</f>
        <v/>
      </c>
    </row>
    <row r="1193" spans="1:1" ht="18" customHeight="1">
      <c r="A1193" t="str">
        <f>IF(Generation!AL34="","",Generation!AL34)</f>
        <v/>
      </c>
    </row>
    <row r="1194" spans="1:1" ht="18" customHeight="1">
      <c r="A1194" t="str">
        <f>IF(Generation!AM34="","",Generation!AM34)</f>
        <v/>
      </c>
    </row>
    <row r="1195" spans="1:1" ht="18" customHeight="1">
      <c r="A1195" t="str">
        <f>IF(Generation!AN34="","",Generation!AN34)</f>
        <v/>
      </c>
    </row>
    <row r="1196" spans="1:1" ht="18" customHeight="1">
      <c r="A1196" t="str">
        <f>IF(Generation!AO34="","",Generation!AO34)</f>
        <v/>
      </c>
    </row>
    <row r="1197" spans="1:1" ht="18" customHeight="1">
      <c r="A1197" t="str">
        <f>IF(Generation!AP34="","",Generation!AP34)</f>
        <v/>
      </c>
    </row>
    <row r="1198" spans="1:1" ht="18" customHeight="1">
      <c r="A1198" t="str">
        <f>IF(Generation!AQ34="","",Generation!AQ34)</f>
        <v/>
      </c>
    </row>
    <row r="1199" spans="1:1" ht="18" customHeight="1">
      <c r="A1199" t="str">
        <f>IF(Generation!$B34,"    &lt;/resprocessing&gt;","")</f>
        <v/>
      </c>
    </row>
    <row r="1200" spans="1:1" ht="18" customHeight="1">
      <c r="A1200" t="str">
        <f>IF(Generation!$B34,"    &lt;itemfeedback ident=""response""&gt;&lt;flow_mat&gt;&lt;material&gt;&lt;mattext texttype=""text/plain""&gt;&lt;/mattext&gt;&lt;/material&gt;&lt;/flow_mat&gt;&lt;/itemfeedback&gt;","")</f>
        <v/>
      </c>
    </row>
    <row r="1201" spans="1:1" ht="18" customHeight="1">
      <c r="A1201" t="str">
        <f>IF(Generation!$B34,"  &lt;/item&gt;","")</f>
        <v/>
      </c>
    </row>
    <row r="1202" spans="1:1" ht="18" customHeight="1">
      <c r="A1202" t="str">
        <f>IF(Generation!$B34,"","")</f>
        <v/>
      </c>
    </row>
    <row r="1203" spans="1:1" ht="18" customHeight="1">
      <c r="A1203" t="str">
        <f>""</f>
        <v/>
      </c>
    </row>
    <row r="1204" spans="1:1" ht="18" customHeight="1">
      <c r="A1204" t="str">
        <f>IF(Generation!$B35,"  &lt;item ident=""il_0_qst_"&amp;TEXT(Generation!$A35,"000")&amp;""" title="""&amp;Generation!$F35&amp;"""&gt;","")</f>
        <v/>
      </c>
    </row>
    <row r="1205" spans="1:1" ht="18" customHeight="1">
      <c r="A1205" t="str">
        <f>IF(Generation!$B35,"    &lt;duration&gt;P0Y0M0DT0H1M0S&lt;/duration&gt;","")</f>
        <v/>
      </c>
    </row>
    <row r="1206" spans="1:1" ht="18" customHeight="1">
      <c r="A1206" t="str">
        <f>IF(Generation!$B35,"    &lt;itemmetadata&gt;","")</f>
        <v/>
      </c>
    </row>
    <row r="1207" spans="1:1" ht="18" customHeight="1">
      <c r="A1207" t="str">
        <f>IF(Generation!$B35,"      &lt;qtimetadata&gt;","")</f>
        <v/>
      </c>
    </row>
    <row r="1208" spans="1:1" ht="18" customHeight="1">
      <c r="A1208" t="str">
        <f>IF(Generation!$B35,"        &lt;qtimetadatafield&gt;&lt;fieldlabel&gt;ILIAS_VERSION&lt;/fieldlabel&gt;&lt;fieldentry&gt;8&lt;/fieldentry&gt;&lt;/qtimetadatafield&gt;","")</f>
        <v/>
      </c>
    </row>
    <row r="1209" spans="1:1" ht="18" customHeight="1">
      <c r="A1209" t="str">
        <f>IF(Generation!$B35,"        &lt;qtimetadatafield&gt;&lt;fieldlabel&gt;QUESTIONTYPE&lt;/fieldlabel&gt;&lt;fieldentry&gt;"&amp;Generation!$D35&amp;"&lt;/fieldentry&gt;&lt;/qtimetadatafield&gt;","")</f>
        <v/>
      </c>
    </row>
    <row r="1210" spans="1:1" ht="18" customHeight="1">
      <c r="A1210" t="str">
        <f>IF(Generation!$B35,"        &lt;qtimetadatafield&gt;&lt;fieldlabel&gt;AUTHOR&lt;/fieldlabel&gt;&lt;fieldentry&gt;Générateur Excel QTI&lt;/fieldentry&gt;&lt;/qtimetadatafield&gt;","")</f>
        <v/>
      </c>
    </row>
    <row r="1211" spans="1:1" ht="18" customHeight="1">
      <c r="A1211" t="str">
        <f>IF(Generation!$B35,"        &lt;qtimetadatafield&gt;&lt;fieldlabel&gt;identicalScoring&lt;/fieldlabel&gt;&lt;fieldentry&gt;1&lt;/fieldentry&gt;&lt;/qtimetadatafield&gt;","")</f>
        <v/>
      </c>
    </row>
    <row r="1212" spans="1:1" ht="18" customHeight="1">
      <c r="A1212" t="str">
        <f>IF(Generation!$B35,"      &lt;/qtimetadata&gt;","")</f>
        <v/>
      </c>
    </row>
    <row r="1213" spans="1:1" ht="18" customHeight="1">
      <c r="A1213" t="str">
        <f>IF(Generation!$B35,"    &lt;/itemmetadata&gt;","")</f>
        <v/>
      </c>
    </row>
    <row r="1214" spans="1:1" ht="18" customHeight="1">
      <c r="A1214" t="str">
        <f>IF(Generation!$B35,"    &lt;presentation label="""&amp;Generation!$F35&amp;"""&gt;","")</f>
        <v/>
      </c>
    </row>
    <row r="1215" spans="1:1" ht="18" customHeight="1">
      <c r="A1215" t="str">
        <f>IF(Generation!$B35,"      &lt;material&gt;&lt;mattext texttype=""text/html""&gt;"&amp;Generation!$G35&amp;"&lt;/mattext&gt;&lt;/material&gt;","")</f>
        <v/>
      </c>
    </row>
    <row r="1216" spans="1:1" ht="18" customHeight="1">
      <c r="A1216" t="str">
        <f>IF(Generation!$B35,"      &lt;response_lid ident=""RESPONSE"" rcardinality="""&amp;Generation!$E35&amp;"""&gt;","")</f>
        <v/>
      </c>
    </row>
    <row r="1217" spans="1:1" ht="18" customHeight="1">
      <c r="A1217" t="str">
        <f>IF(Generation!$B35,"        &lt;render_choice shuffle=""No""&gt;","")</f>
        <v/>
      </c>
    </row>
    <row r="1218" spans="1:1" ht="18" customHeight="1">
      <c r="A1218" t="str">
        <f>IF(Generation!AB35="","",Generation!AB35)</f>
        <v/>
      </c>
    </row>
    <row r="1219" spans="1:1" ht="18" customHeight="1">
      <c r="A1219" t="str">
        <f>IF(Generation!AC35="","",Generation!AC35)</f>
        <v/>
      </c>
    </row>
    <row r="1220" spans="1:1" ht="18" customHeight="1">
      <c r="A1220" t="str">
        <f>IF(Generation!AD35="","",Generation!AD35)</f>
        <v/>
      </c>
    </row>
    <row r="1221" spans="1:1" ht="18" customHeight="1">
      <c r="A1221" t="str">
        <f>IF(Generation!AE35="","",Generation!AE35)</f>
        <v/>
      </c>
    </row>
    <row r="1222" spans="1:1" ht="18" customHeight="1">
      <c r="A1222" t="str">
        <f>IF(Generation!AF35="","",Generation!AF35)</f>
        <v/>
      </c>
    </row>
    <row r="1223" spans="1:1" ht="18" customHeight="1">
      <c r="A1223" t="str">
        <f>IF(Generation!AG35="","",Generation!AG35)</f>
        <v/>
      </c>
    </row>
    <row r="1224" spans="1:1" ht="18" customHeight="1">
      <c r="A1224" t="str">
        <f>IF(Generation!AH35="","",Generation!AH35)</f>
        <v/>
      </c>
    </row>
    <row r="1225" spans="1:1" ht="18" customHeight="1">
      <c r="A1225" t="str">
        <f>IF(Generation!AI35="","",Generation!AI35)</f>
        <v/>
      </c>
    </row>
    <row r="1226" spans="1:1" ht="18" customHeight="1">
      <c r="A1226" t="str">
        <f>IF(Generation!$B35,"        &lt;/render_choice&gt;","")</f>
        <v/>
      </c>
    </row>
    <row r="1227" spans="1:1" ht="18" customHeight="1">
      <c r="A1227" t="str">
        <f>IF(Generation!$B35,"      &lt;/response_lid&gt;","")</f>
        <v/>
      </c>
    </row>
    <row r="1228" spans="1:1" ht="18" customHeight="1">
      <c r="A1228" t="str">
        <f>IF(Generation!$B35,"    &lt;/presentation&gt;","")</f>
        <v/>
      </c>
    </row>
    <row r="1229" spans="1:1" ht="18" customHeight="1">
      <c r="A1229" t="str">
        <f>IF(Generation!$B35,"    &lt;resprocessing&gt;","")</f>
        <v/>
      </c>
    </row>
    <row r="1230" spans="1:1" ht="18" customHeight="1">
      <c r="A1230" t="str">
        <f>IF(Generation!$B35,"      &lt;outcomes&gt;&lt;decvar varname=""SCORE"" vartype=""Decimal"" minvalue=""0"" maxvalue="""&amp;Generation!$H35&amp;"""/&gt;&lt;/outcomes&gt;","")</f>
        <v/>
      </c>
    </row>
    <row r="1231" spans="1:1" ht="18" customHeight="1">
      <c r="A1231" t="str">
        <f>IF(Generation!AJ35="","",Generation!AJ35)</f>
        <v/>
      </c>
    </row>
    <row r="1232" spans="1:1" ht="18" customHeight="1">
      <c r="A1232" t="str">
        <f>IF(Generation!AK35="","",Generation!AK35)</f>
        <v/>
      </c>
    </row>
    <row r="1233" spans="1:1" ht="18" customHeight="1">
      <c r="A1233" t="str">
        <f>IF(Generation!AL35="","",Generation!AL35)</f>
        <v/>
      </c>
    </row>
    <row r="1234" spans="1:1" ht="18" customHeight="1">
      <c r="A1234" t="str">
        <f>IF(Generation!AM35="","",Generation!AM35)</f>
        <v/>
      </c>
    </row>
    <row r="1235" spans="1:1" ht="18" customHeight="1">
      <c r="A1235" t="str">
        <f>IF(Generation!AN35="","",Generation!AN35)</f>
        <v/>
      </c>
    </row>
    <row r="1236" spans="1:1" ht="18" customHeight="1">
      <c r="A1236" t="str">
        <f>IF(Generation!AO35="","",Generation!AO35)</f>
        <v/>
      </c>
    </row>
    <row r="1237" spans="1:1" ht="18" customHeight="1">
      <c r="A1237" t="str">
        <f>IF(Generation!AP35="","",Generation!AP35)</f>
        <v/>
      </c>
    </row>
    <row r="1238" spans="1:1" ht="18" customHeight="1">
      <c r="A1238" t="str">
        <f>IF(Generation!AQ35="","",Generation!AQ35)</f>
        <v/>
      </c>
    </row>
    <row r="1239" spans="1:1" ht="18" customHeight="1">
      <c r="A1239" t="str">
        <f>IF(Generation!$B35,"    &lt;/resprocessing&gt;","")</f>
        <v/>
      </c>
    </row>
    <row r="1240" spans="1:1" ht="18" customHeight="1">
      <c r="A1240" t="str">
        <f>IF(Generation!$B35,"    &lt;itemfeedback ident=""response""&gt;&lt;flow_mat&gt;&lt;material&gt;&lt;mattext texttype=""text/plain""&gt;&lt;/mattext&gt;&lt;/material&gt;&lt;/flow_mat&gt;&lt;/itemfeedback&gt;","")</f>
        <v/>
      </c>
    </row>
    <row r="1241" spans="1:1" ht="18" customHeight="1">
      <c r="A1241" t="str">
        <f>IF(Generation!$B35,"  &lt;/item&gt;","")</f>
        <v/>
      </c>
    </row>
    <row r="1242" spans="1:1" ht="18" customHeight="1">
      <c r="A1242" t="str">
        <f>IF(Generation!$B35,"","")</f>
        <v/>
      </c>
    </row>
    <row r="1243" spans="1:1" ht="18" customHeight="1">
      <c r="A1243" t="str">
        <f>""</f>
        <v/>
      </c>
    </row>
    <row r="1244" spans="1:1" ht="18" customHeight="1">
      <c r="A1244" t="str">
        <f>IF(Generation!$B36,"  &lt;item ident=""il_0_qst_"&amp;TEXT(Generation!$A36,"000")&amp;""" title="""&amp;Generation!$F36&amp;"""&gt;","")</f>
        <v/>
      </c>
    </row>
    <row r="1245" spans="1:1" ht="18" customHeight="1">
      <c r="A1245" t="str">
        <f>IF(Generation!$B36,"    &lt;duration&gt;P0Y0M0DT0H1M0S&lt;/duration&gt;","")</f>
        <v/>
      </c>
    </row>
    <row r="1246" spans="1:1" ht="18" customHeight="1">
      <c r="A1246" t="str">
        <f>IF(Generation!$B36,"    &lt;itemmetadata&gt;","")</f>
        <v/>
      </c>
    </row>
    <row r="1247" spans="1:1" ht="18" customHeight="1">
      <c r="A1247" t="str">
        <f>IF(Generation!$B36,"      &lt;qtimetadata&gt;","")</f>
        <v/>
      </c>
    </row>
    <row r="1248" spans="1:1" ht="18" customHeight="1">
      <c r="A1248" t="str">
        <f>IF(Generation!$B36,"        &lt;qtimetadatafield&gt;&lt;fieldlabel&gt;ILIAS_VERSION&lt;/fieldlabel&gt;&lt;fieldentry&gt;8&lt;/fieldentry&gt;&lt;/qtimetadatafield&gt;","")</f>
        <v/>
      </c>
    </row>
    <row r="1249" spans="1:1" ht="18" customHeight="1">
      <c r="A1249" t="str">
        <f>IF(Generation!$B36,"        &lt;qtimetadatafield&gt;&lt;fieldlabel&gt;QUESTIONTYPE&lt;/fieldlabel&gt;&lt;fieldentry&gt;"&amp;Generation!$D36&amp;"&lt;/fieldentry&gt;&lt;/qtimetadatafield&gt;","")</f>
        <v/>
      </c>
    </row>
    <row r="1250" spans="1:1" ht="18" customHeight="1">
      <c r="A1250" t="str">
        <f>IF(Generation!$B36,"        &lt;qtimetadatafield&gt;&lt;fieldlabel&gt;AUTHOR&lt;/fieldlabel&gt;&lt;fieldentry&gt;Générateur Excel QTI&lt;/fieldentry&gt;&lt;/qtimetadatafield&gt;","")</f>
        <v/>
      </c>
    </row>
    <row r="1251" spans="1:1" ht="18" customHeight="1">
      <c r="A1251" t="str">
        <f>IF(Generation!$B36,"        &lt;qtimetadatafield&gt;&lt;fieldlabel&gt;identicalScoring&lt;/fieldlabel&gt;&lt;fieldentry&gt;1&lt;/fieldentry&gt;&lt;/qtimetadatafield&gt;","")</f>
        <v/>
      </c>
    </row>
    <row r="1252" spans="1:1" ht="18" customHeight="1">
      <c r="A1252" t="str">
        <f>IF(Generation!$B36,"      &lt;/qtimetadata&gt;","")</f>
        <v/>
      </c>
    </row>
    <row r="1253" spans="1:1" ht="18" customHeight="1">
      <c r="A1253" t="str">
        <f>IF(Generation!$B36,"    &lt;/itemmetadata&gt;","")</f>
        <v/>
      </c>
    </row>
    <row r="1254" spans="1:1" ht="18" customHeight="1">
      <c r="A1254" t="str">
        <f>IF(Generation!$B36,"    &lt;presentation label="""&amp;Generation!$F36&amp;"""&gt;","")</f>
        <v/>
      </c>
    </row>
    <row r="1255" spans="1:1" ht="18" customHeight="1">
      <c r="A1255" t="str">
        <f>IF(Generation!$B36,"      &lt;material&gt;&lt;mattext texttype=""text/html""&gt;"&amp;Generation!$G36&amp;"&lt;/mattext&gt;&lt;/material&gt;","")</f>
        <v/>
      </c>
    </row>
    <row r="1256" spans="1:1" ht="18" customHeight="1">
      <c r="A1256" t="str">
        <f>IF(Generation!$B36,"      &lt;response_lid ident=""RESPONSE"" rcardinality="""&amp;Generation!$E36&amp;"""&gt;","")</f>
        <v/>
      </c>
    </row>
    <row r="1257" spans="1:1" ht="18" customHeight="1">
      <c r="A1257" t="str">
        <f>IF(Generation!$B36,"        &lt;render_choice shuffle=""No""&gt;","")</f>
        <v/>
      </c>
    </row>
    <row r="1258" spans="1:1" ht="18" customHeight="1">
      <c r="A1258" t="str">
        <f>IF(Generation!AB36="","",Generation!AB36)</f>
        <v/>
      </c>
    </row>
    <row r="1259" spans="1:1" ht="18" customHeight="1">
      <c r="A1259" t="str">
        <f>IF(Generation!AC36="","",Generation!AC36)</f>
        <v/>
      </c>
    </row>
    <row r="1260" spans="1:1" ht="18" customHeight="1">
      <c r="A1260" t="str">
        <f>IF(Generation!AD36="","",Generation!AD36)</f>
        <v/>
      </c>
    </row>
    <row r="1261" spans="1:1" ht="18" customHeight="1">
      <c r="A1261" t="str">
        <f>IF(Generation!AE36="","",Generation!AE36)</f>
        <v/>
      </c>
    </row>
    <row r="1262" spans="1:1" ht="18" customHeight="1">
      <c r="A1262" t="str">
        <f>IF(Generation!AF36="","",Generation!AF36)</f>
        <v/>
      </c>
    </row>
    <row r="1263" spans="1:1" ht="18" customHeight="1">
      <c r="A1263" t="str">
        <f>IF(Generation!AG36="","",Generation!AG36)</f>
        <v/>
      </c>
    </row>
    <row r="1264" spans="1:1" ht="18" customHeight="1">
      <c r="A1264" t="str">
        <f>IF(Generation!AH36="","",Generation!AH36)</f>
        <v/>
      </c>
    </row>
    <row r="1265" spans="1:1" ht="18" customHeight="1">
      <c r="A1265" t="str">
        <f>IF(Generation!AI36="","",Generation!AI36)</f>
        <v/>
      </c>
    </row>
    <row r="1266" spans="1:1" ht="18" customHeight="1">
      <c r="A1266" t="str">
        <f>IF(Generation!$B36,"        &lt;/render_choice&gt;","")</f>
        <v/>
      </c>
    </row>
    <row r="1267" spans="1:1" ht="18" customHeight="1">
      <c r="A1267" t="str">
        <f>IF(Generation!$B36,"      &lt;/response_lid&gt;","")</f>
        <v/>
      </c>
    </row>
    <row r="1268" spans="1:1" ht="18" customHeight="1">
      <c r="A1268" t="str">
        <f>IF(Generation!$B36,"    &lt;/presentation&gt;","")</f>
        <v/>
      </c>
    </row>
    <row r="1269" spans="1:1" ht="18" customHeight="1">
      <c r="A1269" t="str">
        <f>IF(Generation!$B36,"    &lt;resprocessing&gt;","")</f>
        <v/>
      </c>
    </row>
    <row r="1270" spans="1:1" ht="18" customHeight="1">
      <c r="A1270" t="str">
        <f>IF(Generation!$B36,"      &lt;outcomes&gt;&lt;decvar varname=""SCORE"" vartype=""Decimal"" minvalue=""0"" maxvalue="""&amp;Generation!$H36&amp;"""/&gt;&lt;/outcomes&gt;","")</f>
        <v/>
      </c>
    </row>
    <row r="1271" spans="1:1" ht="18" customHeight="1">
      <c r="A1271" t="str">
        <f>IF(Generation!AJ36="","",Generation!AJ36)</f>
        <v/>
      </c>
    </row>
    <row r="1272" spans="1:1" ht="18" customHeight="1">
      <c r="A1272" t="str">
        <f>IF(Generation!AK36="","",Generation!AK36)</f>
        <v/>
      </c>
    </row>
    <row r="1273" spans="1:1" ht="18" customHeight="1">
      <c r="A1273" t="str">
        <f>IF(Generation!AL36="","",Generation!AL36)</f>
        <v/>
      </c>
    </row>
    <row r="1274" spans="1:1" ht="18" customHeight="1">
      <c r="A1274" t="str">
        <f>IF(Generation!AM36="","",Generation!AM36)</f>
        <v/>
      </c>
    </row>
    <row r="1275" spans="1:1" ht="18" customHeight="1">
      <c r="A1275" t="str">
        <f>IF(Generation!AN36="","",Generation!AN36)</f>
        <v/>
      </c>
    </row>
    <row r="1276" spans="1:1" ht="18" customHeight="1">
      <c r="A1276" t="str">
        <f>IF(Generation!AO36="","",Generation!AO36)</f>
        <v/>
      </c>
    </row>
    <row r="1277" spans="1:1" ht="18" customHeight="1">
      <c r="A1277" t="str">
        <f>IF(Generation!AP36="","",Generation!AP36)</f>
        <v/>
      </c>
    </row>
    <row r="1278" spans="1:1" ht="18" customHeight="1">
      <c r="A1278" t="str">
        <f>IF(Generation!AQ36="","",Generation!AQ36)</f>
        <v/>
      </c>
    </row>
    <row r="1279" spans="1:1" ht="18" customHeight="1">
      <c r="A1279" t="str">
        <f>IF(Generation!$B36,"    &lt;/resprocessing&gt;","")</f>
        <v/>
      </c>
    </row>
    <row r="1280" spans="1:1" ht="18" customHeight="1">
      <c r="A1280" t="str">
        <f>IF(Generation!$B36,"    &lt;itemfeedback ident=""response""&gt;&lt;flow_mat&gt;&lt;material&gt;&lt;mattext texttype=""text/plain""&gt;&lt;/mattext&gt;&lt;/material&gt;&lt;/flow_mat&gt;&lt;/itemfeedback&gt;","")</f>
        <v/>
      </c>
    </row>
    <row r="1281" spans="1:1" ht="18" customHeight="1">
      <c r="A1281" t="str">
        <f>IF(Generation!$B36,"  &lt;/item&gt;","")</f>
        <v/>
      </c>
    </row>
    <row r="1282" spans="1:1" ht="18" customHeight="1">
      <c r="A1282" t="str">
        <f>IF(Generation!$B36,"","")</f>
        <v/>
      </c>
    </row>
    <row r="1283" spans="1:1" ht="18" customHeight="1">
      <c r="A1283" t="str">
        <f>""</f>
        <v/>
      </c>
    </row>
    <row r="1284" spans="1:1" ht="18" customHeight="1">
      <c r="A1284" t="str">
        <f>IF(Generation!$B37,"  &lt;item ident=""il_0_qst_"&amp;TEXT(Generation!$A37,"000")&amp;""" title="""&amp;Generation!$F37&amp;"""&gt;","")</f>
        <v/>
      </c>
    </row>
    <row r="1285" spans="1:1" ht="18" customHeight="1">
      <c r="A1285" t="str">
        <f>IF(Generation!$B37,"    &lt;duration&gt;P0Y0M0DT0H1M0S&lt;/duration&gt;","")</f>
        <v/>
      </c>
    </row>
    <row r="1286" spans="1:1" ht="18" customHeight="1">
      <c r="A1286" t="str">
        <f>IF(Generation!$B37,"    &lt;itemmetadata&gt;","")</f>
        <v/>
      </c>
    </row>
    <row r="1287" spans="1:1" ht="18" customHeight="1">
      <c r="A1287" t="str">
        <f>IF(Generation!$B37,"      &lt;qtimetadata&gt;","")</f>
        <v/>
      </c>
    </row>
    <row r="1288" spans="1:1" ht="18" customHeight="1">
      <c r="A1288" t="str">
        <f>IF(Generation!$B37,"        &lt;qtimetadatafield&gt;&lt;fieldlabel&gt;ILIAS_VERSION&lt;/fieldlabel&gt;&lt;fieldentry&gt;8&lt;/fieldentry&gt;&lt;/qtimetadatafield&gt;","")</f>
        <v/>
      </c>
    </row>
    <row r="1289" spans="1:1" ht="18" customHeight="1">
      <c r="A1289" t="str">
        <f>IF(Generation!$B37,"        &lt;qtimetadatafield&gt;&lt;fieldlabel&gt;QUESTIONTYPE&lt;/fieldlabel&gt;&lt;fieldentry&gt;"&amp;Generation!$D37&amp;"&lt;/fieldentry&gt;&lt;/qtimetadatafield&gt;","")</f>
        <v/>
      </c>
    </row>
    <row r="1290" spans="1:1" ht="18" customHeight="1">
      <c r="A1290" t="str">
        <f>IF(Generation!$B37,"        &lt;qtimetadatafield&gt;&lt;fieldlabel&gt;AUTHOR&lt;/fieldlabel&gt;&lt;fieldentry&gt;Générateur Excel QTI&lt;/fieldentry&gt;&lt;/qtimetadatafield&gt;","")</f>
        <v/>
      </c>
    </row>
    <row r="1291" spans="1:1" ht="18" customHeight="1">
      <c r="A1291" t="str">
        <f>IF(Generation!$B37,"        &lt;qtimetadatafield&gt;&lt;fieldlabel&gt;identicalScoring&lt;/fieldlabel&gt;&lt;fieldentry&gt;1&lt;/fieldentry&gt;&lt;/qtimetadatafield&gt;","")</f>
        <v/>
      </c>
    </row>
    <row r="1292" spans="1:1" ht="18" customHeight="1">
      <c r="A1292" t="str">
        <f>IF(Generation!$B37,"      &lt;/qtimetadata&gt;","")</f>
        <v/>
      </c>
    </row>
    <row r="1293" spans="1:1" ht="18" customHeight="1">
      <c r="A1293" t="str">
        <f>IF(Generation!$B37,"    &lt;/itemmetadata&gt;","")</f>
        <v/>
      </c>
    </row>
    <row r="1294" spans="1:1" ht="18" customHeight="1">
      <c r="A1294" t="str">
        <f>IF(Generation!$B37,"    &lt;presentation label="""&amp;Generation!$F37&amp;"""&gt;","")</f>
        <v/>
      </c>
    </row>
    <row r="1295" spans="1:1" ht="18" customHeight="1">
      <c r="A1295" t="str">
        <f>IF(Generation!$B37,"      &lt;material&gt;&lt;mattext texttype=""text/html""&gt;"&amp;Generation!$G37&amp;"&lt;/mattext&gt;&lt;/material&gt;","")</f>
        <v/>
      </c>
    </row>
    <row r="1296" spans="1:1" ht="18" customHeight="1">
      <c r="A1296" t="str">
        <f>IF(Generation!$B37,"      &lt;response_lid ident=""RESPONSE"" rcardinality="""&amp;Generation!$E37&amp;"""&gt;","")</f>
        <v/>
      </c>
    </row>
    <row r="1297" spans="1:1" ht="18" customHeight="1">
      <c r="A1297" t="str">
        <f>IF(Generation!$B37,"        &lt;render_choice shuffle=""No""&gt;","")</f>
        <v/>
      </c>
    </row>
    <row r="1298" spans="1:1" ht="18" customHeight="1">
      <c r="A1298" t="str">
        <f>IF(Generation!AB37="","",Generation!AB37)</f>
        <v/>
      </c>
    </row>
    <row r="1299" spans="1:1" ht="18" customHeight="1">
      <c r="A1299" t="str">
        <f>IF(Generation!AC37="","",Generation!AC37)</f>
        <v/>
      </c>
    </row>
    <row r="1300" spans="1:1" ht="18" customHeight="1">
      <c r="A1300" t="str">
        <f>IF(Generation!AD37="","",Generation!AD37)</f>
        <v/>
      </c>
    </row>
    <row r="1301" spans="1:1" ht="18" customHeight="1">
      <c r="A1301" t="str">
        <f>IF(Generation!AE37="","",Generation!AE37)</f>
        <v/>
      </c>
    </row>
    <row r="1302" spans="1:1" ht="18" customHeight="1">
      <c r="A1302" t="str">
        <f>IF(Generation!AF37="","",Generation!AF37)</f>
        <v/>
      </c>
    </row>
    <row r="1303" spans="1:1" ht="18" customHeight="1">
      <c r="A1303" t="str">
        <f>IF(Generation!AG37="","",Generation!AG37)</f>
        <v/>
      </c>
    </row>
    <row r="1304" spans="1:1" ht="18" customHeight="1">
      <c r="A1304" t="str">
        <f>IF(Generation!AH37="","",Generation!AH37)</f>
        <v/>
      </c>
    </row>
    <row r="1305" spans="1:1" ht="18" customHeight="1">
      <c r="A1305" t="str">
        <f>IF(Generation!AI37="","",Generation!AI37)</f>
        <v/>
      </c>
    </row>
    <row r="1306" spans="1:1" ht="18" customHeight="1">
      <c r="A1306" t="str">
        <f>IF(Generation!$B37,"        &lt;/render_choice&gt;","")</f>
        <v/>
      </c>
    </row>
    <row r="1307" spans="1:1" ht="18" customHeight="1">
      <c r="A1307" t="str">
        <f>IF(Generation!$B37,"      &lt;/response_lid&gt;","")</f>
        <v/>
      </c>
    </row>
    <row r="1308" spans="1:1" ht="18" customHeight="1">
      <c r="A1308" t="str">
        <f>IF(Generation!$B37,"    &lt;/presentation&gt;","")</f>
        <v/>
      </c>
    </row>
    <row r="1309" spans="1:1" ht="18" customHeight="1">
      <c r="A1309" t="str">
        <f>IF(Generation!$B37,"    &lt;resprocessing&gt;","")</f>
        <v/>
      </c>
    </row>
    <row r="1310" spans="1:1" ht="18" customHeight="1">
      <c r="A1310" t="str">
        <f>IF(Generation!$B37,"      &lt;outcomes&gt;&lt;decvar varname=""SCORE"" vartype=""Decimal"" minvalue=""0"" maxvalue="""&amp;Generation!$H37&amp;"""/&gt;&lt;/outcomes&gt;","")</f>
        <v/>
      </c>
    </row>
    <row r="1311" spans="1:1" ht="18" customHeight="1">
      <c r="A1311" t="str">
        <f>IF(Generation!AJ37="","",Generation!AJ37)</f>
        <v/>
      </c>
    </row>
    <row r="1312" spans="1:1" ht="18" customHeight="1">
      <c r="A1312" t="str">
        <f>IF(Generation!AK37="","",Generation!AK37)</f>
        <v/>
      </c>
    </row>
    <row r="1313" spans="1:1" ht="18" customHeight="1">
      <c r="A1313" t="str">
        <f>IF(Generation!AL37="","",Generation!AL37)</f>
        <v/>
      </c>
    </row>
    <row r="1314" spans="1:1" ht="18" customHeight="1">
      <c r="A1314" t="str">
        <f>IF(Generation!AM37="","",Generation!AM37)</f>
        <v/>
      </c>
    </row>
    <row r="1315" spans="1:1" ht="18" customHeight="1">
      <c r="A1315" t="str">
        <f>IF(Generation!AN37="","",Generation!AN37)</f>
        <v/>
      </c>
    </row>
    <row r="1316" spans="1:1" ht="18" customHeight="1">
      <c r="A1316" t="str">
        <f>IF(Generation!AO37="","",Generation!AO37)</f>
        <v/>
      </c>
    </row>
    <row r="1317" spans="1:1" ht="18" customHeight="1">
      <c r="A1317" t="str">
        <f>IF(Generation!AP37="","",Generation!AP37)</f>
        <v/>
      </c>
    </row>
    <row r="1318" spans="1:1" ht="18" customHeight="1">
      <c r="A1318" t="str">
        <f>IF(Generation!AQ37="","",Generation!AQ37)</f>
        <v/>
      </c>
    </row>
    <row r="1319" spans="1:1" ht="18" customHeight="1">
      <c r="A1319" t="str">
        <f>IF(Generation!$B37,"    &lt;/resprocessing&gt;","")</f>
        <v/>
      </c>
    </row>
    <row r="1320" spans="1:1" ht="18" customHeight="1">
      <c r="A1320" t="str">
        <f>IF(Generation!$B37,"    &lt;itemfeedback ident=""response""&gt;&lt;flow_mat&gt;&lt;material&gt;&lt;mattext texttype=""text/plain""&gt;&lt;/mattext&gt;&lt;/material&gt;&lt;/flow_mat&gt;&lt;/itemfeedback&gt;","")</f>
        <v/>
      </c>
    </row>
    <row r="1321" spans="1:1" ht="18" customHeight="1">
      <c r="A1321" t="str">
        <f>IF(Generation!$B37,"  &lt;/item&gt;","")</f>
        <v/>
      </c>
    </row>
    <row r="1322" spans="1:1" ht="18" customHeight="1">
      <c r="A1322" t="str">
        <f>IF(Generation!$B37,"","")</f>
        <v/>
      </c>
    </row>
    <row r="1323" spans="1:1" ht="18" customHeight="1">
      <c r="A1323" t="str">
        <f>""</f>
        <v/>
      </c>
    </row>
    <row r="1324" spans="1:1" ht="18" customHeight="1">
      <c r="A1324" t="str">
        <f>IF(Generation!$B38,"  &lt;item ident=""il_0_qst_"&amp;TEXT(Generation!$A38,"000")&amp;""" title="""&amp;Generation!$F38&amp;"""&gt;","")</f>
        <v/>
      </c>
    </row>
    <row r="1325" spans="1:1" ht="18" customHeight="1">
      <c r="A1325" t="str">
        <f>IF(Generation!$B38,"    &lt;duration&gt;P0Y0M0DT0H1M0S&lt;/duration&gt;","")</f>
        <v/>
      </c>
    </row>
    <row r="1326" spans="1:1" ht="18" customHeight="1">
      <c r="A1326" t="str">
        <f>IF(Generation!$B38,"    &lt;itemmetadata&gt;","")</f>
        <v/>
      </c>
    </row>
    <row r="1327" spans="1:1" ht="18" customHeight="1">
      <c r="A1327" t="str">
        <f>IF(Generation!$B38,"      &lt;qtimetadata&gt;","")</f>
        <v/>
      </c>
    </row>
    <row r="1328" spans="1:1" ht="18" customHeight="1">
      <c r="A1328" t="str">
        <f>IF(Generation!$B38,"        &lt;qtimetadatafield&gt;&lt;fieldlabel&gt;ILIAS_VERSION&lt;/fieldlabel&gt;&lt;fieldentry&gt;8&lt;/fieldentry&gt;&lt;/qtimetadatafield&gt;","")</f>
        <v/>
      </c>
    </row>
    <row r="1329" spans="1:1" ht="18" customHeight="1">
      <c r="A1329" t="str">
        <f>IF(Generation!$B38,"        &lt;qtimetadatafield&gt;&lt;fieldlabel&gt;QUESTIONTYPE&lt;/fieldlabel&gt;&lt;fieldentry&gt;"&amp;Generation!$D38&amp;"&lt;/fieldentry&gt;&lt;/qtimetadatafield&gt;","")</f>
        <v/>
      </c>
    </row>
    <row r="1330" spans="1:1" ht="18" customHeight="1">
      <c r="A1330" t="str">
        <f>IF(Generation!$B38,"        &lt;qtimetadatafield&gt;&lt;fieldlabel&gt;AUTHOR&lt;/fieldlabel&gt;&lt;fieldentry&gt;Générateur Excel QTI&lt;/fieldentry&gt;&lt;/qtimetadatafield&gt;","")</f>
        <v/>
      </c>
    </row>
    <row r="1331" spans="1:1" ht="18" customHeight="1">
      <c r="A1331" t="str">
        <f>IF(Generation!$B38,"        &lt;qtimetadatafield&gt;&lt;fieldlabel&gt;identicalScoring&lt;/fieldlabel&gt;&lt;fieldentry&gt;1&lt;/fieldentry&gt;&lt;/qtimetadatafield&gt;","")</f>
        <v/>
      </c>
    </row>
    <row r="1332" spans="1:1" ht="18" customHeight="1">
      <c r="A1332" t="str">
        <f>IF(Generation!$B38,"      &lt;/qtimetadata&gt;","")</f>
        <v/>
      </c>
    </row>
    <row r="1333" spans="1:1" ht="18" customHeight="1">
      <c r="A1333" t="str">
        <f>IF(Generation!$B38,"    &lt;/itemmetadata&gt;","")</f>
        <v/>
      </c>
    </row>
    <row r="1334" spans="1:1" ht="18" customHeight="1">
      <c r="A1334" t="str">
        <f>IF(Generation!$B38,"    &lt;presentation label="""&amp;Generation!$F38&amp;"""&gt;","")</f>
        <v/>
      </c>
    </row>
    <row r="1335" spans="1:1" ht="18" customHeight="1">
      <c r="A1335" t="str">
        <f>IF(Generation!$B38,"      &lt;material&gt;&lt;mattext texttype=""text/html""&gt;"&amp;Generation!$G38&amp;"&lt;/mattext&gt;&lt;/material&gt;","")</f>
        <v/>
      </c>
    </row>
    <row r="1336" spans="1:1" ht="18" customHeight="1">
      <c r="A1336" t="str">
        <f>IF(Generation!$B38,"      &lt;response_lid ident=""RESPONSE"" rcardinality="""&amp;Generation!$E38&amp;"""&gt;","")</f>
        <v/>
      </c>
    </row>
    <row r="1337" spans="1:1" ht="18" customHeight="1">
      <c r="A1337" t="str">
        <f>IF(Generation!$B38,"        &lt;render_choice shuffle=""No""&gt;","")</f>
        <v/>
      </c>
    </row>
    <row r="1338" spans="1:1" ht="18" customHeight="1">
      <c r="A1338" t="str">
        <f>IF(Generation!AB38="","",Generation!AB38)</f>
        <v/>
      </c>
    </row>
    <row r="1339" spans="1:1" ht="18" customHeight="1">
      <c r="A1339" t="str">
        <f>IF(Generation!AC38="","",Generation!AC38)</f>
        <v/>
      </c>
    </row>
    <row r="1340" spans="1:1" ht="18" customHeight="1">
      <c r="A1340" t="str">
        <f>IF(Generation!AD38="","",Generation!AD38)</f>
        <v/>
      </c>
    </row>
    <row r="1341" spans="1:1" ht="18" customHeight="1">
      <c r="A1341" t="str">
        <f>IF(Generation!AE38="","",Generation!AE38)</f>
        <v/>
      </c>
    </row>
    <row r="1342" spans="1:1" ht="18" customHeight="1">
      <c r="A1342" t="str">
        <f>IF(Generation!AF38="","",Generation!AF38)</f>
        <v/>
      </c>
    </row>
    <row r="1343" spans="1:1" ht="18" customHeight="1">
      <c r="A1343" t="str">
        <f>IF(Generation!AG38="","",Generation!AG38)</f>
        <v/>
      </c>
    </row>
    <row r="1344" spans="1:1" ht="18" customHeight="1">
      <c r="A1344" t="str">
        <f>IF(Generation!AH38="","",Generation!AH38)</f>
        <v/>
      </c>
    </row>
    <row r="1345" spans="1:1" ht="18" customHeight="1">
      <c r="A1345" t="str">
        <f>IF(Generation!AI38="","",Generation!AI38)</f>
        <v/>
      </c>
    </row>
    <row r="1346" spans="1:1" ht="18" customHeight="1">
      <c r="A1346" t="str">
        <f>IF(Generation!$B38,"        &lt;/render_choice&gt;","")</f>
        <v/>
      </c>
    </row>
    <row r="1347" spans="1:1" ht="18" customHeight="1">
      <c r="A1347" t="str">
        <f>IF(Generation!$B38,"      &lt;/response_lid&gt;","")</f>
        <v/>
      </c>
    </row>
    <row r="1348" spans="1:1" ht="18" customHeight="1">
      <c r="A1348" t="str">
        <f>IF(Generation!$B38,"    &lt;/presentation&gt;","")</f>
        <v/>
      </c>
    </row>
    <row r="1349" spans="1:1" ht="18" customHeight="1">
      <c r="A1349" t="str">
        <f>IF(Generation!$B38,"    &lt;resprocessing&gt;","")</f>
        <v/>
      </c>
    </row>
    <row r="1350" spans="1:1" ht="18" customHeight="1">
      <c r="A1350" t="str">
        <f>IF(Generation!$B38,"      &lt;outcomes&gt;&lt;decvar varname=""SCORE"" vartype=""Decimal"" minvalue=""0"" maxvalue="""&amp;Generation!$H38&amp;"""/&gt;&lt;/outcomes&gt;","")</f>
        <v/>
      </c>
    </row>
    <row r="1351" spans="1:1" ht="18" customHeight="1">
      <c r="A1351" t="str">
        <f>IF(Generation!AJ38="","",Generation!AJ38)</f>
        <v/>
      </c>
    </row>
    <row r="1352" spans="1:1" ht="18" customHeight="1">
      <c r="A1352" t="str">
        <f>IF(Generation!AK38="","",Generation!AK38)</f>
        <v/>
      </c>
    </row>
    <row r="1353" spans="1:1" ht="18" customHeight="1">
      <c r="A1353" t="str">
        <f>IF(Generation!AL38="","",Generation!AL38)</f>
        <v/>
      </c>
    </row>
    <row r="1354" spans="1:1" ht="18" customHeight="1">
      <c r="A1354" t="str">
        <f>IF(Generation!AM38="","",Generation!AM38)</f>
        <v/>
      </c>
    </row>
    <row r="1355" spans="1:1" ht="18" customHeight="1">
      <c r="A1355" t="str">
        <f>IF(Generation!AN38="","",Generation!AN38)</f>
        <v/>
      </c>
    </row>
    <row r="1356" spans="1:1" ht="18" customHeight="1">
      <c r="A1356" t="str">
        <f>IF(Generation!AO38="","",Generation!AO38)</f>
        <v/>
      </c>
    </row>
    <row r="1357" spans="1:1" ht="18" customHeight="1">
      <c r="A1357" t="str">
        <f>IF(Generation!AP38="","",Generation!AP38)</f>
        <v/>
      </c>
    </row>
    <row r="1358" spans="1:1" ht="18" customHeight="1">
      <c r="A1358" t="str">
        <f>IF(Generation!AQ38="","",Generation!AQ38)</f>
        <v/>
      </c>
    </row>
    <row r="1359" spans="1:1" ht="18" customHeight="1">
      <c r="A1359" t="str">
        <f>IF(Generation!$B38,"    &lt;/resprocessing&gt;","")</f>
        <v/>
      </c>
    </row>
    <row r="1360" spans="1:1" ht="18" customHeight="1">
      <c r="A1360" t="str">
        <f>IF(Generation!$B38,"    &lt;itemfeedback ident=""response""&gt;&lt;flow_mat&gt;&lt;material&gt;&lt;mattext texttype=""text/plain""&gt;&lt;/mattext&gt;&lt;/material&gt;&lt;/flow_mat&gt;&lt;/itemfeedback&gt;","")</f>
        <v/>
      </c>
    </row>
    <row r="1361" spans="1:1" ht="18" customHeight="1">
      <c r="A1361" t="str">
        <f>IF(Generation!$B38,"  &lt;/item&gt;","")</f>
        <v/>
      </c>
    </row>
    <row r="1362" spans="1:1" ht="18" customHeight="1">
      <c r="A1362" t="str">
        <f>IF(Generation!$B38,"","")</f>
        <v/>
      </c>
    </row>
    <row r="1363" spans="1:1" ht="18" customHeight="1">
      <c r="A1363" t="str">
        <f>""</f>
        <v/>
      </c>
    </row>
    <row r="1364" spans="1:1" ht="18" customHeight="1">
      <c r="A1364" t="str">
        <f>IF(Generation!$B39,"  &lt;item ident=""il_0_qst_"&amp;TEXT(Generation!$A39,"000")&amp;""" title="""&amp;Generation!$F39&amp;"""&gt;","")</f>
        <v/>
      </c>
    </row>
    <row r="1365" spans="1:1" ht="18" customHeight="1">
      <c r="A1365" t="str">
        <f>IF(Generation!$B39,"    &lt;duration&gt;P0Y0M0DT0H1M0S&lt;/duration&gt;","")</f>
        <v/>
      </c>
    </row>
    <row r="1366" spans="1:1" ht="18" customHeight="1">
      <c r="A1366" t="str">
        <f>IF(Generation!$B39,"    &lt;itemmetadata&gt;","")</f>
        <v/>
      </c>
    </row>
    <row r="1367" spans="1:1" ht="18" customHeight="1">
      <c r="A1367" t="str">
        <f>IF(Generation!$B39,"      &lt;qtimetadata&gt;","")</f>
        <v/>
      </c>
    </row>
    <row r="1368" spans="1:1" ht="18" customHeight="1">
      <c r="A1368" t="str">
        <f>IF(Generation!$B39,"        &lt;qtimetadatafield&gt;&lt;fieldlabel&gt;ILIAS_VERSION&lt;/fieldlabel&gt;&lt;fieldentry&gt;8&lt;/fieldentry&gt;&lt;/qtimetadatafield&gt;","")</f>
        <v/>
      </c>
    </row>
    <row r="1369" spans="1:1" ht="18" customHeight="1">
      <c r="A1369" t="str">
        <f>IF(Generation!$B39,"        &lt;qtimetadatafield&gt;&lt;fieldlabel&gt;QUESTIONTYPE&lt;/fieldlabel&gt;&lt;fieldentry&gt;"&amp;Generation!$D39&amp;"&lt;/fieldentry&gt;&lt;/qtimetadatafield&gt;","")</f>
        <v/>
      </c>
    </row>
    <row r="1370" spans="1:1" ht="18" customHeight="1">
      <c r="A1370" t="str">
        <f>IF(Generation!$B39,"        &lt;qtimetadatafield&gt;&lt;fieldlabel&gt;AUTHOR&lt;/fieldlabel&gt;&lt;fieldentry&gt;Générateur Excel QTI&lt;/fieldentry&gt;&lt;/qtimetadatafield&gt;","")</f>
        <v/>
      </c>
    </row>
    <row r="1371" spans="1:1" ht="18" customHeight="1">
      <c r="A1371" t="str">
        <f>IF(Generation!$B39,"        &lt;qtimetadatafield&gt;&lt;fieldlabel&gt;identicalScoring&lt;/fieldlabel&gt;&lt;fieldentry&gt;1&lt;/fieldentry&gt;&lt;/qtimetadatafield&gt;","")</f>
        <v/>
      </c>
    </row>
    <row r="1372" spans="1:1" ht="18" customHeight="1">
      <c r="A1372" t="str">
        <f>IF(Generation!$B39,"      &lt;/qtimetadata&gt;","")</f>
        <v/>
      </c>
    </row>
    <row r="1373" spans="1:1" ht="18" customHeight="1">
      <c r="A1373" t="str">
        <f>IF(Generation!$B39,"    &lt;/itemmetadata&gt;","")</f>
        <v/>
      </c>
    </row>
    <row r="1374" spans="1:1" ht="18" customHeight="1">
      <c r="A1374" t="str">
        <f>IF(Generation!$B39,"    &lt;presentation label="""&amp;Generation!$F39&amp;"""&gt;","")</f>
        <v/>
      </c>
    </row>
    <row r="1375" spans="1:1" ht="18" customHeight="1">
      <c r="A1375" t="str">
        <f>IF(Generation!$B39,"      &lt;material&gt;&lt;mattext texttype=""text/html""&gt;"&amp;Generation!$G39&amp;"&lt;/mattext&gt;&lt;/material&gt;","")</f>
        <v/>
      </c>
    </row>
    <row r="1376" spans="1:1" ht="18" customHeight="1">
      <c r="A1376" t="str">
        <f>IF(Generation!$B39,"      &lt;response_lid ident=""RESPONSE"" rcardinality="""&amp;Generation!$E39&amp;"""&gt;","")</f>
        <v/>
      </c>
    </row>
    <row r="1377" spans="1:1" ht="18" customHeight="1">
      <c r="A1377" t="str">
        <f>IF(Generation!$B39,"        &lt;render_choice shuffle=""No""&gt;","")</f>
        <v/>
      </c>
    </row>
    <row r="1378" spans="1:1" ht="18" customHeight="1">
      <c r="A1378" t="str">
        <f>IF(Generation!AB39="","",Generation!AB39)</f>
        <v/>
      </c>
    </row>
    <row r="1379" spans="1:1" ht="18" customHeight="1">
      <c r="A1379" t="str">
        <f>IF(Generation!AC39="","",Generation!AC39)</f>
        <v/>
      </c>
    </row>
    <row r="1380" spans="1:1" ht="18" customHeight="1">
      <c r="A1380" t="str">
        <f>IF(Generation!AD39="","",Generation!AD39)</f>
        <v/>
      </c>
    </row>
    <row r="1381" spans="1:1" ht="18" customHeight="1">
      <c r="A1381" t="str">
        <f>IF(Generation!AE39="","",Generation!AE39)</f>
        <v/>
      </c>
    </row>
    <row r="1382" spans="1:1" ht="18" customHeight="1">
      <c r="A1382" t="str">
        <f>IF(Generation!AF39="","",Generation!AF39)</f>
        <v/>
      </c>
    </row>
    <row r="1383" spans="1:1" ht="18" customHeight="1">
      <c r="A1383" t="str">
        <f>IF(Generation!AG39="","",Generation!AG39)</f>
        <v/>
      </c>
    </row>
    <row r="1384" spans="1:1" ht="18" customHeight="1">
      <c r="A1384" t="str">
        <f>IF(Generation!AH39="","",Generation!AH39)</f>
        <v/>
      </c>
    </row>
    <row r="1385" spans="1:1" ht="18" customHeight="1">
      <c r="A1385" t="str">
        <f>IF(Generation!AI39="","",Generation!AI39)</f>
        <v/>
      </c>
    </row>
    <row r="1386" spans="1:1" ht="18" customHeight="1">
      <c r="A1386" t="str">
        <f>IF(Generation!$B39,"        &lt;/render_choice&gt;","")</f>
        <v/>
      </c>
    </row>
    <row r="1387" spans="1:1" ht="18" customHeight="1">
      <c r="A1387" t="str">
        <f>IF(Generation!$B39,"      &lt;/response_lid&gt;","")</f>
        <v/>
      </c>
    </row>
    <row r="1388" spans="1:1" ht="18" customHeight="1">
      <c r="A1388" t="str">
        <f>IF(Generation!$B39,"    &lt;/presentation&gt;","")</f>
        <v/>
      </c>
    </row>
    <row r="1389" spans="1:1" ht="18" customHeight="1">
      <c r="A1389" t="str">
        <f>IF(Generation!$B39,"    &lt;resprocessing&gt;","")</f>
        <v/>
      </c>
    </row>
    <row r="1390" spans="1:1" ht="18" customHeight="1">
      <c r="A1390" t="str">
        <f>IF(Generation!$B39,"      &lt;outcomes&gt;&lt;decvar varname=""SCORE"" vartype=""Decimal"" minvalue=""0"" maxvalue="""&amp;Generation!$H39&amp;"""/&gt;&lt;/outcomes&gt;","")</f>
        <v/>
      </c>
    </row>
    <row r="1391" spans="1:1" ht="18" customHeight="1">
      <c r="A1391" t="str">
        <f>IF(Generation!AJ39="","",Generation!AJ39)</f>
        <v/>
      </c>
    </row>
    <row r="1392" spans="1:1" ht="18" customHeight="1">
      <c r="A1392" t="str">
        <f>IF(Generation!AK39="","",Generation!AK39)</f>
        <v/>
      </c>
    </row>
    <row r="1393" spans="1:1" ht="18" customHeight="1">
      <c r="A1393" t="str">
        <f>IF(Generation!AL39="","",Generation!AL39)</f>
        <v/>
      </c>
    </row>
    <row r="1394" spans="1:1" ht="18" customHeight="1">
      <c r="A1394" t="str">
        <f>IF(Generation!AM39="","",Generation!AM39)</f>
        <v/>
      </c>
    </row>
    <row r="1395" spans="1:1" ht="18" customHeight="1">
      <c r="A1395" t="str">
        <f>IF(Generation!AN39="","",Generation!AN39)</f>
        <v/>
      </c>
    </row>
    <row r="1396" spans="1:1" ht="18" customHeight="1">
      <c r="A1396" t="str">
        <f>IF(Generation!AO39="","",Generation!AO39)</f>
        <v/>
      </c>
    </row>
    <row r="1397" spans="1:1" ht="18" customHeight="1">
      <c r="A1397" t="str">
        <f>IF(Generation!AP39="","",Generation!AP39)</f>
        <v/>
      </c>
    </row>
    <row r="1398" spans="1:1" ht="18" customHeight="1">
      <c r="A1398" t="str">
        <f>IF(Generation!AQ39="","",Generation!AQ39)</f>
        <v/>
      </c>
    </row>
    <row r="1399" spans="1:1" ht="18" customHeight="1">
      <c r="A1399" t="str">
        <f>IF(Generation!$B39,"    &lt;/resprocessing&gt;","")</f>
        <v/>
      </c>
    </row>
    <row r="1400" spans="1:1" ht="18" customHeight="1">
      <c r="A1400" t="str">
        <f>IF(Generation!$B39,"    &lt;itemfeedback ident=""response""&gt;&lt;flow_mat&gt;&lt;material&gt;&lt;mattext texttype=""text/plain""&gt;&lt;/mattext&gt;&lt;/material&gt;&lt;/flow_mat&gt;&lt;/itemfeedback&gt;","")</f>
        <v/>
      </c>
    </row>
    <row r="1401" spans="1:1" ht="18" customHeight="1">
      <c r="A1401" t="str">
        <f>IF(Generation!$B39,"  &lt;/item&gt;","")</f>
        <v/>
      </c>
    </row>
    <row r="1402" spans="1:1" ht="18" customHeight="1">
      <c r="A1402" t="str">
        <f>IF(Generation!$B39,"","")</f>
        <v/>
      </c>
    </row>
    <row r="1403" spans="1:1" ht="18" customHeight="1">
      <c r="A1403" t="str">
        <f>""</f>
        <v/>
      </c>
    </row>
    <row r="1404" spans="1:1" ht="18" customHeight="1">
      <c r="A1404" t="str">
        <f>IF(Generation!$B40,"  &lt;item ident=""il_0_qst_"&amp;TEXT(Generation!$A40,"000")&amp;""" title="""&amp;Generation!$F40&amp;"""&gt;","")</f>
        <v/>
      </c>
    </row>
    <row r="1405" spans="1:1" ht="18" customHeight="1">
      <c r="A1405" t="str">
        <f>IF(Generation!$B40,"    &lt;duration&gt;P0Y0M0DT0H1M0S&lt;/duration&gt;","")</f>
        <v/>
      </c>
    </row>
    <row r="1406" spans="1:1" ht="18" customHeight="1">
      <c r="A1406" t="str">
        <f>IF(Generation!$B40,"    &lt;itemmetadata&gt;","")</f>
        <v/>
      </c>
    </row>
    <row r="1407" spans="1:1" ht="18" customHeight="1">
      <c r="A1407" t="str">
        <f>IF(Generation!$B40,"      &lt;qtimetadata&gt;","")</f>
        <v/>
      </c>
    </row>
    <row r="1408" spans="1:1" ht="18" customHeight="1">
      <c r="A1408" t="str">
        <f>IF(Generation!$B40,"        &lt;qtimetadatafield&gt;&lt;fieldlabel&gt;ILIAS_VERSION&lt;/fieldlabel&gt;&lt;fieldentry&gt;8&lt;/fieldentry&gt;&lt;/qtimetadatafield&gt;","")</f>
        <v/>
      </c>
    </row>
    <row r="1409" spans="1:1" ht="18" customHeight="1">
      <c r="A1409" t="str">
        <f>IF(Generation!$B40,"        &lt;qtimetadatafield&gt;&lt;fieldlabel&gt;QUESTIONTYPE&lt;/fieldlabel&gt;&lt;fieldentry&gt;"&amp;Generation!$D40&amp;"&lt;/fieldentry&gt;&lt;/qtimetadatafield&gt;","")</f>
        <v/>
      </c>
    </row>
    <row r="1410" spans="1:1" ht="18" customHeight="1">
      <c r="A1410" t="str">
        <f>IF(Generation!$B40,"        &lt;qtimetadatafield&gt;&lt;fieldlabel&gt;AUTHOR&lt;/fieldlabel&gt;&lt;fieldentry&gt;Générateur Excel QTI&lt;/fieldentry&gt;&lt;/qtimetadatafield&gt;","")</f>
        <v/>
      </c>
    </row>
    <row r="1411" spans="1:1" ht="18" customHeight="1">
      <c r="A1411" t="str">
        <f>IF(Generation!$B40,"        &lt;qtimetadatafield&gt;&lt;fieldlabel&gt;identicalScoring&lt;/fieldlabel&gt;&lt;fieldentry&gt;1&lt;/fieldentry&gt;&lt;/qtimetadatafield&gt;","")</f>
        <v/>
      </c>
    </row>
    <row r="1412" spans="1:1" ht="18" customHeight="1">
      <c r="A1412" t="str">
        <f>IF(Generation!$B40,"      &lt;/qtimetadata&gt;","")</f>
        <v/>
      </c>
    </row>
    <row r="1413" spans="1:1" ht="18" customHeight="1">
      <c r="A1413" t="str">
        <f>IF(Generation!$B40,"    &lt;/itemmetadata&gt;","")</f>
        <v/>
      </c>
    </row>
    <row r="1414" spans="1:1" ht="18" customHeight="1">
      <c r="A1414" t="str">
        <f>IF(Generation!$B40,"    &lt;presentation label="""&amp;Generation!$F40&amp;"""&gt;","")</f>
        <v/>
      </c>
    </row>
    <row r="1415" spans="1:1" ht="18" customHeight="1">
      <c r="A1415" t="str">
        <f>IF(Generation!$B40,"      &lt;material&gt;&lt;mattext texttype=""text/html""&gt;"&amp;Generation!$G40&amp;"&lt;/mattext&gt;&lt;/material&gt;","")</f>
        <v/>
      </c>
    </row>
    <row r="1416" spans="1:1" ht="18" customHeight="1">
      <c r="A1416" t="str">
        <f>IF(Generation!$B40,"      &lt;response_lid ident=""RESPONSE"" rcardinality="""&amp;Generation!$E40&amp;"""&gt;","")</f>
        <v/>
      </c>
    </row>
    <row r="1417" spans="1:1" ht="18" customHeight="1">
      <c r="A1417" t="str">
        <f>IF(Generation!$B40,"        &lt;render_choice shuffle=""No""&gt;","")</f>
        <v/>
      </c>
    </row>
    <row r="1418" spans="1:1" ht="18" customHeight="1">
      <c r="A1418" t="str">
        <f>IF(Generation!AB40="","",Generation!AB40)</f>
        <v/>
      </c>
    </row>
    <row r="1419" spans="1:1" ht="18" customHeight="1">
      <c r="A1419" t="str">
        <f>IF(Generation!AC40="","",Generation!AC40)</f>
        <v/>
      </c>
    </row>
    <row r="1420" spans="1:1" ht="18" customHeight="1">
      <c r="A1420" t="str">
        <f>IF(Generation!AD40="","",Generation!AD40)</f>
        <v/>
      </c>
    </row>
    <row r="1421" spans="1:1" ht="18" customHeight="1">
      <c r="A1421" t="str">
        <f>IF(Generation!AE40="","",Generation!AE40)</f>
        <v/>
      </c>
    </row>
    <row r="1422" spans="1:1" ht="18" customHeight="1">
      <c r="A1422" t="str">
        <f>IF(Generation!AF40="","",Generation!AF40)</f>
        <v/>
      </c>
    </row>
    <row r="1423" spans="1:1" ht="18" customHeight="1">
      <c r="A1423" t="str">
        <f>IF(Generation!AG40="","",Generation!AG40)</f>
        <v/>
      </c>
    </row>
    <row r="1424" spans="1:1" ht="18" customHeight="1">
      <c r="A1424" t="str">
        <f>IF(Generation!AH40="","",Generation!AH40)</f>
        <v/>
      </c>
    </row>
    <row r="1425" spans="1:1" ht="18" customHeight="1">
      <c r="A1425" t="str">
        <f>IF(Generation!AI40="","",Generation!AI40)</f>
        <v/>
      </c>
    </row>
    <row r="1426" spans="1:1" ht="18" customHeight="1">
      <c r="A1426" t="str">
        <f>IF(Generation!$B40,"        &lt;/render_choice&gt;","")</f>
        <v/>
      </c>
    </row>
    <row r="1427" spans="1:1" ht="18" customHeight="1">
      <c r="A1427" t="str">
        <f>IF(Generation!$B40,"      &lt;/response_lid&gt;","")</f>
        <v/>
      </c>
    </row>
    <row r="1428" spans="1:1" ht="18" customHeight="1">
      <c r="A1428" t="str">
        <f>IF(Generation!$B40,"    &lt;/presentation&gt;","")</f>
        <v/>
      </c>
    </row>
    <row r="1429" spans="1:1" ht="18" customHeight="1">
      <c r="A1429" t="str">
        <f>IF(Generation!$B40,"    &lt;resprocessing&gt;","")</f>
        <v/>
      </c>
    </row>
    <row r="1430" spans="1:1" ht="18" customHeight="1">
      <c r="A1430" t="str">
        <f>IF(Generation!$B40,"      &lt;outcomes&gt;&lt;decvar varname=""SCORE"" vartype=""Decimal"" minvalue=""0"" maxvalue="""&amp;Generation!$H40&amp;"""/&gt;&lt;/outcomes&gt;","")</f>
        <v/>
      </c>
    </row>
    <row r="1431" spans="1:1" ht="18" customHeight="1">
      <c r="A1431" t="str">
        <f>IF(Generation!AJ40="","",Generation!AJ40)</f>
        <v/>
      </c>
    </row>
    <row r="1432" spans="1:1" ht="18" customHeight="1">
      <c r="A1432" t="str">
        <f>IF(Generation!AK40="","",Generation!AK40)</f>
        <v/>
      </c>
    </row>
    <row r="1433" spans="1:1" ht="18" customHeight="1">
      <c r="A1433" t="str">
        <f>IF(Generation!AL40="","",Generation!AL40)</f>
        <v/>
      </c>
    </row>
    <row r="1434" spans="1:1" ht="18" customHeight="1">
      <c r="A1434" t="str">
        <f>IF(Generation!AM40="","",Generation!AM40)</f>
        <v/>
      </c>
    </row>
    <row r="1435" spans="1:1" ht="18" customHeight="1">
      <c r="A1435" t="str">
        <f>IF(Generation!AN40="","",Generation!AN40)</f>
        <v/>
      </c>
    </row>
    <row r="1436" spans="1:1" ht="18" customHeight="1">
      <c r="A1436" t="str">
        <f>IF(Generation!AO40="","",Generation!AO40)</f>
        <v/>
      </c>
    </row>
    <row r="1437" spans="1:1" ht="18" customHeight="1">
      <c r="A1437" t="str">
        <f>IF(Generation!AP40="","",Generation!AP40)</f>
        <v/>
      </c>
    </row>
    <row r="1438" spans="1:1" ht="18" customHeight="1">
      <c r="A1438" t="str">
        <f>IF(Generation!AQ40="","",Generation!AQ40)</f>
        <v/>
      </c>
    </row>
    <row r="1439" spans="1:1" ht="18" customHeight="1">
      <c r="A1439" t="str">
        <f>IF(Generation!$B40,"    &lt;/resprocessing&gt;","")</f>
        <v/>
      </c>
    </row>
    <row r="1440" spans="1:1" ht="18" customHeight="1">
      <c r="A1440" t="str">
        <f>IF(Generation!$B40,"    &lt;itemfeedback ident=""response""&gt;&lt;flow_mat&gt;&lt;material&gt;&lt;mattext texttype=""text/plain""&gt;&lt;/mattext&gt;&lt;/material&gt;&lt;/flow_mat&gt;&lt;/itemfeedback&gt;","")</f>
        <v/>
      </c>
    </row>
    <row r="1441" spans="1:1" ht="18" customHeight="1">
      <c r="A1441" t="str">
        <f>IF(Generation!$B40,"  &lt;/item&gt;","")</f>
        <v/>
      </c>
    </row>
    <row r="1442" spans="1:1" ht="18" customHeight="1">
      <c r="A1442" t="str">
        <f>IF(Generation!$B40,"","")</f>
        <v/>
      </c>
    </row>
    <row r="1443" spans="1:1" ht="18" customHeight="1">
      <c r="A1443" t="str">
        <f>""</f>
        <v/>
      </c>
    </row>
    <row r="1444" spans="1:1" ht="18" customHeight="1">
      <c r="A1444" t="str">
        <f>IF(Generation!$B41,"  &lt;item ident=""il_0_qst_"&amp;TEXT(Generation!$A41,"000")&amp;""" title="""&amp;Generation!$F41&amp;"""&gt;","")</f>
        <v/>
      </c>
    </row>
    <row r="1445" spans="1:1" ht="18" customHeight="1">
      <c r="A1445" t="str">
        <f>IF(Generation!$B41,"    &lt;duration&gt;P0Y0M0DT0H1M0S&lt;/duration&gt;","")</f>
        <v/>
      </c>
    </row>
    <row r="1446" spans="1:1" ht="18" customHeight="1">
      <c r="A1446" t="str">
        <f>IF(Generation!$B41,"    &lt;itemmetadata&gt;","")</f>
        <v/>
      </c>
    </row>
    <row r="1447" spans="1:1" ht="18" customHeight="1">
      <c r="A1447" t="str">
        <f>IF(Generation!$B41,"      &lt;qtimetadata&gt;","")</f>
        <v/>
      </c>
    </row>
    <row r="1448" spans="1:1" ht="18" customHeight="1">
      <c r="A1448" t="str">
        <f>IF(Generation!$B41,"        &lt;qtimetadatafield&gt;&lt;fieldlabel&gt;ILIAS_VERSION&lt;/fieldlabel&gt;&lt;fieldentry&gt;8&lt;/fieldentry&gt;&lt;/qtimetadatafield&gt;","")</f>
        <v/>
      </c>
    </row>
    <row r="1449" spans="1:1" ht="18" customHeight="1">
      <c r="A1449" t="str">
        <f>IF(Generation!$B41,"        &lt;qtimetadatafield&gt;&lt;fieldlabel&gt;QUESTIONTYPE&lt;/fieldlabel&gt;&lt;fieldentry&gt;"&amp;Generation!$D41&amp;"&lt;/fieldentry&gt;&lt;/qtimetadatafield&gt;","")</f>
        <v/>
      </c>
    </row>
    <row r="1450" spans="1:1" ht="18" customHeight="1">
      <c r="A1450" t="str">
        <f>IF(Generation!$B41,"        &lt;qtimetadatafield&gt;&lt;fieldlabel&gt;AUTHOR&lt;/fieldlabel&gt;&lt;fieldentry&gt;Générateur Excel QTI&lt;/fieldentry&gt;&lt;/qtimetadatafield&gt;","")</f>
        <v/>
      </c>
    </row>
    <row r="1451" spans="1:1" ht="18" customHeight="1">
      <c r="A1451" t="str">
        <f>IF(Generation!$B41,"        &lt;qtimetadatafield&gt;&lt;fieldlabel&gt;identicalScoring&lt;/fieldlabel&gt;&lt;fieldentry&gt;1&lt;/fieldentry&gt;&lt;/qtimetadatafield&gt;","")</f>
        <v/>
      </c>
    </row>
    <row r="1452" spans="1:1" ht="18" customHeight="1">
      <c r="A1452" t="str">
        <f>IF(Generation!$B41,"      &lt;/qtimetadata&gt;","")</f>
        <v/>
      </c>
    </row>
    <row r="1453" spans="1:1" ht="18" customHeight="1">
      <c r="A1453" t="str">
        <f>IF(Generation!$B41,"    &lt;/itemmetadata&gt;","")</f>
        <v/>
      </c>
    </row>
    <row r="1454" spans="1:1" ht="18" customHeight="1">
      <c r="A1454" t="str">
        <f>IF(Generation!$B41,"    &lt;presentation label="""&amp;Generation!$F41&amp;"""&gt;","")</f>
        <v/>
      </c>
    </row>
    <row r="1455" spans="1:1" ht="18" customHeight="1">
      <c r="A1455" t="str">
        <f>IF(Generation!$B41,"      &lt;material&gt;&lt;mattext texttype=""text/html""&gt;"&amp;Generation!$G41&amp;"&lt;/mattext&gt;&lt;/material&gt;","")</f>
        <v/>
      </c>
    </row>
    <row r="1456" spans="1:1" ht="18" customHeight="1">
      <c r="A1456" t="str">
        <f>IF(Generation!$B41,"      &lt;response_lid ident=""RESPONSE"" rcardinality="""&amp;Generation!$E41&amp;"""&gt;","")</f>
        <v/>
      </c>
    </row>
    <row r="1457" spans="1:1" ht="18" customHeight="1">
      <c r="A1457" t="str">
        <f>IF(Generation!$B41,"        &lt;render_choice shuffle=""No""&gt;","")</f>
        <v/>
      </c>
    </row>
    <row r="1458" spans="1:1" ht="18" customHeight="1">
      <c r="A1458" t="str">
        <f>IF(Generation!AB41="","",Generation!AB41)</f>
        <v/>
      </c>
    </row>
    <row r="1459" spans="1:1" ht="18" customHeight="1">
      <c r="A1459" t="str">
        <f>IF(Generation!AC41="","",Generation!AC41)</f>
        <v/>
      </c>
    </row>
    <row r="1460" spans="1:1" ht="18" customHeight="1">
      <c r="A1460" t="str">
        <f>IF(Generation!AD41="","",Generation!AD41)</f>
        <v/>
      </c>
    </row>
    <row r="1461" spans="1:1" ht="18" customHeight="1">
      <c r="A1461" t="str">
        <f>IF(Generation!AE41="","",Generation!AE41)</f>
        <v/>
      </c>
    </row>
    <row r="1462" spans="1:1" ht="18" customHeight="1">
      <c r="A1462" t="str">
        <f>IF(Generation!AF41="","",Generation!AF41)</f>
        <v/>
      </c>
    </row>
    <row r="1463" spans="1:1" ht="18" customHeight="1">
      <c r="A1463" t="str">
        <f>IF(Generation!AG41="","",Generation!AG41)</f>
        <v/>
      </c>
    </row>
    <row r="1464" spans="1:1" ht="18" customHeight="1">
      <c r="A1464" t="str">
        <f>IF(Generation!AH41="","",Generation!AH41)</f>
        <v/>
      </c>
    </row>
    <row r="1465" spans="1:1" ht="18" customHeight="1">
      <c r="A1465" t="str">
        <f>IF(Generation!AI41="","",Generation!AI41)</f>
        <v/>
      </c>
    </row>
    <row r="1466" spans="1:1" ht="18" customHeight="1">
      <c r="A1466" t="str">
        <f>IF(Generation!$B41,"        &lt;/render_choice&gt;","")</f>
        <v/>
      </c>
    </row>
    <row r="1467" spans="1:1" ht="18" customHeight="1">
      <c r="A1467" t="str">
        <f>IF(Generation!$B41,"      &lt;/response_lid&gt;","")</f>
        <v/>
      </c>
    </row>
    <row r="1468" spans="1:1" ht="18" customHeight="1">
      <c r="A1468" t="str">
        <f>IF(Generation!$B41,"    &lt;/presentation&gt;","")</f>
        <v/>
      </c>
    </row>
    <row r="1469" spans="1:1" ht="18" customHeight="1">
      <c r="A1469" t="str">
        <f>IF(Generation!$B41,"    &lt;resprocessing&gt;","")</f>
        <v/>
      </c>
    </row>
    <row r="1470" spans="1:1" ht="18" customHeight="1">
      <c r="A1470" t="str">
        <f>IF(Generation!$B41,"      &lt;outcomes&gt;&lt;decvar varname=""SCORE"" vartype=""Decimal"" minvalue=""0"" maxvalue="""&amp;Generation!$H41&amp;"""/&gt;&lt;/outcomes&gt;","")</f>
        <v/>
      </c>
    </row>
    <row r="1471" spans="1:1" ht="18" customHeight="1">
      <c r="A1471" t="str">
        <f>IF(Generation!AJ41="","",Generation!AJ41)</f>
        <v/>
      </c>
    </row>
    <row r="1472" spans="1:1" ht="18" customHeight="1">
      <c r="A1472" t="str">
        <f>IF(Generation!AK41="","",Generation!AK41)</f>
        <v/>
      </c>
    </row>
    <row r="1473" spans="1:1" ht="18" customHeight="1">
      <c r="A1473" t="str">
        <f>IF(Generation!AL41="","",Generation!AL41)</f>
        <v/>
      </c>
    </row>
    <row r="1474" spans="1:1" ht="18" customHeight="1">
      <c r="A1474" t="str">
        <f>IF(Generation!AM41="","",Generation!AM41)</f>
        <v/>
      </c>
    </row>
    <row r="1475" spans="1:1" ht="18" customHeight="1">
      <c r="A1475" t="str">
        <f>IF(Generation!AN41="","",Generation!AN41)</f>
        <v/>
      </c>
    </row>
    <row r="1476" spans="1:1" ht="18" customHeight="1">
      <c r="A1476" t="str">
        <f>IF(Generation!AO41="","",Generation!AO41)</f>
        <v/>
      </c>
    </row>
    <row r="1477" spans="1:1" ht="18" customHeight="1">
      <c r="A1477" t="str">
        <f>IF(Generation!AP41="","",Generation!AP41)</f>
        <v/>
      </c>
    </row>
    <row r="1478" spans="1:1" ht="18" customHeight="1">
      <c r="A1478" t="str">
        <f>IF(Generation!AQ41="","",Generation!AQ41)</f>
        <v/>
      </c>
    </row>
    <row r="1479" spans="1:1" ht="18" customHeight="1">
      <c r="A1479" t="str">
        <f>IF(Generation!$B41,"    &lt;/resprocessing&gt;","")</f>
        <v/>
      </c>
    </row>
    <row r="1480" spans="1:1" ht="18" customHeight="1">
      <c r="A1480" t="str">
        <f>IF(Generation!$B41,"    &lt;itemfeedback ident=""response""&gt;&lt;flow_mat&gt;&lt;material&gt;&lt;mattext texttype=""text/plain""&gt;&lt;/mattext&gt;&lt;/material&gt;&lt;/flow_mat&gt;&lt;/itemfeedback&gt;","")</f>
        <v/>
      </c>
    </row>
    <row r="1481" spans="1:1" ht="18" customHeight="1">
      <c r="A1481" t="str">
        <f>IF(Generation!$B41,"  &lt;/item&gt;","")</f>
        <v/>
      </c>
    </row>
    <row r="1482" spans="1:1" ht="18" customHeight="1">
      <c r="A1482" t="str">
        <f>IF(Generation!$B41,"","")</f>
        <v/>
      </c>
    </row>
    <row r="1483" spans="1:1" ht="18" customHeight="1">
      <c r="A1483" t="str">
        <f>""</f>
        <v/>
      </c>
    </row>
    <row r="1484" spans="1:1" ht="18" customHeight="1">
      <c r="A1484" t="str">
        <f>IF(Generation!$B42,"  &lt;item ident=""il_0_qst_"&amp;TEXT(Generation!$A42,"000")&amp;""" title="""&amp;Generation!$F42&amp;"""&gt;","")</f>
        <v/>
      </c>
    </row>
    <row r="1485" spans="1:1" ht="18" customHeight="1">
      <c r="A1485" t="str">
        <f>IF(Generation!$B42,"    &lt;duration&gt;P0Y0M0DT0H1M0S&lt;/duration&gt;","")</f>
        <v/>
      </c>
    </row>
    <row r="1486" spans="1:1" ht="18" customHeight="1">
      <c r="A1486" t="str">
        <f>IF(Generation!$B42,"    &lt;itemmetadata&gt;","")</f>
        <v/>
      </c>
    </row>
    <row r="1487" spans="1:1" ht="18" customHeight="1">
      <c r="A1487" t="str">
        <f>IF(Generation!$B42,"      &lt;qtimetadata&gt;","")</f>
        <v/>
      </c>
    </row>
    <row r="1488" spans="1:1" ht="18" customHeight="1">
      <c r="A1488" t="str">
        <f>IF(Generation!$B42,"        &lt;qtimetadatafield&gt;&lt;fieldlabel&gt;ILIAS_VERSION&lt;/fieldlabel&gt;&lt;fieldentry&gt;8&lt;/fieldentry&gt;&lt;/qtimetadatafield&gt;","")</f>
        <v/>
      </c>
    </row>
    <row r="1489" spans="1:1" ht="18" customHeight="1">
      <c r="A1489" t="str">
        <f>IF(Generation!$B42,"        &lt;qtimetadatafield&gt;&lt;fieldlabel&gt;QUESTIONTYPE&lt;/fieldlabel&gt;&lt;fieldentry&gt;"&amp;Generation!$D42&amp;"&lt;/fieldentry&gt;&lt;/qtimetadatafield&gt;","")</f>
        <v/>
      </c>
    </row>
    <row r="1490" spans="1:1" ht="18" customHeight="1">
      <c r="A1490" t="str">
        <f>IF(Generation!$B42,"        &lt;qtimetadatafield&gt;&lt;fieldlabel&gt;AUTHOR&lt;/fieldlabel&gt;&lt;fieldentry&gt;Générateur Excel QTI&lt;/fieldentry&gt;&lt;/qtimetadatafield&gt;","")</f>
        <v/>
      </c>
    </row>
    <row r="1491" spans="1:1" ht="18" customHeight="1">
      <c r="A1491" t="str">
        <f>IF(Generation!$B42,"        &lt;qtimetadatafield&gt;&lt;fieldlabel&gt;identicalScoring&lt;/fieldlabel&gt;&lt;fieldentry&gt;1&lt;/fieldentry&gt;&lt;/qtimetadatafield&gt;","")</f>
        <v/>
      </c>
    </row>
    <row r="1492" spans="1:1" ht="18" customHeight="1">
      <c r="A1492" t="str">
        <f>IF(Generation!$B42,"      &lt;/qtimetadata&gt;","")</f>
        <v/>
      </c>
    </row>
    <row r="1493" spans="1:1" ht="18" customHeight="1">
      <c r="A1493" t="str">
        <f>IF(Generation!$B42,"    &lt;/itemmetadata&gt;","")</f>
        <v/>
      </c>
    </row>
    <row r="1494" spans="1:1" ht="18" customHeight="1">
      <c r="A1494" t="str">
        <f>IF(Generation!$B42,"    &lt;presentation label="""&amp;Generation!$F42&amp;"""&gt;","")</f>
        <v/>
      </c>
    </row>
    <row r="1495" spans="1:1" ht="18" customHeight="1">
      <c r="A1495" t="str">
        <f>IF(Generation!$B42,"      &lt;material&gt;&lt;mattext texttype=""text/html""&gt;"&amp;Generation!$G42&amp;"&lt;/mattext&gt;&lt;/material&gt;","")</f>
        <v/>
      </c>
    </row>
    <row r="1496" spans="1:1" ht="18" customHeight="1">
      <c r="A1496" t="str">
        <f>IF(Generation!$B42,"      &lt;response_lid ident=""RESPONSE"" rcardinality="""&amp;Generation!$E42&amp;"""&gt;","")</f>
        <v/>
      </c>
    </row>
    <row r="1497" spans="1:1" ht="18" customHeight="1">
      <c r="A1497" t="str">
        <f>IF(Generation!$B42,"        &lt;render_choice shuffle=""No""&gt;","")</f>
        <v/>
      </c>
    </row>
    <row r="1498" spans="1:1" ht="18" customHeight="1">
      <c r="A1498" t="str">
        <f>IF(Generation!AB42="","",Generation!AB42)</f>
        <v/>
      </c>
    </row>
    <row r="1499" spans="1:1" ht="18" customHeight="1">
      <c r="A1499" t="str">
        <f>IF(Generation!AC42="","",Generation!AC42)</f>
        <v/>
      </c>
    </row>
    <row r="1500" spans="1:1" ht="18" customHeight="1">
      <c r="A1500" t="str">
        <f>IF(Generation!AD42="","",Generation!AD42)</f>
        <v/>
      </c>
    </row>
    <row r="1501" spans="1:1" ht="18" customHeight="1">
      <c r="A1501" t="str">
        <f>IF(Generation!AE42="","",Generation!AE42)</f>
        <v/>
      </c>
    </row>
    <row r="1502" spans="1:1" ht="18" customHeight="1">
      <c r="A1502" t="str">
        <f>IF(Generation!AF42="","",Generation!AF42)</f>
        <v/>
      </c>
    </row>
    <row r="1503" spans="1:1" ht="18" customHeight="1">
      <c r="A1503" t="str">
        <f>IF(Generation!AG42="","",Generation!AG42)</f>
        <v/>
      </c>
    </row>
    <row r="1504" spans="1:1" ht="18" customHeight="1">
      <c r="A1504" t="str">
        <f>IF(Generation!AH42="","",Generation!AH42)</f>
        <v/>
      </c>
    </row>
    <row r="1505" spans="1:1" ht="18" customHeight="1">
      <c r="A1505" t="str">
        <f>IF(Generation!AI42="","",Generation!AI42)</f>
        <v/>
      </c>
    </row>
    <row r="1506" spans="1:1" ht="18" customHeight="1">
      <c r="A1506" t="str">
        <f>IF(Generation!$B42,"        &lt;/render_choice&gt;","")</f>
        <v/>
      </c>
    </row>
    <row r="1507" spans="1:1" ht="18" customHeight="1">
      <c r="A1507" t="str">
        <f>IF(Generation!$B42,"      &lt;/response_lid&gt;","")</f>
        <v/>
      </c>
    </row>
    <row r="1508" spans="1:1" ht="18" customHeight="1">
      <c r="A1508" t="str">
        <f>IF(Generation!$B42,"    &lt;/presentation&gt;","")</f>
        <v/>
      </c>
    </row>
    <row r="1509" spans="1:1" ht="18" customHeight="1">
      <c r="A1509" t="str">
        <f>IF(Generation!$B42,"    &lt;resprocessing&gt;","")</f>
        <v/>
      </c>
    </row>
    <row r="1510" spans="1:1" ht="18" customHeight="1">
      <c r="A1510" t="str">
        <f>IF(Generation!$B42,"      &lt;outcomes&gt;&lt;decvar varname=""SCORE"" vartype=""Decimal"" minvalue=""0"" maxvalue="""&amp;Generation!$H42&amp;"""/&gt;&lt;/outcomes&gt;","")</f>
        <v/>
      </c>
    </row>
    <row r="1511" spans="1:1" ht="18" customHeight="1">
      <c r="A1511" t="str">
        <f>IF(Generation!AJ42="","",Generation!AJ42)</f>
        <v/>
      </c>
    </row>
    <row r="1512" spans="1:1" ht="18" customHeight="1">
      <c r="A1512" t="str">
        <f>IF(Generation!AK42="","",Generation!AK42)</f>
        <v/>
      </c>
    </row>
    <row r="1513" spans="1:1" ht="18" customHeight="1">
      <c r="A1513" t="str">
        <f>IF(Generation!AL42="","",Generation!AL42)</f>
        <v/>
      </c>
    </row>
    <row r="1514" spans="1:1" ht="18" customHeight="1">
      <c r="A1514" t="str">
        <f>IF(Generation!AM42="","",Generation!AM42)</f>
        <v/>
      </c>
    </row>
    <row r="1515" spans="1:1" ht="18" customHeight="1">
      <c r="A1515" t="str">
        <f>IF(Generation!AN42="","",Generation!AN42)</f>
        <v/>
      </c>
    </row>
    <row r="1516" spans="1:1" ht="18" customHeight="1">
      <c r="A1516" t="str">
        <f>IF(Generation!AO42="","",Generation!AO42)</f>
        <v/>
      </c>
    </row>
    <row r="1517" spans="1:1" ht="18" customHeight="1">
      <c r="A1517" t="str">
        <f>IF(Generation!AP42="","",Generation!AP42)</f>
        <v/>
      </c>
    </row>
    <row r="1518" spans="1:1" ht="18" customHeight="1">
      <c r="A1518" t="str">
        <f>IF(Generation!AQ42="","",Generation!AQ42)</f>
        <v/>
      </c>
    </row>
    <row r="1519" spans="1:1" ht="18" customHeight="1">
      <c r="A1519" t="str">
        <f>IF(Generation!$B42,"    &lt;/resprocessing&gt;","")</f>
        <v/>
      </c>
    </row>
    <row r="1520" spans="1:1" ht="18" customHeight="1">
      <c r="A1520" t="str">
        <f>IF(Generation!$B42,"    &lt;itemfeedback ident=""response""&gt;&lt;flow_mat&gt;&lt;material&gt;&lt;mattext texttype=""text/plain""&gt;&lt;/mattext&gt;&lt;/material&gt;&lt;/flow_mat&gt;&lt;/itemfeedback&gt;","")</f>
        <v/>
      </c>
    </row>
    <row r="1521" spans="1:1" ht="18" customHeight="1">
      <c r="A1521" t="str">
        <f>IF(Generation!$B42,"  &lt;/item&gt;","")</f>
        <v/>
      </c>
    </row>
    <row r="1522" spans="1:1" ht="18" customHeight="1">
      <c r="A1522" t="str">
        <f>IF(Generation!$B42,"","")</f>
        <v/>
      </c>
    </row>
    <row r="1523" spans="1:1" ht="18" customHeight="1">
      <c r="A1523" t="str">
        <f>""</f>
        <v/>
      </c>
    </row>
    <row r="1524" spans="1:1" ht="18" customHeight="1">
      <c r="A1524" t="str">
        <f>IF(Generation!$B43,"  &lt;item ident=""il_0_qst_"&amp;TEXT(Generation!$A43,"000")&amp;""" title="""&amp;Generation!$F43&amp;"""&gt;","")</f>
        <v/>
      </c>
    </row>
    <row r="1525" spans="1:1" ht="18" customHeight="1">
      <c r="A1525" t="str">
        <f>IF(Generation!$B43,"    &lt;duration&gt;P0Y0M0DT0H1M0S&lt;/duration&gt;","")</f>
        <v/>
      </c>
    </row>
    <row r="1526" spans="1:1" ht="18" customHeight="1">
      <c r="A1526" t="str">
        <f>IF(Generation!$B43,"    &lt;itemmetadata&gt;","")</f>
        <v/>
      </c>
    </row>
    <row r="1527" spans="1:1" ht="18" customHeight="1">
      <c r="A1527" t="str">
        <f>IF(Generation!$B43,"      &lt;qtimetadata&gt;","")</f>
        <v/>
      </c>
    </row>
    <row r="1528" spans="1:1" ht="18" customHeight="1">
      <c r="A1528" t="str">
        <f>IF(Generation!$B43,"        &lt;qtimetadatafield&gt;&lt;fieldlabel&gt;ILIAS_VERSION&lt;/fieldlabel&gt;&lt;fieldentry&gt;8&lt;/fieldentry&gt;&lt;/qtimetadatafield&gt;","")</f>
        <v/>
      </c>
    </row>
    <row r="1529" spans="1:1" ht="18" customHeight="1">
      <c r="A1529" t="str">
        <f>IF(Generation!$B43,"        &lt;qtimetadatafield&gt;&lt;fieldlabel&gt;QUESTIONTYPE&lt;/fieldlabel&gt;&lt;fieldentry&gt;"&amp;Generation!$D43&amp;"&lt;/fieldentry&gt;&lt;/qtimetadatafield&gt;","")</f>
        <v/>
      </c>
    </row>
    <row r="1530" spans="1:1" ht="18" customHeight="1">
      <c r="A1530" t="str">
        <f>IF(Generation!$B43,"        &lt;qtimetadatafield&gt;&lt;fieldlabel&gt;AUTHOR&lt;/fieldlabel&gt;&lt;fieldentry&gt;Générateur Excel QTI&lt;/fieldentry&gt;&lt;/qtimetadatafield&gt;","")</f>
        <v/>
      </c>
    </row>
    <row r="1531" spans="1:1" ht="18" customHeight="1">
      <c r="A1531" t="str">
        <f>IF(Generation!$B43,"        &lt;qtimetadatafield&gt;&lt;fieldlabel&gt;identicalScoring&lt;/fieldlabel&gt;&lt;fieldentry&gt;1&lt;/fieldentry&gt;&lt;/qtimetadatafield&gt;","")</f>
        <v/>
      </c>
    </row>
    <row r="1532" spans="1:1" ht="18" customHeight="1">
      <c r="A1532" t="str">
        <f>IF(Generation!$B43,"      &lt;/qtimetadata&gt;","")</f>
        <v/>
      </c>
    </row>
    <row r="1533" spans="1:1" ht="18" customHeight="1">
      <c r="A1533" t="str">
        <f>IF(Generation!$B43,"    &lt;/itemmetadata&gt;","")</f>
        <v/>
      </c>
    </row>
    <row r="1534" spans="1:1" ht="18" customHeight="1">
      <c r="A1534" t="str">
        <f>IF(Generation!$B43,"    &lt;presentation label="""&amp;Generation!$F43&amp;"""&gt;","")</f>
        <v/>
      </c>
    </row>
    <row r="1535" spans="1:1" ht="18" customHeight="1">
      <c r="A1535" t="str">
        <f>IF(Generation!$B43,"      &lt;material&gt;&lt;mattext texttype=""text/html""&gt;"&amp;Generation!$G43&amp;"&lt;/mattext&gt;&lt;/material&gt;","")</f>
        <v/>
      </c>
    </row>
    <row r="1536" spans="1:1" ht="18" customHeight="1">
      <c r="A1536" t="str">
        <f>IF(Generation!$B43,"      &lt;response_lid ident=""RESPONSE"" rcardinality="""&amp;Generation!$E43&amp;"""&gt;","")</f>
        <v/>
      </c>
    </row>
    <row r="1537" spans="1:1" ht="18" customHeight="1">
      <c r="A1537" t="str">
        <f>IF(Generation!$B43,"        &lt;render_choice shuffle=""No""&gt;","")</f>
        <v/>
      </c>
    </row>
    <row r="1538" spans="1:1" ht="18" customHeight="1">
      <c r="A1538" t="str">
        <f>IF(Generation!AB43="","",Generation!AB43)</f>
        <v/>
      </c>
    </row>
    <row r="1539" spans="1:1" ht="18" customHeight="1">
      <c r="A1539" t="str">
        <f>IF(Generation!AC43="","",Generation!AC43)</f>
        <v/>
      </c>
    </row>
    <row r="1540" spans="1:1" ht="18" customHeight="1">
      <c r="A1540" t="str">
        <f>IF(Generation!AD43="","",Generation!AD43)</f>
        <v/>
      </c>
    </row>
    <row r="1541" spans="1:1" ht="18" customHeight="1">
      <c r="A1541" t="str">
        <f>IF(Generation!AE43="","",Generation!AE43)</f>
        <v/>
      </c>
    </row>
    <row r="1542" spans="1:1" ht="18" customHeight="1">
      <c r="A1542" t="str">
        <f>IF(Generation!AF43="","",Generation!AF43)</f>
        <v/>
      </c>
    </row>
    <row r="1543" spans="1:1" ht="18" customHeight="1">
      <c r="A1543" t="str">
        <f>IF(Generation!AG43="","",Generation!AG43)</f>
        <v/>
      </c>
    </row>
    <row r="1544" spans="1:1" ht="18" customHeight="1">
      <c r="A1544" t="str">
        <f>IF(Generation!AH43="","",Generation!AH43)</f>
        <v/>
      </c>
    </row>
    <row r="1545" spans="1:1" ht="18" customHeight="1">
      <c r="A1545" t="str">
        <f>IF(Generation!AI43="","",Generation!AI43)</f>
        <v/>
      </c>
    </row>
    <row r="1546" spans="1:1" ht="18" customHeight="1">
      <c r="A1546" t="str">
        <f>IF(Generation!$B43,"        &lt;/render_choice&gt;","")</f>
        <v/>
      </c>
    </row>
    <row r="1547" spans="1:1" ht="18" customHeight="1">
      <c r="A1547" t="str">
        <f>IF(Generation!$B43,"      &lt;/response_lid&gt;","")</f>
        <v/>
      </c>
    </row>
    <row r="1548" spans="1:1" ht="18" customHeight="1">
      <c r="A1548" t="str">
        <f>IF(Generation!$B43,"    &lt;/presentation&gt;","")</f>
        <v/>
      </c>
    </row>
    <row r="1549" spans="1:1" ht="18" customHeight="1">
      <c r="A1549" t="str">
        <f>IF(Generation!$B43,"    &lt;resprocessing&gt;","")</f>
        <v/>
      </c>
    </row>
    <row r="1550" spans="1:1" ht="18" customHeight="1">
      <c r="A1550" t="str">
        <f>IF(Generation!$B43,"      &lt;outcomes&gt;&lt;decvar varname=""SCORE"" vartype=""Decimal"" minvalue=""0"" maxvalue="""&amp;Generation!$H43&amp;"""/&gt;&lt;/outcomes&gt;","")</f>
        <v/>
      </c>
    </row>
    <row r="1551" spans="1:1" ht="18" customHeight="1">
      <c r="A1551" t="str">
        <f>IF(Generation!AJ43="","",Generation!AJ43)</f>
        <v/>
      </c>
    </row>
    <row r="1552" spans="1:1" ht="18" customHeight="1">
      <c r="A1552" t="str">
        <f>IF(Generation!AK43="","",Generation!AK43)</f>
        <v/>
      </c>
    </row>
    <row r="1553" spans="1:1" ht="18" customHeight="1">
      <c r="A1553" t="str">
        <f>IF(Generation!AL43="","",Generation!AL43)</f>
        <v/>
      </c>
    </row>
    <row r="1554" spans="1:1" ht="18" customHeight="1">
      <c r="A1554" t="str">
        <f>IF(Generation!AM43="","",Generation!AM43)</f>
        <v/>
      </c>
    </row>
    <row r="1555" spans="1:1" ht="18" customHeight="1">
      <c r="A1555" t="str">
        <f>IF(Generation!AN43="","",Generation!AN43)</f>
        <v/>
      </c>
    </row>
    <row r="1556" spans="1:1" ht="18" customHeight="1">
      <c r="A1556" t="str">
        <f>IF(Generation!AO43="","",Generation!AO43)</f>
        <v/>
      </c>
    </row>
    <row r="1557" spans="1:1" ht="18" customHeight="1">
      <c r="A1557" t="str">
        <f>IF(Generation!AP43="","",Generation!AP43)</f>
        <v/>
      </c>
    </row>
    <row r="1558" spans="1:1" ht="18" customHeight="1">
      <c r="A1558" t="str">
        <f>IF(Generation!AQ43="","",Generation!AQ43)</f>
        <v/>
      </c>
    </row>
    <row r="1559" spans="1:1" ht="18" customHeight="1">
      <c r="A1559" t="str">
        <f>IF(Generation!$B43,"    &lt;/resprocessing&gt;","")</f>
        <v/>
      </c>
    </row>
    <row r="1560" spans="1:1" ht="18" customHeight="1">
      <c r="A1560" t="str">
        <f>IF(Generation!$B43,"    &lt;itemfeedback ident=""response""&gt;&lt;flow_mat&gt;&lt;material&gt;&lt;mattext texttype=""text/plain""&gt;&lt;/mattext&gt;&lt;/material&gt;&lt;/flow_mat&gt;&lt;/itemfeedback&gt;","")</f>
        <v/>
      </c>
    </row>
    <row r="1561" spans="1:1" ht="18" customHeight="1">
      <c r="A1561" t="str">
        <f>IF(Generation!$B43,"  &lt;/item&gt;","")</f>
        <v/>
      </c>
    </row>
    <row r="1562" spans="1:1" ht="18" customHeight="1">
      <c r="A1562" t="str">
        <f>IF(Generation!$B43,"","")</f>
        <v/>
      </c>
    </row>
    <row r="1563" spans="1:1" ht="18" customHeight="1">
      <c r="A1563" t="str">
        <f>""</f>
        <v/>
      </c>
    </row>
    <row r="1564" spans="1:1" ht="18" customHeight="1">
      <c r="A1564" t="str">
        <f>IF(Generation!$B44,"  &lt;item ident=""il_0_qst_"&amp;TEXT(Generation!$A44,"000")&amp;""" title="""&amp;Generation!$F44&amp;"""&gt;","")</f>
        <v/>
      </c>
    </row>
    <row r="1565" spans="1:1" ht="18" customHeight="1">
      <c r="A1565" t="str">
        <f>IF(Generation!$B44,"    &lt;duration&gt;P0Y0M0DT0H1M0S&lt;/duration&gt;","")</f>
        <v/>
      </c>
    </row>
    <row r="1566" spans="1:1" ht="18" customHeight="1">
      <c r="A1566" t="str">
        <f>IF(Generation!$B44,"    &lt;itemmetadata&gt;","")</f>
        <v/>
      </c>
    </row>
    <row r="1567" spans="1:1" ht="18" customHeight="1">
      <c r="A1567" t="str">
        <f>IF(Generation!$B44,"      &lt;qtimetadata&gt;","")</f>
        <v/>
      </c>
    </row>
    <row r="1568" spans="1:1" ht="18" customHeight="1">
      <c r="A1568" t="str">
        <f>IF(Generation!$B44,"        &lt;qtimetadatafield&gt;&lt;fieldlabel&gt;ILIAS_VERSION&lt;/fieldlabel&gt;&lt;fieldentry&gt;8&lt;/fieldentry&gt;&lt;/qtimetadatafield&gt;","")</f>
        <v/>
      </c>
    </row>
    <row r="1569" spans="1:1" ht="18" customHeight="1">
      <c r="A1569" t="str">
        <f>IF(Generation!$B44,"        &lt;qtimetadatafield&gt;&lt;fieldlabel&gt;QUESTIONTYPE&lt;/fieldlabel&gt;&lt;fieldentry&gt;"&amp;Generation!$D44&amp;"&lt;/fieldentry&gt;&lt;/qtimetadatafield&gt;","")</f>
        <v/>
      </c>
    </row>
    <row r="1570" spans="1:1" ht="18" customHeight="1">
      <c r="A1570" t="str">
        <f>IF(Generation!$B44,"        &lt;qtimetadatafield&gt;&lt;fieldlabel&gt;AUTHOR&lt;/fieldlabel&gt;&lt;fieldentry&gt;Générateur Excel QTI&lt;/fieldentry&gt;&lt;/qtimetadatafield&gt;","")</f>
        <v/>
      </c>
    </row>
    <row r="1571" spans="1:1" ht="18" customHeight="1">
      <c r="A1571" t="str">
        <f>IF(Generation!$B44,"        &lt;qtimetadatafield&gt;&lt;fieldlabel&gt;identicalScoring&lt;/fieldlabel&gt;&lt;fieldentry&gt;1&lt;/fieldentry&gt;&lt;/qtimetadatafield&gt;","")</f>
        <v/>
      </c>
    </row>
    <row r="1572" spans="1:1" ht="18" customHeight="1">
      <c r="A1572" t="str">
        <f>IF(Generation!$B44,"      &lt;/qtimetadata&gt;","")</f>
        <v/>
      </c>
    </row>
    <row r="1573" spans="1:1" ht="18" customHeight="1">
      <c r="A1573" t="str">
        <f>IF(Generation!$B44,"    &lt;/itemmetadata&gt;","")</f>
        <v/>
      </c>
    </row>
    <row r="1574" spans="1:1" ht="18" customHeight="1">
      <c r="A1574" t="str">
        <f>IF(Generation!$B44,"    &lt;presentation label="""&amp;Generation!$F44&amp;"""&gt;","")</f>
        <v/>
      </c>
    </row>
    <row r="1575" spans="1:1" ht="18" customHeight="1">
      <c r="A1575" t="str">
        <f>IF(Generation!$B44,"      &lt;material&gt;&lt;mattext texttype=""text/html""&gt;"&amp;Generation!$G44&amp;"&lt;/mattext&gt;&lt;/material&gt;","")</f>
        <v/>
      </c>
    </row>
    <row r="1576" spans="1:1" ht="18" customHeight="1">
      <c r="A1576" t="str">
        <f>IF(Generation!$B44,"      &lt;response_lid ident=""RESPONSE"" rcardinality="""&amp;Generation!$E44&amp;"""&gt;","")</f>
        <v/>
      </c>
    </row>
    <row r="1577" spans="1:1" ht="18" customHeight="1">
      <c r="A1577" t="str">
        <f>IF(Generation!$B44,"        &lt;render_choice shuffle=""No""&gt;","")</f>
        <v/>
      </c>
    </row>
    <row r="1578" spans="1:1" ht="18" customHeight="1">
      <c r="A1578" t="str">
        <f>IF(Generation!AB44="","",Generation!AB44)</f>
        <v/>
      </c>
    </row>
    <row r="1579" spans="1:1" ht="18" customHeight="1">
      <c r="A1579" t="str">
        <f>IF(Generation!AC44="","",Generation!AC44)</f>
        <v/>
      </c>
    </row>
    <row r="1580" spans="1:1" ht="18" customHeight="1">
      <c r="A1580" t="str">
        <f>IF(Generation!AD44="","",Generation!AD44)</f>
        <v/>
      </c>
    </row>
    <row r="1581" spans="1:1" ht="18" customHeight="1">
      <c r="A1581" t="str">
        <f>IF(Generation!AE44="","",Generation!AE44)</f>
        <v/>
      </c>
    </row>
    <row r="1582" spans="1:1" ht="18" customHeight="1">
      <c r="A1582" t="str">
        <f>IF(Generation!AF44="","",Generation!AF44)</f>
        <v/>
      </c>
    </row>
    <row r="1583" spans="1:1" ht="18" customHeight="1">
      <c r="A1583" t="str">
        <f>IF(Generation!AG44="","",Generation!AG44)</f>
        <v/>
      </c>
    </row>
    <row r="1584" spans="1:1" ht="18" customHeight="1">
      <c r="A1584" t="str">
        <f>IF(Generation!AH44="","",Generation!AH44)</f>
        <v/>
      </c>
    </row>
    <row r="1585" spans="1:1" ht="18" customHeight="1">
      <c r="A1585" t="str">
        <f>IF(Generation!AI44="","",Generation!AI44)</f>
        <v/>
      </c>
    </row>
    <row r="1586" spans="1:1" ht="18" customHeight="1">
      <c r="A1586" t="str">
        <f>IF(Generation!$B44,"        &lt;/render_choice&gt;","")</f>
        <v/>
      </c>
    </row>
    <row r="1587" spans="1:1" ht="18" customHeight="1">
      <c r="A1587" t="str">
        <f>IF(Generation!$B44,"      &lt;/response_lid&gt;","")</f>
        <v/>
      </c>
    </row>
    <row r="1588" spans="1:1" ht="18" customHeight="1">
      <c r="A1588" t="str">
        <f>IF(Generation!$B44,"    &lt;/presentation&gt;","")</f>
        <v/>
      </c>
    </row>
    <row r="1589" spans="1:1" ht="18" customHeight="1">
      <c r="A1589" t="str">
        <f>IF(Generation!$B44,"    &lt;resprocessing&gt;","")</f>
        <v/>
      </c>
    </row>
    <row r="1590" spans="1:1" ht="18" customHeight="1">
      <c r="A1590" t="str">
        <f>IF(Generation!$B44,"      &lt;outcomes&gt;&lt;decvar varname=""SCORE"" vartype=""Decimal"" minvalue=""0"" maxvalue="""&amp;Generation!$H44&amp;"""/&gt;&lt;/outcomes&gt;","")</f>
        <v/>
      </c>
    </row>
    <row r="1591" spans="1:1" ht="18" customHeight="1">
      <c r="A1591" t="str">
        <f>IF(Generation!AJ44="","",Generation!AJ44)</f>
        <v/>
      </c>
    </row>
    <row r="1592" spans="1:1" ht="18" customHeight="1">
      <c r="A1592" t="str">
        <f>IF(Generation!AK44="","",Generation!AK44)</f>
        <v/>
      </c>
    </row>
    <row r="1593" spans="1:1" ht="18" customHeight="1">
      <c r="A1593" t="str">
        <f>IF(Generation!AL44="","",Generation!AL44)</f>
        <v/>
      </c>
    </row>
    <row r="1594" spans="1:1" ht="18" customHeight="1">
      <c r="A1594" t="str">
        <f>IF(Generation!AM44="","",Generation!AM44)</f>
        <v/>
      </c>
    </row>
    <row r="1595" spans="1:1" ht="18" customHeight="1">
      <c r="A1595" t="str">
        <f>IF(Generation!AN44="","",Generation!AN44)</f>
        <v/>
      </c>
    </row>
    <row r="1596" spans="1:1" ht="18" customHeight="1">
      <c r="A1596" t="str">
        <f>IF(Generation!AO44="","",Generation!AO44)</f>
        <v/>
      </c>
    </row>
    <row r="1597" spans="1:1" ht="18" customHeight="1">
      <c r="A1597" t="str">
        <f>IF(Generation!AP44="","",Generation!AP44)</f>
        <v/>
      </c>
    </row>
    <row r="1598" spans="1:1" ht="18" customHeight="1">
      <c r="A1598" t="str">
        <f>IF(Generation!AQ44="","",Generation!AQ44)</f>
        <v/>
      </c>
    </row>
    <row r="1599" spans="1:1" ht="18" customHeight="1">
      <c r="A1599" t="str">
        <f>IF(Generation!$B44,"    &lt;/resprocessing&gt;","")</f>
        <v/>
      </c>
    </row>
    <row r="1600" spans="1:1" ht="18" customHeight="1">
      <c r="A1600" t="str">
        <f>IF(Generation!$B44,"    &lt;itemfeedback ident=""response""&gt;&lt;flow_mat&gt;&lt;material&gt;&lt;mattext texttype=""text/plain""&gt;&lt;/mattext&gt;&lt;/material&gt;&lt;/flow_mat&gt;&lt;/itemfeedback&gt;","")</f>
        <v/>
      </c>
    </row>
    <row r="1601" spans="1:1" ht="18" customHeight="1">
      <c r="A1601" t="str">
        <f>IF(Generation!$B44,"  &lt;/item&gt;","")</f>
        <v/>
      </c>
    </row>
    <row r="1602" spans="1:1" ht="18" customHeight="1">
      <c r="A1602" t="str">
        <f>IF(Generation!$B44,"","")</f>
        <v/>
      </c>
    </row>
    <row r="1603" spans="1:1" ht="18" customHeight="1">
      <c r="A1603" t="str">
        <f>""</f>
        <v/>
      </c>
    </row>
    <row r="1604" spans="1:1" ht="18" customHeight="1">
      <c r="A1604" t="str">
        <f>IF(Generation!$B45,"  &lt;item ident=""il_0_qst_"&amp;TEXT(Generation!$A45,"000")&amp;""" title="""&amp;Generation!$F45&amp;"""&gt;","")</f>
        <v/>
      </c>
    </row>
    <row r="1605" spans="1:1" ht="18" customHeight="1">
      <c r="A1605" t="str">
        <f>IF(Generation!$B45,"    &lt;duration&gt;P0Y0M0DT0H1M0S&lt;/duration&gt;","")</f>
        <v/>
      </c>
    </row>
    <row r="1606" spans="1:1" ht="18" customHeight="1">
      <c r="A1606" t="str">
        <f>IF(Generation!$B45,"    &lt;itemmetadata&gt;","")</f>
        <v/>
      </c>
    </row>
    <row r="1607" spans="1:1" ht="18" customHeight="1">
      <c r="A1607" t="str">
        <f>IF(Generation!$B45,"      &lt;qtimetadata&gt;","")</f>
        <v/>
      </c>
    </row>
    <row r="1608" spans="1:1" ht="18" customHeight="1">
      <c r="A1608" t="str">
        <f>IF(Generation!$B45,"        &lt;qtimetadatafield&gt;&lt;fieldlabel&gt;ILIAS_VERSION&lt;/fieldlabel&gt;&lt;fieldentry&gt;8&lt;/fieldentry&gt;&lt;/qtimetadatafield&gt;","")</f>
        <v/>
      </c>
    </row>
    <row r="1609" spans="1:1" ht="18" customHeight="1">
      <c r="A1609" t="str">
        <f>IF(Generation!$B45,"        &lt;qtimetadatafield&gt;&lt;fieldlabel&gt;QUESTIONTYPE&lt;/fieldlabel&gt;&lt;fieldentry&gt;"&amp;Generation!$D45&amp;"&lt;/fieldentry&gt;&lt;/qtimetadatafield&gt;","")</f>
        <v/>
      </c>
    </row>
    <row r="1610" spans="1:1" ht="18" customHeight="1">
      <c r="A1610" t="str">
        <f>IF(Generation!$B45,"        &lt;qtimetadatafield&gt;&lt;fieldlabel&gt;AUTHOR&lt;/fieldlabel&gt;&lt;fieldentry&gt;Générateur Excel QTI&lt;/fieldentry&gt;&lt;/qtimetadatafield&gt;","")</f>
        <v/>
      </c>
    </row>
    <row r="1611" spans="1:1" ht="18" customHeight="1">
      <c r="A1611" t="str">
        <f>IF(Generation!$B45,"        &lt;qtimetadatafield&gt;&lt;fieldlabel&gt;identicalScoring&lt;/fieldlabel&gt;&lt;fieldentry&gt;1&lt;/fieldentry&gt;&lt;/qtimetadatafield&gt;","")</f>
        <v/>
      </c>
    </row>
    <row r="1612" spans="1:1" ht="18" customHeight="1">
      <c r="A1612" t="str">
        <f>IF(Generation!$B45,"      &lt;/qtimetadata&gt;","")</f>
        <v/>
      </c>
    </row>
    <row r="1613" spans="1:1" ht="18" customHeight="1">
      <c r="A1613" t="str">
        <f>IF(Generation!$B45,"    &lt;/itemmetadata&gt;","")</f>
        <v/>
      </c>
    </row>
    <row r="1614" spans="1:1" ht="18" customHeight="1">
      <c r="A1614" t="str">
        <f>IF(Generation!$B45,"    &lt;presentation label="""&amp;Generation!$F45&amp;"""&gt;","")</f>
        <v/>
      </c>
    </row>
    <row r="1615" spans="1:1" ht="18" customHeight="1">
      <c r="A1615" t="str">
        <f>IF(Generation!$B45,"      &lt;material&gt;&lt;mattext texttype=""text/html""&gt;"&amp;Generation!$G45&amp;"&lt;/mattext&gt;&lt;/material&gt;","")</f>
        <v/>
      </c>
    </row>
    <row r="1616" spans="1:1" ht="18" customHeight="1">
      <c r="A1616" t="str">
        <f>IF(Generation!$B45,"      &lt;response_lid ident=""RESPONSE"" rcardinality="""&amp;Generation!$E45&amp;"""&gt;","")</f>
        <v/>
      </c>
    </row>
    <row r="1617" spans="1:1" ht="18" customHeight="1">
      <c r="A1617" t="str">
        <f>IF(Generation!$B45,"        &lt;render_choice shuffle=""No""&gt;","")</f>
        <v/>
      </c>
    </row>
    <row r="1618" spans="1:1" ht="18" customHeight="1">
      <c r="A1618" t="str">
        <f>IF(Generation!AB45="","",Generation!AB45)</f>
        <v/>
      </c>
    </row>
    <row r="1619" spans="1:1" ht="18" customHeight="1">
      <c r="A1619" t="str">
        <f>IF(Generation!AC45="","",Generation!AC45)</f>
        <v/>
      </c>
    </row>
    <row r="1620" spans="1:1" ht="18" customHeight="1">
      <c r="A1620" t="str">
        <f>IF(Generation!AD45="","",Generation!AD45)</f>
        <v/>
      </c>
    </row>
    <row r="1621" spans="1:1" ht="18" customHeight="1">
      <c r="A1621" t="str">
        <f>IF(Generation!AE45="","",Generation!AE45)</f>
        <v/>
      </c>
    </row>
    <row r="1622" spans="1:1" ht="18" customHeight="1">
      <c r="A1622" t="str">
        <f>IF(Generation!AF45="","",Generation!AF45)</f>
        <v/>
      </c>
    </row>
    <row r="1623" spans="1:1" ht="18" customHeight="1">
      <c r="A1623" t="str">
        <f>IF(Generation!AG45="","",Generation!AG45)</f>
        <v/>
      </c>
    </row>
    <row r="1624" spans="1:1" ht="18" customHeight="1">
      <c r="A1624" t="str">
        <f>IF(Generation!AH45="","",Generation!AH45)</f>
        <v/>
      </c>
    </row>
    <row r="1625" spans="1:1" ht="18" customHeight="1">
      <c r="A1625" t="str">
        <f>IF(Generation!AI45="","",Generation!AI45)</f>
        <v/>
      </c>
    </row>
    <row r="1626" spans="1:1" ht="18" customHeight="1">
      <c r="A1626" t="str">
        <f>IF(Generation!$B45,"        &lt;/render_choice&gt;","")</f>
        <v/>
      </c>
    </row>
    <row r="1627" spans="1:1" ht="18" customHeight="1">
      <c r="A1627" t="str">
        <f>IF(Generation!$B45,"      &lt;/response_lid&gt;","")</f>
        <v/>
      </c>
    </row>
    <row r="1628" spans="1:1" ht="18" customHeight="1">
      <c r="A1628" t="str">
        <f>IF(Generation!$B45,"    &lt;/presentation&gt;","")</f>
        <v/>
      </c>
    </row>
    <row r="1629" spans="1:1" ht="18" customHeight="1">
      <c r="A1629" t="str">
        <f>IF(Generation!$B45,"    &lt;resprocessing&gt;","")</f>
        <v/>
      </c>
    </row>
    <row r="1630" spans="1:1" ht="18" customHeight="1">
      <c r="A1630" t="str">
        <f>IF(Generation!$B45,"      &lt;outcomes&gt;&lt;decvar varname=""SCORE"" vartype=""Decimal"" minvalue=""0"" maxvalue="""&amp;Generation!$H45&amp;"""/&gt;&lt;/outcomes&gt;","")</f>
        <v/>
      </c>
    </row>
    <row r="1631" spans="1:1" ht="18" customHeight="1">
      <c r="A1631" t="str">
        <f>IF(Generation!AJ45="","",Generation!AJ45)</f>
        <v/>
      </c>
    </row>
    <row r="1632" spans="1:1" ht="18" customHeight="1">
      <c r="A1632" t="str">
        <f>IF(Generation!AK45="","",Generation!AK45)</f>
        <v/>
      </c>
    </row>
    <row r="1633" spans="1:1" ht="18" customHeight="1">
      <c r="A1633" t="str">
        <f>IF(Generation!AL45="","",Generation!AL45)</f>
        <v/>
      </c>
    </row>
    <row r="1634" spans="1:1" ht="18" customHeight="1">
      <c r="A1634" t="str">
        <f>IF(Generation!AM45="","",Generation!AM45)</f>
        <v/>
      </c>
    </row>
    <row r="1635" spans="1:1" ht="18" customHeight="1">
      <c r="A1635" t="str">
        <f>IF(Generation!AN45="","",Generation!AN45)</f>
        <v/>
      </c>
    </row>
    <row r="1636" spans="1:1" ht="18" customHeight="1">
      <c r="A1636" t="str">
        <f>IF(Generation!AO45="","",Generation!AO45)</f>
        <v/>
      </c>
    </row>
    <row r="1637" spans="1:1" ht="18" customHeight="1">
      <c r="A1637" t="str">
        <f>IF(Generation!AP45="","",Generation!AP45)</f>
        <v/>
      </c>
    </row>
    <row r="1638" spans="1:1" ht="18" customHeight="1">
      <c r="A1638" t="str">
        <f>IF(Generation!AQ45="","",Generation!AQ45)</f>
        <v/>
      </c>
    </row>
    <row r="1639" spans="1:1" ht="18" customHeight="1">
      <c r="A1639" t="str">
        <f>IF(Generation!$B45,"    &lt;/resprocessing&gt;","")</f>
        <v/>
      </c>
    </row>
    <row r="1640" spans="1:1" ht="18" customHeight="1">
      <c r="A1640" t="str">
        <f>IF(Generation!$B45,"    &lt;itemfeedback ident=""response""&gt;&lt;flow_mat&gt;&lt;material&gt;&lt;mattext texttype=""text/plain""&gt;&lt;/mattext&gt;&lt;/material&gt;&lt;/flow_mat&gt;&lt;/itemfeedback&gt;","")</f>
        <v/>
      </c>
    </row>
    <row r="1641" spans="1:1" ht="18" customHeight="1">
      <c r="A1641" t="str">
        <f>IF(Generation!$B45,"  &lt;/item&gt;","")</f>
        <v/>
      </c>
    </row>
    <row r="1642" spans="1:1" ht="18" customHeight="1">
      <c r="A1642" t="str">
        <f>IF(Generation!$B45,"","")</f>
        <v/>
      </c>
    </row>
    <row r="1643" spans="1:1" ht="18" customHeight="1">
      <c r="A1643" t="str">
        <f>""</f>
        <v/>
      </c>
    </row>
    <row r="1644" spans="1:1" ht="18" customHeight="1">
      <c r="A1644" t="str">
        <f>IF(Generation!$B46,"  &lt;item ident=""il_0_qst_"&amp;TEXT(Generation!$A46,"000")&amp;""" title="""&amp;Generation!$F46&amp;"""&gt;","")</f>
        <v/>
      </c>
    </row>
    <row r="1645" spans="1:1" ht="18" customHeight="1">
      <c r="A1645" t="str">
        <f>IF(Generation!$B46,"    &lt;duration&gt;P0Y0M0DT0H1M0S&lt;/duration&gt;","")</f>
        <v/>
      </c>
    </row>
    <row r="1646" spans="1:1" ht="18" customHeight="1">
      <c r="A1646" t="str">
        <f>IF(Generation!$B46,"    &lt;itemmetadata&gt;","")</f>
        <v/>
      </c>
    </row>
    <row r="1647" spans="1:1" ht="18" customHeight="1">
      <c r="A1647" t="str">
        <f>IF(Generation!$B46,"      &lt;qtimetadata&gt;","")</f>
        <v/>
      </c>
    </row>
    <row r="1648" spans="1:1" ht="18" customHeight="1">
      <c r="A1648" t="str">
        <f>IF(Generation!$B46,"        &lt;qtimetadatafield&gt;&lt;fieldlabel&gt;ILIAS_VERSION&lt;/fieldlabel&gt;&lt;fieldentry&gt;8&lt;/fieldentry&gt;&lt;/qtimetadatafield&gt;","")</f>
        <v/>
      </c>
    </row>
    <row r="1649" spans="1:1" ht="18" customHeight="1">
      <c r="A1649" t="str">
        <f>IF(Generation!$B46,"        &lt;qtimetadatafield&gt;&lt;fieldlabel&gt;QUESTIONTYPE&lt;/fieldlabel&gt;&lt;fieldentry&gt;"&amp;Generation!$D46&amp;"&lt;/fieldentry&gt;&lt;/qtimetadatafield&gt;","")</f>
        <v/>
      </c>
    </row>
    <row r="1650" spans="1:1" ht="18" customHeight="1">
      <c r="A1650" t="str">
        <f>IF(Generation!$B46,"        &lt;qtimetadatafield&gt;&lt;fieldlabel&gt;AUTHOR&lt;/fieldlabel&gt;&lt;fieldentry&gt;Générateur Excel QTI&lt;/fieldentry&gt;&lt;/qtimetadatafield&gt;","")</f>
        <v/>
      </c>
    </row>
    <row r="1651" spans="1:1" ht="18" customHeight="1">
      <c r="A1651" t="str">
        <f>IF(Generation!$B46,"        &lt;qtimetadatafield&gt;&lt;fieldlabel&gt;identicalScoring&lt;/fieldlabel&gt;&lt;fieldentry&gt;1&lt;/fieldentry&gt;&lt;/qtimetadatafield&gt;","")</f>
        <v/>
      </c>
    </row>
    <row r="1652" spans="1:1" ht="18" customHeight="1">
      <c r="A1652" t="str">
        <f>IF(Generation!$B46,"      &lt;/qtimetadata&gt;","")</f>
        <v/>
      </c>
    </row>
    <row r="1653" spans="1:1" ht="18" customHeight="1">
      <c r="A1653" t="str">
        <f>IF(Generation!$B46,"    &lt;/itemmetadata&gt;","")</f>
        <v/>
      </c>
    </row>
    <row r="1654" spans="1:1" ht="18" customHeight="1">
      <c r="A1654" t="str">
        <f>IF(Generation!$B46,"    &lt;presentation label="""&amp;Generation!$F46&amp;"""&gt;","")</f>
        <v/>
      </c>
    </row>
    <row r="1655" spans="1:1" ht="18" customHeight="1">
      <c r="A1655" t="str">
        <f>IF(Generation!$B46,"      &lt;material&gt;&lt;mattext texttype=""text/html""&gt;"&amp;Generation!$G46&amp;"&lt;/mattext&gt;&lt;/material&gt;","")</f>
        <v/>
      </c>
    </row>
    <row r="1656" spans="1:1" ht="18" customHeight="1">
      <c r="A1656" t="str">
        <f>IF(Generation!$B46,"      &lt;response_lid ident=""RESPONSE"" rcardinality="""&amp;Generation!$E46&amp;"""&gt;","")</f>
        <v/>
      </c>
    </row>
    <row r="1657" spans="1:1" ht="18" customHeight="1">
      <c r="A1657" t="str">
        <f>IF(Generation!$B46,"        &lt;render_choice shuffle=""No""&gt;","")</f>
        <v/>
      </c>
    </row>
    <row r="1658" spans="1:1" ht="18" customHeight="1">
      <c r="A1658" t="str">
        <f>IF(Generation!AB46="","",Generation!AB46)</f>
        <v/>
      </c>
    </row>
    <row r="1659" spans="1:1" ht="18" customHeight="1">
      <c r="A1659" t="str">
        <f>IF(Generation!AC46="","",Generation!AC46)</f>
        <v/>
      </c>
    </row>
    <row r="1660" spans="1:1" ht="18" customHeight="1">
      <c r="A1660" t="str">
        <f>IF(Generation!AD46="","",Generation!AD46)</f>
        <v/>
      </c>
    </row>
    <row r="1661" spans="1:1" ht="18" customHeight="1">
      <c r="A1661" t="str">
        <f>IF(Generation!AE46="","",Generation!AE46)</f>
        <v/>
      </c>
    </row>
    <row r="1662" spans="1:1" ht="18" customHeight="1">
      <c r="A1662" t="str">
        <f>IF(Generation!AF46="","",Generation!AF46)</f>
        <v/>
      </c>
    </row>
    <row r="1663" spans="1:1" ht="18" customHeight="1">
      <c r="A1663" t="str">
        <f>IF(Generation!AG46="","",Generation!AG46)</f>
        <v/>
      </c>
    </row>
    <row r="1664" spans="1:1" ht="18" customHeight="1">
      <c r="A1664" t="str">
        <f>IF(Generation!AH46="","",Generation!AH46)</f>
        <v/>
      </c>
    </row>
    <row r="1665" spans="1:1" ht="18" customHeight="1">
      <c r="A1665" t="str">
        <f>IF(Generation!AI46="","",Generation!AI46)</f>
        <v/>
      </c>
    </row>
    <row r="1666" spans="1:1" ht="18" customHeight="1">
      <c r="A1666" t="str">
        <f>IF(Generation!$B46,"        &lt;/render_choice&gt;","")</f>
        <v/>
      </c>
    </row>
    <row r="1667" spans="1:1" ht="18" customHeight="1">
      <c r="A1667" t="str">
        <f>IF(Generation!$B46,"      &lt;/response_lid&gt;","")</f>
        <v/>
      </c>
    </row>
    <row r="1668" spans="1:1" ht="18" customHeight="1">
      <c r="A1668" t="str">
        <f>IF(Generation!$B46,"    &lt;/presentation&gt;","")</f>
        <v/>
      </c>
    </row>
    <row r="1669" spans="1:1" ht="18" customHeight="1">
      <c r="A1669" t="str">
        <f>IF(Generation!$B46,"    &lt;resprocessing&gt;","")</f>
        <v/>
      </c>
    </row>
    <row r="1670" spans="1:1" ht="18" customHeight="1">
      <c r="A1670" t="str">
        <f>IF(Generation!$B46,"      &lt;outcomes&gt;&lt;decvar varname=""SCORE"" vartype=""Decimal"" minvalue=""0"" maxvalue="""&amp;Generation!$H46&amp;"""/&gt;&lt;/outcomes&gt;","")</f>
        <v/>
      </c>
    </row>
    <row r="1671" spans="1:1" ht="18" customHeight="1">
      <c r="A1671" t="str">
        <f>IF(Generation!AJ46="","",Generation!AJ46)</f>
        <v/>
      </c>
    </row>
    <row r="1672" spans="1:1" ht="18" customHeight="1">
      <c r="A1672" t="str">
        <f>IF(Generation!AK46="","",Generation!AK46)</f>
        <v/>
      </c>
    </row>
    <row r="1673" spans="1:1" ht="18" customHeight="1">
      <c r="A1673" t="str">
        <f>IF(Generation!AL46="","",Generation!AL46)</f>
        <v/>
      </c>
    </row>
    <row r="1674" spans="1:1" ht="18" customHeight="1">
      <c r="A1674" t="str">
        <f>IF(Generation!AM46="","",Generation!AM46)</f>
        <v/>
      </c>
    </row>
    <row r="1675" spans="1:1" ht="18" customHeight="1">
      <c r="A1675" t="str">
        <f>IF(Generation!AN46="","",Generation!AN46)</f>
        <v/>
      </c>
    </row>
    <row r="1676" spans="1:1" ht="18" customHeight="1">
      <c r="A1676" t="str">
        <f>IF(Generation!AO46="","",Generation!AO46)</f>
        <v/>
      </c>
    </row>
    <row r="1677" spans="1:1" ht="18" customHeight="1">
      <c r="A1677" t="str">
        <f>IF(Generation!AP46="","",Generation!AP46)</f>
        <v/>
      </c>
    </row>
    <row r="1678" spans="1:1" ht="18" customHeight="1">
      <c r="A1678" t="str">
        <f>IF(Generation!AQ46="","",Generation!AQ46)</f>
        <v/>
      </c>
    </row>
    <row r="1679" spans="1:1" ht="18" customHeight="1">
      <c r="A1679" t="str">
        <f>IF(Generation!$B46,"    &lt;/resprocessing&gt;","")</f>
        <v/>
      </c>
    </row>
    <row r="1680" spans="1:1" ht="18" customHeight="1">
      <c r="A1680" t="str">
        <f>IF(Generation!$B46,"    &lt;itemfeedback ident=""response""&gt;&lt;flow_mat&gt;&lt;material&gt;&lt;mattext texttype=""text/plain""&gt;&lt;/mattext&gt;&lt;/material&gt;&lt;/flow_mat&gt;&lt;/itemfeedback&gt;","")</f>
        <v/>
      </c>
    </row>
    <row r="1681" spans="1:1" ht="18" customHeight="1">
      <c r="A1681" t="str">
        <f>IF(Generation!$B46,"  &lt;/item&gt;","")</f>
        <v/>
      </c>
    </row>
    <row r="1682" spans="1:1" ht="18" customHeight="1">
      <c r="A1682" t="str">
        <f>IF(Generation!$B46,"","")</f>
        <v/>
      </c>
    </row>
    <row r="1683" spans="1:1" ht="18" customHeight="1">
      <c r="A1683" t="str">
        <f>""</f>
        <v/>
      </c>
    </row>
    <row r="1684" spans="1:1" ht="18" customHeight="1">
      <c r="A1684" t="str">
        <f>IF(Generation!$B47,"  &lt;item ident=""il_0_qst_"&amp;TEXT(Generation!$A47,"000")&amp;""" title="""&amp;Generation!$F47&amp;"""&gt;","")</f>
        <v/>
      </c>
    </row>
    <row r="1685" spans="1:1" ht="18" customHeight="1">
      <c r="A1685" t="str">
        <f>IF(Generation!$B47,"    &lt;duration&gt;P0Y0M0DT0H1M0S&lt;/duration&gt;","")</f>
        <v/>
      </c>
    </row>
    <row r="1686" spans="1:1" ht="18" customHeight="1">
      <c r="A1686" t="str">
        <f>IF(Generation!$B47,"    &lt;itemmetadata&gt;","")</f>
        <v/>
      </c>
    </row>
    <row r="1687" spans="1:1" ht="18" customHeight="1">
      <c r="A1687" t="str">
        <f>IF(Generation!$B47,"      &lt;qtimetadata&gt;","")</f>
        <v/>
      </c>
    </row>
    <row r="1688" spans="1:1" ht="18" customHeight="1">
      <c r="A1688" t="str">
        <f>IF(Generation!$B47,"        &lt;qtimetadatafield&gt;&lt;fieldlabel&gt;ILIAS_VERSION&lt;/fieldlabel&gt;&lt;fieldentry&gt;8&lt;/fieldentry&gt;&lt;/qtimetadatafield&gt;","")</f>
        <v/>
      </c>
    </row>
    <row r="1689" spans="1:1" ht="18" customHeight="1">
      <c r="A1689" t="str">
        <f>IF(Generation!$B47,"        &lt;qtimetadatafield&gt;&lt;fieldlabel&gt;QUESTIONTYPE&lt;/fieldlabel&gt;&lt;fieldentry&gt;"&amp;Generation!$D47&amp;"&lt;/fieldentry&gt;&lt;/qtimetadatafield&gt;","")</f>
        <v/>
      </c>
    </row>
    <row r="1690" spans="1:1" ht="18" customHeight="1">
      <c r="A1690" t="str">
        <f>IF(Generation!$B47,"        &lt;qtimetadatafield&gt;&lt;fieldlabel&gt;AUTHOR&lt;/fieldlabel&gt;&lt;fieldentry&gt;Générateur Excel QTI&lt;/fieldentry&gt;&lt;/qtimetadatafield&gt;","")</f>
        <v/>
      </c>
    </row>
    <row r="1691" spans="1:1" ht="18" customHeight="1">
      <c r="A1691" t="str">
        <f>IF(Generation!$B47,"        &lt;qtimetadatafield&gt;&lt;fieldlabel&gt;identicalScoring&lt;/fieldlabel&gt;&lt;fieldentry&gt;1&lt;/fieldentry&gt;&lt;/qtimetadatafield&gt;","")</f>
        <v/>
      </c>
    </row>
    <row r="1692" spans="1:1" ht="18" customHeight="1">
      <c r="A1692" t="str">
        <f>IF(Generation!$B47,"      &lt;/qtimetadata&gt;","")</f>
        <v/>
      </c>
    </row>
    <row r="1693" spans="1:1" ht="18" customHeight="1">
      <c r="A1693" t="str">
        <f>IF(Generation!$B47,"    &lt;/itemmetadata&gt;","")</f>
        <v/>
      </c>
    </row>
    <row r="1694" spans="1:1" ht="18" customHeight="1">
      <c r="A1694" t="str">
        <f>IF(Generation!$B47,"    &lt;presentation label="""&amp;Generation!$F47&amp;"""&gt;","")</f>
        <v/>
      </c>
    </row>
    <row r="1695" spans="1:1" ht="18" customHeight="1">
      <c r="A1695" t="str">
        <f>IF(Generation!$B47,"      &lt;material&gt;&lt;mattext texttype=""text/html""&gt;"&amp;Generation!$G47&amp;"&lt;/mattext&gt;&lt;/material&gt;","")</f>
        <v/>
      </c>
    </row>
    <row r="1696" spans="1:1" ht="18" customHeight="1">
      <c r="A1696" t="str">
        <f>IF(Generation!$B47,"      &lt;response_lid ident=""RESPONSE"" rcardinality="""&amp;Generation!$E47&amp;"""&gt;","")</f>
        <v/>
      </c>
    </row>
    <row r="1697" spans="1:1" ht="18" customHeight="1">
      <c r="A1697" t="str">
        <f>IF(Generation!$B47,"        &lt;render_choice shuffle=""No""&gt;","")</f>
        <v/>
      </c>
    </row>
    <row r="1698" spans="1:1" ht="18" customHeight="1">
      <c r="A1698" t="str">
        <f>IF(Generation!AB47="","",Generation!AB47)</f>
        <v/>
      </c>
    </row>
    <row r="1699" spans="1:1" ht="18" customHeight="1">
      <c r="A1699" t="str">
        <f>IF(Generation!AC47="","",Generation!AC47)</f>
        <v/>
      </c>
    </row>
    <row r="1700" spans="1:1" ht="18" customHeight="1">
      <c r="A1700" t="str">
        <f>IF(Generation!AD47="","",Generation!AD47)</f>
        <v/>
      </c>
    </row>
    <row r="1701" spans="1:1" ht="18" customHeight="1">
      <c r="A1701" t="str">
        <f>IF(Generation!AE47="","",Generation!AE47)</f>
        <v/>
      </c>
    </row>
    <row r="1702" spans="1:1" ht="18" customHeight="1">
      <c r="A1702" t="str">
        <f>IF(Generation!AF47="","",Generation!AF47)</f>
        <v/>
      </c>
    </row>
    <row r="1703" spans="1:1" ht="18" customHeight="1">
      <c r="A1703" t="str">
        <f>IF(Generation!AG47="","",Generation!AG47)</f>
        <v/>
      </c>
    </row>
    <row r="1704" spans="1:1" ht="18" customHeight="1">
      <c r="A1704" t="str">
        <f>IF(Generation!AH47="","",Generation!AH47)</f>
        <v/>
      </c>
    </row>
    <row r="1705" spans="1:1" ht="18" customHeight="1">
      <c r="A1705" t="str">
        <f>IF(Generation!AI47="","",Generation!AI47)</f>
        <v/>
      </c>
    </row>
    <row r="1706" spans="1:1" ht="18" customHeight="1">
      <c r="A1706" t="str">
        <f>IF(Generation!$B47,"        &lt;/render_choice&gt;","")</f>
        <v/>
      </c>
    </row>
    <row r="1707" spans="1:1" ht="18" customHeight="1">
      <c r="A1707" t="str">
        <f>IF(Generation!$B47,"      &lt;/response_lid&gt;","")</f>
        <v/>
      </c>
    </row>
    <row r="1708" spans="1:1" ht="18" customHeight="1">
      <c r="A1708" t="str">
        <f>IF(Generation!$B47,"    &lt;/presentation&gt;","")</f>
        <v/>
      </c>
    </row>
    <row r="1709" spans="1:1" ht="18" customHeight="1">
      <c r="A1709" t="str">
        <f>IF(Generation!$B47,"    &lt;resprocessing&gt;","")</f>
        <v/>
      </c>
    </row>
    <row r="1710" spans="1:1" ht="18" customHeight="1">
      <c r="A1710" t="str">
        <f>IF(Generation!$B47,"      &lt;outcomes&gt;&lt;decvar varname=""SCORE"" vartype=""Decimal"" minvalue=""0"" maxvalue="""&amp;Generation!$H47&amp;"""/&gt;&lt;/outcomes&gt;","")</f>
        <v/>
      </c>
    </row>
    <row r="1711" spans="1:1" ht="18" customHeight="1">
      <c r="A1711" t="str">
        <f>IF(Generation!AJ47="","",Generation!AJ47)</f>
        <v/>
      </c>
    </row>
    <row r="1712" spans="1:1" ht="18" customHeight="1">
      <c r="A1712" t="str">
        <f>IF(Generation!AK47="","",Generation!AK47)</f>
        <v/>
      </c>
    </row>
    <row r="1713" spans="1:1" ht="18" customHeight="1">
      <c r="A1713" t="str">
        <f>IF(Generation!AL47="","",Generation!AL47)</f>
        <v/>
      </c>
    </row>
    <row r="1714" spans="1:1" ht="18" customHeight="1">
      <c r="A1714" t="str">
        <f>IF(Generation!AM47="","",Generation!AM47)</f>
        <v/>
      </c>
    </row>
    <row r="1715" spans="1:1" ht="18" customHeight="1">
      <c r="A1715" t="str">
        <f>IF(Generation!AN47="","",Generation!AN47)</f>
        <v/>
      </c>
    </row>
    <row r="1716" spans="1:1" ht="18" customHeight="1">
      <c r="A1716" t="str">
        <f>IF(Generation!AO47="","",Generation!AO47)</f>
        <v/>
      </c>
    </row>
    <row r="1717" spans="1:1" ht="18" customHeight="1">
      <c r="A1717" t="str">
        <f>IF(Generation!AP47="","",Generation!AP47)</f>
        <v/>
      </c>
    </row>
    <row r="1718" spans="1:1" ht="18" customHeight="1">
      <c r="A1718" t="str">
        <f>IF(Generation!AQ47="","",Generation!AQ47)</f>
        <v/>
      </c>
    </row>
    <row r="1719" spans="1:1" ht="18" customHeight="1">
      <c r="A1719" t="str">
        <f>IF(Generation!$B47,"    &lt;/resprocessing&gt;","")</f>
        <v/>
      </c>
    </row>
    <row r="1720" spans="1:1" ht="18" customHeight="1">
      <c r="A1720" t="str">
        <f>IF(Generation!$B47,"    &lt;itemfeedback ident=""response""&gt;&lt;flow_mat&gt;&lt;material&gt;&lt;mattext texttype=""text/plain""&gt;&lt;/mattext&gt;&lt;/material&gt;&lt;/flow_mat&gt;&lt;/itemfeedback&gt;","")</f>
        <v/>
      </c>
    </row>
    <row r="1721" spans="1:1" ht="18" customHeight="1">
      <c r="A1721" t="str">
        <f>IF(Generation!$B47,"  &lt;/item&gt;","")</f>
        <v/>
      </c>
    </row>
    <row r="1722" spans="1:1" ht="18" customHeight="1">
      <c r="A1722" t="str">
        <f>IF(Generation!$B47,"","")</f>
        <v/>
      </c>
    </row>
    <row r="1723" spans="1:1" ht="18" customHeight="1">
      <c r="A1723" t="str">
        <f>""</f>
        <v/>
      </c>
    </row>
    <row r="1724" spans="1:1" ht="18" customHeight="1">
      <c r="A1724" t="str">
        <f>IF(Generation!$B48,"  &lt;item ident=""il_0_qst_"&amp;TEXT(Generation!$A48,"000")&amp;""" title="""&amp;Generation!$F48&amp;"""&gt;","")</f>
        <v/>
      </c>
    </row>
    <row r="1725" spans="1:1" ht="18" customHeight="1">
      <c r="A1725" t="str">
        <f>IF(Generation!$B48,"    &lt;duration&gt;P0Y0M0DT0H1M0S&lt;/duration&gt;","")</f>
        <v/>
      </c>
    </row>
    <row r="1726" spans="1:1" ht="18" customHeight="1">
      <c r="A1726" t="str">
        <f>IF(Generation!$B48,"    &lt;itemmetadata&gt;","")</f>
        <v/>
      </c>
    </row>
    <row r="1727" spans="1:1" ht="18" customHeight="1">
      <c r="A1727" t="str">
        <f>IF(Generation!$B48,"      &lt;qtimetadata&gt;","")</f>
        <v/>
      </c>
    </row>
    <row r="1728" spans="1:1" ht="18" customHeight="1">
      <c r="A1728" t="str">
        <f>IF(Generation!$B48,"        &lt;qtimetadatafield&gt;&lt;fieldlabel&gt;ILIAS_VERSION&lt;/fieldlabel&gt;&lt;fieldentry&gt;8&lt;/fieldentry&gt;&lt;/qtimetadatafield&gt;","")</f>
        <v/>
      </c>
    </row>
    <row r="1729" spans="1:1" ht="18" customHeight="1">
      <c r="A1729" t="str">
        <f>IF(Generation!$B48,"        &lt;qtimetadatafield&gt;&lt;fieldlabel&gt;QUESTIONTYPE&lt;/fieldlabel&gt;&lt;fieldentry&gt;"&amp;Generation!$D48&amp;"&lt;/fieldentry&gt;&lt;/qtimetadatafield&gt;","")</f>
        <v/>
      </c>
    </row>
    <row r="1730" spans="1:1" ht="18" customHeight="1">
      <c r="A1730" t="str">
        <f>IF(Generation!$B48,"        &lt;qtimetadatafield&gt;&lt;fieldlabel&gt;AUTHOR&lt;/fieldlabel&gt;&lt;fieldentry&gt;Générateur Excel QTI&lt;/fieldentry&gt;&lt;/qtimetadatafield&gt;","")</f>
        <v/>
      </c>
    </row>
    <row r="1731" spans="1:1" ht="18" customHeight="1">
      <c r="A1731" t="str">
        <f>IF(Generation!$B48,"        &lt;qtimetadatafield&gt;&lt;fieldlabel&gt;identicalScoring&lt;/fieldlabel&gt;&lt;fieldentry&gt;1&lt;/fieldentry&gt;&lt;/qtimetadatafield&gt;","")</f>
        <v/>
      </c>
    </row>
    <row r="1732" spans="1:1" ht="18" customHeight="1">
      <c r="A1732" t="str">
        <f>IF(Generation!$B48,"      &lt;/qtimetadata&gt;","")</f>
        <v/>
      </c>
    </row>
    <row r="1733" spans="1:1" ht="18" customHeight="1">
      <c r="A1733" t="str">
        <f>IF(Generation!$B48,"    &lt;/itemmetadata&gt;","")</f>
        <v/>
      </c>
    </row>
    <row r="1734" spans="1:1" ht="18" customHeight="1">
      <c r="A1734" t="str">
        <f>IF(Generation!$B48,"    &lt;presentation label="""&amp;Generation!$F48&amp;"""&gt;","")</f>
        <v/>
      </c>
    </row>
    <row r="1735" spans="1:1" ht="18" customHeight="1">
      <c r="A1735" t="str">
        <f>IF(Generation!$B48,"      &lt;material&gt;&lt;mattext texttype=""text/html""&gt;"&amp;Generation!$G48&amp;"&lt;/mattext&gt;&lt;/material&gt;","")</f>
        <v/>
      </c>
    </row>
    <row r="1736" spans="1:1" ht="18" customHeight="1">
      <c r="A1736" t="str">
        <f>IF(Generation!$B48,"      &lt;response_lid ident=""RESPONSE"" rcardinality="""&amp;Generation!$E48&amp;"""&gt;","")</f>
        <v/>
      </c>
    </row>
    <row r="1737" spans="1:1" ht="18" customHeight="1">
      <c r="A1737" t="str">
        <f>IF(Generation!$B48,"        &lt;render_choice shuffle=""No""&gt;","")</f>
        <v/>
      </c>
    </row>
    <row r="1738" spans="1:1" ht="18" customHeight="1">
      <c r="A1738" t="str">
        <f>IF(Generation!AB48="","",Generation!AB48)</f>
        <v/>
      </c>
    </row>
    <row r="1739" spans="1:1" ht="18" customHeight="1">
      <c r="A1739" t="str">
        <f>IF(Generation!AC48="","",Generation!AC48)</f>
        <v/>
      </c>
    </row>
    <row r="1740" spans="1:1" ht="18" customHeight="1">
      <c r="A1740" t="str">
        <f>IF(Generation!AD48="","",Generation!AD48)</f>
        <v/>
      </c>
    </row>
    <row r="1741" spans="1:1" ht="18" customHeight="1">
      <c r="A1741" t="str">
        <f>IF(Generation!AE48="","",Generation!AE48)</f>
        <v/>
      </c>
    </row>
    <row r="1742" spans="1:1" ht="18" customHeight="1">
      <c r="A1742" t="str">
        <f>IF(Generation!AF48="","",Generation!AF48)</f>
        <v/>
      </c>
    </row>
    <row r="1743" spans="1:1" ht="18" customHeight="1">
      <c r="A1743" t="str">
        <f>IF(Generation!AG48="","",Generation!AG48)</f>
        <v/>
      </c>
    </row>
    <row r="1744" spans="1:1" ht="18" customHeight="1">
      <c r="A1744" t="str">
        <f>IF(Generation!AH48="","",Generation!AH48)</f>
        <v/>
      </c>
    </row>
    <row r="1745" spans="1:1" ht="18" customHeight="1">
      <c r="A1745" t="str">
        <f>IF(Generation!AI48="","",Generation!AI48)</f>
        <v/>
      </c>
    </row>
    <row r="1746" spans="1:1" ht="18" customHeight="1">
      <c r="A1746" t="str">
        <f>IF(Generation!$B48,"        &lt;/render_choice&gt;","")</f>
        <v/>
      </c>
    </row>
    <row r="1747" spans="1:1" ht="18" customHeight="1">
      <c r="A1747" t="str">
        <f>IF(Generation!$B48,"      &lt;/response_lid&gt;","")</f>
        <v/>
      </c>
    </row>
    <row r="1748" spans="1:1" ht="18" customHeight="1">
      <c r="A1748" t="str">
        <f>IF(Generation!$B48,"    &lt;/presentation&gt;","")</f>
        <v/>
      </c>
    </row>
    <row r="1749" spans="1:1" ht="18" customHeight="1">
      <c r="A1749" t="str">
        <f>IF(Generation!$B48,"    &lt;resprocessing&gt;","")</f>
        <v/>
      </c>
    </row>
    <row r="1750" spans="1:1" ht="18" customHeight="1">
      <c r="A1750" t="str">
        <f>IF(Generation!$B48,"      &lt;outcomes&gt;&lt;decvar varname=""SCORE"" vartype=""Decimal"" minvalue=""0"" maxvalue="""&amp;Generation!$H48&amp;"""/&gt;&lt;/outcomes&gt;","")</f>
        <v/>
      </c>
    </row>
    <row r="1751" spans="1:1" ht="18" customHeight="1">
      <c r="A1751" t="str">
        <f>IF(Generation!AJ48="","",Generation!AJ48)</f>
        <v/>
      </c>
    </row>
    <row r="1752" spans="1:1" ht="18" customHeight="1">
      <c r="A1752" t="str">
        <f>IF(Generation!AK48="","",Generation!AK48)</f>
        <v/>
      </c>
    </row>
    <row r="1753" spans="1:1" ht="18" customHeight="1">
      <c r="A1753" t="str">
        <f>IF(Generation!AL48="","",Generation!AL48)</f>
        <v/>
      </c>
    </row>
    <row r="1754" spans="1:1" ht="18" customHeight="1">
      <c r="A1754" t="str">
        <f>IF(Generation!AM48="","",Generation!AM48)</f>
        <v/>
      </c>
    </row>
    <row r="1755" spans="1:1" ht="18" customHeight="1">
      <c r="A1755" t="str">
        <f>IF(Generation!AN48="","",Generation!AN48)</f>
        <v/>
      </c>
    </row>
    <row r="1756" spans="1:1" ht="18" customHeight="1">
      <c r="A1756" t="str">
        <f>IF(Generation!AO48="","",Generation!AO48)</f>
        <v/>
      </c>
    </row>
    <row r="1757" spans="1:1" ht="18" customHeight="1">
      <c r="A1757" t="str">
        <f>IF(Generation!AP48="","",Generation!AP48)</f>
        <v/>
      </c>
    </row>
    <row r="1758" spans="1:1" ht="18" customHeight="1">
      <c r="A1758" t="str">
        <f>IF(Generation!AQ48="","",Generation!AQ48)</f>
        <v/>
      </c>
    </row>
    <row r="1759" spans="1:1" ht="18" customHeight="1">
      <c r="A1759" t="str">
        <f>IF(Generation!$B48,"    &lt;/resprocessing&gt;","")</f>
        <v/>
      </c>
    </row>
    <row r="1760" spans="1:1" ht="18" customHeight="1">
      <c r="A1760" t="str">
        <f>IF(Generation!$B48,"    &lt;itemfeedback ident=""response""&gt;&lt;flow_mat&gt;&lt;material&gt;&lt;mattext texttype=""text/plain""&gt;&lt;/mattext&gt;&lt;/material&gt;&lt;/flow_mat&gt;&lt;/itemfeedback&gt;","")</f>
        <v/>
      </c>
    </row>
    <row r="1761" spans="1:1" ht="18" customHeight="1">
      <c r="A1761" t="str">
        <f>IF(Generation!$B48,"  &lt;/item&gt;","")</f>
        <v/>
      </c>
    </row>
    <row r="1762" spans="1:1" ht="18" customHeight="1">
      <c r="A1762" t="str">
        <f>IF(Generation!$B48,"","")</f>
        <v/>
      </c>
    </row>
    <row r="1763" spans="1:1" ht="18" customHeight="1">
      <c r="A1763" t="str">
        <f>""</f>
        <v/>
      </c>
    </row>
    <row r="1764" spans="1:1" ht="18" customHeight="1">
      <c r="A1764" t="str">
        <f>IF(Generation!$B49,"  &lt;item ident=""il_0_qst_"&amp;TEXT(Generation!$A49,"000")&amp;""" title="""&amp;Generation!$F49&amp;"""&gt;","")</f>
        <v/>
      </c>
    </row>
    <row r="1765" spans="1:1" ht="18" customHeight="1">
      <c r="A1765" t="str">
        <f>IF(Generation!$B49,"    &lt;duration&gt;P0Y0M0DT0H1M0S&lt;/duration&gt;","")</f>
        <v/>
      </c>
    </row>
    <row r="1766" spans="1:1" ht="18" customHeight="1">
      <c r="A1766" t="str">
        <f>IF(Generation!$B49,"    &lt;itemmetadata&gt;","")</f>
        <v/>
      </c>
    </row>
    <row r="1767" spans="1:1" ht="18" customHeight="1">
      <c r="A1767" t="str">
        <f>IF(Generation!$B49,"      &lt;qtimetadata&gt;","")</f>
        <v/>
      </c>
    </row>
    <row r="1768" spans="1:1" ht="18" customHeight="1">
      <c r="A1768" t="str">
        <f>IF(Generation!$B49,"        &lt;qtimetadatafield&gt;&lt;fieldlabel&gt;ILIAS_VERSION&lt;/fieldlabel&gt;&lt;fieldentry&gt;8&lt;/fieldentry&gt;&lt;/qtimetadatafield&gt;","")</f>
        <v/>
      </c>
    </row>
    <row r="1769" spans="1:1" ht="18" customHeight="1">
      <c r="A1769" t="str">
        <f>IF(Generation!$B49,"        &lt;qtimetadatafield&gt;&lt;fieldlabel&gt;QUESTIONTYPE&lt;/fieldlabel&gt;&lt;fieldentry&gt;"&amp;Generation!$D49&amp;"&lt;/fieldentry&gt;&lt;/qtimetadatafield&gt;","")</f>
        <v/>
      </c>
    </row>
    <row r="1770" spans="1:1" ht="18" customHeight="1">
      <c r="A1770" t="str">
        <f>IF(Generation!$B49,"        &lt;qtimetadatafield&gt;&lt;fieldlabel&gt;AUTHOR&lt;/fieldlabel&gt;&lt;fieldentry&gt;Générateur Excel QTI&lt;/fieldentry&gt;&lt;/qtimetadatafield&gt;","")</f>
        <v/>
      </c>
    </row>
    <row r="1771" spans="1:1" ht="18" customHeight="1">
      <c r="A1771" t="str">
        <f>IF(Generation!$B49,"        &lt;qtimetadatafield&gt;&lt;fieldlabel&gt;identicalScoring&lt;/fieldlabel&gt;&lt;fieldentry&gt;1&lt;/fieldentry&gt;&lt;/qtimetadatafield&gt;","")</f>
        <v/>
      </c>
    </row>
    <row r="1772" spans="1:1" ht="18" customHeight="1">
      <c r="A1772" t="str">
        <f>IF(Generation!$B49,"      &lt;/qtimetadata&gt;","")</f>
        <v/>
      </c>
    </row>
    <row r="1773" spans="1:1" ht="18" customHeight="1">
      <c r="A1773" t="str">
        <f>IF(Generation!$B49,"    &lt;/itemmetadata&gt;","")</f>
        <v/>
      </c>
    </row>
    <row r="1774" spans="1:1" ht="18" customHeight="1">
      <c r="A1774" t="str">
        <f>IF(Generation!$B49,"    &lt;presentation label="""&amp;Generation!$F49&amp;"""&gt;","")</f>
        <v/>
      </c>
    </row>
    <row r="1775" spans="1:1" ht="18" customHeight="1">
      <c r="A1775" t="str">
        <f>IF(Generation!$B49,"      &lt;material&gt;&lt;mattext texttype=""text/html""&gt;"&amp;Generation!$G49&amp;"&lt;/mattext&gt;&lt;/material&gt;","")</f>
        <v/>
      </c>
    </row>
    <row r="1776" spans="1:1" ht="18" customHeight="1">
      <c r="A1776" t="str">
        <f>IF(Generation!$B49,"      &lt;response_lid ident=""RESPONSE"" rcardinality="""&amp;Generation!$E49&amp;"""&gt;","")</f>
        <v/>
      </c>
    </row>
    <row r="1777" spans="1:1" ht="18" customHeight="1">
      <c r="A1777" t="str">
        <f>IF(Generation!$B49,"        &lt;render_choice shuffle=""No""&gt;","")</f>
        <v/>
      </c>
    </row>
    <row r="1778" spans="1:1" ht="18" customHeight="1">
      <c r="A1778" t="str">
        <f>IF(Generation!AB49="","",Generation!AB49)</f>
        <v/>
      </c>
    </row>
    <row r="1779" spans="1:1" ht="18" customHeight="1">
      <c r="A1779" t="str">
        <f>IF(Generation!AC49="","",Generation!AC49)</f>
        <v/>
      </c>
    </row>
    <row r="1780" spans="1:1" ht="18" customHeight="1">
      <c r="A1780" t="str">
        <f>IF(Generation!AD49="","",Generation!AD49)</f>
        <v/>
      </c>
    </row>
    <row r="1781" spans="1:1" ht="18" customHeight="1">
      <c r="A1781" t="str">
        <f>IF(Generation!AE49="","",Generation!AE49)</f>
        <v/>
      </c>
    </row>
    <row r="1782" spans="1:1" ht="18" customHeight="1">
      <c r="A1782" t="str">
        <f>IF(Generation!AF49="","",Generation!AF49)</f>
        <v/>
      </c>
    </row>
    <row r="1783" spans="1:1" ht="18" customHeight="1">
      <c r="A1783" t="str">
        <f>IF(Generation!AG49="","",Generation!AG49)</f>
        <v/>
      </c>
    </row>
    <row r="1784" spans="1:1" ht="18" customHeight="1">
      <c r="A1784" t="str">
        <f>IF(Generation!AH49="","",Generation!AH49)</f>
        <v/>
      </c>
    </row>
    <row r="1785" spans="1:1" ht="18" customHeight="1">
      <c r="A1785" t="str">
        <f>IF(Generation!AI49="","",Generation!AI49)</f>
        <v/>
      </c>
    </row>
    <row r="1786" spans="1:1" ht="18" customHeight="1">
      <c r="A1786" t="str">
        <f>IF(Generation!$B49,"        &lt;/render_choice&gt;","")</f>
        <v/>
      </c>
    </row>
    <row r="1787" spans="1:1" ht="18" customHeight="1">
      <c r="A1787" t="str">
        <f>IF(Generation!$B49,"      &lt;/response_lid&gt;","")</f>
        <v/>
      </c>
    </row>
    <row r="1788" spans="1:1" ht="18" customHeight="1">
      <c r="A1788" t="str">
        <f>IF(Generation!$B49,"    &lt;/presentation&gt;","")</f>
        <v/>
      </c>
    </row>
    <row r="1789" spans="1:1" ht="18" customHeight="1">
      <c r="A1789" t="str">
        <f>IF(Generation!$B49,"    &lt;resprocessing&gt;","")</f>
        <v/>
      </c>
    </row>
    <row r="1790" spans="1:1" ht="18" customHeight="1">
      <c r="A1790" t="str">
        <f>IF(Generation!$B49,"      &lt;outcomes&gt;&lt;decvar varname=""SCORE"" vartype=""Decimal"" minvalue=""0"" maxvalue="""&amp;Generation!$H49&amp;"""/&gt;&lt;/outcomes&gt;","")</f>
        <v/>
      </c>
    </row>
    <row r="1791" spans="1:1" ht="18" customHeight="1">
      <c r="A1791" t="str">
        <f>IF(Generation!AJ49="","",Generation!AJ49)</f>
        <v/>
      </c>
    </row>
    <row r="1792" spans="1:1" ht="18" customHeight="1">
      <c r="A1792" t="str">
        <f>IF(Generation!AK49="","",Generation!AK49)</f>
        <v/>
      </c>
    </row>
    <row r="1793" spans="1:1" ht="18" customHeight="1">
      <c r="A1793" t="str">
        <f>IF(Generation!AL49="","",Generation!AL49)</f>
        <v/>
      </c>
    </row>
    <row r="1794" spans="1:1" ht="18" customHeight="1">
      <c r="A1794" t="str">
        <f>IF(Generation!AM49="","",Generation!AM49)</f>
        <v/>
      </c>
    </row>
    <row r="1795" spans="1:1" ht="18" customHeight="1">
      <c r="A1795" t="str">
        <f>IF(Generation!AN49="","",Generation!AN49)</f>
        <v/>
      </c>
    </row>
    <row r="1796" spans="1:1" ht="18" customHeight="1">
      <c r="A1796" t="str">
        <f>IF(Generation!AO49="","",Generation!AO49)</f>
        <v/>
      </c>
    </row>
    <row r="1797" spans="1:1" ht="18" customHeight="1">
      <c r="A1797" t="str">
        <f>IF(Generation!AP49="","",Generation!AP49)</f>
        <v/>
      </c>
    </row>
    <row r="1798" spans="1:1" ht="18" customHeight="1">
      <c r="A1798" t="str">
        <f>IF(Generation!AQ49="","",Generation!AQ49)</f>
        <v/>
      </c>
    </row>
    <row r="1799" spans="1:1" ht="18" customHeight="1">
      <c r="A1799" t="str">
        <f>IF(Generation!$B49,"    &lt;/resprocessing&gt;","")</f>
        <v/>
      </c>
    </row>
    <row r="1800" spans="1:1" ht="18" customHeight="1">
      <c r="A1800" t="str">
        <f>IF(Generation!$B49,"    &lt;itemfeedback ident=""response""&gt;&lt;flow_mat&gt;&lt;material&gt;&lt;mattext texttype=""text/plain""&gt;&lt;/mattext&gt;&lt;/material&gt;&lt;/flow_mat&gt;&lt;/itemfeedback&gt;","")</f>
        <v/>
      </c>
    </row>
    <row r="1801" spans="1:1" ht="18" customHeight="1">
      <c r="A1801" t="str">
        <f>IF(Generation!$B49,"  &lt;/item&gt;","")</f>
        <v/>
      </c>
    </row>
    <row r="1802" spans="1:1" ht="18" customHeight="1">
      <c r="A1802" t="str">
        <f>IF(Generation!$B49,"","")</f>
        <v/>
      </c>
    </row>
    <row r="1803" spans="1:1" ht="18" customHeight="1">
      <c r="A1803" t="str">
        <f>""</f>
        <v/>
      </c>
    </row>
    <row r="1804" spans="1:1" ht="18" customHeight="1">
      <c r="A1804" t="str">
        <f>IF(Generation!$B50,"  &lt;item ident=""il_0_qst_"&amp;TEXT(Generation!$A50,"000")&amp;""" title="""&amp;Generation!$F50&amp;"""&gt;","")</f>
        <v/>
      </c>
    </row>
    <row r="1805" spans="1:1" ht="18" customHeight="1">
      <c r="A1805" t="str">
        <f>IF(Generation!$B50,"    &lt;duration&gt;P0Y0M0DT0H1M0S&lt;/duration&gt;","")</f>
        <v/>
      </c>
    </row>
    <row r="1806" spans="1:1" ht="18" customHeight="1">
      <c r="A1806" t="str">
        <f>IF(Generation!$B50,"    &lt;itemmetadata&gt;","")</f>
        <v/>
      </c>
    </row>
    <row r="1807" spans="1:1" ht="18" customHeight="1">
      <c r="A1807" t="str">
        <f>IF(Generation!$B50,"      &lt;qtimetadata&gt;","")</f>
        <v/>
      </c>
    </row>
    <row r="1808" spans="1:1" ht="18" customHeight="1">
      <c r="A1808" t="str">
        <f>IF(Generation!$B50,"        &lt;qtimetadatafield&gt;&lt;fieldlabel&gt;ILIAS_VERSION&lt;/fieldlabel&gt;&lt;fieldentry&gt;8&lt;/fieldentry&gt;&lt;/qtimetadatafield&gt;","")</f>
        <v/>
      </c>
    </row>
    <row r="1809" spans="1:1" ht="18" customHeight="1">
      <c r="A1809" t="str">
        <f>IF(Generation!$B50,"        &lt;qtimetadatafield&gt;&lt;fieldlabel&gt;QUESTIONTYPE&lt;/fieldlabel&gt;&lt;fieldentry&gt;"&amp;Generation!$D50&amp;"&lt;/fieldentry&gt;&lt;/qtimetadatafield&gt;","")</f>
        <v/>
      </c>
    </row>
    <row r="1810" spans="1:1" ht="18" customHeight="1">
      <c r="A1810" t="str">
        <f>IF(Generation!$B50,"        &lt;qtimetadatafield&gt;&lt;fieldlabel&gt;AUTHOR&lt;/fieldlabel&gt;&lt;fieldentry&gt;Générateur Excel QTI&lt;/fieldentry&gt;&lt;/qtimetadatafield&gt;","")</f>
        <v/>
      </c>
    </row>
    <row r="1811" spans="1:1" ht="18" customHeight="1">
      <c r="A1811" t="str">
        <f>IF(Generation!$B50,"        &lt;qtimetadatafield&gt;&lt;fieldlabel&gt;identicalScoring&lt;/fieldlabel&gt;&lt;fieldentry&gt;1&lt;/fieldentry&gt;&lt;/qtimetadatafield&gt;","")</f>
        <v/>
      </c>
    </row>
    <row r="1812" spans="1:1" ht="18" customHeight="1">
      <c r="A1812" t="str">
        <f>IF(Generation!$B50,"      &lt;/qtimetadata&gt;","")</f>
        <v/>
      </c>
    </row>
    <row r="1813" spans="1:1" ht="18" customHeight="1">
      <c r="A1813" t="str">
        <f>IF(Generation!$B50,"    &lt;/itemmetadata&gt;","")</f>
        <v/>
      </c>
    </row>
    <row r="1814" spans="1:1" ht="18" customHeight="1">
      <c r="A1814" t="str">
        <f>IF(Generation!$B50,"    &lt;presentation label="""&amp;Generation!$F50&amp;"""&gt;","")</f>
        <v/>
      </c>
    </row>
    <row r="1815" spans="1:1" ht="18" customHeight="1">
      <c r="A1815" t="str">
        <f>IF(Generation!$B50,"      &lt;material&gt;&lt;mattext texttype=""text/html""&gt;"&amp;Generation!$G50&amp;"&lt;/mattext&gt;&lt;/material&gt;","")</f>
        <v/>
      </c>
    </row>
    <row r="1816" spans="1:1" ht="18" customHeight="1">
      <c r="A1816" t="str">
        <f>IF(Generation!$B50,"      &lt;response_lid ident=""RESPONSE"" rcardinality="""&amp;Generation!$E50&amp;"""&gt;","")</f>
        <v/>
      </c>
    </row>
    <row r="1817" spans="1:1" ht="18" customHeight="1">
      <c r="A1817" t="str">
        <f>IF(Generation!$B50,"        &lt;render_choice shuffle=""No""&gt;","")</f>
        <v/>
      </c>
    </row>
    <row r="1818" spans="1:1" ht="18" customHeight="1">
      <c r="A1818" t="str">
        <f>IF(Generation!AB50="","",Generation!AB50)</f>
        <v/>
      </c>
    </row>
    <row r="1819" spans="1:1" ht="18" customHeight="1">
      <c r="A1819" t="str">
        <f>IF(Generation!AC50="","",Generation!AC50)</f>
        <v/>
      </c>
    </row>
    <row r="1820" spans="1:1" ht="18" customHeight="1">
      <c r="A1820" t="str">
        <f>IF(Generation!AD50="","",Generation!AD50)</f>
        <v/>
      </c>
    </row>
    <row r="1821" spans="1:1" ht="18" customHeight="1">
      <c r="A1821" t="str">
        <f>IF(Generation!AE50="","",Generation!AE50)</f>
        <v/>
      </c>
    </row>
    <row r="1822" spans="1:1" ht="18" customHeight="1">
      <c r="A1822" t="str">
        <f>IF(Generation!AF50="","",Generation!AF50)</f>
        <v/>
      </c>
    </row>
    <row r="1823" spans="1:1" ht="18" customHeight="1">
      <c r="A1823" t="str">
        <f>IF(Generation!AG50="","",Generation!AG50)</f>
        <v/>
      </c>
    </row>
    <row r="1824" spans="1:1" ht="18" customHeight="1">
      <c r="A1824" t="str">
        <f>IF(Generation!AH50="","",Generation!AH50)</f>
        <v/>
      </c>
    </row>
    <row r="1825" spans="1:1" ht="18" customHeight="1">
      <c r="A1825" t="str">
        <f>IF(Generation!AI50="","",Generation!AI50)</f>
        <v/>
      </c>
    </row>
    <row r="1826" spans="1:1" ht="18" customHeight="1">
      <c r="A1826" t="str">
        <f>IF(Generation!$B50,"        &lt;/render_choice&gt;","")</f>
        <v/>
      </c>
    </row>
    <row r="1827" spans="1:1" ht="18" customHeight="1">
      <c r="A1827" t="str">
        <f>IF(Generation!$B50,"      &lt;/response_lid&gt;","")</f>
        <v/>
      </c>
    </row>
    <row r="1828" spans="1:1" ht="18" customHeight="1">
      <c r="A1828" t="str">
        <f>IF(Generation!$B50,"    &lt;/presentation&gt;","")</f>
        <v/>
      </c>
    </row>
    <row r="1829" spans="1:1" ht="18" customHeight="1">
      <c r="A1829" t="str">
        <f>IF(Generation!$B50,"    &lt;resprocessing&gt;","")</f>
        <v/>
      </c>
    </row>
    <row r="1830" spans="1:1" ht="18" customHeight="1">
      <c r="A1830" t="str">
        <f>IF(Generation!$B50,"      &lt;outcomes&gt;&lt;decvar varname=""SCORE"" vartype=""Decimal"" minvalue=""0"" maxvalue="""&amp;Generation!$H50&amp;"""/&gt;&lt;/outcomes&gt;","")</f>
        <v/>
      </c>
    </row>
    <row r="1831" spans="1:1" ht="18" customHeight="1">
      <c r="A1831" t="str">
        <f>IF(Generation!AJ50="","",Generation!AJ50)</f>
        <v/>
      </c>
    </row>
    <row r="1832" spans="1:1" ht="18" customHeight="1">
      <c r="A1832" t="str">
        <f>IF(Generation!AK50="","",Generation!AK50)</f>
        <v/>
      </c>
    </row>
    <row r="1833" spans="1:1" ht="18" customHeight="1">
      <c r="A1833" t="str">
        <f>IF(Generation!AL50="","",Generation!AL50)</f>
        <v/>
      </c>
    </row>
    <row r="1834" spans="1:1" ht="18" customHeight="1">
      <c r="A1834" t="str">
        <f>IF(Generation!AM50="","",Generation!AM50)</f>
        <v/>
      </c>
    </row>
    <row r="1835" spans="1:1" ht="18" customHeight="1">
      <c r="A1835" t="str">
        <f>IF(Generation!AN50="","",Generation!AN50)</f>
        <v/>
      </c>
    </row>
    <row r="1836" spans="1:1" ht="18" customHeight="1">
      <c r="A1836" t="str">
        <f>IF(Generation!AO50="","",Generation!AO50)</f>
        <v/>
      </c>
    </row>
    <row r="1837" spans="1:1" ht="18" customHeight="1">
      <c r="A1837" t="str">
        <f>IF(Generation!AP50="","",Generation!AP50)</f>
        <v/>
      </c>
    </row>
    <row r="1838" spans="1:1" ht="18" customHeight="1">
      <c r="A1838" t="str">
        <f>IF(Generation!AQ50="","",Generation!AQ50)</f>
        <v/>
      </c>
    </row>
    <row r="1839" spans="1:1" ht="18" customHeight="1">
      <c r="A1839" t="str">
        <f>IF(Generation!$B50,"    &lt;/resprocessing&gt;","")</f>
        <v/>
      </c>
    </row>
    <row r="1840" spans="1:1" ht="18" customHeight="1">
      <c r="A1840" t="str">
        <f>IF(Generation!$B50,"    &lt;itemfeedback ident=""response""&gt;&lt;flow_mat&gt;&lt;material&gt;&lt;mattext texttype=""text/plain""&gt;&lt;/mattext&gt;&lt;/material&gt;&lt;/flow_mat&gt;&lt;/itemfeedback&gt;","")</f>
        <v/>
      </c>
    </row>
    <row r="1841" spans="1:1" ht="18" customHeight="1">
      <c r="A1841" t="str">
        <f>IF(Generation!$B50,"  &lt;/item&gt;","")</f>
        <v/>
      </c>
    </row>
    <row r="1842" spans="1:1" ht="18" customHeight="1">
      <c r="A1842" t="str">
        <f>IF(Generation!$B50,"","")</f>
        <v/>
      </c>
    </row>
    <row r="1843" spans="1:1" ht="18" customHeight="1">
      <c r="A1843" t="str">
        <f>""</f>
        <v/>
      </c>
    </row>
    <row r="1844" spans="1:1" ht="18" customHeight="1">
      <c r="A1844" t="str">
        <f>IF(Generation!$B51,"  &lt;item ident=""il_0_qst_"&amp;TEXT(Generation!$A51,"000")&amp;""" title="""&amp;Generation!$F51&amp;"""&gt;","")</f>
        <v/>
      </c>
    </row>
    <row r="1845" spans="1:1" ht="18" customHeight="1">
      <c r="A1845" t="str">
        <f>IF(Generation!$B51,"    &lt;duration&gt;P0Y0M0DT0H1M0S&lt;/duration&gt;","")</f>
        <v/>
      </c>
    </row>
    <row r="1846" spans="1:1" ht="18" customHeight="1">
      <c r="A1846" t="str">
        <f>IF(Generation!$B51,"    &lt;itemmetadata&gt;","")</f>
        <v/>
      </c>
    </row>
    <row r="1847" spans="1:1" ht="18" customHeight="1">
      <c r="A1847" t="str">
        <f>IF(Generation!$B51,"      &lt;qtimetadata&gt;","")</f>
        <v/>
      </c>
    </row>
    <row r="1848" spans="1:1" ht="18" customHeight="1">
      <c r="A1848" t="str">
        <f>IF(Generation!$B51,"        &lt;qtimetadatafield&gt;&lt;fieldlabel&gt;ILIAS_VERSION&lt;/fieldlabel&gt;&lt;fieldentry&gt;8&lt;/fieldentry&gt;&lt;/qtimetadatafield&gt;","")</f>
        <v/>
      </c>
    </row>
    <row r="1849" spans="1:1" ht="18" customHeight="1">
      <c r="A1849" t="str">
        <f>IF(Generation!$B51,"        &lt;qtimetadatafield&gt;&lt;fieldlabel&gt;QUESTIONTYPE&lt;/fieldlabel&gt;&lt;fieldentry&gt;"&amp;Generation!$D51&amp;"&lt;/fieldentry&gt;&lt;/qtimetadatafield&gt;","")</f>
        <v/>
      </c>
    </row>
    <row r="1850" spans="1:1" ht="18" customHeight="1">
      <c r="A1850" t="str">
        <f>IF(Generation!$B51,"        &lt;qtimetadatafield&gt;&lt;fieldlabel&gt;AUTHOR&lt;/fieldlabel&gt;&lt;fieldentry&gt;Générateur Excel QTI&lt;/fieldentry&gt;&lt;/qtimetadatafield&gt;","")</f>
        <v/>
      </c>
    </row>
    <row r="1851" spans="1:1" ht="18" customHeight="1">
      <c r="A1851" t="str">
        <f>IF(Generation!$B51,"        &lt;qtimetadatafield&gt;&lt;fieldlabel&gt;identicalScoring&lt;/fieldlabel&gt;&lt;fieldentry&gt;1&lt;/fieldentry&gt;&lt;/qtimetadatafield&gt;","")</f>
        <v/>
      </c>
    </row>
    <row r="1852" spans="1:1" ht="18" customHeight="1">
      <c r="A1852" t="str">
        <f>IF(Generation!$B51,"      &lt;/qtimetadata&gt;","")</f>
        <v/>
      </c>
    </row>
    <row r="1853" spans="1:1" ht="18" customHeight="1">
      <c r="A1853" t="str">
        <f>IF(Generation!$B51,"    &lt;/itemmetadata&gt;","")</f>
        <v/>
      </c>
    </row>
    <row r="1854" spans="1:1" ht="18" customHeight="1">
      <c r="A1854" t="str">
        <f>IF(Generation!$B51,"    &lt;presentation label="""&amp;Generation!$F51&amp;"""&gt;","")</f>
        <v/>
      </c>
    </row>
    <row r="1855" spans="1:1" ht="18" customHeight="1">
      <c r="A1855" t="str">
        <f>IF(Generation!$B51,"      &lt;material&gt;&lt;mattext texttype=""text/html""&gt;"&amp;Generation!$G51&amp;"&lt;/mattext&gt;&lt;/material&gt;","")</f>
        <v/>
      </c>
    </row>
    <row r="1856" spans="1:1" ht="18" customHeight="1">
      <c r="A1856" t="str">
        <f>IF(Generation!$B51,"      &lt;response_lid ident=""RESPONSE"" rcardinality="""&amp;Generation!$E51&amp;"""&gt;","")</f>
        <v/>
      </c>
    </row>
    <row r="1857" spans="1:1" ht="18" customHeight="1">
      <c r="A1857" t="str">
        <f>IF(Generation!$B51,"        &lt;render_choice shuffle=""No""&gt;","")</f>
        <v/>
      </c>
    </row>
    <row r="1858" spans="1:1" ht="18" customHeight="1">
      <c r="A1858" t="str">
        <f>IF(Generation!AB51="","",Generation!AB51)</f>
        <v/>
      </c>
    </row>
    <row r="1859" spans="1:1" ht="18" customHeight="1">
      <c r="A1859" t="str">
        <f>IF(Generation!AC51="","",Generation!AC51)</f>
        <v/>
      </c>
    </row>
    <row r="1860" spans="1:1" ht="18" customHeight="1">
      <c r="A1860" t="str">
        <f>IF(Generation!AD51="","",Generation!AD51)</f>
        <v/>
      </c>
    </row>
    <row r="1861" spans="1:1" ht="18" customHeight="1">
      <c r="A1861" t="str">
        <f>IF(Generation!AE51="","",Generation!AE51)</f>
        <v/>
      </c>
    </row>
    <row r="1862" spans="1:1" ht="18" customHeight="1">
      <c r="A1862" t="str">
        <f>IF(Generation!AF51="","",Generation!AF51)</f>
        <v/>
      </c>
    </row>
    <row r="1863" spans="1:1" ht="18" customHeight="1">
      <c r="A1863" t="str">
        <f>IF(Generation!AG51="","",Generation!AG51)</f>
        <v/>
      </c>
    </row>
    <row r="1864" spans="1:1" ht="18" customHeight="1">
      <c r="A1864" t="str">
        <f>IF(Generation!AH51="","",Generation!AH51)</f>
        <v/>
      </c>
    </row>
    <row r="1865" spans="1:1" ht="18" customHeight="1">
      <c r="A1865" t="str">
        <f>IF(Generation!AI51="","",Generation!AI51)</f>
        <v/>
      </c>
    </row>
    <row r="1866" spans="1:1" ht="18" customHeight="1">
      <c r="A1866" t="str">
        <f>IF(Generation!$B51,"        &lt;/render_choice&gt;","")</f>
        <v/>
      </c>
    </row>
    <row r="1867" spans="1:1" ht="18" customHeight="1">
      <c r="A1867" t="str">
        <f>IF(Generation!$B51,"      &lt;/response_lid&gt;","")</f>
        <v/>
      </c>
    </row>
    <row r="1868" spans="1:1" ht="18" customHeight="1">
      <c r="A1868" t="str">
        <f>IF(Generation!$B51,"    &lt;/presentation&gt;","")</f>
        <v/>
      </c>
    </row>
    <row r="1869" spans="1:1" ht="18" customHeight="1">
      <c r="A1869" t="str">
        <f>IF(Generation!$B51,"    &lt;resprocessing&gt;","")</f>
        <v/>
      </c>
    </row>
    <row r="1870" spans="1:1" ht="18" customHeight="1">
      <c r="A1870" t="str">
        <f>IF(Generation!$B51,"      &lt;outcomes&gt;&lt;decvar varname=""SCORE"" vartype=""Decimal"" minvalue=""0"" maxvalue="""&amp;Generation!$H51&amp;"""/&gt;&lt;/outcomes&gt;","")</f>
        <v/>
      </c>
    </row>
    <row r="1871" spans="1:1" ht="18" customHeight="1">
      <c r="A1871" t="str">
        <f>IF(Generation!AJ51="","",Generation!AJ51)</f>
        <v/>
      </c>
    </row>
    <row r="1872" spans="1:1" ht="18" customHeight="1">
      <c r="A1872" t="str">
        <f>IF(Generation!AK51="","",Generation!AK51)</f>
        <v/>
      </c>
    </row>
    <row r="1873" spans="1:1" ht="18" customHeight="1">
      <c r="A1873" t="str">
        <f>IF(Generation!AL51="","",Generation!AL51)</f>
        <v/>
      </c>
    </row>
    <row r="1874" spans="1:1" ht="18" customHeight="1">
      <c r="A1874" t="str">
        <f>IF(Generation!AM51="","",Generation!AM51)</f>
        <v/>
      </c>
    </row>
    <row r="1875" spans="1:1" ht="18" customHeight="1">
      <c r="A1875" t="str">
        <f>IF(Generation!AN51="","",Generation!AN51)</f>
        <v/>
      </c>
    </row>
    <row r="1876" spans="1:1" ht="18" customHeight="1">
      <c r="A1876" t="str">
        <f>IF(Generation!AO51="","",Generation!AO51)</f>
        <v/>
      </c>
    </row>
    <row r="1877" spans="1:1" ht="18" customHeight="1">
      <c r="A1877" t="str">
        <f>IF(Generation!AP51="","",Generation!AP51)</f>
        <v/>
      </c>
    </row>
    <row r="1878" spans="1:1" ht="18" customHeight="1">
      <c r="A1878" t="str">
        <f>IF(Generation!AQ51="","",Generation!AQ51)</f>
        <v/>
      </c>
    </row>
    <row r="1879" spans="1:1" ht="18" customHeight="1">
      <c r="A1879" t="str">
        <f>IF(Generation!$B51,"    &lt;/resprocessing&gt;","")</f>
        <v/>
      </c>
    </row>
    <row r="1880" spans="1:1" ht="18" customHeight="1">
      <c r="A1880" t="str">
        <f>IF(Generation!$B51,"    &lt;itemfeedback ident=""response""&gt;&lt;flow_mat&gt;&lt;material&gt;&lt;mattext texttype=""text/plain""&gt;&lt;/mattext&gt;&lt;/material&gt;&lt;/flow_mat&gt;&lt;/itemfeedback&gt;","")</f>
        <v/>
      </c>
    </row>
    <row r="1881" spans="1:1" ht="18" customHeight="1">
      <c r="A1881" t="str">
        <f>IF(Generation!$B51,"  &lt;/item&gt;","")</f>
        <v/>
      </c>
    </row>
    <row r="1882" spans="1:1" ht="18" customHeight="1">
      <c r="A1882" t="str">
        <f>IF(Generation!$B51,"","")</f>
        <v/>
      </c>
    </row>
    <row r="1883" spans="1:1" ht="18" customHeight="1">
      <c r="A1883" t="str">
        <f>""</f>
        <v/>
      </c>
    </row>
    <row r="1884" spans="1:1" ht="18" customHeight="1">
      <c r="A1884" t="str">
        <f>IF(Generation!$B52,"  &lt;item ident=""il_0_qst_"&amp;TEXT(Generation!$A52,"000")&amp;""" title="""&amp;Generation!$F52&amp;"""&gt;","")</f>
        <v/>
      </c>
    </row>
    <row r="1885" spans="1:1" ht="18" customHeight="1">
      <c r="A1885" t="str">
        <f>IF(Generation!$B52,"    &lt;duration&gt;P0Y0M0DT0H1M0S&lt;/duration&gt;","")</f>
        <v/>
      </c>
    </row>
    <row r="1886" spans="1:1" ht="18" customHeight="1">
      <c r="A1886" t="str">
        <f>IF(Generation!$B52,"    &lt;itemmetadata&gt;","")</f>
        <v/>
      </c>
    </row>
    <row r="1887" spans="1:1" ht="18" customHeight="1">
      <c r="A1887" t="str">
        <f>IF(Generation!$B52,"      &lt;qtimetadata&gt;","")</f>
        <v/>
      </c>
    </row>
    <row r="1888" spans="1:1" ht="18" customHeight="1">
      <c r="A1888" t="str">
        <f>IF(Generation!$B52,"        &lt;qtimetadatafield&gt;&lt;fieldlabel&gt;ILIAS_VERSION&lt;/fieldlabel&gt;&lt;fieldentry&gt;8&lt;/fieldentry&gt;&lt;/qtimetadatafield&gt;","")</f>
        <v/>
      </c>
    </row>
    <row r="1889" spans="1:1" ht="18" customHeight="1">
      <c r="A1889" t="str">
        <f>IF(Generation!$B52,"        &lt;qtimetadatafield&gt;&lt;fieldlabel&gt;QUESTIONTYPE&lt;/fieldlabel&gt;&lt;fieldentry&gt;"&amp;Generation!$D52&amp;"&lt;/fieldentry&gt;&lt;/qtimetadatafield&gt;","")</f>
        <v/>
      </c>
    </row>
    <row r="1890" spans="1:1" ht="18" customHeight="1">
      <c r="A1890" t="str">
        <f>IF(Generation!$B52,"        &lt;qtimetadatafield&gt;&lt;fieldlabel&gt;AUTHOR&lt;/fieldlabel&gt;&lt;fieldentry&gt;Générateur Excel QTI&lt;/fieldentry&gt;&lt;/qtimetadatafield&gt;","")</f>
        <v/>
      </c>
    </row>
    <row r="1891" spans="1:1" ht="18" customHeight="1">
      <c r="A1891" t="str">
        <f>IF(Generation!$B52,"        &lt;qtimetadatafield&gt;&lt;fieldlabel&gt;identicalScoring&lt;/fieldlabel&gt;&lt;fieldentry&gt;1&lt;/fieldentry&gt;&lt;/qtimetadatafield&gt;","")</f>
        <v/>
      </c>
    </row>
    <row r="1892" spans="1:1" ht="18" customHeight="1">
      <c r="A1892" t="str">
        <f>IF(Generation!$B52,"      &lt;/qtimetadata&gt;","")</f>
        <v/>
      </c>
    </row>
    <row r="1893" spans="1:1" ht="18" customHeight="1">
      <c r="A1893" t="str">
        <f>IF(Generation!$B52,"    &lt;/itemmetadata&gt;","")</f>
        <v/>
      </c>
    </row>
    <row r="1894" spans="1:1" ht="18" customHeight="1">
      <c r="A1894" t="str">
        <f>IF(Generation!$B52,"    &lt;presentation label="""&amp;Generation!$F52&amp;"""&gt;","")</f>
        <v/>
      </c>
    </row>
    <row r="1895" spans="1:1" ht="18" customHeight="1">
      <c r="A1895" t="str">
        <f>IF(Generation!$B52,"      &lt;material&gt;&lt;mattext texttype=""text/html""&gt;"&amp;Generation!$G52&amp;"&lt;/mattext&gt;&lt;/material&gt;","")</f>
        <v/>
      </c>
    </row>
    <row r="1896" spans="1:1" ht="18" customHeight="1">
      <c r="A1896" t="str">
        <f>IF(Generation!$B52,"      &lt;response_lid ident=""RESPONSE"" rcardinality="""&amp;Generation!$E52&amp;"""&gt;","")</f>
        <v/>
      </c>
    </row>
    <row r="1897" spans="1:1" ht="18" customHeight="1">
      <c r="A1897" t="str">
        <f>IF(Generation!$B52,"        &lt;render_choice shuffle=""No""&gt;","")</f>
        <v/>
      </c>
    </row>
    <row r="1898" spans="1:1" ht="18" customHeight="1">
      <c r="A1898" t="str">
        <f>IF(Generation!AB52="","",Generation!AB52)</f>
        <v/>
      </c>
    </row>
    <row r="1899" spans="1:1" ht="18" customHeight="1">
      <c r="A1899" t="str">
        <f>IF(Generation!AC52="","",Generation!AC52)</f>
        <v/>
      </c>
    </row>
    <row r="1900" spans="1:1" ht="18" customHeight="1">
      <c r="A1900" t="str">
        <f>IF(Generation!AD52="","",Generation!AD52)</f>
        <v/>
      </c>
    </row>
    <row r="1901" spans="1:1" ht="18" customHeight="1">
      <c r="A1901" t="str">
        <f>IF(Generation!AE52="","",Generation!AE52)</f>
        <v/>
      </c>
    </row>
    <row r="1902" spans="1:1" ht="18" customHeight="1">
      <c r="A1902" t="str">
        <f>IF(Generation!AF52="","",Generation!AF52)</f>
        <v/>
      </c>
    </row>
    <row r="1903" spans="1:1" ht="18" customHeight="1">
      <c r="A1903" t="str">
        <f>IF(Generation!AG52="","",Generation!AG52)</f>
        <v/>
      </c>
    </row>
    <row r="1904" spans="1:1" ht="18" customHeight="1">
      <c r="A1904" t="str">
        <f>IF(Generation!AH52="","",Generation!AH52)</f>
        <v/>
      </c>
    </row>
    <row r="1905" spans="1:1" ht="18" customHeight="1">
      <c r="A1905" t="str">
        <f>IF(Generation!AI52="","",Generation!AI52)</f>
        <v/>
      </c>
    </row>
    <row r="1906" spans="1:1" ht="18" customHeight="1">
      <c r="A1906" t="str">
        <f>IF(Generation!$B52,"        &lt;/render_choice&gt;","")</f>
        <v/>
      </c>
    </row>
    <row r="1907" spans="1:1" ht="18" customHeight="1">
      <c r="A1907" t="str">
        <f>IF(Generation!$B52,"      &lt;/response_lid&gt;","")</f>
        <v/>
      </c>
    </row>
    <row r="1908" spans="1:1" ht="18" customHeight="1">
      <c r="A1908" t="str">
        <f>IF(Generation!$B52,"    &lt;/presentation&gt;","")</f>
        <v/>
      </c>
    </row>
    <row r="1909" spans="1:1" ht="18" customHeight="1">
      <c r="A1909" t="str">
        <f>IF(Generation!$B52,"    &lt;resprocessing&gt;","")</f>
        <v/>
      </c>
    </row>
    <row r="1910" spans="1:1" ht="18" customHeight="1">
      <c r="A1910" t="str">
        <f>IF(Generation!$B52,"      &lt;outcomes&gt;&lt;decvar varname=""SCORE"" vartype=""Decimal"" minvalue=""0"" maxvalue="""&amp;Generation!$H52&amp;"""/&gt;&lt;/outcomes&gt;","")</f>
        <v/>
      </c>
    </row>
    <row r="1911" spans="1:1" ht="18" customHeight="1">
      <c r="A1911" t="str">
        <f>IF(Generation!AJ52="","",Generation!AJ52)</f>
        <v/>
      </c>
    </row>
    <row r="1912" spans="1:1" ht="18" customHeight="1">
      <c r="A1912" t="str">
        <f>IF(Generation!AK52="","",Generation!AK52)</f>
        <v/>
      </c>
    </row>
    <row r="1913" spans="1:1" ht="18" customHeight="1">
      <c r="A1913" t="str">
        <f>IF(Generation!AL52="","",Generation!AL52)</f>
        <v/>
      </c>
    </row>
    <row r="1914" spans="1:1" ht="18" customHeight="1">
      <c r="A1914" t="str">
        <f>IF(Generation!AM52="","",Generation!AM52)</f>
        <v/>
      </c>
    </row>
    <row r="1915" spans="1:1" ht="18" customHeight="1">
      <c r="A1915" t="str">
        <f>IF(Generation!AN52="","",Generation!AN52)</f>
        <v/>
      </c>
    </row>
    <row r="1916" spans="1:1" ht="18" customHeight="1">
      <c r="A1916" t="str">
        <f>IF(Generation!AO52="","",Generation!AO52)</f>
        <v/>
      </c>
    </row>
    <row r="1917" spans="1:1" ht="18" customHeight="1">
      <c r="A1917" t="str">
        <f>IF(Generation!AP52="","",Generation!AP52)</f>
        <v/>
      </c>
    </row>
    <row r="1918" spans="1:1" ht="18" customHeight="1">
      <c r="A1918" t="str">
        <f>IF(Generation!AQ52="","",Generation!AQ52)</f>
        <v/>
      </c>
    </row>
    <row r="1919" spans="1:1" ht="18" customHeight="1">
      <c r="A1919" t="str">
        <f>IF(Generation!$B52,"    &lt;/resprocessing&gt;","")</f>
        <v/>
      </c>
    </row>
    <row r="1920" spans="1:1" ht="18" customHeight="1">
      <c r="A1920" t="str">
        <f>IF(Generation!$B52,"    &lt;itemfeedback ident=""response""&gt;&lt;flow_mat&gt;&lt;material&gt;&lt;mattext texttype=""text/plain""&gt;&lt;/mattext&gt;&lt;/material&gt;&lt;/flow_mat&gt;&lt;/itemfeedback&gt;","")</f>
        <v/>
      </c>
    </row>
    <row r="1921" spans="1:1" ht="18" customHeight="1">
      <c r="A1921" t="str">
        <f>IF(Generation!$B52,"  &lt;/item&gt;","")</f>
        <v/>
      </c>
    </row>
    <row r="1922" spans="1:1" ht="18" customHeight="1">
      <c r="A1922" t="str">
        <f>IF(Generation!$B52,"","")</f>
        <v/>
      </c>
    </row>
    <row r="1923" spans="1:1" ht="18" customHeight="1">
      <c r="A1923" t="str">
        <f>""</f>
        <v/>
      </c>
    </row>
    <row r="1924" spans="1:1" ht="18" customHeight="1">
      <c r="A1924" t="str">
        <f>IF(Generation!$B53,"  &lt;item ident=""il_0_qst_"&amp;TEXT(Generation!$A53,"000")&amp;""" title="""&amp;Generation!$F53&amp;"""&gt;","")</f>
        <v/>
      </c>
    </row>
    <row r="1925" spans="1:1" ht="18" customHeight="1">
      <c r="A1925" t="str">
        <f>IF(Generation!$B53,"    &lt;duration&gt;P0Y0M0DT0H1M0S&lt;/duration&gt;","")</f>
        <v/>
      </c>
    </row>
    <row r="1926" spans="1:1" ht="18" customHeight="1">
      <c r="A1926" t="str">
        <f>IF(Generation!$B53,"    &lt;itemmetadata&gt;","")</f>
        <v/>
      </c>
    </row>
    <row r="1927" spans="1:1" ht="18" customHeight="1">
      <c r="A1927" t="str">
        <f>IF(Generation!$B53,"      &lt;qtimetadata&gt;","")</f>
        <v/>
      </c>
    </row>
    <row r="1928" spans="1:1" ht="18" customHeight="1">
      <c r="A1928" t="str">
        <f>IF(Generation!$B53,"        &lt;qtimetadatafield&gt;&lt;fieldlabel&gt;ILIAS_VERSION&lt;/fieldlabel&gt;&lt;fieldentry&gt;8&lt;/fieldentry&gt;&lt;/qtimetadatafield&gt;","")</f>
        <v/>
      </c>
    </row>
    <row r="1929" spans="1:1" ht="18" customHeight="1">
      <c r="A1929" t="str">
        <f>IF(Generation!$B53,"        &lt;qtimetadatafield&gt;&lt;fieldlabel&gt;QUESTIONTYPE&lt;/fieldlabel&gt;&lt;fieldentry&gt;"&amp;Generation!$D53&amp;"&lt;/fieldentry&gt;&lt;/qtimetadatafield&gt;","")</f>
        <v/>
      </c>
    </row>
    <row r="1930" spans="1:1" ht="18" customHeight="1">
      <c r="A1930" t="str">
        <f>IF(Generation!$B53,"        &lt;qtimetadatafield&gt;&lt;fieldlabel&gt;AUTHOR&lt;/fieldlabel&gt;&lt;fieldentry&gt;Générateur Excel QTI&lt;/fieldentry&gt;&lt;/qtimetadatafield&gt;","")</f>
        <v/>
      </c>
    </row>
    <row r="1931" spans="1:1" ht="18" customHeight="1">
      <c r="A1931" t="str">
        <f>IF(Generation!$B53,"        &lt;qtimetadatafield&gt;&lt;fieldlabel&gt;identicalScoring&lt;/fieldlabel&gt;&lt;fieldentry&gt;1&lt;/fieldentry&gt;&lt;/qtimetadatafield&gt;","")</f>
        <v/>
      </c>
    </row>
    <row r="1932" spans="1:1" ht="18" customHeight="1">
      <c r="A1932" t="str">
        <f>IF(Generation!$B53,"      &lt;/qtimetadata&gt;","")</f>
        <v/>
      </c>
    </row>
    <row r="1933" spans="1:1" ht="18" customHeight="1">
      <c r="A1933" t="str">
        <f>IF(Generation!$B53,"    &lt;/itemmetadata&gt;","")</f>
        <v/>
      </c>
    </row>
    <row r="1934" spans="1:1" ht="18" customHeight="1">
      <c r="A1934" t="str">
        <f>IF(Generation!$B53,"    &lt;presentation label="""&amp;Generation!$F53&amp;"""&gt;","")</f>
        <v/>
      </c>
    </row>
    <row r="1935" spans="1:1" ht="18" customHeight="1">
      <c r="A1935" t="str">
        <f>IF(Generation!$B53,"      &lt;material&gt;&lt;mattext texttype=""text/html""&gt;"&amp;Generation!$G53&amp;"&lt;/mattext&gt;&lt;/material&gt;","")</f>
        <v/>
      </c>
    </row>
    <row r="1936" spans="1:1" ht="18" customHeight="1">
      <c r="A1936" t="str">
        <f>IF(Generation!$B53,"      &lt;response_lid ident=""RESPONSE"" rcardinality="""&amp;Generation!$E53&amp;"""&gt;","")</f>
        <v/>
      </c>
    </row>
    <row r="1937" spans="1:1" ht="18" customHeight="1">
      <c r="A1937" t="str">
        <f>IF(Generation!$B53,"        &lt;render_choice shuffle=""No""&gt;","")</f>
        <v/>
      </c>
    </row>
    <row r="1938" spans="1:1" ht="18" customHeight="1">
      <c r="A1938" t="str">
        <f>IF(Generation!AB53="","",Generation!AB53)</f>
        <v/>
      </c>
    </row>
    <row r="1939" spans="1:1" ht="18" customHeight="1">
      <c r="A1939" t="str">
        <f>IF(Generation!AC53="","",Generation!AC53)</f>
        <v/>
      </c>
    </row>
    <row r="1940" spans="1:1" ht="18" customHeight="1">
      <c r="A1940" t="str">
        <f>IF(Generation!AD53="","",Generation!AD53)</f>
        <v/>
      </c>
    </row>
    <row r="1941" spans="1:1" ht="18" customHeight="1">
      <c r="A1941" t="str">
        <f>IF(Generation!AE53="","",Generation!AE53)</f>
        <v/>
      </c>
    </row>
    <row r="1942" spans="1:1" ht="18" customHeight="1">
      <c r="A1942" t="str">
        <f>IF(Generation!AF53="","",Generation!AF53)</f>
        <v/>
      </c>
    </row>
    <row r="1943" spans="1:1" ht="18" customHeight="1">
      <c r="A1943" t="str">
        <f>IF(Generation!AG53="","",Generation!AG53)</f>
        <v/>
      </c>
    </row>
    <row r="1944" spans="1:1" ht="18" customHeight="1">
      <c r="A1944" t="str">
        <f>IF(Generation!AH53="","",Generation!AH53)</f>
        <v/>
      </c>
    </row>
    <row r="1945" spans="1:1" ht="18" customHeight="1">
      <c r="A1945" t="str">
        <f>IF(Generation!AI53="","",Generation!AI53)</f>
        <v/>
      </c>
    </row>
    <row r="1946" spans="1:1" ht="18" customHeight="1">
      <c r="A1946" t="str">
        <f>IF(Generation!$B53,"        &lt;/render_choice&gt;","")</f>
        <v/>
      </c>
    </row>
    <row r="1947" spans="1:1" ht="18" customHeight="1">
      <c r="A1947" t="str">
        <f>IF(Generation!$B53,"      &lt;/response_lid&gt;","")</f>
        <v/>
      </c>
    </row>
    <row r="1948" spans="1:1" ht="18" customHeight="1">
      <c r="A1948" t="str">
        <f>IF(Generation!$B53,"    &lt;/presentation&gt;","")</f>
        <v/>
      </c>
    </row>
    <row r="1949" spans="1:1" ht="18" customHeight="1">
      <c r="A1949" t="str">
        <f>IF(Generation!$B53,"    &lt;resprocessing&gt;","")</f>
        <v/>
      </c>
    </row>
    <row r="1950" spans="1:1" ht="18" customHeight="1">
      <c r="A1950" t="str">
        <f>IF(Generation!$B53,"      &lt;outcomes&gt;&lt;decvar varname=""SCORE"" vartype=""Decimal"" minvalue=""0"" maxvalue="""&amp;Generation!$H53&amp;"""/&gt;&lt;/outcomes&gt;","")</f>
        <v/>
      </c>
    </row>
    <row r="1951" spans="1:1" ht="18" customHeight="1">
      <c r="A1951" t="str">
        <f>IF(Generation!AJ53="","",Generation!AJ53)</f>
        <v/>
      </c>
    </row>
    <row r="1952" spans="1:1" ht="18" customHeight="1">
      <c r="A1952" t="str">
        <f>IF(Generation!AK53="","",Generation!AK53)</f>
        <v/>
      </c>
    </row>
    <row r="1953" spans="1:1" ht="18" customHeight="1">
      <c r="A1953" t="str">
        <f>IF(Generation!AL53="","",Generation!AL53)</f>
        <v/>
      </c>
    </row>
    <row r="1954" spans="1:1" ht="18" customHeight="1">
      <c r="A1954" t="str">
        <f>IF(Generation!AM53="","",Generation!AM53)</f>
        <v/>
      </c>
    </row>
    <row r="1955" spans="1:1" ht="18" customHeight="1">
      <c r="A1955" t="str">
        <f>IF(Generation!AN53="","",Generation!AN53)</f>
        <v/>
      </c>
    </row>
    <row r="1956" spans="1:1" ht="18" customHeight="1">
      <c r="A1956" t="str">
        <f>IF(Generation!AO53="","",Generation!AO53)</f>
        <v/>
      </c>
    </row>
    <row r="1957" spans="1:1" ht="18" customHeight="1">
      <c r="A1957" t="str">
        <f>IF(Generation!AP53="","",Generation!AP53)</f>
        <v/>
      </c>
    </row>
    <row r="1958" spans="1:1" ht="18" customHeight="1">
      <c r="A1958" t="str">
        <f>IF(Generation!AQ53="","",Generation!AQ53)</f>
        <v/>
      </c>
    </row>
    <row r="1959" spans="1:1" ht="18" customHeight="1">
      <c r="A1959" t="str">
        <f>IF(Generation!$B53,"    &lt;/resprocessing&gt;","")</f>
        <v/>
      </c>
    </row>
    <row r="1960" spans="1:1" ht="18" customHeight="1">
      <c r="A1960" t="str">
        <f>IF(Generation!$B53,"    &lt;itemfeedback ident=""response""&gt;&lt;flow_mat&gt;&lt;material&gt;&lt;mattext texttype=""text/plain""&gt;&lt;/mattext&gt;&lt;/material&gt;&lt;/flow_mat&gt;&lt;/itemfeedback&gt;","")</f>
        <v/>
      </c>
    </row>
    <row r="1961" spans="1:1" ht="18" customHeight="1">
      <c r="A1961" t="str">
        <f>IF(Generation!$B53,"  &lt;/item&gt;","")</f>
        <v/>
      </c>
    </row>
    <row r="1962" spans="1:1" ht="18" customHeight="1">
      <c r="A1962" t="str">
        <f>IF(Generation!$B53,"","")</f>
        <v/>
      </c>
    </row>
    <row r="1963" spans="1:1" ht="18" customHeight="1">
      <c r="A1963" t="str">
        <f>""</f>
        <v/>
      </c>
    </row>
    <row r="1964" spans="1:1" ht="18" customHeight="1">
      <c r="A1964" t="str">
        <f>IF(Generation!$B54,"  &lt;item ident=""il_0_qst_"&amp;TEXT(Generation!$A54,"000")&amp;""" title="""&amp;Generation!$F54&amp;"""&gt;","")</f>
        <v/>
      </c>
    </row>
    <row r="1965" spans="1:1" ht="18" customHeight="1">
      <c r="A1965" t="str">
        <f>IF(Generation!$B54,"    &lt;duration&gt;P0Y0M0DT0H1M0S&lt;/duration&gt;","")</f>
        <v/>
      </c>
    </row>
    <row r="1966" spans="1:1" ht="18" customHeight="1">
      <c r="A1966" t="str">
        <f>IF(Generation!$B54,"    &lt;itemmetadata&gt;","")</f>
        <v/>
      </c>
    </row>
    <row r="1967" spans="1:1" ht="18" customHeight="1">
      <c r="A1967" t="str">
        <f>IF(Generation!$B54,"      &lt;qtimetadata&gt;","")</f>
        <v/>
      </c>
    </row>
    <row r="1968" spans="1:1" ht="18" customHeight="1">
      <c r="A1968" t="str">
        <f>IF(Generation!$B54,"        &lt;qtimetadatafield&gt;&lt;fieldlabel&gt;ILIAS_VERSION&lt;/fieldlabel&gt;&lt;fieldentry&gt;8&lt;/fieldentry&gt;&lt;/qtimetadatafield&gt;","")</f>
        <v/>
      </c>
    </row>
    <row r="1969" spans="1:1" ht="18" customHeight="1">
      <c r="A1969" t="str">
        <f>IF(Generation!$B54,"        &lt;qtimetadatafield&gt;&lt;fieldlabel&gt;QUESTIONTYPE&lt;/fieldlabel&gt;&lt;fieldentry&gt;"&amp;Generation!$D54&amp;"&lt;/fieldentry&gt;&lt;/qtimetadatafield&gt;","")</f>
        <v/>
      </c>
    </row>
    <row r="1970" spans="1:1" ht="18" customHeight="1">
      <c r="A1970" t="str">
        <f>IF(Generation!$B54,"        &lt;qtimetadatafield&gt;&lt;fieldlabel&gt;AUTHOR&lt;/fieldlabel&gt;&lt;fieldentry&gt;Générateur Excel QTI&lt;/fieldentry&gt;&lt;/qtimetadatafield&gt;","")</f>
        <v/>
      </c>
    </row>
    <row r="1971" spans="1:1" ht="18" customHeight="1">
      <c r="A1971" t="str">
        <f>IF(Generation!$B54,"        &lt;qtimetadatafield&gt;&lt;fieldlabel&gt;identicalScoring&lt;/fieldlabel&gt;&lt;fieldentry&gt;1&lt;/fieldentry&gt;&lt;/qtimetadatafield&gt;","")</f>
        <v/>
      </c>
    </row>
    <row r="1972" spans="1:1" ht="18" customHeight="1">
      <c r="A1972" t="str">
        <f>IF(Generation!$B54,"      &lt;/qtimetadata&gt;","")</f>
        <v/>
      </c>
    </row>
    <row r="1973" spans="1:1" ht="18" customHeight="1">
      <c r="A1973" t="str">
        <f>IF(Generation!$B54,"    &lt;/itemmetadata&gt;","")</f>
        <v/>
      </c>
    </row>
    <row r="1974" spans="1:1" ht="18" customHeight="1">
      <c r="A1974" t="str">
        <f>IF(Generation!$B54,"    &lt;presentation label="""&amp;Generation!$F54&amp;"""&gt;","")</f>
        <v/>
      </c>
    </row>
    <row r="1975" spans="1:1" ht="18" customHeight="1">
      <c r="A1975" t="str">
        <f>IF(Generation!$B54,"      &lt;material&gt;&lt;mattext texttype=""text/html""&gt;"&amp;Generation!$G54&amp;"&lt;/mattext&gt;&lt;/material&gt;","")</f>
        <v/>
      </c>
    </row>
    <row r="1976" spans="1:1" ht="18" customHeight="1">
      <c r="A1976" t="str">
        <f>IF(Generation!$B54,"      &lt;response_lid ident=""RESPONSE"" rcardinality="""&amp;Generation!$E54&amp;"""&gt;","")</f>
        <v/>
      </c>
    </row>
    <row r="1977" spans="1:1" ht="18" customHeight="1">
      <c r="A1977" t="str">
        <f>IF(Generation!$B54,"        &lt;render_choice shuffle=""No""&gt;","")</f>
        <v/>
      </c>
    </row>
    <row r="1978" spans="1:1" ht="18" customHeight="1">
      <c r="A1978" t="str">
        <f>IF(Generation!AB54="","",Generation!AB54)</f>
        <v/>
      </c>
    </row>
    <row r="1979" spans="1:1" ht="18" customHeight="1">
      <c r="A1979" t="str">
        <f>IF(Generation!AC54="","",Generation!AC54)</f>
        <v/>
      </c>
    </row>
    <row r="1980" spans="1:1" ht="18" customHeight="1">
      <c r="A1980" t="str">
        <f>IF(Generation!AD54="","",Generation!AD54)</f>
        <v/>
      </c>
    </row>
    <row r="1981" spans="1:1" ht="18" customHeight="1">
      <c r="A1981" t="str">
        <f>IF(Generation!AE54="","",Generation!AE54)</f>
        <v/>
      </c>
    </row>
    <row r="1982" spans="1:1" ht="18" customHeight="1">
      <c r="A1982" t="str">
        <f>IF(Generation!AF54="","",Generation!AF54)</f>
        <v/>
      </c>
    </row>
    <row r="1983" spans="1:1" ht="18" customHeight="1">
      <c r="A1983" t="str">
        <f>IF(Generation!AG54="","",Generation!AG54)</f>
        <v/>
      </c>
    </row>
    <row r="1984" spans="1:1" ht="18" customHeight="1">
      <c r="A1984" t="str">
        <f>IF(Generation!AH54="","",Generation!AH54)</f>
        <v/>
      </c>
    </row>
    <row r="1985" spans="1:1" ht="18" customHeight="1">
      <c r="A1985" t="str">
        <f>IF(Generation!AI54="","",Generation!AI54)</f>
        <v/>
      </c>
    </row>
    <row r="1986" spans="1:1" ht="18" customHeight="1">
      <c r="A1986" t="str">
        <f>IF(Generation!$B54,"        &lt;/render_choice&gt;","")</f>
        <v/>
      </c>
    </row>
    <row r="1987" spans="1:1" ht="18" customHeight="1">
      <c r="A1987" t="str">
        <f>IF(Generation!$B54,"      &lt;/response_lid&gt;","")</f>
        <v/>
      </c>
    </row>
    <row r="1988" spans="1:1" ht="18" customHeight="1">
      <c r="A1988" t="str">
        <f>IF(Generation!$B54,"    &lt;/presentation&gt;","")</f>
        <v/>
      </c>
    </row>
    <row r="1989" spans="1:1" ht="18" customHeight="1">
      <c r="A1989" t="str">
        <f>IF(Generation!$B54,"    &lt;resprocessing&gt;","")</f>
        <v/>
      </c>
    </row>
    <row r="1990" spans="1:1" ht="18" customHeight="1">
      <c r="A1990" t="str">
        <f>IF(Generation!$B54,"      &lt;outcomes&gt;&lt;decvar varname=""SCORE"" vartype=""Decimal"" minvalue=""0"" maxvalue="""&amp;Generation!$H54&amp;"""/&gt;&lt;/outcomes&gt;","")</f>
        <v/>
      </c>
    </row>
    <row r="1991" spans="1:1" ht="18" customHeight="1">
      <c r="A1991" t="str">
        <f>IF(Generation!AJ54="","",Generation!AJ54)</f>
        <v/>
      </c>
    </row>
    <row r="1992" spans="1:1" ht="18" customHeight="1">
      <c r="A1992" t="str">
        <f>IF(Generation!AK54="","",Generation!AK54)</f>
        <v/>
      </c>
    </row>
    <row r="1993" spans="1:1" ht="18" customHeight="1">
      <c r="A1993" t="str">
        <f>IF(Generation!AL54="","",Generation!AL54)</f>
        <v/>
      </c>
    </row>
    <row r="1994" spans="1:1" ht="18" customHeight="1">
      <c r="A1994" t="str">
        <f>IF(Generation!AM54="","",Generation!AM54)</f>
        <v/>
      </c>
    </row>
    <row r="1995" spans="1:1" ht="18" customHeight="1">
      <c r="A1995" t="str">
        <f>IF(Generation!AN54="","",Generation!AN54)</f>
        <v/>
      </c>
    </row>
    <row r="1996" spans="1:1" ht="18" customHeight="1">
      <c r="A1996" t="str">
        <f>IF(Generation!AO54="","",Generation!AO54)</f>
        <v/>
      </c>
    </row>
    <row r="1997" spans="1:1" ht="18" customHeight="1">
      <c r="A1997" t="str">
        <f>IF(Generation!AP54="","",Generation!AP54)</f>
        <v/>
      </c>
    </row>
    <row r="1998" spans="1:1" ht="18" customHeight="1">
      <c r="A1998" t="str">
        <f>IF(Generation!AQ54="","",Generation!AQ54)</f>
        <v/>
      </c>
    </row>
    <row r="1999" spans="1:1" ht="18" customHeight="1">
      <c r="A1999" t="str">
        <f>IF(Generation!$B54,"    &lt;/resprocessing&gt;","")</f>
        <v/>
      </c>
    </row>
    <row r="2000" spans="1:1" ht="18" customHeight="1">
      <c r="A2000" t="str">
        <f>IF(Generation!$B54,"    &lt;itemfeedback ident=""response""&gt;&lt;flow_mat&gt;&lt;material&gt;&lt;mattext texttype=""text/plain""&gt;&lt;/mattext&gt;&lt;/material&gt;&lt;/flow_mat&gt;&lt;/itemfeedback&gt;","")</f>
        <v/>
      </c>
    </row>
    <row r="2001" spans="1:1" ht="18" customHeight="1">
      <c r="A2001" t="str">
        <f>IF(Generation!$B54,"  &lt;/item&gt;","")</f>
        <v/>
      </c>
    </row>
    <row r="2002" spans="1:1" ht="18" customHeight="1">
      <c r="A2002" t="str">
        <f>IF(Generation!$B54,"","")</f>
        <v/>
      </c>
    </row>
    <row r="2003" spans="1:1" ht="18" customHeight="1">
      <c r="A2003" t="str">
        <f>""</f>
        <v/>
      </c>
    </row>
    <row r="2004" spans="1:1" ht="18" customHeight="1">
      <c r="A2004" t="str">
        <f>IF(Generation!$B55,"  &lt;item ident=""il_0_qst_"&amp;TEXT(Generation!$A55,"000")&amp;""" title="""&amp;Generation!$F55&amp;"""&gt;","")</f>
        <v/>
      </c>
    </row>
    <row r="2005" spans="1:1" ht="18" customHeight="1">
      <c r="A2005" t="str">
        <f>IF(Generation!$B55,"    &lt;duration&gt;P0Y0M0DT0H1M0S&lt;/duration&gt;","")</f>
        <v/>
      </c>
    </row>
    <row r="2006" spans="1:1" ht="18" customHeight="1">
      <c r="A2006" t="str">
        <f>IF(Generation!$B55,"    &lt;itemmetadata&gt;","")</f>
        <v/>
      </c>
    </row>
    <row r="2007" spans="1:1" ht="18" customHeight="1">
      <c r="A2007" t="str">
        <f>IF(Generation!$B55,"      &lt;qtimetadata&gt;","")</f>
        <v/>
      </c>
    </row>
    <row r="2008" spans="1:1" ht="18" customHeight="1">
      <c r="A2008" t="str">
        <f>IF(Generation!$B55,"        &lt;qtimetadatafield&gt;&lt;fieldlabel&gt;ILIAS_VERSION&lt;/fieldlabel&gt;&lt;fieldentry&gt;8&lt;/fieldentry&gt;&lt;/qtimetadatafield&gt;","")</f>
        <v/>
      </c>
    </row>
    <row r="2009" spans="1:1" ht="18" customHeight="1">
      <c r="A2009" t="str">
        <f>IF(Generation!$B55,"        &lt;qtimetadatafield&gt;&lt;fieldlabel&gt;QUESTIONTYPE&lt;/fieldlabel&gt;&lt;fieldentry&gt;"&amp;Generation!$D55&amp;"&lt;/fieldentry&gt;&lt;/qtimetadatafield&gt;","")</f>
        <v/>
      </c>
    </row>
    <row r="2010" spans="1:1" ht="18" customHeight="1">
      <c r="A2010" t="str">
        <f>IF(Generation!$B55,"        &lt;qtimetadatafield&gt;&lt;fieldlabel&gt;AUTHOR&lt;/fieldlabel&gt;&lt;fieldentry&gt;Générateur Excel QTI&lt;/fieldentry&gt;&lt;/qtimetadatafield&gt;","")</f>
        <v/>
      </c>
    </row>
    <row r="2011" spans="1:1" ht="18" customHeight="1">
      <c r="A2011" t="str">
        <f>IF(Generation!$B55,"        &lt;qtimetadatafield&gt;&lt;fieldlabel&gt;identicalScoring&lt;/fieldlabel&gt;&lt;fieldentry&gt;1&lt;/fieldentry&gt;&lt;/qtimetadatafield&gt;","")</f>
        <v/>
      </c>
    </row>
    <row r="2012" spans="1:1" ht="18" customHeight="1">
      <c r="A2012" t="str">
        <f>IF(Generation!$B55,"      &lt;/qtimetadata&gt;","")</f>
        <v/>
      </c>
    </row>
    <row r="2013" spans="1:1" ht="18" customHeight="1">
      <c r="A2013" t="str">
        <f>IF(Generation!$B55,"    &lt;/itemmetadata&gt;","")</f>
        <v/>
      </c>
    </row>
    <row r="2014" spans="1:1" ht="18" customHeight="1">
      <c r="A2014" t="str">
        <f>IF(Generation!$B55,"    &lt;presentation label="""&amp;Generation!$F55&amp;"""&gt;","")</f>
        <v/>
      </c>
    </row>
    <row r="2015" spans="1:1" ht="18" customHeight="1">
      <c r="A2015" t="str">
        <f>IF(Generation!$B55,"      &lt;material&gt;&lt;mattext texttype=""text/html""&gt;"&amp;Generation!$G55&amp;"&lt;/mattext&gt;&lt;/material&gt;","")</f>
        <v/>
      </c>
    </row>
    <row r="2016" spans="1:1" ht="18" customHeight="1">
      <c r="A2016" t="str">
        <f>IF(Generation!$B55,"      &lt;response_lid ident=""RESPONSE"" rcardinality="""&amp;Generation!$E55&amp;"""&gt;","")</f>
        <v/>
      </c>
    </row>
    <row r="2017" spans="1:1" ht="18" customHeight="1">
      <c r="A2017" t="str">
        <f>IF(Generation!$B55,"        &lt;render_choice shuffle=""No""&gt;","")</f>
        <v/>
      </c>
    </row>
    <row r="2018" spans="1:1" ht="18" customHeight="1">
      <c r="A2018" t="str">
        <f>IF(Generation!AB55="","",Generation!AB55)</f>
        <v/>
      </c>
    </row>
    <row r="2019" spans="1:1" ht="18" customHeight="1">
      <c r="A2019" t="str">
        <f>IF(Generation!AC55="","",Generation!AC55)</f>
        <v/>
      </c>
    </row>
    <row r="2020" spans="1:1" ht="18" customHeight="1">
      <c r="A2020" t="str">
        <f>IF(Generation!AD55="","",Generation!AD55)</f>
        <v/>
      </c>
    </row>
    <row r="2021" spans="1:1" ht="18" customHeight="1">
      <c r="A2021" t="str">
        <f>IF(Generation!AE55="","",Generation!AE55)</f>
        <v/>
      </c>
    </row>
    <row r="2022" spans="1:1" ht="18" customHeight="1">
      <c r="A2022" t="str">
        <f>IF(Generation!AF55="","",Generation!AF55)</f>
        <v/>
      </c>
    </row>
    <row r="2023" spans="1:1" ht="18" customHeight="1">
      <c r="A2023" t="str">
        <f>IF(Generation!AG55="","",Generation!AG55)</f>
        <v/>
      </c>
    </row>
    <row r="2024" spans="1:1" ht="18" customHeight="1">
      <c r="A2024" t="str">
        <f>IF(Generation!AH55="","",Generation!AH55)</f>
        <v/>
      </c>
    </row>
    <row r="2025" spans="1:1" ht="18" customHeight="1">
      <c r="A2025" t="str">
        <f>IF(Generation!AI55="","",Generation!AI55)</f>
        <v/>
      </c>
    </row>
    <row r="2026" spans="1:1" ht="18" customHeight="1">
      <c r="A2026" t="str">
        <f>IF(Generation!$B55,"        &lt;/render_choice&gt;","")</f>
        <v/>
      </c>
    </row>
    <row r="2027" spans="1:1" ht="18" customHeight="1">
      <c r="A2027" t="str">
        <f>IF(Generation!$B55,"      &lt;/response_lid&gt;","")</f>
        <v/>
      </c>
    </row>
    <row r="2028" spans="1:1" ht="18" customHeight="1">
      <c r="A2028" t="str">
        <f>IF(Generation!$B55,"    &lt;/presentation&gt;","")</f>
        <v/>
      </c>
    </row>
    <row r="2029" spans="1:1" ht="18" customHeight="1">
      <c r="A2029" t="str">
        <f>IF(Generation!$B55,"    &lt;resprocessing&gt;","")</f>
        <v/>
      </c>
    </row>
    <row r="2030" spans="1:1" ht="18" customHeight="1">
      <c r="A2030" t="str">
        <f>IF(Generation!$B55,"      &lt;outcomes&gt;&lt;decvar varname=""SCORE"" vartype=""Decimal"" minvalue=""0"" maxvalue="""&amp;Generation!$H55&amp;"""/&gt;&lt;/outcomes&gt;","")</f>
        <v/>
      </c>
    </row>
    <row r="2031" spans="1:1" ht="18" customHeight="1">
      <c r="A2031" t="str">
        <f>IF(Generation!AJ55="","",Generation!AJ55)</f>
        <v/>
      </c>
    </row>
    <row r="2032" spans="1:1" ht="18" customHeight="1">
      <c r="A2032" t="str">
        <f>IF(Generation!AK55="","",Generation!AK55)</f>
        <v/>
      </c>
    </row>
    <row r="2033" spans="1:1" ht="18" customHeight="1">
      <c r="A2033" t="str">
        <f>IF(Generation!AL55="","",Generation!AL55)</f>
        <v/>
      </c>
    </row>
    <row r="2034" spans="1:1" ht="18" customHeight="1">
      <c r="A2034" t="str">
        <f>IF(Generation!AM55="","",Generation!AM55)</f>
        <v/>
      </c>
    </row>
    <row r="2035" spans="1:1" ht="18" customHeight="1">
      <c r="A2035" t="str">
        <f>IF(Generation!AN55="","",Generation!AN55)</f>
        <v/>
      </c>
    </row>
    <row r="2036" spans="1:1" ht="18" customHeight="1">
      <c r="A2036" t="str">
        <f>IF(Generation!AO55="","",Generation!AO55)</f>
        <v/>
      </c>
    </row>
    <row r="2037" spans="1:1" ht="18" customHeight="1">
      <c r="A2037" t="str">
        <f>IF(Generation!AP55="","",Generation!AP55)</f>
        <v/>
      </c>
    </row>
    <row r="2038" spans="1:1" ht="18" customHeight="1">
      <c r="A2038" t="str">
        <f>IF(Generation!AQ55="","",Generation!AQ55)</f>
        <v/>
      </c>
    </row>
    <row r="2039" spans="1:1" ht="18" customHeight="1">
      <c r="A2039" t="str">
        <f>IF(Generation!$B55,"    &lt;/resprocessing&gt;","")</f>
        <v/>
      </c>
    </row>
    <row r="2040" spans="1:1" ht="18" customHeight="1">
      <c r="A2040" t="str">
        <f>IF(Generation!$B55,"    &lt;itemfeedback ident=""response""&gt;&lt;flow_mat&gt;&lt;material&gt;&lt;mattext texttype=""text/plain""&gt;&lt;/mattext&gt;&lt;/material&gt;&lt;/flow_mat&gt;&lt;/itemfeedback&gt;","")</f>
        <v/>
      </c>
    </row>
    <row r="2041" spans="1:1" ht="18" customHeight="1">
      <c r="A2041" t="str">
        <f>IF(Generation!$B55,"  &lt;/item&gt;","")</f>
        <v/>
      </c>
    </row>
    <row r="2042" spans="1:1" ht="18" customHeight="1">
      <c r="A2042" t="str">
        <f>IF(Generation!$B55,"","")</f>
        <v/>
      </c>
    </row>
    <row r="2043" spans="1:1" ht="18" customHeight="1">
      <c r="A2043" t="str">
        <f>""</f>
        <v/>
      </c>
    </row>
    <row r="2044" spans="1:1" ht="18" customHeight="1">
      <c r="A2044" t="str">
        <f>IF(Generation!$B56,"  &lt;item ident=""il_0_qst_"&amp;TEXT(Generation!$A56,"000")&amp;""" title="""&amp;Generation!$F56&amp;"""&gt;","")</f>
        <v/>
      </c>
    </row>
    <row r="2045" spans="1:1" ht="18" customHeight="1">
      <c r="A2045" t="str">
        <f>IF(Generation!$B56,"    &lt;duration&gt;P0Y0M0DT0H1M0S&lt;/duration&gt;","")</f>
        <v/>
      </c>
    </row>
    <row r="2046" spans="1:1" ht="18" customHeight="1">
      <c r="A2046" t="str">
        <f>IF(Generation!$B56,"    &lt;itemmetadata&gt;","")</f>
        <v/>
      </c>
    </row>
    <row r="2047" spans="1:1" ht="18" customHeight="1">
      <c r="A2047" t="str">
        <f>IF(Generation!$B56,"      &lt;qtimetadata&gt;","")</f>
        <v/>
      </c>
    </row>
    <row r="2048" spans="1:1" ht="18" customHeight="1">
      <c r="A2048" t="str">
        <f>IF(Generation!$B56,"        &lt;qtimetadatafield&gt;&lt;fieldlabel&gt;ILIAS_VERSION&lt;/fieldlabel&gt;&lt;fieldentry&gt;8&lt;/fieldentry&gt;&lt;/qtimetadatafield&gt;","")</f>
        <v/>
      </c>
    </row>
    <row r="2049" spans="1:1" ht="18" customHeight="1">
      <c r="A2049" t="str">
        <f>IF(Generation!$B56,"        &lt;qtimetadatafield&gt;&lt;fieldlabel&gt;QUESTIONTYPE&lt;/fieldlabel&gt;&lt;fieldentry&gt;"&amp;Generation!$D56&amp;"&lt;/fieldentry&gt;&lt;/qtimetadatafield&gt;","")</f>
        <v/>
      </c>
    </row>
    <row r="2050" spans="1:1" ht="18" customHeight="1">
      <c r="A2050" t="str">
        <f>IF(Generation!$B56,"        &lt;qtimetadatafield&gt;&lt;fieldlabel&gt;AUTHOR&lt;/fieldlabel&gt;&lt;fieldentry&gt;Générateur Excel QTI&lt;/fieldentry&gt;&lt;/qtimetadatafield&gt;","")</f>
        <v/>
      </c>
    </row>
    <row r="2051" spans="1:1" ht="18" customHeight="1">
      <c r="A2051" t="str">
        <f>IF(Generation!$B56,"        &lt;qtimetadatafield&gt;&lt;fieldlabel&gt;identicalScoring&lt;/fieldlabel&gt;&lt;fieldentry&gt;1&lt;/fieldentry&gt;&lt;/qtimetadatafield&gt;","")</f>
        <v/>
      </c>
    </row>
    <row r="2052" spans="1:1" ht="18" customHeight="1">
      <c r="A2052" t="str">
        <f>IF(Generation!$B56,"      &lt;/qtimetadata&gt;","")</f>
        <v/>
      </c>
    </row>
    <row r="2053" spans="1:1" ht="18" customHeight="1">
      <c r="A2053" t="str">
        <f>IF(Generation!$B56,"    &lt;/itemmetadata&gt;","")</f>
        <v/>
      </c>
    </row>
    <row r="2054" spans="1:1" ht="18" customHeight="1">
      <c r="A2054" t="str">
        <f>IF(Generation!$B56,"    &lt;presentation label="""&amp;Generation!$F56&amp;"""&gt;","")</f>
        <v/>
      </c>
    </row>
    <row r="2055" spans="1:1" ht="18" customHeight="1">
      <c r="A2055" t="str">
        <f>IF(Generation!$B56,"      &lt;material&gt;&lt;mattext texttype=""text/html""&gt;"&amp;Generation!$G56&amp;"&lt;/mattext&gt;&lt;/material&gt;","")</f>
        <v/>
      </c>
    </row>
    <row r="2056" spans="1:1" ht="18" customHeight="1">
      <c r="A2056" t="str">
        <f>IF(Generation!$B56,"      &lt;response_lid ident=""RESPONSE"" rcardinality="""&amp;Generation!$E56&amp;"""&gt;","")</f>
        <v/>
      </c>
    </row>
    <row r="2057" spans="1:1" ht="18" customHeight="1">
      <c r="A2057" t="str">
        <f>IF(Generation!$B56,"        &lt;render_choice shuffle=""No""&gt;","")</f>
        <v/>
      </c>
    </row>
    <row r="2058" spans="1:1" ht="18" customHeight="1">
      <c r="A2058" t="str">
        <f>IF(Generation!AB56="","",Generation!AB56)</f>
        <v/>
      </c>
    </row>
    <row r="2059" spans="1:1" ht="18" customHeight="1">
      <c r="A2059" t="str">
        <f>IF(Generation!AC56="","",Generation!AC56)</f>
        <v/>
      </c>
    </row>
    <row r="2060" spans="1:1" ht="18" customHeight="1">
      <c r="A2060" t="str">
        <f>IF(Generation!AD56="","",Generation!AD56)</f>
        <v/>
      </c>
    </row>
    <row r="2061" spans="1:1" ht="18" customHeight="1">
      <c r="A2061" t="str">
        <f>IF(Generation!AE56="","",Generation!AE56)</f>
        <v/>
      </c>
    </row>
    <row r="2062" spans="1:1" ht="18" customHeight="1">
      <c r="A2062" t="str">
        <f>IF(Generation!AF56="","",Generation!AF56)</f>
        <v/>
      </c>
    </row>
    <row r="2063" spans="1:1" ht="18" customHeight="1">
      <c r="A2063" t="str">
        <f>IF(Generation!AG56="","",Generation!AG56)</f>
        <v/>
      </c>
    </row>
    <row r="2064" spans="1:1" ht="18" customHeight="1">
      <c r="A2064" t="str">
        <f>IF(Generation!AH56="","",Generation!AH56)</f>
        <v/>
      </c>
    </row>
    <row r="2065" spans="1:1" ht="18" customHeight="1">
      <c r="A2065" t="str">
        <f>IF(Generation!AI56="","",Generation!AI56)</f>
        <v/>
      </c>
    </row>
    <row r="2066" spans="1:1" ht="18" customHeight="1">
      <c r="A2066" t="str">
        <f>IF(Generation!$B56,"        &lt;/render_choice&gt;","")</f>
        <v/>
      </c>
    </row>
    <row r="2067" spans="1:1" ht="18" customHeight="1">
      <c r="A2067" t="str">
        <f>IF(Generation!$B56,"      &lt;/response_lid&gt;","")</f>
        <v/>
      </c>
    </row>
    <row r="2068" spans="1:1" ht="18" customHeight="1">
      <c r="A2068" t="str">
        <f>IF(Generation!$B56,"    &lt;/presentation&gt;","")</f>
        <v/>
      </c>
    </row>
    <row r="2069" spans="1:1" ht="18" customHeight="1">
      <c r="A2069" t="str">
        <f>IF(Generation!$B56,"    &lt;resprocessing&gt;","")</f>
        <v/>
      </c>
    </row>
    <row r="2070" spans="1:1" ht="18" customHeight="1">
      <c r="A2070" t="str">
        <f>IF(Generation!$B56,"      &lt;outcomes&gt;&lt;decvar varname=""SCORE"" vartype=""Decimal"" minvalue=""0"" maxvalue="""&amp;Generation!$H56&amp;"""/&gt;&lt;/outcomes&gt;","")</f>
        <v/>
      </c>
    </row>
    <row r="2071" spans="1:1" ht="18" customHeight="1">
      <c r="A2071" t="str">
        <f>IF(Generation!AJ56="","",Generation!AJ56)</f>
        <v/>
      </c>
    </row>
    <row r="2072" spans="1:1" ht="18" customHeight="1">
      <c r="A2072" t="str">
        <f>IF(Generation!AK56="","",Generation!AK56)</f>
        <v/>
      </c>
    </row>
    <row r="2073" spans="1:1" ht="18" customHeight="1">
      <c r="A2073" t="str">
        <f>IF(Generation!AL56="","",Generation!AL56)</f>
        <v/>
      </c>
    </row>
    <row r="2074" spans="1:1" ht="18" customHeight="1">
      <c r="A2074" t="str">
        <f>IF(Generation!AM56="","",Generation!AM56)</f>
        <v/>
      </c>
    </row>
    <row r="2075" spans="1:1" ht="18" customHeight="1">
      <c r="A2075" t="str">
        <f>IF(Generation!AN56="","",Generation!AN56)</f>
        <v/>
      </c>
    </row>
    <row r="2076" spans="1:1" ht="18" customHeight="1">
      <c r="A2076" t="str">
        <f>IF(Generation!AO56="","",Generation!AO56)</f>
        <v/>
      </c>
    </row>
    <row r="2077" spans="1:1" ht="18" customHeight="1">
      <c r="A2077" t="str">
        <f>IF(Generation!AP56="","",Generation!AP56)</f>
        <v/>
      </c>
    </row>
    <row r="2078" spans="1:1" ht="18" customHeight="1">
      <c r="A2078" t="str">
        <f>IF(Generation!AQ56="","",Generation!AQ56)</f>
        <v/>
      </c>
    </row>
    <row r="2079" spans="1:1" ht="18" customHeight="1">
      <c r="A2079" t="str">
        <f>IF(Generation!$B56,"    &lt;/resprocessing&gt;","")</f>
        <v/>
      </c>
    </row>
    <row r="2080" spans="1:1" ht="18" customHeight="1">
      <c r="A2080" t="str">
        <f>IF(Generation!$B56,"    &lt;itemfeedback ident=""response""&gt;&lt;flow_mat&gt;&lt;material&gt;&lt;mattext texttype=""text/plain""&gt;&lt;/mattext&gt;&lt;/material&gt;&lt;/flow_mat&gt;&lt;/itemfeedback&gt;","")</f>
        <v/>
      </c>
    </row>
    <row r="2081" spans="1:1" ht="18" customHeight="1">
      <c r="A2081" t="str">
        <f>IF(Generation!$B56,"  &lt;/item&gt;","")</f>
        <v/>
      </c>
    </row>
    <row r="2082" spans="1:1" ht="18" customHeight="1">
      <c r="A2082" t="str">
        <f>IF(Generation!$B56,"","")</f>
        <v/>
      </c>
    </row>
    <row r="2083" spans="1:1" ht="18" customHeight="1">
      <c r="A2083" t="str">
        <f>""</f>
        <v/>
      </c>
    </row>
    <row r="2084" spans="1:1" ht="18" customHeight="1">
      <c r="A2084" t="str">
        <f>IF(Generation!$B57,"  &lt;item ident=""il_0_qst_"&amp;TEXT(Generation!$A57,"000")&amp;""" title="""&amp;Generation!$F57&amp;"""&gt;","")</f>
        <v/>
      </c>
    </row>
    <row r="2085" spans="1:1" ht="18" customHeight="1">
      <c r="A2085" t="str">
        <f>IF(Generation!$B57,"    &lt;duration&gt;P0Y0M0DT0H1M0S&lt;/duration&gt;","")</f>
        <v/>
      </c>
    </row>
    <row r="2086" spans="1:1" ht="18" customHeight="1">
      <c r="A2086" t="str">
        <f>IF(Generation!$B57,"    &lt;itemmetadata&gt;","")</f>
        <v/>
      </c>
    </row>
    <row r="2087" spans="1:1" ht="18" customHeight="1">
      <c r="A2087" t="str">
        <f>IF(Generation!$B57,"      &lt;qtimetadata&gt;","")</f>
        <v/>
      </c>
    </row>
    <row r="2088" spans="1:1" ht="18" customHeight="1">
      <c r="A2088" t="str">
        <f>IF(Generation!$B57,"        &lt;qtimetadatafield&gt;&lt;fieldlabel&gt;ILIAS_VERSION&lt;/fieldlabel&gt;&lt;fieldentry&gt;8&lt;/fieldentry&gt;&lt;/qtimetadatafield&gt;","")</f>
        <v/>
      </c>
    </row>
    <row r="2089" spans="1:1" ht="18" customHeight="1">
      <c r="A2089" t="str">
        <f>IF(Generation!$B57,"        &lt;qtimetadatafield&gt;&lt;fieldlabel&gt;QUESTIONTYPE&lt;/fieldlabel&gt;&lt;fieldentry&gt;"&amp;Generation!$D57&amp;"&lt;/fieldentry&gt;&lt;/qtimetadatafield&gt;","")</f>
        <v/>
      </c>
    </row>
    <row r="2090" spans="1:1" ht="18" customHeight="1">
      <c r="A2090" t="str">
        <f>IF(Generation!$B57,"        &lt;qtimetadatafield&gt;&lt;fieldlabel&gt;AUTHOR&lt;/fieldlabel&gt;&lt;fieldentry&gt;Générateur Excel QTI&lt;/fieldentry&gt;&lt;/qtimetadatafield&gt;","")</f>
        <v/>
      </c>
    </row>
    <row r="2091" spans="1:1" ht="18" customHeight="1">
      <c r="A2091" t="str">
        <f>IF(Generation!$B57,"        &lt;qtimetadatafield&gt;&lt;fieldlabel&gt;identicalScoring&lt;/fieldlabel&gt;&lt;fieldentry&gt;1&lt;/fieldentry&gt;&lt;/qtimetadatafield&gt;","")</f>
        <v/>
      </c>
    </row>
    <row r="2092" spans="1:1" ht="18" customHeight="1">
      <c r="A2092" t="str">
        <f>IF(Generation!$B57,"      &lt;/qtimetadata&gt;","")</f>
        <v/>
      </c>
    </row>
    <row r="2093" spans="1:1" ht="18" customHeight="1">
      <c r="A2093" t="str">
        <f>IF(Generation!$B57,"    &lt;/itemmetadata&gt;","")</f>
        <v/>
      </c>
    </row>
    <row r="2094" spans="1:1" ht="18" customHeight="1">
      <c r="A2094" t="str">
        <f>IF(Generation!$B57,"    &lt;presentation label="""&amp;Generation!$F57&amp;"""&gt;","")</f>
        <v/>
      </c>
    </row>
    <row r="2095" spans="1:1" ht="18" customHeight="1">
      <c r="A2095" t="str">
        <f>IF(Generation!$B57,"      &lt;material&gt;&lt;mattext texttype=""text/html""&gt;"&amp;Generation!$G57&amp;"&lt;/mattext&gt;&lt;/material&gt;","")</f>
        <v/>
      </c>
    </row>
    <row r="2096" spans="1:1" ht="18" customHeight="1">
      <c r="A2096" t="str">
        <f>IF(Generation!$B57,"      &lt;response_lid ident=""RESPONSE"" rcardinality="""&amp;Generation!$E57&amp;"""&gt;","")</f>
        <v/>
      </c>
    </row>
    <row r="2097" spans="1:1" ht="18" customHeight="1">
      <c r="A2097" t="str">
        <f>IF(Generation!$B57,"        &lt;render_choice shuffle=""No""&gt;","")</f>
        <v/>
      </c>
    </row>
    <row r="2098" spans="1:1" ht="18" customHeight="1">
      <c r="A2098" t="str">
        <f>IF(Generation!AB57="","",Generation!AB57)</f>
        <v/>
      </c>
    </row>
    <row r="2099" spans="1:1" ht="18" customHeight="1">
      <c r="A2099" t="str">
        <f>IF(Generation!AC57="","",Generation!AC57)</f>
        <v/>
      </c>
    </row>
    <row r="2100" spans="1:1" ht="18" customHeight="1">
      <c r="A2100" t="str">
        <f>IF(Generation!AD57="","",Generation!AD57)</f>
        <v/>
      </c>
    </row>
    <row r="2101" spans="1:1" ht="18" customHeight="1">
      <c r="A2101" t="str">
        <f>IF(Generation!AE57="","",Generation!AE57)</f>
        <v/>
      </c>
    </row>
    <row r="2102" spans="1:1" ht="18" customHeight="1">
      <c r="A2102" t="str">
        <f>IF(Generation!AF57="","",Generation!AF57)</f>
        <v/>
      </c>
    </row>
    <row r="2103" spans="1:1" ht="18" customHeight="1">
      <c r="A2103" t="str">
        <f>IF(Generation!AG57="","",Generation!AG57)</f>
        <v/>
      </c>
    </row>
    <row r="2104" spans="1:1" ht="18" customHeight="1">
      <c r="A2104" t="str">
        <f>IF(Generation!AH57="","",Generation!AH57)</f>
        <v/>
      </c>
    </row>
    <row r="2105" spans="1:1" ht="18" customHeight="1">
      <c r="A2105" t="str">
        <f>IF(Generation!AI57="","",Generation!AI57)</f>
        <v/>
      </c>
    </row>
    <row r="2106" spans="1:1" ht="18" customHeight="1">
      <c r="A2106" t="str">
        <f>IF(Generation!$B57,"        &lt;/render_choice&gt;","")</f>
        <v/>
      </c>
    </row>
    <row r="2107" spans="1:1" ht="18" customHeight="1">
      <c r="A2107" t="str">
        <f>IF(Generation!$B57,"      &lt;/response_lid&gt;","")</f>
        <v/>
      </c>
    </row>
    <row r="2108" spans="1:1" ht="18" customHeight="1">
      <c r="A2108" t="str">
        <f>IF(Generation!$B57,"    &lt;/presentation&gt;","")</f>
        <v/>
      </c>
    </row>
    <row r="2109" spans="1:1" ht="18" customHeight="1">
      <c r="A2109" t="str">
        <f>IF(Generation!$B57,"    &lt;resprocessing&gt;","")</f>
        <v/>
      </c>
    </row>
    <row r="2110" spans="1:1" ht="18" customHeight="1">
      <c r="A2110" t="str">
        <f>IF(Generation!$B57,"      &lt;outcomes&gt;&lt;decvar varname=""SCORE"" vartype=""Decimal"" minvalue=""0"" maxvalue="""&amp;Generation!$H57&amp;"""/&gt;&lt;/outcomes&gt;","")</f>
        <v/>
      </c>
    </row>
    <row r="2111" spans="1:1" ht="18" customHeight="1">
      <c r="A2111" t="str">
        <f>IF(Generation!AJ57="","",Generation!AJ57)</f>
        <v/>
      </c>
    </row>
    <row r="2112" spans="1:1" ht="18" customHeight="1">
      <c r="A2112" t="str">
        <f>IF(Generation!AK57="","",Generation!AK57)</f>
        <v/>
      </c>
    </row>
    <row r="2113" spans="1:1" ht="18" customHeight="1">
      <c r="A2113" t="str">
        <f>IF(Generation!AL57="","",Generation!AL57)</f>
        <v/>
      </c>
    </row>
    <row r="2114" spans="1:1" ht="18" customHeight="1">
      <c r="A2114" t="str">
        <f>IF(Generation!AM57="","",Generation!AM57)</f>
        <v/>
      </c>
    </row>
    <row r="2115" spans="1:1" ht="18" customHeight="1">
      <c r="A2115" t="str">
        <f>IF(Generation!AN57="","",Generation!AN57)</f>
        <v/>
      </c>
    </row>
    <row r="2116" spans="1:1" ht="18" customHeight="1">
      <c r="A2116" t="str">
        <f>IF(Generation!AO57="","",Generation!AO57)</f>
        <v/>
      </c>
    </row>
    <row r="2117" spans="1:1" ht="18" customHeight="1">
      <c r="A2117" t="str">
        <f>IF(Generation!AP57="","",Generation!AP57)</f>
        <v/>
      </c>
    </row>
    <row r="2118" spans="1:1" ht="18" customHeight="1">
      <c r="A2118" t="str">
        <f>IF(Generation!AQ57="","",Generation!AQ57)</f>
        <v/>
      </c>
    </row>
    <row r="2119" spans="1:1" ht="18" customHeight="1">
      <c r="A2119" t="str">
        <f>IF(Generation!$B57,"    &lt;/resprocessing&gt;","")</f>
        <v/>
      </c>
    </row>
    <row r="2120" spans="1:1" ht="18" customHeight="1">
      <c r="A2120" t="str">
        <f>IF(Generation!$B57,"    &lt;itemfeedback ident=""response""&gt;&lt;flow_mat&gt;&lt;material&gt;&lt;mattext texttype=""text/plain""&gt;&lt;/mattext&gt;&lt;/material&gt;&lt;/flow_mat&gt;&lt;/itemfeedback&gt;","")</f>
        <v/>
      </c>
    </row>
    <row r="2121" spans="1:1" ht="18" customHeight="1">
      <c r="A2121" t="str">
        <f>IF(Generation!$B57,"  &lt;/item&gt;","")</f>
        <v/>
      </c>
    </row>
    <row r="2122" spans="1:1" ht="18" customHeight="1">
      <c r="A2122" t="str">
        <f>IF(Generation!$B57,"","")</f>
        <v/>
      </c>
    </row>
    <row r="2123" spans="1:1" ht="18" customHeight="1">
      <c r="A2123" t="str">
        <f>""</f>
        <v/>
      </c>
    </row>
    <row r="2124" spans="1:1" ht="18" customHeight="1">
      <c r="A2124" t="str">
        <f>IF(Generation!$B58,"  &lt;item ident=""il_0_qst_"&amp;TEXT(Generation!$A58,"000")&amp;""" title="""&amp;Generation!$F58&amp;"""&gt;","")</f>
        <v/>
      </c>
    </row>
    <row r="2125" spans="1:1" ht="18" customHeight="1">
      <c r="A2125" t="str">
        <f>IF(Generation!$B58,"    &lt;duration&gt;P0Y0M0DT0H1M0S&lt;/duration&gt;","")</f>
        <v/>
      </c>
    </row>
    <row r="2126" spans="1:1" ht="18" customHeight="1">
      <c r="A2126" t="str">
        <f>IF(Generation!$B58,"    &lt;itemmetadata&gt;","")</f>
        <v/>
      </c>
    </row>
    <row r="2127" spans="1:1" ht="18" customHeight="1">
      <c r="A2127" t="str">
        <f>IF(Generation!$B58,"      &lt;qtimetadata&gt;","")</f>
        <v/>
      </c>
    </row>
    <row r="2128" spans="1:1" ht="18" customHeight="1">
      <c r="A2128" t="str">
        <f>IF(Generation!$B58,"        &lt;qtimetadatafield&gt;&lt;fieldlabel&gt;ILIAS_VERSION&lt;/fieldlabel&gt;&lt;fieldentry&gt;8&lt;/fieldentry&gt;&lt;/qtimetadatafield&gt;","")</f>
        <v/>
      </c>
    </row>
    <row r="2129" spans="1:1" ht="18" customHeight="1">
      <c r="A2129" t="str">
        <f>IF(Generation!$B58,"        &lt;qtimetadatafield&gt;&lt;fieldlabel&gt;QUESTIONTYPE&lt;/fieldlabel&gt;&lt;fieldentry&gt;"&amp;Generation!$D58&amp;"&lt;/fieldentry&gt;&lt;/qtimetadatafield&gt;","")</f>
        <v/>
      </c>
    </row>
    <row r="2130" spans="1:1" ht="18" customHeight="1">
      <c r="A2130" t="str">
        <f>IF(Generation!$B58,"        &lt;qtimetadatafield&gt;&lt;fieldlabel&gt;AUTHOR&lt;/fieldlabel&gt;&lt;fieldentry&gt;Générateur Excel QTI&lt;/fieldentry&gt;&lt;/qtimetadatafield&gt;","")</f>
        <v/>
      </c>
    </row>
    <row r="2131" spans="1:1" ht="18" customHeight="1">
      <c r="A2131" t="str">
        <f>IF(Generation!$B58,"        &lt;qtimetadatafield&gt;&lt;fieldlabel&gt;identicalScoring&lt;/fieldlabel&gt;&lt;fieldentry&gt;1&lt;/fieldentry&gt;&lt;/qtimetadatafield&gt;","")</f>
        <v/>
      </c>
    </row>
    <row r="2132" spans="1:1" ht="18" customHeight="1">
      <c r="A2132" t="str">
        <f>IF(Generation!$B58,"      &lt;/qtimetadata&gt;","")</f>
        <v/>
      </c>
    </row>
    <row r="2133" spans="1:1" ht="18" customHeight="1">
      <c r="A2133" t="str">
        <f>IF(Generation!$B58,"    &lt;/itemmetadata&gt;","")</f>
        <v/>
      </c>
    </row>
    <row r="2134" spans="1:1" ht="18" customHeight="1">
      <c r="A2134" t="str">
        <f>IF(Generation!$B58,"    &lt;presentation label="""&amp;Generation!$F58&amp;"""&gt;","")</f>
        <v/>
      </c>
    </row>
    <row r="2135" spans="1:1" ht="18" customHeight="1">
      <c r="A2135" t="str">
        <f>IF(Generation!$B58,"      &lt;material&gt;&lt;mattext texttype=""text/html""&gt;"&amp;Generation!$G58&amp;"&lt;/mattext&gt;&lt;/material&gt;","")</f>
        <v/>
      </c>
    </row>
    <row r="2136" spans="1:1" ht="18" customHeight="1">
      <c r="A2136" t="str">
        <f>IF(Generation!$B58,"      &lt;response_lid ident=""RESPONSE"" rcardinality="""&amp;Generation!$E58&amp;"""&gt;","")</f>
        <v/>
      </c>
    </row>
    <row r="2137" spans="1:1" ht="18" customHeight="1">
      <c r="A2137" t="str">
        <f>IF(Generation!$B58,"        &lt;render_choice shuffle=""No""&gt;","")</f>
        <v/>
      </c>
    </row>
    <row r="2138" spans="1:1" ht="18" customHeight="1">
      <c r="A2138" t="str">
        <f>IF(Generation!AB58="","",Generation!AB58)</f>
        <v/>
      </c>
    </row>
    <row r="2139" spans="1:1" ht="18" customHeight="1">
      <c r="A2139" t="str">
        <f>IF(Generation!AC58="","",Generation!AC58)</f>
        <v/>
      </c>
    </row>
    <row r="2140" spans="1:1" ht="18" customHeight="1">
      <c r="A2140" t="str">
        <f>IF(Generation!AD58="","",Generation!AD58)</f>
        <v/>
      </c>
    </row>
    <row r="2141" spans="1:1" ht="18" customHeight="1">
      <c r="A2141" t="str">
        <f>IF(Generation!AE58="","",Generation!AE58)</f>
        <v/>
      </c>
    </row>
    <row r="2142" spans="1:1" ht="18" customHeight="1">
      <c r="A2142" t="str">
        <f>IF(Generation!AF58="","",Generation!AF58)</f>
        <v/>
      </c>
    </row>
    <row r="2143" spans="1:1" ht="18" customHeight="1">
      <c r="A2143" t="str">
        <f>IF(Generation!AG58="","",Generation!AG58)</f>
        <v/>
      </c>
    </row>
    <row r="2144" spans="1:1" ht="18" customHeight="1">
      <c r="A2144" t="str">
        <f>IF(Generation!AH58="","",Generation!AH58)</f>
        <v/>
      </c>
    </row>
    <row r="2145" spans="1:1" ht="18" customHeight="1">
      <c r="A2145" t="str">
        <f>IF(Generation!AI58="","",Generation!AI58)</f>
        <v/>
      </c>
    </row>
    <row r="2146" spans="1:1" ht="18" customHeight="1">
      <c r="A2146" t="str">
        <f>IF(Generation!$B58,"        &lt;/render_choice&gt;","")</f>
        <v/>
      </c>
    </row>
    <row r="2147" spans="1:1" ht="18" customHeight="1">
      <c r="A2147" t="str">
        <f>IF(Generation!$B58,"      &lt;/response_lid&gt;","")</f>
        <v/>
      </c>
    </row>
    <row r="2148" spans="1:1" ht="18" customHeight="1">
      <c r="A2148" t="str">
        <f>IF(Generation!$B58,"    &lt;/presentation&gt;","")</f>
        <v/>
      </c>
    </row>
    <row r="2149" spans="1:1" ht="18" customHeight="1">
      <c r="A2149" t="str">
        <f>IF(Generation!$B58,"    &lt;resprocessing&gt;","")</f>
        <v/>
      </c>
    </row>
    <row r="2150" spans="1:1" ht="18" customHeight="1">
      <c r="A2150" t="str">
        <f>IF(Generation!$B58,"      &lt;outcomes&gt;&lt;decvar varname=""SCORE"" vartype=""Decimal"" minvalue=""0"" maxvalue="""&amp;Generation!$H58&amp;"""/&gt;&lt;/outcomes&gt;","")</f>
        <v/>
      </c>
    </row>
    <row r="2151" spans="1:1" ht="18" customHeight="1">
      <c r="A2151" t="str">
        <f>IF(Generation!AJ58="","",Generation!AJ58)</f>
        <v/>
      </c>
    </row>
    <row r="2152" spans="1:1" ht="18" customHeight="1">
      <c r="A2152" t="str">
        <f>IF(Generation!AK58="","",Generation!AK58)</f>
        <v/>
      </c>
    </row>
    <row r="2153" spans="1:1" ht="18" customHeight="1">
      <c r="A2153" t="str">
        <f>IF(Generation!AL58="","",Generation!AL58)</f>
        <v/>
      </c>
    </row>
    <row r="2154" spans="1:1" ht="18" customHeight="1">
      <c r="A2154" t="str">
        <f>IF(Generation!AM58="","",Generation!AM58)</f>
        <v/>
      </c>
    </row>
    <row r="2155" spans="1:1" ht="18" customHeight="1">
      <c r="A2155" t="str">
        <f>IF(Generation!AN58="","",Generation!AN58)</f>
        <v/>
      </c>
    </row>
    <row r="2156" spans="1:1" ht="18" customHeight="1">
      <c r="A2156" t="str">
        <f>IF(Generation!AO58="","",Generation!AO58)</f>
        <v/>
      </c>
    </row>
    <row r="2157" spans="1:1" ht="18" customHeight="1">
      <c r="A2157" t="str">
        <f>IF(Generation!AP58="","",Generation!AP58)</f>
        <v/>
      </c>
    </row>
    <row r="2158" spans="1:1" ht="18" customHeight="1">
      <c r="A2158" t="str">
        <f>IF(Generation!AQ58="","",Generation!AQ58)</f>
        <v/>
      </c>
    </row>
    <row r="2159" spans="1:1" ht="18" customHeight="1">
      <c r="A2159" t="str">
        <f>IF(Generation!$B58,"    &lt;/resprocessing&gt;","")</f>
        <v/>
      </c>
    </row>
    <row r="2160" spans="1:1" ht="18" customHeight="1">
      <c r="A2160" t="str">
        <f>IF(Generation!$B58,"    &lt;itemfeedback ident=""response""&gt;&lt;flow_mat&gt;&lt;material&gt;&lt;mattext texttype=""text/plain""&gt;&lt;/mattext&gt;&lt;/material&gt;&lt;/flow_mat&gt;&lt;/itemfeedback&gt;","")</f>
        <v/>
      </c>
    </row>
    <row r="2161" spans="1:1" ht="18" customHeight="1">
      <c r="A2161" t="str">
        <f>IF(Generation!$B58,"  &lt;/item&gt;","")</f>
        <v/>
      </c>
    </row>
    <row r="2162" spans="1:1" ht="18" customHeight="1">
      <c r="A2162" t="str">
        <f>IF(Generation!$B58,"","")</f>
        <v/>
      </c>
    </row>
    <row r="2163" spans="1:1" ht="18" customHeight="1">
      <c r="A2163" t="str">
        <f>""</f>
        <v/>
      </c>
    </row>
    <row r="2164" spans="1:1" ht="18" customHeight="1">
      <c r="A2164" t="str">
        <f>IF(Generation!$B59,"  &lt;item ident=""il_0_qst_"&amp;TEXT(Generation!$A59,"000")&amp;""" title="""&amp;Generation!$F59&amp;"""&gt;","")</f>
        <v/>
      </c>
    </row>
    <row r="2165" spans="1:1" ht="18" customHeight="1">
      <c r="A2165" t="str">
        <f>IF(Generation!$B59,"    &lt;duration&gt;P0Y0M0DT0H1M0S&lt;/duration&gt;","")</f>
        <v/>
      </c>
    </row>
    <row r="2166" spans="1:1" ht="18" customHeight="1">
      <c r="A2166" t="str">
        <f>IF(Generation!$B59,"    &lt;itemmetadata&gt;","")</f>
        <v/>
      </c>
    </row>
    <row r="2167" spans="1:1" ht="18" customHeight="1">
      <c r="A2167" t="str">
        <f>IF(Generation!$B59,"      &lt;qtimetadata&gt;","")</f>
        <v/>
      </c>
    </row>
    <row r="2168" spans="1:1" ht="18" customHeight="1">
      <c r="A2168" t="str">
        <f>IF(Generation!$B59,"        &lt;qtimetadatafield&gt;&lt;fieldlabel&gt;ILIAS_VERSION&lt;/fieldlabel&gt;&lt;fieldentry&gt;8&lt;/fieldentry&gt;&lt;/qtimetadatafield&gt;","")</f>
        <v/>
      </c>
    </row>
    <row r="2169" spans="1:1" ht="18" customHeight="1">
      <c r="A2169" t="str">
        <f>IF(Generation!$B59,"        &lt;qtimetadatafield&gt;&lt;fieldlabel&gt;QUESTIONTYPE&lt;/fieldlabel&gt;&lt;fieldentry&gt;"&amp;Generation!$D59&amp;"&lt;/fieldentry&gt;&lt;/qtimetadatafield&gt;","")</f>
        <v/>
      </c>
    </row>
    <row r="2170" spans="1:1" ht="18" customHeight="1">
      <c r="A2170" t="str">
        <f>IF(Generation!$B59,"        &lt;qtimetadatafield&gt;&lt;fieldlabel&gt;AUTHOR&lt;/fieldlabel&gt;&lt;fieldentry&gt;Générateur Excel QTI&lt;/fieldentry&gt;&lt;/qtimetadatafield&gt;","")</f>
        <v/>
      </c>
    </row>
    <row r="2171" spans="1:1" ht="18" customHeight="1">
      <c r="A2171" t="str">
        <f>IF(Generation!$B59,"        &lt;qtimetadatafield&gt;&lt;fieldlabel&gt;identicalScoring&lt;/fieldlabel&gt;&lt;fieldentry&gt;1&lt;/fieldentry&gt;&lt;/qtimetadatafield&gt;","")</f>
        <v/>
      </c>
    </row>
    <row r="2172" spans="1:1" ht="18" customHeight="1">
      <c r="A2172" t="str">
        <f>IF(Generation!$B59,"      &lt;/qtimetadata&gt;","")</f>
        <v/>
      </c>
    </row>
    <row r="2173" spans="1:1" ht="18" customHeight="1">
      <c r="A2173" t="str">
        <f>IF(Generation!$B59,"    &lt;/itemmetadata&gt;","")</f>
        <v/>
      </c>
    </row>
    <row r="2174" spans="1:1" ht="18" customHeight="1">
      <c r="A2174" t="str">
        <f>IF(Generation!$B59,"    &lt;presentation label="""&amp;Generation!$F59&amp;"""&gt;","")</f>
        <v/>
      </c>
    </row>
    <row r="2175" spans="1:1" ht="18" customHeight="1">
      <c r="A2175" t="str">
        <f>IF(Generation!$B59,"      &lt;material&gt;&lt;mattext texttype=""text/html""&gt;"&amp;Generation!$G59&amp;"&lt;/mattext&gt;&lt;/material&gt;","")</f>
        <v/>
      </c>
    </row>
    <row r="2176" spans="1:1" ht="18" customHeight="1">
      <c r="A2176" t="str">
        <f>IF(Generation!$B59,"      &lt;response_lid ident=""RESPONSE"" rcardinality="""&amp;Generation!$E59&amp;"""&gt;","")</f>
        <v/>
      </c>
    </row>
    <row r="2177" spans="1:1" ht="18" customHeight="1">
      <c r="A2177" t="str">
        <f>IF(Generation!$B59,"        &lt;render_choice shuffle=""No""&gt;","")</f>
        <v/>
      </c>
    </row>
    <row r="2178" spans="1:1" ht="18" customHeight="1">
      <c r="A2178" t="str">
        <f>IF(Generation!AB59="","",Generation!AB59)</f>
        <v/>
      </c>
    </row>
    <row r="2179" spans="1:1" ht="18" customHeight="1">
      <c r="A2179" t="str">
        <f>IF(Generation!AC59="","",Generation!AC59)</f>
        <v/>
      </c>
    </row>
    <row r="2180" spans="1:1" ht="18" customHeight="1">
      <c r="A2180" t="str">
        <f>IF(Generation!AD59="","",Generation!AD59)</f>
        <v/>
      </c>
    </row>
    <row r="2181" spans="1:1" ht="18" customHeight="1">
      <c r="A2181" t="str">
        <f>IF(Generation!AE59="","",Generation!AE59)</f>
        <v/>
      </c>
    </row>
    <row r="2182" spans="1:1" ht="18" customHeight="1">
      <c r="A2182" t="str">
        <f>IF(Generation!AF59="","",Generation!AF59)</f>
        <v/>
      </c>
    </row>
    <row r="2183" spans="1:1" ht="18" customHeight="1">
      <c r="A2183" t="str">
        <f>IF(Generation!AG59="","",Generation!AG59)</f>
        <v/>
      </c>
    </row>
    <row r="2184" spans="1:1" ht="18" customHeight="1">
      <c r="A2184" t="str">
        <f>IF(Generation!AH59="","",Generation!AH59)</f>
        <v/>
      </c>
    </row>
    <row r="2185" spans="1:1" ht="18" customHeight="1">
      <c r="A2185" t="str">
        <f>IF(Generation!AI59="","",Generation!AI59)</f>
        <v/>
      </c>
    </row>
    <row r="2186" spans="1:1" ht="18" customHeight="1">
      <c r="A2186" t="str">
        <f>IF(Generation!$B59,"        &lt;/render_choice&gt;","")</f>
        <v/>
      </c>
    </row>
    <row r="2187" spans="1:1" ht="18" customHeight="1">
      <c r="A2187" t="str">
        <f>IF(Generation!$B59,"      &lt;/response_lid&gt;","")</f>
        <v/>
      </c>
    </row>
    <row r="2188" spans="1:1" ht="18" customHeight="1">
      <c r="A2188" t="str">
        <f>IF(Generation!$B59,"    &lt;/presentation&gt;","")</f>
        <v/>
      </c>
    </row>
    <row r="2189" spans="1:1" ht="18" customHeight="1">
      <c r="A2189" t="str">
        <f>IF(Generation!$B59,"    &lt;resprocessing&gt;","")</f>
        <v/>
      </c>
    </row>
    <row r="2190" spans="1:1" ht="18" customHeight="1">
      <c r="A2190" t="str">
        <f>IF(Generation!$B59,"      &lt;outcomes&gt;&lt;decvar varname=""SCORE"" vartype=""Decimal"" minvalue=""0"" maxvalue="""&amp;Generation!$H59&amp;"""/&gt;&lt;/outcomes&gt;","")</f>
        <v/>
      </c>
    </row>
    <row r="2191" spans="1:1" ht="18" customHeight="1">
      <c r="A2191" t="str">
        <f>IF(Generation!AJ59="","",Generation!AJ59)</f>
        <v/>
      </c>
    </row>
    <row r="2192" spans="1:1" ht="18" customHeight="1">
      <c r="A2192" t="str">
        <f>IF(Generation!AK59="","",Generation!AK59)</f>
        <v/>
      </c>
    </row>
    <row r="2193" spans="1:1" ht="18" customHeight="1">
      <c r="A2193" t="str">
        <f>IF(Generation!AL59="","",Generation!AL59)</f>
        <v/>
      </c>
    </row>
    <row r="2194" spans="1:1" ht="18" customHeight="1">
      <c r="A2194" t="str">
        <f>IF(Generation!AM59="","",Generation!AM59)</f>
        <v/>
      </c>
    </row>
    <row r="2195" spans="1:1" ht="18" customHeight="1">
      <c r="A2195" t="str">
        <f>IF(Generation!AN59="","",Generation!AN59)</f>
        <v/>
      </c>
    </row>
    <row r="2196" spans="1:1" ht="18" customHeight="1">
      <c r="A2196" t="str">
        <f>IF(Generation!AO59="","",Generation!AO59)</f>
        <v/>
      </c>
    </row>
    <row r="2197" spans="1:1" ht="18" customHeight="1">
      <c r="A2197" t="str">
        <f>IF(Generation!AP59="","",Generation!AP59)</f>
        <v/>
      </c>
    </row>
    <row r="2198" spans="1:1" ht="18" customHeight="1">
      <c r="A2198" t="str">
        <f>IF(Generation!AQ59="","",Generation!AQ59)</f>
        <v/>
      </c>
    </row>
    <row r="2199" spans="1:1" ht="18" customHeight="1">
      <c r="A2199" t="str">
        <f>IF(Generation!$B59,"    &lt;/resprocessing&gt;","")</f>
        <v/>
      </c>
    </row>
    <row r="2200" spans="1:1" ht="18" customHeight="1">
      <c r="A2200" t="str">
        <f>IF(Generation!$B59,"    &lt;itemfeedback ident=""response""&gt;&lt;flow_mat&gt;&lt;material&gt;&lt;mattext texttype=""text/plain""&gt;&lt;/mattext&gt;&lt;/material&gt;&lt;/flow_mat&gt;&lt;/itemfeedback&gt;","")</f>
        <v/>
      </c>
    </row>
    <row r="2201" spans="1:1" ht="18" customHeight="1">
      <c r="A2201" t="str">
        <f>IF(Generation!$B59,"  &lt;/item&gt;","")</f>
        <v/>
      </c>
    </row>
    <row r="2202" spans="1:1" ht="18" customHeight="1">
      <c r="A2202" t="str">
        <f>IF(Generation!$B59,"","")</f>
        <v/>
      </c>
    </row>
    <row r="2203" spans="1:1" ht="18" customHeight="1">
      <c r="A2203" t="str">
        <f>""</f>
        <v/>
      </c>
    </row>
    <row r="2204" spans="1:1" ht="18" customHeight="1">
      <c r="A2204" t="str">
        <f>IF(Generation!$B60,"  &lt;item ident=""il_0_qst_"&amp;TEXT(Generation!$A60,"000")&amp;""" title="""&amp;Generation!$F60&amp;"""&gt;","")</f>
        <v/>
      </c>
    </row>
    <row r="2205" spans="1:1" ht="18" customHeight="1">
      <c r="A2205" t="str">
        <f>IF(Generation!$B60,"    &lt;duration&gt;P0Y0M0DT0H1M0S&lt;/duration&gt;","")</f>
        <v/>
      </c>
    </row>
    <row r="2206" spans="1:1" ht="18" customHeight="1">
      <c r="A2206" t="str">
        <f>IF(Generation!$B60,"    &lt;itemmetadata&gt;","")</f>
        <v/>
      </c>
    </row>
    <row r="2207" spans="1:1" ht="18" customHeight="1">
      <c r="A2207" t="str">
        <f>IF(Generation!$B60,"      &lt;qtimetadata&gt;","")</f>
        <v/>
      </c>
    </row>
    <row r="2208" spans="1:1" ht="18" customHeight="1">
      <c r="A2208" t="str">
        <f>IF(Generation!$B60,"        &lt;qtimetadatafield&gt;&lt;fieldlabel&gt;ILIAS_VERSION&lt;/fieldlabel&gt;&lt;fieldentry&gt;8&lt;/fieldentry&gt;&lt;/qtimetadatafield&gt;","")</f>
        <v/>
      </c>
    </row>
    <row r="2209" spans="1:1" ht="18" customHeight="1">
      <c r="A2209" t="str">
        <f>IF(Generation!$B60,"        &lt;qtimetadatafield&gt;&lt;fieldlabel&gt;QUESTIONTYPE&lt;/fieldlabel&gt;&lt;fieldentry&gt;"&amp;Generation!$D60&amp;"&lt;/fieldentry&gt;&lt;/qtimetadatafield&gt;","")</f>
        <v/>
      </c>
    </row>
    <row r="2210" spans="1:1" ht="18" customHeight="1">
      <c r="A2210" t="str">
        <f>IF(Generation!$B60,"        &lt;qtimetadatafield&gt;&lt;fieldlabel&gt;AUTHOR&lt;/fieldlabel&gt;&lt;fieldentry&gt;Générateur Excel QTI&lt;/fieldentry&gt;&lt;/qtimetadatafield&gt;","")</f>
        <v/>
      </c>
    </row>
    <row r="2211" spans="1:1" ht="18" customHeight="1">
      <c r="A2211" t="str">
        <f>IF(Generation!$B60,"        &lt;qtimetadatafield&gt;&lt;fieldlabel&gt;identicalScoring&lt;/fieldlabel&gt;&lt;fieldentry&gt;1&lt;/fieldentry&gt;&lt;/qtimetadatafield&gt;","")</f>
        <v/>
      </c>
    </row>
    <row r="2212" spans="1:1" ht="18" customHeight="1">
      <c r="A2212" t="str">
        <f>IF(Generation!$B60,"      &lt;/qtimetadata&gt;","")</f>
        <v/>
      </c>
    </row>
    <row r="2213" spans="1:1" ht="18" customHeight="1">
      <c r="A2213" t="str">
        <f>IF(Generation!$B60,"    &lt;/itemmetadata&gt;","")</f>
        <v/>
      </c>
    </row>
    <row r="2214" spans="1:1" ht="18" customHeight="1">
      <c r="A2214" t="str">
        <f>IF(Generation!$B60,"    &lt;presentation label="""&amp;Generation!$F60&amp;"""&gt;","")</f>
        <v/>
      </c>
    </row>
    <row r="2215" spans="1:1" ht="18" customHeight="1">
      <c r="A2215" t="str">
        <f>IF(Generation!$B60,"      &lt;material&gt;&lt;mattext texttype=""text/html""&gt;"&amp;Generation!$G60&amp;"&lt;/mattext&gt;&lt;/material&gt;","")</f>
        <v/>
      </c>
    </row>
    <row r="2216" spans="1:1" ht="18" customHeight="1">
      <c r="A2216" t="str">
        <f>IF(Generation!$B60,"      &lt;response_lid ident=""RESPONSE"" rcardinality="""&amp;Generation!$E60&amp;"""&gt;","")</f>
        <v/>
      </c>
    </row>
    <row r="2217" spans="1:1" ht="18" customHeight="1">
      <c r="A2217" t="str">
        <f>IF(Generation!$B60,"        &lt;render_choice shuffle=""No""&gt;","")</f>
        <v/>
      </c>
    </row>
    <row r="2218" spans="1:1" ht="18" customHeight="1">
      <c r="A2218" t="str">
        <f>IF(Generation!AB60="","",Generation!AB60)</f>
        <v/>
      </c>
    </row>
    <row r="2219" spans="1:1" ht="18" customHeight="1">
      <c r="A2219" t="str">
        <f>IF(Generation!AC60="","",Generation!AC60)</f>
        <v/>
      </c>
    </row>
    <row r="2220" spans="1:1" ht="18" customHeight="1">
      <c r="A2220" t="str">
        <f>IF(Generation!AD60="","",Generation!AD60)</f>
        <v/>
      </c>
    </row>
    <row r="2221" spans="1:1" ht="18" customHeight="1">
      <c r="A2221" t="str">
        <f>IF(Generation!AE60="","",Generation!AE60)</f>
        <v/>
      </c>
    </row>
    <row r="2222" spans="1:1" ht="18" customHeight="1">
      <c r="A2222" t="str">
        <f>IF(Generation!AF60="","",Generation!AF60)</f>
        <v/>
      </c>
    </row>
    <row r="2223" spans="1:1" ht="18" customHeight="1">
      <c r="A2223" t="str">
        <f>IF(Generation!AG60="","",Generation!AG60)</f>
        <v/>
      </c>
    </row>
    <row r="2224" spans="1:1" ht="18" customHeight="1">
      <c r="A2224" t="str">
        <f>IF(Generation!AH60="","",Generation!AH60)</f>
        <v/>
      </c>
    </row>
    <row r="2225" spans="1:1" ht="18" customHeight="1">
      <c r="A2225" t="str">
        <f>IF(Generation!AI60="","",Generation!AI60)</f>
        <v/>
      </c>
    </row>
    <row r="2226" spans="1:1" ht="18" customHeight="1">
      <c r="A2226" t="str">
        <f>IF(Generation!$B60,"        &lt;/render_choice&gt;","")</f>
        <v/>
      </c>
    </row>
    <row r="2227" spans="1:1" ht="18" customHeight="1">
      <c r="A2227" t="str">
        <f>IF(Generation!$B60,"      &lt;/response_lid&gt;","")</f>
        <v/>
      </c>
    </row>
    <row r="2228" spans="1:1" ht="18" customHeight="1">
      <c r="A2228" t="str">
        <f>IF(Generation!$B60,"    &lt;/presentation&gt;","")</f>
        <v/>
      </c>
    </row>
    <row r="2229" spans="1:1" ht="18" customHeight="1">
      <c r="A2229" t="str">
        <f>IF(Generation!$B60,"    &lt;resprocessing&gt;","")</f>
        <v/>
      </c>
    </row>
    <row r="2230" spans="1:1" ht="18" customHeight="1">
      <c r="A2230" t="str">
        <f>IF(Generation!$B60,"      &lt;outcomes&gt;&lt;decvar varname=""SCORE"" vartype=""Decimal"" minvalue=""0"" maxvalue="""&amp;Generation!$H60&amp;"""/&gt;&lt;/outcomes&gt;","")</f>
        <v/>
      </c>
    </row>
    <row r="2231" spans="1:1" ht="18" customHeight="1">
      <c r="A2231" t="str">
        <f>IF(Generation!AJ60="","",Generation!AJ60)</f>
        <v/>
      </c>
    </row>
    <row r="2232" spans="1:1" ht="18" customHeight="1">
      <c r="A2232" t="str">
        <f>IF(Generation!AK60="","",Generation!AK60)</f>
        <v/>
      </c>
    </row>
    <row r="2233" spans="1:1" ht="18" customHeight="1">
      <c r="A2233" t="str">
        <f>IF(Generation!AL60="","",Generation!AL60)</f>
        <v/>
      </c>
    </row>
    <row r="2234" spans="1:1" ht="18" customHeight="1">
      <c r="A2234" t="str">
        <f>IF(Generation!AM60="","",Generation!AM60)</f>
        <v/>
      </c>
    </row>
    <row r="2235" spans="1:1" ht="18" customHeight="1">
      <c r="A2235" t="str">
        <f>IF(Generation!AN60="","",Generation!AN60)</f>
        <v/>
      </c>
    </row>
    <row r="2236" spans="1:1" ht="18" customHeight="1">
      <c r="A2236" t="str">
        <f>IF(Generation!AO60="","",Generation!AO60)</f>
        <v/>
      </c>
    </row>
    <row r="2237" spans="1:1" ht="18" customHeight="1">
      <c r="A2237" t="str">
        <f>IF(Generation!AP60="","",Generation!AP60)</f>
        <v/>
      </c>
    </row>
    <row r="2238" spans="1:1" ht="18" customHeight="1">
      <c r="A2238" t="str">
        <f>IF(Generation!AQ60="","",Generation!AQ60)</f>
        <v/>
      </c>
    </row>
    <row r="2239" spans="1:1" ht="18" customHeight="1">
      <c r="A2239" t="str">
        <f>IF(Generation!$B60,"    &lt;/resprocessing&gt;","")</f>
        <v/>
      </c>
    </row>
    <row r="2240" spans="1:1" ht="18" customHeight="1">
      <c r="A2240" t="str">
        <f>IF(Generation!$B60,"    &lt;itemfeedback ident=""response""&gt;&lt;flow_mat&gt;&lt;material&gt;&lt;mattext texttype=""text/plain""&gt;&lt;/mattext&gt;&lt;/material&gt;&lt;/flow_mat&gt;&lt;/itemfeedback&gt;","")</f>
        <v/>
      </c>
    </row>
    <row r="2241" spans="1:1" ht="18" customHeight="1">
      <c r="A2241" t="str">
        <f>IF(Generation!$B60,"  &lt;/item&gt;","")</f>
        <v/>
      </c>
    </row>
    <row r="2242" spans="1:1" ht="18" customHeight="1">
      <c r="A2242" t="str">
        <f>IF(Generation!$B60,"","")</f>
        <v/>
      </c>
    </row>
    <row r="2243" spans="1:1" ht="18" customHeight="1">
      <c r="A2243" t="str">
        <f>""</f>
        <v/>
      </c>
    </row>
    <row r="2244" spans="1:1" ht="18" customHeight="1">
      <c r="A2244" t="str">
        <f>IF(Generation!$B61,"  &lt;item ident=""il_0_qst_"&amp;TEXT(Generation!$A61,"000")&amp;""" title="""&amp;Generation!$F61&amp;"""&gt;","")</f>
        <v/>
      </c>
    </row>
    <row r="2245" spans="1:1" ht="18" customHeight="1">
      <c r="A2245" t="str">
        <f>IF(Generation!$B61,"    &lt;duration&gt;P0Y0M0DT0H1M0S&lt;/duration&gt;","")</f>
        <v/>
      </c>
    </row>
    <row r="2246" spans="1:1" ht="18" customHeight="1">
      <c r="A2246" t="str">
        <f>IF(Generation!$B61,"    &lt;itemmetadata&gt;","")</f>
        <v/>
      </c>
    </row>
    <row r="2247" spans="1:1" ht="18" customHeight="1">
      <c r="A2247" t="str">
        <f>IF(Generation!$B61,"      &lt;qtimetadata&gt;","")</f>
        <v/>
      </c>
    </row>
    <row r="2248" spans="1:1" ht="18" customHeight="1">
      <c r="A2248" t="str">
        <f>IF(Generation!$B61,"        &lt;qtimetadatafield&gt;&lt;fieldlabel&gt;ILIAS_VERSION&lt;/fieldlabel&gt;&lt;fieldentry&gt;8&lt;/fieldentry&gt;&lt;/qtimetadatafield&gt;","")</f>
        <v/>
      </c>
    </row>
    <row r="2249" spans="1:1" ht="18" customHeight="1">
      <c r="A2249" t="str">
        <f>IF(Generation!$B61,"        &lt;qtimetadatafield&gt;&lt;fieldlabel&gt;QUESTIONTYPE&lt;/fieldlabel&gt;&lt;fieldentry&gt;"&amp;Generation!$D61&amp;"&lt;/fieldentry&gt;&lt;/qtimetadatafield&gt;","")</f>
        <v/>
      </c>
    </row>
    <row r="2250" spans="1:1" ht="18" customHeight="1">
      <c r="A2250" t="str">
        <f>IF(Generation!$B61,"        &lt;qtimetadatafield&gt;&lt;fieldlabel&gt;AUTHOR&lt;/fieldlabel&gt;&lt;fieldentry&gt;Générateur Excel QTI&lt;/fieldentry&gt;&lt;/qtimetadatafield&gt;","")</f>
        <v/>
      </c>
    </row>
    <row r="2251" spans="1:1" ht="18" customHeight="1">
      <c r="A2251" t="str">
        <f>IF(Generation!$B61,"        &lt;qtimetadatafield&gt;&lt;fieldlabel&gt;identicalScoring&lt;/fieldlabel&gt;&lt;fieldentry&gt;1&lt;/fieldentry&gt;&lt;/qtimetadatafield&gt;","")</f>
        <v/>
      </c>
    </row>
    <row r="2252" spans="1:1" ht="18" customHeight="1">
      <c r="A2252" t="str">
        <f>IF(Generation!$B61,"      &lt;/qtimetadata&gt;","")</f>
        <v/>
      </c>
    </row>
    <row r="2253" spans="1:1" ht="18" customHeight="1">
      <c r="A2253" t="str">
        <f>IF(Generation!$B61,"    &lt;/itemmetadata&gt;","")</f>
        <v/>
      </c>
    </row>
    <row r="2254" spans="1:1" ht="18" customHeight="1">
      <c r="A2254" t="str">
        <f>IF(Generation!$B61,"    &lt;presentation label="""&amp;Generation!$F61&amp;"""&gt;","")</f>
        <v/>
      </c>
    </row>
    <row r="2255" spans="1:1" ht="18" customHeight="1">
      <c r="A2255" t="str">
        <f>IF(Generation!$B61,"      &lt;material&gt;&lt;mattext texttype=""text/html""&gt;"&amp;Generation!$G61&amp;"&lt;/mattext&gt;&lt;/material&gt;","")</f>
        <v/>
      </c>
    </row>
    <row r="2256" spans="1:1" ht="18" customHeight="1">
      <c r="A2256" t="str">
        <f>IF(Generation!$B61,"      &lt;response_lid ident=""RESPONSE"" rcardinality="""&amp;Generation!$E61&amp;"""&gt;","")</f>
        <v/>
      </c>
    </row>
    <row r="2257" spans="1:1" ht="18" customHeight="1">
      <c r="A2257" t="str">
        <f>IF(Generation!$B61,"        &lt;render_choice shuffle=""No""&gt;","")</f>
        <v/>
      </c>
    </row>
    <row r="2258" spans="1:1" ht="18" customHeight="1">
      <c r="A2258" t="str">
        <f>IF(Generation!AB61="","",Generation!AB61)</f>
        <v/>
      </c>
    </row>
    <row r="2259" spans="1:1" ht="18" customHeight="1">
      <c r="A2259" t="str">
        <f>IF(Generation!AC61="","",Generation!AC61)</f>
        <v/>
      </c>
    </row>
    <row r="2260" spans="1:1" ht="18" customHeight="1">
      <c r="A2260" t="str">
        <f>IF(Generation!AD61="","",Generation!AD61)</f>
        <v/>
      </c>
    </row>
    <row r="2261" spans="1:1" ht="18" customHeight="1">
      <c r="A2261" t="str">
        <f>IF(Generation!AE61="","",Generation!AE61)</f>
        <v/>
      </c>
    </row>
    <row r="2262" spans="1:1" ht="18" customHeight="1">
      <c r="A2262" t="str">
        <f>IF(Generation!AF61="","",Generation!AF61)</f>
        <v/>
      </c>
    </row>
    <row r="2263" spans="1:1" ht="18" customHeight="1">
      <c r="A2263" t="str">
        <f>IF(Generation!AG61="","",Generation!AG61)</f>
        <v/>
      </c>
    </row>
    <row r="2264" spans="1:1" ht="18" customHeight="1">
      <c r="A2264" t="str">
        <f>IF(Generation!AH61="","",Generation!AH61)</f>
        <v/>
      </c>
    </row>
    <row r="2265" spans="1:1" ht="18" customHeight="1">
      <c r="A2265" t="str">
        <f>IF(Generation!AI61="","",Generation!AI61)</f>
        <v/>
      </c>
    </row>
    <row r="2266" spans="1:1" ht="18" customHeight="1">
      <c r="A2266" t="str">
        <f>IF(Generation!$B61,"        &lt;/render_choice&gt;","")</f>
        <v/>
      </c>
    </row>
    <row r="2267" spans="1:1" ht="18" customHeight="1">
      <c r="A2267" t="str">
        <f>IF(Generation!$B61,"      &lt;/response_lid&gt;","")</f>
        <v/>
      </c>
    </row>
    <row r="2268" spans="1:1" ht="18" customHeight="1">
      <c r="A2268" t="str">
        <f>IF(Generation!$B61,"    &lt;/presentation&gt;","")</f>
        <v/>
      </c>
    </row>
    <row r="2269" spans="1:1" ht="18" customHeight="1">
      <c r="A2269" t="str">
        <f>IF(Generation!$B61,"    &lt;resprocessing&gt;","")</f>
        <v/>
      </c>
    </row>
    <row r="2270" spans="1:1" ht="18" customHeight="1">
      <c r="A2270" t="str">
        <f>IF(Generation!$B61,"      &lt;outcomes&gt;&lt;decvar varname=""SCORE"" vartype=""Decimal"" minvalue=""0"" maxvalue="""&amp;Generation!$H61&amp;"""/&gt;&lt;/outcomes&gt;","")</f>
        <v/>
      </c>
    </row>
    <row r="2271" spans="1:1" ht="18" customHeight="1">
      <c r="A2271" t="str">
        <f>IF(Generation!AJ61="","",Generation!AJ61)</f>
        <v/>
      </c>
    </row>
    <row r="2272" spans="1:1" ht="18" customHeight="1">
      <c r="A2272" t="str">
        <f>IF(Generation!AK61="","",Generation!AK61)</f>
        <v/>
      </c>
    </row>
    <row r="2273" spans="1:1" ht="18" customHeight="1">
      <c r="A2273" t="str">
        <f>IF(Generation!AL61="","",Generation!AL61)</f>
        <v/>
      </c>
    </row>
    <row r="2274" spans="1:1" ht="18" customHeight="1">
      <c r="A2274" t="str">
        <f>IF(Generation!AM61="","",Generation!AM61)</f>
        <v/>
      </c>
    </row>
    <row r="2275" spans="1:1" ht="18" customHeight="1">
      <c r="A2275" t="str">
        <f>IF(Generation!AN61="","",Generation!AN61)</f>
        <v/>
      </c>
    </row>
    <row r="2276" spans="1:1" ht="18" customHeight="1">
      <c r="A2276" t="str">
        <f>IF(Generation!AO61="","",Generation!AO61)</f>
        <v/>
      </c>
    </row>
    <row r="2277" spans="1:1" ht="18" customHeight="1">
      <c r="A2277" t="str">
        <f>IF(Generation!AP61="","",Generation!AP61)</f>
        <v/>
      </c>
    </row>
    <row r="2278" spans="1:1" ht="18" customHeight="1">
      <c r="A2278" t="str">
        <f>IF(Generation!AQ61="","",Generation!AQ61)</f>
        <v/>
      </c>
    </row>
    <row r="2279" spans="1:1" ht="18" customHeight="1">
      <c r="A2279" t="str">
        <f>IF(Generation!$B61,"    &lt;/resprocessing&gt;","")</f>
        <v/>
      </c>
    </row>
    <row r="2280" spans="1:1" ht="18" customHeight="1">
      <c r="A2280" t="str">
        <f>IF(Generation!$B61,"    &lt;itemfeedback ident=""response""&gt;&lt;flow_mat&gt;&lt;material&gt;&lt;mattext texttype=""text/plain""&gt;&lt;/mattext&gt;&lt;/material&gt;&lt;/flow_mat&gt;&lt;/itemfeedback&gt;","")</f>
        <v/>
      </c>
    </row>
    <row r="2281" spans="1:1" ht="18" customHeight="1">
      <c r="A2281" t="str">
        <f>IF(Generation!$B61,"  &lt;/item&gt;","")</f>
        <v/>
      </c>
    </row>
    <row r="2282" spans="1:1" ht="18" customHeight="1">
      <c r="A2282" t="str">
        <f>IF(Generation!$B61,"","")</f>
        <v/>
      </c>
    </row>
    <row r="2283" spans="1:1" ht="18" customHeight="1">
      <c r="A2283" t="str">
        <f>""</f>
        <v/>
      </c>
    </row>
    <row r="2284" spans="1:1" ht="18" customHeight="1">
      <c r="A2284" t="str">
        <f>IF(Generation!$B62,"  &lt;item ident=""il_0_qst_"&amp;TEXT(Generation!$A62,"000")&amp;""" title="""&amp;Generation!$F62&amp;"""&gt;","")</f>
        <v/>
      </c>
    </row>
    <row r="2285" spans="1:1" ht="18" customHeight="1">
      <c r="A2285" t="str">
        <f>IF(Generation!$B62,"    &lt;duration&gt;P0Y0M0DT0H1M0S&lt;/duration&gt;","")</f>
        <v/>
      </c>
    </row>
    <row r="2286" spans="1:1" ht="18" customHeight="1">
      <c r="A2286" t="str">
        <f>IF(Generation!$B62,"    &lt;itemmetadata&gt;","")</f>
        <v/>
      </c>
    </row>
    <row r="2287" spans="1:1" ht="18" customHeight="1">
      <c r="A2287" t="str">
        <f>IF(Generation!$B62,"      &lt;qtimetadata&gt;","")</f>
        <v/>
      </c>
    </row>
    <row r="2288" spans="1:1" ht="18" customHeight="1">
      <c r="A2288" t="str">
        <f>IF(Generation!$B62,"        &lt;qtimetadatafield&gt;&lt;fieldlabel&gt;ILIAS_VERSION&lt;/fieldlabel&gt;&lt;fieldentry&gt;8&lt;/fieldentry&gt;&lt;/qtimetadatafield&gt;","")</f>
        <v/>
      </c>
    </row>
    <row r="2289" spans="1:1" ht="18" customHeight="1">
      <c r="A2289" t="str">
        <f>IF(Generation!$B62,"        &lt;qtimetadatafield&gt;&lt;fieldlabel&gt;QUESTIONTYPE&lt;/fieldlabel&gt;&lt;fieldentry&gt;"&amp;Generation!$D62&amp;"&lt;/fieldentry&gt;&lt;/qtimetadatafield&gt;","")</f>
        <v/>
      </c>
    </row>
    <row r="2290" spans="1:1" ht="18" customHeight="1">
      <c r="A2290" t="str">
        <f>IF(Generation!$B62,"        &lt;qtimetadatafield&gt;&lt;fieldlabel&gt;AUTHOR&lt;/fieldlabel&gt;&lt;fieldentry&gt;Générateur Excel QTI&lt;/fieldentry&gt;&lt;/qtimetadatafield&gt;","")</f>
        <v/>
      </c>
    </row>
    <row r="2291" spans="1:1" ht="18" customHeight="1">
      <c r="A2291" t="str">
        <f>IF(Generation!$B62,"        &lt;qtimetadatafield&gt;&lt;fieldlabel&gt;identicalScoring&lt;/fieldlabel&gt;&lt;fieldentry&gt;1&lt;/fieldentry&gt;&lt;/qtimetadatafield&gt;","")</f>
        <v/>
      </c>
    </row>
    <row r="2292" spans="1:1" ht="18" customHeight="1">
      <c r="A2292" t="str">
        <f>IF(Generation!$B62,"      &lt;/qtimetadata&gt;","")</f>
        <v/>
      </c>
    </row>
    <row r="2293" spans="1:1" ht="18" customHeight="1">
      <c r="A2293" t="str">
        <f>IF(Generation!$B62,"    &lt;/itemmetadata&gt;","")</f>
        <v/>
      </c>
    </row>
    <row r="2294" spans="1:1" ht="18" customHeight="1">
      <c r="A2294" t="str">
        <f>IF(Generation!$B62,"    &lt;presentation label="""&amp;Generation!$F62&amp;"""&gt;","")</f>
        <v/>
      </c>
    </row>
    <row r="2295" spans="1:1" ht="18" customHeight="1">
      <c r="A2295" t="str">
        <f>IF(Generation!$B62,"      &lt;material&gt;&lt;mattext texttype=""text/html""&gt;"&amp;Generation!$G62&amp;"&lt;/mattext&gt;&lt;/material&gt;","")</f>
        <v/>
      </c>
    </row>
    <row r="2296" spans="1:1" ht="18" customHeight="1">
      <c r="A2296" t="str">
        <f>IF(Generation!$B62,"      &lt;response_lid ident=""RESPONSE"" rcardinality="""&amp;Generation!$E62&amp;"""&gt;","")</f>
        <v/>
      </c>
    </row>
    <row r="2297" spans="1:1" ht="18" customHeight="1">
      <c r="A2297" t="str">
        <f>IF(Generation!$B62,"        &lt;render_choice shuffle=""No""&gt;","")</f>
        <v/>
      </c>
    </row>
    <row r="2298" spans="1:1" ht="18" customHeight="1">
      <c r="A2298" t="str">
        <f>IF(Generation!AB62="","",Generation!AB62)</f>
        <v/>
      </c>
    </row>
    <row r="2299" spans="1:1" ht="18" customHeight="1">
      <c r="A2299" t="str">
        <f>IF(Generation!AC62="","",Generation!AC62)</f>
        <v/>
      </c>
    </row>
    <row r="2300" spans="1:1" ht="18" customHeight="1">
      <c r="A2300" t="str">
        <f>IF(Generation!AD62="","",Generation!AD62)</f>
        <v/>
      </c>
    </row>
    <row r="2301" spans="1:1" ht="18" customHeight="1">
      <c r="A2301" t="str">
        <f>IF(Generation!AE62="","",Generation!AE62)</f>
        <v/>
      </c>
    </row>
    <row r="2302" spans="1:1" ht="18" customHeight="1">
      <c r="A2302" t="str">
        <f>IF(Generation!AF62="","",Generation!AF62)</f>
        <v/>
      </c>
    </row>
    <row r="2303" spans="1:1" ht="18" customHeight="1">
      <c r="A2303" t="str">
        <f>IF(Generation!AG62="","",Generation!AG62)</f>
        <v/>
      </c>
    </row>
    <row r="2304" spans="1:1" ht="18" customHeight="1">
      <c r="A2304" t="str">
        <f>IF(Generation!AH62="","",Generation!AH62)</f>
        <v/>
      </c>
    </row>
    <row r="2305" spans="1:1" ht="18" customHeight="1">
      <c r="A2305" t="str">
        <f>IF(Generation!AI62="","",Generation!AI62)</f>
        <v/>
      </c>
    </row>
    <row r="2306" spans="1:1" ht="18" customHeight="1">
      <c r="A2306" t="str">
        <f>IF(Generation!$B62,"        &lt;/render_choice&gt;","")</f>
        <v/>
      </c>
    </row>
    <row r="2307" spans="1:1" ht="18" customHeight="1">
      <c r="A2307" t="str">
        <f>IF(Generation!$B62,"      &lt;/response_lid&gt;","")</f>
        <v/>
      </c>
    </row>
    <row r="2308" spans="1:1" ht="18" customHeight="1">
      <c r="A2308" t="str">
        <f>IF(Generation!$B62,"    &lt;/presentation&gt;","")</f>
        <v/>
      </c>
    </row>
    <row r="2309" spans="1:1" ht="18" customHeight="1">
      <c r="A2309" t="str">
        <f>IF(Generation!$B62,"    &lt;resprocessing&gt;","")</f>
        <v/>
      </c>
    </row>
    <row r="2310" spans="1:1" ht="18" customHeight="1">
      <c r="A2310" t="str">
        <f>IF(Generation!$B62,"      &lt;outcomes&gt;&lt;decvar varname=""SCORE"" vartype=""Decimal"" minvalue=""0"" maxvalue="""&amp;Generation!$H62&amp;"""/&gt;&lt;/outcomes&gt;","")</f>
        <v/>
      </c>
    </row>
    <row r="2311" spans="1:1" ht="18" customHeight="1">
      <c r="A2311" t="str">
        <f>IF(Generation!AJ62="","",Generation!AJ62)</f>
        <v/>
      </c>
    </row>
    <row r="2312" spans="1:1" ht="18" customHeight="1">
      <c r="A2312" t="str">
        <f>IF(Generation!AK62="","",Generation!AK62)</f>
        <v/>
      </c>
    </row>
    <row r="2313" spans="1:1" ht="18" customHeight="1">
      <c r="A2313" t="str">
        <f>IF(Generation!AL62="","",Generation!AL62)</f>
        <v/>
      </c>
    </row>
    <row r="2314" spans="1:1" ht="18" customHeight="1">
      <c r="A2314" t="str">
        <f>IF(Generation!AM62="","",Generation!AM62)</f>
        <v/>
      </c>
    </row>
    <row r="2315" spans="1:1" ht="18" customHeight="1">
      <c r="A2315" t="str">
        <f>IF(Generation!AN62="","",Generation!AN62)</f>
        <v/>
      </c>
    </row>
    <row r="2316" spans="1:1" ht="18" customHeight="1">
      <c r="A2316" t="str">
        <f>IF(Generation!AO62="","",Generation!AO62)</f>
        <v/>
      </c>
    </row>
    <row r="2317" spans="1:1" ht="18" customHeight="1">
      <c r="A2317" t="str">
        <f>IF(Generation!AP62="","",Generation!AP62)</f>
        <v/>
      </c>
    </row>
    <row r="2318" spans="1:1" ht="18" customHeight="1">
      <c r="A2318" t="str">
        <f>IF(Generation!AQ62="","",Generation!AQ62)</f>
        <v/>
      </c>
    </row>
    <row r="2319" spans="1:1" ht="18" customHeight="1">
      <c r="A2319" t="str">
        <f>IF(Generation!$B62,"    &lt;/resprocessing&gt;","")</f>
        <v/>
      </c>
    </row>
    <row r="2320" spans="1:1" ht="18" customHeight="1">
      <c r="A2320" t="str">
        <f>IF(Generation!$B62,"    &lt;itemfeedback ident=""response""&gt;&lt;flow_mat&gt;&lt;material&gt;&lt;mattext texttype=""text/plain""&gt;&lt;/mattext&gt;&lt;/material&gt;&lt;/flow_mat&gt;&lt;/itemfeedback&gt;","")</f>
        <v/>
      </c>
    </row>
    <row r="2321" spans="1:1" ht="18" customHeight="1">
      <c r="A2321" t="str">
        <f>IF(Generation!$B62,"  &lt;/item&gt;","")</f>
        <v/>
      </c>
    </row>
    <row r="2322" spans="1:1" ht="18" customHeight="1">
      <c r="A2322" t="str">
        <f>IF(Generation!$B62,"","")</f>
        <v/>
      </c>
    </row>
    <row r="2323" spans="1:1" ht="18" customHeight="1">
      <c r="A2323" t="str">
        <f>""</f>
        <v/>
      </c>
    </row>
    <row r="2324" spans="1:1" ht="18" customHeight="1">
      <c r="A2324" t="str">
        <f>IF(Generation!$B63,"  &lt;item ident=""il_0_qst_"&amp;TEXT(Generation!$A63,"000")&amp;""" title="""&amp;Generation!$F63&amp;"""&gt;","")</f>
        <v/>
      </c>
    </row>
    <row r="2325" spans="1:1" ht="18" customHeight="1">
      <c r="A2325" t="str">
        <f>IF(Generation!$B63,"    &lt;duration&gt;P0Y0M0DT0H1M0S&lt;/duration&gt;","")</f>
        <v/>
      </c>
    </row>
    <row r="2326" spans="1:1" ht="18" customHeight="1">
      <c r="A2326" t="str">
        <f>IF(Generation!$B63,"    &lt;itemmetadata&gt;","")</f>
        <v/>
      </c>
    </row>
    <row r="2327" spans="1:1" ht="18" customHeight="1">
      <c r="A2327" t="str">
        <f>IF(Generation!$B63,"      &lt;qtimetadata&gt;","")</f>
        <v/>
      </c>
    </row>
    <row r="2328" spans="1:1" ht="18" customHeight="1">
      <c r="A2328" t="str">
        <f>IF(Generation!$B63,"        &lt;qtimetadatafield&gt;&lt;fieldlabel&gt;ILIAS_VERSION&lt;/fieldlabel&gt;&lt;fieldentry&gt;8&lt;/fieldentry&gt;&lt;/qtimetadatafield&gt;","")</f>
        <v/>
      </c>
    </row>
    <row r="2329" spans="1:1" ht="18" customHeight="1">
      <c r="A2329" t="str">
        <f>IF(Generation!$B63,"        &lt;qtimetadatafield&gt;&lt;fieldlabel&gt;QUESTIONTYPE&lt;/fieldlabel&gt;&lt;fieldentry&gt;"&amp;Generation!$D63&amp;"&lt;/fieldentry&gt;&lt;/qtimetadatafield&gt;","")</f>
        <v/>
      </c>
    </row>
    <row r="2330" spans="1:1" ht="18" customHeight="1">
      <c r="A2330" t="str">
        <f>IF(Generation!$B63,"        &lt;qtimetadatafield&gt;&lt;fieldlabel&gt;AUTHOR&lt;/fieldlabel&gt;&lt;fieldentry&gt;Générateur Excel QTI&lt;/fieldentry&gt;&lt;/qtimetadatafield&gt;","")</f>
        <v/>
      </c>
    </row>
    <row r="2331" spans="1:1" ht="18" customHeight="1">
      <c r="A2331" t="str">
        <f>IF(Generation!$B63,"        &lt;qtimetadatafield&gt;&lt;fieldlabel&gt;identicalScoring&lt;/fieldlabel&gt;&lt;fieldentry&gt;1&lt;/fieldentry&gt;&lt;/qtimetadatafield&gt;","")</f>
        <v/>
      </c>
    </row>
    <row r="2332" spans="1:1" ht="18" customHeight="1">
      <c r="A2332" t="str">
        <f>IF(Generation!$B63,"      &lt;/qtimetadata&gt;","")</f>
        <v/>
      </c>
    </row>
    <row r="2333" spans="1:1" ht="18" customHeight="1">
      <c r="A2333" t="str">
        <f>IF(Generation!$B63,"    &lt;/itemmetadata&gt;","")</f>
        <v/>
      </c>
    </row>
    <row r="2334" spans="1:1" ht="18" customHeight="1">
      <c r="A2334" t="str">
        <f>IF(Generation!$B63,"    &lt;presentation label="""&amp;Generation!$F63&amp;"""&gt;","")</f>
        <v/>
      </c>
    </row>
    <row r="2335" spans="1:1" ht="18" customHeight="1">
      <c r="A2335" t="str">
        <f>IF(Generation!$B63,"      &lt;material&gt;&lt;mattext texttype=""text/html""&gt;"&amp;Generation!$G63&amp;"&lt;/mattext&gt;&lt;/material&gt;","")</f>
        <v/>
      </c>
    </row>
    <row r="2336" spans="1:1" ht="18" customHeight="1">
      <c r="A2336" t="str">
        <f>IF(Generation!$B63,"      &lt;response_lid ident=""RESPONSE"" rcardinality="""&amp;Generation!$E63&amp;"""&gt;","")</f>
        <v/>
      </c>
    </row>
    <row r="2337" spans="1:1" ht="18" customHeight="1">
      <c r="A2337" t="str">
        <f>IF(Generation!$B63,"        &lt;render_choice shuffle=""No""&gt;","")</f>
        <v/>
      </c>
    </row>
    <row r="2338" spans="1:1" ht="18" customHeight="1">
      <c r="A2338" t="str">
        <f>IF(Generation!AB63="","",Generation!AB63)</f>
        <v/>
      </c>
    </row>
    <row r="2339" spans="1:1" ht="18" customHeight="1">
      <c r="A2339" t="str">
        <f>IF(Generation!AC63="","",Generation!AC63)</f>
        <v/>
      </c>
    </row>
    <row r="2340" spans="1:1" ht="18" customHeight="1">
      <c r="A2340" t="str">
        <f>IF(Generation!AD63="","",Generation!AD63)</f>
        <v/>
      </c>
    </row>
    <row r="2341" spans="1:1" ht="18" customHeight="1">
      <c r="A2341" t="str">
        <f>IF(Generation!AE63="","",Generation!AE63)</f>
        <v/>
      </c>
    </row>
    <row r="2342" spans="1:1" ht="18" customHeight="1">
      <c r="A2342" t="str">
        <f>IF(Generation!AF63="","",Generation!AF63)</f>
        <v/>
      </c>
    </row>
    <row r="2343" spans="1:1" ht="18" customHeight="1">
      <c r="A2343" t="str">
        <f>IF(Generation!AG63="","",Generation!AG63)</f>
        <v/>
      </c>
    </row>
    <row r="2344" spans="1:1" ht="18" customHeight="1">
      <c r="A2344" t="str">
        <f>IF(Generation!AH63="","",Generation!AH63)</f>
        <v/>
      </c>
    </row>
    <row r="2345" spans="1:1" ht="18" customHeight="1">
      <c r="A2345" t="str">
        <f>IF(Generation!AI63="","",Generation!AI63)</f>
        <v/>
      </c>
    </row>
    <row r="2346" spans="1:1" ht="18" customHeight="1">
      <c r="A2346" t="str">
        <f>IF(Generation!$B63,"        &lt;/render_choice&gt;","")</f>
        <v/>
      </c>
    </row>
    <row r="2347" spans="1:1" ht="18" customHeight="1">
      <c r="A2347" t="str">
        <f>IF(Generation!$B63,"      &lt;/response_lid&gt;","")</f>
        <v/>
      </c>
    </row>
    <row r="2348" spans="1:1" ht="18" customHeight="1">
      <c r="A2348" t="str">
        <f>IF(Generation!$B63,"    &lt;/presentation&gt;","")</f>
        <v/>
      </c>
    </row>
    <row r="2349" spans="1:1" ht="18" customHeight="1">
      <c r="A2349" t="str">
        <f>IF(Generation!$B63,"    &lt;resprocessing&gt;","")</f>
        <v/>
      </c>
    </row>
    <row r="2350" spans="1:1" ht="18" customHeight="1">
      <c r="A2350" t="str">
        <f>IF(Generation!$B63,"      &lt;outcomes&gt;&lt;decvar varname=""SCORE"" vartype=""Decimal"" minvalue=""0"" maxvalue="""&amp;Generation!$H63&amp;"""/&gt;&lt;/outcomes&gt;","")</f>
        <v/>
      </c>
    </row>
    <row r="2351" spans="1:1" ht="18" customHeight="1">
      <c r="A2351" t="str">
        <f>IF(Generation!AJ63="","",Generation!AJ63)</f>
        <v/>
      </c>
    </row>
    <row r="2352" spans="1:1" ht="18" customHeight="1">
      <c r="A2352" t="str">
        <f>IF(Generation!AK63="","",Generation!AK63)</f>
        <v/>
      </c>
    </row>
    <row r="2353" spans="1:1" ht="18" customHeight="1">
      <c r="A2353" t="str">
        <f>IF(Generation!AL63="","",Generation!AL63)</f>
        <v/>
      </c>
    </row>
    <row r="2354" spans="1:1" ht="18" customHeight="1">
      <c r="A2354" t="str">
        <f>IF(Generation!AM63="","",Generation!AM63)</f>
        <v/>
      </c>
    </row>
    <row r="2355" spans="1:1" ht="18" customHeight="1">
      <c r="A2355" t="str">
        <f>IF(Generation!AN63="","",Generation!AN63)</f>
        <v/>
      </c>
    </row>
    <row r="2356" spans="1:1" ht="18" customHeight="1">
      <c r="A2356" t="str">
        <f>IF(Generation!AO63="","",Generation!AO63)</f>
        <v/>
      </c>
    </row>
    <row r="2357" spans="1:1" ht="18" customHeight="1">
      <c r="A2357" t="str">
        <f>IF(Generation!AP63="","",Generation!AP63)</f>
        <v/>
      </c>
    </row>
    <row r="2358" spans="1:1" ht="18" customHeight="1">
      <c r="A2358" t="str">
        <f>IF(Generation!AQ63="","",Generation!AQ63)</f>
        <v/>
      </c>
    </row>
    <row r="2359" spans="1:1" ht="18" customHeight="1">
      <c r="A2359" t="str">
        <f>IF(Generation!$B63,"    &lt;/resprocessing&gt;","")</f>
        <v/>
      </c>
    </row>
    <row r="2360" spans="1:1" ht="18" customHeight="1">
      <c r="A2360" t="str">
        <f>IF(Generation!$B63,"    &lt;itemfeedback ident=""response""&gt;&lt;flow_mat&gt;&lt;material&gt;&lt;mattext texttype=""text/plain""&gt;&lt;/mattext&gt;&lt;/material&gt;&lt;/flow_mat&gt;&lt;/itemfeedback&gt;","")</f>
        <v/>
      </c>
    </row>
    <row r="2361" spans="1:1" ht="18" customHeight="1">
      <c r="A2361" t="str">
        <f>IF(Generation!$B63,"  &lt;/item&gt;","")</f>
        <v/>
      </c>
    </row>
    <row r="2362" spans="1:1" ht="18" customHeight="1">
      <c r="A2362" t="str">
        <f>IF(Generation!$B63,"","")</f>
        <v/>
      </c>
    </row>
    <row r="2363" spans="1:1" ht="18" customHeight="1">
      <c r="A2363" t="str">
        <f>""</f>
        <v/>
      </c>
    </row>
    <row r="2364" spans="1:1" ht="18" customHeight="1">
      <c r="A2364" t="str">
        <f>IF(Generation!$B64,"  &lt;item ident=""il_0_qst_"&amp;TEXT(Generation!$A64,"000")&amp;""" title="""&amp;Generation!$F64&amp;"""&gt;","")</f>
        <v/>
      </c>
    </row>
    <row r="2365" spans="1:1" ht="18" customHeight="1">
      <c r="A2365" t="str">
        <f>IF(Generation!$B64,"    &lt;duration&gt;P0Y0M0DT0H1M0S&lt;/duration&gt;","")</f>
        <v/>
      </c>
    </row>
    <row r="2366" spans="1:1" ht="18" customHeight="1">
      <c r="A2366" t="str">
        <f>IF(Generation!$B64,"    &lt;itemmetadata&gt;","")</f>
        <v/>
      </c>
    </row>
    <row r="2367" spans="1:1" ht="18" customHeight="1">
      <c r="A2367" t="str">
        <f>IF(Generation!$B64,"      &lt;qtimetadata&gt;","")</f>
        <v/>
      </c>
    </row>
    <row r="2368" spans="1:1" ht="18" customHeight="1">
      <c r="A2368" t="str">
        <f>IF(Generation!$B64,"        &lt;qtimetadatafield&gt;&lt;fieldlabel&gt;ILIAS_VERSION&lt;/fieldlabel&gt;&lt;fieldentry&gt;8&lt;/fieldentry&gt;&lt;/qtimetadatafield&gt;","")</f>
        <v/>
      </c>
    </row>
    <row r="2369" spans="1:1" ht="18" customHeight="1">
      <c r="A2369" t="str">
        <f>IF(Generation!$B64,"        &lt;qtimetadatafield&gt;&lt;fieldlabel&gt;QUESTIONTYPE&lt;/fieldlabel&gt;&lt;fieldentry&gt;"&amp;Generation!$D64&amp;"&lt;/fieldentry&gt;&lt;/qtimetadatafield&gt;","")</f>
        <v/>
      </c>
    </row>
    <row r="2370" spans="1:1" ht="18" customHeight="1">
      <c r="A2370" t="str">
        <f>IF(Generation!$B64,"        &lt;qtimetadatafield&gt;&lt;fieldlabel&gt;AUTHOR&lt;/fieldlabel&gt;&lt;fieldentry&gt;Générateur Excel QTI&lt;/fieldentry&gt;&lt;/qtimetadatafield&gt;","")</f>
        <v/>
      </c>
    </row>
    <row r="2371" spans="1:1" ht="18" customHeight="1">
      <c r="A2371" t="str">
        <f>IF(Generation!$B64,"        &lt;qtimetadatafield&gt;&lt;fieldlabel&gt;identicalScoring&lt;/fieldlabel&gt;&lt;fieldentry&gt;1&lt;/fieldentry&gt;&lt;/qtimetadatafield&gt;","")</f>
        <v/>
      </c>
    </row>
    <row r="2372" spans="1:1" ht="18" customHeight="1">
      <c r="A2372" t="str">
        <f>IF(Generation!$B64,"      &lt;/qtimetadata&gt;","")</f>
        <v/>
      </c>
    </row>
    <row r="2373" spans="1:1" ht="18" customHeight="1">
      <c r="A2373" t="str">
        <f>IF(Generation!$B64,"    &lt;/itemmetadata&gt;","")</f>
        <v/>
      </c>
    </row>
    <row r="2374" spans="1:1" ht="18" customHeight="1">
      <c r="A2374" t="str">
        <f>IF(Generation!$B64,"    &lt;presentation label="""&amp;Generation!$F64&amp;"""&gt;","")</f>
        <v/>
      </c>
    </row>
    <row r="2375" spans="1:1" ht="18" customHeight="1">
      <c r="A2375" t="str">
        <f>IF(Generation!$B64,"      &lt;material&gt;&lt;mattext texttype=""text/html""&gt;"&amp;Generation!$G64&amp;"&lt;/mattext&gt;&lt;/material&gt;","")</f>
        <v/>
      </c>
    </row>
    <row r="2376" spans="1:1" ht="18" customHeight="1">
      <c r="A2376" t="str">
        <f>IF(Generation!$B64,"      &lt;response_lid ident=""RESPONSE"" rcardinality="""&amp;Generation!$E64&amp;"""&gt;","")</f>
        <v/>
      </c>
    </row>
    <row r="2377" spans="1:1" ht="18" customHeight="1">
      <c r="A2377" t="str">
        <f>IF(Generation!$B64,"        &lt;render_choice shuffle=""No""&gt;","")</f>
        <v/>
      </c>
    </row>
    <row r="2378" spans="1:1" ht="18" customHeight="1">
      <c r="A2378" t="str">
        <f>IF(Generation!AB64="","",Generation!AB64)</f>
        <v/>
      </c>
    </row>
    <row r="2379" spans="1:1" ht="18" customHeight="1">
      <c r="A2379" t="str">
        <f>IF(Generation!AC64="","",Generation!AC64)</f>
        <v/>
      </c>
    </row>
    <row r="2380" spans="1:1" ht="18" customHeight="1">
      <c r="A2380" t="str">
        <f>IF(Generation!AD64="","",Generation!AD64)</f>
        <v/>
      </c>
    </row>
    <row r="2381" spans="1:1" ht="18" customHeight="1">
      <c r="A2381" t="str">
        <f>IF(Generation!AE64="","",Generation!AE64)</f>
        <v/>
      </c>
    </row>
    <row r="2382" spans="1:1" ht="18" customHeight="1">
      <c r="A2382" t="str">
        <f>IF(Generation!AF64="","",Generation!AF64)</f>
        <v/>
      </c>
    </row>
    <row r="2383" spans="1:1" ht="18" customHeight="1">
      <c r="A2383" t="str">
        <f>IF(Generation!AG64="","",Generation!AG64)</f>
        <v/>
      </c>
    </row>
    <row r="2384" spans="1:1" ht="18" customHeight="1">
      <c r="A2384" t="str">
        <f>IF(Generation!AH64="","",Generation!AH64)</f>
        <v/>
      </c>
    </row>
    <row r="2385" spans="1:1" ht="18" customHeight="1">
      <c r="A2385" t="str">
        <f>IF(Generation!AI64="","",Generation!AI64)</f>
        <v/>
      </c>
    </row>
    <row r="2386" spans="1:1" ht="18" customHeight="1">
      <c r="A2386" t="str">
        <f>IF(Generation!$B64,"        &lt;/render_choice&gt;","")</f>
        <v/>
      </c>
    </row>
    <row r="2387" spans="1:1" ht="18" customHeight="1">
      <c r="A2387" t="str">
        <f>IF(Generation!$B64,"      &lt;/response_lid&gt;","")</f>
        <v/>
      </c>
    </row>
    <row r="2388" spans="1:1" ht="18" customHeight="1">
      <c r="A2388" t="str">
        <f>IF(Generation!$B64,"    &lt;/presentation&gt;","")</f>
        <v/>
      </c>
    </row>
    <row r="2389" spans="1:1" ht="18" customHeight="1">
      <c r="A2389" t="str">
        <f>IF(Generation!$B64,"    &lt;resprocessing&gt;","")</f>
        <v/>
      </c>
    </row>
    <row r="2390" spans="1:1" ht="18" customHeight="1">
      <c r="A2390" t="str">
        <f>IF(Generation!$B64,"      &lt;outcomes&gt;&lt;decvar varname=""SCORE"" vartype=""Decimal"" minvalue=""0"" maxvalue="""&amp;Generation!$H64&amp;"""/&gt;&lt;/outcomes&gt;","")</f>
        <v/>
      </c>
    </row>
    <row r="2391" spans="1:1" ht="18" customHeight="1">
      <c r="A2391" t="str">
        <f>IF(Generation!AJ64="","",Generation!AJ64)</f>
        <v/>
      </c>
    </row>
    <row r="2392" spans="1:1" ht="18" customHeight="1">
      <c r="A2392" t="str">
        <f>IF(Generation!AK64="","",Generation!AK64)</f>
        <v/>
      </c>
    </row>
    <row r="2393" spans="1:1" ht="18" customHeight="1">
      <c r="A2393" t="str">
        <f>IF(Generation!AL64="","",Generation!AL64)</f>
        <v/>
      </c>
    </row>
    <row r="2394" spans="1:1" ht="18" customHeight="1">
      <c r="A2394" t="str">
        <f>IF(Generation!AM64="","",Generation!AM64)</f>
        <v/>
      </c>
    </row>
    <row r="2395" spans="1:1" ht="18" customHeight="1">
      <c r="A2395" t="str">
        <f>IF(Generation!AN64="","",Generation!AN64)</f>
        <v/>
      </c>
    </row>
    <row r="2396" spans="1:1" ht="18" customHeight="1">
      <c r="A2396" t="str">
        <f>IF(Generation!AO64="","",Generation!AO64)</f>
        <v/>
      </c>
    </row>
    <row r="2397" spans="1:1" ht="18" customHeight="1">
      <c r="A2397" t="str">
        <f>IF(Generation!AP64="","",Generation!AP64)</f>
        <v/>
      </c>
    </row>
    <row r="2398" spans="1:1" ht="18" customHeight="1">
      <c r="A2398" t="str">
        <f>IF(Generation!AQ64="","",Generation!AQ64)</f>
        <v/>
      </c>
    </row>
    <row r="2399" spans="1:1" ht="18" customHeight="1">
      <c r="A2399" t="str">
        <f>IF(Generation!$B64,"    &lt;/resprocessing&gt;","")</f>
        <v/>
      </c>
    </row>
    <row r="2400" spans="1:1" ht="18" customHeight="1">
      <c r="A2400" t="str">
        <f>IF(Generation!$B64,"    &lt;itemfeedback ident=""response""&gt;&lt;flow_mat&gt;&lt;material&gt;&lt;mattext texttype=""text/plain""&gt;&lt;/mattext&gt;&lt;/material&gt;&lt;/flow_mat&gt;&lt;/itemfeedback&gt;","")</f>
        <v/>
      </c>
    </row>
    <row r="2401" spans="1:1" ht="18" customHeight="1">
      <c r="A2401" t="str">
        <f>IF(Generation!$B64,"  &lt;/item&gt;","")</f>
        <v/>
      </c>
    </row>
    <row r="2402" spans="1:1" ht="18" customHeight="1">
      <c r="A2402" t="str">
        <f>IF(Generation!$B64,"","")</f>
        <v/>
      </c>
    </row>
    <row r="2403" spans="1:1" ht="18" customHeight="1">
      <c r="A2403" t="str">
        <f>""</f>
        <v/>
      </c>
    </row>
    <row r="2404" spans="1:1" ht="18" customHeight="1">
      <c r="A2404" t="str">
        <f>IF(Generation!$B65,"  &lt;item ident=""il_0_qst_"&amp;TEXT(Generation!$A65,"000")&amp;""" title="""&amp;Generation!$F65&amp;"""&gt;","")</f>
        <v/>
      </c>
    </row>
    <row r="2405" spans="1:1" ht="18" customHeight="1">
      <c r="A2405" t="str">
        <f>IF(Generation!$B65,"    &lt;duration&gt;P0Y0M0DT0H1M0S&lt;/duration&gt;","")</f>
        <v/>
      </c>
    </row>
    <row r="2406" spans="1:1" ht="18" customHeight="1">
      <c r="A2406" t="str">
        <f>IF(Generation!$B65,"    &lt;itemmetadata&gt;","")</f>
        <v/>
      </c>
    </row>
    <row r="2407" spans="1:1" ht="18" customHeight="1">
      <c r="A2407" t="str">
        <f>IF(Generation!$B65,"      &lt;qtimetadata&gt;","")</f>
        <v/>
      </c>
    </row>
    <row r="2408" spans="1:1" ht="18" customHeight="1">
      <c r="A2408" t="str">
        <f>IF(Generation!$B65,"        &lt;qtimetadatafield&gt;&lt;fieldlabel&gt;ILIAS_VERSION&lt;/fieldlabel&gt;&lt;fieldentry&gt;8&lt;/fieldentry&gt;&lt;/qtimetadatafield&gt;","")</f>
        <v/>
      </c>
    </row>
    <row r="2409" spans="1:1" ht="18" customHeight="1">
      <c r="A2409" t="str">
        <f>IF(Generation!$B65,"        &lt;qtimetadatafield&gt;&lt;fieldlabel&gt;QUESTIONTYPE&lt;/fieldlabel&gt;&lt;fieldentry&gt;"&amp;Generation!$D65&amp;"&lt;/fieldentry&gt;&lt;/qtimetadatafield&gt;","")</f>
        <v/>
      </c>
    </row>
    <row r="2410" spans="1:1" ht="18" customHeight="1">
      <c r="A2410" t="str">
        <f>IF(Generation!$B65,"        &lt;qtimetadatafield&gt;&lt;fieldlabel&gt;AUTHOR&lt;/fieldlabel&gt;&lt;fieldentry&gt;Générateur Excel QTI&lt;/fieldentry&gt;&lt;/qtimetadatafield&gt;","")</f>
        <v/>
      </c>
    </row>
    <row r="2411" spans="1:1" ht="18" customHeight="1">
      <c r="A2411" t="str">
        <f>IF(Generation!$B65,"        &lt;qtimetadatafield&gt;&lt;fieldlabel&gt;identicalScoring&lt;/fieldlabel&gt;&lt;fieldentry&gt;1&lt;/fieldentry&gt;&lt;/qtimetadatafield&gt;","")</f>
        <v/>
      </c>
    </row>
    <row r="2412" spans="1:1" ht="18" customHeight="1">
      <c r="A2412" t="str">
        <f>IF(Generation!$B65,"      &lt;/qtimetadata&gt;","")</f>
        <v/>
      </c>
    </row>
    <row r="2413" spans="1:1" ht="18" customHeight="1">
      <c r="A2413" t="str">
        <f>IF(Generation!$B65,"    &lt;/itemmetadata&gt;","")</f>
        <v/>
      </c>
    </row>
    <row r="2414" spans="1:1" ht="18" customHeight="1">
      <c r="A2414" t="str">
        <f>IF(Generation!$B65,"    &lt;presentation label="""&amp;Generation!$F65&amp;"""&gt;","")</f>
        <v/>
      </c>
    </row>
    <row r="2415" spans="1:1" ht="18" customHeight="1">
      <c r="A2415" t="str">
        <f>IF(Generation!$B65,"      &lt;material&gt;&lt;mattext texttype=""text/html""&gt;"&amp;Generation!$G65&amp;"&lt;/mattext&gt;&lt;/material&gt;","")</f>
        <v/>
      </c>
    </row>
    <row r="2416" spans="1:1" ht="18" customHeight="1">
      <c r="A2416" t="str">
        <f>IF(Generation!$B65,"      &lt;response_lid ident=""RESPONSE"" rcardinality="""&amp;Generation!$E65&amp;"""&gt;","")</f>
        <v/>
      </c>
    </row>
    <row r="2417" spans="1:1" ht="18" customHeight="1">
      <c r="A2417" t="str">
        <f>IF(Generation!$B65,"        &lt;render_choice shuffle=""No""&gt;","")</f>
        <v/>
      </c>
    </row>
    <row r="2418" spans="1:1" ht="18" customHeight="1">
      <c r="A2418" t="str">
        <f>IF(Generation!AB65="","",Generation!AB65)</f>
        <v/>
      </c>
    </row>
    <row r="2419" spans="1:1" ht="18" customHeight="1">
      <c r="A2419" t="str">
        <f>IF(Generation!AC65="","",Generation!AC65)</f>
        <v/>
      </c>
    </row>
    <row r="2420" spans="1:1" ht="18" customHeight="1">
      <c r="A2420" t="str">
        <f>IF(Generation!AD65="","",Generation!AD65)</f>
        <v/>
      </c>
    </row>
    <row r="2421" spans="1:1" ht="18" customHeight="1">
      <c r="A2421" t="str">
        <f>IF(Generation!AE65="","",Generation!AE65)</f>
        <v/>
      </c>
    </row>
    <row r="2422" spans="1:1" ht="18" customHeight="1">
      <c r="A2422" t="str">
        <f>IF(Generation!AF65="","",Generation!AF65)</f>
        <v/>
      </c>
    </row>
    <row r="2423" spans="1:1" ht="18" customHeight="1">
      <c r="A2423" t="str">
        <f>IF(Generation!AG65="","",Generation!AG65)</f>
        <v/>
      </c>
    </row>
    <row r="2424" spans="1:1" ht="18" customHeight="1">
      <c r="A2424" t="str">
        <f>IF(Generation!AH65="","",Generation!AH65)</f>
        <v/>
      </c>
    </row>
    <row r="2425" spans="1:1" ht="18" customHeight="1">
      <c r="A2425" t="str">
        <f>IF(Generation!AI65="","",Generation!AI65)</f>
        <v/>
      </c>
    </row>
    <row r="2426" spans="1:1" ht="18" customHeight="1">
      <c r="A2426" t="str">
        <f>IF(Generation!$B65,"        &lt;/render_choice&gt;","")</f>
        <v/>
      </c>
    </row>
    <row r="2427" spans="1:1" ht="18" customHeight="1">
      <c r="A2427" t="str">
        <f>IF(Generation!$B65,"      &lt;/response_lid&gt;","")</f>
        <v/>
      </c>
    </row>
    <row r="2428" spans="1:1" ht="18" customHeight="1">
      <c r="A2428" t="str">
        <f>IF(Generation!$B65,"    &lt;/presentation&gt;","")</f>
        <v/>
      </c>
    </row>
    <row r="2429" spans="1:1" ht="18" customHeight="1">
      <c r="A2429" t="str">
        <f>IF(Generation!$B65,"    &lt;resprocessing&gt;","")</f>
        <v/>
      </c>
    </row>
    <row r="2430" spans="1:1" ht="18" customHeight="1">
      <c r="A2430" t="str">
        <f>IF(Generation!$B65,"      &lt;outcomes&gt;&lt;decvar varname=""SCORE"" vartype=""Decimal"" minvalue=""0"" maxvalue="""&amp;Generation!$H65&amp;"""/&gt;&lt;/outcomes&gt;","")</f>
        <v/>
      </c>
    </row>
    <row r="2431" spans="1:1" ht="18" customHeight="1">
      <c r="A2431" t="str">
        <f>IF(Generation!AJ65="","",Generation!AJ65)</f>
        <v/>
      </c>
    </row>
    <row r="2432" spans="1:1" ht="18" customHeight="1">
      <c r="A2432" t="str">
        <f>IF(Generation!AK65="","",Generation!AK65)</f>
        <v/>
      </c>
    </row>
    <row r="2433" spans="1:1" ht="18" customHeight="1">
      <c r="A2433" t="str">
        <f>IF(Generation!AL65="","",Generation!AL65)</f>
        <v/>
      </c>
    </row>
    <row r="2434" spans="1:1" ht="18" customHeight="1">
      <c r="A2434" t="str">
        <f>IF(Generation!AM65="","",Generation!AM65)</f>
        <v/>
      </c>
    </row>
    <row r="2435" spans="1:1" ht="18" customHeight="1">
      <c r="A2435" t="str">
        <f>IF(Generation!AN65="","",Generation!AN65)</f>
        <v/>
      </c>
    </row>
    <row r="2436" spans="1:1" ht="18" customHeight="1">
      <c r="A2436" t="str">
        <f>IF(Generation!AO65="","",Generation!AO65)</f>
        <v/>
      </c>
    </row>
    <row r="2437" spans="1:1" ht="18" customHeight="1">
      <c r="A2437" t="str">
        <f>IF(Generation!AP65="","",Generation!AP65)</f>
        <v/>
      </c>
    </row>
    <row r="2438" spans="1:1" ht="18" customHeight="1">
      <c r="A2438" t="str">
        <f>IF(Generation!AQ65="","",Generation!AQ65)</f>
        <v/>
      </c>
    </row>
    <row r="2439" spans="1:1" ht="18" customHeight="1">
      <c r="A2439" t="str">
        <f>IF(Generation!$B65,"    &lt;/resprocessing&gt;","")</f>
        <v/>
      </c>
    </row>
    <row r="2440" spans="1:1" ht="18" customHeight="1">
      <c r="A2440" t="str">
        <f>IF(Generation!$B65,"    &lt;itemfeedback ident=""response""&gt;&lt;flow_mat&gt;&lt;material&gt;&lt;mattext texttype=""text/plain""&gt;&lt;/mattext&gt;&lt;/material&gt;&lt;/flow_mat&gt;&lt;/itemfeedback&gt;","")</f>
        <v/>
      </c>
    </row>
    <row r="2441" spans="1:1" ht="18" customHeight="1">
      <c r="A2441" t="str">
        <f>IF(Generation!$B65,"  &lt;/item&gt;","")</f>
        <v/>
      </c>
    </row>
    <row r="2442" spans="1:1" ht="18" customHeight="1">
      <c r="A2442" t="str">
        <f>IF(Generation!$B65,"","")</f>
        <v/>
      </c>
    </row>
    <row r="2443" spans="1:1" ht="18" customHeight="1">
      <c r="A2443" t="str">
        <f>""</f>
        <v/>
      </c>
    </row>
    <row r="2444" spans="1:1" ht="18" customHeight="1">
      <c r="A2444" t="str">
        <f>IF(Generation!$B66,"  &lt;item ident=""il_0_qst_"&amp;TEXT(Generation!$A66,"000")&amp;""" title="""&amp;Generation!$F66&amp;"""&gt;","")</f>
        <v/>
      </c>
    </row>
    <row r="2445" spans="1:1" ht="18" customHeight="1">
      <c r="A2445" t="str">
        <f>IF(Generation!$B66,"    &lt;duration&gt;P0Y0M0DT0H1M0S&lt;/duration&gt;","")</f>
        <v/>
      </c>
    </row>
    <row r="2446" spans="1:1" ht="18" customHeight="1">
      <c r="A2446" t="str">
        <f>IF(Generation!$B66,"    &lt;itemmetadata&gt;","")</f>
        <v/>
      </c>
    </row>
    <row r="2447" spans="1:1" ht="18" customHeight="1">
      <c r="A2447" t="str">
        <f>IF(Generation!$B66,"      &lt;qtimetadata&gt;","")</f>
        <v/>
      </c>
    </row>
    <row r="2448" spans="1:1" ht="18" customHeight="1">
      <c r="A2448" t="str">
        <f>IF(Generation!$B66,"        &lt;qtimetadatafield&gt;&lt;fieldlabel&gt;ILIAS_VERSION&lt;/fieldlabel&gt;&lt;fieldentry&gt;8&lt;/fieldentry&gt;&lt;/qtimetadatafield&gt;","")</f>
        <v/>
      </c>
    </row>
    <row r="2449" spans="1:1" ht="18" customHeight="1">
      <c r="A2449" t="str">
        <f>IF(Generation!$B66,"        &lt;qtimetadatafield&gt;&lt;fieldlabel&gt;QUESTIONTYPE&lt;/fieldlabel&gt;&lt;fieldentry&gt;"&amp;Generation!$D66&amp;"&lt;/fieldentry&gt;&lt;/qtimetadatafield&gt;","")</f>
        <v/>
      </c>
    </row>
    <row r="2450" spans="1:1" ht="18" customHeight="1">
      <c r="A2450" t="str">
        <f>IF(Generation!$B66,"        &lt;qtimetadatafield&gt;&lt;fieldlabel&gt;AUTHOR&lt;/fieldlabel&gt;&lt;fieldentry&gt;Générateur Excel QTI&lt;/fieldentry&gt;&lt;/qtimetadatafield&gt;","")</f>
        <v/>
      </c>
    </row>
    <row r="2451" spans="1:1" ht="18" customHeight="1">
      <c r="A2451" t="str">
        <f>IF(Generation!$B66,"        &lt;qtimetadatafield&gt;&lt;fieldlabel&gt;identicalScoring&lt;/fieldlabel&gt;&lt;fieldentry&gt;1&lt;/fieldentry&gt;&lt;/qtimetadatafield&gt;","")</f>
        <v/>
      </c>
    </row>
    <row r="2452" spans="1:1" ht="18" customHeight="1">
      <c r="A2452" t="str">
        <f>IF(Generation!$B66,"      &lt;/qtimetadata&gt;","")</f>
        <v/>
      </c>
    </row>
    <row r="2453" spans="1:1" ht="18" customHeight="1">
      <c r="A2453" t="str">
        <f>IF(Generation!$B66,"    &lt;/itemmetadata&gt;","")</f>
        <v/>
      </c>
    </row>
    <row r="2454" spans="1:1" ht="18" customHeight="1">
      <c r="A2454" t="str">
        <f>IF(Generation!$B66,"    &lt;presentation label="""&amp;Generation!$F66&amp;"""&gt;","")</f>
        <v/>
      </c>
    </row>
    <row r="2455" spans="1:1" ht="18" customHeight="1">
      <c r="A2455" t="str">
        <f>IF(Generation!$B66,"      &lt;material&gt;&lt;mattext texttype=""text/html""&gt;"&amp;Generation!$G66&amp;"&lt;/mattext&gt;&lt;/material&gt;","")</f>
        <v/>
      </c>
    </row>
    <row r="2456" spans="1:1" ht="18" customHeight="1">
      <c r="A2456" t="str">
        <f>IF(Generation!$B66,"      &lt;response_lid ident=""RESPONSE"" rcardinality="""&amp;Generation!$E66&amp;"""&gt;","")</f>
        <v/>
      </c>
    </row>
    <row r="2457" spans="1:1" ht="18" customHeight="1">
      <c r="A2457" t="str">
        <f>IF(Generation!$B66,"        &lt;render_choice shuffle=""No""&gt;","")</f>
        <v/>
      </c>
    </row>
    <row r="2458" spans="1:1" ht="18" customHeight="1">
      <c r="A2458" t="str">
        <f>IF(Generation!AB66="","",Generation!AB66)</f>
        <v/>
      </c>
    </row>
    <row r="2459" spans="1:1" ht="18" customHeight="1">
      <c r="A2459" t="str">
        <f>IF(Generation!AC66="","",Generation!AC66)</f>
        <v/>
      </c>
    </row>
    <row r="2460" spans="1:1" ht="18" customHeight="1">
      <c r="A2460" t="str">
        <f>IF(Generation!AD66="","",Generation!AD66)</f>
        <v/>
      </c>
    </row>
    <row r="2461" spans="1:1" ht="18" customHeight="1">
      <c r="A2461" t="str">
        <f>IF(Generation!AE66="","",Generation!AE66)</f>
        <v/>
      </c>
    </row>
    <row r="2462" spans="1:1" ht="18" customHeight="1">
      <c r="A2462" t="str">
        <f>IF(Generation!AF66="","",Generation!AF66)</f>
        <v/>
      </c>
    </row>
    <row r="2463" spans="1:1" ht="18" customHeight="1">
      <c r="A2463" t="str">
        <f>IF(Generation!AG66="","",Generation!AG66)</f>
        <v/>
      </c>
    </row>
    <row r="2464" spans="1:1" ht="18" customHeight="1">
      <c r="A2464" t="str">
        <f>IF(Generation!AH66="","",Generation!AH66)</f>
        <v/>
      </c>
    </row>
    <row r="2465" spans="1:1" ht="18" customHeight="1">
      <c r="A2465" t="str">
        <f>IF(Generation!AI66="","",Generation!AI66)</f>
        <v/>
      </c>
    </row>
    <row r="2466" spans="1:1" ht="18" customHeight="1">
      <c r="A2466" t="str">
        <f>IF(Generation!$B66,"        &lt;/render_choice&gt;","")</f>
        <v/>
      </c>
    </row>
    <row r="2467" spans="1:1" ht="18" customHeight="1">
      <c r="A2467" t="str">
        <f>IF(Generation!$B66,"      &lt;/response_lid&gt;","")</f>
        <v/>
      </c>
    </row>
    <row r="2468" spans="1:1" ht="18" customHeight="1">
      <c r="A2468" t="str">
        <f>IF(Generation!$B66,"    &lt;/presentation&gt;","")</f>
        <v/>
      </c>
    </row>
    <row r="2469" spans="1:1" ht="18" customHeight="1">
      <c r="A2469" t="str">
        <f>IF(Generation!$B66,"    &lt;resprocessing&gt;","")</f>
        <v/>
      </c>
    </row>
    <row r="2470" spans="1:1" ht="18" customHeight="1">
      <c r="A2470" t="str">
        <f>IF(Generation!$B66,"      &lt;outcomes&gt;&lt;decvar varname=""SCORE"" vartype=""Decimal"" minvalue=""0"" maxvalue="""&amp;Generation!$H66&amp;"""/&gt;&lt;/outcomes&gt;","")</f>
        <v/>
      </c>
    </row>
    <row r="2471" spans="1:1" ht="18" customHeight="1">
      <c r="A2471" t="str">
        <f>IF(Generation!AJ66="","",Generation!AJ66)</f>
        <v/>
      </c>
    </row>
    <row r="2472" spans="1:1" ht="18" customHeight="1">
      <c r="A2472" t="str">
        <f>IF(Generation!AK66="","",Generation!AK66)</f>
        <v/>
      </c>
    </row>
    <row r="2473" spans="1:1" ht="18" customHeight="1">
      <c r="A2473" t="str">
        <f>IF(Generation!AL66="","",Generation!AL66)</f>
        <v/>
      </c>
    </row>
    <row r="2474" spans="1:1" ht="18" customHeight="1">
      <c r="A2474" t="str">
        <f>IF(Generation!AM66="","",Generation!AM66)</f>
        <v/>
      </c>
    </row>
    <row r="2475" spans="1:1" ht="18" customHeight="1">
      <c r="A2475" t="str">
        <f>IF(Generation!AN66="","",Generation!AN66)</f>
        <v/>
      </c>
    </row>
    <row r="2476" spans="1:1" ht="18" customHeight="1">
      <c r="A2476" t="str">
        <f>IF(Generation!AO66="","",Generation!AO66)</f>
        <v/>
      </c>
    </row>
    <row r="2477" spans="1:1" ht="18" customHeight="1">
      <c r="A2477" t="str">
        <f>IF(Generation!AP66="","",Generation!AP66)</f>
        <v/>
      </c>
    </row>
    <row r="2478" spans="1:1" ht="18" customHeight="1">
      <c r="A2478" t="str">
        <f>IF(Generation!AQ66="","",Generation!AQ66)</f>
        <v/>
      </c>
    </row>
    <row r="2479" spans="1:1" ht="18" customHeight="1">
      <c r="A2479" t="str">
        <f>IF(Generation!$B66,"    &lt;/resprocessing&gt;","")</f>
        <v/>
      </c>
    </row>
    <row r="2480" spans="1:1" ht="18" customHeight="1">
      <c r="A2480" t="str">
        <f>IF(Generation!$B66,"    &lt;itemfeedback ident=""response""&gt;&lt;flow_mat&gt;&lt;material&gt;&lt;mattext texttype=""text/plain""&gt;&lt;/mattext&gt;&lt;/material&gt;&lt;/flow_mat&gt;&lt;/itemfeedback&gt;","")</f>
        <v/>
      </c>
    </row>
    <row r="2481" spans="1:1" ht="18" customHeight="1">
      <c r="A2481" t="str">
        <f>IF(Generation!$B66,"  &lt;/item&gt;","")</f>
        <v/>
      </c>
    </row>
    <row r="2482" spans="1:1" ht="18" customHeight="1">
      <c r="A2482" t="str">
        <f>IF(Generation!$B66,"","")</f>
        <v/>
      </c>
    </row>
    <row r="2483" spans="1:1" ht="18" customHeight="1">
      <c r="A2483" t="str">
        <f>""</f>
        <v/>
      </c>
    </row>
    <row r="2484" spans="1:1" ht="18" customHeight="1">
      <c r="A2484" t="str">
        <f>IF(Generation!$B67,"  &lt;item ident=""il_0_qst_"&amp;TEXT(Generation!$A67,"000")&amp;""" title="""&amp;Generation!$F67&amp;"""&gt;","")</f>
        <v/>
      </c>
    </row>
    <row r="2485" spans="1:1" ht="18" customHeight="1">
      <c r="A2485" t="str">
        <f>IF(Generation!$B67,"    &lt;duration&gt;P0Y0M0DT0H1M0S&lt;/duration&gt;","")</f>
        <v/>
      </c>
    </row>
    <row r="2486" spans="1:1" ht="18" customHeight="1">
      <c r="A2486" t="str">
        <f>IF(Generation!$B67,"    &lt;itemmetadata&gt;","")</f>
        <v/>
      </c>
    </row>
    <row r="2487" spans="1:1" ht="18" customHeight="1">
      <c r="A2487" t="str">
        <f>IF(Generation!$B67,"      &lt;qtimetadata&gt;","")</f>
        <v/>
      </c>
    </row>
    <row r="2488" spans="1:1" ht="18" customHeight="1">
      <c r="A2488" t="str">
        <f>IF(Generation!$B67,"        &lt;qtimetadatafield&gt;&lt;fieldlabel&gt;ILIAS_VERSION&lt;/fieldlabel&gt;&lt;fieldentry&gt;8&lt;/fieldentry&gt;&lt;/qtimetadatafield&gt;","")</f>
        <v/>
      </c>
    </row>
    <row r="2489" spans="1:1" ht="18" customHeight="1">
      <c r="A2489" t="str">
        <f>IF(Generation!$B67,"        &lt;qtimetadatafield&gt;&lt;fieldlabel&gt;QUESTIONTYPE&lt;/fieldlabel&gt;&lt;fieldentry&gt;"&amp;Generation!$D67&amp;"&lt;/fieldentry&gt;&lt;/qtimetadatafield&gt;","")</f>
        <v/>
      </c>
    </row>
    <row r="2490" spans="1:1" ht="18" customHeight="1">
      <c r="A2490" t="str">
        <f>IF(Generation!$B67,"        &lt;qtimetadatafield&gt;&lt;fieldlabel&gt;AUTHOR&lt;/fieldlabel&gt;&lt;fieldentry&gt;Générateur Excel QTI&lt;/fieldentry&gt;&lt;/qtimetadatafield&gt;","")</f>
        <v/>
      </c>
    </row>
    <row r="2491" spans="1:1" ht="18" customHeight="1">
      <c r="A2491" t="str">
        <f>IF(Generation!$B67,"        &lt;qtimetadatafield&gt;&lt;fieldlabel&gt;identicalScoring&lt;/fieldlabel&gt;&lt;fieldentry&gt;1&lt;/fieldentry&gt;&lt;/qtimetadatafield&gt;","")</f>
        <v/>
      </c>
    </row>
    <row r="2492" spans="1:1" ht="18" customHeight="1">
      <c r="A2492" t="str">
        <f>IF(Generation!$B67,"      &lt;/qtimetadata&gt;","")</f>
        <v/>
      </c>
    </row>
    <row r="2493" spans="1:1" ht="18" customHeight="1">
      <c r="A2493" t="str">
        <f>IF(Generation!$B67,"    &lt;/itemmetadata&gt;","")</f>
        <v/>
      </c>
    </row>
    <row r="2494" spans="1:1" ht="18" customHeight="1">
      <c r="A2494" t="str">
        <f>IF(Generation!$B67,"    &lt;presentation label="""&amp;Generation!$F67&amp;"""&gt;","")</f>
        <v/>
      </c>
    </row>
    <row r="2495" spans="1:1" ht="18" customHeight="1">
      <c r="A2495" t="str">
        <f>IF(Generation!$B67,"      &lt;material&gt;&lt;mattext texttype=""text/html""&gt;"&amp;Generation!$G67&amp;"&lt;/mattext&gt;&lt;/material&gt;","")</f>
        <v/>
      </c>
    </row>
    <row r="2496" spans="1:1" ht="18" customHeight="1">
      <c r="A2496" t="str">
        <f>IF(Generation!$B67,"      &lt;response_lid ident=""RESPONSE"" rcardinality="""&amp;Generation!$E67&amp;"""&gt;","")</f>
        <v/>
      </c>
    </row>
    <row r="2497" spans="1:1" ht="18" customHeight="1">
      <c r="A2497" t="str">
        <f>IF(Generation!$B67,"        &lt;render_choice shuffle=""No""&gt;","")</f>
        <v/>
      </c>
    </row>
    <row r="2498" spans="1:1" ht="18" customHeight="1">
      <c r="A2498" t="str">
        <f>IF(Generation!AB67="","",Generation!AB67)</f>
        <v/>
      </c>
    </row>
    <row r="2499" spans="1:1" ht="18" customHeight="1">
      <c r="A2499" t="str">
        <f>IF(Generation!AC67="","",Generation!AC67)</f>
        <v/>
      </c>
    </row>
    <row r="2500" spans="1:1" ht="18" customHeight="1">
      <c r="A2500" t="str">
        <f>IF(Generation!AD67="","",Generation!AD67)</f>
        <v/>
      </c>
    </row>
    <row r="2501" spans="1:1" ht="18" customHeight="1">
      <c r="A2501" t="str">
        <f>IF(Generation!AE67="","",Generation!AE67)</f>
        <v/>
      </c>
    </row>
    <row r="2502" spans="1:1" ht="18" customHeight="1">
      <c r="A2502" t="str">
        <f>IF(Generation!AF67="","",Generation!AF67)</f>
        <v/>
      </c>
    </row>
    <row r="2503" spans="1:1" ht="18" customHeight="1">
      <c r="A2503" t="str">
        <f>IF(Generation!AG67="","",Generation!AG67)</f>
        <v/>
      </c>
    </row>
    <row r="2504" spans="1:1" ht="18" customHeight="1">
      <c r="A2504" t="str">
        <f>IF(Generation!AH67="","",Generation!AH67)</f>
        <v/>
      </c>
    </row>
    <row r="2505" spans="1:1" ht="18" customHeight="1">
      <c r="A2505" t="str">
        <f>IF(Generation!AI67="","",Generation!AI67)</f>
        <v/>
      </c>
    </row>
    <row r="2506" spans="1:1" ht="18" customHeight="1">
      <c r="A2506" t="str">
        <f>IF(Generation!$B67,"        &lt;/render_choice&gt;","")</f>
        <v/>
      </c>
    </row>
    <row r="2507" spans="1:1" ht="18" customHeight="1">
      <c r="A2507" t="str">
        <f>IF(Generation!$B67,"      &lt;/response_lid&gt;","")</f>
        <v/>
      </c>
    </row>
    <row r="2508" spans="1:1" ht="18" customHeight="1">
      <c r="A2508" t="str">
        <f>IF(Generation!$B67,"    &lt;/presentation&gt;","")</f>
        <v/>
      </c>
    </row>
    <row r="2509" spans="1:1" ht="18" customHeight="1">
      <c r="A2509" t="str">
        <f>IF(Generation!$B67,"    &lt;resprocessing&gt;","")</f>
        <v/>
      </c>
    </row>
    <row r="2510" spans="1:1" ht="18" customHeight="1">
      <c r="A2510" t="str">
        <f>IF(Generation!$B67,"      &lt;outcomes&gt;&lt;decvar varname=""SCORE"" vartype=""Decimal"" minvalue=""0"" maxvalue="""&amp;Generation!$H67&amp;"""/&gt;&lt;/outcomes&gt;","")</f>
        <v/>
      </c>
    </row>
    <row r="2511" spans="1:1" ht="18" customHeight="1">
      <c r="A2511" t="str">
        <f>IF(Generation!AJ67="","",Generation!AJ67)</f>
        <v/>
      </c>
    </row>
    <row r="2512" spans="1:1" ht="18" customHeight="1">
      <c r="A2512" t="str">
        <f>IF(Generation!AK67="","",Generation!AK67)</f>
        <v/>
      </c>
    </row>
    <row r="2513" spans="1:1" ht="18" customHeight="1">
      <c r="A2513" t="str">
        <f>IF(Generation!AL67="","",Generation!AL67)</f>
        <v/>
      </c>
    </row>
    <row r="2514" spans="1:1" ht="18" customHeight="1">
      <c r="A2514" t="str">
        <f>IF(Generation!AM67="","",Generation!AM67)</f>
        <v/>
      </c>
    </row>
    <row r="2515" spans="1:1" ht="18" customHeight="1">
      <c r="A2515" t="str">
        <f>IF(Generation!AN67="","",Generation!AN67)</f>
        <v/>
      </c>
    </row>
    <row r="2516" spans="1:1" ht="18" customHeight="1">
      <c r="A2516" t="str">
        <f>IF(Generation!AO67="","",Generation!AO67)</f>
        <v/>
      </c>
    </row>
    <row r="2517" spans="1:1" ht="18" customHeight="1">
      <c r="A2517" t="str">
        <f>IF(Generation!AP67="","",Generation!AP67)</f>
        <v/>
      </c>
    </row>
    <row r="2518" spans="1:1" ht="18" customHeight="1">
      <c r="A2518" t="str">
        <f>IF(Generation!AQ67="","",Generation!AQ67)</f>
        <v/>
      </c>
    </row>
    <row r="2519" spans="1:1" ht="18" customHeight="1">
      <c r="A2519" t="str">
        <f>IF(Generation!$B67,"    &lt;/resprocessing&gt;","")</f>
        <v/>
      </c>
    </row>
    <row r="2520" spans="1:1" ht="18" customHeight="1">
      <c r="A2520" t="str">
        <f>IF(Generation!$B67,"    &lt;itemfeedback ident=""response""&gt;&lt;flow_mat&gt;&lt;material&gt;&lt;mattext texttype=""text/plain""&gt;&lt;/mattext&gt;&lt;/material&gt;&lt;/flow_mat&gt;&lt;/itemfeedback&gt;","")</f>
        <v/>
      </c>
    </row>
    <row r="2521" spans="1:1" ht="18" customHeight="1">
      <c r="A2521" t="str">
        <f>IF(Generation!$B67,"  &lt;/item&gt;","")</f>
        <v/>
      </c>
    </row>
    <row r="2522" spans="1:1" ht="18" customHeight="1">
      <c r="A2522" t="str">
        <f>IF(Generation!$B67,"","")</f>
        <v/>
      </c>
    </row>
    <row r="2523" spans="1:1" ht="18" customHeight="1">
      <c r="A2523" t="str">
        <f>""</f>
        <v/>
      </c>
    </row>
    <row r="2524" spans="1:1" ht="18" customHeight="1">
      <c r="A2524" t="str">
        <f>IF(Generation!$B68,"  &lt;item ident=""il_0_qst_"&amp;TEXT(Generation!$A68,"000")&amp;""" title="""&amp;Generation!$F68&amp;"""&gt;","")</f>
        <v/>
      </c>
    </row>
    <row r="2525" spans="1:1" ht="18" customHeight="1">
      <c r="A2525" t="str">
        <f>IF(Generation!$B68,"    &lt;duration&gt;P0Y0M0DT0H1M0S&lt;/duration&gt;","")</f>
        <v/>
      </c>
    </row>
    <row r="2526" spans="1:1" ht="18" customHeight="1">
      <c r="A2526" t="str">
        <f>IF(Generation!$B68,"    &lt;itemmetadata&gt;","")</f>
        <v/>
      </c>
    </row>
    <row r="2527" spans="1:1" ht="18" customHeight="1">
      <c r="A2527" t="str">
        <f>IF(Generation!$B68,"      &lt;qtimetadata&gt;","")</f>
        <v/>
      </c>
    </row>
    <row r="2528" spans="1:1" ht="18" customHeight="1">
      <c r="A2528" t="str">
        <f>IF(Generation!$B68,"        &lt;qtimetadatafield&gt;&lt;fieldlabel&gt;ILIAS_VERSION&lt;/fieldlabel&gt;&lt;fieldentry&gt;8&lt;/fieldentry&gt;&lt;/qtimetadatafield&gt;","")</f>
        <v/>
      </c>
    </row>
    <row r="2529" spans="1:1" ht="18" customHeight="1">
      <c r="A2529" t="str">
        <f>IF(Generation!$B68,"        &lt;qtimetadatafield&gt;&lt;fieldlabel&gt;QUESTIONTYPE&lt;/fieldlabel&gt;&lt;fieldentry&gt;"&amp;Generation!$D68&amp;"&lt;/fieldentry&gt;&lt;/qtimetadatafield&gt;","")</f>
        <v/>
      </c>
    </row>
    <row r="2530" spans="1:1" ht="18" customHeight="1">
      <c r="A2530" t="str">
        <f>IF(Generation!$B68,"        &lt;qtimetadatafield&gt;&lt;fieldlabel&gt;AUTHOR&lt;/fieldlabel&gt;&lt;fieldentry&gt;Générateur Excel QTI&lt;/fieldentry&gt;&lt;/qtimetadatafield&gt;","")</f>
        <v/>
      </c>
    </row>
    <row r="2531" spans="1:1" ht="18" customHeight="1">
      <c r="A2531" t="str">
        <f>IF(Generation!$B68,"        &lt;qtimetadatafield&gt;&lt;fieldlabel&gt;identicalScoring&lt;/fieldlabel&gt;&lt;fieldentry&gt;1&lt;/fieldentry&gt;&lt;/qtimetadatafield&gt;","")</f>
        <v/>
      </c>
    </row>
    <row r="2532" spans="1:1" ht="18" customHeight="1">
      <c r="A2532" t="str">
        <f>IF(Generation!$B68,"      &lt;/qtimetadata&gt;","")</f>
        <v/>
      </c>
    </row>
    <row r="2533" spans="1:1" ht="18" customHeight="1">
      <c r="A2533" t="str">
        <f>IF(Generation!$B68,"    &lt;/itemmetadata&gt;","")</f>
        <v/>
      </c>
    </row>
    <row r="2534" spans="1:1" ht="18" customHeight="1">
      <c r="A2534" t="str">
        <f>IF(Generation!$B68,"    &lt;presentation label="""&amp;Generation!$F68&amp;"""&gt;","")</f>
        <v/>
      </c>
    </row>
    <row r="2535" spans="1:1" ht="18" customHeight="1">
      <c r="A2535" t="str">
        <f>IF(Generation!$B68,"      &lt;material&gt;&lt;mattext texttype=""text/html""&gt;"&amp;Generation!$G68&amp;"&lt;/mattext&gt;&lt;/material&gt;","")</f>
        <v/>
      </c>
    </row>
    <row r="2536" spans="1:1" ht="18" customHeight="1">
      <c r="A2536" t="str">
        <f>IF(Generation!$B68,"      &lt;response_lid ident=""RESPONSE"" rcardinality="""&amp;Generation!$E68&amp;"""&gt;","")</f>
        <v/>
      </c>
    </row>
    <row r="2537" spans="1:1" ht="18" customHeight="1">
      <c r="A2537" t="str">
        <f>IF(Generation!$B68,"        &lt;render_choice shuffle=""No""&gt;","")</f>
        <v/>
      </c>
    </row>
    <row r="2538" spans="1:1" ht="18" customHeight="1">
      <c r="A2538" t="str">
        <f>IF(Generation!AB68="","",Generation!AB68)</f>
        <v/>
      </c>
    </row>
    <row r="2539" spans="1:1" ht="18" customHeight="1">
      <c r="A2539" t="str">
        <f>IF(Generation!AC68="","",Generation!AC68)</f>
        <v/>
      </c>
    </row>
    <row r="2540" spans="1:1" ht="18" customHeight="1">
      <c r="A2540" t="str">
        <f>IF(Generation!AD68="","",Generation!AD68)</f>
        <v/>
      </c>
    </row>
    <row r="2541" spans="1:1" ht="18" customHeight="1">
      <c r="A2541" t="str">
        <f>IF(Generation!AE68="","",Generation!AE68)</f>
        <v/>
      </c>
    </row>
    <row r="2542" spans="1:1" ht="18" customHeight="1">
      <c r="A2542" t="str">
        <f>IF(Generation!AF68="","",Generation!AF68)</f>
        <v/>
      </c>
    </row>
    <row r="2543" spans="1:1" ht="18" customHeight="1">
      <c r="A2543" t="str">
        <f>IF(Generation!AG68="","",Generation!AG68)</f>
        <v/>
      </c>
    </row>
    <row r="2544" spans="1:1" ht="18" customHeight="1">
      <c r="A2544" t="str">
        <f>IF(Generation!AH68="","",Generation!AH68)</f>
        <v/>
      </c>
    </row>
    <row r="2545" spans="1:1" ht="18" customHeight="1">
      <c r="A2545" t="str">
        <f>IF(Generation!AI68="","",Generation!AI68)</f>
        <v/>
      </c>
    </row>
    <row r="2546" spans="1:1" ht="18" customHeight="1">
      <c r="A2546" t="str">
        <f>IF(Generation!$B68,"        &lt;/render_choice&gt;","")</f>
        <v/>
      </c>
    </row>
    <row r="2547" spans="1:1" ht="18" customHeight="1">
      <c r="A2547" t="str">
        <f>IF(Generation!$B68,"      &lt;/response_lid&gt;","")</f>
        <v/>
      </c>
    </row>
    <row r="2548" spans="1:1" ht="18" customHeight="1">
      <c r="A2548" t="str">
        <f>IF(Generation!$B68,"    &lt;/presentation&gt;","")</f>
        <v/>
      </c>
    </row>
    <row r="2549" spans="1:1" ht="18" customHeight="1">
      <c r="A2549" t="str">
        <f>IF(Generation!$B68,"    &lt;resprocessing&gt;","")</f>
        <v/>
      </c>
    </row>
    <row r="2550" spans="1:1" ht="18" customHeight="1">
      <c r="A2550" t="str">
        <f>IF(Generation!$B68,"      &lt;outcomes&gt;&lt;decvar varname=""SCORE"" vartype=""Decimal"" minvalue=""0"" maxvalue="""&amp;Generation!$H68&amp;"""/&gt;&lt;/outcomes&gt;","")</f>
        <v/>
      </c>
    </row>
    <row r="2551" spans="1:1" ht="18" customHeight="1">
      <c r="A2551" t="str">
        <f>IF(Generation!AJ68="","",Generation!AJ68)</f>
        <v/>
      </c>
    </row>
    <row r="2552" spans="1:1" ht="18" customHeight="1">
      <c r="A2552" t="str">
        <f>IF(Generation!AK68="","",Generation!AK68)</f>
        <v/>
      </c>
    </row>
    <row r="2553" spans="1:1" ht="18" customHeight="1">
      <c r="A2553" t="str">
        <f>IF(Generation!AL68="","",Generation!AL68)</f>
        <v/>
      </c>
    </row>
    <row r="2554" spans="1:1" ht="18" customHeight="1">
      <c r="A2554" t="str">
        <f>IF(Generation!AM68="","",Generation!AM68)</f>
        <v/>
      </c>
    </row>
    <row r="2555" spans="1:1" ht="18" customHeight="1">
      <c r="A2555" t="str">
        <f>IF(Generation!AN68="","",Generation!AN68)</f>
        <v/>
      </c>
    </row>
    <row r="2556" spans="1:1" ht="18" customHeight="1">
      <c r="A2556" t="str">
        <f>IF(Generation!AO68="","",Generation!AO68)</f>
        <v/>
      </c>
    </row>
    <row r="2557" spans="1:1" ht="18" customHeight="1">
      <c r="A2557" t="str">
        <f>IF(Generation!AP68="","",Generation!AP68)</f>
        <v/>
      </c>
    </row>
    <row r="2558" spans="1:1" ht="18" customHeight="1">
      <c r="A2558" t="str">
        <f>IF(Generation!AQ68="","",Generation!AQ68)</f>
        <v/>
      </c>
    </row>
    <row r="2559" spans="1:1" ht="18" customHeight="1">
      <c r="A2559" t="str">
        <f>IF(Generation!$B68,"    &lt;/resprocessing&gt;","")</f>
        <v/>
      </c>
    </row>
    <row r="2560" spans="1:1" ht="18" customHeight="1">
      <c r="A2560" t="str">
        <f>IF(Generation!$B68,"    &lt;itemfeedback ident=""response""&gt;&lt;flow_mat&gt;&lt;material&gt;&lt;mattext texttype=""text/plain""&gt;&lt;/mattext&gt;&lt;/material&gt;&lt;/flow_mat&gt;&lt;/itemfeedback&gt;","")</f>
        <v/>
      </c>
    </row>
    <row r="2561" spans="1:1" ht="18" customHeight="1">
      <c r="A2561" t="str">
        <f>IF(Generation!$B68,"  &lt;/item&gt;","")</f>
        <v/>
      </c>
    </row>
    <row r="2562" spans="1:1" ht="18" customHeight="1">
      <c r="A2562" t="str">
        <f>IF(Generation!$B68,"","")</f>
        <v/>
      </c>
    </row>
    <row r="2563" spans="1:1" ht="18" customHeight="1">
      <c r="A2563" t="str">
        <f>""</f>
        <v/>
      </c>
    </row>
    <row r="2564" spans="1:1" ht="18" customHeight="1">
      <c r="A2564" t="str">
        <f>IF(Generation!$B69,"  &lt;item ident=""il_0_qst_"&amp;TEXT(Generation!$A69,"000")&amp;""" title="""&amp;Generation!$F69&amp;"""&gt;","")</f>
        <v/>
      </c>
    </row>
    <row r="2565" spans="1:1" ht="18" customHeight="1">
      <c r="A2565" t="str">
        <f>IF(Generation!$B69,"    &lt;duration&gt;P0Y0M0DT0H1M0S&lt;/duration&gt;","")</f>
        <v/>
      </c>
    </row>
    <row r="2566" spans="1:1" ht="18" customHeight="1">
      <c r="A2566" t="str">
        <f>IF(Generation!$B69,"    &lt;itemmetadata&gt;","")</f>
        <v/>
      </c>
    </row>
    <row r="2567" spans="1:1" ht="18" customHeight="1">
      <c r="A2567" t="str">
        <f>IF(Generation!$B69,"      &lt;qtimetadata&gt;","")</f>
        <v/>
      </c>
    </row>
    <row r="2568" spans="1:1" ht="18" customHeight="1">
      <c r="A2568" t="str">
        <f>IF(Generation!$B69,"        &lt;qtimetadatafield&gt;&lt;fieldlabel&gt;ILIAS_VERSION&lt;/fieldlabel&gt;&lt;fieldentry&gt;8&lt;/fieldentry&gt;&lt;/qtimetadatafield&gt;","")</f>
        <v/>
      </c>
    </row>
    <row r="2569" spans="1:1" ht="18" customHeight="1">
      <c r="A2569" t="str">
        <f>IF(Generation!$B69,"        &lt;qtimetadatafield&gt;&lt;fieldlabel&gt;QUESTIONTYPE&lt;/fieldlabel&gt;&lt;fieldentry&gt;"&amp;Generation!$D69&amp;"&lt;/fieldentry&gt;&lt;/qtimetadatafield&gt;","")</f>
        <v/>
      </c>
    </row>
    <row r="2570" spans="1:1" ht="18" customHeight="1">
      <c r="A2570" t="str">
        <f>IF(Generation!$B69,"        &lt;qtimetadatafield&gt;&lt;fieldlabel&gt;AUTHOR&lt;/fieldlabel&gt;&lt;fieldentry&gt;Générateur Excel QTI&lt;/fieldentry&gt;&lt;/qtimetadatafield&gt;","")</f>
        <v/>
      </c>
    </row>
    <row r="2571" spans="1:1" ht="18" customHeight="1">
      <c r="A2571" t="str">
        <f>IF(Generation!$B69,"        &lt;qtimetadatafield&gt;&lt;fieldlabel&gt;identicalScoring&lt;/fieldlabel&gt;&lt;fieldentry&gt;1&lt;/fieldentry&gt;&lt;/qtimetadatafield&gt;","")</f>
        <v/>
      </c>
    </row>
    <row r="2572" spans="1:1" ht="18" customHeight="1">
      <c r="A2572" t="str">
        <f>IF(Generation!$B69,"      &lt;/qtimetadata&gt;","")</f>
        <v/>
      </c>
    </row>
    <row r="2573" spans="1:1" ht="18" customHeight="1">
      <c r="A2573" t="str">
        <f>IF(Generation!$B69,"    &lt;/itemmetadata&gt;","")</f>
        <v/>
      </c>
    </row>
    <row r="2574" spans="1:1" ht="18" customHeight="1">
      <c r="A2574" t="str">
        <f>IF(Generation!$B69,"    &lt;presentation label="""&amp;Generation!$F69&amp;"""&gt;","")</f>
        <v/>
      </c>
    </row>
    <row r="2575" spans="1:1" ht="18" customHeight="1">
      <c r="A2575" t="str">
        <f>IF(Generation!$B69,"      &lt;material&gt;&lt;mattext texttype=""text/html""&gt;"&amp;Generation!$G69&amp;"&lt;/mattext&gt;&lt;/material&gt;","")</f>
        <v/>
      </c>
    </row>
    <row r="2576" spans="1:1" ht="18" customHeight="1">
      <c r="A2576" t="str">
        <f>IF(Generation!$B69,"      &lt;response_lid ident=""RESPONSE"" rcardinality="""&amp;Generation!$E69&amp;"""&gt;","")</f>
        <v/>
      </c>
    </row>
    <row r="2577" spans="1:1" ht="18" customHeight="1">
      <c r="A2577" t="str">
        <f>IF(Generation!$B69,"        &lt;render_choice shuffle=""No""&gt;","")</f>
        <v/>
      </c>
    </row>
    <row r="2578" spans="1:1" ht="18" customHeight="1">
      <c r="A2578" t="str">
        <f>IF(Generation!AB69="","",Generation!AB69)</f>
        <v/>
      </c>
    </row>
    <row r="2579" spans="1:1" ht="18" customHeight="1">
      <c r="A2579" t="str">
        <f>IF(Generation!AC69="","",Generation!AC69)</f>
        <v/>
      </c>
    </row>
    <row r="2580" spans="1:1" ht="18" customHeight="1">
      <c r="A2580" t="str">
        <f>IF(Generation!AD69="","",Generation!AD69)</f>
        <v/>
      </c>
    </row>
    <row r="2581" spans="1:1" ht="18" customHeight="1">
      <c r="A2581" t="str">
        <f>IF(Generation!AE69="","",Generation!AE69)</f>
        <v/>
      </c>
    </row>
    <row r="2582" spans="1:1" ht="18" customHeight="1">
      <c r="A2582" t="str">
        <f>IF(Generation!AF69="","",Generation!AF69)</f>
        <v/>
      </c>
    </row>
    <row r="2583" spans="1:1" ht="18" customHeight="1">
      <c r="A2583" t="str">
        <f>IF(Generation!AG69="","",Generation!AG69)</f>
        <v/>
      </c>
    </row>
    <row r="2584" spans="1:1" ht="18" customHeight="1">
      <c r="A2584" t="str">
        <f>IF(Generation!AH69="","",Generation!AH69)</f>
        <v/>
      </c>
    </row>
    <row r="2585" spans="1:1" ht="18" customHeight="1">
      <c r="A2585" t="str">
        <f>IF(Generation!AI69="","",Generation!AI69)</f>
        <v/>
      </c>
    </row>
    <row r="2586" spans="1:1" ht="18" customHeight="1">
      <c r="A2586" t="str">
        <f>IF(Generation!$B69,"        &lt;/render_choice&gt;","")</f>
        <v/>
      </c>
    </row>
    <row r="2587" spans="1:1" ht="18" customHeight="1">
      <c r="A2587" t="str">
        <f>IF(Generation!$B69,"      &lt;/response_lid&gt;","")</f>
        <v/>
      </c>
    </row>
    <row r="2588" spans="1:1" ht="18" customHeight="1">
      <c r="A2588" t="str">
        <f>IF(Generation!$B69,"    &lt;/presentation&gt;","")</f>
        <v/>
      </c>
    </row>
    <row r="2589" spans="1:1" ht="18" customHeight="1">
      <c r="A2589" t="str">
        <f>IF(Generation!$B69,"    &lt;resprocessing&gt;","")</f>
        <v/>
      </c>
    </row>
    <row r="2590" spans="1:1" ht="18" customHeight="1">
      <c r="A2590" t="str">
        <f>IF(Generation!$B69,"      &lt;outcomes&gt;&lt;decvar varname=""SCORE"" vartype=""Decimal"" minvalue=""0"" maxvalue="""&amp;Generation!$H69&amp;"""/&gt;&lt;/outcomes&gt;","")</f>
        <v/>
      </c>
    </row>
    <row r="2591" spans="1:1" ht="18" customHeight="1">
      <c r="A2591" t="str">
        <f>IF(Generation!AJ69="","",Generation!AJ69)</f>
        <v/>
      </c>
    </row>
    <row r="2592" spans="1:1" ht="18" customHeight="1">
      <c r="A2592" t="str">
        <f>IF(Generation!AK69="","",Generation!AK69)</f>
        <v/>
      </c>
    </row>
    <row r="2593" spans="1:1" ht="18" customHeight="1">
      <c r="A2593" t="str">
        <f>IF(Generation!AL69="","",Generation!AL69)</f>
        <v/>
      </c>
    </row>
    <row r="2594" spans="1:1" ht="18" customHeight="1">
      <c r="A2594" t="str">
        <f>IF(Generation!AM69="","",Generation!AM69)</f>
        <v/>
      </c>
    </row>
    <row r="2595" spans="1:1" ht="18" customHeight="1">
      <c r="A2595" t="str">
        <f>IF(Generation!AN69="","",Generation!AN69)</f>
        <v/>
      </c>
    </row>
    <row r="2596" spans="1:1" ht="18" customHeight="1">
      <c r="A2596" t="str">
        <f>IF(Generation!AO69="","",Generation!AO69)</f>
        <v/>
      </c>
    </row>
    <row r="2597" spans="1:1" ht="18" customHeight="1">
      <c r="A2597" t="str">
        <f>IF(Generation!AP69="","",Generation!AP69)</f>
        <v/>
      </c>
    </row>
    <row r="2598" spans="1:1" ht="18" customHeight="1">
      <c r="A2598" t="str">
        <f>IF(Generation!AQ69="","",Generation!AQ69)</f>
        <v/>
      </c>
    </row>
    <row r="2599" spans="1:1" ht="18" customHeight="1">
      <c r="A2599" t="str">
        <f>IF(Generation!$B69,"    &lt;/resprocessing&gt;","")</f>
        <v/>
      </c>
    </row>
    <row r="2600" spans="1:1" ht="18" customHeight="1">
      <c r="A2600" t="str">
        <f>IF(Generation!$B69,"    &lt;itemfeedback ident=""response""&gt;&lt;flow_mat&gt;&lt;material&gt;&lt;mattext texttype=""text/plain""&gt;&lt;/mattext&gt;&lt;/material&gt;&lt;/flow_mat&gt;&lt;/itemfeedback&gt;","")</f>
        <v/>
      </c>
    </row>
    <row r="2601" spans="1:1" ht="18" customHeight="1">
      <c r="A2601" t="str">
        <f>IF(Generation!$B69,"  &lt;/item&gt;","")</f>
        <v/>
      </c>
    </row>
    <row r="2602" spans="1:1" ht="18" customHeight="1">
      <c r="A2602" t="str">
        <f>IF(Generation!$B69,"","")</f>
        <v/>
      </c>
    </row>
    <row r="2603" spans="1:1" ht="18" customHeight="1">
      <c r="A2603" t="str">
        <f>""</f>
        <v/>
      </c>
    </row>
    <row r="2604" spans="1:1" ht="18" customHeight="1">
      <c r="A2604" t="str">
        <f>IF(Generation!$B70,"  &lt;item ident=""il_0_qst_"&amp;TEXT(Generation!$A70,"000")&amp;""" title="""&amp;Generation!$F70&amp;"""&gt;","")</f>
        <v/>
      </c>
    </row>
    <row r="2605" spans="1:1" ht="18" customHeight="1">
      <c r="A2605" t="str">
        <f>IF(Generation!$B70,"    &lt;duration&gt;P0Y0M0DT0H1M0S&lt;/duration&gt;","")</f>
        <v/>
      </c>
    </row>
    <row r="2606" spans="1:1" ht="18" customHeight="1">
      <c r="A2606" t="str">
        <f>IF(Generation!$B70,"    &lt;itemmetadata&gt;","")</f>
        <v/>
      </c>
    </row>
    <row r="2607" spans="1:1" ht="18" customHeight="1">
      <c r="A2607" t="str">
        <f>IF(Generation!$B70,"      &lt;qtimetadata&gt;","")</f>
        <v/>
      </c>
    </row>
    <row r="2608" spans="1:1" ht="18" customHeight="1">
      <c r="A2608" t="str">
        <f>IF(Generation!$B70,"        &lt;qtimetadatafield&gt;&lt;fieldlabel&gt;ILIAS_VERSION&lt;/fieldlabel&gt;&lt;fieldentry&gt;8&lt;/fieldentry&gt;&lt;/qtimetadatafield&gt;","")</f>
        <v/>
      </c>
    </row>
    <row r="2609" spans="1:1" ht="18" customHeight="1">
      <c r="A2609" t="str">
        <f>IF(Generation!$B70,"        &lt;qtimetadatafield&gt;&lt;fieldlabel&gt;QUESTIONTYPE&lt;/fieldlabel&gt;&lt;fieldentry&gt;"&amp;Generation!$D70&amp;"&lt;/fieldentry&gt;&lt;/qtimetadatafield&gt;","")</f>
        <v/>
      </c>
    </row>
    <row r="2610" spans="1:1" ht="18" customHeight="1">
      <c r="A2610" t="str">
        <f>IF(Generation!$B70,"        &lt;qtimetadatafield&gt;&lt;fieldlabel&gt;AUTHOR&lt;/fieldlabel&gt;&lt;fieldentry&gt;Générateur Excel QTI&lt;/fieldentry&gt;&lt;/qtimetadatafield&gt;","")</f>
        <v/>
      </c>
    </row>
    <row r="2611" spans="1:1" ht="18" customHeight="1">
      <c r="A2611" t="str">
        <f>IF(Generation!$B70,"        &lt;qtimetadatafield&gt;&lt;fieldlabel&gt;identicalScoring&lt;/fieldlabel&gt;&lt;fieldentry&gt;1&lt;/fieldentry&gt;&lt;/qtimetadatafield&gt;","")</f>
        <v/>
      </c>
    </row>
    <row r="2612" spans="1:1" ht="18" customHeight="1">
      <c r="A2612" t="str">
        <f>IF(Generation!$B70,"      &lt;/qtimetadata&gt;","")</f>
        <v/>
      </c>
    </row>
    <row r="2613" spans="1:1" ht="18" customHeight="1">
      <c r="A2613" t="str">
        <f>IF(Generation!$B70,"    &lt;/itemmetadata&gt;","")</f>
        <v/>
      </c>
    </row>
    <row r="2614" spans="1:1" ht="18" customHeight="1">
      <c r="A2614" t="str">
        <f>IF(Generation!$B70,"    &lt;presentation label="""&amp;Generation!$F70&amp;"""&gt;","")</f>
        <v/>
      </c>
    </row>
    <row r="2615" spans="1:1" ht="18" customHeight="1">
      <c r="A2615" t="str">
        <f>IF(Generation!$B70,"      &lt;material&gt;&lt;mattext texttype=""text/html""&gt;"&amp;Generation!$G70&amp;"&lt;/mattext&gt;&lt;/material&gt;","")</f>
        <v/>
      </c>
    </row>
    <row r="2616" spans="1:1" ht="18" customHeight="1">
      <c r="A2616" t="str">
        <f>IF(Generation!$B70,"      &lt;response_lid ident=""RESPONSE"" rcardinality="""&amp;Generation!$E70&amp;"""&gt;","")</f>
        <v/>
      </c>
    </row>
    <row r="2617" spans="1:1" ht="18" customHeight="1">
      <c r="A2617" t="str">
        <f>IF(Generation!$B70,"        &lt;render_choice shuffle=""No""&gt;","")</f>
        <v/>
      </c>
    </row>
    <row r="2618" spans="1:1" ht="18" customHeight="1">
      <c r="A2618" t="str">
        <f>IF(Generation!AB70="","",Generation!AB70)</f>
        <v/>
      </c>
    </row>
    <row r="2619" spans="1:1" ht="18" customHeight="1">
      <c r="A2619" t="str">
        <f>IF(Generation!AC70="","",Generation!AC70)</f>
        <v/>
      </c>
    </row>
    <row r="2620" spans="1:1" ht="18" customHeight="1">
      <c r="A2620" t="str">
        <f>IF(Generation!AD70="","",Generation!AD70)</f>
        <v/>
      </c>
    </row>
    <row r="2621" spans="1:1" ht="18" customHeight="1">
      <c r="A2621" t="str">
        <f>IF(Generation!AE70="","",Generation!AE70)</f>
        <v/>
      </c>
    </row>
    <row r="2622" spans="1:1" ht="18" customHeight="1">
      <c r="A2622" t="str">
        <f>IF(Generation!AF70="","",Generation!AF70)</f>
        <v/>
      </c>
    </row>
    <row r="2623" spans="1:1" ht="18" customHeight="1">
      <c r="A2623" t="str">
        <f>IF(Generation!AG70="","",Generation!AG70)</f>
        <v/>
      </c>
    </row>
    <row r="2624" spans="1:1" ht="18" customHeight="1">
      <c r="A2624" t="str">
        <f>IF(Generation!AH70="","",Generation!AH70)</f>
        <v/>
      </c>
    </row>
    <row r="2625" spans="1:1" ht="18" customHeight="1">
      <c r="A2625" t="str">
        <f>IF(Generation!AI70="","",Generation!AI70)</f>
        <v/>
      </c>
    </row>
    <row r="2626" spans="1:1" ht="18" customHeight="1">
      <c r="A2626" t="str">
        <f>IF(Generation!$B70,"        &lt;/render_choice&gt;","")</f>
        <v/>
      </c>
    </row>
    <row r="2627" spans="1:1" ht="18" customHeight="1">
      <c r="A2627" t="str">
        <f>IF(Generation!$B70,"      &lt;/response_lid&gt;","")</f>
        <v/>
      </c>
    </row>
    <row r="2628" spans="1:1" ht="18" customHeight="1">
      <c r="A2628" t="str">
        <f>IF(Generation!$B70,"    &lt;/presentation&gt;","")</f>
        <v/>
      </c>
    </row>
    <row r="2629" spans="1:1" ht="18" customHeight="1">
      <c r="A2629" t="str">
        <f>IF(Generation!$B70,"    &lt;resprocessing&gt;","")</f>
        <v/>
      </c>
    </row>
    <row r="2630" spans="1:1" ht="18" customHeight="1">
      <c r="A2630" t="str">
        <f>IF(Generation!$B70,"      &lt;outcomes&gt;&lt;decvar varname=""SCORE"" vartype=""Decimal"" minvalue=""0"" maxvalue="""&amp;Generation!$H70&amp;"""/&gt;&lt;/outcomes&gt;","")</f>
        <v/>
      </c>
    </row>
    <row r="2631" spans="1:1" ht="18" customHeight="1">
      <c r="A2631" t="str">
        <f>IF(Generation!AJ70="","",Generation!AJ70)</f>
        <v/>
      </c>
    </row>
    <row r="2632" spans="1:1" ht="18" customHeight="1">
      <c r="A2632" t="str">
        <f>IF(Generation!AK70="","",Generation!AK70)</f>
        <v/>
      </c>
    </row>
    <row r="2633" spans="1:1" ht="18" customHeight="1">
      <c r="A2633" t="str">
        <f>IF(Generation!AL70="","",Generation!AL70)</f>
        <v/>
      </c>
    </row>
    <row r="2634" spans="1:1" ht="18" customHeight="1">
      <c r="A2634" t="str">
        <f>IF(Generation!AM70="","",Generation!AM70)</f>
        <v/>
      </c>
    </row>
    <row r="2635" spans="1:1" ht="18" customHeight="1">
      <c r="A2635" t="str">
        <f>IF(Generation!AN70="","",Generation!AN70)</f>
        <v/>
      </c>
    </row>
    <row r="2636" spans="1:1" ht="18" customHeight="1">
      <c r="A2636" t="str">
        <f>IF(Generation!AO70="","",Generation!AO70)</f>
        <v/>
      </c>
    </row>
    <row r="2637" spans="1:1" ht="18" customHeight="1">
      <c r="A2637" t="str">
        <f>IF(Generation!AP70="","",Generation!AP70)</f>
        <v/>
      </c>
    </row>
    <row r="2638" spans="1:1" ht="18" customHeight="1">
      <c r="A2638" t="str">
        <f>IF(Generation!AQ70="","",Generation!AQ70)</f>
        <v/>
      </c>
    </row>
    <row r="2639" spans="1:1" ht="18" customHeight="1">
      <c r="A2639" t="str">
        <f>IF(Generation!$B70,"    &lt;/resprocessing&gt;","")</f>
        <v/>
      </c>
    </row>
    <row r="2640" spans="1:1" ht="18" customHeight="1">
      <c r="A2640" t="str">
        <f>IF(Generation!$B70,"    &lt;itemfeedback ident=""response""&gt;&lt;flow_mat&gt;&lt;material&gt;&lt;mattext texttype=""text/plain""&gt;&lt;/mattext&gt;&lt;/material&gt;&lt;/flow_mat&gt;&lt;/itemfeedback&gt;","")</f>
        <v/>
      </c>
    </row>
    <row r="2641" spans="1:1" ht="18" customHeight="1">
      <c r="A2641" t="str">
        <f>IF(Generation!$B70,"  &lt;/item&gt;","")</f>
        <v/>
      </c>
    </row>
    <row r="2642" spans="1:1" ht="18" customHeight="1">
      <c r="A2642" t="str">
        <f>IF(Generation!$B70,"","")</f>
        <v/>
      </c>
    </row>
    <row r="2643" spans="1:1" ht="18" customHeight="1">
      <c r="A2643" t="str">
        <f>""</f>
        <v/>
      </c>
    </row>
    <row r="2644" spans="1:1" ht="18" customHeight="1">
      <c r="A2644" t="str">
        <f>IF(Generation!$B71,"  &lt;item ident=""il_0_qst_"&amp;TEXT(Generation!$A71,"000")&amp;""" title="""&amp;Generation!$F71&amp;"""&gt;","")</f>
        <v/>
      </c>
    </row>
    <row r="2645" spans="1:1" ht="18" customHeight="1">
      <c r="A2645" t="str">
        <f>IF(Generation!$B71,"    &lt;duration&gt;P0Y0M0DT0H1M0S&lt;/duration&gt;","")</f>
        <v/>
      </c>
    </row>
    <row r="2646" spans="1:1" ht="18" customHeight="1">
      <c r="A2646" t="str">
        <f>IF(Generation!$B71,"    &lt;itemmetadata&gt;","")</f>
        <v/>
      </c>
    </row>
    <row r="2647" spans="1:1" ht="18" customHeight="1">
      <c r="A2647" t="str">
        <f>IF(Generation!$B71,"      &lt;qtimetadata&gt;","")</f>
        <v/>
      </c>
    </row>
    <row r="2648" spans="1:1" ht="18" customHeight="1">
      <c r="A2648" t="str">
        <f>IF(Generation!$B71,"        &lt;qtimetadatafield&gt;&lt;fieldlabel&gt;ILIAS_VERSION&lt;/fieldlabel&gt;&lt;fieldentry&gt;8&lt;/fieldentry&gt;&lt;/qtimetadatafield&gt;","")</f>
        <v/>
      </c>
    </row>
    <row r="2649" spans="1:1" ht="18" customHeight="1">
      <c r="A2649" t="str">
        <f>IF(Generation!$B71,"        &lt;qtimetadatafield&gt;&lt;fieldlabel&gt;QUESTIONTYPE&lt;/fieldlabel&gt;&lt;fieldentry&gt;"&amp;Generation!$D71&amp;"&lt;/fieldentry&gt;&lt;/qtimetadatafield&gt;","")</f>
        <v/>
      </c>
    </row>
    <row r="2650" spans="1:1" ht="18" customHeight="1">
      <c r="A2650" t="str">
        <f>IF(Generation!$B71,"        &lt;qtimetadatafield&gt;&lt;fieldlabel&gt;AUTHOR&lt;/fieldlabel&gt;&lt;fieldentry&gt;Générateur Excel QTI&lt;/fieldentry&gt;&lt;/qtimetadatafield&gt;","")</f>
        <v/>
      </c>
    </row>
    <row r="2651" spans="1:1" ht="18" customHeight="1">
      <c r="A2651" t="str">
        <f>IF(Generation!$B71,"        &lt;qtimetadatafield&gt;&lt;fieldlabel&gt;identicalScoring&lt;/fieldlabel&gt;&lt;fieldentry&gt;1&lt;/fieldentry&gt;&lt;/qtimetadatafield&gt;","")</f>
        <v/>
      </c>
    </row>
    <row r="2652" spans="1:1" ht="18" customHeight="1">
      <c r="A2652" t="str">
        <f>IF(Generation!$B71,"      &lt;/qtimetadata&gt;","")</f>
        <v/>
      </c>
    </row>
    <row r="2653" spans="1:1" ht="18" customHeight="1">
      <c r="A2653" t="str">
        <f>IF(Generation!$B71,"    &lt;/itemmetadata&gt;","")</f>
        <v/>
      </c>
    </row>
    <row r="2654" spans="1:1" ht="18" customHeight="1">
      <c r="A2654" t="str">
        <f>IF(Generation!$B71,"    &lt;presentation label="""&amp;Generation!$F71&amp;"""&gt;","")</f>
        <v/>
      </c>
    </row>
    <row r="2655" spans="1:1" ht="18" customHeight="1">
      <c r="A2655" t="str">
        <f>IF(Generation!$B71,"      &lt;material&gt;&lt;mattext texttype=""text/html""&gt;"&amp;Generation!$G71&amp;"&lt;/mattext&gt;&lt;/material&gt;","")</f>
        <v/>
      </c>
    </row>
    <row r="2656" spans="1:1" ht="18" customHeight="1">
      <c r="A2656" t="str">
        <f>IF(Generation!$B71,"      &lt;response_lid ident=""RESPONSE"" rcardinality="""&amp;Generation!$E71&amp;"""&gt;","")</f>
        <v/>
      </c>
    </row>
    <row r="2657" spans="1:1" ht="18" customHeight="1">
      <c r="A2657" t="str">
        <f>IF(Generation!$B71,"        &lt;render_choice shuffle=""No""&gt;","")</f>
        <v/>
      </c>
    </row>
    <row r="2658" spans="1:1" ht="18" customHeight="1">
      <c r="A2658" t="str">
        <f>IF(Generation!AB71="","",Generation!AB71)</f>
        <v/>
      </c>
    </row>
    <row r="2659" spans="1:1" ht="18" customHeight="1">
      <c r="A2659" t="str">
        <f>IF(Generation!AC71="","",Generation!AC71)</f>
        <v/>
      </c>
    </row>
    <row r="2660" spans="1:1" ht="18" customHeight="1">
      <c r="A2660" t="str">
        <f>IF(Generation!AD71="","",Generation!AD71)</f>
        <v/>
      </c>
    </row>
    <row r="2661" spans="1:1" ht="18" customHeight="1">
      <c r="A2661" t="str">
        <f>IF(Generation!AE71="","",Generation!AE71)</f>
        <v/>
      </c>
    </row>
    <row r="2662" spans="1:1" ht="18" customHeight="1">
      <c r="A2662" t="str">
        <f>IF(Generation!AF71="","",Generation!AF71)</f>
        <v/>
      </c>
    </row>
    <row r="2663" spans="1:1" ht="18" customHeight="1">
      <c r="A2663" t="str">
        <f>IF(Generation!AG71="","",Generation!AG71)</f>
        <v/>
      </c>
    </row>
    <row r="2664" spans="1:1" ht="18" customHeight="1">
      <c r="A2664" t="str">
        <f>IF(Generation!AH71="","",Generation!AH71)</f>
        <v/>
      </c>
    </row>
    <row r="2665" spans="1:1" ht="18" customHeight="1">
      <c r="A2665" t="str">
        <f>IF(Generation!AI71="","",Generation!AI71)</f>
        <v/>
      </c>
    </row>
    <row r="2666" spans="1:1" ht="18" customHeight="1">
      <c r="A2666" t="str">
        <f>IF(Generation!$B71,"        &lt;/render_choice&gt;","")</f>
        <v/>
      </c>
    </row>
    <row r="2667" spans="1:1" ht="18" customHeight="1">
      <c r="A2667" t="str">
        <f>IF(Generation!$B71,"      &lt;/response_lid&gt;","")</f>
        <v/>
      </c>
    </row>
    <row r="2668" spans="1:1" ht="18" customHeight="1">
      <c r="A2668" t="str">
        <f>IF(Generation!$B71,"    &lt;/presentation&gt;","")</f>
        <v/>
      </c>
    </row>
    <row r="2669" spans="1:1" ht="18" customHeight="1">
      <c r="A2669" t="str">
        <f>IF(Generation!$B71,"    &lt;resprocessing&gt;","")</f>
        <v/>
      </c>
    </row>
    <row r="2670" spans="1:1" ht="18" customHeight="1">
      <c r="A2670" t="str">
        <f>IF(Generation!$B71,"      &lt;outcomes&gt;&lt;decvar varname=""SCORE"" vartype=""Decimal"" minvalue=""0"" maxvalue="""&amp;Generation!$H71&amp;"""/&gt;&lt;/outcomes&gt;","")</f>
        <v/>
      </c>
    </row>
    <row r="2671" spans="1:1" ht="18" customHeight="1">
      <c r="A2671" t="str">
        <f>IF(Generation!AJ71="","",Generation!AJ71)</f>
        <v/>
      </c>
    </row>
    <row r="2672" spans="1:1" ht="18" customHeight="1">
      <c r="A2672" t="str">
        <f>IF(Generation!AK71="","",Generation!AK71)</f>
        <v/>
      </c>
    </row>
    <row r="2673" spans="1:1" ht="18" customHeight="1">
      <c r="A2673" t="str">
        <f>IF(Generation!AL71="","",Generation!AL71)</f>
        <v/>
      </c>
    </row>
    <row r="2674" spans="1:1" ht="18" customHeight="1">
      <c r="A2674" t="str">
        <f>IF(Generation!AM71="","",Generation!AM71)</f>
        <v/>
      </c>
    </row>
    <row r="2675" spans="1:1" ht="18" customHeight="1">
      <c r="A2675" t="str">
        <f>IF(Generation!AN71="","",Generation!AN71)</f>
        <v/>
      </c>
    </row>
    <row r="2676" spans="1:1" ht="18" customHeight="1">
      <c r="A2676" t="str">
        <f>IF(Generation!AO71="","",Generation!AO71)</f>
        <v/>
      </c>
    </row>
    <row r="2677" spans="1:1" ht="18" customHeight="1">
      <c r="A2677" t="str">
        <f>IF(Generation!AP71="","",Generation!AP71)</f>
        <v/>
      </c>
    </row>
    <row r="2678" spans="1:1" ht="18" customHeight="1">
      <c r="A2678" t="str">
        <f>IF(Generation!AQ71="","",Generation!AQ71)</f>
        <v/>
      </c>
    </row>
    <row r="2679" spans="1:1" ht="18" customHeight="1">
      <c r="A2679" t="str">
        <f>IF(Generation!$B71,"    &lt;/resprocessing&gt;","")</f>
        <v/>
      </c>
    </row>
    <row r="2680" spans="1:1" ht="18" customHeight="1">
      <c r="A2680" t="str">
        <f>IF(Generation!$B71,"    &lt;itemfeedback ident=""response""&gt;&lt;flow_mat&gt;&lt;material&gt;&lt;mattext texttype=""text/plain""&gt;&lt;/mattext&gt;&lt;/material&gt;&lt;/flow_mat&gt;&lt;/itemfeedback&gt;","")</f>
        <v/>
      </c>
    </row>
    <row r="2681" spans="1:1" ht="18" customHeight="1">
      <c r="A2681" t="str">
        <f>IF(Generation!$B71,"  &lt;/item&gt;","")</f>
        <v/>
      </c>
    </row>
    <row r="2682" spans="1:1" ht="18" customHeight="1">
      <c r="A2682" t="str">
        <f>IF(Generation!$B71,"","")</f>
        <v/>
      </c>
    </row>
    <row r="2683" spans="1:1" ht="18" customHeight="1">
      <c r="A2683" t="str">
        <f>""</f>
        <v/>
      </c>
    </row>
    <row r="2684" spans="1:1" ht="18" customHeight="1">
      <c r="A2684" t="str">
        <f>IF(Generation!$B72,"  &lt;item ident=""il_0_qst_"&amp;TEXT(Generation!$A72,"000")&amp;""" title="""&amp;Generation!$F72&amp;"""&gt;","")</f>
        <v/>
      </c>
    </row>
    <row r="2685" spans="1:1" ht="18" customHeight="1">
      <c r="A2685" t="str">
        <f>IF(Generation!$B72,"    &lt;duration&gt;P0Y0M0DT0H1M0S&lt;/duration&gt;","")</f>
        <v/>
      </c>
    </row>
    <row r="2686" spans="1:1" ht="18" customHeight="1">
      <c r="A2686" t="str">
        <f>IF(Generation!$B72,"    &lt;itemmetadata&gt;","")</f>
        <v/>
      </c>
    </row>
    <row r="2687" spans="1:1" ht="18" customHeight="1">
      <c r="A2687" t="str">
        <f>IF(Generation!$B72,"      &lt;qtimetadata&gt;","")</f>
        <v/>
      </c>
    </row>
    <row r="2688" spans="1:1" ht="18" customHeight="1">
      <c r="A2688" t="str">
        <f>IF(Generation!$B72,"        &lt;qtimetadatafield&gt;&lt;fieldlabel&gt;ILIAS_VERSION&lt;/fieldlabel&gt;&lt;fieldentry&gt;8&lt;/fieldentry&gt;&lt;/qtimetadatafield&gt;","")</f>
        <v/>
      </c>
    </row>
    <row r="2689" spans="1:1" ht="18" customHeight="1">
      <c r="A2689" t="str">
        <f>IF(Generation!$B72,"        &lt;qtimetadatafield&gt;&lt;fieldlabel&gt;QUESTIONTYPE&lt;/fieldlabel&gt;&lt;fieldentry&gt;"&amp;Generation!$D72&amp;"&lt;/fieldentry&gt;&lt;/qtimetadatafield&gt;","")</f>
        <v/>
      </c>
    </row>
    <row r="2690" spans="1:1" ht="18" customHeight="1">
      <c r="A2690" t="str">
        <f>IF(Generation!$B72,"        &lt;qtimetadatafield&gt;&lt;fieldlabel&gt;AUTHOR&lt;/fieldlabel&gt;&lt;fieldentry&gt;Générateur Excel QTI&lt;/fieldentry&gt;&lt;/qtimetadatafield&gt;","")</f>
        <v/>
      </c>
    </row>
    <row r="2691" spans="1:1" ht="18" customHeight="1">
      <c r="A2691" t="str">
        <f>IF(Generation!$B72,"        &lt;qtimetadatafield&gt;&lt;fieldlabel&gt;identicalScoring&lt;/fieldlabel&gt;&lt;fieldentry&gt;1&lt;/fieldentry&gt;&lt;/qtimetadatafield&gt;","")</f>
        <v/>
      </c>
    </row>
    <row r="2692" spans="1:1" ht="18" customHeight="1">
      <c r="A2692" t="str">
        <f>IF(Generation!$B72,"      &lt;/qtimetadata&gt;","")</f>
        <v/>
      </c>
    </row>
    <row r="2693" spans="1:1" ht="18" customHeight="1">
      <c r="A2693" t="str">
        <f>IF(Generation!$B72,"    &lt;/itemmetadata&gt;","")</f>
        <v/>
      </c>
    </row>
    <row r="2694" spans="1:1" ht="18" customHeight="1">
      <c r="A2694" t="str">
        <f>IF(Generation!$B72,"    &lt;presentation label="""&amp;Generation!$F72&amp;"""&gt;","")</f>
        <v/>
      </c>
    </row>
    <row r="2695" spans="1:1" ht="18" customHeight="1">
      <c r="A2695" t="str">
        <f>IF(Generation!$B72,"      &lt;material&gt;&lt;mattext texttype=""text/html""&gt;"&amp;Generation!$G72&amp;"&lt;/mattext&gt;&lt;/material&gt;","")</f>
        <v/>
      </c>
    </row>
    <row r="2696" spans="1:1" ht="18" customHeight="1">
      <c r="A2696" t="str">
        <f>IF(Generation!$B72,"      &lt;response_lid ident=""RESPONSE"" rcardinality="""&amp;Generation!$E72&amp;"""&gt;","")</f>
        <v/>
      </c>
    </row>
    <row r="2697" spans="1:1" ht="18" customHeight="1">
      <c r="A2697" t="str">
        <f>IF(Generation!$B72,"        &lt;render_choice shuffle=""No""&gt;","")</f>
        <v/>
      </c>
    </row>
    <row r="2698" spans="1:1" ht="18" customHeight="1">
      <c r="A2698" t="str">
        <f>IF(Generation!AB72="","",Generation!AB72)</f>
        <v/>
      </c>
    </row>
    <row r="2699" spans="1:1" ht="18" customHeight="1">
      <c r="A2699" t="str">
        <f>IF(Generation!AC72="","",Generation!AC72)</f>
        <v/>
      </c>
    </row>
    <row r="2700" spans="1:1" ht="18" customHeight="1">
      <c r="A2700" t="str">
        <f>IF(Generation!AD72="","",Generation!AD72)</f>
        <v/>
      </c>
    </row>
    <row r="2701" spans="1:1" ht="18" customHeight="1">
      <c r="A2701" t="str">
        <f>IF(Generation!AE72="","",Generation!AE72)</f>
        <v/>
      </c>
    </row>
    <row r="2702" spans="1:1" ht="18" customHeight="1">
      <c r="A2702" t="str">
        <f>IF(Generation!AF72="","",Generation!AF72)</f>
        <v/>
      </c>
    </row>
    <row r="2703" spans="1:1" ht="18" customHeight="1">
      <c r="A2703" t="str">
        <f>IF(Generation!AG72="","",Generation!AG72)</f>
        <v/>
      </c>
    </row>
    <row r="2704" spans="1:1" ht="18" customHeight="1">
      <c r="A2704" t="str">
        <f>IF(Generation!AH72="","",Generation!AH72)</f>
        <v/>
      </c>
    </row>
    <row r="2705" spans="1:1" ht="18" customHeight="1">
      <c r="A2705" t="str">
        <f>IF(Generation!AI72="","",Generation!AI72)</f>
        <v/>
      </c>
    </row>
    <row r="2706" spans="1:1" ht="18" customHeight="1">
      <c r="A2706" t="str">
        <f>IF(Generation!$B72,"        &lt;/render_choice&gt;","")</f>
        <v/>
      </c>
    </row>
    <row r="2707" spans="1:1" ht="18" customHeight="1">
      <c r="A2707" t="str">
        <f>IF(Generation!$B72,"      &lt;/response_lid&gt;","")</f>
        <v/>
      </c>
    </row>
    <row r="2708" spans="1:1" ht="18" customHeight="1">
      <c r="A2708" t="str">
        <f>IF(Generation!$B72,"    &lt;/presentation&gt;","")</f>
        <v/>
      </c>
    </row>
    <row r="2709" spans="1:1" ht="18" customHeight="1">
      <c r="A2709" t="str">
        <f>IF(Generation!$B72,"    &lt;resprocessing&gt;","")</f>
        <v/>
      </c>
    </row>
    <row r="2710" spans="1:1" ht="18" customHeight="1">
      <c r="A2710" t="str">
        <f>IF(Generation!$B72,"      &lt;outcomes&gt;&lt;decvar varname=""SCORE"" vartype=""Decimal"" minvalue=""0"" maxvalue="""&amp;Generation!$H72&amp;"""/&gt;&lt;/outcomes&gt;","")</f>
        <v/>
      </c>
    </row>
    <row r="2711" spans="1:1" ht="18" customHeight="1">
      <c r="A2711" t="str">
        <f>IF(Generation!AJ72="","",Generation!AJ72)</f>
        <v/>
      </c>
    </row>
    <row r="2712" spans="1:1" ht="18" customHeight="1">
      <c r="A2712" t="str">
        <f>IF(Generation!AK72="","",Generation!AK72)</f>
        <v/>
      </c>
    </row>
    <row r="2713" spans="1:1" ht="18" customHeight="1">
      <c r="A2713" t="str">
        <f>IF(Generation!AL72="","",Generation!AL72)</f>
        <v/>
      </c>
    </row>
    <row r="2714" spans="1:1" ht="18" customHeight="1">
      <c r="A2714" t="str">
        <f>IF(Generation!AM72="","",Generation!AM72)</f>
        <v/>
      </c>
    </row>
    <row r="2715" spans="1:1" ht="18" customHeight="1">
      <c r="A2715" t="str">
        <f>IF(Generation!AN72="","",Generation!AN72)</f>
        <v/>
      </c>
    </row>
    <row r="2716" spans="1:1" ht="18" customHeight="1">
      <c r="A2716" t="str">
        <f>IF(Generation!AO72="","",Generation!AO72)</f>
        <v/>
      </c>
    </row>
    <row r="2717" spans="1:1" ht="18" customHeight="1">
      <c r="A2717" t="str">
        <f>IF(Generation!AP72="","",Generation!AP72)</f>
        <v/>
      </c>
    </row>
    <row r="2718" spans="1:1" ht="18" customHeight="1">
      <c r="A2718" t="str">
        <f>IF(Generation!AQ72="","",Generation!AQ72)</f>
        <v/>
      </c>
    </row>
    <row r="2719" spans="1:1" ht="18" customHeight="1">
      <c r="A2719" t="str">
        <f>IF(Generation!$B72,"    &lt;/resprocessing&gt;","")</f>
        <v/>
      </c>
    </row>
    <row r="2720" spans="1:1" ht="18" customHeight="1">
      <c r="A2720" t="str">
        <f>IF(Generation!$B72,"    &lt;itemfeedback ident=""response""&gt;&lt;flow_mat&gt;&lt;material&gt;&lt;mattext texttype=""text/plain""&gt;&lt;/mattext&gt;&lt;/material&gt;&lt;/flow_mat&gt;&lt;/itemfeedback&gt;","")</f>
        <v/>
      </c>
    </row>
    <row r="2721" spans="1:1" ht="18" customHeight="1">
      <c r="A2721" t="str">
        <f>IF(Generation!$B72,"  &lt;/item&gt;","")</f>
        <v/>
      </c>
    </row>
    <row r="2722" spans="1:1" ht="18" customHeight="1">
      <c r="A2722" t="str">
        <f>IF(Generation!$B72,"","")</f>
        <v/>
      </c>
    </row>
    <row r="2723" spans="1:1" ht="18" customHeight="1">
      <c r="A2723" t="str">
        <f>""</f>
        <v/>
      </c>
    </row>
    <row r="2724" spans="1:1" ht="18" customHeight="1">
      <c r="A2724" t="str">
        <f>IF(Generation!$B73,"  &lt;item ident=""il_0_qst_"&amp;TEXT(Generation!$A73,"000")&amp;""" title="""&amp;Generation!$F73&amp;"""&gt;","")</f>
        <v/>
      </c>
    </row>
    <row r="2725" spans="1:1" ht="18" customHeight="1">
      <c r="A2725" t="str">
        <f>IF(Generation!$B73,"    &lt;duration&gt;P0Y0M0DT0H1M0S&lt;/duration&gt;","")</f>
        <v/>
      </c>
    </row>
    <row r="2726" spans="1:1" ht="18" customHeight="1">
      <c r="A2726" t="str">
        <f>IF(Generation!$B73,"    &lt;itemmetadata&gt;","")</f>
        <v/>
      </c>
    </row>
    <row r="2727" spans="1:1" ht="18" customHeight="1">
      <c r="A2727" t="str">
        <f>IF(Generation!$B73,"      &lt;qtimetadata&gt;","")</f>
        <v/>
      </c>
    </row>
    <row r="2728" spans="1:1" ht="18" customHeight="1">
      <c r="A2728" t="str">
        <f>IF(Generation!$B73,"        &lt;qtimetadatafield&gt;&lt;fieldlabel&gt;ILIAS_VERSION&lt;/fieldlabel&gt;&lt;fieldentry&gt;8&lt;/fieldentry&gt;&lt;/qtimetadatafield&gt;","")</f>
        <v/>
      </c>
    </row>
    <row r="2729" spans="1:1" ht="18" customHeight="1">
      <c r="A2729" t="str">
        <f>IF(Generation!$B73,"        &lt;qtimetadatafield&gt;&lt;fieldlabel&gt;QUESTIONTYPE&lt;/fieldlabel&gt;&lt;fieldentry&gt;"&amp;Generation!$D73&amp;"&lt;/fieldentry&gt;&lt;/qtimetadatafield&gt;","")</f>
        <v/>
      </c>
    </row>
    <row r="2730" spans="1:1" ht="18" customHeight="1">
      <c r="A2730" t="str">
        <f>IF(Generation!$B73,"        &lt;qtimetadatafield&gt;&lt;fieldlabel&gt;AUTHOR&lt;/fieldlabel&gt;&lt;fieldentry&gt;Générateur Excel QTI&lt;/fieldentry&gt;&lt;/qtimetadatafield&gt;","")</f>
        <v/>
      </c>
    </row>
    <row r="2731" spans="1:1" ht="18" customHeight="1">
      <c r="A2731" t="str">
        <f>IF(Generation!$B73,"        &lt;qtimetadatafield&gt;&lt;fieldlabel&gt;identicalScoring&lt;/fieldlabel&gt;&lt;fieldentry&gt;1&lt;/fieldentry&gt;&lt;/qtimetadatafield&gt;","")</f>
        <v/>
      </c>
    </row>
    <row r="2732" spans="1:1" ht="18" customHeight="1">
      <c r="A2732" t="str">
        <f>IF(Generation!$B73,"      &lt;/qtimetadata&gt;","")</f>
        <v/>
      </c>
    </row>
    <row r="2733" spans="1:1" ht="18" customHeight="1">
      <c r="A2733" t="str">
        <f>IF(Generation!$B73,"    &lt;/itemmetadata&gt;","")</f>
        <v/>
      </c>
    </row>
    <row r="2734" spans="1:1" ht="18" customHeight="1">
      <c r="A2734" t="str">
        <f>IF(Generation!$B73,"    &lt;presentation label="""&amp;Generation!$F73&amp;"""&gt;","")</f>
        <v/>
      </c>
    </row>
    <row r="2735" spans="1:1" ht="18" customHeight="1">
      <c r="A2735" t="str">
        <f>IF(Generation!$B73,"      &lt;material&gt;&lt;mattext texttype=""text/html""&gt;"&amp;Generation!$G73&amp;"&lt;/mattext&gt;&lt;/material&gt;","")</f>
        <v/>
      </c>
    </row>
    <row r="2736" spans="1:1" ht="18" customHeight="1">
      <c r="A2736" t="str">
        <f>IF(Generation!$B73,"      &lt;response_lid ident=""RESPONSE"" rcardinality="""&amp;Generation!$E73&amp;"""&gt;","")</f>
        <v/>
      </c>
    </row>
    <row r="2737" spans="1:1" ht="18" customHeight="1">
      <c r="A2737" t="str">
        <f>IF(Generation!$B73,"        &lt;render_choice shuffle=""No""&gt;","")</f>
        <v/>
      </c>
    </row>
    <row r="2738" spans="1:1" ht="18" customHeight="1">
      <c r="A2738" t="str">
        <f>IF(Generation!AB73="","",Generation!AB73)</f>
        <v/>
      </c>
    </row>
    <row r="2739" spans="1:1" ht="18" customHeight="1">
      <c r="A2739" t="str">
        <f>IF(Generation!AC73="","",Generation!AC73)</f>
        <v/>
      </c>
    </row>
    <row r="2740" spans="1:1" ht="18" customHeight="1">
      <c r="A2740" t="str">
        <f>IF(Generation!AD73="","",Generation!AD73)</f>
        <v/>
      </c>
    </row>
    <row r="2741" spans="1:1" ht="18" customHeight="1">
      <c r="A2741" t="str">
        <f>IF(Generation!AE73="","",Generation!AE73)</f>
        <v/>
      </c>
    </row>
    <row r="2742" spans="1:1" ht="18" customHeight="1">
      <c r="A2742" t="str">
        <f>IF(Generation!AF73="","",Generation!AF73)</f>
        <v/>
      </c>
    </row>
    <row r="2743" spans="1:1" ht="18" customHeight="1">
      <c r="A2743" t="str">
        <f>IF(Generation!AG73="","",Generation!AG73)</f>
        <v/>
      </c>
    </row>
    <row r="2744" spans="1:1" ht="18" customHeight="1">
      <c r="A2744" t="str">
        <f>IF(Generation!AH73="","",Generation!AH73)</f>
        <v/>
      </c>
    </row>
    <row r="2745" spans="1:1" ht="18" customHeight="1">
      <c r="A2745" t="str">
        <f>IF(Generation!AI73="","",Generation!AI73)</f>
        <v/>
      </c>
    </row>
    <row r="2746" spans="1:1" ht="18" customHeight="1">
      <c r="A2746" t="str">
        <f>IF(Generation!$B73,"        &lt;/render_choice&gt;","")</f>
        <v/>
      </c>
    </row>
    <row r="2747" spans="1:1" ht="18" customHeight="1">
      <c r="A2747" t="str">
        <f>IF(Generation!$B73,"      &lt;/response_lid&gt;","")</f>
        <v/>
      </c>
    </row>
    <row r="2748" spans="1:1" ht="18" customHeight="1">
      <c r="A2748" t="str">
        <f>IF(Generation!$B73,"    &lt;/presentation&gt;","")</f>
        <v/>
      </c>
    </row>
    <row r="2749" spans="1:1" ht="18" customHeight="1">
      <c r="A2749" t="str">
        <f>IF(Generation!$B73,"    &lt;resprocessing&gt;","")</f>
        <v/>
      </c>
    </row>
    <row r="2750" spans="1:1" ht="18" customHeight="1">
      <c r="A2750" t="str">
        <f>IF(Generation!$B73,"      &lt;outcomes&gt;&lt;decvar varname=""SCORE"" vartype=""Decimal"" minvalue=""0"" maxvalue="""&amp;Generation!$H73&amp;"""/&gt;&lt;/outcomes&gt;","")</f>
        <v/>
      </c>
    </row>
    <row r="2751" spans="1:1" ht="18" customHeight="1">
      <c r="A2751" t="str">
        <f>IF(Generation!AJ73="","",Generation!AJ73)</f>
        <v/>
      </c>
    </row>
    <row r="2752" spans="1:1" ht="18" customHeight="1">
      <c r="A2752" t="str">
        <f>IF(Generation!AK73="","",Generation!AK73)</f>
        <v/>
      </c>
    </row>
    <row r="2753" spans="1:1" ht="18" customHeight="1">
      <c r="A2753" t="str">
        <f>IF(Generation!AL73="","",Generation!AL73)</f>
        <v/>
      </c>
    </row>
    <row r="2754" spans="1:1" ht="18" customHeight="1">
      <c r="A2754" t="str">
        <f>IF(Generation!AM73="","",Generation!AM73)</f>
        <v/>
      </c>
    </row>
    <row r="2755" spans="1:1" ht="18" customHeight="1">
      <c r="A2755" t="str">
        <f>IF(Generation!AN73="","",Generation!AN73)</f>
        <v/>
      </c>
    </row>
    <row r="2756" spans="1:1" ht="18" customHeight="1">
      <c r="A2756" t="str">
        <f>IF(Generation!AO73="","",Generation!AO73)</f>
        <v/>
      </c>
    </row>
    <row r="2757" spans="1:1" ht="18" customHeight="1">
      <c r="A2757" t="str">
        <f>IF(Generation!AP73="","",Generation!AP73)</f>
        <v/>
      </c>
    </row>
    <row r="2758" spans="1:1" ht="18" customHeight="1">
      <c r="A2758" t="str">
        <f>IF(Generation!AQ73="","",Generation!AQ73)</f>
        <v/>
      </c>
    </row>
    <row r="2759" spans="1:1" ht="18" customHeight="1">
      <c r="A2759" t="str">
        <f>IF(Generation!$B73,"    &lt;/resprocessing&gt;","")</f>
        <v/>
      </c>
    </row>
    <row r="2760" spans="1:1" ht="18" customHeight="1">
      <c r="A2760" t="str">
        <f>IF(Generation!$B73,"    &lt;itemfeedback ident=""response""&gt;&lt;flow_mat&gt;&lt;material&gt;&lt;mattext texttype=""text/plain""&gt;&lt;/mattext&gt;&lt;/material&gt;&lt;/flow_mat&gt;&lt;/itemfeedback&gt;","")</f>
        <v/>
      </c>
    </row>
    <row r="2761" spans="1:1" ht="18" customHeight="1">
      <c r="A2761" t="str">
        <f>IF(Generation!$B73,"  &lt;/item&gt;","")</f>
        <v/>
      </c>
    </row>
    <row r="2762" spans="1:1" ht="18" customHeight="1">
      <c r="A2762" t="str">
        <f>IF(Generation!$B73,"","")</f>
        <v/>
      </c>
    </row>
    <row r="2763" spans="1:1" ht="18" customHeight="1">
      <c r="A2763" t="str">
        <f>""</f>
        <v/>
      </c>
    </row>
    <row r="2764" spans="1:1" ht="18" customHeight="1">
      <c r="A2764" t="str">
        <f>IF(Generation!$B74,"  &lt;item ident=""il_0_qst_"&amp;TEXT(Generation!$A74,"000")&amp;""" title="""&amp;Generation!$F74&amp;"""&gt;","")</f>
        <v/>
      </c>
    </row>
    <row r="2765" spans="1:1" ht="18" customHeight="1">
      <c r="A2765" t="str">
        <f>IF(Generation!$B74,"    &lt;duration&gt;P0Y0M0DT0H1M0S&lt;/duration&gt;","")</f>
        <v/>
      </c>
    </row>
    <row r="2766" spans="1:1" ht="18" customHeight="1">
      <c r="A2766" t="str">
        <f>IF(Generation!$B74,"    &lt;itemmetadata&gt;","")</f>
        <v/>
      </c>
    </row>
    <row r="2767" spans="1:1" ht="18" customHeight="1">
      <c r="A2767" t="str">
        <f>IF(Generation!$B74,"      &lt;qtimetadata&gt;","")</f>
        <v/>
      </c>
    </row>
    <row r="2768" spans="1:1" ht="18" customHeight="1">
      <c r="A2768" t="str">
        <f>IF(Generation!$B74,"        &lt;qtimetadatafield&gt;&lt;fieldlabel&gt;ILIAS_VERSION&lt;/fieldlabel&gt;&lt;fieldentry&gt;8&lt;/fieldentry&gt;&lt;/qtimetadatafield&gt;","")</f>
        <v/>
      </c>
    </row>
    <row r="2769" spans="1:1" ht="18" customHeight="1">
      <c r="A2769" t="str">
        <f>IF(Generation!$B74,"        &lt;qtimetadatafield&gt;&lt;fieldlabel&gt;QUESTIONTYPE&lt;/fieldlabel&gt;&lt;fieldentry&gt;"&amp;Generation!$D74&amp;"&lt;/fieldentry&gt;&lt;/qtimetadatafield&gt;","")</f>
        <v/>
      </c>
    </row>
    <row r="2770" spans="1:1" ht="18" customHeight="1">
      <c r="A2770" t="str">
        <f>IF(Generation!$B74,"        &lt;qtimetadatafield&gt;&lt;fieldlabel&gt;AUTHOR&lt;/fieldlabel&gt;&lt;fieldentry&gt;Générateur Excel QTI&lt;/fieldentry&gt;&lt;/qtimetadatafield&gt;","")</f>
        <v/>
      </c>
    </row>
    <row r="2771" spans="1:1" ht="18" customHeight="1">
      <c r="A2771" t="str">
        <f>IF(Generation!$B74,"        &lt;qtimetadatafield&gt;&lt;fieldlabel&gt;identicalScoring&lt;/fieldlabel&gt;&lt;fieldentry&gt;1&lt;/fieldentry&gt;&lt;/qtimetadatafield&gt;","")</f>
        <v/>
      </c>
    </row>
    <row r="2772" spans="1:1" ht="18" customHeight="1">
      <c r="A2772" t="str">
        <f>IF(Generation!$B74,"      &lt;/qtimetadata&gt;","")</f>
        <v/>
      </c>
    </row>
    <row r="2773" spans="1:1" ht="18" customHeight="1">
      <c r="A2773" t="str">
        <f>IF(Generation!$B74,"    &lt;/itemmetadata&gt;","")</f>
        <v/>
      </c>
    </row>
    <row r="2774" spans="1:1" ht="18" customHeight="1">
      <c r="A2774" t="str">
        <f>IF(Generation!$B74,"    &lt;presentation label="""&amp;Generation!$F74&amp;"""&gt;","")</f>
        <v/>
      </c>
    </row>
    <row r="2775" spans="1:1" ht="18" customHeight="1">
      <c r="A2775" t="str">
        <f>IF(Generation!$B74,"      &lt;material&gt;&lt;mattext texttype=""text/html""&gt;"&amp;Generation!$G74&amp;"&lt;/mattext&gt;&lt;/material&gt;","")</f>
        <v/>
      </c>
    </row>
    <row r="2776" spans="1:1" ht="18" customHeight="1">
      <c r="A2776" t="str">
        <f>IF(Generation!$B74,"      &lt;response_lid ident=""RESPONSE"" rcardinality="""&amp;Generation!$E74&amp;"""&gt;","")</f>
        <v/>
      </c>
    </row>
    <row r="2777" spans="1:1" ht="18" customHeight="1">
      <c r="A2777" t="str">
        <f>IF(Generation!$B74,"        &lt;render_choice shuffle=""No""&gt;","")</f>
        <v/>
      </c>
    </row>
    <row r="2778" spans="1:1" ht="18" customHeight="1">
      <c r="A2778" t="str">
        <f>IF(Generation!AB74="","",Generation!AB74)</f>
        <v/>
      </c>
    </row>
    <row r="2779" spans="1:1" ht="18" customHeight="1">
      <c r="A2779" t="str">
        <f>IF(Generation!AC74="","",Generation!AC74)</f>
        <v/>
      </c>
    </row>
    <row r="2780" spans="1:1" ht="18" customHeight="1">
      <c r="A2780" t="str">
        <f>IF(Generation!AD74="","",Generation!AD74)</f>
        <v/>
      </c>
    </row>
    <row r="2781" spans="1:1" ht="18" customHeight="1">
      <c r="A2781" t="str">
        <f>IF(Generation!AE74="","",Generation!AE74)</f>
        <v/>
      </c>
    </row>
    <row r="2782" spans="1:1" ht="18" customHeight="1">
      <c r="A2782" t="str">
        <f>IF(Generation!AF74="","",Generation!AF74)</f>
        <v/>
      </c>
    </row>
    <row r="2783" spans="1:1" ht="18" customHeight="1">
      <c r="A2783" t="str">
        <f>IF(Generation!AG74="","",Generation!AG74)</f>
        <v/>
      </c>
    </row>
    <row r="2784" spans="1:1" ht="18" customHeight="1">
      <c r="A2784" t="str">
        <f>IF(Generation!AH74="","",Generation!AH74)</f>
        <v/>
      </c>
    </row>
    <row r="2785" spans="1:1" ht="18" customHeight="1">
      <c r="A2785" t="str">
        <f>IF(Generation!AI74="","",Generation!AI74)</f>
        <v/>
      </c>
    </row>
    <row r="2786" spans="1:1" ht="18" customHeight="1">
      <c r="A2786" t="str">
        <f>IF(Generation!$B74,"        &lt;/render_choice&gt;","")</f>
        <v/>
      </c>
    </row>
    <row r="2787" spans="1:1" ht="18" customHeight="1">
      <c r="A2787" t="str">
        <f>IF(Generation!$B74,"      &lt;/response_lid&gt;","")</f>
        <v/>
      </c>
    </row>
    <row r="2788" spans="1:1" ht="18" customHeight="1">
      <c r="A2788" t="str">
        <f>IF(Generation!$B74,"    &lt;/presentation&gt;","")</f>
        <v/>
      </c>
    </row>
    <row r="2789" spans="1:1" ht="18" customHeight="1">
      <c r="A2789" t="str">
        <f>IF(Generation!$B74,"    &lt;resprocessing&gt;","")</f>
        <v/>
      </c>
    </row>
    <row r="2790" spans="1:1" ht="18" customHeight="1">
      <c r="A2790" t="str">
        <f>IF(Generation!$B74,"      &lt;outcomes&gt;&lt;decvar varname=""SCORE"" vartype=""Decimal"" minvalue=""0"" maxvalue="""&amp;Generation!$H74&amp;"""/&gt;&lt;/outcomes&gt;","")</f>
        <v/>
      </c>
    </row>
    <row r="2791" spans="1:1" ht="18" customHeight="1">
      <c r="A2791" t="str">
        <f>IF(Generation!AJ74="","",Generation!AJ74)</f>
        <v/>
      </c>
    </row>
    <row r="2792" spans="1:1" ht="18" customHeight="1">
      <c r="A2792" t="str">
        <f>IF(Generation!AK74="","",Generation!AK74)</f>
        <v/>
      </c>
    </row>
    <row r="2793" spans="1:1" ht="18" customHeight="1">
      <c r="A2793" t="str">
        <f>IF(Generation!AL74="","",Generation!AL74)</f>
        <v/>
      </c>
    </row>
    <row r="2794" spans="1:1" ht="18" customHeight="1">
      <c r="A2794" t="str">
        <f>IF(Generation!AM74="","",Generation!AM74)</f>
        <v/>
      </c>
    </row>
    <row r="2795" spans="1:1" ht="18" customHeight="1">
      <c r="A2795" t="str">
        <f>IF(Generation!AN74="","",Generation!AN74)</f>
        <v/>
      </c>
    </row>
    <row r="2796" spans="1:1" ht="18" customHeight="1">
      <c r="A2796" t="str">
        <f>IF(Generation!AO74="","",Generation!AO74)</f>
        <v/>
      </c>
    </row>
    <row r="2797" spans="1:1" ht="18" customHeight="1">
      <c r="A2797" t="str">
        <f>IF(Generation!AP74="","",Generation!AP74)</f>
        <v/>
      </c>
    </row>
    <row r="2798" spans="1:1" ht="18" customHeight="1">
      <c r="A2798" t="str">
        <f>IF(Generation!AQ74="","",Generation!AQ74)</f>
        <v/>
      </c>
    </row>
    <row r="2799" spans="1:1" ht="18" customHeight="1">
      <c r="A2799" t="str">
        <f>IF(Generation!$B74,"    &lt;/resprocessing&gt;","")</f>
        <v/>
      </c>
    </row>
    <row r="2800" spans="1:1" ht="18" customHeight="1">
      <c r="A2800" t="str">
        <f>IF(Generation!$B74,"    &lt;itemfeedback ident=""response""&gt;&lt;flow_mat&gt;&lt;material&gt;&lt;mattext texttype=""text/plain""&gt;&lt;/mattext&gt;&lt;/material&gt;&lt;/flow_mat&gt;&lt;/itemfeedback&gt;","")</f>
        <v/>
      </c>
    </row>
    <row r="2801" spans="1:1" ht="18" customHeight="1">
      <c r="A2801" t="str">
        <f>IF(Generation!$B74,"  &lt;/item&gt;","")</f>
        <v/>
      </c>
    </row>
    <row r="2802" spans="1:1" ht="18" customHeight="1">
      <c r="A2802" t="str">
        <f>IF(Generation!$B74,"","")</f>
        <v/>
      </c>
    </row>
    <row r="2803" spans="1:1" ht="18" customHeight="1">
      <c r="A2803" t="str">
        <f>""</f>
        <v/>
      </c>
    </row>
    <row r="2804" spans="1:1" ht="18" customHeight="1">
      <c r="A2804" t="str">
        <f>IF(Generation!$B75,"  &lt;item ident=""il_0_qst_"&amp;TEXT(Generation!$A75,"000")&amp;""" title="""&amp;Generation!$F75&amp;"""&gt;","")</f>
        <v/>
      </c>
    </row>
    <row r="2805" spans="1:1" ht="18" customHeight="1">
      <c r="A2805" t="str">
        <f>IF(Generation!$B75,"    &lt;duration&gt;P0Y0M0DT0H1M0S&lt;/duration&gt;","")</f>
        <v/>
      </c>
    </row>
    <row r="2806" spans="1:1" ht="18" customHeight="1">
      <c r="A2806" t="str">
        <f>IF(Generation!$B75,"    &lt;itemmetadata&gt;","")</f>
        <v/>
      </c>
    </row>
    <row r="2807" spans="1:1" ht="18" customHeight="1">
      <c r="A2807" t="str">
        <f>IF(Generation!$B75,"      &lt;qtimetadata&gt;","")</f>
        <v/>
      </c>
    </row>
    <row r="2808" spans="1:1" ht="18" customHeight="1">
      <c r="A2808" t="str">
        <f>IF(Generation!$B75,"        &lt;qtimetadatafield&gt;&lt;fieldlabel&gt;ILIAS_VERSION&lt;/fieldlabel&gt;&lt;fieldentry&gt;8&lt;/fieldentry&gt;&lt;/qtimetadatafield&gt;","")</f>
        <v/>
      </c>
    </row>
    <row r="2809" spans="1:1" ht="18" customHeight="1">
      <c r="A2809" t="str">
        <f>IF(Generation!$B75,"        &lt;qtimetadatafield&gt;&lt;fieldlabel&gt;QUESTIONTYPE&lt;/fieldlabel&gt;&lt;fieldentry&gt;"&amp;Generation!$D75&amp;"&lt;/fieldentry&gt;&lt;/qtimetadatafield&gt;","")</f>
        <v/>
      </c>
    </row>
    <row r="2810" spans="1:1" ht="18" customHeight="1">
      <c r="A2810" t="str">
        <f>IF(Generation!$B75,"        &lt;qtimetadatafield&gt;&lt;fieldlabel&gt;AUTHOR&lt;/fieldlabel&gt;&lt;fieldentry&gt;Générateur Excel QTI&lt;/fieldentry&gt;&lt;/qtimetadatafield&gt;","")</f>
        <v/>
      </c>
    </row>
    <row r="2811" spans="1:1" ht="18" customHeight="1">
      <c r="A2811" t="str">
        <f>IF(Generation!$B75,"        &lt;qtimetadatafield&gt;&lt;fieldlabel&gt;identicalScoring&lt;/fieldlabel&gt;&lt;fieldentry&gt;1&lt;/fieldentry&gt;&lt;/qtimetadatafield&gt;","")</f>
        <v/>
      </c>
    </row>
    <row r="2812" spans="1:1" ht="18" customHeight="1">
      <c r="A2812" t="str">
        <f>IF(Generation!$B75,"      &lt;/qtimetadata&gt;","")</f>
        <v/>
      </c>
    </row>
    <row r="2813" spans="1:1" ht="18" customHeight="1">
      <c r="A2813" t="str">
        <f>IF(Generation!$B75,"    &lt;/itemmetadata&gt;","")</f>
        <v/>
      </c>
    </row>
    <row r="2814" spans="1:1" ht="18" customHeight="1">
      <c r="A2814" t="str">
        <f>IF(Generation!$B75,"    &lt;presentation label="""&amp;Generation!$F75&amp;"""&gt;","")</f>
        <v/>
      </c>
    </row>
    <row r="2815" spans="1:1" ht="18" customHeight="1">
      <c r="A2815" t="str">
        <f>IF(Generation!$B75,"      &lt;material&gt;&lt;mattext texttype=""text/html""&gt;"&amp;Generation!$G75&amp;"&lt;/mattext&gt;&lt;/material&gt;","")</f>
        <v/>
      </c>
    </row>
    <row r="2816" spans="1:1" ht="18" customHeight="1">
      <c r="A2816" t="str">
        <f>IF(Generation!$B75,"      &lt;response_lid ident=""RESPONSE"" rcardinality="""&amp;Generation!$E75&amp;"""&gt;","")</f>
        <v/>
      </c>
    </row>
    <row r="2817" spans="1:1" ht="18" customHeight="1">
      <c r="A2817" t="str">
        <f>IF(Generation!$B75,"        &lt;render_choice shuffle=""No""&gt;","")</f>
        <v/>
      </c>
    </row>
    <row r="2818" spans="1:1" ht="18" customHeight="1">
      <c r="A2818" t="str">
        <f>IF(Generation!AB75="","",Generation!AB75)</f>
        <v/>
      </c>
    </row>
    <row r="2819" spans="1:1" ht="18" customHeight="1">
      <c r="A2819" t="str">
        <f>IF(Generation!AC75="","",Generation!AC75)</f>
        <v/>
      </c>
    </row>
    <row r="2820" spans="1:1" ht="18" customHeight="1">
      <c r="A2820" t="str">
        <f>IF(Generation!AD75="","",Generation!AD75)</f>
        <v/>
      </c>
    </row>
    <row r="2821" spans="1:1" ht="18" customHeight="1">
      <c r="A2821" t="str">
        <f>IF(Generation!AE75="","",Generation!AE75)</f>
        <v/>
      </c>
    </row>
    <row r="2822" spans="1:1" ht="18" customHeight="1">
      <c r="A2822" t="str">
        <f>IF(Generation!AF75="","",Generation!AF75)</f>
        <v/>
      </c>
    </row>
    <row r="2823" spans="1:1" ht="18" customHeight="1">
      <c r="A2823" t="str">
        <f>IF(Generation!AG75="","",Generation!AG75)</f>
        <v/>
      </c>
    </row>
    <row r="2824" spans="1:1" ht="18" customHeight="1">
      <c r="A2824" t="str">
        <f>IF(Generation!AH75="","",Generation!AH75)</f>
        <v/>
      </c>
    </row>
    <row r="2825" spans="1:1" ht="18" customHeight="1">
      <c r="A2825" t="str">
        <f>IF(Generation!AI75="","",Generation!AI75)</f>
        <v/>
      </c>
    </row>
    <row r="2826" spans="1:1" ht="18" customHeight="1">
      <c r="A2826" t="str">
        <f>IF(Generation!$B75,"        &lt;/render_choice&gt;","")</f>
        <v/>
      </c>
    </row>
    <row r="2827" spans="1:1" ht="18" customHeight="1">
      <c r="A2827" t="str">
        <f>IF(Generation!$B75,"      &lt;/response_lid&gt;","")</f>
        <v/>
      </c>
    </row>
    <row r="2828" spans="1:1" ht="18" customHeight="1">
      <c r="A2828" t="str">
        <f>IF(Generation!$B75,"    &lt;/presentation&gt;","")</f>
        <v/>
      </c>
    </row>
    <row r="2829" spans="1:1" ht="18" customHeight="1">
      <c r="A2829" t="str">
        <f>IF(Generation!$B75,"    &lt;resprocessing&gt;","")</f>
        <v/>
      </c>
    </row>
    <row r="2830" spans="1:1" ht="18" customHeight="1">
      <c r="A2830" t="str">
        <f>IF(Generation!$B75,"      &lt;outcomes&gt;&lt;decvar varname=""SCORE"" vartype=""Decimal"" minvalue=""0"" maxvalue="""&amp;Generation!$H75&amp;"""/&gt;&lt;/outcomes&gt;","")</f>
        <v/>
      </c>
    </row>
    <row r="2831" spans="1:1" ht="18" customHeight="1">
      <c r="A2831" t="str">
        <f>IF(Generation!AJ75="","",Generation!AJ75)</f>
        <v/>
      </c>
    </row>
    <row r="2832" spans="1:1" ht="18" customHeight="1">
      <c r="A2832" t="str">
        <f>IF(Generation!AK75="","",Generation!AK75)</f>
        <v/>
      </c>
    </row>
    <row r="2833" spans="1:1" ht="18" customHeight="1">
      <c r="A2833" t="str">
        <f>IF(Generation!AL75="","",Generation!AL75)</f>
        <v/>
      </c>
    </row>
    <row r="2834" spans="1:1" ht="18" customHeight="1">
      <c r="A2834" t="str">
        <f>IF(Generation!AM75="","",Generation!AM75)</f>
        <v/>
      </c>
    </row>
    <row r="2835" spans="1:1" ht="18" customHeight="1">
      <c r="A2835" t="str">
        <f>IF(Generation!AN75="","",Generation!AN75)</f>
        <v/>
      </c>
    </row>
    <row r="2836" spans="1:1" ht="18" customHeight="1">
      <c r="A2836" t="str">
        <f>IF(Generation!AO75="","",Generation!AO75)</f>
        <v/>
      </c>
    </row>
    <row r="2837" spans="1:1" ht="18" customHeight="1">
      <c r="A2837" t="str">
        <f>IF(Generation!AP75="","",Generation!AP75)</f>
        <v/>
      </c>
    </row>
    <row r="2838" spans="1:1" ht="18" customHeight="1">
      <c r="A2838" t="str">
        <f>IF(Generation!AQ75="","",Generation!AQ75)</f>
        <v/>
      </c>
    </row>
    <row r="2839" spans="1:1" ht="18" customHeight="1">
      <c r="A2839" t="str">
        <f>IF(Generation!$B75,"    &lt;/resprocessing&gt;","")</f>
        <v/>
      </c>
    </row>
    <row r="2840" spans="1:1" ht="18" customHeight="1">
      <c r="A2840" t="str">
        <f>IF(Generation!$B75,"    &lt;itemfeedback ident=""response""&gt;&lt;flow_mat&gt;&lt;material&gt;&lt;mattext texttype=""text/plain""&gt;&lt;/mattext&gt;&lt;/material&gt;&lt;/flow_mat&gt;&lt;/itemfeedback&gt;","")</f>
        <v/>
      </c>
    </row>
    <row r="2841" spans="1:1" ht="18" customHeight="1">
      <c r="A2841" t="str">
        <f>IF(Generation!$B75,"  &lt;/item&gt;","")</f>
        <v/>
      </c>
    </row>
    <row r="2842" spans="1:1" ht="18" customHeight="1">
      <c r="A2842" t="str">
        <f>IF(Generation!$B75,"","")</f>
        <v/>
      </c>
    </row>
    <row r="2843" spans="1:1" ht="18" customHeight="1">
      <c r="A2843" t="str">
        <f>""</f>
        <v/>
      </c>
    </row>
    <row r="2844" spans="1:1" ht="18" customHeight="1">
      <c r="A2844" t="str">
        <f>IF(Generation!$B76,"  &lt;item ident=""il_0_qst_"&amp;TEXT(Generation!$A76,"000")&amp;""" title="""&amp;Generation!$F76&amp;"""&gt;","")</f>
        <v/>
      </c>
    </row>
    <row r="2845" spans="1:1" ht="18" customHeight="1">
      <c r="A2845" t="str">
        <f>IF(Generation!$B76,"    &lt;duration&gt;P0Y0M0DT0H1M0S&lt;/duration&gt;","")</f>
        <v/>
      </c>
    </row>
    <row r="2846" spans="1:1" ht="18" customHeight="1">
      <c r="A2846" t="str">
        <f>IF(Generation!$B76,"    &lt;itemmetadata&gt;","")</f>
        <v/>
      </c>
    </row>
    <row r="2847" spans="1:1" ht="18" customHeight="1">
      <c r="A2847" t="str">
        <f>IF(Generation!$B76,"      &lt;qtimetadata&gt;","")</f>
        <v/>
      </c>
    </row>
    <row r="2848" spans="1:1" ht="18" customHeight="1">
      <c r="A2848" t="str">
        <f>IF(Generation!$B76,"        &lt;qtimetadatafield&gt;&lt;fieldlabel&gt;ILIAS_VERSION&lt;/fieldlabel&gt;&lt;fieldentry&gt;8&lt;/fieldentry&gt;&lt;/qtimetadatafield&gt;","")</f>
        <v/>
      </c>
    </row>
    <row r="2849" spans="1:1" ht="18" customHeight="1">
      <c r="A2849" t="str">
        <f>IF(Generation!$B76,"        &lt;qtimetadatafield&gt;&lt;fieldlabel&gt;QUESTIONTYPE&lt;/fieldlabel&gt;&lt;fieldentry&gt;"&amp;Generation!$D76&amp;"&lt;/fieldentry&gt;&lt;/qtimetadatafield&gt;","")</f>
        <v/>
      </c>
    </row>
    <row r="2850" spans="1:1" ht="18" customHeight="1">
      <c r="A2850" t="str">
        <f>IF(Generation!$B76,"        &lt;qtimetadatafield&gt;&lt;fieldlabel&gt;AUTHOR&lt;/fieldlabel&gt;&lt;fieldentry&gt;Générateur Excel QTI&lt;/fieldentry&gt;&lt;/qtimetadatafield&gt;","")</f>
        <v/>
      </c>
    </row>
    <row r="2851" spans="1:1" ht="18" customHeight="1">
      <c r="A2851" t="str">
        <f>IF(Generation!$B76,"        &lt;qtimetadatafield&gt;&lt;fieldlabel&gt;identicalScoring&lt;/fieldlabel&gt;&lt;fieldentry&gt;1&lt;/fieldentry&gt;&lt;/qtimetadatafield&gt;","")</f>
        <v/>
      </c>
    </row>
    <row r="2852" spans="1:1" ht="18" customHeight="1">
      <c r="A2852" t="str">
        <f>IF(Generation!$B76,"      &lt;/qtimetadata&gt;","")</f>
        <v/>
      </c>
    </row>
    <row r="2853" spans="1:1" ht="18" customHeight="1">
      <c r="A2853" t="str">
        <f>IF(Generation!$B76,"    &lt;/itemmetadata&gt;","")</f>
        <v/>
      </c>
    </row>
    <row r="2854" spans="1:1" ht="18" customHeight="1">
      <c r="A2854" t="str">
        <f>IF(Generation!$B76,"    &lt;presentation label="""&amp;Generation!$F76&amp;"""&gt;","")</f>
        <v/>
      </c>
    </row>
    <row r="2855" spans="1:1" ht="18" customHeight="1">
      <c r="A2855" t="str">
        <f>IF(Generation!$B76,"      &lt;material&gt;&lt;mattext texttype=""text/html""&gt;"&amp;Generation!$G76&amp;"&lt;/mattext&gt;&lt;/material&gt;","")</f>
        <v/>
      </c>
    </row>
    <row r="2856" spans="1:1" ht="18" customHeight="1">
      <c r="A2856" t="str">
        <f>IF(Generation!$B76,"      &lt;response_lid ident=""RESPONSE"" rcardinality="""&amp;Generation!$E76&amp;"""&gt;","")</f>
        <v/>
      </c>
    </row>
    <row r="2857" spans="1:1" ht="18" customHeight="1">
      <c r="A2857" t="str">
        <f>IF(Generation!$B76,"        &lt;render_choice shuffle=""No""&gt;","")</f>
        <v/>
      </c>
    </row>
    <row r="2858" spans="1:1" ht="18" customHeight="1">
      <c r="A2858" t="str">
        <f>IF(Generation!AB76="","",Generation!AB76)</f>
        <v/>
      </c>
    </row>
    <row r="2859" spans="1:1" ht="18" customHeight="1">
      <c r="A2859" t="str">
        <f>IF(Generation!AC76="","",Generation!AC76)</f>
        <v/>
      </c>
    </row>
    <row r="2860" spans="1:1" ht="18" customHeight="1">
      <c r="A2860" t="str">
        <f>IF(Generation!AD76="","",Generation!AD76)</f>
        <v/>
      </c>
    </row>
    <row r="2861" spans="1:1" ht="18" customHeight="1">
      <c r="A2861" t="str">
        <f>IF(Generation!AE76="","",Generation!AE76)</f>
        <v/>
      </c>
    </row>
    <row r="2862" spans="1:1" ht="18" customHeight="1">
      <c r="A2862" t="str">
        <f>IF(Generation!AF76="","",Generation!AF76)</f>
        <v/>
      </c>
    </row>
    <row r="2863" spans="1:1" ht="18" customHeight="1">
      <c r="A2863" t="str">
        <f>IF(Generation!AG76="","",Generation!AG76)</f>
        <v/>
      </c>
    </row>
    <row r="2864" spans="1:1" ht="18" customHeight="1">
      <c r="A2864" t="str">
        <f>IF(Generation!AH76="","",Generation!AH76)</f>
        <v/>
      </c>
    </row>
    <row r="2865" spans="1:1" ht="18" customHeight="1">
      <c r="A2865" t="str">
        <f>IF(Generation!AI76="","",Generation!AI76)</f>
        <v/>
      </c>
    </row>
    <row r="2866" spans="1:1" ht="18" customHeight="1">
      <c r="A2866" t="str">
        <f>IF(Generation!$B76,"        &lt;/render_choice&gt;","")</f>
        <v/>
      </c>
    </row>
    <row r="2867" spans="1:1" ht="18" customHeight="1">
      <c r="A2867" t="str">
        <f>IF(Generation!$B76,"      &lt;/response_lid&gt;","")</f>
        <v/>
      </c>
    </row>
    <row r="2868" spans="1:1" ht="18" customHeight="1">
      <c r="A2868" t="str">
        <f>IF(Generation!$B76,"    &lt;/presentation&gt;","")</f>
        <v/>
      </c>
    </row>
    <row r="2869" spans="1:1" ht="18" customHeight="1">
      <c r="A2869" t="str">
        <f>IF(Generation!$B76,"    &lt;resprocessing&gt;","")</f>
        <v/>
      </c>
    </row>
    <row r="2870" spans="1:1" ht="18" customHeight="1">
      <c r="A2870" t="str">
        <f>IF(Generation!$B76,"      &lt;outcomes&gt;&lt;decvar varname=""SCORE"" vartype=""Decimal"" minvalue=""0"" maxvalue="""&amp;Generation!$H76&amp;"""/&gt;&lt;/outcomes&gt;","")</f>
        <v/>
      </c>
    </row>
    <row r="2871" spans="1:1" ht="18" customHeight="1">
      <c r="A2871" t="str">
        <f>IF(Generation!AJ76="","",Generation!AJ76)</f>
        <v/>
      </c>
    </row>
    <row r="2872" spans="1:1" ht="18" customHeight="1">
      <c r="A2872" t="str">
        <f>IF(Generation!AK76="","",Generation!AK76)</f>
        <v/>
      </c>
    </row>
    <row r="2873" spans="1:1" ht="18" customHeight="1">
      <c r="A2873" t="str">
        <f>IF(Generation!AL76="","",Generation!AL76)</f>
        <v/>
      </c>
    </row>
    <row r="2874" spans="1:1" ht="18" customHeight="1">
      <c r="A2874" t="str">
        <f>IF(Generation!AM76="","",Generation!AM76)</f>
        <v/>
      </c>
    </row>
    <row r="2875" spans="1:1" ht="18" customHeight="1">
      <c r="A2875" t="str">
        <f>IF(Generation!AN76="","",Generation!AN76)</f>
        <v/>
      </c>
    </row>
    <row r="2876" spans="1:1" ht="18" customHeight="1">
      <c r="A2876" t="str">
        <f>IF(Generation!AO76="","",Generation!AO76)</f>
        <v/>
      </c>
    </row>
    <row r="2877" spans="1:1" ht="18" customHeight="1">
      <c r="A2877" t="str">
        <f>IF(Generation!AP76="","",Generation!AP76)</f>
        <v/>
      </c>
    </row>
    <row r="2878" spans="1:1" ht="18" customHeight="1">
      <c r="A2878" t="str">
        <f>IF(Generation!AQ76="","",Generation!AQ76)</f>
        <v/>
      </c>
    </row>
    <row r="2879" spans="1:1" ht="18" customHeight="1">
      <c r="A2879" t="str">
        <f>IF(Generation!$B76,"    &lt;/resprocessing&gt;","")</f>
        <v/>
      </c>
    </row>
    <row r="2880" spans="1:1" ht="18" customHeight="1">
      <c r="A2880" t="str">
        <f>IF(Generation!$B76,"    &lt;itemfeedback ident=""response""&gt;&lt;flow_mat&gt;&lt;material&gt;&lt;mattext texttype=""text/plain""&gt;&lt;/mattext&gt;&lt;/material&gt;&lt;/flow_mat&gt;&lt;/itemfeedback&gt;","")</f>
        <v/>
      </c>
    </row>
    <row r="2881" spans="1:1" ht="18" customHeight="1">
      <c r="A2881" t="str">
        <f>IF(Generation!$B76,"  &lt;/item&gt;","")</f>
        <v/>
      </c>
    </row>
    <row r="2882" spans="1:1" ht="18" customHeight="1">
      <c r="A2882" t="str">
        <f>IF(Generation!$B76,"","")</f>
        <v/>
      </c>
    </row>
    <row r="2883" spans="1:1" ht="18" customHeight="1">
      <c r="A2883" t="str">
        <f>""</f>
        <v/>
      </c>
    </row>
    <row r="2884" spans="1:1" ht="18" customHeight="1">
      <c r="A2884" t="str">
        <f>IF(Generation!$B77,"  &lt;item ident=""il_0_qst_"&amp;TEXT(Generation!$A77,"000")&amp;""" title="""&amp;Generation!$F77&amp;"""&gt;","")</f>
        <v/>
      </c>
    </row>
    <row r="2885" spans="1:1" ht="18" customHeight="1">
      <c r="A2885" t="str">
        <f>IF(Generation!$B77,"    &lt;duration&gt;P0Y0M0DT0H1M0S&lt;/duration&gt;","")</f>
        <v/>
      </c>
    </row>
    <row r="2886" spans="1:1" ht="18" customHeight="1">
      <c r="A2886" t="str">
        <f>IF(Generation!$B77,"    &lt;itemmetadata&gt;","")</f>
        <v/>
      </c>
    </row>
    <row r="2887" spans="1:1" ht="18" customHeight="1">
      <c r="A2887" t="str">
        <f>IF(Generation!$B77,"      &lt;qtimetadata&gt;","")</f>
        <v/>
      </c>
    </row>
    <row r="2888" spans="1:1" ht="18" customHeight="1">
      <c r="A2888" t="str">
        <f>IF(Generation!$B77,"        &lt;qtimetadatafield&gt;&lt;fieldlabel&gt;ILIAS_VERSION&lt;/fieldlabel&gt;&lt;fieldentry&gt;8&lt;/fieldentry&gt;&lt;/qtimetadatafield&gt;","")</f>
        <v/>
      </c>
    </row>
    <row r="2889" spans="1:1" ht="18" customHeight="1">
      <c r="A2889" t="str">
        <f>IF(Generation!$B77,"        &lt;qtimetadatafield&gt;&lt;fieldlabel&gt;QUESTIONTYPE&lt;/fieldlabel&gt;&lt;fieldentry&gt;"&amp;Generation!$D77&amp;"&lt;/fieldentry&gt;&lt;/qtimetadatafield&gt;","")</f>
        <v/>
      </c>
    </row>
    <row r="2890" spans="1:1" ht="18" customHeight="1">
      <c r="A2890" t="str">
        <f>IF(Generation!$B77,"        &lt;qtimetadatafield&gt;&lt;fieldlabel&gt;AUTHOR&lt;/fieldlabel&gt;&lt;fieldentry&gt;Générateur Excel QTI&lt;/fieldentry&gt;&lt;/qtimetadatafield&gt;","")</f>
        <v/>
      </c>
    </row>
    <row r="2891" spans="1:1" ht="18" customHeight="1">
      <c r="A2891" t="str">
        <f>IF(Generation!$B77,"        &lt;qtimetadatafield&gt;&lt;fieldlabel&gt;identicalScoring&lt;/fieldlabel&gt;&lt;fieldentry&gt;1&lt;/fieldentry&gt;&lt;/qtimetadatafield&gt;","")</f>
        <v/>
      </c>
    </row>
    <row r="2892" spans="1:1" ht="18" customHeight="1">
      <c r="A2892" t="str">
        <f>IF(Generation!$B77,"      &lt;/qtimetadata&gt;","")</f>
        <v/>
      </c>
    </row>
    <row r="2893" spans="1:1" ht="18" customHeight="1">
      <c r="A2893" t="str">
        <f>IF(Generation!$B77,"    &lt;/itemmetadata&gt;","")</f>
        <v/>
      </c>
    </row>
    <row r="2894" spans="1:1" ht="18" customHeight="1">
      <c r="A2894" t="str">
        <f>IF(Generation!$B77,"    &lt;presentation label="""&amp;Generation!$F77&amp;"""&gt;","")</f>
        <v/>
      </c>
    </row>
    <row r="2895" spans="1:1" ht="18" customHeight="1">
      <c r="A2895" t="str">
        <f>IF(Generation!$B77,"      &lt;material&gt;&lt;mattext texttype=""text/html""&gt;"&amp;Generation!$G77&amp;"&lt;/mattext&gt;&lt;/material&gt;","")</f>
        <v/>
      </c>
    </row>
    <row r="2896" spans="1:1" ht="18" customHeight="1">
      <c r="A2896" t="str">
        <f>IF(Generation!$B77,"      &lt;response_lid ident=""RESPONSE"" rcardinality="""&amp;Generation!$E77&amp;"""&gt;","")</f>
        <v/>
      </c>
    </row>
    <row r="2897" spans="1:1" ht="18" customHeight="1">
      <c r="A2897" t="str">
        <f>IF(Generation!$B77,"        &lt;render_choice shuffle=""No""&gt;","")</f>
        <v/>
      </c>
    </row>
    <row r="2898" spans="1:1" ht="18" customHeight="1">
      <c r="A2898" t="str">
        <f>IF(Generation!AB77="","",Generation!AB77)</f>
        <v/>
      </c>
    </row>
    <row r="2899" spans="1:1" ht="18" customHeight="1">
      <c r="A2899" t="str">
        <f>IF(Generation!AC77="","",Generation!AC77)</f>
        <v/>
      </c>
    </row>
    <row r="2900" spans="1:1" ht="18" customHeight="1">
      <c r="A2900" t="str">
        <f>IF(Generation!AD77="","",Generation!AD77)</f>
        <v/>
      </c>
    </row>
    <row r="2901" spans="1:1" ht="18" customHeight="1">
      <c r="A2901" t="str">
        <f>IF(Generation!AE77="","",Generation!AE77)</f>
        <v/>
      </c>
    </row>
    <row r="2902" spans="1:1" ht="18" customHeight="1">
      <c r="A2902" t="str">
        <f>IF(Generation!AF77="","",Generation!AF77)</f>
        <v/>
      </c>
    </row>
    <row r="2903" spans="1:1" ht="18" customHeight="1">
      <c r="A2903" t="str">
        <f>IF(Generation!AG77="","",Generation!AG77)</f>
        <v/>
      </c>
    </row>
    <row r="2904" spans="1:1" ht="18" customHeight="1">
      <c r="A2904" t="str">
        <f>IF(Generation!AH77="","",Generation!AH77)</f>
        <v/>
      </c>
    </row>
    <row r="2905" spans="1:1" ht="18" customHeight="1">
      <c r="A2905" t="str">
        <f>IF(Generation!AI77="","",Generation!AI77)</f>
        <v/>
      </c>
    </row>
    <row r="2906" spans="1:1" ht="18" customHeight="1">
      <c r="A2906" t="str">
        <f>IF(Generation!$B77,"        &lt;/render_choice&gt;","")</f>
        <v/>
      </c>
    </row>
    <row r="2907" spans="1:1" ht="18" customHeight="1">
      <c r="A2907" t="str">
        <f>IF(Generation!$B77,"      &lt;/response_lid&gt;","")</f>
        <v/>
      </c>
    </row>
    <row r="2908" spans="1:1" ht="18" customHeight="1">
      <c r="A2908" t="str">
        <f>IF(Generation!$B77,"    &lt;/presentation&gt;","")</f>
        <v/>
      </c>
    </row>
    <row r="2909" spans="1:1" ht="18" customHeight="1">
      <c r="A2909" t="str">
        <f>IF(Generation!$B77,"    &lt;resprocessing&gt;","")</f>
        <v/>
      </c>
    </row>
    <row r="2910" spans="1:1" ht="18" customHeight="1">
      <c r="A2910" t="str">
        <f>IF(Generation!$B77,"      &lt;outcomes&gt;&lt;decvar varname=""SCORE"" vartype=""Decimal"" minvalue=""0"" maxvalue="""&amp;Generation!$H77&amp;"""/&gt;&lt;/outcomes&gt;","")</f>
        <v/>
      </c>
    </row>
    <row r="2911" spans="1:1" ht="18" customHeight="1">
      <c r="A2911" t="str">
        <f>IF(Generation!AJ77="","",Generation!AJ77)</f>
        <v/>
      </c>
    </row>
    <row r="2912" spans="1:1" ht="18" customHeight="1">
      <c r="A2912" t="str">
        <f>IF(Generation!AK77="","",Generation!AK77)</f>
        <v/>
      </c>
    </row>
    <row r="2913" spans="1:1" ht="18" customHeight="1">
      <c r="A2913" t="str">
        <f>IF(Generation!AL77="","",Generation!AL77)</f>
        <v/>
      </c>
    </row>
    <row r="2914" spans="1:1" ht="18" customHeight="1">
      <c r="A2914" t="str">
        <f>IF(Generation!AM77="","",Generation!AM77)</f>
        <v/>
      </c>
    </row>
    <row r="2915" spans="1:1" ht="18" customHeight="1">
      <c r="A2915" t="str">
        <f>IF(Generation!AN77="","",Generation!AN77)</f>
        <v/>
      </c>
    </row>
    <row r="2916" spans="1:1" ht="18" customHeight="1">
      <c r="A2916" t="str">
        <f>IF(Generation!AO77="","",Generation!AO77)</f>
        <v/>
      </c>
    </row>
    <row r="2917" spans="1:1" ht="18" customHeight="1">
      <c r="A2917" t="str">
        <f>IF(Generation!AP77="","",Generation!AP77)</f>
        <v/>
      </c>
    </row>
    <row r="2918" spans="1:1" ht="18" customHeight="1">
      <c r="A2918" t="str">
        <f>IF(Generation!AQ77="","",Generation!AQ77)</f>
        <v/>
      </c>
    </row>
    <row r="2919" spans="1:1" ht="18" customHeight="1">
      <c r="A2919" t="str">
        <f>IF(Generation!$B77,"    &lt;/resprocessing&gt;","")</f>
        <v/>
      </c>
    </row>
    <row r="2920" spans="1:1" ht="18" customHeight="1">
      <c r="A2920" t="str">
        <f>IF(Generation!$B77,"    &lt;itemfeedback ident=""response""&gt;&lt;flow_mat&gt;&lt;material&gt;&lt;mattext texttype=""text/plain""&gt;&lt;/mattext&gt;&lt;/material&gt;&lt;/flow_mat&gt;&lt;/itemfeedback&gt;","")</f>
        <v/>
      </c>
    </row>
    <row r="2921" spans="1:1" ht="18" customHeight="1">
      <c r="A2921" t="str">
        <f>IF(Generation!$B77,"  &lt;/item&gt;","")</f>
        <v/>
      </c>
    </row>
    <row r="2922" spans="1:1" ht="18" customHeight="1">
      <c r="A2922" t="str">
        <f>IF(Generation!$B77,"","")</f>
        <v/>
      </c>
    </row>
    <row r="2923" spans="1:1" ht="18" customHeight="1">
      <c r="A2923" t="str">
        <f>""</f>
        <v/>
      </c>
    </row>
    <row r="2924" spans="1:1" ht="18" customHeight="1">
      <c r="A2924" t="str">
        <f>IF(Generation!$B78,"  &lt;item ident=""il_0_qst_"&amp;TEXT(Generation!$A78,"000")&amp;""" title="""&amp;Generation!$F78&amp;"""&gt;","")</f>
        <v/>
      </c>
    </row>
    <row r="2925" spans="1:1" ht="18" customHeight="1">
      <c r="A2925" t="str">
        <f>IF(Generation!$B78,"    &lt;duration&gt;P0Y0M0DT0H1M0S&lt;/duration&gt;","")</f>
        <v/>
      </c>
    </row>
    <row r="2926" spans="1:1" ht="18" customHeight="1">
      <c r="A2926" t="str">
        <f>IF(Generation!$B78,"    &lt;itemmetadata&gt;","")</f>
        <v/>
      </c>
    </row>
    <row r="2927" spans="1:1" ht="18" customHeight="1">
      <c r="A2927" t="str">
        <f>IF(Generation!$B78,"      &lt;qtimetadata&gt;","")</f>
        <v/>
      </c>
    </row>
    <row r="2928" spans="1:1" ht="18" customHeight="1">
      <c r="A2928" t="str">
        <f>IF(Generation!$B78,"        &lt;qtimetadatafield&gt;&lt;fieldlabel&gt;ILIAS_VERSION&lt;/fieldlabel&gt;&lt;fieldentry&gt;8&lt;/fieldentry&gt;&lt;/qtimetadatafield&gt;","")</f>
        <v/>
      </c>
    </row>
    <row r="2929" spans="1:1" ht="18" customHeight="1">
      <c r="A2929" t="str">
        <f>IF(Generation!$B78,"        &lt;qtimetadatafield&gt;&lt;fieldlabel&gt;QUESTIONTYPE&lt;/fieldlabel&gt;&lt;fieldentry&gt;"&amp;Generation!$D78&amp;"&lt;/fieldentry&gt;&lt;/qtimetadatafield&gt;","")</f>
        <v/>
      </c>
    </row>
    <row r="2930" spans="1:1" ht="18" customHeight="1">
      <c r="A2930" t="str">
        <f>IF(Generation!$B78,"        &lt;qtimetadatafield&gt;&lt;fieldlabel&gt;AUTHOR&lt;/fieldlabel&gt;&lt;fieldentry&gt;Générateur Excel QTI&lt;/fieldentry&gt;&lt;/qtimetadatafield&gt;","")</f>
        <v/>
      </c>
    </row>
    <row r="2931" spans="1:1" ht="18" customHeight="1">
      <c r="A2931" t="str">
        <f>IF(Generation!$B78,"        &lt;qtimetadatafield&gt;&lt;fieldlabel&gt;identicalScoring&lt;/fieldlabel&gt;&lt;fieldentry&gt;1&lt;/fieldentry&gt;&lt;/qtimetadatafield&gt;","")</f>
        <v/>
      </c>
    </row>
    <row r="2932" spans="1:1" ht="18" customHeight="1">
      <c r="A2932" t="str">
        <f>IF(Generation!$B78,"      &lt;/qtimetadata&gt;","")</f>
        <v/>
      </c>
    </row>
    <row r="2933" spans="1:1" ht="18" customHeight="1">
      <c r="A2933" t="str">
        <f>IF(Generation!$B78,"    &lt;/itemmetadata&gt;","")</f>
        <v/>
      </c>
    </row>
    <row r="2934" spans="1:1" ht="18" customHeight="1">
      <c r="A2934" t="str">
        <f>IF(Generation!$B78,"    &lt;presentation label="""&amp;Generation!$F78&amp;"""&gt;","")</f>
        <v/>
      </c>
    </row>
    <row r="2935" spans="1:1" ht="18" customHeight="1">
      <c r="A2935" t="str">
        <f>IF(Generation!$B78,"      &lt;material&gt;&lt;mattext texttype=""text/html""&gt;"&amp;Generation!$G78&amp;"&lt;/mattext&gt;&lt;/material&gt;","")</f>
        <v/>
      </c>
    </row>
    <row r="2936" spans="1:1" ht="18" customHeight="1">
      <c r="A2936" t="str">
        <f>IF(Generation!$B78,"      &lt;response_lid ident=""RESPONSE"" rcardinality="""&amp;Generation!$E78&amp;"""&gt;","")</f>
        <v/>
      </c>
    </row>
    <row r="2937" spans="1:1" ht="18" customHeight="1">
      <c r="A2937" t="str">
        <f>IF(Generation!$B78,"        &lt;render_choice shuffle=""No""&gt;","")</f>
        <v/>
      </c>
    </row>
    <row r="2938" spans="1:1" ht="18" customHeight="1">
      <c r="A2938" t="str">
        <f>IF(Generation!AB78="","",Generation!AB78)</f>
        <v/>
      </c>
    </row>
    <row r="2939" spans="1:1" ht="18" customHeight="1">
      <c r="A2939" t="str">
        <f>IF(Generation!AC78="","",Generation!AC78)</f>
        <v/>
      </c>
    </row>
    <row r="2940" spans="1:1" ht="18" customHeight="1">
      <c r="A2940" t="str">
        <f>IF(Generation!AD78="","",Generation!AD78)</f>
        <v/>
      </c>
    </row>
    <row r="2941" spans="1:1" ht="18" customHeight="1">
      <c r="A2941" t="str">
        <f>IF(Generation!AE78="","",Generation!AE78)</f>
        <v/>
      </c>
    </row>
    <row r="2942" spans="1:1" ht="18" customHeight="1">
      <c r="A2942" t="str">
        <f>IF(Generation!AF78="","",Generation!AF78)</f>
        <v/>
      </c>
    </row>
    <row r="2943" spans="1:1" ht="18" customHeight="1">
      <c r="A2943" t="str">
        <f>IF(Generation!AG78="","",Generation!AG78)</f>
        <v/>
      </c>
    </row>
    <row r="2944" spans="1:1" ht="18" customHeight="1">
      <c r="A2944" t="str">
        <f>IF(Generation!AH78="","",Generation!AH78)</f>
        <v/>
      </c>
    </row>
    <row r="2945" spans="1:1" ht="18" customHeight="1">
      <c r="A2945" t="str">
        <f>IF(Generation!AI78="","",Generation!AI78)</f>
        <v/>
      </c>
    </row>
    <row r="2946" spans="1:1" ht="18" customHeight="1">
      <c r="A2946" t="str">
        <f>IF(Generation!$B78,"        &lt;/render_choice&gt;","")</f>
        <v/>
      </c>
    </row>
    <row r="2947" spans="1:1" ht="18" customHeight="1">
      <c r="A2947" t="str">
        <f>IF(Generation!$B78,"      &lt;/response_lid&gt;","")</f>
        <v/>
      </c>
    </row>
    <row r="2948" spans="1:1" ht="18" customHeight="1">
      <c r="A2948" t="str">
        <f>IF(Generation!$B78,"    &lt;/presentation&gt;","")</f>
        <v/>
      </c>
    </row>
    <row r="2949" spans="1:1" ht="18" customHeight="1">
      <c r="A2949" t="str">
        <f>IF(Generation!$B78,"    &lt;resprocessing&gt;","")</f>
        <v/>
      </c>
    </row>
    <row r="2950" spans="1:1" ht="18" customHeight="1">
      <c r="A2950" t="str">
        <f>IF(Generation!$B78,"      &lt;outcomes&gt;&lt;decvar varname=""SCORE"" vartype=""Decimal"" minvalue=""0"" maxvalue="""&amp;Generation!$H78&amp;"""/&gt;&lt;/outcomes&gt;","")</f>
        <v/>
      </c>
    </row>
    <row r="2951" spans="1:1" ht="18" customHeight="1">
      <c r="A2951" t="str">
        <f>IF(Generation!AJ78="","",Generation!AJ78)</f>
        <v/>
      </c>
    </row>
    <row r="2952" spans="1:1" ht="18" customHeight="1">
      <c r="A2952" t="str">
        <f>IF(Generation!AK78="","",Generation!AK78)</f>
        <v/>
      </c>
    </row>
    <row r="2953" spans="1:1" ht="18" customHeight="1">
      <c r="A2953" t="str">
        <f>IF(Generation!AL78="","",Generation!AL78)</f>
        <v/>
      </c>
    </row>
    <row r="2954" spans="1:1" ht="18" customHeight="1">
      <c r="A2954" t="str">
        <f>IF(Generation!AM78="","",Generation!AM78)</f>
        <v/>
      </c>
    </row>
    <row r="2955" spans="1:1" ht="18" customHeight="1">
      <c r="A2955" t="str">
        <f>IF(Generation!AN78="","",Generation!AN78)</f>
        <v/>
      </c>
    </row>
    <row r="2956" spans="1:1" ht="18" customHeight="1">
      <c r="A2956" t="str">
        <f>IF(Generation!AO78="","",Generation!AO78)</f>
        <v/>
      </c>
    </row>
    <row r="2957" spans="1:1" ht="18" customHeight="1">
      <c r="A2957" t="str">
        <f>IF(Generation!AP78="","",Generation!AP78)</f>
        <v/>
      </c>
    </row>
    <row r="2958" spans="1:1" ht="18" customHeight="1">
      <c r="A2958" t="str">
        <f>IF(Generation!AQ78="","",Generation!AQ78)</f>
        <v/>
      </c>
    </row>
    <row r="2959" spans="1:1" ht="18" customHeight="1">
      <c r="A2959" t="str">
        <f>IF(Generation!$B78,"    &lt;/resprocessing&gt;","")</f>
        <v/>
      </c>
    </row>
    <row r="2960" spans="1:1" ht="18" customHeight="1">
      <c r="A2960" t="str">
        <f>IF(Generation!$B78,"    &lt;itemfeedback ident=""response""&gt;&lt;flow_mat&gt;&lt;material&gt;&lt;mattext texttype=""text/plain""&gt;&lt;/mattext&gt;&lt;/material&gt;&lt;/flow_mat&gt;&lt;/itemfeedback&gt;","")</f>
        <v/>
      </c>
    </row>
    <row r="2961" spans="1:1" ht="18" customHeight="1">
      <c r="A2961" t="str">
        <f>IF(Generation!$B78,"  &lt;/item&gt;","")</f>
        <v/>
      </c>
    </row>
    <row r="2962" spans="1:1" ht="18" customHeight="1">
      <c r="A2962" t="str">
        <f>IF(Generation!$B78,"","")</f>
        <v/>
      </c>
    </row>
    <row r="2963" spans="1:1" ht="18" customHeight="1">
      <c r="A2963" t="str">
        <f>""</f>
        <v/>
      </c>
    </row>
    <row r="2964" spans="1:1" ht="18" customHeight="1">
      <c r="A2964" t="str">
        <f>IF(Generation!$B79,"  &lt;item ident=""il_0_qst_"&amp;TEXT(Generation!$A79,"000")&amp;""" title="""&amp;Generation!$F79&amp;"""&gt;","")</f>
        <v/>
      </c>
    </row>
    <row r="2965" spans="1:1" ht="18" customHeight="1">
      <c r="A2965" t="str">
        <f>IF(Generation!$B79,"    &lt;duration&gt;P0Y0M0DT0H1M0S&lt;/duration&gt;","")</f>
        <v/>
      </c>
    </row>
    <row r="2966" spans="1:1" ht="18" customHeight="1">
      <c r="A2966" t="str">
        <f>IF(Generation!$B79,"    &lt;itemmetadata&gt;","")</f>
        <v/>
      </c>
    </row>
    <row r="2967" spans="1:1" ht="18" customHeight="1">
      <c r="A2967" t="str">
        <f>IF(Generation!$B79,"      &lt;qtimetadata&gt;","")</f>
        <v/>
      </c>
    </row>
    <row r="2968" spans="1:1" ht="18" customHeight="1">
      <c r="A2968" t="str">
        <f>IF(Generation!$B79,"        &lt;qtimetadatafield&gt;&lt;fieldlabel&gt;ILIAS_VERSION&lt;/fieldlabel&gt;&lt;fieldentry&gt;8&lt;/fieldentry&gt;&lt;/qtimetadatafield&gt;","")</f>
        <v/>
      </c>
    </row>
    <row r="2969" spans="1:1" ht="18" customHeight="1">
      <c r="A2969" t="str">
        <f>IF(Generation!$B79,"        &lt;qtimetadatafield&gt;&lt;fieldlabel&gt;QUESTIONTYPE&lt;/fieldlabel&gt;&lt;fieldentry&gt;"&amp;Generation!$D79&amp;"&lt;/fieldentry&gt;&lt;/qtimetadatafield&gt;","")</f>
        <v/>
      </c>
    </row>
    <row r="2970" spans="1:1" ht="18" customHeight="1">
      <c r="A2970" t="str">
        <f>IF(Generation!$B79,"        &lt;qtimetadatafield&gt;&lt;fieldlabel&gt;AUTHOR&lt;/fieldlabel&gt;&lt;fieldentry&gt;Générateur Excel QTI&lt;/fieldentry&gt;&lt;/qtimetadatafield&gt;","")</f>
        <v/>
      </c>
    </row>
    <row r="2971" spans="1:1" ht="18" customHeight="1">
      <c r="A2971" t="str">
        <f>IF(Generation!$B79,"        &lt;qtimetadatafield&gt;&lt;fieldlabel&gt;identicalScoring&lt;/fieldlabel&gt;&lt;fieldentry&gt;1&lt;/fieldentry&gt;&lt;/qtimetadatafield&gt;","")</f>
        <v/>
      </c>
    </row>
    <row r="2972" spans="1:1" ht="18" customHeight="1">
      <c r="A2972" t="str">
        <f>IF(Generation!$B79,"      &lt;/qtimetadata&gt;","")</f>
        <v/>
      </c>
    </row>
    <row r="2973" spans="1:1" ht="18" customHeight="1">
      <c r="A2973" t="str">
        <f>IF(Generation!$B79,"    &lt;/itemmetadata&gt;","")</f>
        <v/>
      </c>
    </row>
    <row r="2974" spans="1:1" ht="18" customHeight="1">
      <c r="A2974" t="str">
        <f>IF(Generation!$B79,"    &lt;presentation label="""&amp;Generation!$F79&amp;"""&gt;","")</f>
        <v/>
      </c>
    </row>
    <row r="2975" spans="1:1" ht="18" customHeight="1">
      <c r="A2975" t="str">
        <f>IF(Generation!$B79,"      &lt;material&gt;&lt;mattext texttype=""text/html""&gt;"&amp;Generation!$G79&amp;"&lt;/mattext&gt;&lt;/material&gt;","")</f>
        <v/>
      </c>
    </row>
    <row r="2976" spans="1:1" ht="18" customHeight="1">
      <c r="A2976" t="str">
        <f>IF(Generation!$B79,"      &lt;response_lid ident=""RESPONSE"" rcardinality="""&amp;Generation!$E79&amp;"""&gt;","")</f>
        <v/>
      </c>
    </row>
    <row r="2977" spans="1:1" ht="18" customHeight="1">
      <c r="A2977" t="str">
        <f>IF(Generation!$B79,"        &lt;render_choice shuffle=""No""&gt;","")</f>
        <v/>
      </c>
    </row>
    <row r="2978" spans="1:1" ht="18" customHeight="1">
      <c r="A2978" t="str">
        <f>IF(Generation!AB79="","",Generation!AB79)</f>
        <v/>
      </c>
    </row>
    <row r="2979" spans="1:1" ht="18" customHeight="1">
      <c r="A2979" t="str">
        <f>IF(Generation!AC79="","",Generation!AC79)</f>
        <v/>
      </c>
    </row>
    <row r="2980" spans="1:1" ht="18" customHeight="1">
      <c r="A2980" t="str">
        <f>IF(Generation!AD79="","",Generation!AD79)</f>
        <v/>
      </c>
    </row>
    <row r="2981" spans="1:1" ht="18" customHeight="1">
      <c r="A2981" t="str">
        <f>IF(Generation!AE79="","",Generation!AE79)</f>
        <v/>
      </c>
    </row>
    <row r="2982" spans="1:1" ht="18" customHeight="1">
      <c r="A2982" t="str">
        <f>IF(Generation!AF79="","",Generation!AF79)</f>
        <v/>
      </c>
    </row>
    <row r="2983" spans="1:1" ht="18" customHeight="1">
      <c r="A2983" t="str">
        <f>IF(Generation!AG79="","",Generation!AG79)</f>
        <v/>
      </c>
    </row>
    <row r="2984" spans="1:1" ht="18" customHeight="1">
      <c r="A2984" t="str">
        <f>IF(Generation!AH79="","",Generation!AH79)</f>
        <v/>
      </c>
    </row>
    <row r="2985" spans="1:1" ht="18" customHeight="1">
      <c r="A2985" t="str">
        <f>IF(Generation!AI79="","",Generation!AI79)</f>
        <v/>
      </c>
    </row>
    <row r="2986" spans="1:1" ht="18" customHeight="1">
      <c r="A2986" t="str">
        <f>IF(Generation!$B79,"        &lt;/render_choice&gt;","")</f>
        <v/>
      </c>
    </row>
    <row r="2987" spans="1:1" ht="18" customHeight="1">
      <c r="A2987" t="str">
        <f>IF(Generation!$B79,"      &lt;/response_lid&gt;","")</f>
        <v/>
      </c>
    </row>
    <row r="2988" spans="1:1" ht="18" customHeight="1">
      <c r="A2988" t="str">
        <f>IF(Generation!$B79,"    &lt;/presentation&gt;","")</f>
        <v/>
      </c>
    </row>
    <row r="2989" spans="1:1" ht="18" customHeight="1">
      <c r="A2989" t="str">
        <f>IF(Generation!$B79,"    &lt;resprocessing&gt;","")</f>
        <v/>
      </c>
    </row>
    <row r="2990" spans="1:1" ht="18" customHeight="1">
      <c r="A2990" t="str">
        <f>IF(Generation!$B79,"      &lt;outcomes&gt;&lt;decvar varname=""SCORE"" vartype=""Decimal"" minvalue=""0"" maxvalue="""&amp;Generation!$H79&amp;"""/&gt;&lt;/outcomes&gt;","")</f>
        <v/>
      </c>
    </row>
    <row r="2991" spans="1:1" ht="18" customHeight="1">
      <c r="A2991" t="str">
        <f>IF(Generation!AJ79="","",Generation!AJ79)</f>
        <v/>
      </c>
    </row>
    <row r="2992" spans="1:1" ht="18" customHeight="1">
      <c r="A2992" t="str">
        <f>IF(Generation!AK79="","",Generation!AK79)</f>
        <v/>
      </c>
    </row>
    <row r="2993" spans="1:1" ht="18" customHeight="1">
      <c r="A2993" t="str">
        <f>IF(Generation!AL79="","",Generation!AL79)</f>
        <v/>
      </c>
    </row>
    <row r="2994" spans="1:1" ht="18" customHeight="1">
      <c r="A2994" t="str">
        <f>IF(Generation!AM79="","",Generation!AM79)</f>
        <v/>
      </c>
    </row>
    <row r="2995" spans="1:1" ht="18" customHeight="1">
      <c r="A2995" t="str">
        <f>IF(Generation!AN79="","",Generation!AN79)</f>
        <v/>
      </c>
    </row>
    <row r="2996" spans="1:1" ht="18" customHeight="1">
      <c r="A2996" t="str">
        <f>IF(Generation!AO79="","",Generation!AO79)</f>
        <v/>
      </c>
    </row>
    <row r="2997" spans="1:1" ht="18" customHeight="1">
      <c r="A2997" t="str">
        <f>IF(Generation!AP79="","",Generation!AP79)</f>
        <v/>
      </c>
    </row>
    <row r="2998" spans="1:1" ht="18" customHeight="1">
      <c r="A2998" t="str">
        <f>IF(Generation!AQ79="","",Generation!AQ79)</f>
        <v/>
      </c>
    </row>
    <row r="2999" spans="1:1" ht="18" customHeight="1">
      <c r="A2999" t="str">
        <f>IF(Generation!$B79,"    &lt;/resprocessing&gt;","")</f>
        <v/>
      </c>
    </row>
    <row r="3000" spans="1:1" ht="18" customHeight="1">
      <c r="A3000" t="str">
        <f>IF(Generation!$B79,"    &lt;itemfeedback ident=""response""&gt;&lt;flow_mat&gt;&lt;material&gt;&lt;mattext texttype=""text/plain""&gt;&lt;/mattext&gt;&lt;/material&gt;&lt;/flow_mat&gt;&lt;/itemfeedback&gt;","")</f>
        <v/>
      </c>
    </row>
    <row r="3001" spans="1:1" ht="18" customHeight="1">
      <c r="A3001" t="str">
        <f>IF(Generation!$B79,"  &lt;/item&gt;","")</f>
        <v/>
      </c>
    </row>
    <row r="3002" spans="1:1" ht="18" customHeight="1">
      <c r="A3002" t="str">
        <f>IF(Generation!$B79,"","")</f>
        <v/>
      </c>
    </row>
    <row r="3003" spans="1:1" ht="18" customHeight="1">
      <c r="A3003" t="str">
        <f>""</f>
        <v/>
      </c>
    </row>
    <row r="3004" spans="1:1" ht="18" customHeight="1">
      <c r="A3004" t="str">
        <f>IF(Generation!$B80,"  &lt;item ident=""il_0_qst_"&amp;TEXT(Generation!$A80,"000")&amp;""" title="""&amp;Generation!$F80&amp;"""&gt;","")</f>
        <v/>
      </c>
    </row>
    <row r="3005" spans="1:1" ht="18" customHeight="1">
      <c r="A3005" t="str">
        <f>IF(Generation!$B80,"    &lt;duration&gt;P0Y0M0DT0H1M0S&lt;/duration&gt;","")</f>
        <v/>
      </c>
    </row>
    <row r="3006" spans="1:1" ht="18" customHeight="1">
      <c r="A3006" t="str">
        <f>IF(Generation!$B80,"    &lt;itemmetadata&gt;","")</f>
        <v/>
      </c>
    </row>
    <row r="3007" spans="1:1" ht="18" customHeight="1">
      <c r="A3007" t="str">
        <f>IF(Generation!$B80,"      &lt;qtimetadata&gt;","")</f>
        <v/>
      </c>
    </row>
    <row r="3008" spans="1:1" ht="18" customHeight="1">
      <c r="A3008" t="str">
        <f>IF(Generation!$B80,"        &lt;qtimetadatafield&gt;&lt;fieldlabel&gt;ILIAS_VERSION&lt;/fieldlabel&gt;&lt;fieldentry&gt;8&lt;/fieldentry&gt;&lt;/qtimetadatafield&gt;","")</f>
        <v/>
      </c>
    </row>
    <row r="3009" spans="1:1" ht="18" customHeight="1">
      <c r="A3009" t="str">
        <f>IF(Generation!$B80,"        &lt;qtimetadatafield&gt;&lt;fieldlabel&gt;QUESTIONTYPE&lt;/fieldlabel&gt;&lt;fieldentry&gt;"&amp;Generation!$D80&amp;"&lt;/fieldentry&gt;&lt;/qtimetadatafield&gt;","")</f>
        <v/>
      </c>
    </row>
    <row r="3010" spans="1:1" ht="18" customHeight="1">
      <c r="A3010" t="str">
        <f>IF(Generation!$B80,"        &lt;qtimetadatafield&gt;&lt;fieldlabel&gt;AUTHOR&lt;/fieldlabel&gt;&lt;fieldentry&gt;Générateur Excel QTI&lt;/fieldentry&gt;&lt;/qtimetadatafield&gt;","")</f>
        <v/>
      </c>
    </row>
    <row r="3011" spans="1:1" ht="18" customHeight="1">
      <c r="A3011" t="str">
        <f>IF(Generation!$B80,"        &lt;qtimetadatafield&gt;&lt;fieldlabel&gt;identicalScoring&lt;/fieldlabel&gt;&lt;fieldentry&gt;1&lt;/fieldentry&gt;&lt;/qtimetadatafield&gt;","")</f>
        <v/>
      </c>
    </row>
    <row r="3012" spans="1:1" ht="18" customHeight="1">
      <c r="A3012" t="str">
        <f>IF(Generation!$B80,"      &lt;/qtimetadata&gt;","")</f>
        <v/>
      </c>
    </row>
    <row r="3013" spans="1:1" ht="18" customHeight="1">
      <c r="A3013" t="str">
        <f>IF(Generation!$B80,"    &lt;/itemmetadata&gt;","")</f>
        <v/>
      </c>
    </row>
    <row r="3014" spans="1:1" ht="18" customHeight="1">
      <c r="A3014" t="str">
        <f>IF(Generation!$B80,"    &lt;presentation label="""&amp;Generation!$F80&amp;"""&gt;","")</f>
        <v/>
      </c>
    </row>
    <row r="3015" spans="1:1" ht="18" customHeight="1">
      <c r="A3015" t="str">
        <f>IF(Generation!$B80,"      &lt;material&gt;&lt;mattext texttype=""text/html""&gt;"&amp;Generation!$G80&amp;"&lt;/mattext&gt;&lt;/material&gt;","")</f>
        <v/>
      </c>
    </row>
    <row r="3016" spans="1:1" ht="18" customHeight="1">
      <c r="A3016" t="str">
        <f>IF(Generation!$B80,"      &lt;response_lid ident=""RESPONSE"" rcardinality="""&amp;Generation!$E80&amp;"""&gt;","")</f>
        <v/>
      </c>
    </row>
    <row r="3017" spans="1:1" ht="18" customHeight="1">
      <c r="A3017" t="str">
        <f>IF(Generation!$B80,"        &lt;render_choice shuffle=""No""&gt;","")</f>
        <v/>
      </c>
    </row>
    <row r="3018" spans="1:1" ht="18" customHeight="1">
      <c r="A3018" t="str">
        <f>IF(Generation!AB80="","",Generation!AB80)</f>
        <v/>
      </c>
    </row>
    <row r="3019" spans="1:1" ht="18" customHeight="1">
      <c r="A3019" t="str">
        <f>IF(Generation!AC80="","",Generation!AC80)</f>
        <v/>
      </c>
    </row>
    <row r="3020" spans="1:1" ht="18" customHeight="1">
      <c r="A3020" t="str">
        <f>IF(Generation!AD80="","",Generation!AD80)</f>
        <v/>
      </c>
    </row>
    <row r="3021" spans="1:1" ht="18" customHeight="1">
      <c r="A3021" t="str">
        <f>IF(Generation!AE80="","",Generation!AE80)</f>
        <v/>
      </c>
    </row>
    <row r="3022" spans="1:1" ht="18" customHeight="1">
      <c r="A3022" t="str">
        <f>IF(Generation!AF80="","",Generation!AF80)</f>
        <v/>
      </c>
    </row>
    <row r="3023" spans="1:1" ht="18" customHeight="1">
      <c r="A3023" t="str">
        <f>IF(Generation!AG80="","",Generation!AG80)</f>
        <v/>
      </c>
    </row>
    <row r="3024" spans="1:1" ht="18" customHeight="1">
      <c r="A3024" t="str">
        <f>IF(Generation!AH80="","",Generation!AH80)</f>
        <v/>
      </c>
    </row>
    <row r="3025" spans="1:1" ht="18" customHeight="1">
      <c r="A3025" t="str">
        <f>IF(Generation!AI80="","",Generation!AI80)</f>
        <v/>
      </c>
    </row>
    <row r="3026" spans="1:1" ht="18" customHeight="1">
      <c r="A3026" t="str">
        <f>IF(Generation!$B80,"        &lt;/render_choice&gt;","")</f>
        <v/>
      </c>
    </row>
    <row r="3027" spans="1:1" ht="18" customHeight="1">
      <c r="A3027" t="str">
        <f>IF(Generation!$B80,"      &lt;/response_lid&gt;","")</f>
        <v/>
      </c>
    </row>
    <row r="3028" spans="1:1" ht="18" customHeight="1">
      <c r="A3028" t="str">
        <f>IF(Generation!$B80,"    &lt;/presentation&gt;","")</f>
        <v/>
      </c>
    </row>
    <row r="3029" spans="1:1" ht="18" customHeight="1">
      <c r="A3029" t="str">
        <f>IF(Generation!$B80,"    &lt;resprocessing&gt;","")</f>
        <v/>
      </c>
    </row>
    <row r="3030" spans="1:1" ht="18" customHeight="1">
      <c r="A3030" t="str">
        <f>IF(Generation!$B80,"      &lt;outcomes&gt;&lt;decvar varname=""SCORE"" vartype=""Decimal"" minvalue=""0"" maxvalue="""&amp;Generation!$H80&amp;"""/&gt;&lt;/outcomes&gt;","")</f>
        <v/>
      </c>
    </row>
    <row r="3031" spans="1:1" ht="18" customHeight="1">
      <c r="A3031" t="str">
        <f>IF(Generation!AJ80="","",Generation!AJ80)</f>
        <v/>
      </c>
    </row>
    <row r="3032" spans="1:1" ht="18" customHeight="1">
      <c r="A3032" t="str">
        <f>IF(Generation!AK80="","",Generation!AK80)</f>
        <v/>
      </c>
    </row>
    <row r="3033" spans="1:1" ht="18" customHeight="1">
      <c r="A3033" t="str">
        <f>IF(Generation!AL80="","",Generation!AL80)</f>
        <v/>
      </c>
    </row>
    <row r="3034" spans="1:1" ht="18" customHeight="1">
      <c r="A3034" t="str">
        <f>IF(Generation!AM80="","",Generation!AM80)</f>
        <v/>
      </c>
    </row>
    <row r="3035" spans="1:1" ht="18" customHeight="1">
      <c r="A3035" t="str">
        <f>IF(Generation!AN80="","",Generation!AN80)</f>
        <v/>
      </c>
    </row>
    <row r="3036" spans="1:1" ht="18" customHeight="1">
      <c r="A3036" t="str">
        <f>IF(Generation!AO80="","",Generation!AO80)</f>
        <v/>
      </c>
    </row>
    <row r="3037" spans="1:1" ht="18" customHeight="1">
      <c r="A3037" t="str">
        <f>IF(Generation!AP80="","",Generation!AP80)</f>
        <v/>
      </c>
    </row>
    <row r="3038" spans="1:1" ht="18" customHeight="1">
      <c r="A3038" t="str">
        <f>IF(Generation!AQ80="","",Generation!AQ80)</f>
        <v/>
      </c>
    </row>
    <row r="3039" spans="1:1" ht="18" customHeight="1">
      <c r="A3039" t="str">
        <f>IF(Generation!$B80,"    &lt;/resprocessing&gt;","")</f>
        <v/>
      </c>
    </row>
    <row r="3040" spans="1:1" ht="18" customHeight="1">
      <c r="A3040" t="str">
        <f>IF(Generation!$B80,"    &lt;itemfeedback ident=""response""&gt;&lt;flow_mat&gt;&lt;material&gt;&lt;mattext texttype=""text/plain""&gt;&lt;/mattext&gt;&lt;/material&gt;&lt;/flow_mat&gt;&lt;/itemfeedback&gt;","")</f>
        <v/>
      </c>
    </row>
    <row r="3041" spans="1:1" ht="18" customHeight="1">
      <c r="A3041" t="str">
        <f>IF(Generation!$B80,"  &lt;/item&gt;","")</f>
        <v/>
      </c>
    </row>
    <row r="3042" spans="1:1" ht="18" customHeight="1">
      <c r="A3042" t="str">
        <f>IF(Generation!$B80,"","")</f>
        <v/>
      </c>
    </row>
    <row r="3043" spans="1:1" ht="18" customHeight="1">
      <c r="A3043" t="str">
        <f>""</f>
        <v/>
      </c>
    </row>
    <row r="3044" spans="1:1" ht="18" customHeight="1">
      <c r="A3044" t="str">
        <f>IF(Generation!$B81,"  &lt;item ident=""il_0_qst_"&amp;TEXT(Generation!$A81,"000")&amp;""" title="""&amp;Generation!$F81&amp;"""&gt;","")</f>
        <v/>
      </c>
    </row>
    <row r="3045" spans="1:1" ht="18" customHeight="1">
      <c r="A3045" t="str">
        <f>IF(Generation!$B81,"    &lt;duration&gt;P0Y0M0DT0H1M0S&lt;/duration&gt;","")</f>
        <v/>
      </c>
    </row>
    <row r="3046" spans="1:1" ht="18" customHeight="1">
      <c r="A3046" t="str">
        <f>IF(Generation!$B81,"    &lt;itemmetadata&gt;","")</f>
        <v/>
      </c>
    </row>
    <row r="3047" spans="1:1" ht="18" customHeight="1">
      <c r="A3047" t="str">
        <f>IF(Generation!$B81,"      &lt;qtimetadata&gt;","")</f>
        <v/>
      </c>
    </row>
    <row r="3048" spans="1:1" ht="18" customHeight="1">
      <c r="A3048" t="str">
        <f>IF(Generation!$B81,"        &lt;qtimetadatafield&gt;&lt;fieldlabel&gt;ILIAS_VERSION&lt;/fieldlabel&gt;&lt;fieldentry&gt;8&lt;/fieldentry&gt;&lt;/qtimetadatafield&gt;","")</f>
        <v/>
      </c>
    </row>
    <row r="3049" spans="1:1" ht="18" customHeight="1">
      <c r="A3049" t="str">
        <f>IF(Generation!$B81,"        &lt;qtimetadatafield&gt;&lt;fieldlabel&gt;QUESTIONTYPE&lt;/fieldlabel&gt;&lt;fieldentry&gt;"&amp;Generation!$D81&amp;"&lt;/fieldentry&gt;&lt;/qtimetadatafield&gt;","")</f>
        <v/>
      </c>
    </row>
    <row r="3050" spans="1:1" ht="18" customHeight="1">
      <c r="A3050" t="str">
        <f>IF(Generation!$B81,"        &lt;qtimetadatafield&gt;&lt;fieldlabel&gt;AUTHOR&lt;/fieldlabel&gt;&lt;fieldentry&gt;Générateur Excel QTI&lt;/fieldentry&gt;&lt;/qtimetadatafield&gt;","")</f>
        <v/>
      </c>
    </row>
    <row r="3051" spans="1:1" ht="18" customHeight="1">
      <c r="A3051" t="str">
        <f>IF(Generation!$B81,"        &lt;qtimetadatafield&gt;&lt;fieldlabel&gt;identicalScoring&lt;/fieldlabel&gt;&lt;fieldentry&gt;1&lt;/fieldentry&gt;&lt;/qtimetadatafield&gt;","")</f>
        <v/>
      </c>
    </row>
    <row r="3052" spans="1:1" ht="18" customHeight="1">
      <c r="A3052" t="str">
        <f>IF(Generation!$B81,"      &lt;/qtimetadata&gt;","")</f>
        <v/>
      </c>
    </row>
    <row r="3053" spans="1:1" ht="18" customHeight="1">
      <c r="A3053" t="str">
        <f>IF(Generation!$B81,"    &lt;/itemmetadata&gt;","")</f>
        <v/>
      </c>
    </row>
    <row r="3054" spans="1:1" ht="18" customHeight="1">
      <c r="A3054" t="str">
        <f>IF(Generation!$B81,"    &lt;presentation label="""&amp;Generation!$F81&amp;"""&gt;","")</f>
        <v/>
      </c>
    </row>
    <row r="3055" spans="1:1" ht="18" customHeight="1">
      <c r="A3055" t="str">
        <f>IF(Generation!$B81,"      &lt;material&gt;&lt;mattext texttype=""text/html""&gt;"&amp;Generation!$G81&amp;"&lt;/mattext&gt;&lt;/material&gt;","")</f>
        <v/>
      </c>
    </row>
    <row r="3056" spans="1:1" ht="18" customHeight="1">
      <c r="A3056" t="str">
        <f>IF(Generation!$B81,"      &lt;response_lid ident=""RESPONSE"" rcardinality="""&amp;Generation!$E81&amp;"""&gt;","")</f>
        <v/>
      </c>
    </row>
    <row r="3057" spans="1:1" ht="18" customHeight="1">
      <c r="A3057" t="str">
        <f>IF(Generation!$B81,"        &lt;render_choice shuffle=""No""&gt;","")</f>
        <v/>
      </c>
    </row>
    <row r="3058" spans="1:1" ht="18" customHeight="1">
      <c r="A3058" t="str">
        <f>IF(Generation!AB81="","",Generation!AB81)</f>
        <v/>
      </c>
    </row>
    <row r="3059" spans="1:1" ht="18" customHeight="1">
      <c r="A3059" t="str">
        <f>IF(Generation!AC81="","",Generation!AC81)</f>
        <v/>
      </c>
    </row>
    <row r="3060" spans="1:1" ht="18" customHeight="1">
      <c r="A3060" t="str">
        <f>IF(Generation!AD81="","",Generation!AD81)</f>
        <v/>
      </c>
    </row>
    <row r="3061" spans="1:1" ht="18" customHeight="1">
      <c r="A3061" t="str">
        <f>IF(Generation!AE81="","",Generation!AE81)</f>
        <v/>
      </c>
    </row>
    <row r="3062" spans="1:1" ht="18" customHeight="1">
      <c r="A3062" t="str">
        <f>IF(Generation!AF81="","",Generation!AF81)</f>
        <v/>
      </c>
    </row>
    <row r="3063" spans="1:1" ht="18" customHeight="1">
      <c r="A3063" t="str">
        <f>IF(Generation!AG81="","",Generation!AG81)</f>
        <v/>
      </c>
    </row>
    <row r="3064" spans="1:1" ht="18" customHeight="1">
      <c r="A3064" t="str">
        <f>IF(Generation!AH81="","",Generation!AH81)</f>
        <v/>
      </c>
    </row>
    <row r="3065" spans="1:1" ht="18" customHeight="1">
      <c r="A3065" t="str">
        <f>IF(Generation!AI81="","",Generation!AI81)</f>
        <v/>
      </c>
    </row>
    <row r="3066" spans="1:1" ht="18" customHeight="1">
      <c r="A3066" t="str">
        <f>IF(Generation!$B81,"        &lt;/render_choice&gt;","")</f>
        <v/>
      </c>
    </row>
    <row r="3067" spans="1:1" ht="18" customHeight="1">
      <c r="A3067" t="str">
        <f>IF(Generation!$B81,"      &lt;/response_lid&gt;","")</f>
        <v/>
      </c>
    </row>
    <row r="3068" spans="1:1" ht="18" customHeight="1">
      <c r="A3068" t="str">
        <f>IF(Generation!$B81,"    &lt;/presentation&gt;","")</f>
        <v/>
      </c>
    </row>
    <row r="3069" spans="1:1" ht="18" customHeight="1">
      <c r="A3069" t="str">
        <f>IF(Generation!$B81,"    &lt;resprocessing&gt;","")</f>
        <v/>
      </c>
    </row>
    <row r="3070" spans="1:1" ht="18" customHeight="1">
      <c r="A3070" t="str">
        <f>IF(Generation!$B81,"      &lt;outcomes&gt;&lt;decvar varname=""SCORE"" vartype=""Decimal"" minvalue=""0"" maxvalue="""&amp;Generation!$H81&amp;"""/&gt;&lt;/outcomes&gt;","")</f>
        <v/>
      </c>
    </row>
    <row r="3071" spans="1:1" ht="18" customHeight="1">
      <c r="A3071" t="str">
        <f>IF(Generation!AJ81="","",Generation!AJ81)</f>
        <v/>
      </c>
    </row>
    <row r="3072" spans="1:1" ht="18" customHeight="1">
      <c r="A3072" t="str">
        <f>IF(Generation!AK81="","",Generation!AK81)</f>
        <v/>
      </c>
    </row>
    <row r="3073" spans="1:1" ht="18" customHeight="1">
      <c r="A3073" t="str">
        <f>IF(Generation!AL81="","",Generation!AL81)</f>
        <v/>
      </c>
    </row>
    <row r="3074" spans="1:1" ht="18" customHeight="1">
      <c r="A3074" t="str">
        <f>IF(Generation!AM81="","",Generation!AM81)</f>
        <v/>
      </c>
    </row>
    <row r="3075" spans="1:1" ht="18" customHeight="1">
      <c r="A3075" t="str">
        <f>IF(Generation!AN81="","",Generation!AN81)</f>
        <v/>
      </c>
    </row>
    <row r="3076" spans="1:1" ht="18" customHeight="1">
      <c r="A3076" t="str">
        <f>IF(Generation!AO81="","",Generation!AO81)</f>
        <v/>
      </c>
    </row>
    <row r="3077" spans="1:1" ht="18" customHeight="1">
      <c r="A3077" t="str">
        <f>IF(Generation!AP81="","",Generation!AP81)</f>
        <v/>
      </c>
    </row>
    <row r="3078" spans="1:1" ht="18" customHeight="1">
      <c r="A3078" t="str">
        <f>IF(Generation!AQ81="","",Generation!AQ81)</f>
        <v/>
      </c>
    </row>
    <row r="3079" spans="1:1" ht="18" customHeight="1">
      <c r="A3079" t="str">
        <f>IF(Generation!$B81,"    &lt;/resprocessing&gt;","")</f>
        <v/>
      </c>
    </row>
    <row r="3080" spans="1:1" ht="18" customHeight="1">
      <c r="A3080" t="str">
        <f>IF(Generation!$B81,"    &lt;itemfeedback ident=""response""&gt;&lt;flow_mat&gt;&lt;material&gt;&lt;mattext texttype=""text/plain""&gt;&lt;/mattext&gt;&lt;/material&gt;&lt;/flow_mat&gt;&lt;/itemfeedback&gt;","")</f>
        <v/>
      </c>
    </row>
    <row r="3081" spans="1:1" ht="18" customHeight="1">
      <c r="A3081" t="str">
        <f>IF(Generation!$B81,"  &lt;/item&gt;","")</f>
        <v/>
      </c>
    </row>
    <row r="3082" spans="1:1" ht="18" customHeight="1">
      <c r="A3082" t="str">
        <f>IF(Generation!$B81,"","")</f>
        <v/>
      </c>
    </row>
    <row r="3083" spans="1:1" ht="18" customHeight="1">
      <c r="A3083" t="str">
        <f>""</f>
        <v/>
      </c>
    </row>
    <row r="3084" spans="1:1" ht="18" customHeight="1">
      <c r="A3084" t="str">
        <f>IF(Generation!$B82,"  &lt;item ident=""il_0_qst_"&amp;TEXT(Generation!$A82,"000")&amp;""" title="""&amp;Generation!$F82&amp;"""&gt;","")</f>
        <v/>
      </c>
    </row>
    <row r="3085" spans="1:1" ht="18" customHeight="1">
      <c r="A3085" t="str">
        <f>IF(Generation!$B82,"    &lt;duration&gt;P0Y0M0DT0H1M0S&lt;/duration&gt;","")</f>
        <v/>
      </c>
    </row>
    <row r="3086" spans="1:1" ht="18" customHeight="1">
      <c r="A3086" t="str">
        <f>IF(Generation!$B82,"    &lt;itemmetadata&gt;","")</f>
        <v/>
      </c>
    </row>
    <row r="3087" spans="1:1" ht="18" customHeight="1">
      <c r="A3087" t="str">
        <f>IF(Generation!$B82,"      &lt;qtimetadata&gt;","")</f>
        <v/>
      </c>
    </row>
    <row r="3088" spans="1:1" ht="18" customHeight="1">
      <c r="A3088" t="str">
        <f>IF(Generation!$B82,"        &lt;qtimetadatafield&gt;&lt;fieldlabel&gt;ILIAS_VERSION&lt;/fieldlabel&gt;&lt;fieldentry&gt;8&lt;/fieldentry&gt;&lt;/qtimetadatafield&gt;","")</f>
        <v/>
      </c>
    </row>
    <row r="3089" spans="1:1" ht="18" customHeight="1">
      <c r="A3089" t="str">
        <f>IF(Generation!$B82,"        &lt;qtimetadatafield&gt;&lt;fieldlabel&gt;QUESTIONTYPE&lt;/fieldlabel&gt;&lt;fieldentry&gt;"&amp;Generation!$D82&amp;"&lt;/fieldentry&gt;&lt;/qtimetadatafield&gt;","")</f>
        <v/>
      </c>
    </row>
    <row r="3090" spans="1:1" ht="18" customHeight="1">
      <c r="A3090" t="str">
        <f>IF(Generation!$B82,"        &lt;qtimetadatafield&gt;&lt;fieldlabel&gt;AUTHOR&lt;/fieldlabel&gt;&lt;fieldentry&gt;Générateur Excel QTI&lt;/fieldentry&gt;&lt;/qtimetadatafield&gt;","")</f>
        <v/>
      </c>
    </row>
    <row r="3091" spans="1:1" ht="18" customHeight="1">
      <c r="A3091" t="str">
        <f>IF(Generation!$B82,"        &lt;qtimetadatafield&gt;&lt;fieldlabel&gt;identicalScoring&lt;/fieldlabel&gt;&lt;fieldentry&gt;1&lt;/fieldentry&gt;&lt;/qtimetadatafield&gt;","")</f>
        <v/>
      </c>
    </row>
    <row r="3092" spans="1:1" ht="18" customHeight="1">
      <c r="A3092" t="str">
        <f>IF(Generation!$B82,"      &lt;/qtimetadata&gt;","")</f>
        <v/>
      </c>
    </row>
    <row r="3093" spans="1:1" ht="18" customHeight="1">
      <c r="A3093" t="str">
        <f>IF(Generation!$B82,"    &lt;/itemmetadata&gt;","")</f>
        <v/>
      </c>
    </row>
    <row r="3094" spans="1:1" ht="18" customHeight="1">
      <c r="A3094" t="str">
        <f>IF(Generation!$B82,"    &lt;presentation label="""&amp;Generation!$F82&amp;"""&gt;","")</f>
        <v/>
      </c>
    </row>
    <row r="3095" spans="1:1" ht="18" customHeight="1">
      <c r="A3095" t="str">
        <f>IF(Generation!$B82,"      &lt;material&gt;&lt;mattext texttype=""text/html""&gt;"&amp;Generation!$G82&amp;"&lt;/mattext&gt;&lt;/material&gt;","")</f>
        <v/>
      </c>
    </row>
    <row r="3096" spans="1:1" ht="18" customHeight="1">
      <c r="A3096" t="str">
        <f>IF(Generation!$B82,"      &lt;response_lid ident=""RESPONSE"" rcardinality="""&amp;Generation!$E82&amp;"""&gt;","")</f>
        <v/>
      </c>
    </row>
    <row r="3097" spans="1:1" ht="18" customHeight="1">
      <c r="A3097" t="str">
        <f>IF(Generation!$B82,"        &lt;render_choice shuffle=""No""&gt;","")</f>
        <v/>
      </c>
    </row>
    <row r="3098" spans="1:1" ht="18" customHeight="1">
      <c r="A3098" t="str">
        <f>IF(Generation!AB82="","",Generation!AB82)</f>
        <v/>
      </c>
    </row>
    <row r="3099" spans="1:1" ht="18" customHeight="1">
      <c r="A3099" t="str">
        <f>IF(Generation!AC82="","",Generation!AC82)</f>
        <v/>
      </c>
    </row>
    <row r="3100" spans="1:1" ht="18" customHeight="1">
      <c r="A3100" t="str">
        <f>IF(Generation!AD82="","",Generation!AD82)</f>
        <v/>
      </c>
    </row>
    <row r="3101" spans="1:1" ht="18" customHeight="1">
      <c r="A3101" t="str">
        <f>IF(Generation!AE82="","",Generation!AE82)</f>
        <v/>
      </c>
    </row>
    <row r="3102" spans="1:1" ht="18" customHeight="1">
      <c r="A3102" t="str">
        <f>IF(Generation!AF82="","",Generation!AF82)</f>
        <v/>
      </c>
    </row>
    <row r="3103" spans="1:1" ht="18" customHeight="1">
      <c r="A3103" t="str">
        <f>IF(Generation!AG82="","",Generation!AG82)</f>
        <v/>
      </c>
    </row>
    <row r="3104" spans="1:1" ht="18" customHeight="1">
      <c r="A3104" t="str">
        <f>IF(Generation!AH82="","",Generation!AH82)</f>
        <v/>
      </c>
    </row>
    <row r="3105" spans="1:1" ht="18" customHeight="1">
      <c r="A3105" t="str">
        <f>IF(Generation!AI82="","",Generation!AI82)</f>
        <v/>
      </c>
    </row>
    <row r="3106" spans="1:1" ht="18" customHeight="1">
      <c r="A3106" t="str">
        <f>IF(Generation!$B82,"        &lt;/render_choice&gt;","")</f>
        <v/>
      </c>
    </row>
    <row r="3107" spans="1:1" ht="18" customHeight="1">
      <c r="A3107" t="str">
        <f>IF(Generation!$B82,"      &lt;/response_lid&gt;","")</f>
        <v/>
      </c>
    </row>
    <row r="3108" spans="1:1" ht="18" customHeight="1">
      <c r="A3108" t="str">
        <f>IF(Generation!$B82,"    &lt;/presentation&gt;","")</f>
        <v/>
      </c>
    </row>
    <row r="3109" spans="1:1" ht="18" customHeight="1">
      <c r="A3109" t="str">
        <f>IF(Generation!$B82,"    &lt;resprocessing&gt;","")</f>
        <v/>
      </c>
    </row>
    <row r="3110" spans="1:1" ht="18" customHeight="1">
      <c r="A3110" t="str">
        <f>IF(Generation!$B82,"      &lt;outcomes&gt;&lt;decvar varname=""SCORE"" vartype=""Decimal"" minvalue=""0"" maxvalue="""&amp;Generation!$H82&amp;"""/&gt;&lt;/outcomes&gt;","")</f>
        <v/>
      </c>
    </row>
    <row r="3111" spans="1:1" ht="18" customHeight="1">
      <c r="A3111" t="str">
        <f>IF(Generation!AJ82="","",Generation!AJ82)</f>
        <v/>
      </c>
    </row>
    <row r="3112" spans="1:1" ht="18" customHeight="1">
      <c r="A3112" t="str">
        <f>IF(Generation!AK82="","",Generation!AK82)</f>
        <v/>
      </c>
    </row>
    <row r="3113" spans="1:1" ht="18" customHeight="1">
      <c r="A3113" t="str">
        <f>IF(Generation!AL82="","",Generation!AL82)</f>
        <v/>
      </c>
    </row>
    <row r="3114" spans="1:1" ht="18" customHeight="1">
      <c r="A3114" t="str">
        <f>IF(Generation!AM82="","",Generation!AM82)</f>
        <v/>
      </c>
    </row>
    <row r="3115" spans="1:1" ht="18" customHeight="1">
      <c r="A3115" t="str">
        <f>IF(Generation!AN82="","",Generation!AN82)</f>
        <v/>
      </c>
    </row>
    <row r="3116" spans="1:1" ht="18" customHeight="1">
      <c r="A3116" t="str">
        <f>IF(Generation!AO82="","",Generation!AO82)</f>
        <v/>
      </c>
    </row>
    <row r="3117" spans="1:1" ht="18" customHeight="1">
      <c r="A3117" t="str">
        <f>IF(Generation!AP82="","",Generation!AP82)</f>
        <v/>
      </c>
    </row>
    <row r="3118" spans="1:1" ht="18" customHeight="1">
      <c r="A3118" t="str">
        <f>IF(Generation!AQ82="","",Generation!AQ82)</f>
        <v/>
      </c>
    </row>
    <row r="3119" spans="1:1" ht="18" customHeight="1">
      <c r="A3119" t="str">
        <f>IF(Generation!$B82,"    &lt;/resprocessing&gt;","")</f>
        <v/>
      </c>
    </row>
    <row r="3120" spans="1:1" ht="18" customHeight="1">
      <c r="A3120" t="str">
        <f>IF(Generation!$B82,"    &lt;itemfeedback ident=""response""&gt;&lt;flow_mat&gt;&lt;material&gt;&lt;mattext texttype=""text/plain""&gt;&lt;/mattext&gt;&lt;/material&gt;&lt;/flow_mat&gt;&lt;/itemfeedback&gt;","")</f>
        <v/>
      </c>
    </row>
    <row r="3121" spans="1:1" ht="18" customHeight="1">
      <c r="A3121" t="str">
        <f>IF(Generation!$B82,"  &lt;/item&gt;","")</f>
        <v/>
      </c>
    </row>
    <row r="3122" spans="1:1" ht="18" customHeight="1">
      <c r="A3122" t="str">
        <f>IF(Generation!$B82,"","")</f>
        <v/>
      </c>
    </row>
    <row r="3123" spans="1:1" ht="18" customHeight="1">
      <c r="A3123" t="str">
        <f>""</f>
        <v/>
      </c>
    </row>
    <row r="3124" spans="1:1" ht="18" customHeight="1">
      <c r="A3124" t="str">
        <f>IF(Generation!$B83,"  &lt;item ident=""il_0_qst_"&amp;TEXT(Generation!$A83,"000")&amp;""" title="""&amp;Generation!$F83&amp;"""&gt;","")</f>
        <v/>
      </c>
    </row>
    <row r="3125" spans="1:1" ht="18" customHeight="1">
      <c r="A3125" t="str">
        <f>IF(Generation!$B83,"    &lt;duration&gt;P0Y0M0DT0H1M0S&lt;/duration&gt;","")</f>
        <v/>
      </c>
    </row>
    <row r="3126" spans="1:1" ht="18" customHeight="1">
      <c r="A3126" t="str">
        <f>IF(Generation!$B83,"    &lt;itemmetadata&gt;","")</f>
        <v/>
      </c>
    </row>
    <row r="3127" spans="1:1" ht="18" customHeight="1">
      <c r="A3127" t="str">
        <f>IF(Generation!$B83,"      &lt;qtimetadata&gt;","")</f>
        <v/>
      </c>
    </row>
    <row r="3128" spans="1:1" ht="18" customHeight="1">
      <c r="A3128" t="str">
        <f>IF(Generation!$B83,"        &lt;qtimetadatafield&gt;&lt;fieldlabel&gt;ILIAS_VERSION&lt;/fieldlabel&gt;&lt;fieldentry&gt;8&lt;/fieldentry&gt;&lt;/qtimetadatafield&gt;","")</f>
        <v/>
      </c>
    </row>
    <row r="3129" spans="1:1" ht="18" customHeight="1">
      <c r="A3129" t="str">
        <f>IF(Generation!$B83,"        &lt;qtimetadatafield&gt;&lt;fieldlabel&gt;QUESTIONTYPE&lt;/fieldlabel&gt;&lt;fieldentry&gt;"&amp;Generation!$D83&amp;"&lt;/fieldentry&gt;&lt;/qtimetadatafield&gt;","")</f>
        <v/>
      </c>
    </row>
    <row r="3130" spans="1:1" ht="18" customHeight="1">
      <c r="A3130" t="str">
        <f>IF(Generation!$B83,"        &lt;qtimetadatafield&gt;&lt;fieldlabel&gt;AUTHOR&lt;/fieldlabel&gt;&lt;fieldentry&gt;Générateur Excel QTI&lt;/fieldentry&gt;&lt;/qtimetadatafield&gt;","")</f>
        <v/>
      </c>
    </row>
    <row r="3131" spans="1:1" ht="18" customHeight="1">
      <c r="A3131" t="str">
        <f>IF(Generation!$B83,"        &lt;qtimetadatafield&gt;&lt;fieldlabel&gt;identicalScoring&lt;/fieldlabel&gt;&lt;fieldentry&gt;1&lt;/fieldentry&gt;&lt;/qtimetadatafield&gt;","")</f>
        <v/>
      </c>
    </row>
    <row r="3132" spans="1:1" ht="18" customHeight="1">
      <c r="A3132" t="str">
        <f>IF(Generation!$B83,"      &lt;/qtimetadata&gt;","")</f>
        <v/>
      </c>
    </row>
    <row r="3133" spans="1:1" ht="18" customHeight="1">
      <c r="A3133" t="str">
        <f>IF(Generation!$B83,"    &lt;/itemmetadata&gt;","")</f>
        <v/>
      </c>
    </row>
    <row r="3134" spans="1:1" ht="18" customHeight="1">
      <c r="A3134" t="str">
        <f>IF(Generation!$B83,"    &lt;presentation label="""&amp;Generation!$F83&amp;"""&gt;","")</f>
        <v/>
      </c>
    </row>
    <row r="3135" spans="1:1" ht="18" customHeight="1">
      <c r="A3135" t="str">
        <f>IF(Generation!$B83,"      &lt;material&gt;&lt;mattext texttype=""text/html""&gt;"&amp;Generation!$G83&amp;"&lt;/mattext&gt;&lt;/material&gt;","")</f>
        <v/>
      </c>
    </row>
    <row r="3136" spans="1:1" ht="18" customHeight="1">
      <c r="A3136" t="str">
        <f>IF(Generation!$B83,"      &lt;response_lid ident=""RESPONSE"" rcardinality="""&amp;Generation!$E83&amp;"""&gt;","")</f>
        <v/>
      </c>
    </row>
    <row r="3137" spans="1:1" ht="18" customHeight="1">
      <c r="A3137" t="str">
        <f>IF(Generation!$B83,"        &lt;render_choice shuffle=""No""&gt;","")</f>
        <v/>
      </c>
    </row>
    <row r="3138" spans="1:1" ht="18" customHeight="1">
      <c r="A3138" t="str">
        <f>IF(Generation!AB83="","",Generation!AB83)</f>
        <v/>
      </c>
    </row>
    <row r="3139" spans="1:1" ht="18" customHeight="1">
      <c r="A3139" t="str">
        <f>IF(Generation!AC83="","",Generation!AC83)</f>
        <v/>
      </c>
    </row>
    <row r="3140" spans="1:1" ht="18" customHeight="1">
      <c r="A3140" t="str">
        <f>IF(Generation!AD83="","",Generation!AD83)</f>
        <v/>
      </c>
    </row>
    <row r="3141" spans="1:1" ht="18" customHeight="1">
      <c r="A3141" t="str">
        <f>IF(Generation!AE83="","",Generation!AE83)</f>
        <v/>
      </c>
    </row>
    <row r="3142" spans="1:1" ht="18" customHeight="1">
      <c r="A3142" t="str">
        <f>IF(Generation!AF83="","",Generation!AF83)</f>
        <v/>
      </c>
    </row>
    <row r="3143" spans="1:1" ht="18" customHeight="1">
      <c r="A3143" t="str">
        <f>IF(Generation!AG83="","",Generation!AG83)</f>
        <v/>
      </c>
    </row>
    <row r="3144" spans="1:1" ht="18" customHeight="1">
      <c r="A3144" t="str">
        <f>IF(Generation!AH83="","",Generation!AH83)</f>
        <v/>
      </c>
    </row>
    <row r="3145" spans="1:1" ht="18" customHeight="1">
      <c r="A3145" t="str">
        <f>IF(Generation!AI83="","",Generation!AI83)</f>
        <v/>
      </c>
    </row>
    <row r="3146" spans="1:1" ht="18" customHeight="1">
      <c r="A3146" t="str">
        <f>IF(Generation!$B83,"        &lt;/render_choice&gt;","")</f>
        <v/>
      </c>
    </row>
    <row r="3147" spans="1:1" ht="18" customHeight="1">
      <c r="A3147" t="str">
        <f>IF(Generation!$B83,"      &lt;/response_lid&gt;","")</f>
        <v/>
      </c>
    </row>
    <row r="3148" spans="1:1" ht="18" customHeight="1">
      <c r="A3148" t="str">
        <f>IF(Generation!$B83,"    &lt;/presentation&gt;","")</f>
        <v/>
      </c>
    </row>
    <row r="3149" spans="1:1" ht="18" customHeight="1">
      <c r="A3149" t="str">
        <f>IF(Generation!$B83,"    &lt;resprocessing&gt;","")</f>
        <v/>
      </c>
    </row>
    <row r="3150" spans="1:1" ht="18" customHeight="1">
      <c r="A3150" t="str">
        <f>IF(Generation!$B83,"      &lt;outcomes&gt;&lt;decvar varname=""SCORE"" vartype=""Decimal"" minvalue=""0"" maxvalue="""&amp;Generation!$H83&amp;"""/&gt;&lt;/outcomes&gt;","")</f>
        <v/>
      </c>
    </row>
    <row r="3151" spans="1:1" ht="18" customHeight="1">
      <c r="A3151" t="str">
        <f>IF(Generation!AJ83="","",Generation!AJ83)</f>
        <v/>
      </c>
    </row>
    <row r="3152" spans="1:1" ht="18" customHeight="1">
      <c r="A3152" t="str">
        <f>IF(Generation!AK83="","",Generation!AK83)</f>
        <v/>
      </c>
    </row>
    <row r="3153" spans="1:1" ht="18" customHeight="1">
      <c r="A3153" t="str">
        <f>IF(Generation!AL83="","",Generation!AL83)</f>
        <v/>
      </c>
    </row>
    <row r="3154" spans="1:1" ht="18" customHeight="1">
      <c r="A3154" t="str">
        <f>IF(Generation!AM83="","",Generation!AM83)</f>
        <v/>
      </c>
    </row>
    <row r="3155" spans="1:1" ht="18" customHeight="1">
      <c r="A3155" t="str">
        <f>IF(Generation!AN83="","",Generation!AN83)</f>
        <v/>
      </c>
    </row>
    <row r="3156" spans="1:1" ht="18" customHeight="1">
      <c r="A3156" t="str">
        <f>IF(Generation!AO83="","",Generation!AO83)</f>
        <v/>
      </c>
    </row>
    <row r="3157" spans="1:1" ht="18" customHeight="1">
      <c r="A3157" t="str">
        <f>IF(Generation!AP83="","",Generation!AP83)</f>
        <v/>
      </c>
    </row>
    <row r="3158" spans="1:1" ht="18" customHeight="1">
      <c r="A3158" t="str">
        <f>IF(Generation!AQ83="","",Generation!AQ83)</f>
        <v/>
      </c>
    </row>
    <row r="3159" spans="1:1" ht="18" customHeight="1">
      <c r="A3159" t="str">
        <f>IF(Generation!$B83,"    &lt;/resprocessing&gt;","")</f>
        <v/>
      </c>
    </row>
    <row r="3160" spans="1:1" ht="18" customHeight="1">
      <c r="A3160" t="str">
        <f>IF(Generation!$B83,"    &lt;itemfeedback ident=""response""&gt;&lt;flow_mat&gt;&lt;material&gt;&lt;mattext texttype=""text/plain""&gt;&lt;/mattext&gt;&lt;/material&gt;&lt;/flow_mat&gt;&lt;/itemfeedback&gt;","")</f>
        <v/>
      </c>
    </row>
    <row r="3161" spans="1:1" ht="18" customHeight="1">
      <c r="A3161" t="str">
        <f>IF(Generation!$B83,"  &lt;/item&gt;","")</f>
        <v/>
      </c>
    </row>
    <row r="3162" spans="1:1" ht="18" customHeight="1">
      <c r="A3162" t="str">
        <f>IF(Generation!$B83,"","")</f>
        <v/>
      </c>
    </row>
    <row r="3163" spans="1:1" ht="18" customHeight="1">
      <c r="A3163" t="str">
        <f>""</f>
        <v/>
      </c>
    </row>
    <row r="3164" spans="1:1" ht="18" customHeight="1">
      <c r="A3164" t="str">
        <f>IF(Generation!$B84,"  &lt;item ident=""il_0_qst_"&amp;TEXT(Generation!$A84,"000")&amp;""" title="""&amp;Generation!$F84&amp;"""&gt;","")</f>
        <v/>
      </c>
    </row>
    <row r="3165" spans="1:1" ht="18" customHeight="1">
      <c r="A3165" t="str">
        <f>IF(Generation!$B84,"    &lt;duration&gt;P0Y0M0DT0H1M0S&lt;/duration&gt;","")</f>
        <v/>
      </c>
    </row>
    <row r="3166" spans="1:1" ht="18" customHeight="1">
      <c r="A3166" t="str">
        <f>IF(Generation!$B84,"    &lt;itemmetadata&gt;","")</f>
        <v/>
      </c>
    </row>
    <row r="3167" spans="1:1" ht="18" customHeight="1">
      <c r="A3167" t="str">
        <f>IF(Generation!$B84,"      &lt;qtimetadata&gt;","")</f>
        <v/>
      </c>
    </row>
    <row r="3168" spans="1:1" ht="18" customHeight="1">
      <c r="A3168" t="str">
        <f>IF(Generation!$B84,"        &lt;qtimetadatafield&gt;&lt;fieldlabel&gt;ILIAS_VERSION&lt;/fieldlabel&gt;&lt;fieldentry&gt;8&lt;/fieldentry&gt;&lt;/qtimetadatafield&gt;","")</f>
        <v/>
      </c>
    </row>
    <row r="3169" spans="1:1" ht="18" customHeight="1">
      <c r="A3169" t="str">
        <f>IF(Generation!$B84,"        &lt;qtimetadatafield&gt;&lt;fieldlabel&gt;QUESTIONTYPE&lt;/fieldlabel&gt;&lt;fieldentry&gt;"&amp;Generation!$D84&amp;"&lt;/fieldentry&gt;&lt;/qtimetadatafield&gt;","")</f>
        <v/>
      </c>
    </row>
    <row r="3170" spans="1:1" ht="18" customHeight="1">
      <c r="A3170" t="str">
        <f>IF(Generation!$B84,"        &lt;qtimetadatafield&gt;&lt;fieldlabel&gt;AUTHOR&lt;/fieldlabel&gt;&lt;fieldentry&gt;Générateur Excel QTI&lt;/fieldentry&gt;&lt;/qtimetadatafield&gt;","")</f>
        <v/>
      </c>
    </row>
    <row r="3171" spans="1:1" ht="18" customHeight="1">
      <c r="A3171" t="str">
        <f>IF(Generation!$B84,"        &lt;qtimetadatafield&gt;&lt;fieldlabel&gt;identicalScoring&lt;/fieldlabel&gt;&lt;fieldentry&gt;1&lt;/fieldentry&gt;&lt;/qtimetadatafield&gt;","")</f>
        <v/>
      </c>
    </row>
    <row r="3172" spans="1:1" ht="18" customHeight="1">
      <c r="A3172" t="str">
        <f>IF(Generation!$B84,"      &lt;/qtimetadata&gt;","")</f>
        <v/>
      </c>
    </row>
    <row r="3173" spans="1:1" ht="18" customHeight="1">
      <c r="A3173" t="str">
        <f>IF(Generation!$B84,"    &lt;/itemmetadata&gt;","")</f>
        <v/>
      </c>
    </row>
    <row r="3174" spans="1:1" ht="18" customHeight="1">
      <c r="A3174" t="str">
        <f>IF(Generation!$B84,"    &lt;presentation label="""&amp;Generation!$F84&amp;"""&gt;","")</f>
        <v/>
      </c>
    </row>
    <row r="3175" spans="1:1" ht="18" customHeight="1">
      <c r="A3175" t="str">
        <f>IF(Generation!$B84,"      &lt;material&gt;&lt;mattext texttype=""text/html""&gt;"&amp;Generation!$G84&amp;"&lt;/mattext&gt;&lt;/material&gt;","")</f>
        <v/>
      </c>
    </row>
    <row r="3176" spans="1:1" ht="18" customHeight="1">
      <c r="A3176" t="str">
        <f>IF(Generation!$B84,"      &lt;response_lid ident=""RESPONSE"" rcardinality="""&amp;Generation!$E84&amp;"""&gt;","")</f>
        <v/>
      </c>
    </row>
    <row r="3177" spans="1:1" ht="18" customHeight="1">
      <c r="A3177" t="str">
        <f>IF(Generation!$B84,"        &lt;render_choice shuffle=""No""&gt;","")</f>
        <v/>
      </c>
    </row>
    <row r="3178" spans="1:1" ht="18" customHeight="1">
      <c r="A3178" t="str">
        <f>IF(Generation!AB84="","",Generation!AB84)</f>
        <v/>
      </c>
    </row>
    <row r="3179" spans="1:1" ht="18" customHeight="1">
      <c r="A3179" t="str">
        <f>IF(Generation!AC84="","",Generation!AC84)</f>
        <v/>
      </c>
    </row>
    <row r="3180" spans="1:1" ht="18" customHeight="1">
      <c r="A3180" t="str">
        <f>IF(Generation!AD84="","",Generation!AD84)</f>
        <v/>
      </c>
    </row>
    <row r="3181" spans="1:1" ht="18" customHeight="1">
      <c r="A3181" t="str">
        <f>IF(Generation!AE84="","",Generation!AE84)</f>
        <v/>
      </c>
    </row>
    <row r="3182" spans="1:1" ht="18" customHeight="1">
      <c r="A3182" t="str">
        <f>IF(Generation!AF84="","",Generation!AF84)</f>
        <v/>
      </c>
    </row>
    <row r="3183" spans="1:1" ht="18" customHeight="1">
      <c r="A3183" t="str">
        <f>IF(Generation!AG84="","",Generation!AG84)</f>
        <v/>
      </c>
    </row>
    <row r="3184" spans="1:1" ht="18" customHeight="1">
      <c r="A3184" t="str">
        <f>IF(Generation!AH84="","",Generation!AH84)</f>
        <v/>
      </c>
    </row>
    <row r="3185" spans="1:1" ht="18" customHeight="1">
      <c r="A3185" t="str">
        <f>IF(Generation!AI84="","",Generation!AI84)</f>
        <v/>
      </c>
    </row>
    <row r="3186" spans="1:1" ht="18" customHeight="1">
      <c r="A3186" t="str">
        <f>IF(Generation!$B84,"        &lt;/render_choice&gt;","")</f>
        <v/>
      </c>
    </row>
    <row r="3187" spans="1:1" ht="18" customHeight="1">
      <c r="A3187" t="str">
        <f>IF(Generation!$B84,"      &lt;/response_lid&gt;","")</f>
        <v/>
      </c>
    </row>
    <row r="3188" spans="1:1" ht="18" customHeight="1">
      <c r="A3188" t="str">
        <f>IF(Generation!$B84,"    &lt;/presentation&gt;","")</f>
        <v/>
      </c>
    </row>
    <row r="3189" spans="1:1" ht="18" customHeight="1">
      <c r="A3189" t="str">
        <f>IF(Generation!$B84,"    &lt;resprocessing&gt;","")</f>
        <v/>
      </c>
    </row>
    <row r="3190" spans="1:1" ht="18" customHeight="1">
      <c r="A3190" t="str">
        <f>IF(Generation!$B84,"      &lt;outcomes&gt;&lt;decvar varname=""SCORE"" vartype=""Decimal"" minvalue=""0"" maxvalue="""&amp;Generation!$H84&amp;"""/&gt;&lt;/outcomes&gt;","")</f>
        <v/>
      </c>
    </row>
    <row r="3191" spans="1:1" ht="18" customHeight="1">
      <c r="A3191" t="str">
        <f>IF(Generation!AJ84="","",Generation!AJ84)</f>
        <v/>
      </c>
    </row>
    <row r="3192" spans="1:1" ht="18" customHeight="1">
      <c r="A3192" t="str">
        <f>IF(Generation!AK84="","",Generation!AK84)</f>
        <v/>
      </c>
    </row>
    <row r="3193" spans="1:1" ht="18" customHeight="1">
      <c r="A3193" t="str">
        <f>IF(Generation!AL84="","",Generation!AL84)</f>
        <v/>
      </c>
    </row>
    <row r="3194" spans="1:1" ht="18" customHeight="1">
      <c r="A3194" t="str">
        <f>IF(Generation!AM84="","",Generation!AM84)</f>
        <v/>
      </c>
    </row>
    <row r="3195" spans="1:1" ht="18" customHeight="1">
      <c r="A3195" t="str">
        <f>IF(Generation!AN84="","",Generation!AN84)</f>
        <v/>
      </c>
    </row>
    <row r="3196" spans="1:1" ht="18" customHeight="1">
      <c r="A3196" t="str">
        <f>IF(Generation!AO84="","",Generation!AO84)</f>
        <v/>
      </c>
    </row>
    <row r="3197" spans="1:1" ht="18" customHeight="1">
      <c r="A3197" t="str">
        <f>IF(Generation!AP84="","",Generation!AP84)</f>
        <v/>
      </c>
    </row>
    <row r="3198" spans="1:1" ht="18" customHeight="1">
      <c r="A3198" t="str">
        <f>IF(Generation!AQ84="","",Generation!AQ84)</f>
        <v/>
      </c>
    </row>
    <row r="3199" spans="1:1" ht="18" customHeight="1">
      <c r="A3199" t="str">
        <f>IF(Generation!$B84,"    &lt;/resprocessing&gt;","")</f>
        <v/>
      </c>
    </row>
    <row r="3200" spans="1:1" ht="18" customHeight="1">
      <c r="A3200" t="str">
        <f>IF(Generation!$B84,"    &lt;itemfeedback ident=""response""&gt;&lt;flow_mat&gt;&lt;material&gt;&lt;mattext texttype=""text/plain""&gt;&lt;/mattext&gt;&lt;/material&gt;&lt;/flow_mat&gt;&lt;/itemfeedback&gt;","")</f>
        <v/>
      </c>
    </row>
    <row r="3201" spans="1:1" ht="18" customHeight="1">
      <c r="A3201" t="str">
        <f>IF(Generation!$B84,"  &lt;/item&gt;","")</f>
        <v/>
      </c>
    </row>
    <row r="3202" spans="1:1" ht="18" customHeight="1">
      <c r="A3202" t="str">
        <f>IF(Generation!$B84,"","")</f>
        <v/>
      </c>
    </row>
    <row r="3203" spans="1:1" ht="18" customHeight="1">
      <c r="A3203" t="str">
        <f>""</f>
        <v/>
      </c>
    </row>
    <row r="3204" spans="1:1" ht="18" customHeight="1">
      <c r="A3204" t="str">
        <f>IF(Generation!$B85,"  &lt;item ident=""il_0_qst_"&amp;TEXT(Generation!$A85,"000")&amp;""" title="""&amp;Generation!$F85&amp;"""&gt;","")</f>
        <v/>
      </c>
    </row>
    <row r="3205" spans="1:1" ht="18" customHeight="1">
      <c r="A3205" t="str">
        <f>IF(Generation!$B85,"    &lt;duration&gt;P0Y0M0DT0H1M0S&lt;/duration&gt;","")</f>
        <v/>
      </c>
    </row>
    <row r="3206" spans="1:1" ht="18" customHeight="1">
      <c r="A3206" t="str">
        <f>IF(Generation!$B85,"    &lt;itemmetadata&gt;","")</f>
        <v/>
      </c>
    </row>
    <row r="3207" spans="1:1" ht="18" customHeight="1">
      <c r="A3207" t="str">
        <f>IF(Generation!$B85,"      &lt;qtimetadata&gt;","")</f>
        <v/>
      </c>
    </row>
    <row r="3208" spans="1:1" ht="18" customHeight="1">
      <c r="A3208" t="str">
        <f>IF(Generation!$B85,"        &lt;qtimetadatafield&gt;&lt;fieldlabel&gt;ILIAS_VERSION&lt;/fieldlabel&gt;&lt;fieldentry&gt;8&lt;/fieldentry&gt;&lt;/qtimetadatafield&gt;","")</f>
        <v/>
      </c>
    </row>
    <row r="3209" spans="1:1" ht="18" customHeight="1">
      <c r="A3209" t="str">
        <f>IF(Generation!$B85,"        &lt;qtimetadatafield&gt;&lt;fieldlabel&gt;QUESTIONTYPE&lt;/fieldlabel&gt;&lt;fieldentry&gt;"&amp;Generation!$D85&amp;"&lt;/fieldentry&gt;&lt;/qtimetadatafield&gt;","")</f>
        <v/>
      </c>
    </row>
    <row r="3210" spans="1:1" ht="18" customHeight="1">
      <c r="A3210" t="str">
        <f>IF(Generation!$B85,"        &lt;qtimetadatafield&gt;&lt;fieldlabel&gt;AUTHOR&lt;/fieldlabel&gt;&lt;fieldentry&gt;Générateur Excel QTI&lt;/fieldentry&gt;&lt;/qtimetadatafield&gt;","")</f>
        <v/>
      </c>
    </row>
    <row r="3211" spans="1:1" ht="18" customHeight="1">
      <c r="A3211" t="str">
        <f>IF(Generation!$B85,"        &lt;qtimetadatafield&gt;&lt;fieldlabel&gt;identicalScoring&lt;/fieldlabel&gt;&lt;fieldentry&gt;1&lt;/fieldentry&gt;&lt;/qtimetadatafield&gt;","")</f>
        <v/>
      </c>
    </row>
    <row r="3212" spans="1:1" ht="18" customHeight="1">
      <c r="A3212" t="str">
        <f>IF(Generation!$B85,"      &lt;/qtimetadata&gt;","")</f>
        <v/>
      </c>
    </row>
    <row r="3213" spans="1:1" ht="18" customHeight="1">
      <c r="A3213" t="str">
        <f>IF(Generation!$B85,"    &lt;/itemmetadata&gt;","")</f>
        <v/>
      </c>
    </row>
    <row r="3214" spans="1:1" ht="18" customHeight="1">
      <c r="A3214" t="str">
        <f>IF(Generation!$B85,"    &lt;presentation label="""&amp;Generation!$F85&amp;"""&gt;","")</f>
        <v/>
      </c>
    </row>
    <row r="3215" spans="1:1" ht="18" customHeight="1">
      <c r="A3215" t="str">
        <f>IF(Generation!$B85,"      &lt;material&gt;&lt;mattext texttype=""text/html""&gt;"&amp;Generation!$G85&amp;"&lt;/mattext&gt;&lt;/material&gt;","")</f>
        <v/>
      </c>
    </row>
    <row r="3216" spans="1:1" ht="18" customHeight="1">
      <c r="A3216" t="str">
        <f>IF(Generation!$B85,"      &lt;response_lid ident=""RESPONSE"" rcardinality="""&amp;Generation!$E85&amp;"""&gt;","")</f>
        <v/>
      </c>
    </row>
    <row r="3217" spans="1:1" ht="18" customHeight="1">
      <c r="A3217" t="str">
        <f>IF(Generation!$B85,"        &lt;render_choice shuffle=""No""&gt;","")</f>
        <v/>
      </c>
    </row>
    <row r="3218" spans="1:1" ht="18" customHeight="1">
      <c r="A3218" t="str">
        <f>IF(Generation!AB85="","",Generation!AB85)</f>
        <v/>
      </c>
    </row>
    <row r="3219" spans="1:1" ht="18" customHeight="1">
      <c r="A3219" t="str">
        <f>IF(Generation!AC85="","",Generation!AC85)</f>
        <v/>
      </c>
    </row>
    <row r="3220" spans="1:1" ht="18" customHeight="1">
      <c r="A3220" t="str">
        <f>IF(Generation!AD85="","",Generation!AD85)</f>
        <v/>
      </c>
    </row>
    <row r="3221" spans="1:1" ht="18" customHeight="1">
      <c r="A3221" t="str">
        <f>IF(Generation!AE85="","",Generation!AE85)</f>
        <v/>
      </c>
    </row>
    <row r="3222" spans="1:1" ht="18" customHeight="1">
      <c r="A3222" t="str">
        <f>IF(Generation!AF85="","",Generation!AF85)</f>
        <v/>
      </c>
    </row>
    <row r="3223" spans="1:1" ht="18" customHeight="1">
      <c r="A3223" t="str">
        <f>IF(Generation!AG85="","",Generation!AG85)</f>
        <v/>
      </c>
    </row>
    <row r="3224" spans="1:1" ht="18" customHeight="1">
      <c r="A3224" t="str">
        <f>IF(Generation!AH85="","",Generation!AH85)</f>
        <v/>
      </c>
    </row>
    <row r="3225" spans="1:1" ht="18" customHeight="1">
      <c r="A3225" t="str">
        <f>IF(Generation!AI85="","",Generation!AI85)</f>
        <v/>
      </c>
    </row>
    <row r="3226" spans="1:1" ht="18" customHeight="1">
      <c r="A3226" t="str">
        <f>IF(Generation!$B85,"        &lt;/render_choice&gt;","")</f>
        <v/>
      </c>
    </row>
    <row r="3227" spans="1:1" ht="18" customHeight="1">
      <c r="A3227" t="str">
        <f>IF(Generation!$B85,"      &lt;/response_lid&gt;","")</f>
        <v/>
      </c>
    </row>
    <row r="3228" spans="1:1" ht="18" customHeight="1">
      <c r="A3228" t="str">
        <f>IF(Generation!$B85,"    &lt;/presentation&gt;","")</f>
        <v/>
      </c>
    </row>
    <row r="3229" spans="1:1" ht="18" customHeight="1">
      <c r="A3229" t="str">
        <f>IF(Generation!$B85,"    &lt;resprocessing&gt;","")</f>
        <v/>
      </c>
    </row>
    <row r="3230" spans="1:1" ht="18" customHeight="1">
      <c r="A3230" t="str">
        <f>IF(Generation!$B85,"      &lt;outcomes&gt;&lt;decvar varname=""SCORE"" vartype=""Decimal"" minvalue=""0"" maxvalue="""&amp;Generation!$H85&amp;"""/&gt;&lt;/outcomes&gt;","")</f>
        <v/>
      </c>
    </row>
    <row r="3231" spans="1:1" ht="18" customHeight="1">
      <c r="A3231" t="str">
        <f>IF(Generation!AJ85="","",Generation!AJ85)</f>
        <v/>
      </c>
    </row>
    <row r="3232" spans="1:1" ht="18" customHeight="1">
      <c r="A3232" t="str">
        <f>IF(Generation!AK85="","",Generation!AK85)</f>
        <v/>
      </c>
    </row>
    <row r="3233" spans="1:1" ht="18" customHeight="1">
      <c r="A3233" t="str">
        <f>IF(Generation!AL85="","",Generation!AL85)</f>
        <v/>
      </c>
    </row>
    <row r="3234" spans="1:1" ht="18" customHeight="1">
      <c r="A3234" t="str">
        <f>IF(Generation!AM85="","",Generation!AM85)</f>
        <v/>
      </c>
    </row>
    <row r="3235" spans="1:1" ht="18" customHeight="1">
      <c r="A3235" t="str">
        <f>IF(Generation!AN85="","",Generation!AN85)</f>
        <v/>
      </c>
    </row>
    <row r="3236" spans="1:1" ht="18" customHeight="1">
      <c r="A3236" t="str">
        <f>IF(Generation!AO85="","",Generation!AO85)</f>
        <v/>
      </c>
    </row>
    <row r="3237" spans="1:1" ht="18" customHeight="1">
      <c r="A3237" t="str">
        <f>IF(Generation!AP85="","",Generation!AP85)</f>
        <v/>
      </c>
    </row>
    <row r="3238" spans="1:1" ht="18" customHeight="1">
      <c r="A3238" t="str">
        <f>IF(Generation!AQ85="","",Generation!AQ85)</f>
        <v/>
      </c>
    </row>
    <row r="3239" spans="1:1" ht="18" customHeight="1">
      <c r="A3239" t="str">
        <f>IF(Generation!$B85,"    &lt;/resprocessing&gt;","")</f>
        <v/>
      </c>
    </row>
    <row r="3240" spans="1:1" ht="18" customHeight="1">
      <c r="A3240" t="str">
        <f>IF(Generation!$B85,"    &lt;itemfeedback ident=""response""&gt;&lt;flow_mat&gt;&lt;material&gt;&lt;mattext texttype=""text/plain""&gt;&lt;/mattext&gt;&lt;/material&gt;&lt;/flow_mat&gt;&lt;/itemfeedback&gt;","")</f>
        <v/>
      </c>
    </row>
    <row r="3241" spans="1:1" ht="18" customHeight="1">
      <c r="A3241" t="str">
        <f>IF(Generation!$B85,"  &lt;/item&gt;","")</f>
        <v/>
      </c>
    </row>
    <row r="3242" spans="1:1" ht="18" customHeight="1">
      <c r="A3242" t="str">
        <f>IF(Generation!$B85,"","")</f>
        <v/>
      </c>
    </row>
    <row r="3243" spans="1:1" ht="18" customHeight="1">
      <c r="A3243" t="str">
        <f>""</f>
        <v/>
      </c>
    </row>
    <row r="3244" spans="1:1" ht="18" customHeight="1">
      <c r="A3244" t="str">
        <f>IF(Generation!$B86,"  &lt;item ident=""il_0_qst_"&amp;TEXT(Generation!$A86,"000")&amp;""" title="""&amp;Generation!$F86&amp;"""&gt;","")</f>
        <v/>
      </c>
    </row>
    <row r="3245" spans="1:1" ht="18" customHeight="1">
      <c r="A3245" t="str">
        <f>IF(Generation!$B86,"    &lt;duration&gt;P0Y0M0DT0H1M0S&lt;/duration&gt;","")</f>
        <v/>
      </c>
    </row>
    <row r="3246" spans="1:1" ht="18" customHeight="1">
      <c r="A3246" t="str">
        <f>IF(Generation!$B86,"    &lt;itemmetadata&gt;","")</f>
        <v/>
      </c>
    </row>
    <row r="3247" spans="1:1" ht="18" customHeight="1">
      <c r="A3247" t="str">
        <f>IF(Generation!$B86,"      &lt;qtimetadata&gt;","")</f>
        <v/>
      </c>
    </row>
    <row r="3248" spans="1:1" ht="18" customHeight="1">
      <c r="A3248" t="str">
        <f>IF(Generation!$B86,"        &lt;qtimetadatafield&gt;&lt;fieldlabel&gt;ILIAS_VERSION&lt;/fieldlabel&gt;&lt;fieldentry&gt;8&lt;/fieldentry&gt;&lt;/qtimetadatafield&gt;","")</f>
        <v/>
      </c>
    </row>
    <row r="3249" spans="1:1" ht="18" customHeight="1">
      <c r="A3249" t="str">
        <f>IF(Generation!$B86,"        &lt;qtimetadatafield&gt;&lt;fieldlabel&gt;QUESTIONTYPE&lt;/fieldlabel&gt;&lt;fieldentry&gt;"&amp;Generation!$D86&amp;"&lt;/fieldentry&gt;&lt;/qtimetadatafield&gt;","")</f>
        <v/>
      </c>
    </row>
    <row r="3250" spans="1:1" ht="18" customHeight="1">
      <c r="A3250" t="str">
        <f>IF(Generation!$B86,"        &lt;qtimetadatafield&gt;&lt;fieldlabel&gt;AUTHOR&lt;/fieldlabel&gt;&lt;fieldentry&gt;Générateur Excel QTI&lt;/fieldentry&gt;&lt;/qtimetadatafield&gt;","")</f>
        <v/>
      </c>
    </row>
    <row r="3251" spans="1:1" ht="18" customHeight="1">
      <c r="A3251" t="str">
        <f>IF(Generation!$B86,"        &lt;qtimetadatafield&gt;&lt;fieldlabel&gt;identicalScoring&lt;/fieldlabel&gt;&lt;fieldentry&gt;1&lt;/fieldentry&gt;&lt;/qtimetadatafield&gt;","")</f>
        <v/>
      </c>
    </row>
    <row r="3252" spans="1:1" ht="18" customHeight="1">
      <c r="A3252" t="str">
        <f>IF(Generation!$B86,"      &lt;/qtimetadata&gt;","")</f>
        <v/>
      </c>
    </row>
    <row r="3253" spans="1:1" ht="18" customHeight="1">
      <c r="A3253" t="str">
        <f>IF(Generation!$B86,"    &lt;/itemmetadata&gt;","")</f>
        <v/>
      </c>
    </row>
    <row r="3254" spans="1:1" ht="18" customHeight="1">
      <c r="A3254" t="str">
        <f>IF(Generation!$B86,"    &lt;presentation label="""&amp;Generation!$F86&amp;"""&gt;","")</f>
        <v/>
      </c>
    </row>
    <row r="3255" spans="1:1" ht="18" customHeight="1">
      <c r="A3255" t="str">
        <f>IF(Generation!$B86,"      &lt;material&gt;&lt;mattext texttype=""text/html""&gt;"&amp;Generation!$G86&amp;"&lt;/mattext&gt;&lt;/material&gt;","")</f>
        <v/>
      </c>
    </row>
    <row r="3256" spans="1:1" ht="18" customHeight="1">
      <c r="A3256" t="str">
        <f>IF(Generation!$B86,"      &lt;response_lid ident=""RESPONSE"" rcardinality="""&amp;Generation!$E86&amp;"""&gt;","")</f>
        <v/>
      </c>
    </row>
    <row r="3257" spans="1:1" ht="18" customHeight="1">
      <c r="A3257" t="str">
        <f>IF(Generation!$B86,"        &lt;render_choice shuffle=""No""&gt;","")</f>
        <v/>
      </c>
    </row>
    <row r="3258" spans="1:1" ht="18" customHeight="1">
      <c r="A3258" t="str">
        <f>IF(Generation!AB86="","",Generation!AB86)</f>
        <v/>
      </c>
    </row>
    <row r="3259" spans="1:1" ht="18" customHeight="1">
      <c r="A3259" t="str">
        <f>IF(Generation!AC86="","",Generation!AC86)</f>
        <v/>
      </c>
    </row>
    <row r="3260" spans="1:1" ht="18" customHeight="1">
      <c r="A3260" t="str">
        <f>IF(Generation!AD86="","",Generation!AD86)</f>
        <v/>
      </c>
    </row>
    <row r="3261" spans="1:1" ht="18" customHeight="1">
      <c r="A3261" t="str">
        <f>IF(Generation!AE86="","",Generation!AE86)</f>
        <v/>
      </c>
    </row>
    <row r="3262" spans="1:1" ht="18" customHeight="1">
      <c r="A3262" t="str">
        <f>IF(Generation!AF86="","",Generation!AF86)</f>
        <v/>
      </c>
    </row>
    <row r="3263" spans="1:1" ht="18" customHeight="1">
      <c r="A3263" t="str">
        <f>IF(Generation!AG86="","",Generation!AG86)</f>
        <v/>
      </c>
    </row>
    <row r="3264" spans="1:1" ht="18" customHeight="1">
      <c r="A3264" t="str">
        <f>IF(Generation!AH86="","",Generation!AH86)</f>
        <v/>
      </c>
    </row>
    <row r="3265" spans="1:1" ht="18" customHeight="1">
      <c r="A3265" t="str">
        <f>IF(Generation!AI86="","",Generation!AI86)</f>
        <v/>
      </c>
    </row>
    <row r="3266" spans="1:1" ht="18" customHeight="1">
      <c r="A3266" t="str">
        <f>IF(Generation!$B86,"        &lt;/render_choice&gt;","")</f>
        <v/>
      </c>
    </row>
    <row r="3267" spans="1:1" ht="18" customHeight="1">
      <c r="A3267" t="str">
        <f>IF(Generation!$B86,"      &lt;/response_lid&gt;","")</f>
        <v/>
      </c>
    </row>
    <row r="3268" spans="1:1" ht="18" customHeight="1">
      <c r="A3268" t="str">
        <f>IF(Generation!$B86,"    &lt;/presentation&gt;","")</f>
        <v/>
      </c>
    </row>
    <row r="3269" spans="1:1" ht="18" customHeight="1">
      <c r="A3269" t="str">
        <f>IF(Generation!$B86,"    &lt;resprocessing&gt;","")</f>
        <v/>
      </c>
    </row>
    <row r="3270" spans="1:1" ht="18" customHeight="1">
      <c r="A3270" t="str">
        <f>IF(Generation!$B86,"      &lt;outcomes&gt;&lt;decvar varname=""SCORE"" vartype=""Decimal"" minvalue=""0"" maxvalue="""&amp;Generation!$H86&amp;"""/&gt;&lt;/outcomes&gt;","")</f>
        <v/>
      </c>
    </row>
    <row r="3271" spans="1:1" ht="18" customHeight="1">
      <c r="A3271" t="str">
        <f>IF(Generation!AJ86="","",Generation!AJ86)</f>
        <v/>
      </c>
    </row>
    <row r="3272" spans="1:1" ht="18" customHeight="1">
      <c r="A3272" t="str">
        <f>IF(Generation!AK86="","",Generation!AK86)</f>
        <v/>
      </c>
    </row>
    <row r="3273" spans="1:1" ht="18" customHeight="1">
      <c r="A3273" t="str">
        <f>IF(Generation!AL86="","",Generation!AL86)</f>
        <v/>
      </c>
    </row>
    <row r="3274" spans="1:1" ht="18" customHeight="1">
      <c r="A3274" t="str">
        <f>IF(Generation!AM86="","",Generation!AM86)</f>
        <v/>
      </c>
    </row>
    <row r="3275" spans="1:1" ht="18" customHeight="1">
      <c r="A3275" t="str">
        <f>IF(Generation!AN86="","",Generation!AN86)</f>
        <v/>
      </c>
    </row>
    <row r="3276" spans="1:1" ht="18" customHeight="1">
      <c r="A3276" t="str">
        <f>IF(Generation!AO86="","",Generation!AO86)</f>
        <v/>
      </c>
    </row>
    <row r="3277" spans="1:1" ht="18" customHeight="1">
      <c r="A3277" t="str">
        <f>IF(Generation!AP86="","",Generation!AP86)</f>
        <v/>
      </c>
    </row>
    <row r="3278" spans="1:1" ht="18" customHeight="1">
      <c r="A3278" t="str">
        <f>IF(Generation!AQ86="","",Generation!AQ86)</f>
        <v/>
      </c>
    </row>
    <row r="3279" spans="1:1" ht="18" customHeight="1">
      <c r="A3279" t="str">
        <f>IF(Generation!$B86,"    &lt;/resprocessing&gt;","")</f>
        <v/>
      </c>
    </row>
    <row r="3280" spans="1:1" ht="18" customHeight="1">
      <c r="A3280" t="str">
        <f>IF(Generation!$B86,"    &lt;itemfeedback ident=""response""&gt;&lt;flow_mat&gt;&lt;material&gt;&lt;mattext texttype=""text/plain""&gt;&lt;/mattext&gt;&lt;/material&gt;&lt;/flow_mat&gt;&lt;/itemfeedback&gt;","")</f>
        <v/>
      </c>
    </row>
    <row r="3281" spans="1:1" ht="18" customHeight="1">
      <c r="A3281" t="str">
        <f>IF(Generation!$B86,"  &lt;/item&gt;","")</f>
        <v/>
      </c>
    </row>
    <row r="3282" spans="1:1" ht="18" customHeight="1">
      <c r="A3282" t="str">
        <f>IF(Generation!$B86,"","")</f>
        <v/>
      </c>
    </row>
    <row r="3283" spans="1:1" ht="18" customHeight="1">
      <c r="A3283" t="str">
        <f>""</f>
        <v/>
      </c>
    </row>
    <row r="3284" spans="1:1" ht="18" customHeight="1">
      <c r="A3284" t="str">
        <f>IF(Generation!$B87,"  &lt;item ident=""il_0_qst_"&amp;TEXT(Generation!$A87,"000")&amp;""" title="""&amp;Generation!$F87&amp;"""&gt;","")</f>
        <v/>
      </c>
    </row>
    <row r="3285" spans="1:1" ht="18" customHeight="1">
      <c r="A3285" t="str">
        <f>IF(Generation!$B87,"    &lt;duration&gt;P0Y0M0DT0H1M0S&lt;/duration&gt;","")</f>
        <v/>
      </c>
    </row>
    <row r="3286" spans="1:1" ht="18" customHeight="1">
      <c r="A3286" t="str">
        <f>IF(Generation!$B87,"    &lt;itemmetadata&gt;","")</f>
        <v/>
      </c>
    </row>
    <row r="3287" spans="1:1" ht="18" customHeight="1">
      <c r="A3287" t="str">
        <f>IF(Generation!$B87,"      &lt;qtimetadata&gt;","")</f>
        <v/>
      </c>
    </row>
    <row r="3288" spans="1:1" ht="18" customHeight="1">
      <c r="A3288" t="str">
        <f>IF(Generation!$B87,"        &lt;qtimetadatafield&gt;&lt;fieldlabel&gt;ILIAS_VERSION&lt;/fieldlabel&gt;&lt;fieldentry&gt;8&lt;/fieldentry&gt;&lt;/qtimetadatafield&gt;","")</f>
        <v/>
      </c>
    </row>
    <row r="3289" spans="1:1" ht="18" customHeight="1">
      <c r="A3289" t="str">
        <f>IF(Generation!$B87,"        &lt;qtimetadatafield&gt;&lt;fieldlabel&gt;QUESTIONTYPE&lt;/fieldlabel&gt;&lt;fieldentry&gt;"&amp;Generation!$D87&amp;"&lt;/fieldentry&gt;&lt;/qtimetadatafield&gt;","")</f>
        <v/>
      </c>
    </row>
    <row r="3290" spans="1:1" ht="18" customHeight="1">
      <c r="A3290" t="str">
        <f>IF(Generation!$B87,"        &lt;qtimetadatafield&gt;&lt;fieldlabel&gt;AUTHOR&lt;/fieldlabel&gt;&lt;fieldentry&gt;Générateur Excel QTI&lt;/fieldentry&gt;&lt;/qtimetadatafield&gt;","")</f>
        <v/>
      </c>
    </row>
    <row r="3291" spans="1:1" ht="18" customHeight="1">
      <c r="A3291" t="str">
        <f>IF(Generation!$B87,"        &lt;qtimetadatafield&gt;&lt;fieldlabel&gt;identicalScoring&lt;/fieldlabel&gt;&lt;fieldentry&gt;1&lt;/fieldentry&gt;&lt;/qtimetadatafield&gt;","")</f>
        <v/>
      </c>
    </row>
    <row r="3292" spans="1:1" ht="18" customHeight="1">
      <c r="A3292" t="str">
        <f>IF(Generation!$B87,"      &lt;/qtimetadata&gt;","")</f>
        <v/>
      </c>
    </row>
    <row r="3293" spans="1:1" ht="18" customHeight="1">
      <c r="A3293" t="str">
        <f>IF(Generation!$B87,"    &lt;/itemmetadata&gt;","")</f>
        <v/>
      </c>
    </row>
    <row r="3294" spans="1:1" ht="18" customHeight="1">
      <c r="A3294" t="str">
        <f>IF(Generation!$B87,"    &lt;presentation label="""&amp;Generation!$F87&amp;"""&gt;","")</f>
        <v/>
      </c>
    </row>
    <row r="3295" spans="1:1" ht="18" customHeight="1">
      <c r="A3295" t="str">
        <f>IF(Generation!$B87,"      &lt;material&gt;&lt;mattext texttype=""text/html""&gt;"&amp;Generation!$G87&amp;"&lt;/mattext&gt;&lt;/material&gt;","")</f>
        <v/>
      </c>
    </row>
    <row r="3296" spans="1:1" ht="18" customHeight="1">
      <c r="A3296" t="str">
        <f>IF(Generation!$B87,"      &lt;response_lid ident=""RESPONSE"" rcardinality="""&amp;Generation!$E87&amp;"""&gt;","")</f>
        <v/>
      </c>
    </row>
    <row r="3297" spans="1:1" ht="18" customHeight="1">
      <c r="A3297" t="str">
        <f>IF(Generation!$B87,"        &lt;render_choice shuffle=""No""&gt;","")</f>
        <v/>
      </c>
    </row>
    <row r="3298" spans="1:1" ht="18" customHeight="1">
      <c r="A3298" t="str">
        <f>IF(Generation!AB87="","",Generation!AB87)</f>
        <v/>
      </c>
    </row>
    <row r="3299" spans="1:1" ht="18" customHeight="1">
      <c r="A3299" t="str">
        <f>IF(Generation!AC87="","",Generation!AC87)</f>
        <v/>
      </c>
    </row>
    <row r="3300" spans="1:1" ht="18" customHeight="1">
      <c r="A3300" t="str">
        <f>IF(Generation!AD87="","",Generation!AD87)</f>
        <v/>
      </c>
    </row>
    <row r="3301" spans="1:1" ht="18" customHeight="1">
      <c r="A3301" t="str">
        <f>IF(Generation!AE87="","",Generation!AE87)</f>
        <v/>
      </c>
    </row>
    <row r="3302" spans="1:1" ht="18" customHeight="1">
      <c r="A3302" t="str">
        <f>IF(Generation!AF87="","",Generation!AF87)</f>
        <v/>
      </c>
    </row>
    <row r="3303" spans="1:1" ht="18" customHeight="1">
      <c r="A3303" t="str">
        <f>IF(Generation!AG87="","",Generation!AG87)</f>
        <v/>
      </c>
    </row>
    <row r="3304" spans="1:1" ht="18" customHeight="1">
      <c r="A3304" t="str">
        <f>IF(Generation!AH87="","",Generation!AH87)</f>
        <v/>
      </c>
    </row>
    <row r="3305" spans="1:1" ht="18" customHeight="1">
      <c r="A3305" t="str">
        <f>IF(Generation!AI87="","",Generation!AI87)</f>
        <v/>
      </c>
    </row>
    <row r="3306" spans="1:1" ht="18" customHeight="1">
      <c r="A3306" t="str">
        <f>IF(Generation!$B87,"        &lt;/render_choice&gt;","")</f>
        <v/>
      </c>
    </row>
    <row r="3307" spans="1:1" ht="18" customHeight="1">
      <c r="A3307" t="str">
        <f>IF(Generation!$B87,"      &lt;/response_lid&gt;","")</f>
        <v/>
      </c>
    </row>
    <row r="3308" spans="1:1" ht="18" customHeight="1">
      <c r="A3308" t="str">
        <f>IF(Generation!$B87,"    &lt;/presentation&gt;","")</f>
        <v/>
      </c>
    </row>
    <row r="3309" spans="1:1" ht="18" customHeight="1">
      <c r="A3309" t="str">
        <f>IF(Generation!$B87,"    &lt;resprocessing&gt;","")</f>
        <v/>
      </c>
    </row>
    <row r="3310" spans="1:1" ht="18" customHeight="1">
      <c r="A3310" t="str">
        <f>IF(Generation!$B87,"      &lt;outcomes&gt;&lt;decvar varname=""SCORE"" vartype=""Decimal"" minvalue=""0"" maxvalue="""&amp;Generation!$H87&amp;"""/&gt;&lt;/outcomes&gt;","")</f>
        <v/>
      </c>
    </row>
    <row r="3311" spans="1:1" ht="18" customHeight="1">
      <c r="A3311" t="str">
        <f>IF(Generation!AJ87="","",Generation!AJ87)</f>
        <v/>
      </c>
    </row>
    <row r="3312" spans="1:1" ht="18" customHeight="1">
      <c r="A3312" t="str">
        <f>IF(Generation!AK87="","",Generation!AK87)</f>
        <v/>
      </c>
    </row>
    <row r="3313" spans="1:1" ht="18" customHeight="1">
      <c r="A3313" t="str">
        <f>IF(Generation!AL87="","",Generation!AL87)</f>
        <v/>
      </c>
    </row>
    <row r="3314" spans="1:1" ht="18" customHeight="1">
      <c r="A3314" t="str">
        <f>IF(Generation!AM87="","",Generation!AM87)</f>
        <v/>
      </c>
    </row>
    <row r="3315" spans="1:1" ht="18" customHeight="1">
      <c r="A3315" t="str">
        <f>IF(Generation!AN87="","",Generation!AN87)</f>
        <v/>
      </c>
    </row>
    <row r="3316" spans="1:1" ht="18" customHeight="1">
      <c r="A3316" t="str">
        <f>IF(Generation!AO87="","",Generation!AO87)</f>
        <v/>
      </c>
    </row>
    <row r="3317" spans="1:1" ht="18" customHeight="1">
      <c r="A3317" t="str">
        <f>IF(Generation!AP87="","",Generation!AP87)</f>
        <v/>
      </c>
    </row>
    <row r="3318" spans="1:1" ht="18" customHeight="1">
      <c r="A3318" t="str">
        <f>IF(Generation!AQ87="","",Generation!AQ87)</f>
        <v/>
      </c>
    </row>
    <row r="3319" spans="1:1" ht="18" customHeight="1">
      <c r="A3319" t="str">
        <f>IF(Generation!$B87,"    &lt;/resprocessing&gt;","")</f>
        <v/>
      </c>
    </row>
    <row r="3320" spans="1:1" ht="18" customHeight="1">
      <c r="A3320" t="str">
        <f>IF(Generation!$B87,"    &lt;itemfeedback ident=""response""&gt;&lt;flow_mat&gt;&lt;material&gt;&lt;mattext texttype=""text/plain""&gt;&lt;/mattext&gt;&lt;/material&gt;&lt;/flow_mat&gt;&lt;/itemfeedback&gt;","")</f>
        <v/>
      </c>
    </row>
    <row r="3321" spans="1:1" ht="18" customHeight="1">
      <c r="A3321" t="str">
        <f>IF(Generation!$B87,"  &lt;/item&gt;","")</f>
        <v/>
      </c>
    </row>
    <row r="3322" spans="1:1" ht="18" customHeight="1">
      <c r="A3322" t="str">
        <f>IF(Generation!$B87,"","")</f>
        <v/>
      </c>
    </row>
    <row r="3323" spans="1:1" ht="18" customHeight="1">
      <c r="A3323" t="str">
        <f>""</f>
        <v/>
      </c>
    </row>
    <row r="3324" spans="1:1" ht="18" customHeight="1">
      <c r="A3324" t="str">
        <f>IF(Generation!$B88,"  &lt;item ident=""il_0_qst_"&amp;TEXT(Generation!$A88,"000")&amp;""" title="""&amp;Generation!$F88&amp;"""&gt;","")</f>
        <v/>
      </c>
    </row>
    <row r="3325" spans="1:1" ht="18" customHeight="1">
      <c r="A3325" t="str">
        <f>IF(Generation!$B88,"    &lt;duration&gt;P0Y0M0DT0H1M0S&lt;/duration&gt;","")</f>
        <v/>
      </c>
    </row>
    <row r="3326" spans="1:1" ht="18" customHeight="1">
      <c r="A3326" t="str">
        <f>IF(Generation!$B88,"    &lt;itemmetadata&gt;","")</f>
        <v/>
      </c>
    </row>
    <row r="3327" spans="1:1" ht="18" customHeight="1">
      <c r="A3327" t="str">
        <f>IF(Generation!$B88,"      &lt;qtimetadata&gt;","")</f>
        <v/>
      </c>
    </row>
    <row r="3328" spans="1:1" ht="18" customHeight="1">
      <c r="A3328" t="str">
        <f>IF(Generation!$B88,"        &lt;qtimetadatafield&gt;&lt;fieldlabel&gt;ILIAS_VERSION&lt;/fieldlabel&gt;&lt;fieldentry&gt;8&lt;/fieldentry&gt;&lt;/qtimetadatafield&gt;","")</f>
        <v/>
      </c>
    </row>
    <row r="3329" spans="1:1" ht="18" customHeight="1">
      <c r="A3329" t="str">
        <f>IF(Generation!$B88,"        &lt;qtimetadatafield&gt;&lt;fieldlabel&gt;QUESTIONTYPE&lt;/fieldlabel&gt;&lt;fieldentry&gt;"&amp;Generation!$D88&amp;"&lt;/fieldentry&gt;&lt;/qtimetadatafield&gt;","")</f>
        <v/>
      </c>
    </row>
    <row r="3330" spans="1:1" ht="18" customHeight="1">
      <c r="A3330" t="str">
        <f>IF(Generation!$B88,"        &lt;qtimetadatafield&gt;&lt;fieldlabel&gt;AUTHOR&lt;/fieldlabel&gt;&lt;fieldentry&gt;Générateur Excel QTI&lt;/fieldentry&gt;&lt;/qtimetadatafield&gt;","")</f>
        <v/>
      </c>
    </row>
    <row r="3331" spans="1:1" ht="18" customHeight="1">
      <c r="A3331" t="str">
        <f>IF(Generation!$B88,"        &lt;qtimetadatafield&gt;&lt;fieldlabel&gt;identicalScoring&lt;/fieldlabel&gt;&lt;fieldentry&gt;1&lt;/fieldentry&gt;&lt;/qtimetadatafield&gt;","")</f>
        <v/>
      </c>
    </row>
    <row r="3332" spans="1:1" ht="18" customHeight="1">
      <c r="A3332" t="str">
        <f>IF(Generation!$B88,"      &lt;/qtimetadata&gt;","")</f>
        <v/>
      </c>
    </row>
    <row r="3333" spans="1:1" ht="18" customHeight="1">
      <c r="A3333" t="str">
        <f>IF(Generation!$B88,"    &lt;/itemmetadata&gt;","")</f>
        <v/>
      </c>
    </row>
    <row r="3334" spans="1:1" ht="18" customHeight="1">
      <c r="A3334" t="str">
        <f>IF(Generation!$B88,"    &lt;presentation label="""&amp;Generation!$F88&amp;"""&gt;","")</f>
        <v/>
      </c>
    </row>
    <row r="3335" spans="1:1" ht="18" customHeight="1">
      <c r="A3335" t="str">
        <f>IF(Generation!$B88,"      &lt;material&gt;&lt;mattext texttype=""text/html""&gt;"&amp;Generation!$G88&amp;"&lt;/mattext&gt;&lt;/material&gt;","")</f>
        <v/>
      </c>
    </row>
    <row r="3336" spans="1:1" ht="18" customHeight="1">
      <c r="A3336" t="str">
        <f>IF(Generation!$B88,"      &lt;response_lid ident=""RESPONSE"" rcardinality="""&amp;Generation!$E88&amp;"""&gt;","")</f>
        <v/>
      </c>
    </row>
    <row r="3337" spans="1:1" ht="18" customHeight="1">
      <c r="A3337" t="str">
        <f>IF(Generation!$B88,"        &lt;render_choice shuffle=""No""&gt;","")</f>
        <v/>
      </c>
    </row>
    <row r="3338" spans="1:1" ht="18" customHeight="1">
      <c r="A3338" t="str">
        <f>IF(Generation!AB88="","",Generation!AB88)</f>
        <v/>
      </c>
    </row>
    <row r="3339" spans="1:1" ht="18" customHeight="1">
      <c r="A3339" t="str">
        <f>IF(Generation!AC88="","",Generation!AC88)</f>
        <v/>
      </c>
    </row>
    <row r="3340" spans="1:1" ht="18" customHeight="1">
      <c r="A3340" t="str">
        <f>IF(Generation!AD88="","",Generation!AD88)</f>
        <v/>
      </c>
    </row>
    <row r="3341" spans="1:1" ht="18" customHeight="1">
      <c r="A3341" t="str">
        <f>IF(Generation!AE88="","",Generation!AE88)</f>
        <v/>
      </c>
    </row>
    <row r="3342" spans="1:1" ht="18" customHeight="1">
      <c r="A3342" t="str">
        <f>IF(Generation!AF88="","",Generation!AF88)</f>
        <v/>
      </c>
    </row>
    <row r="3343" spans="1:1" ht="18" customHeight="1">
      <c r="A3343" t="str">
        <f>IF(Generation!AG88="","",Generation!AG88)</f>
        <v/>
      </c>
    </row>
    <row r="3344" spans="1:1" ht="18" customHeight="1">
      <c r="A3344" t="str">
        <f>IF(Generation!AH88="","",Generation!AH88)</f>
        <v/>
      </c>
    </row>
    <row r="3345" spans="1:1" ht="18" customHeight="1">
      <c r="A3345" t="str">
        <f>IF(Generation!AI88="","",Generation!AI88)</f>
        <v/>
      </c>
    </row>
    <row r="3346" spans="1:1" ht="18" customHeight="1">
      <c r="A3346" t="str">
        <f>IF(Generation!$B88,"        &lt;/render_choice&gt;","")</f>
        <v/>
      </c>
    </row>
    <row r="3347" spans="1:1" ht="18" customHeight="1">
      <c r="A3347" t="str">
        <f>IF(Generation!$B88,"      &lt;/response_lid&gt;","")</f>
        <v/>
      </c>
    </row>
    <row r="3348" spans="1:1" ht="18" customHeight="1">
      <c r="A3348" t="str">
        <f>IF(Generation!$B88,"    &lt;/presentation&gt;","")</f>
        <v/>
      </c>
    </row>
    <row r="3349" spans="1:1" ht="18" customHeight="1">
      <c r="A3349" t="str">
        <f>IF(Generation!$B88,"    &lt;resprocessing&gt;","")</f>
        <v/>
      </c>
    </row>
    <row r="3350" spans="1:1" ht="18" customHeight="1">
      <c r="A3350" t="str">
        <f>IF(Generation!$B88,"      &lt;outcomes&gt;&lt;decvar varname=""SCORE"" vartype=""Decimal"" minvalue=""0"" maxvalue="""&amp;Generation!$H88&amp;"""/&gt;&lt;/outcomes&gt;","")</f>
        <v/>
      </c>
    </row>
    <row r="3351" spans="1:1" ht="18" customHeight="1">
      <c r="A3351" t="str">
        <f>IF(Generation!AJ88="","",Generation!AJ88)</f>
        <v/>
      </c>
    </row>
    <row r="3352" spans="1:1" ht="18" customHeight="1">
      <c r="A3352" t="str">
        <f>IF(Generation!AK88="","",Generation!AK88)</f>
        <v/>
      </c>
    </row>
    <row r="3353" spans="1:1" ht="18" customHeight="1">
      <c r="A3353" t="str">
        <f>IF(Generation!AL88="","",Generation!AL88)</f>
        <v/>
      </c>
    </row>
    <row r="3354" spans="1:1" ht="18" customHeight="1">
      <c r="A3354" t="str">
        <f>IF(Generation!AM88="","",Generation!AM88)</f>
        <v/>
      </c>
    </row>
    <row r="3355" spans="1:1" ht="18" customHeight="1">
      <c r="A3355" t="str">
        <f>IF(Generation!AN88="","",Generation!AN88)</f>
        <v/>
      </c>
    </row>
    <row r="3356" spans="1:1" ht="18" customHeight="1">
      <c r="A3356" t="str">
        <f>IF(Generation!AO88="","",Generation!AO88)</f>
        <v/>
      </c>
    </row>
    <row r="3357" spans="1:1" ht="18" customHeight="1">
      <c r="A3357" t="str">
        <f>IF(Generation!AP88="","",Generation!AP88)</f>
        <v/>
      </c>
    </row>
    <row r="3358" spans="1:1" ht="18" customHeight="1">
      <c r="A3358" t="str">
        <f>IF(Generation!AQ88="","",Generation!AQ88)</f>
        <v/>
      </c>
    </row>
    <row r="3359" spans="1:1" ht="18" customHeight="1">
      <c r="A3359" t="str">
        <f>IF(Generation!$B88,"    &lt;/resprocessing&gt;","")</f>
        <v/>
      </c>
    </row>
    <row r="3360" spans="1:1" ht="18" customHeight="1">
      <c r="A3360" t="str">
        <f>IF(Generation!$B88,"    &lt;itemfeedback ident=""response""&gt;&lt;flow_mat&gt;&lt;material&gt;&lt;mattext texttype=""text/plain""&gt;&lt;/mattext&gt;&lt;/material&gt;&lt;/flow_mat&gt;&lt;/itemfeedback&gt;","")</f>
        <v/>
      </c>
    </row>
    <row r="3361" spans="1:1" ht="18" customHeight="1">
      <c r="A3361" t="str">
        <f>IF(Generation!$B88,"  &lt;/item&gt;","")</f>
        <v/>
      </c>
    </row>
    <row r="3362" spans="1:1" ht="18" customHeight="1">
      <c r="A3362" t="str">
        <f>IF(Generation!$B88,"","")</f>
        <v/>
      </c>
    </row>
    <row r="3363" spans="1:1" ht="18" customHeight="1">
      <c r="A3363" t="str">
        <f>""</f>
        <v/>
      </c>
    </row>
    <row r="3364" spans="1:1" ht="18" customHeight="1">
      <c r="A3364" t="str">
        <f>IF(Generation!$B89,"  &lt;item ident=""il_0_qst_"&amp;TEXT(Generation!$A89,"000")&amp;""" title="""&amp;Generation!$F89&amp;"""&gt;","")</f>
        <v/>
      </c>
    </row>
    <row r="3365" spans="1:1" ht="18" customHeight="1">
      <c r="A3365" t="str">
        <f>IF(Generation!$B89,"    &lt;duration&gt;P0Y0M0DT0H1M0S&lt;/duration&gt;","")</f>
        <v/>
      </c>
    </row>
    <row r="3366" spans="1:1" ht="18" customHeight="1">
      <c r="A3366" t="str">
        <f>IF(Generation!$B89,"    &lt;itemmetadata&gt;","")</f>
        <v/>
      </c>
    </row>
    <row r="3367" spans="1:1" ht="18" customHeight="1">
      <c r="A3367" t="str">
        <f>IF(Generation!$B89,"      &lt;qtimetadata&gt;","")</f>
        <v/>
      </c>
    </row>
    <row r="3368" spans="1:1" ht="18" customHeight="1">
      <c r="A3368" t="str">
        <f>IF(Generation!$B89,"        &lt;qtimetadatafield&gt;&lt;fieldlabel&gt;ILIAS_VERSION&lt;/fieldlabel&gt;&lt;fieldentry&gt;8&lt;/fieldentry&gt;&lt;/qtimetadatafield&gt;","")</f>
        <v/>
      </c>
    </row>
    <row r="3369" spans="1:1" ht="18" customHeight="1">
      <c r="A3369" t="str">
        <f>IF(Generation!$B89,"        &lt;qtimetadatafield&gt;&lt;fieldlabel&gt;QUESTIONTYPE&lt;/fieldlabel&gt;&lt;fieldentry&gt;"&amp;Generation!$D89&amp;"&lt;/fieldentry&gt;&lt;/qtimetadatafield&gt;","")</f>
        <v/>
      </c>
    </row>
    <row r="3370" spans="1:1" ht="18" customHeight="1">
      <c r="A3370" t="str">
        <f>IF(Generation!$B89,"        &lt;qtimetadatafield&gt;&lt;fieldlabel&gt;AUTHOR&lt;/fieldlabel&gt;&lt;fieldentry&gt;Générateur Excel QTI&lt;/fieldentry&gt;&lt;/qtimetadatafield&gt;","")</f>
        <v/>
      </c>
    </row>
    <row r="3371" spans="1:1" ht="18" customHeight="1">
      <c r="A3371" t="str">
        <f>IF(Generation!$B89,"        &lt;qtimetadatafield&gt;&lt;fieldlabel&gt;identicalScoring&lt;/fieldlabel&gt;&lt;fieldentry&gt;1&lt;/fieldentry&gt;&lt;/qtimetadatafield&gt;","")</f>
        <v/>
      </c>
    </row>
    <row r="3372" spans="1:1" ht="18" customHeight="1">
      <c r="A3372" t="str">
        <f>IF(Generation!$B89,"      &lt;/qtimetadata&gt;","")</f>
        <v/>
      </c>
    </row>
    <row r="3373" spans="1:1" ht="18" customHeight="1">
      <c r="A3373" t="str">
        <f>IF(Generation!$B89,"    &lt;/itemmetadata&gt;","")</f>
        <v/>
      </c>
    </row>
    <row r="3374" spans="1:1" ht="18" customHeight="1">
      <c r="A3374" t="str">
        <f>IF(Generation!$B89,"    &lt;presentation label="""&amp;Generation!$F89&amp;"""&gt;","")</f>
        <v/>
      </c>
    </row>
    <row r="3375" spans="1:1" ht="18" customHeight="1">
      <c r="A3375" t="str">
        <f>IF(Generation!$B89,"      &lt;material&gt;&lt;mattext texttype=""text/html""&gt;"&amp;Generation!$G89&amp;"&lt;/mattext&gt;&lt;/material&gt;","")</f>
        <v/>
      </c>
    </row>
    <row r="3376" spans="1:1" ht="18" customHeight="1">
      <c r="A3376" t="str">
        <f>IF(Generation!$B89,"      &lt;response_lid ident=""RESPONSE"" rcardinality="""&amp;Generation!$E89&amp;"""&gt;","")</f>
        <v/>
      </c>
    </row>
    <row r="3377" spans="1:1" ht="18" customHeight="1">
      <c r="A3377" t="str">
        <f>IF(Generation!$B89,"        &lt;render_choice shuffle=""No""&gt;","")</f>
        <v/>
      </c>
    </row>
    <row r="3378" spans="1:1" ht="18" customHeight="1">
      <c r="A3378" t="str">
        <f>IF(Generation!AB89="","",Generation!AB89)</f>
        <v/>
      </c>
    </row>
    <row r="3379" spans="1:1" ht="18" customHeight="1">
      <c r="A3379" t="str">
        <f>IF(Generation!AC89="","",Generation!AC89)</f>
        <v/>
      </c>
    </row>
    <row r="3380" spans="1:1" ht="18" customHeight="1">
      <c r="A3380" t="str">
        <f>IF(Generation!AD89="","",Generation!AD89)</f>
        <v/>
      </c>
    </row>
    <row r="3381" spans="1:1" ht="18" customHeight="1">
      <c r="A3381" t="str">
        <f>IF(Generation!AE89="","",Generation!AE89)</f>
        <v/>
      </c>
    </row>
    <row r="3382" spans="1:1" ht="18" customHeight="1">
      <c r="A3382" t="str">
        <f>IF(Generation!AF89="","",Generation!AF89)</f>
        <v/>
      </c>
    </row>
    <row r="3383" spans="1:1" ht="18" customHeight="1">
      <c r="A3383" t="str">
        <f>IF(Generation!AG89="","",Generation!AG89)</f>
        <v/>
      </c>
    </row>
    <row r="3384" spans="1:1" ht="18" customHeight="1">
      <c r="A3384" t="str">
        <f>IF(Generation!AH89="","",Generation!AH89)</f>
        <v/>
      </c>
    </row>
    <row r="3385" spans="1:1" ht="18" customHeight="1">
      <c r="A3385" t="str">
        <f>IF(Generation!AI89="","",Generation!AI89)</f>
        <v/>
      </c>
    </row>
    <row r="3386" spans="1:1" ht="18" customHeight="1">
      <c r="A3386" t="str">
        <f>IF(Generation!$B89,"        &lt;/render_choice&gt;","")</f>
        <v/>
      </c>
    </row>
    <row r="3387" spans="1:1" ht="18" customHeight="1">
      <c r="A3387" t="str">
        <f>IF(Generation!$B89,"      &lt;/response_lid&gt;","")</f>
        <v/>
      </c>
    </row>
    <row r="3388" spans="1:1" ht="18" customHeight="1">
      <c r="A3388" t="str">
        <f>IF(Generation!$B89,"    &lt;/presentation&gt;","")</f>
        <v/>
      </c>
    </row>
    <row r="3389" spans="1:1" ht="18" customHeight="1">
      <c r="A3389" t="str">
        <f>IF(Generation!$B89,"    &lt;resprocessing&gt;","")</f>
        <v/>
      </c>
    </row>
    <row r="3390" spans="1:1" ht="18" customHeight="1">
      <c r="A3390" t="str">
        <f>IF(Generation!$B89,"      &lt;outcomes&gt;&lt;decvar varname=""SCORE"" vartype=""Decimal"" minvalue=""0"" maxvalue="""&amp;Generation!$H89&amp;"""/&gt;&lt;/outcomes&gt;","")</f>
        <v/>
      </c>
    </row>
    <row r="3391" spans="1:1" ht="18" customHeight="1">
      <c r="A3391" t="str">
        <f>IF(Generation!AJ89="","",Generation!AJ89)</f>
        <v/>
      </c>
    </row>
    <row r="3392" spans="1:1" ht="18" customHeight="1">
      <c r="A3392" t="str">
        <f>IF(Generation!AK89="","",Generation!AK89)</f>
        <v/>
      </c>
    </row>
    <row r="3393" spans="1:1" ht="18" customHeight="1">
      <c r="A3393" t="str">
        <f>IF(Generation!AL89="","",Generation!AL89)</f>
        <v/>
      </c>
    </row>
    <row r="3394" spans="1:1" ht="18" customHeight="1">
      <c r="A3394" t="str">
        <f>IF(Generation!AM89="","",Generation!AM89)</f>
        <v/>
      </c>
    </row>
    <row r="3395" spans="1:1" ht="18" customHeight="1">
      <c r="A3395" t="str">
        <f>IF(Generation!AN89="","",Generation!AN89)</f>
        <v/>
      </c>
    </row>
    <row r="3396" spans="1:1" ht="18" customHeight="1">
      <c r="A3396" t="str">
        <f>IF(Generation!AO89="","",Generation!AO89)</f>
        <v/>
      </c>
    </row>
    <row r="3397" spans="1:1" ht="18" customHeight="1">
      <c r="A3397" t="str">
        <f>IF(Generation!AP89="","",Generation!AP89)</f>
        <v/>
      </c>
    </row>
    <row r="3398" spans="1:1" ht="18" customHeight="1">
      <c r="A3398" t="str">
        <f>IF(Generation!AQ89="","",Generation!AQ89)</f>
        <v/>
      </c>
    </row>
    <row r="3399" spans="1:1" ht="18" customHeight="1">
      <c r="A3399" t="str">
        <f>IF(Generation!$B89,"    &lt;/resprocessing&gt;","")</f>
        <v/>
      </c>
    </row>
    <row r="3400" spans="1:1" ht="18" customHeight="1">
      <c r="A3400" t="str">
        <f>IF(Generation!$B89,"    &lt;itemfeedback ident=""response""&gt;&lt;flow_mat&gt;&lt;material&gt;&lt;mattext texttype=""text/plain""&gt;&lt;/mattext&gt;&lt;/material&gt;&lt;/flow_mat&gt;&lt;/itemfeedback&gt;","")</f>
        <v/>
      </c>
    </row>
    <row r="3401" spans="1:1" ht="18" customHeight="1">
      <c r="A3401" t="str">
        <f>IF(Generation!$B89,"  &lt;/item&gt;","")</f>
        <v/>
      </c>
    </row>
    <row r="3402" spans="1:1" ht="18" customHeight="1">
      <c r="A3402" t="str">
        <f>IF(Generation!$B89,"","")</f>
        <v/>
      </c>
    </row>
    <row r="3403" spans="1:1" ht="18" customHeight="1">
      <c r="A3403" t="str">
        <f>""</f>
        <v/>
      </c>
    </row>
    <row r="3404" spans="1:1" ht="18" customHeight="1">
      <c r="A3404" t="str">
        <f>IF(Generation!$B90,"  &lt;item ident=""il_0_qst_"&amp;TEXT(Generation!$A90,"000")&amp;""" title="""&amp;Generation!$F90&amp;"""&gt;","")</f>
        <v/>
      </c>
    </row>
    <row r="3405" spans="1:1" ht="18" customHeight="1">
      <c r="A3405" t="str">
        <f>IF(Generation!$B90,"    &lt;duration&gt;P0Y0M0DT0H1M0S&lt;/duration&gt;","")</f>
        <v/>
      </c>
    </row>
    <row r="3406" spans="1:1" ht="18" customHeight="1">
      <c r="A3406" t="str">
        <f>IF(Generation!$B90,"    &lt;itemmetadata&gt;","")</f>
        <v/>
      </c>
    </row>
    <row r="3407" spans="1:1" ht="18" customHeight="1">
      <c r="A3407" t="str">
        <f>IF(Generation!$B90,"      &lt;qtimetadata&gt;","")</f>
        <v/>
      </c>
    </row>
    <row r="3408" spans="1:1" ht="18" customHeight="1">
      <c r="A3408" t="str">
        <f>IF(Generation!$B90,"        &lt;qtimetadatafield&gt;&lt;fieldlabel&gt;ILIAS_VERSION&lt;/fieldlabel&gt;&lt;fieldentry&gt;8&lt;/fieldentry&gt;&lt;/qtimetadatafield&gt;","")</f>
        <v/>
      </c>
    </row>
    <row r="3409" spans="1:1" ht="18" customHeight="1">
      <c r="A3409" t="str">
        <f>IF(Generation!$B90,"        &lt;qtimetadatafield&gt;&lt;fieldlabel&gt;QUESTIONTYPE&lt;/fieldlabel&gt;&lt;fieldentry&gt;"&amp;Generation!$D90&amp;"&lt;/fieldentry&gt;&lt;/qtimetadatafield&gt;","")</f>
        <v/>
      </c>
    </row>
    <row r="3410" spans="1:1" ht="18" customHeight="1">
      <c r="A3410" t="str">
        <f>IF(Generation!$B90,"        &lt;qtimetadatafield&gt;&lt;fieldlabel&gt;AUTHOR&lt;/fieldlabel&gt;&lt;fieldentry&gt;Générateur Excel QTI&lt;/fieldentry&gt;&lt;/qtimetadatafield&gt;","")</f>
        <v/>
      </c>
    </row>
    <row r="3411" spans="1:1" ht="18" customHeight="1">
      <c r="A3411" t="str">
        <f>IF(Generation!$B90,"        &lt;qtimetadatafield&gt;&lt;fieldlabel&gt;identicalScoring&lt;/fieldlabel&gt;&lt;fieldentry&gt;1&lt;/fieldentry&gt;&lt;/qtimetadatafield&gt;","")</f>
        <v/>
      </c>
    </row>
    <row r="3412" spans="1:1" ht="18" customHeight="1">
      <c r="A3412" t="str">
        <f>IF(Generation!$B90,"      &lt;/qtimetadata&gt;","")</f>
        <v/>
      </c>
    </row>
    <row r="3413" spans="1:1" ht="18" customHeight="1">
      <c r="A3413" t="str">
        <f>IF(Generation!$B90,"    &lt;/itemmetadata&gt;","")</f>
        <v/>
      </c>
    </row>
    <row r="3414" spans="1:1" ht="18" customHeight="1">
      <c r="A3414" t="str">
        <f>IF(Generation!$B90,"    &lt;presentation label="""&amp;Generation!$F90&amp;"""&gt;","")</f>
        <v/>
      </c>
    </row>
    <row r="3415" spans="1:1" ht="18" customHeight="1">
      <c r="A3415" t="str">
        <f>IF(Generation!$B90,"      &lt;material&gt;&lt;mattext texttype=""text/html""&gt;"&amp;Generation!$G90&amp;"&lt;/mattext&gt;&lt;/material&gt;","")</f>
        <v/>
      </c>
    </row>
    <row r="3416" spans="1:1" ht="18" customHeight="1">
      <c r="A3416" t="str">
        <f>IF(Generation!$B90,"      &lt;response_lid ident=""RESPONSE"" rcardinality="""&amp;Generation!$E90&amp;"""&gt;","")</f>
        <v/>
      </c>
    </row>
    <row r="3417" spans="1:1" ht="18" customHeight="1">
      <c r="A3417" t="str">
        <f>IF(Generation!$B90,"        &lt;render_choice shuffle=""No""&gt;","")</f>
        <v/>
      </c>
    </row>
    <row r="3418" spans="1:1" ht="18" customHeight="1">
      <c r="A3418" t="str">
        <f>IF(Generation!AB90="","",Generation!AB90)</f>
        <v/>
      </c>
    </row>
    <row r="3419" spans="1:1" ht="18" customHeight="1">
      <c r="A3419" t="str">
        <f>IF(Generation!AC90="","",Generation!AC90)</f>
        <v/>
      </c>
    </row>
    <row r="3420" spans="1:1" ht="18" customHeight="1">
      <c r="A3420" t="str">
        <f>IF(Generation!AD90="","",Generation!AD90)</f>
        <v/>
      </c>
    </row>
    <row r="3421" spans="1:1" ht="18" customHeight="1">
      <c r="A3421" t="str">
        <f>IF(Generation!AE90="","",Generation!AE90)</f>
        <v/>
      </c>
    </row>
    <row r="3422" spans="1:1" ht="18" customHeight="1">
      <c r="A3422" t="str">
        <f>IF(Generation!AF90="","",Generation!AF90)</f>
        <v/>
      </c>
    </row>
    <row r="3423" spans="1:1" ht="18" customHeight="1">
      <c r="A3423" t="str">
        <f>IF(Generation!AG90="","",Generation!AG90)</f>
        <v/>
      </c>
    </row>
    <row r="3424" spans="1:1" ht="18" customHeight="1">
      <c r="A3424" t="str">
        <f>IF(Generation!AH90="","",Generation!AH90)</f>
        <v/>
      </c>
    </row>
    <row r="3425" spans="1:1" ht="18" customHeight="1">
      <c r="A3425" t="str">
        <f>IF(Generation!AI90="","",Generation!AI90)</f>
        <v/>
      </c>
    </row>
    <row r="3426" spans="1:1" ht="18" customHeight="1">
      <c r="A3426" t="str">
        <f>IF(Generation!$B90,"        &lt;/render_choice&gt;","")</f>
        <v/>
      </c>
    </row>
    <row r="3427" spans="1:1" ht="18" customHeight="1">
      <c r="A3427" t="str">
        <f>IF(Generation!$B90,"      &lt;/response_lid&gt;","")</f>
        <v/>
      </c>
    </row>
    <row r="3428" spans="1:1" ht="18" customHeight="1">
      <c r="A3428" t="str">
        <f>IF(Generation!$B90,"    &lt;/presentation&gt;","")</f>
        <v/>
      </c>
    </row>
    <row r="3429" spans="1:1" ht="18" customHeight="1">
      <c r="A3429" t="str">
        <f>IF(Generation!$B90,"    &lt;resprocessing&gt;","")</f>
        <v/>
      </c>
    </row>
    <row r="3430" spans="1:1" ht="18" customHeight="1">
      <c r="A3430" t="str">
        <f>IF(Generation!$B90,"      &lt;outcomes&gt;&lt;decvar varname=""SCORE"" vartype=""Decimal"" minvalue=""0"" maxvalue="""&amp;Generation!$H90&amp;"""/&gt;&lt;/outcomes&gt;","")</f>
        <v/>
      </c>
    </row>
    <row r="3431" spans="1:1" ht="18" customHeight="1">
      <c r="A3431" t="str">
        <f>IF(Generation!AJ90="","",Generation!AJ90)</f>
        <v/>
      </c>
    </row>
    <row r="3432" spans="1:1" ht="18" customHeight="1">
      <c r="A3432" t="str">
        <f>IF(Generation!AK90="","",Generation!AK90)</f>
        <v/>
      </c>
    </row>
    <row r="3433" spans="1:1" ht="18" customHeight="1">
      <c r="A3433" t="str">
        <f>IF(Generation!AL90="","",Generation!AL90)</f>
        <v/>
      </c>
    </row>
    <row r="3434" spans="1:1" ht="18" customHeight="1">
      <c r="A3434" t="str">
        <f>IF(Generation!AM90="","",Generation!AM90)</f>
        <v/>
      </c>
    </row>
    <row r="3435" spans="1:1" ht="18" customHeight="1">
      <c r="A3435" t="str">
        <f>IF(Generation!AN90="","",Generation!AN90)</f>
        <v/>
      </c>
    </row>
    <row r="3436" spans="1:1" ht="18" customHeight="1">
      <c r="A3436" t="str">
        <f>IF(Generation!AO90="","",Generation!AO90)</f>
        <v/>
      </c>
    </row>
    <row r="3437" spans="1:1" ht="18" customHeight="1">
      <c r="A3437" t="str">
        <f>IF(Generation!AP90="","",Generation!AP90)</f>
        <v/>
      </c>
    </row>
    <row r="3438" spans="1:1" ht="18" customHeight="1">
      <c r="A3438" t="str">
        <f>IF(Generation!AQ90="","",Generation!AQ90)</f>
        <v/>
      </c>
    </row>
    <row r="3439" spans="1:1" ht="18" customHeight="1">
      <c r="A3439" t="str">
        <f>IF(Generation!$B90,"    &lt;/resprocessing&gt;","")</f>
        <v/>
      </c>
    </row>
    <row r="3440" spans="1:1" ht="18" customHeight="1">
      <c r="A3440" t="str">
        <f>IF(Generation!$B90,"    &lt;itemfeedback ident=""response""&gt;&lt;flow_mat&gt;&lt;material&gt;&lt;mattext texttype=""text/plain""&gt;&lt;/mattext&gt;&lt;/material&gt;&lt;/flow_mat&gt;&lt;/itemfeedback&gt;","")</f>
        <v/>
      </c>
    </row>
    <row r="3441" spans="1:1" ht="18" customHeight="1">
      <c r="A3441" t="str">
        <f>IF(Generation!$B90,"  &lt;/item&gt;","")</f>
        <v/>
      </c>
    </row>
    <row r="3442" spans="1:1" ht="18" customHeight="1">
      <c r="A3442" t="str">
        <f>IF(Generation!$B90,"","")</f>
        <v/>
      </c>
    </row>
    <row r="3443" spans="1:1" ht="18" customHeight="1">
      <c r="A3443" t="str">
        <f>""</f>
        <v/>
      </c>
    </row>
    <row r="3444" spans="1:1" ht="18" customHeight="1">
      <c r="A3444" t="str">
        <f>IF(Generation!$B91,"  &lt;item ident=""il_0_qst_"&amp;TEXT(Generation!$A91,"000")&amp;""" title="""&amp;Generation!$F91&amp;"""&gt;","")</f>
        <v/>
      </c>
    </row>
    <row r="3445" spans="1:1" ht="18" customHeight="1">
      <c r="A3445" t="str">
        <f>IF(Generation!$B91,"    &lt;duration&gt;P0Y0M0DT0H1M0S&lt;/duration&gt;","")</f>
        <v/>
      </c>
    </row>
    <row r="3446" spans="1:1" ht="18" customHeight="1">
      <c r="A3446" t="str">
        <f>IF(Generation!$B91,"    &lt;itemmetadata&gt;","")</f>
        <v/>
      </c>
    </row>
    <row r="3447" spans="1:1" ht="18" customHeight="1">
      <c r="A3447" t="str">
        <f>IF(Generation!$B91,"      &lt;qtimetadata&gt;","")</f>
        <v/>
      </c>
    </row>
    <row r="3448" spans="1:1" ht="18" customHeight="1">
      <c r="A3448" t="str">
        <f>IF(Generation!$B91,"        &lt;qtimetadatafield&gt;&lt;fieldlabel&gt;ILIAS_VERSION&lt;/fieldlabel&gt;&lt;fieldentry&gt;8&lt;/fieldentry&gt;&lt;/qtimetadatafield&gt;","")</f>
        <v/>
      </c>
    </row>
    <row r="3449" spans="1:1" ht="18" customHeight="1">
      <c r="A3449" t="str">
        <f>IF(Generation!$B91,"        &lt;qtimetadatafield&gt;&lt;fieldlabel&gt;QUESTIONTYPE&lt;/fieldlabel&gt;&lt;fieldentry&gt;"&amp;Generation!$D91&amp;"&lt;/fieldentry&gt;&lt;/qtimetadatafield&gt;","")</f>
        <v/>
      </c>
    </row>
    <row r="3450" spans="1:1" ht="18" customHeight="1">
      <c r="A3450" t="str">
        <f>IF(Generation!$B91,"        &lt;qtimetadatafield&gt;&lt;fieldlabel&gt;AUTHOR&lt;/fieldlabel&gt;&lt;fieldentry&gt;Générateur Excel QTI&lt;/fieldentry&gt;&lt;/qtimetadatafield&gt;","")</f>
        <v/>
      </c>
    </row>
    <row r="3451" spans="1:1" ht="18" customHeight="1">
      <c r="A3451" t="str">
        <f>IF(Generation!$B91,"        &lt;qtimetadatafield&gt;&lt;fieldlabel&gt;identicalScoring&lt;/fieldlabel&gt;&lt;fieldentry&gt;1&lt;/fieldentry&gt;&lt;/qtimetadatafield&gt;","")</f>
        <v/>
      </c>
    </row>
    <row r="3452" spans="1:1" ht="18" customHeight="1">
      <c r="A3452" t="str">
        <f>IF(Generation!$B91,"      &lt;/qtimetadata&gt;","")</f>
        <v/>
      </c>
    </row>
    <row r="3453" spans="1:1" ht="18" customHeight="1">
      <c r="A3453" t="str">
        <f>IF(Generation!$B91,"    &lt;/itemmetadata&gt;","")</f>
        <v/>
      </c>
    </row>
    <row r="3454" spans="1:1" ht="18" customHeight="1">
      <c r="A3454" t="str">
        <f>IF(Generation!$B91,"    &lt;presentation label="""&amp;Generation!$F91&amp;"""&gt;","")</f>
        <v/>
      </c>
    </row>
    <row r="3455" spans="1:1" ht="18" customHeight="1">
      <c r="A3455" t="str">
        <f>IF(Generation!$B91,"      &lt;material&gt;&lt;mattext texttype=""text/html""&gt;"&amp;Generation!$G91&amp;"&lt;/mattext&gt;&lt;/material&gt;","")</f>
        <v/>
      </c>
    </row>
    <row r="3456" spans="1:1" ht="18" customHeight="1">
      <c r="A3456" t="str">
        <f>IF(Generation!$B91,"      &lt;response_lid ident=""RESPONSE"" rcardinality="""&amp;Generation!$E91&amp;"""&gt;","")</f>
        <v/>
      </c>
    </row>
    <row r="3457" spans="1:1" ht="18" customHeight="1">
      <c r="A3457" t="str">
        <f>IF(Generation!$B91,"        &lt;render_choice shuffle=""No""&gt;","")</f>
        <v/>
      </c>
    </row>
    <row r="3458" spans="1:1" ht="18" customHeight="1">
      <c r="A3458" t="str">
        <f>IF(Generation!AB91="","",Generation!AB91)</f>
        <v/>
      </c>
    </row>
    <row r="3459" spans="1:1" ht="18" customHeight="1">
      <c r="A3459" t="str">
        <f>IF(Generation!AC91="","",Generation!AC91)</f>
        <v/>
      </c>
    </row>
    <row r="3460" spans="1:1" ht="18" customHeight="1">
      <c r="A3460" t="str">
        <f>IF(Generation!AD91="","",Generation!AD91)</f>
        <v/>
      </c>
    </row>
    <row r="3461" spans="1:1" ht="18" customHeight="1">
      <c r="A3461" t="str">
        <f>IF(Generation!AE91="","",Generation!AE91)</f>
        <v/>
      </c>
    </row>
    <row r="3462" spans="1:1" ht="18" customHeight="1">
      <c r="A3462" t="str">
        <f>IF(Generation!AF91="","",Generation!AF91)</f>
        <v/>
      </c>
    </row>
    <row r="3463" spans="1:1" ht="18" customHeight="1">
      <c r="A3463" t="str">
        <f>IF(Generation!AG91="","",Generation!AG91)</f>
        <v/>
      </c>
    </row>
    <row r="3464" spans="1:1" ht="18" customHeight="1">
      <c r="A3464" t="str">
        <f>IF(Generation!AH91="","",Generation!AH91)</f>
        <v/>
      </c>
    </row>
    <row r="3465" spans="1:1" ht="18" customHeight="1">
      <c r="A3465" t="str">
        <f>IF(Generation!AI91="","",Generation!AI91)</f>
        <v/>
      </c>
    </row>
    <row r="3466" spans="1:1" ht="18" customHeight="1">
      <c r="A3466" t="str">
        <f>IF(Generation!$B91,"        &lt;/render_choice&gt;","")</f>
        <v/>
      </c>
    </row>
    <row r="3467" spans="1:1" ht="18" customHeight="1">
      <c r="A3467" t="str">
        <f>IF(Generation!$B91,"      &lt;/response_lid&gt;","")</f>
        <v/>
      </c>
    </row>
    <row r="3468" spans="1:1" ht="18" customHeight="1">
      <c r="A3468" t="str">
        <f>IF(Generation!$B91,"    &lt;/presentation&gt;","")</f>
        <v/>
      </c>
    </row>
    <row r="3469" spans="1:1" ht="18" customHeight="1">
      <c r="A3469" t="str">
        <f>IF(Generation!$B91,"    &lt;resprocessing&gt;","")</f>
        <v/>
      </c>
    </row>
    <row r="3470" spans="1:1" ht="18" customHeight="1">
      <c r="A3470" t="str">
        <f>IF(Generation!$B91,"      &lt;outcomes&gt;&lt;decvar varname=""SCORE"" vartype=""Decimal"" minvalue=""0"" maxvalue="""&amp;Generation!$H91&amp;"""/&gt;&lt;/outcomes&gt;","")</f>
        <v/>
      </c>
    </row>
    <row r="3471" spans="1:1" ht="18" customHeight="1">
      <c r="A3471" t="str">
        <f>IF(Generation!AJ91="","",Generation!AJ91)</f>
        <v/>
      </c>
    </row>
    <row r="3472" spans="1:1" ht="18" customHeight="1">
      <c r="A3472" t="str">
        <f>IF(Generation!AK91="","",Generation!AK91)</f>
        <v/>
      </c>
    </row>
    <row r="3473" spans="1:1" ht="18" customHeight="1">
      <c r="A3473" t="str">
        <f>IF(Generation!AL91="","",Generation!AL91)</f>
        <v/>
      </c>
    </row>
    <row r="3474" spans="1:1" ht="18" customHeight="1">
      <c r="A3474" t="str">
        <f>IF(Generation!AM91="","",Generation!AM91)</f>
        <v/>
      </c>
    </row>
    <row r="3475" spans="1:1" ht="18" customHeight="1">
      <c r="A3475" t="str">
        <f>IF(Generation!AN91="","",Generation!AN91)</f>
        <v/>
      </c>
    </row>
    <row r="3476" spans="1:1" ht="18" customHeight="1">
      <c r="A3476" t="str">
        <f>IF(Generation!AO91="","",Generation!AO91)</f>
        <v/>
      </c>
    </row>
    <row r="3477" spans="1:1" ht="18" customHeight="1">
      <c r="A3477" t="str">
        <f>IF(Generation!AP91="","",Generation!AP91)</f>
        <v/>
      </c>
    </row>
    <row r="3478" spans="1:1" ht="18" customHeight="1">
      <c r="A3478" t="str">
        <f>IF(Generation!AQ91="","",Generation!AQ91)</f>
        <v/>
      </c>
    </row>
    <row r="3479" spans="1:1" ht="18" customHeight="1">
      <c r="A3479" t="str">
        <f>IF(Generation!$B91,"    &lt;/resprocessing&gt;","")</f>
        <v/>
      </c>
    </row>
    <row r="3480" spans="1:1" ht="18" customHeight="1">
      <c r="A3480" t="str">
        <f>IF(Generation!$B91,"    &lt;itemfeedback ident=""response""&gt;&lt;flow_mat&gt;&lt;material&gt;&lt;mattext texttype=""text/plain""&gt;&lt;/mattext&gt;&lt;/material&gt;&lt;/flow_mat&gt;&lt;/itemfeedback&gt;","")</f>
        <v/>
      </c>
    </row>
    <row r="3481" spans="1:1" ht="18" customHeight="1">
      <c r="A3481" t="str">
        <f>IF(Generation!$B91,"  &lt;/item&gt;","")</f>
        <v/>
      </c>
    </row>
    <row r="3482" spans="1:1" ht="18" customHeight="1">
      <c r="A3482" t="str">
        <f>IF(Generation!$B91,"","")</f>
        <v/>
      </c>
    </row>
    <row r="3483" spans="1:1" ht="18" customHeight="1">
      <c r="A3483" t="str">
        <f>""</f>
        <v/>
      </c>
    </row>
    <row r="3484" spans="1:1" ht="18" customHeight="1">
      <c r="A3484" t="str">
        <f>IF(Generation!$B92,"  &lt;item ident=""il_0_qst_"&amp;TEXT(Generation!$A92,"000")&amp;""" title="""&amp;Generation!$F92&amp;"""&gt;","")</f>
        <v/>
      </c>
    </row>
    <row r="3485" spans="1:1" ht="18" customHeight="1">
      <c r="A3485" t="str">
        <f>IF(Generation!$B92,"    &lt;duration&gt;P0Y0M0DT0H1M0S&lt;/duration&gt;","")</f>
        <v/>
      </c>
    </row>
    <row r="3486" spans="1:1" ht="18" customHeight="1">
      <c r="A3486" t="str">
        <f>IF(Generation!$B92,"    &lt;itemmetadata&gt;","")</f>
        <v/>
      </c>
    </row>
    <row r="3487" spans="1:1" ht="18" customHeight="1">
      <c r="A3487" t="str">
        <f>IF(Generation!$B92,"      &lt;qtimetadata&gt;","")</f>
        <v/>
      </c>
    </row>
    <row r="3488" spans="1:1" ht="18" customHeight="1">
      <c r="A3488" t="str">
        <f>IF(Generation!$B92,"        &lt;qtimetadatafield&gt;&lt;fieldlabel&gt;ILIAS_VERSION&lt;/fieldlabel&gt;&lt;fieldentry&gt;8&lt;/fieldentry&gt;&lt;/qtimetadatafield&gt;","")</f>
        <v/>
      </c>
    </row>
    <row r="3489" spans="1:1" ht="18" customHeight="1">
      <c r="A3489" t="str">
        <f>IF(Generation!$B92,"        &lt;qtimetadatafield&gt;&lt;fieldlabel&gt;QUESTIONTYPE&lt;/fieldlabel&gt;&lt;fieldentry&gt;"&amp;Generation!$D92&amp;"&lt;/fieldentry&gt;&lt;/qtimetadatafield&gt;","")</f>
        <v/>
      </c>
    </row>
    <row r="3490" spans="1:1" ht="18" customHeight="1">
      <c r="A3490" t="str">
        <f>IF(Generation!$B92,"        &lt;qtimetadatafield&gt;&lt;fieldlabel&gt;AUTHOR&lt;/fieldlabel&gt;&lt;fieldentry&gt;Générateur Excel QTI&lt;/fieldentry&gt;&lt;/qtimetadatafield&gt;","")</f>
        <v/>
      </c>
    </row>
    <row r="3491" spans="1:1" ht="18" customHeight="1">
      <c r="A3491" t="str">
        <f>IF(Generation!$B92,"        &lt;qtimetadatafield&gt;&lt;fieldlabel&gt;identicalScoring&lt;/fieldlabel&gt;&lt;fieldentry&gt;1&lt;/fieldentry&gt;&lt;/qtimetadatafield&gt;","")</f>
        <v/>
      </c>
    </row>
    <row r="3492" spans="1:1" ht="18" customHeight="1">
      <c r="A3492" t="str">
        <f>IF(Generation!$B92,"      &lt;/qtimetadata&gt;","")</f>
        <v/>
      </c>
    </row>
    <row r="3493" spans="1:1" ht="18" customHeight="1">
      <c r="A3493" t="str">
        <f>IF(Generation!$B92,"    &lt;/itemmetadata&gt;","")</f>
        <v/>
      </c>
    </row>
    <row r="3494" spans="1:1" ht="18" customHeight="1">
      <c r="A3494" t="str">
        <f>IF(Generation!$B92,"    &lt;presentation label="""&amp;Generation!$F92&amp;"""&gt;","")</f>
        <v/>
      </c>
    </row>
    <row r="3495" spans="1:1" ht="18" customHeight="1">
      <c r="A3495" t="str">
        <f>IF(Generation!$B92,"      &lt;material&gt;&lt;mattext texttype=""text/html""&gt;"&amp;Generation!$G92&amp;"&lt;/mattext&gt;&lt;/material&gt;","")</f>
        <v/>
      </c>
    </row>
    <row r="3496" spans="1:1" ht="18" customHeight="1">
      <c r="A3496" t="str">
        <f>IF(Generation!$B92,"      &lt;response_lid ident=""RESPONSE"" rcardinality="""&amp;Generation!$E92&amp;"""&gt;","")</f>
        <v/>
      </c>
    </row>
    <row r="3497" spans="1:1" ht="18" customHeight="1">
      <c r="A3497" t="str">
        <f>IF(Generation!$B92,"        &lt;render_choice shuffle=""No""&gt;","")</f>
        <v/>
      </c>
    </row>
    <row r="3498" spans="1:1" ht="18" customHeight="1">
      <c r="A3498" t="str">
        <f>IF(Generation!AB92="","",Generation!AB92)</f>
        <v/>
      </c>
    </row>
    <row r="3499" spans="1:1" ht="18" customHeight="1">
      <c r="A3499" t="str">
        <f>IF(Generation!AC92="","",Generation!AC92)</f>
        <v/>
      </c>
    </row>
    <row r="3500" spans="1:1" ht="18" customHeight="1">
      <c r="A3500" t="str">
        <f>IF(Generation!AD92="","",Generation!AD92)</f>
        <v/>
      </c>
    </row>
    <row r="3501" spans="1:1" ht="18" customHeight="1">
      <c r="A3501" t="str">
        <f>IF(Generation!AE92="","",Generation!AE92)</f>
        <v/>
      </c>
    </row>
    <row r="3502" spans="1:1" ht="18" customHeight="1">
      <c r="A3502" t="str">
        <f>IF(Generation!AF92="","",Generation!AF92)</f>
        <v/>
      </c>
    </row>
    <row r="3503" spans="1:1" ht="18" customHeight="1">
      <c r="A3503" t="str">
        <f>IF(Generation!AG92="","",Generation!AG92)</f>
        <v/>
      </c>
    </row>
    <row r="3504" spans="1:1" ht="18" customHeight="1">
      <c r="A3504" t="str">
        <f>IF(Generation!AH92="","",Generation!AH92)</f>
        <v/>
      </c>
    </row>
    <row r="3505" spans="1:1" ht="18" customHeight="1">
      <c r="A3505" t="str">
        <f>IF(Generation!AI92="","",Generation!AI92)</f>
        <v/>
      </c>
    </row>
    <row r="3506" spans="1:1" ht="18" customHeight="1">
      <c r="A3506" t="str">
        <f>IF(Generation!$B92,"        &lt;/render_choice&gt;","")</f>
        <v/>
      </c>
    </row>
    <row r="3507" spans="1:1" ht="18" customHeight="1">
      <c r="A3507" t="str">
        <f>IF(Generation!$B92,"      &lt;/response_lid&gt;","")</f>
        <v/>
      </c>
    </row>
    <row r="3508" spans="1:1" ht="18" customHeight="1">
      <c r="A3508" t="str">
        <f>IF(Generation!$B92,"    &lt;/presentation&gt;","")</f>
        <v/>
      </c>
    </row>
    <row r="3509" spans="1:1" ht="18" customHeight="1">
      <c r="A3509" t="str">
        <f>IF(Generation!$B92,"    &lt;resprocessing&gt;","")</f>
        <v/>
      </c>
    </row>
    <row r="3510" spans="1:1" ht="18" customHeight="1">
      <c r="A3510" t="str">
        <f>IF(Generation!$B92,"      &lt;outcomes&gt;&lt;decvar varname=""SCORE"" vartype=""Decimal"" minvalue=""0"" maxvalue="""&amp;Generation!$H92&amp;"""/&gt;&lt;/outcomes&gt;","")</f>
        <v/>
      </c>
    </row>
    <row r="3511" spans="1:1" ht="18" customHeight="1">
      <c r="A3511" t="str">
        <f>IF(Generation!AJ92="","",Generation!AJ92)</f>
        <v/>
      </c>
    </row>
    <row r="3512" spans="1:1" ht="18" customHeight="1">
      <c r="A3512" t="str">
        <f>IF(Generation!AK92="","",Generation!AK92)</f>
        <v/>
      </c>
    </row>
    <row r="3513" spans="1:1" ht="18" customHeight="1">
      <c r="A3513" t="str">
        <f>IF(Generation!AL92="","",Generation!AL92)</f>
        <v/>
      </c>
    </row>
    <row r="3514" spans="1:1" ht="18" customHeight="1">
      <c r="A3514" t="str">
        <f>IF(Generation!AM92="","",Generation!AM92)</f>
        <v/>
      </c>
    </row>
    <row r="3515" spans="1:1" ht="18" customHeight="1">
      <c r="A3515" t="str">
        <f>IF(Generation!AN92="","",Generation!AN92)</f>
        <v/>
      </c>
    </row>
    <row r="3516" spans="1:1" ht="18" customHeight="1">
      <c r="A3516" t="str">
        <f>IF(Generation!AO92="","",Generation!AO92)</f>
        <v/>
      </c>
    </row>
    <row r="3517" spans="1:1" ht="18" customHeight="1">
      <c r="A3517" t="str">
        <f>IF(Generation!AP92="","",Generation!AP92)</f>
        <v/>
      </c>
    </row>
    <row r="3518" spans="1:1" ht="18" customHeight="1">
      <c r="A3518" t="str">
        <f>IF(Generation!AQ92="","",Generation!AQ92)</f>
        <v/>
      </c>
    </row>
    <row r="3519" spans="1:1" ht="18" customHeight="1">
      <c r="A3519" t="str">
        <f>IF(Generation!$B92,"    &lt;/resprocessing&gt;","")</f>
        <v/>
      </c>
    </row>
    <row r="3520" spans="1:1" ht="18" customHeight="1">
      <c r="A3520" t="str">
        <f>IF(Generation!$B92,"    &lt;itemfeedback ident=""response""&gt;&lt;flow_mat&gt;&lt;material&gt;&lt;mattext texttype=""text/plain""&gt;&lt;/mattext&gt;&lt;/material&gt;&lt;/flow_mat&gt;&lt;/itemfeedback&gt;","")</f>
        <v/>
      </c>
    </row>
    <row r="3521" spans="1:1" ht="18" customHeight="1">
      <c r="A3521" t="str">
        <f>IF(Generation!$B92,"  &lt;/item&gt;","")</f>
        <v/>
      </c>
    </row>
    <row r="3522" spans="1:1" ht="18" customHeight="1">
      <c r="A3522" t="str">
        <f>IF(Generation!$B92,"","")</f>
        <v/>
      </c>
    </row>
    <row r="3523" spans="1:1" ht="18" customHeight="1">
      <c r="A3523" t="str">
        <f>""</f>
        <v/>
      </c>
    </row>
    <row r="3524" spans="1:1" ht="18" customHeight="1">
      <c r="A3524" t="str">
        <f>IF(Generation!$B93,"  &lt;item ident=""il_0_qst_"&amp;TEXT(Generation!$A93,"000")&amp;""" title="""&amp;Generation!$F93&amp;"""&gt;","")</f>
        <v/>
      </c>
    </row>
    <row r="3525" spans="1:1" ht="18" customHeight="1">
      <c r="A3525" t="str">
        <f>IF(Generation!$B93,"    &lt;duration&gt;P0Y0M0DT0H1M0S&lt;/duration&gt;","")</f>
        <v/>
      </c>
    </row>
    <row r="3526" spans="1:1" ht="18" customHeight="1">
      <c r="A3526" t="str">
        <f>IF(Generation!$B93,"    &lt;itemmetadata&gt;","")</f>
        <v/>
      </c>
    </row>
    <row r="3527" spans="1:1" ht="18" customHeight="1">
      <c r="A3527" t="str">
        <f>IF(Generation!$B93,"      &lt;qtimetadata&gt;","")</f>
        <v/>
      </c>
    </row>
    <row r="3528" spans="1:1" ht="18" customHeight="1">
      <c r="A3528" t="str">
        <f>IF(Generation!$B93,"        &lt;qtimetadatafield&gt;&lt;fieldlabel&gt;ILIAS_VERSION&lt;/fieldlabel&gt;&lt;fieldentry&gt;8&lt;/fieldentry&gt;&lt;/qtimetadatafield&gt;","")</f>
        <v/>
      </c>
    </row>
    <row r="3529" spans="1:1" ht="18" customHeight="1">
      <c r="A3529" t="str">
        <f>IF(Generation!$B93,"        &lt;qtimetadatafield&gt;&lt;fieldlabel&gt;QUESTIONTYPE&lt;/fieldlabel&gt;&lt;fieldentry&gt;"&amp;Generation!$D93&amp;"&lt;/fieldentry&gt;&lt;/qtimetadatafield&gt;","")</f>
        <v/>
      </c>
    </row>
    <row r="3530" spans="1:1" ht="18" customHeight="1">
      <c r="A3530" t="str">
        <f>IF(Generation!$B93,"        &lt;qtimetadatafield&gt;&lt;fieldlabel&gt;AUTHOR&lt;/fieldlabel&gt;&lt;fieldentry&gt;Générateur Excel QTI&lt;/fieldentry&gt;&lt;/qtimetadatafield&gt;","")</f>
        <v/>
      </c>
    </row>
    <row r="3531" spans="1:1" ht="18" customHeight="1">
      <c r="A3531" t="str">
        <f>IF(Generation!$B93,"        &lt;qtimetadatafield&gt;&lt;fieldlabel&gt;identicalScoring&lt;/fieldlabel&gt;&lt;fieldentry&gt;1&lt;/fieldentry&gt;&lt;/qtimetadatafield&gt;","")</f>
        <v/>
      </c>
    </row>
    <row r="3532" spans="1:1" ht="18" customHeight="1">
      <c r="A3532" t="str">
        <f>IF(Generation!$B93,"      &lt;/qtimetadata&gt;","")</f>
        <v/>
      </c>
    </row>
    <row r="3533" spans="1:1" ht="18" customHeight="1">
      <c r="A3533" t="str">
        <f>IF(Generation!$B93,"    &lt;/itemmetadata&gt;","")</f>
        <v/>
      </c>
    </row>
    <row r="3534" spans="1:1" ht="18" customHeight="1">
      <c r="A3534" t="str">
        <f>IF(Generation!$B93,"    &lt;presentation label="""&amp;Generation!$F93&amp;"""&gt;","")</f>
        <v/>
      </c>
    </row>
    <row r="3535" spans="1:1" ht="18" customHeight="1">
      <c r="A3535" t="str">
        <f>IF(Generation!$B93,"      &lt;material&gt;&lt;mattext texttype=""text/html""&gt;"&amp;Generation!$G93&amp;"&lt;/mattext&gt;&lt;/material&gt;","")</f>
        <v/>
      </c>
    </row>
    <row r="3536" spans="1:1" ht="18" customHeight="1">
      <c r="A3536" t="str">
        <f>IF(Generation!$B93,"      &lt;response_lid ident=""RESPONSE"" rcardinality="""&amp;Generation!$E93&amp;"""&gt;","")</f>
        <v/>
      </c>
    </row>
    <row r="3537" spans="1:1" ht="18" customHeight="1">
      <c r="A3537" t="str">
        <f>IF(Generation!$B93,"        &lt;render_choice shuffle=""No""&gt;","")</f>
        <v/>
      </c>
    </row>
    <row r="3538" spans="1:1" ht="18" customHeight="1">
      <c r="A3538" t="str">
        <f>IF(Generation!AB93="","",Generation!AB93)</f>
        <v/>
      </c>
    </row>
    <row r="3539" spans="1:1" ht="18" customHeight="1">
      <c r="A3539" t="str">
        <f>IF(Generation!AC93="","",Generation!AC93)</f>
        <v/>
      </c>
    </row>
    <row r="3540" spans="1:1" ht="18" customHeight="1">
      <c r="A3540" t="str">
        <f>IF(Generation!AD93="","",Generation!AD93)</f>
        <v/>
      </c>
    </row>
    <row r="3541" spans="1:1" ht="18" customHeight="1">
      <c r="A3541" t="str">
        <f>IF(Generation!AE93="","",Generation!AE93)</f>
        <v/>
      </c>
    </row>
    <row r="3542" spans="1:1" ht="18" customHeight="1">
      <c r="A3542" t="str">
        <f>IF(Generation!AF93="","",Generation!AF93)</f>
        <v/>
      </c>
    </row>
    <row r="3543" spans="1:1" ht="18" customHeight="1">
      <c r="A3543" t="str">
        <f>IF(Generation!AG93="","",Generation!AG93)</f>
        <v/>
      </c>
    </row>
    <row r="3544" spans="1:1" ht="18" customHeight="1">
      <c r="A3544" t="str">
        <f>IF(Generation!AH93="","",Generation!AH93)</f>
        <v/>
      </c>
    </row>
    <row r="3545" spans="1:1" ht="18" customHeight="1">
      <c r="A3545" t="str">
        <f>IF(Generation!AI93="","",Generation!AI93)</f>
        <v/>
      </c>
    </row>
    <row r="3546" spans="1:1" ht="18" customHeight="1">
      <c r="A3546" t="str">
        <f>IF(Generation!$B93,"        &lt;/render_choice&gt;","")</f>
        <v/>
      </c>
    </row>
    <row r="3547" spans="1:1" ht="18" customHeight="1">
      <c r="A3547" t="str">
        <f>IF(Generation!$B93,"      &lt;/response_lid&gt;","")</f>
        <v/>
      </c>
    </row>
    <row r="3548" spans="1:1" ht="18" customHeight="1">
      <c r="A3548" t="str">
        <f>IF(Generation!$B93,"    &lt;/presentation&gt;","")</f>
        <v/>
      </c>
    </row>
    <row r="3549" spans="1:1" ht="18" customHeight="1">
      <c r="A3549" t="str">
        <f>IF(Generation!$B93,"    &lt;resprocessing&gt;","")</f>
        <v/>
      </c>
    </row>
    <row r="3550" spans="1:1" ht="18" customHeight="1">
      <c r="A3550" t="str">
        <f>IF(Generation!$B93,"      &lt;outcomes&gt;&lt;decvar varname=""SCORE"" vartype=""Decimal"" minvalue=""0"" maxvalue="""&amp;Generation!$H93&amp;"""/&gt;&lt;/outcomes&gt;","")</f>
        <v/>
      </c>
    </row>
    <row r="3551" spans="1:1" ht="18" customHeight="1">
      <c r="A3551" t="str">
        <f>IF(Generation!AJ93="","",Generation!AJ93)</f>
        <v/>
      </c>
    </row>
    <row r="3552" spans="1:1" ht="18" customHeight="1">
      <c r="A3552" t="str">
        <f>IF(Generation!AK93="","",Generation!AK93)</f>
        <v/>
      </c>
    </row>
    <row r="3553" spans="1:1" ht="18" customHeight="1">
      <c r="A3553" t="str">
        <f>IF(Generation!AL93="","",Generation!AL93)</f>
        <v/>
      </c>
    </row>
    <row r="3554" spans="1:1" ht="18" customHeight="1">
      <c r="A3554" t="str">
        <f>IF(Generation!AM93="","",Generation!AM93)</f>
        <v/>
      </c>
    </row>
    <row r="3555" spans="1:1" ht="18" customHeight="1">
      <c r="A3555" t="str">
        <f>IF(Generation!AN93="","",Generation!AN93)</f>
        <v/>
      </c>
    </row>
    <row r="3556" spans="1:1" ht="18" customHeight="1">
      <c r="A3556" t="str">
        <f>IF(Generation!AO93="","",Generation!AO93)</f>
        <v/>
      </c>
    </row>
    <row r="3557" spans="1:1" ht="18" customHeight="1">
      <c r="A3557" t="str">
        <f>IF(Generation!AP93="","",Generation!AP93)</f>
        <v/>
      </c>
    </row>
    <row r="3558" spans="1:1" ht="18" customHeight="1">
      <c r="A3558" t="str">
        <f>IF(Generation!AQ93="","",Generation!AQ93)</f>
        <v/>
      </c>
    </row>
    <row r="3559" spans="1:1" ht="18" customHeight="1">
      <c r="A3559" t="str">
        <f>IF(Generation!$B93,"    &lt;/resprocessing&gt;","")</f>
        <v/>
      </c>
    </row>
    <row r="3560" spans="1:1" ht="18" customHeight="1">
      <c r="A3560" t="str">
        <f>IF(Generation!$B93,"    &lt;itemfeedback ident=""response""&gt;&lt;flow_mat&gt;&lt;material&gt;&lt;mattext texttype=""text/plain""&gt;&lt;/mattext&gt;&lt;/material&gt;&lt;/flow_mat&gt;&lt;/itemfeedback&gt;","")</f>
        <v/>
      </c>
    </row>
    <row r="3561" spans="1:1" ht="18" customHeight="1">
      <c r="A3561" t="str">
        <f>IF(Generation!$B93,"  &lt;/item&gt;","")</f>
        <v/>
      </c>
    </row>
    <row r="3562" spans="1:1" ht="18" customHeight="1">
      <c r="A3562" t="str">
        <f>IF(Generation!$B93,"","")</f>
        <v/>
      </c>
    </row>
    <row r="3563" spans="1:1" ht="18" customHeight="1">
      <c r="A3563" t="str">
        <f>""</f>
        <v/>
      </c>
    </row>
    <row r="3564" spans="1:1" ht="18" customHeight="1">
      <c r="A3564" t="str">
        <f>IF(Generation!$B94,"  &lt;item ident=""il_0_qst_"&amp;TEXT(Generation!$A94,"000")&amp;""" title="""&amp;Generation!$F94&amp;"""&gt;","")</f>
        <v/>
      </c>
    </row>
    <row r="3565" spans="1:1" ht="18" customHeight="1">
      <c r="A3565" t="str">
        <f>IF(Generation!$B94,"    &lt;duration&gt;P0Y0M0DT0H1M0S&lt;/duration&gt;","")</f>
        <v/>
      </c>
    </row>
    <row r="3566" spans="1:1" ht="18" customHeight="1">
      <c r="A3566" t="str">
        <f>IF(Generation!$B94,"    &lt;itemmetadata&gt;","")</f>
        <v/>
      </c>
    </row>
    <row r="3567" spans="1:1" ht="18" customHeight="1">
      <c r="A3567" t="str">
        <f>IF(Generation!$B94,"      &lt;qtimetadata&gt;","")</f>
        <v/>
      </c>
    </row>
    <row r="3568" spans="1:1" ht="18" customHeight="1">
      <c r="A3568" t="str">
        <f>IF(Generation!$B94,"        &lt;qtimetadatafield&gt;&lt;fieldlabel&gt;ILIAS_VERSION&lt;/fieldlabel&gt;&lt;fieldentry&gt;8&lt;/fieldentry&gt;&lt;/qtimetadatafield&gt;","")</f>
        <v/>
      </c>
    </row>
    <row r="3569" spans="1:1" ht="18" customHeight="1">
      <c r="A3569" t="str">
        <f>IF(Generation!$B94,"        &lt;qtimetadatafield&gt;&lt;fieldlabel&gt;QUESTIONTYPE&lt;/fieldlabel&gt;&lt;fieldentry&gt;"&amp;Generation!$D94&amp;"&lt;/fieldentry&gt;&lt;/qtimetadatafield&gt;","")</f>
        <v/>
      </c>
    </row>
    <row r="3570" spans="1:1" ht="18" customHeight="1">
      <c r="A3570" t="str">
        <f>IF(Generation!$B94,"        &lt;qtimetadatafield&gt;&lt;fieldlabel&gt;AUTHOR&lt;/fieldlabel&gt;&lt;fieldentry&gt;Générateur Excel QTI&lt;/fieldentry&gt;&lt;/qtimetadatafield&gt;","")</f>
        <v/>
      </c>
    </row>
    <row r="3571" spans="1:1" ht="18" customHeight="1">
      <c r="A3571" t="str">
        <f>IF(Generation!$B94,"        &lt;qtimetadatafield&gt;&lt;fieldlabel&gt;identicalScoring&lt;/fieldlabel&gt;&lt;fieldentry&gt;1&lt;/fieldentry&gt;&lt;/qtimetadatafield&gt;","")</f>
        <v/>
      </c>
    </row>
    <row r="3572" spans="1:1" ht="18" customHeight="1">
      <c r="A3572" t="str">
        <f>IF(Generation!$B94,"      &lt;/qtimetadata&gt;","")</f>
        <v/>
      </c>
    </row>
    <row r="3573" spans="1:1" ht="18" customHeight="1">
      <c r="A3573" t="str">
        <f>IF(Generation!$B94,"    &lt;/itemmetadata&gt;","")</f>
        <v/>
      </c>
    </row>
    <row r="3574" spans="1:1" ht="18" customHeight="1">
      <c r="A3574" t="str">
        <f>IF(Generation!$B94,"    &lt;presentation label="""&amp;Generation!$F94&amp;"""&gt;","")</f>
        <v/>
      </c>
    </row>
    <row r="3575" spans="1:1" ht="18" customHeight="1">
      <c r="A3575" t="str">
        <f>IF(Generation!$B94,"      &lt;material&gt;&lt;mattext texttype=""text/html""&gt;"&amp;Generation!$G94&amp;"&lt;/mattext&gt;&lt;/material&gt;","")</f>
        <v/>
      </c>
    </row>
    <row r="3576" spans="1:1" ht="18" customHeight="1">
      <c r="A3576" t="str">
        <f>IF(Generation!$B94,"      &lt;response_lid ident=""RESPONSE"" rcardinality="""&amp;Generation!$E94&amp;"""&gt;","")</f>
        <v/>
      </c>
    </row>
    <row r="3577" spans="1:1" ht="18" customHeight="1">
      <c r="A3577" t="str">
        <f>IF(Generation!$B94,"        &lt;render_choice shuffle=""No""&gt;","")</f>
        <v/>
      </c>
    </row>
    <row r="3578" spans="1:1" ht="18" customHeight="1">
      <c r="A3578" t="str">
        <f>IF(Generation!AB94="","",Generation!AB94)</f>
        <v/>
      </c>
    </row>
    <row r="3579" spans="1:1" ht="18" customHeight="1">
      <c r="A3579" t="str">
        <f>IF(Generation!AC94="","",Generation!AC94)</f>
        <v/>
      </c>
    </row>
    <row r="3580" spans="1:1" ht="18" customHeight="1">
      <c r="A3580" t="str">
        <f>IF(Generation!AD94="","",Generation!AD94)</f>
        <v/>
      </c>
    </row>
    <row r="3581" spans="1:1" ht="18" customHeight="1">
      <c r="A3581" t="str">
        <f>IF(Generation!AE94="","",Generation!AE94)</f>
        <v/>
      </c>
    </row>
    <row r="3582" spans="1:1" ht="18" customHeight="1">
      <c r="A3582" t="str">
        <f>IF(Generation!AF94="","",Generation!AF94)</f>
        <v/>
      </c>
    </row>
    <row r="3583" spans="1:1" ht="18" customHeight="1">
      <c r="A3583" t="str">
        <f>IF(Generation!AG94="","",Generation!AG94)</f>
        <v/>
      </c>
    </row>
    <row r="3584" spans="1:1" ht="18" customHeight="1">
      <c r="A3584" t="str">
        <f>IF(Generation!AH94="","",Generation!AH94)</f>
        <v/>
      </c>
    </row>
    <row r="3585" spans="1:1" ht="18" customHeight="1">
      <c r="A3585" t="str">
        <f>IF(Generation!AI94="","",Generation!AI94)</f>
        <v/>
      </c>
    </row>
    <row r="3586" spans="1:1" ht="18" customHeight="1">
      <c r="A3586" t="str">
        <f>IF(Generation!$B94,"        &lt;/render_choice&gt;","")</f>
        <v/>
      </c>
    </row>
    <row r="3587" spans="1:1" ht="18" customHeight="1">
      <c r="A3587" t="str">
        <f>IF(Generation!$B94,"      &lt;/response_lid&gt;","")</f>
        <v/>
      </c>
    </row>
    <row r="3588" spans="1:1" ht="18" customHeight="1">
      <c r="A3588" t="str">
        <f>IF(Generation!$B94,"    &lt;/presentation&gt;","")</f>
        <v/>
      </c>
    </row>
    <row r="3589" spans="1:1" ht="18" customHeight="1">
      <c r="A3589" t="str">
        <f>IF(Generation!$B94,"    &lt;resprocessing&gt;","")</f>
        <v/>
      </c>
    </row>
    <row r="3590" spans="1:1" ht="18" customHeight="1">
      <c r="A3590" t="str">
        <f>IF(Generation!$B94,"      &lt;outcomes&gt;&lt;decvar varname=""SCORE"" vartype=""Decimal"" minvalue=""0"" maxvalue="""&amp;Generation!$H94&amp;"""/&gt;&lt;/outcomes&gt;","")</f>
        <v/>
      </c>
    </row>
    <row r="3591" spans="1:1" ht="18" customHeight="1">
      <c r="A3591" t="str">
        <f>IF(Generation!AJ94="","",Generation!AJ94)</f>
        <v/>
      </c>
    </row>
    <row r="3592" spans="1:1" ht="18" customHeight="1">
      <c r="A3592" t="str">
        <f>IF(Generation!AK94="","",Generation!AK94)</f>
        <v/>
      </c>
    </row>
    <row r="3593" spans="1:1" ht="18" customHeight="1">
      <c r="A3593" t="str">
        <f>IF(Generation!AL94="","",Generation!AL94)</f>
        <v/>
      </c>
    </row>
    <row r="3594" spans="1:1" ht="18" customHeight="1">
      <c r="A3594" t="str">
        <f>IF(Generation!AM94="","",Generation!AM94)</f>
        <v/>
      </c>
    </row>
    <row r="3595" spans="1:1" ht="18" customHeight="1">
      <c r="A3595" t="str">
        <f>IF(Generation!AN94="","",Generation!AN94)</f>
        <v/>
      </c>
    </row>
    <row r="3596" spans="1:1" ht="18" customHeight="1">
      <c r="A3596" t="str">
        <f>IF(Generation!AO94="","",Generation!AO94)</f>
        <v/>
      </c>
    </row>
    <row r="3597" spans="1:1" ht="18" customHeight="1">
      <c r="A3597" t="str">
        <f>IF(Generation!AP94="","",Generation!AP94)</f>
        <v/>
      </c>
    </row>
    <row r="3598" spans="1:1" ht="18" customHeight="1">
      <c r="A3598" t="str">
        <f>IF(Generation!AQ94="","",Generation!AQ94)</f>
        <v/>
      </c>
    </row>
    <row r="3599" spans="1:1" ht="18" customHeight="1">
      <c r="A3599" t="str">
        <f>IF(Generation!$B94,"    &lt;/resprocessing&gt;","")</f>
        <v/>
      </c>
    </row>
    <row r="3600" spans="1:1" ht="18" customHeight="1">
      <c r="A3600" t="str">
        <f>IF(Generation!$B94,"    &lt;itemfeedback ident=""response""&gt;&lt;flow_mat&gt;&lt;material&gt;&lt;mattext texttype=""text/plain""&gt;&lt;/mattext&gt;&lt;/material&gt;&lt;/flow_mat&gt;&lt;/itemfeedback&gt;","")</f>
        <v/>
      </c>
    </row>
    <row r="3601" spans="1:1" ht="18" customHeight="1">
      <c r="A3601" t="str">
        <f>IF(Generation!$B94,"  &lt;/item&gt;","")</f>
        <v/>
      </c>
    </row>
    <row r="3602" spans="1:1" ht="18" customHeight="1">
      <c r="A3602" t="str">
        <f>IF(Generation!$B94,"","")</f>
        <v/>
      </c>
    </row>
    <row r="3603" spans="1:1" ht="18" customHeight="1">
      <c r="A3603" t="str">
        <f>""</f>
        <v/>
      </c>
    </row>
    <row r="3604" spans="1:1" ht="18" customHeight="1">
      <c r="A3604" t="str">
        <f>IF(Generation!$B95,"  &lt;item ident=""il_0_qst_"&amp;TEXT(Generation!$A95,"000")&amp;""" title="""&amp;Generation!$F95&amp;"""&gt;","")</f>
        <v/>
      </c>
    </row>
    <row r="3605" spans="1:1" ht="18" customHeight="1">
      <c r="A3605" t="str">
        <f>IF(Generation!$B95,"    &lt;duration&gt;P0Y0M0DT0H1M0S&lt;/duration&gt;","")</f>
        <v/>
      </c>
    </row>
    <row r="3606" spans="1:1" ht="18" customHeight="1">
      <c r="A3606" t="str">
        <f>IF(Generation!$B95,"    &lt;itemmetadata&gt;","")</f>
        <v/>
      </c>
    </row>
    <row r="3607" spans="1:1" ht="18" customHeight="1">
      <c r="A3607" t="str">
        <f>IF(Generation!$B95,"      &lt;qtimetadata&gt;","")</f>
        <v/>
      </c>
    </row>
    <row r="3608" spans="1:1" ht="18" customHeight="1">
      <c r="A3608" t="str">
        <f>IF(Generation!$B95,"        &lt;qtimetadatafield&gt;&lt;fieldlabel&gt;ILIAS_VERSION&lt;/fieldlabel&gt;&lt;fieldentry&gt;8&lt;/fieldentry&gt;&lt;/qtimetadatafield&gt;","")</f>
        <v/>
      </c>
    </row>
    <row r="3609" spans="1:1" ht="18" customHeight="1">
      <c r="A3609" t="str">
        <f>IF(Generation!$B95,"        &lt;qtimetadatafield&gt;&lt;fieldlabel&gt;QUESTIONTYPE&lt;/fieldlabel&gt;&lt;fieldentry&gt;"&amp;Generation!$D95&amp;"&lt;/fieldentry&gt;&lt;/qtimetadatafield&gt;","")</f>
        <v/>
      </c>
    </row>
    <row r="3610" spans="1:1" ht="18" customHeight="1">
      <c r="A3610" t="str">
        <f>IF(Generation!$B95,"        &lt;qtimetadatafield&gt;&lt;fieldlabel&gt;AUTHOR&lt;/fieldlabel&gt;&lt;fieldentry&gt;Générateur Excel QTI&lt;/fieldentry&gt;&lt;/qtimetadatafield&gt;","")</f>
        <v/>
      </c>
    </row>
    <row r="3611" spans="1:1" ht="18" customHeight="1">
      <c r="A3611" t="str">
        <f>IF(Generation!$B95,"        &lt;qtimetadatafield&gt;&lt;fieldlabel&gt;identicalScoring&lt;/fieldlabel&gt;&lt;fieldentry&gt;1&lt;/fieldentry&gt;&lt;/qtimetadatafield&gt;","")</f>
        <v/>
      </c>
    </row>
    <row r="3612" spans="1:1" ht="18" customHeight="1">
      <c r="A3612" t="str">
        <f>IF(Generation!$B95,"      &lt;/qtimetadata&gt;","")</f>
        <v/>
      </c>
    </row>
    <row r="3613" spans="1:1" ht="18" customHeight="1">
      <c r="A3613" t="str">
        <f>IF(Generation!$B95,"    &lt;/itemmetadata&gt;","")</f>
        <v/>
      </c>
    </row>
    <row r="3614" spans="1:1" ht="18" customHeight="1">
      <c r="A3614" t="str">
        <f>IF(Generation!$B95,"    &lt;presentation label="""&amp;Generation!$F95&amp;"""&gt;","")</f>
        <v/>
      </c>
    </row>
    <row r="3615" spans="1:1" ht="18" customHeight="1">
      <c r="A3615" t="str">
        <f>IF(Generation!$B95,"      &lt;material&gt;&lt;mattext texttype=""text/html""&gt;"&amp;Generation!$G95&amp;"&lt;/mattext&gt;&lt;/material&gt;","")</f>
        <v/>
      </c>
    </row>
    <row r="3616" spans="1:1" ht="18" customHeight="1">
      <c r="A3616" t="str">
        <f>IF(Generation!$B95,"      &lt;response_lid ident=""RESPONSE"" rcardinality="""&amp;Generation!$E95&amp;"""&gt;","")</f>
        <v/>
      </c>
    </row>
    <row r="3617" spans="1:1" ht="18" customHeight="1">
      <c r="A3617" t="str">
        <f>IF(Generation!$B95,"        &lt;render_choice shuffle=""No""&gt;","")</f>
        <v/>
      </c>
    </row>
    <row r="3618" spans="1:1" ht="18" customHeight="1">
      <c r="A3618" t="str">
        <f>IF(Generation!AB95="","",Generation!AB95)</f>
        <v/>
      </c>
    </row>
    <row r="3619" spans="1:1" ht="18" customHeight="1">
      <c r="A3619" t="str">
        <f>IF(Generation!AC95="","",Generation!AC95)</f>
        <v/>
      </c>
    </row>
    <row r="3620" spans="1:1" ht="18" customHeight="1">
      <c r="A3620" t="str">
        <f>IF(Generation!AD95="","",Generation!AD95)</f>
        <v/>
      </c>
    </row>
    <row r="3621" spans="1:1" ht="18" customHeight="1">
      <c r="A3621" t="str">
        <f>IF(Generation!AE95="","",Generation!AE95)</f>
        <v/>
      </c>
    </row>
    <row r="3622" spans="1:1" ht="18" customHeight="1">
      <c r="A3622" t="str">
        <f>IF(Generation!AF95="","",Generation!AF95)</f>
        <v/>
      </c>
    </row>
    <row r="3623" spans="1:1" ht="18" customHeight="1">
      <c r="A3623" t="str">
        <f>IF(Generation!AG95="","",Generation!AG95)</f>
        <v/>
      </c>
    </row>
    <row r="3624" spans="1:1" ht="18" customHeight="1">
      <c r="A3624" t="str">
        <f>IF(Generation!AH95="","",Generation!AH95)</f>
        <v/>
      </c>
    </row>
    <row r="3625" spans="1:1" ht="18" customHeight="1">
      <c r="A3625" t="str">
        <f>IF(Generation!AI95="","",Generation!AI95)</f>
        <v/>
      </c>
    </row>
    <row r="3626" spans="1:1" ht="18" customHeight="1">
      <c r="A3626" t="str">
        <f>IF(Generation!$B95,"        &lt;/render_choice&gt;","")</f>
        <v/>
      </c>
    </row>
    <row r="3627" spans="1:1" ht="18" customHeight="1">
      <c r="A3627" t="str">
        <f>IF(Generation!$B95,"      &lt;/response_lid&gt;","")</f>
        <v/>
      </c>
    </row>
    <row r="3628" spans="1:1" ht="18" customHeight="1">
      <c r="A3628" t="str">
        <f>IF(Generation!$B95,"    &lt;/presentation&gt;","")</f>
        <v/>
      </c>
    </row>
    <row r="3629" spans="1:1" ht="18" customHeight="1">
      <c r="A3629" t="str">
        <f>IF(Generation!$B95,"    &lt;resprocessing&gt;","")</f>
        <v/>
      </c>
    </row>
    <row r="3630" spans="1:1" ht="18" customHeight="1">
      <c r="A3630" t="str">
        <f>IF(Generation!$B95,"      &lt;outcomes&gt;&lt;decvar varname=""SCORE"" vartype=""Decimal"" minvalue=""0"" maxvalue="""&amp;Generation!$H95&amp;"""/&gt;&lt;/outcomes&gt;","")</f>
        <v/>
      </c>
    </row>
    <row r="3631" spans="1:1" ht="18" customHeight="1">
      <c r="A3631" t="str">
        <f>IF(Generation!AJ95="","",Generation!AJ95)</f>
        <v/>
      </c>
    </row>
    <row r="3632" spans="1:1" ht="18" customHeight="1">
      <c r="A3632" t="str">
        <f>IF(Generation!AK95="","",Generation!AK95)</f>
        <v/>
      </c>
    </row>
    <row r="3633" spans="1:1" ht="18" customHeight="1">
      <c r="A3633" t="str">
        <f>IF(Generation!AL95="","",Generation!AL95)</f>
        <v/>
      </c>
    </row>
    <row r="3634" spans="1:1" ht="18" customHeight="1">
      <c r="A3634" t="str">
        <f>IF(Generation!AM95="","",Generation!AM95)</f>
        <v/>
      </c>
    </row>
    <row r="3635" spans="1:1" ht="18" customHeight="1">
      <c r="A3635" t="str">
        <f>IF(Generation!AN95="","",Generation!AN95)</f>
        <v/>
      </c>
    </row>
    <row r="3636" spans="1:1" ht="18" customHeight="1">
      <c r="A3636" t="str">
        <f>IF(Generation!AO95="","",Generation!AO95)</f>
        <v/>
      </c>
    </row>
    <row r="3637" spans="1:1" ht="18" customHeight="1">
      <c r="A3637" t="str">
        <f>IF(Generation!AP95="","",Generation!AP95)</f>
        <v/>
      </c>
    </row>
    <row r="3638" spans="1:1" ht="18" customHeight="1">
      <c r="A3638" t="str">
        <f>IF(Generation!AQ95="","",Generation!AQ95)</f>
        <v/>
      </c>
    </row>
    <row r="3639" spans="1:1" ht="18" customHeight="1">
      <c r="A3639" t="str">
        <f>IF(Generation!$B95,"    &lt;/resprocessing&gt;","")</f>
        <v/>
      </c>
    </row>
    <row r="3640" spans="1:1" ht="18" customHeight="1">
      <c r="A3640" t="str">
        <f>IF(Generation!$B95,"    &lt;itemfeedback ident=""response""&gt;&lt;flow_mat&gt;&lt;material&gt;&lt;mattext texttype=""text/plain""&gt;&lt;/mattext&gt;&lt;/material&gt;&lt;/flow_mat&gt;&lt;/itemfeedback&gt;","")</f>
        <v/>
      </c>
    </row>
    <row r="3641" spans="1:1" ht="18" customHeight="1">
      <c r="A3641" t="str">
        <f>IF(Generation!$B95,"  &lt;/item&gt;","")</f>
        <v/>
      </c>
    </row>
    <row r="3642" spans="1:1" ht="18" customHeight="1">
      <c r="A3642" t="str">
        <f>IF(Generation!$B95,"","")</f>
        <v/>
      </c>
    </row>
    <row r="3643" spans="1:1" ht="18" customHeight="1">
      <c r="A3643" t="str">
        <f>""</f>
        <v/>
      </c>
    </row>
    <row r="3644" spans="1:1" ht="18" customHeight="1">
      <c r="A3644" t="str">
        <f>IF(Generation!$B96,"  &lt;item ident=""il_0_qst_"&amp;TEXT(Generation!$A96,"000")&amp;""" title="""&amp;Generation!$F96&amp;"""&gt;","")</f>
        <v/>
      </c>
    </row>
    <row r="3645" spans="1:1" ht="18" customHeight="1">
      <c r="A3645" t="str">
        <f>IF(Generation!$B96,"    &lt;duration&gt;P0Y0M0DT0H1M0S&lt;/duration&gt;","")</f>
        <v/>
      </c>
    </row>
    <row r="3646" spans="1:1" ht="18" customHeight="1">
      <c r="A3646" t="str">
        <f>IF(Generation!$B96,"    &lt;itemmetadata&gt;","")</f>
        <v/>
      </c>
    </row>
    <row r="3647" spans="1:1" ht="18" customHeight="1">
      <c r="A3647" t="str">
        <f>IF(Generation!$B96,"      &lt;qtimetadata&gt;","")</f>
        <v/>
      </c>
    </row>
    <row r="3648" spans="1:1" ht="18" customHeight="1">
      <c r="A3648" t="str">
        <f>IF(Generation!$B96,"        &lt;qtimetadatafield&gt;&lt;fieldlabel&gt;ILIAS_VERSION&lt;/fieldlabel&gt;&lt;fieldentry&gt;8&lt;/fieldentry&gt;&lt;/qtimetadatafield&gt;","")</f>
        <v/>
      </c>
    </row>
    <row r="3649" spans="1:1" ht="18" customHeight="1">
      <c r="A3649" t="str">
        <f>IF(Generation!$B96,"        &lt;qtimetadatafield&gt;&lt;fieldlabel&gt;QUESTIONTYPE&lt;/fieldlabel&gt;&lt;fieldentry&gt;"&amp;Generation!$D96&amp;"&lt;/fieldentry&gt;&lt;/qtimetadatafield&gt;","")</f>
        <v/>
      </c>
    </row>
    <row r="3650" spans="1:1" ht="18" customHeight="1">
      <c r="A3650" t="str">
        <f>IF(Generation!$B96,"        &lt;qtimetadatafield&gt;&lt;fieldlabel&gt;AUTHOR&lt;/fieldlabel&gt;&lt;fieldentry&gt;Générateur Excel QTI&lt;/fieldentry&gt;&lt;/qtimetadatafield&gt;","")</f>
        <v/>
      </c>
    </row>
    <row r="3651" spans="1:1" ht="18" customHeight="1">
      <c r="A3651" t="str">
        <f>IF(Generation!$B96,"        &lt;qtimetadatafield&gt;&lt;fieldlabel&gt;identicalScoring&lt;/fieldlabel&gt;&lt;fieldentry&gt;1&lt;/fieldentry&gt;&lt;/qtimetadatafield&gt;","")</f>
        <v/>
      </c>
    </row>
    <row r="3652" spans="1:1" ht="18" customHeight="1">
      <c r="A3652" t="str">
        <f>IF(Generation!$B96,"      &lt;/qtimetadata&gt;","")</f>
        <v/>
      </c>
    </row>
    <row r="3653" spans="1:1" ht="18" customHeight="1">
      <c r="A3653" t="str">
        <f>IF(Generation!$B96,"    &lt;/itemmetadata&gt;","")</f>
        <v/>
      </c>
    </row>
    <row r="3654" spans="1:1" ht="18" customHeight="1">
      <c r="A3654" t="str">
        <f>IF(Generation!$B96,"    &lt;presentation label="""&amp;Generation!$F96&amp;"""&gt;","")</f>
        <v/>
      </c>
    </row>
    <row r="3655" spans="1:1" ht="18" customHeight="1">
      <c r="A3655" t="str">
        <f>IF(Generation!$B96,"      &lt;material&gt;&lt;mattext texttype=""text/html""&gt;"&amp;Generation!$G96&amp;"&lt;/mattext&gt;&lt;/material&gt;","")</f>
        <v/>
      </c>
    </row>
    <row r="3656" spans="1:1" ht="18" customHeight="1">
      <c r="A3656" t="str">
        <f>IF(Generation!$B96,"      &lt;response_lid ident=""RESPONSE"" rcardinality="""&amp;Generation!$E96&amp;"""&gt;","")</f>
        <v/>
      </c>
    </row>
    <row r="3657" spans="1:1" ht="18" customHeight="1">
      <c r="A3657" t="str">
        <f>IF(Generation!$B96,"        &lt;render_choice shuffle=""No""&gt;","")</f>
        <v/>
      </c>
    </row>
    <row r="3658" spans="1:1" ht="18" customHeight="1">
      <c r="A3658" t="str">
        <f>IF(Generation!AB96="","",Generation!AB96)</f>
        <v/>
      </c>
    </row>
    <row r="3659" spans="1:1" ht="18" customHeight="1">
      <c r="A3659" t="str">
        <f>IF(Generation!AC96="","",Generation!AC96)</f>
        <v/>
      </c>
    </row>
    <row r="3660" spans="1:1" ht="18" customHeight="1">
      <c r="A3660" t="str">
        <f>IF(Generation!AD96="","",Generation!AD96)</f>
        <v/>
      </c>
    </row>
    <row r="3661" spans="1:1" ht="18" customHeight="1">
      <c r="A3661" t="str">
        <f>IF(Generation!AE96="","",Generation!AE96)</f>
        <v/>
      </c>
    </row>
    <row r="3662" spans="1:1" ht="18" customHeight="1">
      <c r="A3662" t="str">
        <f>IF(Generation!AF96="","",Generation!AF96)</f>
        <v/>
      </c>
    </row>
    <row r="3663" spans="1:1" ht="18" customHeight="1">
      <c r="A3663" t="str">
        <f>IF(Generation!AG96="","",Generation!AG96)</f>
        <v/>
      </c>
    </row>
    <row r="3664" spans="1:1" ht="18" customHeight="1">
      <c r="A3664" t="str">
        <f>IF(Generation!AH96="","",Generation!AH96)</f>
        <v/>
      </c>
    </row>
    <row r="3665" spans="1:1" ht="18" customHeight="1">
      <c r="A3665" t="str">
        <f>IF(Generation!AI96="","",Generation!AI96)</f>
        <v/>
      </c>
    </row>
    <row r="3666" spans="1:1" ht="18" customHeight="1">
      <c r="A3666" t="str">
        <f>IF(Generation!$B96,"        &lt;/render_choice&gt;","")</f>
        <v/>
      </c>
    </row>
    <row r="3667" spans="1:1" ht="18" customHeight="1">
      <c r="A3667" t="str">
        <f>IF(Generation!$B96,"      &lt;/response_lid&gt;","")</f>
        <v/>
      </c>
    </row>
    <row r="3668" spans="1:1" ht="18" customHeight="1">
      <c r="A3668" t="str">
        <f>IF(Generation!$B96,"    &lt;/presentation&gt;","")</f>
        <v/>
      </c>
    </row>
    <row r="3669" spans="1:1" ht="18" customHeight="1">
      <c r="A3669" t="str">
        <f>IF(Generation!$B96,"    &lt;resprocessing&gt;","")</f>
        <v/>
      </c>
    </row>
    <row r="3670" spans="1:1" ht="18" customHeight="1">
      <c r="A3670" t="str">
        <f>IF(Generation!$B96,"      &lt;outcomes&gt;&lt;decvar varname=""SCORE"" vartype=""Decimal"" minvalue=""0"" maxvalue="""&amp;Generation!$H96&amp;"""/&gt;&lt;/outcomes&gt;","")</f>
        <v/>
      </c>
    </row>
    <row r="3671" spans="1:1" ht="18" customHeight="1">
      <c r="A3671" t="str">
        <f>IF(Generation!AJ96="","",Generation!AJ96)</f>
        <v/>
      </c>
    </row>
    <row r="3672" spans="1:1" ht="18" customHeight="1">
      <c r="A3672" t="str">
        <f>IF(Generation!AK96="","",Generation!AK96)</f>
        <v/>
      </c>
    </row>
    <row r="3673" spans="1:1" ht="18" customHeight="1">
      <c r="A3673" t="str">
        <f>IF(Generation!AL96="","",Generation!AL96)</f>
        <v/>
      </c>
    </row>
    <row r="3674" spans="1:1" ht="18" customHeight="1">
      <c r="A3674" t="str">
        <f>IF(Generation!AM96="","",Generation!AM96)</f>
        <v/>
      </c>
    </row>
    <row r="3675" spans="1:1" ht="18" customHeight="1">
      <c r="A3675" t="str">
        <f>IF(Generation!AN96="","",Generation!AN96)</f>
        <v/>
      </c>
    </row>
    <row r="3676" spans="1:1" ht="18" customHeight="1">
      <c r="A3676" t="str">
        <f>IF(Generation!AO96="","",Generation!AO96)</f>
        <v/>
      </c>
    </row>
    <row r="3677" spans="1:1" ht="18" customHeight="1">
      <c r="A3677" t="str">
        <f>IF(Generation!AP96="","",Generation!AP96)</f>
        <v/>
      </c>
    </row>
    <row r="3678" spans="1:1" ht="18" customHeight="1">
      <c r="A3678" t="str">
        <f>IF(Generation!AQ96="","",Generation!AQ96)</f>
        <v/>
      </c>
    </row>
    <row r="3679" spans="1:1" ht="18" customHeight="1">
      <c r="A3679" t="str">
        <f>IF(Generation!$B96,"    &lt;/resprocessing&gt;","")</f>
        <v/>
      </c>
    </row>
    <row r="3680" spans="1:1" ht="18" customHeight="1">
      <c r="A3680" t="str">
        <f>IF(Generation!$B96,"    &lt;itemfeedback ident=""response""&gt;&lt;flow_mat&gt;&lt;material&gt;&lt;mattext texttype=""text/plain""&gt;&lt;/mattext&gt;&lt;/material&gt;&lt;/flow_mat&gt;&lt;/itemfeedback&gt;","")</f>
        <v/>
      </c>
    </row>
    <row r="3681" spans="1:1" ht="18" customHeight="1">
      <c r="A3681" t="str">
        <f>IF(Generation!$B96,"  &lt;/item&gt;","")</f>
        <v/>
      </c>
    </row>
    <row r="3682" spans="1:1" ht="18" customHeight="1">
      <c r="A3682" t="str">
        <f>IF(Generation!$B96,"","")</f>
        <v/>
      </c>
    </row>
    <row r="3683" spans="1:1" ht="18" customHeight="1">
      <c r="A3683" t="str">
        <f>""</f>
        <v/>
      </c>
    </row>
    <row r="3684" spans="1:1" ht="18" customHeight="1">
      <c r="A3684" t="str">
        <f>IF(Generation!$B97,"  &lt;item ident=""il_0_qst_"&amp;TEXT(Generation!$A97,"000")&amp;""" title="""&amp;Generation!$F97&amp;"""&gt;","")</f>
        <v/>
      </c>
    </row>
    <row r="3685" spans="1:1" ht="18" customHeight="1">
      <c r="A3685" t="str">
        <f>IF(Generation!$B97,"    &lt;duration&gt;P0Y0M0DT0H1M0S&lt;/duration&gt;","")</f>
        <v/>
      </c>
    </row>
    <row r="3686" spans="1:1" ht="18" customHeight="1">
      <c r="A3686" t="str">
        <f>IF(Generation!$B97,"    &lt;itemmetadata&gt;","")</f>
        <v/>
      </c>
    </row>
    <row r="3687" spans="1:1" ht="18" customHeight="1">
      <c r="A3687" t="str">
        <f>IF(Generation!$B97,"      &lt;qtimetadata&gt;","")</f>
        <v/>
      </c>
    </row>
    <row r="3688" spans="1:1" ht="18" customHeight="1">
      <c r="A3688" t="str">
        <f>IF(Generation!$B97,"        &lt;qtimetadatafield&gt;&lt;fieldlabel&gt;ILIAS_VERSION&lt;/fieldlabel&gt;&lt;fieldentry&gt;8&lt;/fieldentry&gt;&lt;/qtimetadatafield&gt;","")</f>
        <v/>
      </c>
    </row>
    <row r="3689" spans="1:1" ht="18" customHeight="1">
      <c r="A3689" t="str">
        <f>IF(Generation!$B97,"        &lt;qtimetadatafield&gt;&lt;fieldlabel&gt;QUESTIONTYPE&lt;/fieldlabel&gt;&lt;fieldentry&gt;"&amp;Generation!$D97&amp;"&lt;/fieldentry&gt;&lt;/qtimetadatafield&gt;","")</f>
        <v/>
      </c>
    </row>
    <row r="3690" spans="1:1" ht="18" customHeight="1">
      <c r="A3690" t="str">
        <f>IF(Generation!$B97,"        &lt;qtimetadatafield&gt;&lt;fieldlabel&gt;AUTHOR&lt;/fieldlabel&gt;&lt;fieldentry&gt;Générateur Excel QTI&lt;/fieldentry&gt;&lt;/qtimetadatafield&gt;","")</f>
        <v/>
      </c>
    </row>
    <row r="3691" spans="1:1" ht="18" customHeight="1">
      <c r="A3691" t="str">
        <f>IF(Generation!$B97,"        &lt;qtimetadatafield&gt;&lt;fieldlabel&gt;identicalScoring&lt;/fieldlabel&gt;&lt;fieldentry&gt;1&lt;/fieldentry&gt;&lt;/qtimetadatafield&gt;","")</f>
        <v/>
      </c>
    </row>
    <row r="3692" spans="1:1" ht="18" customHeight="1">
      <c r="A3692" t="str">
        <f>IF(Generation!$B97,"      &lt;/qtimetadata&gt;","")</f>
        <v/>
      </c>
    </row>
    <row r="3693" spans="1:1" ht="18" customHeight="1">
      <c r="A3693" t="str">
        <f>IF(Generation!$B97,"    &lt;/itemmetadata&gt;","")</f>
        <v/>
      </c>
    </row>
    <row r="3694" spans="1:1" ht="18" customHeight="1">
      <c r="A3694" t="str">
        <f>IF(Generation!$B97,"    &lt;presentation label="""&amp;Generation!$F97&amp;"""&gt;","")</f>
        <v/>
      </c>
    </row>
    <row r="3695" spans="1:1" ht="18" customHeight="1">
      <c r="A3695" t="str">
        <f>IF(Generation!$B97,"      &lt;material&gt;&lt;mattext texttype=""text/html""&gt;"&amp;Generation!$G97&amp;"&lt;/mattext&gt;&lt;/material&gt;","")</f>
        <v/>
      </c>
    </row>
    <row r="3696" spans="1:1" ht="18" customHeight="1">
      <c r="A3696" t="str">
        <f>IF(Generation!$B97,"      &lt;response_lid ident=""RESPONSE"" rcardinality="""&amp;Generation!$E97&amp;"""&gt;","")</f>
        <v/>
      </c>
    </row>
    <row r="3697" spans="1:1" ht="18" customHeight="1">
      <c r="A3697" t="str">
        <f>IF(Generation!$B97,"        &lt;render_choice shuffle=""No""&gt;","")</f>
        <v/>
      </c>
    </row>
    <row r="3698" spans="1:1" ht="18" customHeight="1">
      <c r="A3698" t="str">
        <f>IF(Generation!AB97="","",Generation!AB97)</f>
        <v/>
      </c>
    </row>
    <row r="3699" spans="1:1" ht="18" customHeight="1">
      <c r="A3699" t="str">
        <f>IF(Generation!AC97="","",Generation!AC97)</f>
        <v/>
      </c>
    </row>
    <row r="3700" spans="1:1" ht="18" customHeight="1">
      <c r="A3700" t="str">
        <f>IF(Generation!AD97="","",Generation!AD97)</f>
        <v/>
      </c>
    </row>
    <row r="3701" spans="1:1" ht="18" customHeight="1">
      <c r="A3701" t="str">
        <f>IF(Generation!AE97="","",Generation!AE97)</f>
        <v/>
      </c>
    </row>
    <row r="3702" spans="1:1" ht="18" customHeight="1">
      <c r="A3702" t="str">
        <f>IF(Generation!AF97="","",Generation!AF97)</f>
        <v/>
      </c>
    </row>
    <row r="3703" spans="1:1" ht="18" customHeight="1">
      <c r="A3703" t="str">
        <f>IF(Generation!AG97="","",Generation!AG97)</f>
        <v/>
      </c>
    </row>
    <row r="3704" spans="1:1" ht="18" customHeight="1">
      <c r="A3704" t="str">
        <f>IF(Generation!AH97="","",Generation!AH97)</f>
        <v/>
      </c>
    </row>
    <row r="3705" spans="1:1" ht="18" customHeight="1">
      <c r="A3705" t="str">
        <f>IF(Generation!AI97="","",Generation!AI97)</f>
        <v/>
      </c>
    </row>
    <row r="3706" spans="1:1" ht="18" customHeight="1">
      <c r="A3706" t="str">
        <f>IF(Generation!$B97,"        &lt;/render_choice&gt;","")</f>
        <v/>
      </c>
    </row>
    <row r="3707" spans="1:1" ht="18" customHeight="1">
      <c r="A3707" t="str">
        <f>IF(Generation!$B97,"      &lt;/response_lid&gt;","")</f>
        <v/>
      </c>
    </row>
    <row r="3708" spans="1:1" ht="18" customHeight="1">
      <c r="A3708" t="str">
        <f>IF(Generation!$B97,"    &lt;/presentation&gt;","")</f>
        <v/>
      </c>
    </row>
    <row r="3709" spans="1:1" ht="18" customHeight="1">
      <c r="A3709" t="str">
        <f>IF(Generation!$B97,"    &lt;resprocessing&gt;","")</f>
        <v/>
      </c>
    </row>
    <row r="3710" spans="1:1" ht="18" customHeight="1">
      <c r="A3710" t="str">
        <f>IF(Generation!$B97,"      &lt;outcomes&gt;&lt;decvar varname=""SCORE"" vartype=""Decimal"" minvalue=""0"" maxvalue="""&amp;Generation!$H97&amp;"""/&gt;&lt;/outcomes&gt;","")</f>
        <v/>
      </c>
    </row>
    <row r="3711" spans="1:1" ht="18" customHeight="1">
      <c r="A3711" t="str">
        <f>IF(Generation!AJ97="","",Generation!AJ97)</f>
        <v/>
      </c>
    </row>
    <row r="3712" spans="1:1" ht="18" customHeight="1">
      <c r="A3712" t="str">
        <f>IF(Generation!AK97="","",Generation!AK97)</f>
        <v/>
      </c>
    </row>
    <row r="3713" spans="1:1" ht="18" customHeight="1">
      <c r="A3713" t="str">
        <f>IF(Generation!AL97="","",Generation!AL97)</f>
        <v/>
      </c>
    </row>
    <row r="3714" spans="1:1" ht="18" customHeight="1">
      <c r="A3714" t="str">
        <f>IF(Generation!AM97="","",Generation!AM97)</f>
        <v/>
      </c>
    </row>
    <row r="3715" spans="1:1" ht="18" customHeight="1">
      <c r="A3715" t="str">
        <f>IF(Generation!AN97="","",Generation!AN97)</f>
        <v/>
      </c>
    </row>
    <row r="3716" spans="1:1" ht="18" customHeight="1">
      <c r="A3716" t="str">
        <f>IF(Generation!AO97="","",Generation!AO97)</f>
        <v/>
      </c>
    </row>
    <row r="3717" spans="1:1" ht="18" customHeight="1">
      <c r="A3717" t="str">
        <f>IF(Generation!AP97="","",Generation!AP97)</f>
        <v/>
      </c>
    </row>
    <row r="3718" spans="1:1" ht="18" customHeight="1">
      <c r="A3718" t="str">
        <f>IF(Generation!AQ97="","",Generation!AQ97)</f>
        <v/>
      </c>
    </row>
    <row r="3719" spans="1:1" ht="18" customHeight="1">
      <c r="A3719" t="str">
        <f>IF(Generation!$B97,"    &lt;/resprocessing&gt;","")</f>
        <v/>
      </c>
    </row>
    <row r="3720" spans="1:1" ht="18" customHeight="1">
      <c r="A3720" t="str">
        <f>IF(Generation!$B97,"    &lt;itemfeedback ident=""response""&gt;&lt;flow_mat&gt;&lt;material&gt;&lt;mattext texttype=""text/plain""&gt;&lt;/mattext&gt;&lt;/material&gt;&lt;/flow_mat&gt;&lt;/itemfeedback&gt;","")</f>
        <v/>
      </c>
    </row>
    <row r="3721" spans="1:1" ht="18" customHeight="1">
      <c r="A3721" t="str">
        <f>IF(Generation!$B97,"  &lt;/item&gt;","")</f>
        <v/>
      </c>
    </row>
    <row r="3722" spans="1:1" ht="18" customHeight="1">
      <c r="A3722" t="str">
        <f>IF(Generation!$B97,"","")</f>
        <v/>
      </c>
    </row>
    <row r="3723" spans="1:1" ht="18" customHeight="1">
      <c r="A3723" t="str">
        <f>""</f>
        <v/>
      </c>
    </row>
    <row r="3724" spans="1:1" ht="18" customHeight="1">
      <c r="A3724" t="str">
        <f>IF(Generation!$B98,"  &lt;item ident=""il_0_qst_"&amp;TEXT(Generation!$A98,"000")&amp;""" title="""&amp;Generation!$F98&amp;"""&gt;","")</f>
        <v/>
      </c>
    </row>
    <row r="3725" spans="1:1" ht="18" customHeight="1">
      <c r="A3725" t="str">
        <f>IF(Generation!$B98,"    &lt;duration&gt;P0Y0M0DT0H1M0S&lt;/duration&gt;","")</f>
        <v/>
      </c>
    </row>
    <row r="3726" spans="1:1" ht="18" customHeight="1">
      <c r="A3726" t="str">
        <f>IF(Generation!$B98,"    &lt;itemmetadata&gt;","")</f>
        <v/>
      </c>
    </row>
    <row r="3727" spans="1:1" ht="18" customHeight="1">
      <c r="A3727" t="str">
        <f>IF(Generation!$B98,"      &lt;qtimetadata&gt;","")</f>
        <v/>
      </c>
    </row>
    <row r="3728" spans="1:1" ht="18" customHeight="1">
      <c r="A3728" t="str">
        <f>IF(Generation!$B98,"        &lt;qtimetadatafield&gt;&lt;fieldlabel&gt;ILIAS_VERSION&lt;/fieldlabel&gt;&lt;fieldentry&gt;8&lt;/fieldentry&gt;&lt;/qtimetadatafield&gt;","")</f>
        <v/>
      </c>
    </row>
    <row r="3729" spans="1:1" ht="18" customHeight="1">
      <c r="A3729" t="str">
        <f>IF(Generation!$B98,"        &lt;qtimetadatafield&gt;&lt;fieldlabel&gt;QUESTIONTYPE&lt;/fieldlabel&gt;&lt;fieldentry&gt;"&amp;Generation!$D98&amp;"&lt;/fieldentry&gt;&lt;/qtimetadatafield&gt;","")</f>
        <v/>
      </c>
    </row>
    <row r="3730" spans="1:1" ht="18" customHeight="1">
      <c r="A3730" t="str">
        <f>IF(Generation!$B98,"        &lt;qtimetadatafield&gt;&lt;fieldlabel&gt;AUTHOR&lt;/fieldlabel&gt;&lt;fieldentry&gt;Générateur Excel QTI&lt;/fieldentry&gt;&lt;/qtimetadatafield&gt;","")</f>
        <v/>
      </c>
    </row>
    <row r="3731" spans="1:1" ht="18" customHeight="1">
      <c r="A3731" t="str">
        <f>IF(Generation!$B98,"        &lt;qtimetadatafield&gt;&lt;fieldlabel&gt;identicalScoring&lt;/fieldlabel&gt;&lt;fieldentry&gt;1&lt;/fieldentry&gt;&lt;/qtimetadatafield&gt;","")</f>
        <v/>
      </c>
    </row>
    <row r="3732" spans="1:1" ht="18" customHeight="1">
      <c r="A3732" t="str">
        <f>IF(Generation!$B98,"      &lt;/qtimetadata&gt;","")</f>
        <v/>
      </c>
    </row>
    <row r="3733" spans="1:1" ht="18" customHeight="1">
      <c r="A3733" t="str">
        <f>IF(Generation!$B98,"    &lt;/itemmetadata&gt;","")</f>
        <v/>
      </c>
    </row>
    <row r="3734" spans="1:1" ht="18" customHeight="1">
      <c r="A3734" t="str">
        <f>IF(Generation!$B98,"    &lt;presentation label="""&amp;Generation!$F98&amp;"""&gt;","")</f>
        <v/>
      </c>
    </row>
    <row r="3735" spans="1:1" ht="18" customHeight="1">
      <c r="A3735" t="str">
        <f>IF(Generation!$B98,"      &lt;material&gt;&lt;mattext texttype=""text/html""&gt;"&amp;Generation!$G98&amp;"&lt;/mattext&gt;&lt;/material&gt;","")</f>
        <v/>
      </c>
    </row>
    <row r="3736" spans="1:1" ht="18" customHeight="1">
      <c r="A3736" t="str">
        <f>IF(Generation!$B98,"      &lt;response_lid ident=""RESPONSE"" rcardinality="""&amp;Generation!$E98&amp;"""&gt;","")</f>
        <v/>
      </c>
    </row>
    <row r="3737" spans="1:1" ht="18" customHeight="1">
      <c r="A3737" t="str">
        <f>IF(Generation!$B98,"        &lt;render_choice shuffle=""No""&gt;","")</f>
        <v/>
      </c>
    </row>
    <row r="3738" spans="1:1" ht="18" customHeight="1">
      <c r="A3738" t="str">
        <f>IF(Generation!AB98="","",Generation!AB98)</f>
        <v/>
      </c>
    </row>
    <row r="3739" spans="1:1" ht="18" customHeight="1">
      <c r="A3739" t="str">
        <f>IF(Generation!AC98="","",Generation!AC98)</f>
        <v/>
      </c>
    </row>
    <row r="3740" spans="1:1" ht="18" customHeight="1">
      <c r="A3740" t="str">
        <f>IF(Generation!AD98="","",Generation!AD98)</f>
        <v/>
      </c>
    </row>
    <row r="3741" spans="1:1" ht="18" customHeight="1">
      <c r="A3741" t="str">
        <f>IF(Generation!AE98="","",Generation!AE98)</f>
        <v/>
      </c>
    </row>
    <row r="3742" spans="1:1" ht="18" customHeight="1">
      <c r="A3742" t="str">
        <f>IF(Generation!AF98="","",Generation!AF98)</f>
        <v/>
      </c>
    </row>
    <row r="3743" spans="1:1" ht="18" customHeight="1">
      <c r="A3743" t="str">
        <f>IF(Generation!AG98="","",Generation!AG98)</f>
        <v/>
      </c>
    </row>
    <row r="3744" spans="1:1" ht="18" customHeight="1">
      <c r="A3744" t="str">
        <f>IF(Generation!AH98="","",Generation!AH98)</f>
        <v/>
      </c>
    </row>
    <row r="3745" spans="1:1" ht="18" customHeight="1">
      <c r="A3745" t="str">
        <f>IF(Generation!AI98="","",Generation!AI98)</f>
        <v/>
      </c>
    </row>
    <row r="3746" spans="1:1" ht="18" customHeight="1">
      <c r="A3746" t="str">
        <f>IF(Generation!$B98,"        &lt;/render_choice&gt;","")</f>
        <v/>
      </c>
    </row>
    <row r="3747" spans="1:1" ht="18" customHeight="1">
      <c r="A3747" t="str">
        <f>IF(Generation!$B98,"      &lt;/response_lid&gt;","")</f>
        <v/>
      </c>
    </row>
    <row r="3748" spans="1:1" ht="18" customHeight="1">
      <c r="A3748" t="str">
        <f>IF(Generation!$B98,"    &lt;/presentation&gt;","")</f>
        <v/>
      </c>
    </row>
    <row r="3749" spans="1:1" ht="18" customHeight="1">
      <c r="A3749" t="str">
        <f>IF(Generation!$B98,"    &lt;resprocessing&gt;","")</f>
        <v/>
      </c>
    </row>
    <row r="3750" spans="1:1" ht="18" customHeight="1">
      <c r="A3750" t="str">
        <f>IF(Generation!$B98,"      &lt;outcomes&gt;&lt;decvar varname=""SCORE"" vartype=""Decimal"" minvalue=""0"" maxvalue="""&amp;Generation!$H98&amp;"""/&gt;&lt;/outcomes&gt;","")</f>
        <v/>
      </c>
    </row>
    <row r="3751" spans="1:1" ht="18" customHeight="1">
      <c r="A3751" t="str">
        <f>IF(Generation!AJ98="","",Generation!AJ98)</f>
        <v/>
      </c>
    </row>
    <row r="3752" spans="1:1" ht="18" customHeight="1">
      <c r="A3752" t="str">
        <f>IF(Generation!AK98="","",Generation!AK98)</f>
        <v/>
      </c>
    </row>
    <row r="3753" spans="1:1" ht="18" customHeight="1">
      <c r="A3753" t="str">
        <f>IF(Generation!AL98="","",Generation!AL98)</f>
        <v/>
      </c>
    </row>
    <row r="3754" spans="1:1" ht="18" customHeight="1">
      <c r="A3754" t="str">
        <f>IF(Generation!AM98="","",Generation!AM98)</f>
        <v/>
      </c>
    </row>
    <row r="3755" spans="1:1" ht="18" customHeight="1">
      <c r="A3755" t="str">
        <f>IF(Generation!AN98="","",Generation!AN98)</f>
        <v/>
      </c>
    </row>
    <row r="3756" spans="1:1" ht="18" customHeight="1">
      <c r="A3756" t="str">
        <f>IF(Generation!AO98="","",Generation!AO98)</f>
        <v/>
      </c>
    </row>
    <row r="3757" spans="1:1" ht="18" customHeight="1">
      <c r="A3757" t="str">
        <f>IF(Generation!AP98="","",Generation!AP98)</f>
        <v/>
      </c>
    </row>
    <row r="3758" spans="1:1" ht="18" customHeight="1">
      <c r="A3758" t="str">
        <f>IF(Generation!AQ98="","",Generation!AQ98)</f>
        <v/>
      </c>
    </row>
    <row r="3759" spans="1:1" ht="18" customHeight="1">
      <c r="A3759" t="str">
        <f>IF(Generation!$B98,"    &lt;/resprocessing&gt;","")</f>
        <v/>
      </c>
    </row>
    <row r="3760" spans="1:1" ht="18" customHeight="1">
      <c r="A3760" t="str">
        <f>IF(Generation!$B98,"    &lt;itemfeedback ident=""response""&gt;&lt;flow_mat&gt;&lt;material&gt;&lt;mattext texttype=""text/plain""&gt;&lt;/mattext&gt;&lt;/material&gt;&lt;/flow_mat&gt;&lt;/itemfeedback&gt;","")</f>
        <v/>
      </c>
    </row>
    <row r="3761" spans="1:1" ht="18" customHeight="1">
      <c r="A3761" t="str">
        <f>IF(Generation!$B98,"  &lt;/item&gt;","")</f>
        <v/>
      </c>
    </row>
    <row r="3762" spans="1:1" ht="18" customHeight="1">
      <c r="A3762" t="str">
        <f>IF(Generation!$B98,"","")</f>
        <v/>
      </c>
    </row>
    <row r="3763" spans="1:1" ht="18" customHeight="1">
      <c r="A3763" t="str">
        <f>""</f>
        <v/>
      </c>
    </row>
    <row r="3764" spans="1:1" ht="18" customHeight="1">
      <c r="A3764" t="str">
        <f>IF(Generation!$B99,"  &lt;item ident=""il_0_qst_"&amp;TEXT(Generation!$A99,"000")&amp;""" title="""&amp;Generation!$F99&amp;"""&gt;","")</f>
        <v/>
      </c>
    </row>
    <row r="3765" spans="1:1" ht="18" customHeight="1">
      <c r="A3765" t="str">
        <f>IF(Generation!$B99,"    &lt;duration&gt;P0Y0M0DT0H1M0S&lt;/duration&gt;","")</f>
        <v/>
      </c>
    </row>
    <row r="3766" spans="1:1" ht="18" customHeight="1">
      <c r="A3766" t="str">
        <f>IF(Generation!$B99,"    &lt;itemmetadata&gt;","")</f>
        <v/>
      </c>
    </row>
    <row r="3767" spans="1:1" ht="18" customHeight="1">
      <c r="A3767" t="str">
        <f>IF(Generation!$B99,"      &lt;qtimetadata&gt;","")</f>
        <v/>
      </c>
    </row>
    <row r="3768" spans="1:1" ht="18" customHeight="1">
      <c r="A3768" t="str">
        <f>IF(Generation!$B99,"        &lt;qtimetadatafield&gt;&lt;fieldlabel&gt;ILIAS_VERSION&lt;/fieldlabel&gt;&lt;fieldentry&gt;8&lt;/fieldentry&gt;&lt;/qtimetadatafield&gt;","")</f>
        <v/>
      </c>
    </row>
    <row r="3769" spans="1:1" ht="18" customHeight="1">
      <c r="A3769" t="str">
        <f>IF(Generation!$B99,"        &lt;qtimetadatafield&gt;&lt;fieldlabel&gt;QUESTIONTYPE&lt;/fieldlabel&gt;&lt;fieldentry&gt;"&amp;Generation!$D99&amp;"&lt;/fieldentry&gt;&lt;/qtimetadatafield&gt;","")</f>
        <v/>
      </c>
    </row>
    <row r="3770" spans="1:1" ht="18" customHeight="1">
      <c r="A3770" t="str">
        <f>IF(Generation!$B99,"        &lt;qtimetadatafield&gt;&lt;fieldlabel&gt;AUTHOR&lt;/fieldlabel&gt;&lt;fieldentry&gt;Générateur Excel QTI&lt;/fieldentry&gt;&lt;/qtimetadatafield&gt;","")</f>
        <v/>
      </c>
    </row>
    <row r="3771" spans="1:1" ht="18" customHeight="1">
      <c r="A3771" t="str">
        <f>IF(Generation!$B99,"        &lt;qtimetadatafield&gt;&lt;fieldlabel&gt;identicalScoring&lt;/fieldlabel&gt;&lt;fieldentry&gt;1&lt;/fieldentry&gt;&lt;/qtimetadatafield&gt;","")</f>
        <v/>
      </c>
    </row>
    <row r="3772" spans="1:1" ht="18" customHeight="1">
      <c r="A3772" t="str">
        <f>IF(Generation!$B99,"      &lt;/qtimetadata&gt;","")</f>
        <v/>
      </c>
    </row>
    <row r="3773" spans="1:1" ht="18" customHeight="1">
      <c r="A3773" t="str">
        <f>IF(Generation!$B99,"    &lt;/itemmetadata&gt;","")</f>
        <v/>
      </c>
    </row>
    <row r="3774" spans="1:1" ht="18" customHeight="1">
      <c r="A3774" t="str">
        <f>IF(Generation!$B99,"    &lt;presentation label="""&amp;Generation!$F99&amp;"""&gt;","")</f>
        <v/>
      </c>
    </row>
    <row r="3775" spans="1:1" ht="18" customHeight="1">
      <c r="A3775" t="str">
        <f>IF(Generation!$B99,"      &lt;material&gt;&lt;mattext texttype=""text/html""&gt;"&amp;Generation!$G99&amp;"&lt;/mattext&gt;&lt;/material&gt;","")</f>
        <v/>
      </c>
    </row>
    <row r="3776" spans="1:1" ht="18" customHeight="1">
      <c r="A3776" t="str">
        <f>IF(Generation!$B99,"      &lt;response_lid ident=""RESPONSE"" rcardinality="""&amp;Generation!$E99&amp;"""&gt;","")</f>
        <v/>
      </c>
    </row>
    <row r="3777" spans="1:1" ht="18" customHeight="1">
      <c r="A3777" t="str">
        <f>IF(Generation!$B99,"        &lt;render_choice shuffle=""No""&gt;","")</f>
        <v/>
      </c>
    </row>
    <row r="3778" spans="1:1" ht="18" customHeight="1">
      <c r="A3778" t="str">
        <f>IF(Generation!AB99="","",Generation!AB99)</f>
        <v/>
      </c>
    </row>
    <row r="3779" spans="1:1" ht="18" customHeight="1">
      <c r="A3779" t="str">
        <f>IF(Generation!AC99="","",Generation!AC99)</f>
        <v/>
      </c>
    </row>
    <row r="3780" spans="1:1" ht="18" customHeight="1">
      <c r="A3780" t="str">
        <f>IF(Generation!AD99="","",Generation!AD99)</f>
        <v/>
      </c>
    </row>
    <row r="3781" spans="1:1" ht="18" customHeight="1">
      <c r="A3781" t="str">
        <f>IF(Generation!AE99="","",Generation!AE99)</f>
        <v/>
      </c>
    </row>
    <row r="3782" spans="1:1" ht="18" customHeight="1">
      <c r="A3782" t="str">
        <f>IF(Generation!AF99="","",Generation!AF99)</f>
        <v/>
      </c>
    </row>
    <row r="3783" spans="1:1" ht="18" customHeight="1">
      <c r="A3783" t="str">
        <f>IF(Generation!AG99="","",Generation!AG99)</f>
        <v/>
      </c>
    </row>
    <row r="3784" spans="1:1" ht="18" customHeight="1">
      <c r="A3784" t="str">
        <f>IF(Generation!AH99="","",Generation!AH99)</f>
        <v/>
      </c>
    </row>
    <row r="3785" spans="1:1" ht="18" customHeight="1">
      <c r="A3785" t="str">
        <f>IF(Generation!AI99="","",Generation!AI99)</f>
        <v/>
      </c>
    </row>
    <row r="3786" spans="1:1" ht="18" customHeight="1">
      <c r="A3786" t="str">
        <f>IF(Generation!$B99,"        &lt;/render_choice&gt;","")</f>
        <v/>
      </c>
    </row>
    <row r="3787" spans="1:1" ht="18" customHeight="1">
      <c r="A3787" t="str">
        <f>IF(Generation!$B99,"      &lt;/response_lid&gt;","")</f>
        <v/>
      </c>
    </row>
    <row r="3788" spans="1:1" ht="18" customHeight="1">
      <c r="A3788" t="str">
        <f>IF(Generation!$B99,"    &lt;/presentation&gt;","")</f>
        <v/>
      </c>
    </row>
    <row r="3789" spans="1:1" ht="18" customHeight="1">
      <c r="A3789" t="str">
        <f>IF(Generation!$B99,"    &lt;resprocessing&gt;","")</f>
        <v/>
      </c>
    </row>
    <row r="3790" spans="1:1" ht="18" customHeight="1">
      <c r="A3790" t="str">
        <f>IF(Generation!$B99,"      &lt;outcomes&gt;&lt;decvar varname=""SCORE"" vartype=""Decimal"" minvalue=""0"" maxvalue="""&amp;Generation!$H99&amp;"""/&gt;&lt;/outcomes&gt;","")</f>
        <v/>
      </c>
    </row>
    <row r="3791" spans="1:1" ht="18" customHeight="1">
      <c r="A3791" t="str">
        <f>IF(Generation!AJ99="","",Generation!AJ99)</f>
        <v/>
      </c>
    </row>
    <row r="3792" spans="1:1" ht="18" customHeight="1">
      <c r="A3792" t="str">
        <f>IF(Generation!AK99="","",Generation!AK99)</f>
        <v/>
      </c>
    </row>
    <row r="3793" spans="1:1" ht="18" customHeight="1">
      <c r="A3793" t="str">
        <f>IF(Generation!AL99="","",Generation!AL99)</f>
        <v/>
      </c>
    </row>
    <row r="3794" spans="1:1" ht="18" customHeight="1">
      <c r="A3794" t="str">
        <f>IF(Generation!AM99="","",Generation!AM99)</f>
        <v/>
      </c>
    </row>
    <row r="3795" spans="1:1" ht="18" customHeight="1">
      <c r="A3795" t="str">
        <f>IF(Generation!AN99="","",Generation!AN99)</f>
        <v/>
      </c>
    </row>
    <row r="3796" spans="1:1" ht="18" customHeight="1">
      <c r="A3796" t="str">
        <f>IF(Generation!AO99="","",Generation!AO99)</f>
        <v/>
      </c>
    </row>
    <row r="3797" spans="1:1" ht="18" customHeight="1">
      <c r="A3797" t="str">
        <f>IF(Generation!AP99="","",Generation!AP99)</f>
        <v/>
      </c>
    </row>
    <row r="3798" spans="1:1" ht="18" customHeight="1">
      <c r="A3798" t="str">
        <f>IF(Generation!AQ99="","",Generation!AQ99)</f>
        <v/>
      </c>
    </row>
    <row r="3799" spans="1:1" ht="18" customHeight="1">
      <c r="A3799" t="str">
        <f>IF(Generation!$B99,"    &lt;/resprocessing&gt;","")</f>
        <v/>
      </c>
    </row>
    <row r="3800" spans="1:1" ht="18" customHeight="1">
      <c r="A3800" t="str">
        <f>IF(Generation!$B99,"    &lt;itemfeedback ident=""response""&gt;&lt;flow_mat&gt;&lt;material&gt;&lt;mattext texttype=""text/plain""&gt;&lt;/mattext&gt;&lt;/material&gt;&lt;/flow_mat&gt;&lt;/itemfeedback&gt;","")</f>
        <v/>
      </c>
    </row>
    <row r="3801" spans="1:1" ht="18" customHeight="1">
      <c r="A3801" t="str">
        <f>IF(Generation!$B99,"  &lt;/item&gt;","")</f>
        <v/>
      </c>
    </row>
    <row r="3802" spans="1:1" ht="18" customHeight="1">
      <c r="A3802" t="str">
        <f>IF(Generation!$B99,"","")</f>
        <v/>
      </c>
    </row>
    <row r="3803" spans="1:1" ht="18" customHeight="1">
      <c r="A3803" t="str">
        <f>""</f>
        <v/>
      </c>
    </row>
    <row r="3804" spans="1:1" ht="18" customHeight="1">
      <c r="A3804" t="str">
        <f>IF(Generation!$B100,"  &lt;item ident=""il_0_qst_"&amp;TEXT(Generation!$A100,"000")&amp;""" title="""&amp;Generation!$F100&amp;"""&gt;","")</f>
        <v/>
      </c>
    </row>
    <row r="3805" spans="1:1" ht="18" customHeight="1">
      <c r="A3805" t="str">
        <f>IF(Generation!$B100,"    &lt;duration&gt;P0Y0M0DT0H1M0S&lt;/duration&gt;","")</f>
        <v/>
      </c>
    </row>
    <row r="3806" spans="1:1" ht="18" customHeight="1">
      <c r="A3806" t="str">
        <f>IF(Generation!$B100,"    &lt;itemmetadata&gt;","")</f>
        <v/>
      </c>
    </row>
    <row r="3807" spans="1:1" ht="18" customHeight="1">
      <c r="A3807" t="str">
        <f>IF(Generation!$B100,"      &lt;qtimetadata&gt;","")</f>
        <v/>
      </c>
    </row>
    <row r="3808" spans="1:1" ht="18" customHeight="1">
      <c r="A3808" t="str">
        <f>IF(Generation!$B100,"        &lt;qtimetadatafield&gt;&lt;fieldlabel&gt;ILIAS_VERSION&lt;/fieldlabel&gt;&lt;fieldentry&gt;8&lt;/fieldentry&gt;&lt;/qtimetadatafield&gt;","")</f>
        <v/>
      </c>
    </row>
    <row r="3809" spans="1:1" ht="18" customHeight="1">
      <c r="A3809" t="str">
        <f>IF(Generation!$B100,"        &lt;qtimetadatafield&gt;&lt;fieldlabel&gt;QUESTIONTYPE&lt;/fieldlabel&gt;&lt;fieldentry&gt;"&amp;Generation!$D100&amp;"&lt;/fieldentry&gt;&lt;/qtimetadatafield&gt;","")</f>
        <v/>
      </c>
    </row>
    <row r="3810" spans="1:1" ht="18" customHeight="1">
      <c r="A3810" t="str">
        <f>IF(Generation!$B100,"        &lt;qtimetadatafield&gt;&lt;fieldlabel&gt;AUTHOR&lt;/fieldlabel&gt;&lt;fieldentry&gt;Générateur Excel QTI&lt;/fieldentry&gt;&lt;/qtimetadatafield&gt;","")</f>
        <v/>
      </c>
    </row>
    <row r="3811" spans="1:1" ht="18" customHeight="1">
      <c r="A3811" t="str">
        <f>IF(Generation!$B100,"        &lt;qtimetadatafield&gt;&lt;fieldlabel&gt;identicalScoring&lt;/fieldlabel&gt;&lt;fieldentry&gt;1&lt;/fieldentry&gt;&lt;/qtimetadatafield&gt;","")</f>
        <v/>
      </c>
    </row>
    <row r="3812" spans="1:1" ht="18" customHeight="1">
      <c r="A3812" t="str">
        <f>IF(Generation!$B100,"      &lt;/qtimetadata&gt;","")</f>
        <v/>
      </c>
    </row>
    <row r="3813" spans="1:1" ht="18" customHeight="1">
      <c r="A3813" t="str">
        <f>IF(Generation!$B100,"    &lt;/itemmetadata&gt;","")</f>
        <v/>
      </c>
    </row>
    <row r="3814" spans="1:1" ht="18" customHeight="1">
      <c r="A3814" t="str">
        <f>IF(Generation!$B100,"    &lt;presentation label="""&amp;Generation!$F100&amp;"""&gt;","")</f>
        <v/>
      </c>
    </row>
    <row r="3815" spans="1:1" ht="18" customHeight="1">
      <c r="A3815" t="str">
        <f>IF(Generation!$B100,"      &lt;material&gt;&lt;mattext texttype=""text/html""&gt;"&amp;Generation!$G100&amp;"&lt;/mattext&gt;&lt;/material&gt;","")</f>
        <v/>
      </c>
    </row>
    <row r="3816" spans="1:1" ht="18" customHeight="1">
      <c r="A3816" t="str">
        <f>IF(Generation!$B100,"      &lt;response_lid ident=""RESPONSE"" rcardinality="""&amp;Generation!$E100&amp;"""&gt;","")</f>
        <v/>
      </c>
    </row>
    <row r="3817" spans="1:1" ht="18" customHeight="1">
      <c r="A3817" t="str">
        <f>IF(Generation!$B100,"        &lt;render_choice shuffle=""No""&gt;","")</f>
        <v/>
      </c>
    </row>
    <row r="3818" spans="1:1" ht="18" customHeight="1">
      <c r="A3818" t="str">
        <f>IF(Generation!AB100="","",Generation!AB100)</f>
        <v/>
      </c>
    </row>
    <row r="3819" spans="1:1" ht="18" customHeight="1">
      <c r="A3819" t="str">
        <f>IF(Generation!AC100="","",Generation!AC100)</f>
        <v/>
      </c>
    </row>
    <row r="3820" spans="1:1" ht="18" customHeight="1">
      <c r="A3820" t="str">
        <f>IF(Generation!AD100="","",Generation!AD100)</f>
        <v/>
      </c>
    </row>
    <row r="3821" spans="1:1" ht="18" customHeight="1">
      <c r="A3821" t="str">
        <f>IF(Generation!AE100="","",Generation!AE100)</f>
        <v/>
      </c>
    </row>
    <row r="3822" spans="1:1" ht="18" customHeight="1">
      <c r="A3822" t="str">
        <f>IF(Generation!AF100="","",Generation!AF100)</f>
        <v/>
      </c>
    </row>
    <row r="3823" spans="1:1" ht="18" customHeight="1">
      <c r="A3823" t="str">
        <f>IF(Generation!AG100="","",Generation!AG100)</f>
        <v/>
      </c>
    </row>
    <row r="3824" spans="1:1" ht="18" customHeight="1">
      <c r="A3824" t="str">
        <f>IF(Generation!AH100="","",Generation!AH100)</f>
        <v/>
      </c>
    </row>
    <row r="3825" spans="1:1" ht="18" customHeight="1">
      <c r="A3825" t="str">
        <f>IF(Generation!AI100="","",Generation!AI100)</f>
        <v/>
      </c>
    </row>
    <row r="3826" spans="1:1" ht="18" customHeight="1">
      <c r="A3826" t="str">
        <f>IF(Generation!$B100,"        &lt;/render_choice&gt;","")</f>
        <v/>
      </c>
    </row>
    <row r="3827" spans="1:1" ht="18" customHeight="1">
      <c r="A3827" t="str">
        <f>IF(Generation!$B100,"      &lt;/response_lid&gt;","")</f>
        <v/>
      </c>
    </row>
    <row r="3828" spans="1:1" ht="18" customHeight="1">
      <c r="A3828" t="str">
        <f>IF(Generation!$B100,"    &lt;/presentation&gt;","")</f>
        <v/>
      </c>
    </row>
    <row r="3829" spans="1:1" ht="18" customHeight="1">
      <c r="A3829" t="str">
        <f>IF(Generation!$B100,"    &lt;resprocessing&gt;","")</f>
        <v/>
      </c>
    </row>
    <row r="3830" spans="1:1" ht="18" customHeight="1">
      <c r="A3830" t="str">
        <f>IF(Generation!$B100,"      &lt;outcomes&gt;&lt;decvar varname=""SCORE"" vartype=""Decimal"" minvalue=""0"" maxvalue="""&amp;Generation!$H100&amp;"""/&gt;&lt;/outcomes&gt;","")</f>
        <v/>
      </c>
    </row>
    <row r="3831" spans="1:1" ht="18" customHeight="1">
      <c r="A3831" t="str">
        <f>IF(Generation!AJ100="","",Generation!AJ100)</f>
        <v/>
      </c>
    </row>
    <row r="3832" spans="1:1" ht="18" customHeight="1">
      <c r="A3832" t="str">
        <f>IF(Generation!AK100="","",Generation!AK100)</f>
        <v/>
      </c>
    </row>
    <row r="3833" spans="1:1" ht="18" customHeight="1">
      <c r="A3833" t="str">
        <f>IF(Generation!AL100="","",Generation!AL100)</f>
        <v/>
      </c>
    </row>
    <row r="3834" spans="1:1" ht="18" customHeight="1">
      <c r="A3834" t="str">
        <f>IF(Generation!AM100="","",Generation!AM100)</f>
        <v/>
      </c>
    </row>
    <row r="3835" spans="1:1" ht="18" customHeight="1">
      <c r="A3835" t="str">
        <f>IF(Generation!AN100="","",Generation!AN100)</f>
        <v/>
      </c>
    </row>
    <row r="3836" spans="1:1" ht="18" customHeight="1">
      <c r="A3836" t="str">
        <f>IF(Generation!AO100="","",Generation!AO100)</f>
        <v/>
      </c>
    </row>
    <row r="3837" spans="1:1" ht="18" customHeight="1">
      <c r="A3837" t="str">
        <f>IF(Generation!AP100="","",Generation!AP100)</f>
        <v/>
      </c>
    </row>
    <row r="3838" spans="1:1" ht="18" customHeight="1">
      <c r="A3838" t="str">
        <f>IF(Generation!AQ100="","",Generation!AQ100)</f>
        <v/>
      </c>
    </row>
    <row r="3839" spans="1:1" ht="18" customHeight="1">
      <c r="A3839" t="str">
        <f>IF(Generation!$B100,"    &lt;/resprocessing&gt;","")</f>
        <v/>
      </c>
    </row>
    <row r="3840" spans="1:1" ht="18" customHeight="1">
      <c r="A3840" t="str">
        <f>IF(Generation!$B100,"    &lt;itemfeedback ident=""response""&gt;&lt;flow_mat&gt;&lt;material&gt;&lt;mattext texttype=""text/plain""&gt;&lt;/mattext&gt;&lt;/material&gt;&lt;/flow_mat&gt;&lt;/itemfeedback&gt;","")</f>
        <v/>
      </c>
    </row>
    <row r="3841" spans="1:1" ht="18" customHeight="1">
      <c r="A3841" t="str">
        <f>IF(Generation!$B100,"  &lt;/item&gt;","")</f>
        <v/>
      </c>
    </row>
    <row r="3842" spans="1:1" ht="18" customHeight="1">
      <c r="A3842" t="str">
        <f>IF(Generation!$B100,"","")</f>
        <v/>
      </c>
    </row>
    <row r="3843" spans="1:1" ht="18" customHeight="1">
      <c r="A3843" t="str">
        <f>""</f>
        <v/>
      </c>
    </row>
    <row r="3844" spans="1:1" ht="18" customHeight="1">
      <c r="A3844" t="str">
        <f>IF(Generation!$B101,"  &lt;item ident=""il_0_qst_"&amp;TEXT(Generation!$A101,"000")&amp;""" title="""&amp;Generation!$F101&amp;"""&gt;","")</f>
        <v/>
      </c>
    </row>
    <row r="3845" spans="1:1" ht="18" customHeight="1">
      <c r="A3845" t="str">
        <f>IF(Generation!$B101,"    &lt;duration&gt;P0Y0M0DT0H1M0S&lt;/duration&gt;","")</f>
        <v/>
      </c>
    </row>
    <row r="3846" spans="1:1" ht="18" customHeight="1">
      <c r="A3846" t="str">
        <f>IF(Generation!$B101,"    &lt;itemmetadata&gt;","")</f>
        <v/>
      </c>
    </row>
    <row r="3847" spans="1:1" ht="18" customHeight="1">
      <c r="A3847" t="str">
        <f>IF(Generation!$B101,"      &lt;qtimetadata&gt;","")</f>
        <v/>
      </c>
    </row>
    <row r="3848" spans="1:1" ht="18" customHeight="1">
      <c r="A3848" t="str">
        <f>IF(Generation!$B101,"        &lt;qtimetadatafield&gt;&lt;fieldlabel&gt;ILIAS_VERSION&lt;/fieldlabel&gt;&lt;fieldentry&gt;8&lt;/fieldentry&gt;&lt;/qtimetadatafield&gt;","")</f>
        <v/>
      </c>
    </row>
    <row r="3849" spans="1:1" ht="18" customHeight="1">
      <c r="A3849" t="str">
        <f>IF(Generation!$B101,"        &lt;qtimetadatafield&gt;&lt;fieldlabel&gt;QUESTIONTYPE&lt;/fieldlabel&gt;&lt;fieldentry&gt;"&amp;Generation!$D101&amp;"&lt;/fieldentry&gt;&lt;/qtimetadatafield&gt;","")</f>
        <v/>
      </c>
    </row>
    <row r="3850" spans="1:1" ht="18" customHeight="1">
      <c r="A3850" t="str">
        <f>IF(Generation!$B101,"        &lt;qtimetadatafield&gt;&lt;fieldlabel&gt;AUTHOR&lt;/fieldlabel&gt;&lt;fieldentry&gt;Générateur Excel QTI&lt;/fieldentry&gt;&lt;/qtimetadatafield&gt;","")</f>
        <v/>
      </c>
    </row>
    <row r="3851" spans="1:1" ht="18" customHeight="1">
      <c r="A3851" t="str">
        <f>IF(Generation!$B101,"        &lt;qtimetadatafield&gt;&lt;fieldlabel&gt;identicalScoring&lt;/fieldlabel&gt;&lt;fieldentry&gt;1&lt;/fieldentry&gt;&lt;/qtimetadatafield&gt;","")</f>
        <v/>
      </c>
    </row>
    <row r="3852" spans="1:1" ht="18" customHeight="1">
      <c r="A3852" t="str">
        <f>IF(Generation!$B101,"      &lt;/qtimetadata&gt;","")</f>
        <v/>
      </c>
    </row>
    <row r="3853" spans="1:1" ht="18" customHeight="1">
      <c r="A3853" t="str">
        <f>IF(Generation!$B101,"    &lt;/itemmetadata&gt;","")</f>
        <v/>
      </c>
    </row>
    <row r="3854" spans="1:1" ht="18" customHeight="1">
      <c r="A3854" t="str">
        <f>IF(Generation!$B101,"    &lt;presentation label="""&amp;Generation!$F101&amp;"""&gt;","")</f>
        <v/>
      </c>
    </row>
    <row r="3855" spans="1:1" ht="18" customHeight="1">
      <c r="A3855" t="str">
        <f>IF(Generation!$B101,"      &lt;material&gt;&lt;mattext texttype=""text/html""&gt;"&amp;Generation!$G101&amp;"&lt;/mattext&gt;&lt;/material&gt;","")</f>
        <v/>
      </c>
    </row>
    <row r="3856" spans="1:1" ht="18" customHeight="1">
      <c r="A3856" t="str">
        <f>IF(Generation!$B101,"      &lt;response_lid ident=""RESPONSE"" rcardinality="""&amp;Generation!$E101&amp;"""&gt;","")</f>
        <v/>
      </c>
    </row>
    <row r="3857" spans="1:1" ht="18" customHeight="1">
      <c r="A3857" t="str">
        <f>IF(Generation!$B101,"        &lt;render_choice shuffle=""No""&gt;","")</f>
        <v/>
      </c>
    </row>
    <row r="3858" spans="1:1" ht="18" customHeight="1">
      <c r="A3858" t="str">
        <f>IF(Generation!AB101="","",Generation!AB101)</f>
        <v/>
      </c>
    </row>
    <row r="3859" spans="1:1" ht="18" customHeight="1">
      <c r="A3859" t="str">
        <f>IF(Generation!AC101="","",Generation!AC101)</f>
        <v/>
      </c>
    </row>
    <row r="3860" spans="1:1" ht="18" customHeight="1">
      <c r="A3860" t="str">
        <f>IF(Generation!AD101="","",Generation!AD101)</f>
        <v/>
      </c>
    </row>
    <row r="3861" spans="1:1" ht="18" customHeight="1">
      <c r="A3861" t="str">
        <f>IF(Generation!AE101="","",Generation!AE101)</f>
        <v/>
      </c>
    </row>
    <row r="3862" spans="1:1" ht="18" customHeight="1">
      <c r="A3862" t="str">
        <f>IF(Generation!AF101="","",Generation!AF101)</f>
        <v/>
      </c>
    </row>
    <row r="3863" spans="1:1" ht="18" customHeight="1">
      <c r="A3863" t="str">
        <f>IF(Generation!AG101="","",Generation!AG101)</f>
        <v/>
      </c>
    </row>
    <row r="3864" spans="1:1" ht="18" customHeight="1">
      <c r="A3864" t="str">
        <f>IF(Generation!AH101="","",Generation!AH101)</f>
        <v/>
      </c>
    </row>
    <row r="3865" spans="1:1" ht="18" customHeight="1">
      <c r="A3865" t="str">
        <f>IF(Generation!AI101="","",Generation!AI101)</f>
        <v/>
      </c>
    </row>
    <row r="3866" spans="1:1" ht="18" customHeight="1">
      <c r="A3866" t="str">
        <f>IF(Generation!$B101,"        &lt;/render_choice&gt;","")</f>
        <v/>
      </c>
    </row>
    <row r="3867" spans="1:1" ht="18" customHeight="1">
      <c r="A3867" t="str">
        <f>IF(Generation!$B101,"      &lt;/response_lid&gt;","")</f>
        <v/>
      </c>
    </row>
    <row r="3868" spans="1:1" ht="18" customHeight="1">
      <c r="A3868" t="str">
        <f>IF(Generation!$B101,"    &lt;/presentation&gt;","")</f>
        <v/>
      </c>
    </row>
    <row r="3869" spans="1:1" ht="18" customHeight="1">
      <c r="A3869" t="str">
        <f>IF(Generation!$B101,"    &lt;resprocessing&gt;","")</f>
        <v/>
      </c>
    </row>
    <row r="3870" spans="1:1" ht="18" customHeight="1">
      <c r="A3870" t="str">
        <f>IF(Generation!$B101,"      &lt;outcomes&gt;&lt;decvar varname=""SCORE"" vartype=""Decimal"" minvalue=""0"" maxvalue="""&amp;Generation!$H101&amp;"""/&gt;&lt;/outcomes&gt;","")</f>
        <v/>
      </c>
    </row>
    <row r="3871" spans="1:1" ht="18" customHeight="1">
      <c r="A3871" t="str">
        <f>IF(Generation!AJ101="","",Generation!AJ101)</f>
        <v/>
      </c>
    </row>
    <row r="3872" spans="1:1" ht="18" customHeight="1">
      <c r="A3872" t="str">
        <f>IF(Generation!AK101="","",Generation!AK101)</f>
        <v/>
      </c>
    </row>
    <row r="3873" spans="1:1" ht="18" customHeight="1">
      <c r="A3873" t="str">
        <f>IF(Generation!AL101="","",Generation!AL101)</f>
        <v/>
      </c>
    </row>
    <row r="3874" spans="1:1" ht="18" customHeight="1">
      <c r="A3874" t="str">
        <f>IF(Generation!AM101="","",Generation!AM101)</f>
        <v/>
      </c>
    </row>
    <row r="3875" spans="1:1" ht="18" customHeight="1">
      <c r="A3875" t="str">
        <f>IF(Generation!AN101="","",Generation!AN101)</f>
        <v/>
      </c>
    </row>
    <row r="3876" spans="1:1" ht="18" customHeight="1">
      <c r="A3876" t="str">
        <f>IF(Generation!AO101="","",Generation!AO101)</f>
        <v/>
      </c>
    </row>
    <row r="3877" spans="1:1" ht="18" customHeight="1">
      <c r="A3877" t="str">
        <f>IF(Generation!AP101="","",Generation!AP101)</f>
        <v/>
      </c>
    </row>
    <row r="3878" spans="1:1" ht="18" customHeight="1">
      <c r="A3878" t="str">
        <f>IF(Generation!AQ101="","",Generation!AQ101)</f>
        <v/>
      </c>
    </row>
    <row r="3879" spans="1:1" ht="18" customHeight="1">
      <c r="A3879" t="str">
        <f>IF(Generation!$B101,"    &lt;/resprocessing&gt;","")</f>
        <v/>
      </c>
    </row>
    <row r="3880" spans="1:1" ht="18" customHeight="1">
      <c r="A3880" t="str">
        <f>IF(Generation!$B101,"    &lt;itemfeedback ident=""response""&gt;&lt;flow_mat&gt;&lt;material&gt;&lt;mattext texttype=""text/plain""&gt;&lt;/mattext&gt;&lt;/material&gt;&lt;/flow_mat&gt;&lt;/itemfeedback&gt;","")</f>
        <v/>
      </c>
    </row>
    <row r="3881" spans="1:1" ht="18" customHeight="1">
      <c r="A3881" t="str">
        <f>IF(Generation!$B101,"  &lt;/item&gt;","")</f>
        <v/>
      </c>
    </row>
    <row r="3882" spans="1:1" ht="18" customHeight="1">
      <c r="A3882" t="str">
        <f>IF(Generation!$B101,"","")</f>
        <v/>
      </c>
    </row>
    <row r="3883" spans="1:1" ht="18" customHeight="1">
      <c r="A3883" t="str">
        <f>""</f>
        <v/>
      </c>
    </row>
    <row r="3884" spans="1:1" ht="18" customHeight="1">
      <c r="A3884" t="str">
        <f>IF(Generation!$B102,"  &lt;item ident=""il_0_qst_"&amp;TEXT(Generation!$A102,"000")&amp;""" title="""&amp;Generation!$F102&amp;"""&gt;","")</f>
        <v/>
      </c>
    </row>
    <row r="3885" spans="1:1" ht="18" customHeight="1">
      <c r="A3885" t="str">
        <f>IF(Generation!$B102,"    &lt;duration&gt;P0Y0M0DT0H1M0S&lt;/duration&gt;","")</f>
        <v/>
      </c>
    </row>
    <row r="3886" spans="1:1" ht="18" customHeight="1">
      <c r="A3886" t="str">
        <f>IF(Generation!$B102,"    &lt;itemmetadata&gt;","")</f>
        <v/>
      </c>
    </row>
    <row r="3887" spans="1:1" ht="18" customHeight="1">
      <c r="A3887" t="str">
        <f>IF(Generation!$B102,"      &lt;qtimetadata&gt;","")</f>
        <v/>
      </c>
    </row>
    <row r="3888" spans="1:1" ht="18" customHeight="1">
      <c r="A3888" t="str">
        <f>IF(Generation!$B102,"        &lt;qtimetadatafield&gt;&lt;fieldlabel&gt;ILIAS_VERSION&lt;/fieldlabel&gt;&lt;fieldentry&gt;8&lt;/fieldentry&gt;&lt;/qtimetadatafield&gt;","")</f>
        <v/>
      </c>
    </row>
    <row r="3889" spans="1:1" ht="18" customHeight="1">
      <c r="A3889" t="str">
        <f>IF(Generation!$B102,"        &lt;qtimetadatafield&gt;&lt;fieldlabel&gt;QUESTIONTYPE&lt;/fieldlabel&gt;&lt;fieldentry&gt;"&amp;Generation!$D102&amp;"&lt;/fieldentry&gt;&lt;/qtimetadatafield&gt;","")</f>
        <v/>
      </c>
    </row>
    <row r="3890" spans="1:1" ht="18" customHeight="1">
      <c r="A3890" t="str">
        <f>IF(Generation!$B102,"        &lt;qtimetadatafield&gt;&lt;fieldlabel&gt;AUTHOR&lt;/fieldlabel&gt;&lt;fieldentry&gt;Générateur Excel QTI&lt;/fieldentry&gt;&lt;/qtimetadatafield&gt;","")</f>
        <v/>
      </c>
    </row>
    <row r="3891" spans="1:1" ht="18" customHeight="1">
      <c r="A3891" t="str">
        <f>IF(Generation!$B102,"        &lt;qtimetadatafield&gt;&lt;fieldlabel&gt;identicalScoring&lt;/fieldlabel&gt;&lt;fieldentry&gt;1&lt;/fieldentry&gt;&lt;/qtimetadatafield&gt;","")</f>
        <v/>
      </c>
    </row>
    <row r="3892" spans="1:1" ht="18" customHeight="1">
      <c r="A3892" t="str">
        <f>IF(Generation!$B102,"      &lt;/qtimetadata&gt;","")</f>
        <v/>
      </c>
    </row>
    <row r="3893" spans="1:1" ht="18" customHeight="1">
      <c r="A3893" t="str">
        <f>IF(Generation!$B102,"    &lt;/itemmetadata&gt;","")</f>
        <v/>
      </c>
    </row>
    <row r="3894" spans="1:1" ht="18" customHeight="1">
      <c r="A3894" t="str">
        <f>IF(Generation!$B102,"    &lt;presentation label="""&amp;Generation!$F102&amp;"""&gt;","")</f>
        <v/>
      </c>
    </row>
    <row r="3895" spans="1:1" ht="18" customHeight="1">
      <c r="A3895" t="str">
        <f>IF(Generation!$B102,"      &lt;material&gt;&lt;mattext texttype=""text/html""&gt;"&amp;Generation!$G102&amp;"&lt;/mattext&gt;&lt;/material&gt;","")</f>
        <v/>
      </c>
    </row>
    <row r="3896" spans="1:1" ht="18" customHeight="1">
      <c r="A3896" t="str">
        <f>IF(Generation!$B102,"      &lt;response_lid ident=""RESPONSE"" rcardinality="""&amp;Generation!$E102&amp;"""&gt;","")</f>
        <v/>
      </c>
    </row>
    <row r="3897" spans="1:1" ht="18" customHeight="1">
      <c r="A3897" t="str">
        <f>IF(Generation!$B102,"        &lt;render_choice shuffle=""No""&gt;","")</f>
        <v/>
      </c>
    </row>
    <row r="3898" spans="1:1" ht="18" customHeight="1">
      <c r="A3898" t="str">
        <f>IF(Generation!AB102="","",Generation!AB102)</f>
        <v/>
      </c>
    </row>
    <row r="3899" spans="1:1" ht="18" customHeight="1">
      <c r="A3899" t="str">
        <f>IF(Generation!AC102="","",Generation!AC102)</f>
        <v/>
      </c>
    </row>
    <row r="3900" spans="1:1" ht="18" customHeight="1">
      <c r="A3900" t="str">
        <f>IF(Generation!AD102="","",Generation!AD102)</f>
        <v/>
      </c>
    </row>
    <row r="3901" spans="1:1" ht="18" customHeight="1">
      <c r="A3901" t="str">
        <f>IF(Generation!AE102="","",Generation!AE102)</f>
        <v/>
      </c>
    </row>
    <row r="3902" spans="1:1" ht="18" customHeight="1">
      <c r="A3902" t="str">
        <f>IF(Generation!AF102="","",Generation!AF102)</f>
        <v/>
      </c>
    </row>
    <row r="3903" spans="1:1" ht="18" customHeight="1">
      <c r="A3903" t="str">
        <f>IF(Generation!AG102="","",Generation!AG102)</f>
        <v/>
      </c>
    </row>
    <row r="3904" spans="1:1" ht="18" customHeight="1">
      <c r="A3904" t="str">
        <f>IF(Generation!AH102="","",Generation!AH102)</f>
        <v/>
      </c>
    </row>
    <row r="3905" spans="1:1" ht="18" customHeight="1">
      <c r="A3905" t="str">
        <f>IF(Generation!AI102="","",Generation!AI102)</f>
        <v/>
      </c>
    </row>
    <row r="3906" spans="1:1" ht="18" customHeight="1">
      <c r="A3906" t="str">
        <f>IF(Generation!$B102,"        &lt;/render_choice&gt;","")</f>
        <v/>
      </c>
    </row>
    <row r="3907" spans="1:1" ht="18" customHeight="1">
      <c r="A3907" t="str">
        <f>IF(Generation!$B102,"      &lt;/response_lid&gt;","")</f>
        <v/>
      </c>
    </row>
    <row r="3908" spans="1:1" ht="18" customHeight="1">
      <c r="A3908" t="str">
        <f>IF(Generation!$B102,"    &lt;/presentation&gt;","")</f>
        <v/>
      </c>
    </row>
    <row r="3909" spans="1:1" ht="18" customHeight="1">
      <c r="A3909" t="str">
        <f>IF(Generation!$B102,"    &lt;resprocessing&gt;","")</f>
        <v/>
      </c>
    </row>
    <row r="3910" spans="1:1" ht="18" customHeight="1">
      <c r="A3910" t="str">
        <f>IF(Generation!$B102,"      &lt;outcomes&gt;&lt;decvar varname=""SCORE"" vartype=""Decimal"" minvalue=""0"" maxvalue="""&amp;Generation!$H102&amp;"""/&gt;&lt;/outcomes&gt;","")</f>
        <v/>
      </c>
    </row>
    <row r="3911" spans="1:1" ht="18" customHeight="1">
      <c r="A3911" t="str">
        <f>IF(Generation!AJ102="","",Generation!AJ102)</f>
        <v/>
      </c>
    </row>
    <row r="3912" spans="1:1" ht="18" customHeight="1">
      <c r="A3912" t="str">
        <f>IF(Generation!AK102="","",Generation!AK102)</f>
        <v/>
      </c>
    </row>
    <row r="3913" spans="1:1" ht="18" customHeight="1">
      <c r="A3913" t="str">
        <f>IF(Generation!AL102="","",Generation!AL102)</f>
        <v/>
      </c>
    </row>
    <row r="3914" spans="1:1" ht="18" customHeight="1">
      <c r="A3914" t="str">
        <f>IF(Generation!AM102="","",Generation!AM102)</f>
        <v/>
      </c>
    </row>
    <row r="3915" spans="1:1" ht="18" customHeight="1">
      <c r="A3915" t="str">
        <f>IF(Generation!AN102="","",Generation!AN102)</f>
        <v/>
      </c>
    </row>
    <row r="3916" spans="1:1" ht="18" customHeight="1">
      <c r="A3916" t="str">
        <f>IF(Generation!AO102="","",Generation!AO102)</f>
        <v/>
      </c>
    </row>
    <row r="3917" spans="1:1" ht="18" customHeight="1">
      <c r="A3917" t="str">
        <f>IF(Generation!AP102="","",Generation!AP102)</f>
        <v/>
      </c>
    </row>
    <row r="3918" spans="1:1" ht="18" customHeight="1">
      <c r="A3918" t="str">
        <f>IF(Generation!AQ102="","",Generation!AQ102)</f>
        <v/>
      </c>
    </row>
    <row r="3919" spans="1:1" ht="18" customHeight="1">
      <c r="A3919" t="str">
        <f>IF(Generation!$B102,"    &lt;/resprocessing&gt;","")</f>
        <v/>
      </c>
    </row>
    <row r="3920" spans="1:1" ht="18" customHeight="1">
      <c r="A3920" t="str">
        <f>IF(Generation!$B102,"    &lt;itemfeedback ident=""response""&gt;&lt;flow_mat&gt;&lt;material&gt;&lt;mattext texttype=""text/plain""&gt;&lt;/mattext&gt;&lt;/material&gt;&lt;/flow_mat&gt;&lt;/itemfeedback&gt;","")</f>
        <v/>
      </c>
    </row>
    <row r="3921" spans="1:1" ht="18" customHeight="1">
      <c r="A3921" t="str">
        <f>IF(Generation!$B102,"  &lt;/item&gt;","")</f>
        <v/>
      </c>
    </row>
    <row r="3922" spans="1:1" ht="18" customHeight="1">
      <c r="A3922" t="str">
        <f>IF(Generation!$B102,"","")</f>
        <v/>
      </c>
    </row>
    <row r="3923" spans="1:1" ht="18" customHeight="1">
      <c r="A3923" t="str">
        <f>""</f>
        <v/>
      </c>
    </row>
    <row r="3924" spans="1:1" ht="18" customHeight="1">
      <c r="A3924" t="str">
        <f>IF(Generation!$B103,"  &lt;item ident=""il_0_qst_"&amp;TEXT(Generation!$A103,"000")&amp;""" title="""&amp;Generation!$F103&amp;"""&gt;","")</f>
        <v/>
      </c>
    </row>
    <row r="3925" spans="1:1" ht="18" customHeight="1">
      <c r="A3925" t="str">
        <f>IF(Generation!$B103,"    &lt;duration&gt;P0Y0M0DT0H1M0S&lt;/duration&gt;","")</f>
        <v/>
      </c>
    </row>
    <row r="3926" spans="1:1" ht="18" customHeight="1">
      <c r="A3926" t="str">
        <f>IF(Generation!$B103,"    &lt;itemmetadata&gt;","")</f>
        <v/>
      </c>
    </row>
    <row r="3927" spans="1:1" ht="18" customHeight="1">
      <c r="A3927" t="str">
        <f>IF(Generation!$B103,"      &lt;qtimetadata&gt;","")</f>
        <v/>
      </c>
    </row>
    <row r="3928" spans="1:1" ht="18" customHeight="1">
      <c r="A3928" t="str">
        <f>IF(Generation!$B103,"        &lt;qtimetadatafield&gt;&lt;fieldlabel&gt;ILIAS_VERSION&lt;/fieldlabel&gt;&lt;fieldentry&gt;8&lt;/fieldentry&gt;&lt;/qtimetadatafield&gt;","")</f>
        <v/>
      </c>
    </row>
    <row r="3929" spans="1:1" ht="18" customHeight="1">
      <c r="A3929" t="str">
        <f>IF(Generation!$B103,"        &lt;qtimetadatafield&gt;&lt;fieldlabel&gt;QUESTIONTYPE&lt;/fieldlabel&gt;&lt;fieldentry&gt;"&amp;Generation!$D103&amp;"&lt;/fieldentry&gt;&lt;/qtimetadatafield&gt;","")</f>
        <v/>
      </c>
    </row>
    <row r="3930" spans="1:1" ht="18" customHeight="1">
      <c r="A3930" t="str">
        <f>IF(Generation!$B103,"        &lt;qtimetadatafield&gt;&lt;fieldlabel&gt;AUTHOR&lt;/fieldlabel&gt;&lt;fieldentry&gt;Générateur Excel QTI&lt;/fieldentry&gt;&lt;/qtimetadatafield&gt;","")</f>
        <v/>
      </c>
    </row>
    <row r="3931" spans="1:1" ht="18" customHeight="1">
      <c r="A3931" t="str">
        <f>IF(Generation!$B103,"        &lt;qtimetadatafield&gt;&lt;fieldlabel&gt;identicalScoring&lt;/fieldlabel&gt;&lt;fieldentry&gt;1&lt;/fieldentry&gt;&lt;/qtimetadatafield&gt;","")</f>
        <v/>
      </c>
    </row>
    <row r="3932" spans="1:1" ht="18" customHeight="1">
      <c r="A3932" t="str">
        <f>IF(Generation!$B103,"      &lt;/qtimetadata&gt;","")</f>
        <v/>
      </c>
    </row>
    <row r="3933" spans="1:1" ht="18" customHeight="1">
      <c r="A3933" t="str">
        <f>IF(Generation!$B103,"    &lt;/itemmetadata&gt;","")</f>
        <v/>
      </c>
    </row>
    <row r="3934" spans="1:1" ht="18" customHeight="1">
      <c r="A3934" t="str">
        <f>IF(Generation!$B103,"    &lt;presentation label="""&amp;Generation!$F103&amp;"""&gt;","")</f>
        <v/>
      </c>
    </row>
    <row r="3935" spans="1:1" ht="18" customHeight="1">
      <c r="A3935" t="str">
        <f>IF(Generation!$B103,"      &lt;material&gt;&lt;mattext texttype=""text/html""&gt;"&amp;Generation!$G103&amp;"&lt;/mattext&gt;&lt;/material&gt;","")</f>
        <v/>
      </c>
    </row>
    <row r="3936" spans="1:1" ht="18" customHeight="1">
      <c r="A3936" t="str">
        <f>IF(Generation!$B103,"      &lt;response_lid ident=""RESPONSE"" rcardinality="""&amp;Generation!$E103&amp;"""&gt;","")</f>
        <v/>
      </c>
    </row>
    <row r="3937" spans="1:1" ht="18" customHeight="1">
      <c r="A3937" t="str">
        <f>IF(Generation!$B103,"        &lt;render_choice shuffle=""No""&gt;","")</f>
        <v/>
      </c>
    </row>
    <row r="3938" spans="1:1" ht="18" customHeight="1">
      <c r="A3938" t="str">
        <f>IF(Generation!AB103="","",Generation!AB103)</f>
        <v/>
      </c>
    </row>
    <row r="3939" spans="1:1" ht="18" customHeight="1">
      <c r="A3939" t="str">
        <f>IF(Generation!AC103="","",Generation!AC103)</f>
        <v/>
      </c>
    </row>
    <row r="3940" spans="1:1" ht="18" customHeight="1">
      <c r="A3940" t="str">
        <f>IF(Generation!AD103="","",Generation!AD103)</f>
        <v/>
      </c>
    </row>
    <row r="3941" spans="1:1" ht="18" customHeight="1">
      <c r="A3941" t="str">
        <f>IF(Generation!AE103="","",Generation!AE103)</f>
        <v/>
      </c>
    </row>
    <row r="3942" spans="1:1" ht="18" customHeight="1">
      <c r="A3942" t="str">
        <f>IF(Generation!AF103="","",Generation!AF103)</f>
        <v/>
      </c>
    </row>
    <row r="3943" spans="1:1" ht="18" customHeight="1">
      <c r="A3943" t="str">
        <f>IF(Generation!AG103="","",Generation!AG103)</f>
        <v/>
      </c>
    </row>
    <row r="3944" spans="1:1" ht="18" customHeight="1">
      <c r="A3944" t="str">
        <f>IF(Generation!AH103="","",Generation!AH103)</f>
        <v/>
      </c>
    </row>
    <row r="3945" spans="1:1" ht="18" customHeight="1">
      <c r="A3945" t="str">
        <f>IF(Generation!AI103="","",Generation!AI103)</f>
        <v/>
      </c>
    </row>
    <row r="3946" spans="1:1" ht="18" customHeight="1">
      <c r="A3946" t="str">
        <f>IF(Generation!$B103,"        &lt;/render_choice&gt;","")</f>
        <v/>
      </c>
    </row>
    <row r="3947" spans="1:1" ht="18" customHeight="1">
      <c r="A3947" t="str">
        <f>IF(Generation!$B103,"      &lt;/response_lid&gt;","")</f>
        <v/>
      </c>
    </row>
    <row r="3948" spans="1:1" ht="18" customHeight="1">
      <c r="A3948" t="str">
        <f>IF(Generation!$B103,"    &lt;/presentation&gt;","")</f>
        <v/>
      </c>
    </row>
    <row r="3949" spans="1:1" ht="18" customHeight="1">
      <c r="A3949" t="str">
        <f>IF(Generation!$B103,"    &lt;resprocessing&gt;","")</f>
        <v/>
      </c>
    </row>
    <row r="3950" spans="1:1" ht="18" customHeight="1">
      <c r="A3950" t="str">
        <f>IF(Generation!$B103,"      &lt;outcomes&gt;&lt;decvar varname=""SCORE"" vartype=""Decimal"" minvalue=""0"" maxvalue="""&amp;Generation!$H103&amp;"""/&gt;&lt;/outcomes&gt;","")</f>
        <v/>
      </c>
    </row>
    <row r="3951" spans="1:1" ht="18" customHeight="1">
      <c r="A3951" t="str">
        <f>IF(Generation!AJ103="","",Generation!AJ103)</f>
        <v/>
      </c>
    </row>
    <row r="3952" spans="1:1" ht="18" customHeight="1">
      <c r="A3952" t="str">
        <f>IF(Generation!AK103="","",Generation!AK103)</f>
        <v/>
      </c>
    </row>
    <row r="3953" spans="1:1" ht="18" customHeight="1">
      <c r="A3953" t="str">
        <f>IF(Generation!AL103="","",Generation!AL103)</f>
        <v/>
      </c>
    </row>
    <row r="3954" spans="1:1" ht="18" customHeight="1">
      <c r="A3954" t="str">
        <f>IF(Generation!AM103="","",Generation!AM103)</f>
        <v/>
      </c>
    </row>
    <row r="3955" spans="1:1" ht="18" customHeight="1">
      <c r="A3955" t="str">
        <f>IF(Generation!AN103="","",Generation!AN103)</f>
        <v/>
      </c>
    </row>
    <row r="3956" spans="1:1" ht="18" customHeight="1">
      <c r="A3956" t="str">
        <f>IF(Generation!AO103="","",Generation!AO103)</f>
        <v/>
      </c>
    </row>
    <row r="3957" spans="1:1" ht="18" customHeight="1">
      <c r="A3957" t="str">
        <f>IF(Generation!AP103="","",Generation!AP103)</f>
        <v/>
      </c>
    </row>
    <row r="3958" spans="1:1" ht="18" customHeight="1">
      <c r="A3958" t="str">
        <f>IF(Generation!AQ103="","",Generation!AQ103)</f>
        <v/>
      </c>
    </row>
    <row r="3959" spans="1:1" ht="18" customHeight="1">
      <c r="A3959" t="str">
        <f>IF(Generation!$B103,"    &lt;/resprocessing&gt;","")</f>
        <v/>
      </c>
    </row>
    <row r="3960" spans="1:1" ht="18" customHeight="1">
      <c r="A3960" t="str">
        <f>IF(Generation!$B103,"    &lt;itemfeedback ident=""response""&gt;&lt;flow_mat&gt;&lt;material&gt;&lt;mattext texttype=""text/plain""&gt;&lt;/mattext&gt;&lt;/material&gt;&lt;/flow_mat&gt;&lt;/itemfeedback&gt;","")</f>
        <v/>
      </c>
    </row>
    <row r="3961" spans="1:1" ht="18" customHeight="1">
      <c r="A3961" t="str">
        <f>IF(Generation!$B103,"  &lt;/item&gt;","")</f>
        <v/>
      </c>
    </row>
    <row r="3962" spans="1:1" ht="18" customHeight="1">
      <c r="A3962" t="str">
        <f>IF(Generation!$B103,"","")</f>
        <v/>
      </c>
    </row>
    <row r="3963" spans="1:1" ht="18" customHeight="1">
      <c r="A3963" t="str">
        <f>""</f>
        <v/>
      </c>
    </row>
    <row r="3964" spans="1:1" ht="18" customHeight="1">
      <c r="A3964" t="str">
        <f>IF(Generation!$B104,"  &lt;item ident=""il_0_qst_"&amp;TEXT(Generation!$A104,"000")&amp;""" title="""&amp;Generation!$F104&amp;"""&gt;","")</f>
        <v/>
      </c>
    </row>
    <row r="3965" spans="1:1" ht="18" customHeight="1">
      <c r="A3965" t="str">
        <f>IF(Generation!$B104,"    &lt;duration&gt;P0Y0M0DT0H1M0S&lt;/duration&gt;","")</f>
        <v/>
      </c>
    </row>
    <row r="3966" spans="1:1" ht="18" customHeight="1">
      <c r="A3966" t="str">
        <f>IF(Generation!$B104,"    &lt;itemmetadata&gt;","")</f>
        <v/>
      </c>
    </row>
    <row r="3967" spans="1:1" ht="18" customHeight="1">
      <c r="A3967" t="str">
        <f>IF(Generation!$B104,"      &lt;qtimetadata&gt;","")</f>
        <v/>
      </c>
    </row>
    <row r="3968" spans="1:1" ht="18" customHeight="1">
      <c r="A3968" t="str">
        <f>IF(Generation!$B104,"        &lt;qtimetadatafield&gt;&lt;fieldlabel&gt;ILIAS_VERSION&lt;/fieldlabel&gt;&lt;fieldentry&gt;8&lt;/fieldentry&gt;&lt;/qtimetadatafield&gt;","")</f>
        <v/>
      </c>
    </row>
    <row r="3969" spans="1:1" ht="18" customHeight="1">
      <c r="A3969" t="str">
        <f>IF(Generation!$B104,"        &lt;qtimetadatafield&gt;&lt;fieldlabel&gt;QUESTIONTYPE&lt;/fieldlabel&gt;&lt;fieldentry&gt;"&amp;Generation!$D104&amp;"&lt;/fieldentry&gt;&lt;/qtimetadatafield&gt;","")</f>
        <v/>
      </c>
    </row>
    <row r="3970" spans="1:1" ht="18" customHeight="1">
      <c r="A3970" t="str">
        <f>IF(Generation!$B104,"        &lt;qtimetadatafield&gt;&lt;fieldlabel&gt;AUTHOR&lt;/fieldlabel&gt;&lt;fieldentry&gt;Générateur Excel QTI&lt;/fieldentry&gt;&lt;/qtimetadatafield&gt;","")</f>
        <v/>
      </c>
    </row>
    <row r="3971" spans="1:1" ht="18" customHeight="1">
      <c r="A3971" t="str">
        <f>IF(Generation!$B104,"        &lt;qtimetadatafield&gt;&lt;fieldlabel&gt;identicalScoring&lt;/fieldlabel&gt;&lt;fieldentry&gt;1&lt;/fieldentry&gt;&lt;/qtimetadatafield&gt;","")</f>
        <v/>
      </c>
    </row>
    <row r="3972" spans="1:1" ht="18" customHeight="1">
      <c r="A3972" t="str">
        <f>IF(Generation!$B104,"      &lt;/qtimetadata&gt;","")</f>
        <v/>
      </c>
    </row>
    <row r="3973" spans="1:1" ht="18" customHeight="1">
      <c r="A3973" t="str">
        <f>IF(Generation!$B104,"    &lt;/itemmetadata&gt;","")</f>
        <v/>
      </c>
    </row>
    <row r="3974" spans="1:1" ht="18" customHeight="1">
      <c r="A3974" t="str">
        <f>IF(Generation!$B104,"    &lt;presentation label="""&amp;Generation!$F104&amp;"""&gt;","")</f>
        <v/>
      </c>
    </row>
    <row r="3975" spans="1:1" ht="18" customHeight="1">
      <c r="A3975" t="str">
        <f>IF(Generation!$B104,"      &lt;material&gt;&lt;mattext texttype=""text/html""&gt;"&amp;Generation!$G104&amp;"&lt;/mattext&gt;&lt;/material&gt;","")</f>
        <v/>
      </c>
    </row>
    <row r="3976" spans="1:1" ht="18" customHeight="1">
      <c r="A3976" t="str">
        <f>IF(Generation!$B104,"      &lt;response_lid ident=""RESPONSE"" rcardinality="""&amp;Generation!$E104&amp;"""&gt;","")</f>
        <v/>
      </c>
    </row>
    <row r="3977" spans="1:1" ht="18" customHeight="1">
      <c r="A3977" t="str">
        <f>IF(Generation!$B104,"        &lt;render_choice shuffle=""No""&gt;","")</f>
        <v/>
      </c>
    </row>
    <row r="3978" spans="1:1" ht="18" customHeight="1">
      <c r="A3978" t="str">
        <f>IF(Generation!AB104="","",Generation!AB104)</f>
        <v/>
      </c>
    </row>
    <row r="3979" spans="1:1" ht="18" customHeight="1">
      <c r="A3979" t="str">
        <f>IF(Generation!AC104="","",Generation!AC104)</f>
        <v/>
      </c>
    </row>
    <row r="3980" spans="1:1" ht="18" customHeight="1">
      <c r="A3980" t="str">
        <f>IF(Generation!AD104="","",Generation!AD104)</f>
        <v/>
      </c>
    </row>
    <row r="3981" spans="1:1" ht="18" customHeight="1">
      <c r="A3981" t="str">
        <f>IF(Generation!AE104="","",Generation!AE104)</f>
        <v/>
      </c>
    </row>
    <row r="3982" spans="1:1" ht="18" customHeight="1">
      <c r="A3982" t="str">
        <f>IF(Generation!AF104="","",Generation!AF104)</f>
        <v/>
      </c>
    </row>
    <row r="3983" spans="1:1" ht="18" customHeight="1">
      <c r="A3983" t="str">
        <f>IF(Generation!AG104="","",Generation!AG104)</f>
        <v/>
      </c>
    </row>
    <row r="3984" spans="1:1" ht="18" customHeight="1">
      <c r="A3984" t="str">
        <f>IF(Generation!AH104="","",Generation!AH104)</f>
        <v/>
      </c>
    </row>
    <row r="3985" spans="1:1" ht="18" customHeight="1">
      <c r="A3985" t="str">
        <f>IF(Generation!AI104="","",Generation!AI104)</f>
        <v/>
      </c>
    </row>
    <row r="3986" spans="1:1" ht="18" customHeight="1">
      <c r="A3986" t="str">
        <f>IF(Generation!$B104,"        &lt;/render_choice&gt;","")</f>
        <v/>
      </c>
    </row>
    <row r="3987" spans="1:1" ht="18" customHeight="1">
      <c r="A3987" t="str">
        <f>IF(Generation!$B104,"      &lt;/response_lid&gt;","")</f>
        <v/>
      </c>
    </row>
    <row r="3988" spans="1:1" ht="18" customHeight="1">
      <c r="A3988" t="str">
        <f>IF(Generation!$B104,"    &lt;/presentation&gt;","")</f>
        <v/>
      </c>
    </row>
    <row r="3989" spans="1:1" ht="18" customHeight="1">
      <c r="A3989" t="str">
        <f>IF(Generation!$B104,"    &lt;resprocessing&gt;","")</f>
        <v/>
      </c>
    </row>
    <row r="3990" spans="1:1" ht="18" customHeight="1">
      <c r="A3990" t="str">
        <f>IF(Generation!$B104,"      &lt;outcomes&gt;&lt;decvar varname=""SCORE"" vartype=""Decimal"" minvalue=""0"" maxvalue="""&amp;Generation!$H104&amp;"""/&gt;&lt;/outcomes&gt;","")</f>
        <v/>
      </c>
    </row>
    <row r="3991" spans="1:1" ht="18" customHeight="1">
      <c r="A3991" t="str">
        <f>IF(Generation!AJ104="","",Generation!AJ104)</f>
        <v/>
      </c>
    </row>
    <row r="3992" spans="1:1" ht="18" customHeight="1">
      <c r="A3992" t="str">
        <f>IF(Generation!AK104="","",Generation!AK104)</f>
        <v/>
      </c>
    </row>
    <row r="3993" spans="1:1" ht="18" customHeight="1">
      <c r="A3993" t="str">
        <f>IF(Generation!AL104="","",Generation!AL104)</f>
        <v/>
      </c>
    </row>
    <row r="3994" spans="1:1" ht="18" customHeight="1">
      <c r="A3994" t="str">
        <f>IF(Generation!AM104="","",Generation!AM104)</f>
        <v/>
      </c>
    </row>
    <row r="3995" spans="1:1" ht="18" customHeight="1">
      <c r="A3995" t="str">
        <f>IF(Generation!AN104="","",Generation!AN104)</f>
        <v/>
      </c>
    </row>
    <row r="3996" spans="1:1" ht="18" customHeight="1">
      <c r="A3996" t="str">
        <f>IF(Generation!AO104="","",Generation!AO104)</f>
        <v/>
      </c>
    </row>
    <row r="3997" spans="1:1" ht="18" customHeight="1">
      <c r="A3997" t="str">
        <f>IF(Generation!AP104="","",Generation!AP104)</f>
        <v/>
      </c>
    </row>
    <row r="3998" spans="1:1" ht="18" customHeight="1">
      <c r="A3998" t="str">
        <f>IF(Generation!AQ104="","",Generation!AQ104)</f>
        <v/>
      </c>
    </row>
    <row r="3999" spans="1:1" ht="18" customHeight="1">
      <c r="A3999" t="str">
        <f>IF(Generation!$B104,"    &lt;/resprocessing&gt;","")</f>
        <v/>
      </c>
    </row>
    <row r="4000" spans="1:1" ht="18" customHeight="1">
      <c r="A4000" t="str">
        <f>IF(Generation!$B104,"    &lt;itemfeedback ident=""response""&gt;&lt;flow_mat&gt;&lt;material&gt;&lt;mattext texttype=""text/plain""&gt;&lt;/mattext&gt;&lt;/material&gt;&lt;/flow_mat&gt;&lt;/itemfeedback&gt;","")</f>
        <v/>
      </c>
    </row>
    <row r="4001" spans="1:1" ht="18" customHeight="1">
      <c r="A4001" t="str">
        <f>IF(Generation!$B104,"  &lt;/item&gt;","")</f>
        <v/>
      </c>
    </row>
    <row r="4002" spans="1:1" ht="18" customHeight="1">
      <c r="A4002" t="str">
        <f>IF(Generation!$B104,"","")</f>
        <v/>
      </c>
    </row>
    <row r="4003" spans="1:1" ht="18" customHeight="1">
      <c r="A4003" t="str">
        <f>""</f>
        <v/>
      </c>
    </row>
    <row r="4004" spans="1:1" ht="18" customHeight="1">
      <c r="A4004" t="s">
        <v>38</v>
      </c>
    </row>
    <row r="4005" spans="1:1" ht="18" customHeight="1"/>
    <row r="4006" spans="1:1" ht="18" customHeight="1"/>
    <row r="4007" spans="1:1" ht="18" customHeight="1"/>
    <row r="4008" spans="1:1" ht="18" customHeight="1"/>
    <row r="4009" spans="1:1" ht="18" customHeight="1"/>
    <row r="4010" spans="1:1" ht="18" customHeight="1"/>
    <row r="4011" spans="1:1" ht="18" customHeight="1"/>
    <row r="4012" spans="1:1" ht="18" customHeight="1"/>
    <row r="4013" spans="1:1" ht="18" customHeight="1"/>
    <row r="4014" spans="1:1" ht="18" customHeight="1"/>
    <row r="4015" spans="1:1" ht="18" customHeight="1"/>
    <row r="4016" spans="1:1" ht="18" customHeight="1"/>
    <row r="4017" ht="18" customHeight="1"/>
    <row r="4018" ht="18" customHeight="1"/>
    <row r="4019" ht="18" customHeight="1"/>
    <row r="4020" ht="18" customHeight="1"/>
    <row r="4021" ht="18" customHeight="1"/>
    <row r="4022" ht="18" customHeight="1"/>
    <row r="4023" ht="18" customHeight="1"/>
    <row r="4024" ht="18" customHeight="1"/>
    <row r="4025" ht="18" customHeight="1"/>
    <row r="4026" ht="18" customHeight="1"/>
    <row r="4027" ht="18" customHeight="1"/>
    <row r="4028" ht="18" customHeight="1"/>
    <row r="4029" ht="18" customHeight="1"/>
    <row r="4030" ht="18" customHeight="1"/>
    <row r="4031" ht="18" customHeight="1"/>
    <row r="4032" ht="18" customHeight="1"/>
    <row r="4033" ht="18" customHeight="1"/>
    <row r="4034" ht="18" customHeight="1"/>
    <row r="4035" ht="18" customHeight="1"/>
    <row r="4036" ht="18" customHeight="1"/>
    <row r="4037" ht="18" customHeight="1"/>
    <row r="4038" ht="18" customHeight="1"/>
    <row r="4039" ht="18" customHeight="1"/>
    <row r="4040" ht="18" customHeight="1"/>
    <row r="4041" ht="18" customHeight="1"/>
    <row r="4042" ht="18" customHeight="1"/>
    <row r="4043" ht="18" customHeight="1"/>
    <row r="4044" ht="18" customHeight="1"/>
    <row r="4045" ht="18" customHeight="1"/>
    <row r="4046" ht="18" customHeight="1"/>
    <row r="4047" ht="18" customHeight="1"/>
    <row r="4048" ht="18" customHeight="1"/>
    <row r="4049" ht="18" customHeight="1"/>
    <row r="4050" ht="18" customHeight="1"/>
    <row r="4051" ht="18" customHeight="1"/>
    <row r="4052" ht="18" customHeight="1"/>
    <row r="4053" ht="18" customHeight="1"/>
    <row r="4054" ht="18" customHeight="1"/>
    <row r="4055" ht="18" customHeight="1"/>
    <row r="4056" ht="18" customHeight="1"/>
    <row r="4057" ht="18" customHeight="1"/>
    <row r="4058" ht="18" customHeight="1"/>
    <row r="4059" ht="18" customHeight="1"/>
    <row r="4060" ht="18" customHeight="1"/>
    <row r="4061" ht="18" customHeight="1"/>
    <row r="4062" ht="18" customHeight="1"/>
    <row r="4063" ht="18" customHeight="1"/>
    <row r="4064" ht="18" customHeight="1"/>
    <row r="4065" ht="18" customHeight="1"/>
    <row r="4066" ht="18" customHeight="1"/>
    <row r="4067" ht="18" customHeight="1"/>
    <row r="4068" ht="18" customHeight="1"/>
    <row r="4069" ht="18" customHeight="1"/>
    <row r="4070" ht="18" customHeight="1"/>
    <row r="4071" ht="18" customHeight="1"/>
    <row r="4072" ht="18" customHeight="1"/>
    <row r="4073" ht="18" customHeight="1"/>
    <row r="4074" ht="18" customHeight="1"/>
    <row r="4075" ht="18" customHeight="1"/>
    <row r="4076" ht="18" customHeight="1"/>
    <row r="4077" ht="18" customHeight="1"/>
    <row r="4078" ht="18" customHeight="1"/>
    <row r="4079" ht="18" customHeight="1"/>
    <row r="4080" ht="18" customHeight="1"/>
    <row r="4081" ht="18" customHeight="1"/>
    <row r="4082" ht="18" customHeight="1"/>
    <row r="4083" ht="18" customHeight="1"/>
    <row r="4084" ht="18" customHeight="1"/>
    <row r="4085" ht="18" customHeight="1"/>
    <row r="4086" ht="18" customHeight="1"/>
    <row r="4087" ht="18" customHeight="1"/>
    <row r="4088" ht="18" customHeight="1"/>
    <row r="4089" ht="18" customHeight="1"/>
    <row r="4090" ht="18" customHeight="1"/>
    <row r="4091" ht="18" customHeight="1"/>
    <row r="4092" ht="18" customHeight="1"/>
    <row r="4093" ht="18" customHeight="1"/>
    <row r="4094" ht="18" customHeight="1"/>
    <row r="4095" ht="18" customHeight="1"/>
    <row r="4096" ht="18" customHeight="1"/>
    <row r="4097" ht="18" customHeight="1"/>
    <row r="4098" ht="18" customHeight="1"/>
    <row r="4099" ht="18" customHeight="1"/>
    <row r="4100" ht="18" customHeight="1"/>
    <row r="4101" ht="18" customHeight="1"/>
    <row r="4102" ht="18" customHeight="1"/>
    <row r="4103" ht="18" customHeight="1"/>
    <row r="4104" ht="18" customHeight="1"/>
    <row r="4105" ht="18" customHeight="1"/>
    <row r="4106" ht="18" customHeight="1"/>
    <row r="4107" ht="18" customHeight="1"/>
    <row r="4108" ht="18" customHeight="1"/>
    <row r="4109" ht="18" customHeight="1"/>
    <row r="4110" ht="18" customHeight="1"/>
    <row r="4111" ht="18" customHeight="1"/>
    <row r="4112" ht="18" customHeight="1"/>
    <row r="4113" ht="18" customHeight="1"/>
    <row r="4114" ht="18" customHeight="1"/>
    <row r="4115" ht="18" customHeight="1"/>
    <row r="4116" ht="18" customHeight="1"/>
    <row r="4117" ht="18" customHeight="1"/>
    <row r="4118" ht="18" customHeight="1"/>
    <row r="4119" ht="18" customHeight="1"/>
    <row r="4120" ht="18" customHeight="1"/>
    <row r="4121" ht="18" customHeight="1"/>
    <row r="4122" ht="18" customHeight="1"/>
    <row r="4123" ht="18" customHeight="1"/>
    <row r="4124" ht="18" customHeight="1"/>
    <row r="4125" ht="18" customHeight="1"/>
    <row r="4126" ht="18" customHeight="1"/>
    <row r="4127" ht="18" customHeight="1"/>
    <row r="4128" ht="18" customHeight="1"/>
    <row r="4129" ht="18" customHeight="1"/>
    <row r="4130" ht="18" customHeight="1"/>
    <row r="4131" ht="18" customHeight="1"/>
    <row r="4132" ht="18" customHeight="1"/>
    <row r="4133" ht="18" customHeight="1"/>
    <row r="4134" ht="18" customHeight="1"/>
    <row r="4135" ht="18" customHeight="1"/>
    <row r="4136" ht="18" customHeight="1"/>
    <row r="4137" ht="18" customHeight="1"/>
    <row r="4138" ht="18" customHeight="1"/>
    <row r="4139" ht="18" customHeight="1"/>
    <row r="4140" ht="18" customHeight="1"/>
    <row r="4141" ht="18" customHeight="1"/>
    <row r="4142" ht="18" customHeight="1"/>
    <row r="4143" ht="18" customHeight="1"/>
    <row r="4144" ht="18" customHeight="1"/>
    <row r="4145" ht="18" customHeight="1"/>
    <row r="4146" ht="18" customHeight="1"/>
    <row r="4147" ht="18" customHeight="1"/>
    <row r="4148" ht="18" customHeight="1"/>
    <row r="4149" ht="18" customHeight="1"/>
    <row r="4150" ht="18" customHeight="1"/>
    <row r="4151" ht="18" customHeight="1"/>
    <row r="4152" ht="18" customHeight="1"/>
    <row r="4153" ht="18" customHeight="1"/>
    <row r="4154" ht="18" customHeight="1"/>
    <row r="4155" ht="18" customHeight="1"/>
    <row r="4156" ht="18" customHeight="1"/>
    <row r="4157" ht="18" customHeight="1"/>
    <row r="4158" ht="18" customHeight="1"/>
    <row r="4159" ht="18" customHeight="1"/>
    <row r="4160" ht="18" customHeight="1"/>
    <row r="4161" ht="18" customHeight="1"/>
    <row r="4162" ht="18" customHeight="1"/>
    <row r="4163" ht="18" customHeight="1"/>
    <row r="4164" ht="18" customHeight="1"/>
    <row r="4165" ht="18" customHeight="1"/>
    <row r="4166" ht="18" customHeight="1"/>
    <row r="4167" ht="18" customHeight="1"/>
    <row r="4168" ht="18" customHeight="1"/>
    <row r="4169" ht="18" customHeight="1"/>
    <row r="4170" ht="18" customHeight="1"/>
    <row r="4171" ht="18" customHeight="1"/>
    <row r="4172" ht="18" customHeight="1"/>
    <row r="4173" ht="18" customHeight="1"/>
    <row r="4174" ht="18" customHeight="1"/>
    <row r="4175" ht="18" customHeight="1"/>
    <row r="4176" ht="18" customHeight="1"/>
    <row r="4177" ht="18" customHeight="1"/>
    <row r="4178" ht="18" customHeight="1"/>
    <row r="4179" ht="18" customHeight="1"/>
    <row r="4180" ht="18" customHeight="1"/>
    <row r="4181" ht="18" customHeight="1"/>
    <row r="4182" ht="18" customHeight="1"/>
    <row r="4183" ht="18" customHeight="1"/>
    <row r="4184" ht="18" customHeight="1"/>
    <row r="4185" ht="18" customHeight="1"/>
    <row r="4186" ht="18" customHeight="1"/>
    <row r="4187" ht="18" customHeight="1"/>
    <row r="4188" ht="18" customHeight="1"/>
    <row r="4189" ht="18" customHeight="1"/>
    <row r="4190" ht="18" customHeight="1"/>
    <row r="4191" ht="18" customHeight="1"/>
    <row r="4192" ht="18" customHeight="1"/>
    <row r="4193" ht="18" customHeight="1"/>
    <row r="4194" ht="18" customHeight="1"/>
    <row r="4195" ht="18" customHeight="1"/>
    <row r="4196" ht="18" customHeight="1"/>
    <row r="4197" ht="18" customHeight="1"/>
    <row r="4198" ht="18" customHeight="1"/>
    <row r="4199" ht="18" customHeight="1"/>
    <row r="4200" ht="18" customHeight="1"/>
    <row r="4201" ht="18" customHeight="1"/>
    <row r="4202" ht="18" customHeight="1"/>
    <row r="4203" ht="18" customHeight="1"/>
    <row r="4204" ht="18" customHeight="1"/>
    <row r="4205" ht="18" customHeight="1"/>
    <row r="4206" ht="18" customHeight="1"/>
    <row r="4207" ht="18" customHeight="1"/>
    <row r="4208" ht="18" customHeight="1"/>
    <row r="4209" ht="18" customHeight="1"/>
    <row r="4210" ht="18" customHeight="1"/>
    <row r="4211" ht="18" customHeight="1"/>
    <row r="4212" ht="18" customHeight="1"/>
    <row r="4213" ht="18" customHeight="1"/>
    <row r="4214" ht="18" customHeight="1"/>
    <row r="4215" ht="18" customHeight="1"/>
    <row r="4216" ht="18" customHeight="1"/>
    <row r="4217" ht="18" customHeight="1"/>
    <row r="4218" ht="18" customHeight="1"/>
    <row r="4219" ht="18" customHeight="1"/>
    <row r="4220" ht="18" customHeight="1"/>
    <row r="4221" ht="18" customHeight="1"/>
    <row r="4222" ht="18" customHeight="1"/>
    <row r="4223" ht="18" customHeight="1"/>
    <row r="4224" ht="18" customHeight="1"/>
    <row r="4225" ht="18" customHeight="1"/>
    <row r="4226" ht="18" customHeight="1"/>
    <row r="4227" ht="18" customHeight="1"/>
    <row r="4228" ht="18" customHeight="1"/>
    <row r="4229" ht="18" customHeight="1"/>
    <row r="4230" ht="18" customHeight="1"/>
    <row r="4231" ht="18" customHeight="1"/>
    <row r="4232" ht="18" customHeight="1"/>
    <row r="4233" ht="18" customHeight="1"/>
    <row r="4234" ht="18" customHeight="1"/>
    <row r="4235" ht="18" customHeight="1"/>
    <row r="4236" ht="18" customHeight="1"/>
    <row r="4237" ht="18" customHeight="1"/>
    <row r="4238" ht="18" customHeight="1"/>
    <row r="4239" ht="18" customHeight="1"/>
    <row r="4240" ht="18" customHeight="1"/>
    <row r="4241" ht="18" customHeight="1"/>
    <row r="4242" ht="18" customHeight="1"/>
    <row r="4243" ht="18" customHeight="1"/>
    <row r="4244" ht="18" customHeight="1"/>
    <row r="4245" ht="18" customHeight="1"/>
    <row r="4246" ht="18" customHeight="1"/>
    <row r="4247" ht="18" customHeight="1"/>
    <row r="4248" ht="18" customHeight="1"/>
    <row r="4249" ht="18" customHeight="1"/>
    <row r="4250" ht="18" customHeight="1"/>
    <row r="4251" ht="18" customHeight="1"/>
    <row r="4252" ht="18" customHeight="1"/>
    <row r="4253" ht="18" customHeight="1"/>
    <row r="4254" ht="18" customHeight="1"/>
    <row r="4255" ht="18" customHeight="1"/>
    <row r="4256" ht="18" customHeight="1"/>
    <row r="4257" ht="18" customHeight="1"/>
    <row r="4258" ht="18" customHeight="1"/>
    <row r="4259" ht="18" customHeight="1"/>
    <row r="4260" ht="18" customHeight="1"/>
    <row r="4261" ht="18" customHeight="1"/>
    <row r="4262" ht="18" customHeight="1"/>
    <row r="4263" ht="18" customHeight="1"/>
    <row r="4264" ht="18" customHeight="1"/>
    <row r="4265" ht="18" customHeight="1"/>
    <row r="4266" ht="18" customHeight="1"/>
    <row r="4267" ht="18" customHeight="1"/>
    <row r="4268" ht="18" customHeight="1"/>
    <row r="4269" ht="18" customHeight="1"/>
    <row r="4270" ht="18" customHeight="1"/>
    <row r="4271" ht="18" customHeight="1"/>
    <row r="4272" ht="18" customHeight="1"/>
    <row r="4273" ht="18" customHeight="1"/>
    <row r="4274" ht="18" customHeight="1"/>
    <row r="4275" ht="18" customHeight="1"/>
    <row r="4276" ht="18" customHeight="1"/>
    <row r="4277" ht="18" customHeight="1"/>
    <row r="4278" ht="18" customHeight="1"/>
    <row r="4279" ht="18" customHeight="1"/>
    <row r="4280" ht="18" customHeight="1"/>
    <row r="4281" ht="18" customHeight="1"/>
    <row r="4282" ht="18" customHeight="1"/>
    <row r="4283" ht="18" customHeight="1"/>
    <row r="4284" ht="18" customHeight="1"/>
    <row r="4285" ht="18" customHeight="1"/>
    <row r="4286" ht="18" customHeight="1"/>
    <row r="4287" ht="18" customHeight="1"/>
    <row r="4288" ht="18" customHeight="1"/>
    <row r="4289" ht="18" customHeight="1"/>
    <row r="4290" ht="18" customHeight="1"/>
    <row r="4291" ht="18" customHeight="1"/>
    <row r="4292" ht="18" customHeight="1"/>
    <row r="4293" ht="18" customHeight="1"/>
    <row r="4294" ht="18" customHeight="1"/>
    <row r="4295" ht="18" customHeight="1"/>
    <row r="4296" ht="18" customHeight="1"/>
    <row r="4297" ht="18" customHeight="1"/>
    <row r="4298" ht="18" customHeight="1"/>
    <row r="4299" ht="18" customHeight="1"/>
    <row r="4300" ht="18" customHeight="1"/>
    <row r="4301" ht="18" customHeight="1"/>
    <row r="4302" ht="18" customHeight="1"/>
    <row r="4303" ht="18" customHeight="1"/>
    <row r="4304" ht="18" customHeight="1"/>
    <row r="4305" ht="18" customHeight="1"/>
    <row r="4306" ht="18" customHeight="1"/>
    <row r="4307" ht="18" customHeight="1"/>
    <row r="4308" ht="18" customHeight="1"/>
    <row r="4309" ht="18" customHeight="1"/>
    <row r="4310" ht="18" customHeight="1"/>
    <row r="4311" ht="18" customHeight="1"/>
    <row r="4312" ht="18" customHeight="1"/>
    <row r="4313" ht="18" customHeight="1"/>
    <row r="4314" ht="18" customHeight="1"/>
    <row r="4315" ht="18" customHeight="1"/>
    <row r="4316" ht="18" customHeight="1"/>
    <row r="4317" ht="18" customHeight="1"/>
    <row r="4318" ht="18" customHeight="1"/>
    <row r="4319" ht="18" customHeight="1"/>
    <row r="4320" ht="18" customHeight="1"/>
    <row r="4321" ht="18" customHeight="1"/>
    <row r="4322" ht="18" customHeight="1"/>
    <row r="4323" ht="18" customHeight="1"/>
    <row r="4324" ht="18" customHeight="1"/>
    <row r="4325" ht="18" customHeight="1"/>
    <row r="4326" ht="18" customHeight="1"/>
    <row r="4327" ht="18" customHeight="1"/>
    <row r="4328" ht="18" customHeight="1"/>
    <row r="4329" ht="18" customHeight="1"/>
    <row r="4330" ht="18" customHeight="1"/>
    <row r="4331" ht="18" customHeight="1"/>
    <row r="4332" ht="18" customHeight="1"/>
    <row r="4333" ht="18" customHeight="1"/>
    <row r="4334" ht="18" customHeight="1"/>
    <row r="4335" ht="18" customHeight="1"/>
    <row r="4336" ht="18" customHeight="1"/>
    <row r="4337" ht="18" customHeight="1"/>
    <row r="4338" ht="18" customHeight="1"/>
    <row r="4339" ht="18" customHeight="1"/>
    <row r="4340" ht="18" customHeight="1"/>
    <row r="4341" ht="18" customHeight="1"/>
    <row r="4342" ht="18" customHeight="1"/>
    <row r="4343" ht="18" customHeight="1"/>
    <row r="4344" ht="18" customHeight="1"/>
    <row r="4345" ht="18" customHeight="1"/>
    <row r="4346" ht="18" customHeight="1"/>
    <row r="4347" ht="18" customHeight="1"/>
    <row r="4348" ht="18" customHeight="1"/>
    <row r="4349" ht="18" customHeight="1"/>
    <row r="4350" ht="18" customHeight="1"/>
    <row r="4351" ht="18" customHeight="1"/>
    <row r="4352" ht="18" customHeight="1"/>
    <row r="4353" ht="18" customHeight="1"/>
    <row r="4354" ht="18" customHeight="1"/>
    <row r="4355" ht="18" customHeight="1"/>
    <row r="4356" ht="18" customHeight="1"/>
    <row r="4357" ht="18" customHeight="1"/>
    <row r="4358" ht="18" customHeight="1"/>
    <row r="4359" ht="18" customHeight="1"/>
    <row r="4360" ht="18" customHeight="1"/>
    <row r="4361" ht="18" customHeight="1"/>
    <row r="4362" ht="18" customHeight="1"/>
    <row r="4363" ht="18" customHeight="1"/>
    <row r="4364" ht="18" customHeight="1"/>
    <row r="4365" ht="18" customHeight="1"/>
    <row r="4366" ht="18" customHeight="1"/>
    <row r="4367" ht="18" customHeight="1"/>
    <row r="4368" ht="18" customHeight="1"/>
    <row r="4369" ht="18" customHeight="1"/>
    <row r="4370" ht="18" customHeight="1"/>
    <row r="4371" ht="18" customHeight="1"/>
    <row r="4372" ht="18" customHeight="1"/>
    <row r="4373" ht="18" customHeight="1"/>
    <row r="4374" ht="18" customHeight="1"/>
    <row r="4375" ht="18" customHeight="1"/>
    <row r="4376" ht="18" customHeight="1"/>
    <row r="4377" ht="18" customHeight="1"/>
    <row r="4378" ht="18" customHeight="1"/>
    <row r="4379" ht="18" customHeight="1"/>
    <row r="4380" ht="18" customHeight="1"/>
    <row r="4381" ht="18" customHeight="1"/>
    <row r="4382" ht="18" customHeight="1"/>
    <row r="4383" ht="18" customHeight="1"/>
    <row r="4384" ht="18" customHeight="1"/>
    <row r="4385" ht="18" customHeight="1"/>
    <row r="4386" ht="18" customHeight="1"/>
    <row r="4387" ht="18" customHeight="1"/>
    <row r="4388" ht="18" customHeight="1"/>
    <row r="4389" ht="18" customHeight="1"/>
    <row r="4390" ht="18" customHeight="1"/>
    <row r="4391" ht="18" customHeight="1"/>
    <row r="4392" ht="18" customHeight="1"/>
    <row r="4393" ht="18" customHeight="1"/>
    <row r="4394" ht="18" customHeight="1"/>
    <row r="4395" ht="18" customHeight="1"/>
    <row r="4396" ht="18" customHeight="1"/>
    <row r="4397" ht="18" customHeight="1"/>
    <row r="4398" ht="18" customHeight="1"/>
    <row r="4399" ht="18" customHeight="1"/>
    <row r="4400" ht="18" customHeight="1"/>
    <row r="4401" ht="18" customHeight="1"/>
    <row r="4402" ht="18" customHeight="1"/>
    <row r="4403" ht="18" customHeight="1"/>
    <row r="4404" ht="18" customHeight="1"/>
    <row r="4405" ht="18" customHeight="1"/>
    <row r="4406" ht="18" customHeight="1"/>
    <row r="4407" ht="18" customHeight="1"/>
    <row r="4408" ht="18" customHeight="1"/>
    <row r="4409" ht="18" customHeight="1"/>
    <row r="4410" ht="18" customHeight="1"/>
    <row r="4411" ht="18" customHeight="1"/>
    <row r="4412" ht="18" customHeight="1"/>
    <row r="4413" ht="18" customHeight="1"/>
    <row r="4414" ht="18" customHeight="1"/>
    <row r="4415" ht="18" customHeight="1"/>
    <row r="4416" ht="18" customHeight="1"/>
    <row r="4417" ht="18" customHeight="1"/>
    <row r="4418" ht="18" customHeight="1"/>
    <row r="4419" ht="18" customHeight="1"/>
    <row r="4420" ht="18" customHeight="1"/>
    <row r="4421" ht="18" customHeight="1"/>
    <row r="4422" ht="18" customHeight="1"/>
    <row r="4423" ht="18" customHeight="1"/>
    <row r="4424" ht="18" customHeight="1"/>
    <row r="4425" ht="18" customHeight="1"/>
    <row r="4426" ht="18" customHeight="1"/>
    <row r="4427" ht="18" customHeight="1"/>
    <row r="4428" ht="18" customHeight="1"/>
    <row r="4429" ht="18" customHeight="1"/>
    <row r="4430" ht="18" customHeight="1"/>
    <row r="4431" ht="18" customHeight="1"/>
    <row r="4432" ht="18" customHeight="1"/>
    <row r="4433" ht="18" customHeight="1"/>
    <row r="4434" ht="18" customHeight="1"/>
    <row r="4435" ht="18" customHeight="1"/>
    <row r="4436" ht="18" customHeight="1"/>
    <row r="4437" ht="18" customHeight="1"/>
    <row r="4438" ht="18" customHeight="1"/>
    <row r="4439" ht="18" customHeight="1"/>
    <row r="4440" ht="18" customHeight="1"/>
    <row r="4441" ht="18" customHeight="1"/>
    <row r="4442" ht="18" customHeight="1"/>
    <row r="4443" ht="18" customHeight="1"/>
    <row r="4444" ht="18" customHeight="1"/>
    <row r="4445" ht="18" customHeight="1"/>
    <row r="4446" ht="18" customHeight="1"/>
    <row r="4447" ht="18" customHeight="1"/>
    <row r="4448" ht="18" customHeight="1"/>
    <row r="4449" ht="18" customHeight="1"/>
    <row r="4450" ht="18" customHeight="1"/>
    <row r="4451" ht="18" customHeight="1"/>
    <row r="4452" ht="18" customHeight="1"/>
    <row r="4453" ht="18" customHeight="1"/>
    <row r="4454" ht="18" customHeight="1"/>
    <row r="4455" ht="18" customHeight="1"/>
    <row r="4456" ht="18" customHeight="1"/>
    <row r="4457" ht="18" customHeight="1"/>
    <row r="4458" ht="18" customHeight="1"/>
    <row r="4459" ht="18" customHeight="1"/>
    <row r="4460" ht="18" customHeight="1"/>
    <row r="4461" ht="18" customHeight="1"/>
    <row r="4462" ht="18" customHeight="1"/>
    <row r="4463" ht="18" customHeight="1"/>
    <row r="4464" ht="18" customHeight="1"/>
    <row r="4465" ht="18" customHeight="1"/>
    <row r="4466" ht="18" customHeight="1"/>
    <row r="4467" ht="18" customHeight="1"/>
    <row r="4468" ht="18" customHeight="1"/>
    <row r="4469" ht="18" customHeight="1"/>
    <row r="4470" ht="18" customHeight="1"/>
    <row r="4471" ht="18" customHeight="1"/>
    <row r="4472" ht="18" customHeight="1"/>
    <row r="4473" ht="18" customHeight="1"/>
    <row r="4474" ht="18" customHeight="1"/>
    <row r="4475" ht="18" customHeight="1"/>
    <row r="4476" ht="18" customHeight="1"/>
    <row r="4477" ht="18" customHeight="1"/>
    <row r="4478" ht="18" customHeight="1"/>
    <row r="4479" ht="18" customHeight="1"/>
    <row r="4480" ht="18" customHeight="1"/>
    <row r="4481" ht="18" customHeight="1"/>
    <row r="4482" ht="18" customHeight="1"/>
    <row r="4483" ht="18" customHeight="1"/>
    <row r="4484" ht="18" customHeight="1"/>
    <row r="4485" ht="18" customHeight="1"/>
    <row r="4486" ht="18" customHeight="1"/>
    <row r="4487" ht="18" customHeight="1"/>
    <row r="4488" ht="18" customHeight="1"/>
    <row r="4489" ht="18" customHeight="1"/>
    <row r="4490" ht="18" customHeight="1"/>
    <row r="4491" ht="18" customHeight="1"/>
    <row r="4492" ht="18" customHeight="1"/>
    <row r="4493" ht="18" customHeight="1"/>
    <row r="4494" ht="18" customHeight="1"/>
    <row r="4495" ht="18" customHeight="1"/>
    <row r="4496" ht="18" customHeight="1"/>
    <row r="4497" ht="18" customHeight="1"/>
    <row r="4498" ht="18" customHeight="1"/>
    <row r="4499" ht="18" customHeight="1"/>
    <row r="4500" ht="18" customHeight="1"/>
    <row r="4501" ht="18" customHeight="1"/>
    <row r="4502" ht="18" customHeight="1"/>
    <row r="4503" ht="18" customHeight="1"/>
    <row r="4504" ht="18" customHeight="1"/>
    <row r="4505" ht="18" customHeight="1"/>
    <row r="4506" ht="18" customHeight="1"/>
    <row r="4507" ht="18" customHeight="1"/>
    <row r="4508" ht="18" customHeight="1"/>
    <row r="4509" ht="18" customHeight="1"/>
    <row r="4510" ht="18" customHeight="1"/>
    <row r="4511" ht="18" customHeight="1"/>
    <row r="4512" ht="18" customHeight="1"/>
    <row r="4513" ht="18" customHeight="1"/>
    <row r="4514" ht="18" customHeight="1"/>
    <row r="4515" ht="18" customHeight="1"/>
    <row r="4516" ht="18" customHeight="1"/>
    <row r="4517" ht="18" customHeight="1"/>
    <row r="4518" ht="18" customHeight="1"/>
    <row r="4519" ht="18" customHeight="1"/>
    <row r="4520" ht="18" customHeight="1"/>
    <row r="4521" ht="18" customHeight="1"/>
    <row r="4522" ht="18" customHeight="1"/>
    <row r="4523" ht="18" customHeight="1"/>
    <row r="4524" ht="18" customHeight="1"/>
    <row r="4525" ht="18" customHeight="1"/>
    <row r="4526" ht="18" customHeight="1"/>
    <row r="4527" ht="18" customHeight="1"/>
    <row r="4528" ht="18" customHeight="1"/>
    <row r="4529" ht="18" customHeight="1"/>
    <row r="4530" ht="18" customHeight="1"/>
    <row r="4531" ht="18" customHeight="1"/>
    <row r="4532" ht="18" customHeight="1"/>
    <row r="4533" ht="18" customHeight="1"/>
    <row r="4534" ht="18" customHeight="1"/>
    <row r="4535" ht="18" customHeight="1"/>
    <row r="4536" ht="18" customHeight="1"/>
    <row r="4537" ht="18" customHeight="1"/>
    <row r="4538" ht="18" customHeight="1"/>
    <row r="4539" ht="18" customHeight="1"/>
    <row r="4540" ht="18" customHeight="1"/>
    <row r="4541" ht="18" customHeight="1"/>
    <row r="4542" ht="18" customHeight="1"/>
    <row r="4543" ht="18" customHeight="1"/>
    <row r="4544" ht="18" customHeight="1"/>
    <row r="4545" ht="18" customHeight="1"/>
    <row r="4546" ht="18" customHeight="1"/>
    <row r="4547" ht="18" customHeight="1"/>
    <row r="4548" ht="18" customHeight="1"/>
    <row r="4549" ht="18" customHeight="1"/>
    <row r="4550" ht="18" customHeight="1"/>
    <row r="4551" ht="18" customHeight="1"/>
    <row r="4552" ht="18" customHeight="1"/>
    <row r="4553" ht="18" customHeight="1"/>
    <row r="4554" ht="18" customHeight="1"/>
    <row r="4555" ht="18" customHeight="1"/>
    <row r="4556" ht="18" customHeight="1"/>
    <row r="4557" ht="18" customHeight="1"/>
    <row r="4558" ht="18" customHeight="1"/>
    <row r="4559" ht="18" customHeight="1"/>
    <row r="4560" ht="18" customHeight="1"/>
    <row r="4561" ht="18" customHeight="1"/>
    <row r="4562" ht="18" customHeight="1"/>
    <row r="4563" ht="18" customHeight="1"/>
    <row r="4564" ht="18" customHeight="1"/>
    <row r="4565" ht="18" customHeight="1"/>
    <row r="4566" ht="18" customHeight="1"/>
    <row r="4567" ht="18" customHeight="1"/>
    <row r="4568" ht="18" customHeight="1"/>
    <row r="4569" ht="18" customHeight="1"/>
    <row r="4570" ht="18" customHeight="1"/>
    <row r="4571" ht="18" customHeight="1"/>
    <row r="4572" ht="18" customHeight="1"/>
    <row r="4573" ht="18" customHeight="1"/>
    <row r="4574" ht="18" customHeight="1"/>
    <row r="4575" ht="18" customHeight="1"/>
    <row r="4576" ht="18" customHeight="1"/>
    <row r="4577" ht="18" customHeight="1"/>
    <row r="4578" ht="18" customHeight="1"/>
    <row r="4579" ht="18" customHeight="1"/>
    <row r="4580" ht="18" customHeight="1"/>
    <row r="4581" ht="18" customHeight="1"/>
    <row r="4582" ht="18" customHeight="1"/>
    <row r="4583" ht="18" customHeight="1"/>
    <row r="4584" ht="18" customHeight="1"/>
    <row r="4585" ht="18" customHeight="1"/>
    <row r="4586" ht="18" customHeight="1"/>
    <row r="4587" ht="18" customHeight="1"/>
    <row r="4588" ht="18" customHeight="1"/>
    <row r="4589" ht="18" customHeight="1"/>
    <row r="4590" ht="18" customHeight="1"/>
    <row r="4591" ht="18" customHeight="1"/>
    <row r="4592" ht="18" customHeight="1"/>
    <row r="4593" ht="18" customHeight="1"/>
    <row r="4594" ht="18" customHeight="1"/>
    <row r="4595" ht="18" customHeight="1"/>
    <row r="4596" ht="18" customHeight="1"/>
    <row r="4597" ht="18" customHeight="1"/>
    <row r="4598" ht="18" customHeight="1"/>
    <row r="4599" ht="18" customHeight="1"/>
    <row r="4600" ht="18" customHeight="1"/>
    <row r="4601" ht="18" customHeight="1"/>
    <row r="4602" ht="18" customHeight="1"/>
    <row r="4603" ht="18" customHeight="1"/>
    <row r="4604" ht="18" customHeight="1"/>
    <row r="4605" ht="18" customHeight="1"/>
    <row r="4606" ht="18" customHeight="1"/>
    <row r="4607" ht="18" customHeight="1"/>
    <row r="4608" ht="18" customHeight="1"/>
    <row r="4609" ht="18" customHeight="1"/>
    <row r="4610" ht="18" customHeight="1"/>
    <row r="4611" ht="18" customHeight="1"/>
    <row r="4612" ht="18" customHeight="1"/>
    <row r="4613" ht="18" customHeight="1"/>
    <row r="4614" ht="18" customHeight="1"/>
    <row r="4615" ht="18" customHeight="1"/>
    <row r="4616" ht="18" customHeight="1"/>
    <row r="4617" ht="18" customHeight="1"/>
    <row r="4618" ht="18" customHeight="1"/>
    <row r="4619" ht="18" customHeight="1"/>
    <row r="4620" ht="18" customHeight="1"/>
    <row r="4621" ht="18" customHeight="1"/>
    <row r="4622" ht="18" customHeight="1"/>
    <row r="4623" ht="18" customHeight="1"/>
    <row r="4624" ht="18" customHeight="1"/>
    <row r="4625" ht="18" customHeight="1"/>
    <row r="4626" ht="18" customHeight="1"/>
    <row r="4627" ht="18" customHeight="1"/>
    <row r="4628" ht="18" customHeight="1"/>
    <row r="4629" ht="18" customHeight="1"/>
    <row r="4630" ht="18" customHeight="1"/>
    <row r="4631" ht="18" customHeight="1"/>
    <row r="4632" ht="18" customHeight="1"/>
    <row r="4633" ht="18" customHeight="1"/>
    <row r="4634" ht="18" customHeight="1"/>
    <row r="4635" ht="18" customHeight="1"/>
    <row r="4636" ht="18" customHeight="1"/>
    <row r="4637" ht="18" customHeight="1"/>
    <row r="4638" ht="18" customHeight="1"/>
    <row r="4639" ht="18" customHeight="1"/>
    <row r="4640" ht="18" customHeight="1"/>
    <row r="4641" ht="18" customHeight="1"/>
    <row r="4642" ht="18" customHeight="1"/>
    <row r="4643" ht="18" customHeight="1"/>
    <row r="4644" ht="18" customHeight="1"/>
    <row r="4645" ht="18" customHeight="1"/>
    <row r="4646" ht="18" customHeight="1"/>
    <row r="4647" ht="18" customHeight="1"/>
    <row r="4648" ht="18" customHeight="1"/>
    <row r="4649" ht="18" customHeight="1"/>
    <row r="4650" ht="18" customHeight="1"/>
    <row r="4651" ht="18" customHeight="1"/>
    <row r="4652" ht="18" customHeight="1"/>
    <row r="4653" ht="18" customHeight="1"/>
    <row r="4654" ht="18" customHeight="1"/>
    <row r="4655" ht="18" customHeight="1"/>
    <row r="4656" ht="18" customHeight="1"/>
    <row r="4657" ht="18" customHeight="1"/>
    <row r="4658" ht="18" customHeight="1"/>
    <row r="4659" ht="18" customHeight="1"/>
    <row r="4660" ht="18" customHeight="1"/>
    <row r="4661" ht="18" customHeight="1"/>
    <row r="4662" ht="18" customHeight="1"/>
    <row r="4663" ht="18" customHeight="1"/>
    <row r="4664" ht="18" customHeight="1"/>
    <row r="4665" ht="18" customHeight="1"/>
    <row r="4666" ht="18" customHeight="1"/>
    <row r="4667" ht="18" customHeight="1"/>
    <row r="4668" ht="18" customHeight="1"/>
    <row r="4669" ht="18" customHeight="1"/>
    <row r="4670" ht="18" customHeight="1"/>
    <row r="4671" ht="18" customHeight="1"/>
    <row r="4672" ht="18" customHeight="1"/>
    <row r="4673" ht="18" customHeight="1"/>
    <row r="4674" ht="18" customHeight="1"/>
    <row r="4675" ht="18" customHeight="1"/>
    <row r="4676" ht="18" customHeight="1"/>
    <row r="4677" ht="18" customHeight="1"/>
    <row r="4678" ht="18" customHeight="1"/>
    <row r="4679" ht="18" customHeight="1"/>
    <row r="4680" ht="18" customHeight="1"/>
    <row r="4681" ht="18" customHeight="1"/>
    <row r="4682" ht="18" customHeight="1"/>
    <row r="4683" ht="18" customHeight="1"/>
    <row r="4684" ht="18" customHeight="1"/>
    <row r="4685" ht="18" customHeight="1"/>
    <row r="4686" ht="18" customHeight="1"/>
    <row r="4687" ht="18" customHeight="1"/>
    <row r="4688" ht="18" customHeight="1"/>
    <row r="4689" ht="18" customHeight="1"/>
    <row r="4690" ht="18" customHeight="1"/>
    <row r="4691" ht="18" customHeight="1"/>
    <row r="4692" ht="18" customHeight="1"/>
    <row r="4693" ht="18" customHeight="1"/>
    <row r="4694" ht="18" customHeight="1"/>
    <row r="4695" ht="18" customHeight="1"/>
    <row r="4696" ht="18" customHeight="1"/>
    <row r="4697" ht="18" customHeight="1"/>
    <row r="4698" ht="18" customHeight="1"/>
    <row r="4699" ht="18" customHeight="1"/>
    <row r="4700" ht="18" customHeight="1"/>
    <row r="4701" ht="18" customHeight="1"/>
    <row r="4702" ht="18" customHeight="1"/>
    <row r="4703" ht="18" customHeight="1"/>
    <row r="4704" ht="18" customHeight="1"/>
    <row r="4705" ht="18" customHeight="1"/>
    <row r="4706" ht="18" customHeight="1"/>
    <row r="4707" ht="18" customHeight="1"/>
    <row r="4708" ht="18" customHeight="1"/>
    <row r="4709" ht="18" customHeight="1"/>
    <row r="4710" ht="18" customHeight="1"/>
    <row r="4711" ht="18" customHeight="1"/>
    <row r="4712" ht="18" customHeight="1"/>
    <row r="4713" ht="18" customHeight="1"/>
    <row r="4714" ht="18" customHeight="1"/>
    <row r="4715" ht="18" customHeight="1"/>
    <row r="4716" ht="18" customHeight="1"/>
    <row r="4717" ht="18" customHeight="1"/>
    <row r="4718" ht="18" customHeight="1"/>
    <row r="4719" ht="18" customHeight="1"/>
    <row r="4720" ht="18" customHeight="1"/>
    <row r="4721" ht="18" customHeight="1"/>
    <row r="4722" ht="18" customHeight="1"/>
    <row r="4723" ht="18" customHeight="1"/>
    <row r="4724" ht="18" customHeight="1"/>
    <row r="4725" ht="18" customHeight="1"/>
    <row r="4726" ht="18" customHeight="1"/>
    <row r="4727" ht="18" customHeight="1"/>
    <row r="4728" ht="18" customHeight="1"/>
    <row r="4729" ht="18" customHeight="1"/>
    <row r="4730" ht="18" customHeight="1"/>
    <row r="4731" ht="18" customHeight="1"/>
    <row r="4732" ht="18" customHeight="1"/>
    <row r="4733" ht="18" customHeight="1"/>
    <row r="4734" ht="18" customHeight="1"/>
    <row r="4735" ht="18" customHeight="1"/>
    <row r="4736" ht="18" customHeight="1"/>
    <row r="4737" ht="18" customHeight="1"/>
    <row r="4738" ht="18" customHeight="1"/>
    <row r="4739" ht="18" customHeight="1"/>
    <row r="4740" ht="18" customHeight="1"/>
    <row r="4741" ht="18" customHeight="1"/>
    <row r="4742" ht="18" customHeight="1"/>
    <row r="4743" ht="18" customHeight="1"/>
    <row r="4744" ht="18" customHeight="1"/>
    <row r="4745" ht="18" customHeight="1"/>
    <row r="4746" ht="18" customHeight="1"/>
    <row r="4747" ht="18" customHeight="1"/>
    <row r="4748" ht="18" customHeight="1"/>
    <row r="4749" ht="18" customHeight="1"/>
    <row r="4750" ht="18" customHeight="1"/>
    <row r="4751" ht="18" customHeight="1"/>
    <row r="4752" ht="18" customHeight="1"/>
    <row r="4753" ht="18" customHeight="1"/>
    <row r="4754" ht="18" customHeight="1"/>
    <row r="4755" ht="18" customHeight="1"/>
    <row r="4756" ht="18" customHeight="1"/>
    <row r="4757" ht="18" customHeight="1"/>
    <row r="4758" ht="18" customHeight="1"/>
    <row r="4759" ht="18" customHeight="1"/>
    <row r="4760" ht="18" customHeight="1"/>
    <row r="4761" ht="18" customHeight="1"/>
    <row r="4762" ht="18" customHeight="1"/>
    <row r="4763" ht="18" customHeight="1"/>
    <row r="4764" ht="18" customHeight="1"/>
    <row r="4765" ht="18" customHeight="1"/>
    <row r="4766" ht="18" customHeight="1"/>
    <row r="4767" ht="18" customHeight="1"/>
    <row r="4768" ht="18" customHeight="1"/>
    <row r="4769" ht="18" customHeight="1"/>
    <row r="4770" ht="18" customHeight="1"/>
    <row r="4771" ht="18" customHeight="1"/>
    <row r="4772" ht="18" customHeight="1"/>
    <row r="4773" ht="18" customHeight="1"/>
    <row r="4774" ht="18" customHeight="1"/>
    <row r="4775" ht="18" customHeight="1"/>
    <row r="4776" ht="18" customHeight="1"/>
    <row r="4777" ht="18" customHeight="1"/>
    <row r="4778" ht="18" customHeight="1"/>
    <row r="4779" ht="18" customHeight="1"/>
    <row r="4780" ht="18" customHeight="1"/>
    <row r="4781" ht="18" customHeight="1"/>
    <row r="4782" ht="18" customHeight="1"/>
    <row r="4783" ht="18" customHeight="1"/>
    <row r="4784" ht="18" customHeight="1"/>
    <row r="4785" ht="18" customHeight="1"/>
    <row r="4786" ht="18" customHeight="1"/>
    <row r="4787" ht="18" customHeight="1"/>
    <row r="4788" ht="18" customHeight="1"/>
    <row r="4789" ht="18" customHeight="1"/>
    <row r="4790" ht="18" customHeight="1"/>
    <row r="4791" ht="18" customHeight="1"/>
    <row r="4792" ht="18" customHeight="1"/>
    <row r="4793" ht="18" customHeight="1"/>
    <row r="4794" ht="18" customHeight="1"/>
    <row r="4795" ht="18" customHeight="1"/>
    <row r="4796" ht="18" customHeight="1"/>
    <row r="4797" ht="18" customHeight="1"/>
    <row r="4798" ht="18" customHeight="1"/>
    <row r="4799" ht="18" customHeight="1"/>
    <row r="4800" ht="18" customHeight="1"/>
    <row r="4801" ht="18" customHeight="1"/>
    <row r="4802" ht="18" customHeight="1"/>
    <row r="4803" ht="18" customHeight="1"/>
    <row r="4804" ht="18" customHeight="1"/>
    <row r="4805" ht="18" customHeight="1"/>
    <row r="4806" ht="18" customHeight="1"/>
    <row r="4807" ht="18" customHeight="1"/>
    <row r="4808" ht="18" customHeight="1"/>
    <row r="4809" ht="18" customHeight="1"/>
    <row r="4810" ht="18" customHeight="1"/>
    <row r="4811" ht="18" customHeight="1"/>
    <row r="4812" ht="18" customHeight="1"/>
    <row r="4813" ht="18" customHeight="1"/>
    <row r="4814" ht="18" customHeight="1"/>
    <row r="4815" ht="18" customHeight="1"/>
    <row r="4816" ht="18" customHeight="1"/>
    <row r="4817" ht="18" customHeight="1"/>
    <row r="4818" ht="18" customHeight="1"/>
    <row r="4819" ht="18" customHeight="1"/>
    <row r="4820" ht="18" customHeight="1"/>
    <row r="4821" ht="18" customHeight="1"/>
    <row r="4822" ht="18" customHeight="1"/>
    <row r="4823" ht="18" customHeight="1"/>
    <row r="4824" ht="18" customHeight="1"/>
    <row r="4825" ht="18" customHeight="1"/>
    <row r="4826" ht="18" customHeight="1"/>
    <row r="4827" ht="18" customHeight="1"/>
    <row r="4828" ht="18" customHeight="1"/>
    <row r="4829" ht="18" customHeight="1"/>
    <row r="4830" ht="18" customHeight="1"/>
    <row r="4831" ht="18" customHeight="1"/>
    <row r="4832" ht="18" customHeight="1"/>
    <row r="4833" ht="18" customHeight="1"/>
    <row r="4834" ht="18" customHeight="1"/>
    <row r="4835" ht="18" customHeight="1"/>
    <row r="4836" ht="18" customHeight="1"/>
    <row r="4837" ht="18" customHeight="1"/>
    <row r="4838" ht="18" customHeight="1"/>
    <row r="4839" ht="18" customHeight="1"/>
    <row r="4840" ht="18" customHeight="1"/>
    <row r="4841" ht="18" customHeight="1"/>
    <row r="4842" ht="18" customHeight="1"/>
    <row r="4843" ht="18" customHeight="1"/>
    <row r="4844" ht="18" customHeight="1"/>
    <row r="4845" ht="18" customHeight="1"/>
    <row r="4846" ht="18" customHeight="1"/>
    <row r="4847" ht="18" customHeight="1"/>
    <row r="4848" ht="18" customHeight="1"/>
    <row r="4849" ht="18" customHeight="1"/>
    <row r="4850" ht="18" customHeight="1"/>
    <row r="4851" ht="18" customHeight="1"/>
    <row r="4852" ht="18" customHeight="1"/>
    <row r="4853" ht="18" customHeight="1"/>
    <row r="4854" ht="18" customHeight="1"/>
    <row r="4855" ht="18" customHeight="1"/>
    <row r="4856" ht="18" customHeight="1"/>
    <row r="4857" ht="18" customHeight="1"/>
    <row r="4858" ht="18" customHeight="1"/>
    <row r="4859" ht="18" customHeight="1"/>
    <row r="4860" ht="18" customHeight="1"/>
    <row r="4861" ht="18" customHeight="1"/>
    <row r="4862" ht="18" customHeight="1"/>
    <row r="4863" ht="18" customHeight="1"/>
    <row r="4864" ht="18" customHeight="1"/>
    <row r="4865" ht="18" customHeight="1"/>
    <row r="4866" ht="18" customHeight="1"/>
    <row r="4867" ht="18" customHeight="1"/>
    <row r="4868" ht="18" customHeight="1"/>
    <row r="4869" ht="18" customHeight="1"/>
    <row r="4870" ht="18" customHeight="1"/>
    <row r="4871" ht="18" customHeight="1"/>
    <row r="4872" ht="18" customHeight="1"/>
    <row r="4873" ht="18" customHeight="1"/>
    <row r="4874" ht="18" customHeight="1"/>
    <row r="4875" ht="18" customHeight="1"/>
    <row r="4876" ht="18" customHeight="1"/>
    <row r="4877" ht="18" customHeight="1"/>
    <row r="4878" ht="18" customHeight="1"/>
    <row r="4879" ht="18" customHeight="1"/>
    <row r="4880" ht="18" customHeight="1"/>
    <row r="4881" ht="18" customHeight="1"/>
    <row r="4882" ht="18" customHeight="1"/>
    <row r="4883" ht="18" customHeight="1"/>
    <row r="4884" ht="18" customHeight="1"/>
    <row r="4885" ht="18" customHeight="1"/>
    <row r="4886" ht="18" customHeight="1"/>
    <row r="4887" ht="18" customHeight="1"/>
    <row r="4888" ht="18" customHeight="1"/>
    <row r="4889" ht="18" customHeight="1"/>
    <row r="4890" ht="18" customHeight="1"/>
    <row r="4891" ht="18" customHeight="1"/>
    <row r="4892" ht="18" customHeight="1"/>
    <row r="4893" ht="18" customHeight="1"/>
    <row r="4894" ht="18" customHeight="1"/>
    <row r="4895" ht="18" customHeight="1"/>
    <row r="4896" ht="18" customHeight="1"/>
    <row r="4897" ht="18" customHeight="1"/>
    <row r="4898" ht="18" customHeight="1"/>
    <row r="4899" ht="18" customHeight="1"/>
    <row r="4900" ht="18" customHeight="1"/>
    <row r="4901" ht="18" customHeight="1"/>
    <row r="4902" ht="18" customHeight="1"/>
    <row r="4903" ht="18" customHeight="1"/>
    <row r="4904" ht="18" customHeight="1"/>
    <row r="4905" ht="18" customHeight="1"/>
    <row r="4906" ht="18" customHeight="1"/>
    <row r="4907" ht="18" customHeight="1"/>
    <row r="4908" ht="18" customHeight="1"/>
    <row r="4909" ht="18" customHeight="1"/>
    <row r="4910" ht="18" customHeight="1"/>
    <row r="4911" ht="18" customHeight="1"/>
    <row r="4912" ht="18" customHeight="1"/>
    <row r="4913" ht="18" customHeight="1"/>
    <row r="4914" ht="18" customHeight="1"/>
    <row r="4915" ht="18" customHeight="1"/>
    <row r="4916" ht="18" customHeight="1"/>
    <row r="4917" ht="18" customHeight="1"/>
    <row r="4918" ht="18" customHeight="1"/>
    <row r="4919" ht="18" customHeight="1"/>
    <row r="4920" ht="18" customHeight="1"/>
    <row r="4921" ht="18" customHeight="1"/>
    <row r="4922" ht="18" customHeight="1"/>
    <row r="4923" ht="18" customHeight="1"/>
    <row r="4924" ht="18" customHeight="1"/>
    <row r="4925" ht="18" customHeight="1"/>
    <row r="4926" ht="18" customHeight="1"/>
    <row r="4927" ht="18" customHeight="1"/>
    <row r="4928" ht="18" customHeight="1"/>
    <row r="4929" ht="18" customHeight="1"/>
    <row r="4930" ht="18" customHeight="1"/>
    <row r="4931" ht="18" customHeight="1"/>
    <row r="4932" ht="18" customHeight="1"/>
    <row r="4933" ht="18" customHeight="1"/>
    <row r="4934" ht="18" customHeight="1"/>
    <row r="4935" ht="18" customHeight="1"/>
    <row r="4936" ht="18" customHeight="1"/>
    <row r="4937" ht="18" customHeight="1"/>
    <row r="4938" ht="18" customHeight="1"/>
    <row r="4939" ht="18" customHeight="1"/>
    <row r="4940" ht="18" customHeight="1"/>
    <row r="4941" ht="18" customHeight="1"/>
    <row r="4942" ht="18" customHeight="1"/>
    <row r="4943" ht="18" customHeight="1"/>
    <row r="4944" ht="18" customHeight="1"/>
    <row r="4945" ht="18" customHeight="1"/>
    <row r="4946" ht="18" customHeight="1"/>
    <row r="4947" ht="18" customHeight="1"/>
    <row r="4948" ht="18" customHeight="1"/>
    <row r="4949" ht="18" customHeight="1"/>
    <row r="4950" ht="18" customHeight="1"/>
    <row r="4951" ht="18" customHeight="1"/>
    <row r="4952" ht="18" customHeight="1"/>
    <row r="4953" ht="18" customHeight="1"/>
    <row r="4954" ht="18" customHeight="1"/>
    <row r="4955" ht="18" customHeight="1"/>
    <row r="4956" ht="18" customHeight="1"/>
    <row r="4957" ht="18" customHeight="1"/>
    <row r="4958" ht="18" customHeight="1"/>
    <row r="4959" ht="18" customHeight="1"/>
    <row r="4960" ht="18" customHeight="1"/>
    <row r="4961" ht="18" customHeight="1"/>
    <row r="4962" ht="18" customHeight="1"/>
    <row r="4963" ht="18" customHeight="1"/>
    <row r="4964" ht="18" customHeight="1"/>
    <row r="4965" ht="18" customHeight="1"/>
    <row r="4966" ht="18" customHeight="1"/>
    <row r="4967" ht="18" customHeight="1"/>
    <row r="4968" ht="18" customHeight="1"/>
    <row r="4969" ht="18" customHeight="1"/>
    <row r="4970" ht="18" customHeight="1"/>
    <row r="4971" ht="18" customHeight="1"/>
    <row r="4972" ht="18" customHeight="1"/>
    <row r="4973" ht="18" customHeight="1"/>
    <row r="4974" ht="18" customHeight="1"/>
    <row r="4975" ht="18" customHeight="1"/>
    <row r="4976" ht="18" customHeight="1"/>
    <row r="4977" ht="18" customHeight="1"/>
    <row r="4978" ht="18" customHeight="1"/>
    <row r="4979" ht="18" customHeight="1"/>
    <row r="4980" ht="18" customHeight="1"/>
    <row r="4981" ht="18" customHeight="1"/>
    <row r="4982" ht="18" customHeight="1"/>
    <row r="4983" ht="18" customHeight="1"/>
    <row r="4984" ht="18" customHeight="1"/>
    <row r="4985" ht="18" customHeight="1"/>
    <row r="4986" ht="18" customHeight="1"/>
    <row r="4987" ht="18" customHeight="1"/>
    <row r="4988" ht="18" customHeight="1"/>
    <row r="4989" ht="18" customHeight="1"/>
    <row r="4990" ht="18" customHeight="1"/>
    <row r="4991" ht="18" customHeight="1"/>
    <row r="4992" ht="18" customHeight="1"/>
    <row r="4993" ht="18" customHeight="1"/>
    <row r="4994" ht="18" customHeight="1"/>
    <row r="4995" ht="18" customHeight="1"/>
    <row r="4996" ht="18" customHeight="1"/>
    <row r="4997" ht="18" customHeight="1"/>
    <row r="4998" ht="18" customHeight="1"/>
    <row r="4999" ht="18" customHeight="1"/>
    <row r="5000" ht="18" customHeight="1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Q5000"/>
  <sheetViews>
    <sheetView workbookViewId="0"/>
  </sheetViews>
  <sheetFormatPr baseColWidth="10" defaultColWidth="9" defaultRowHeight="14.25"/>
  <cols>
    <col min="1" max="5" width="16" customWidth="1"/>
    <col min="6" max="7" width="40" customWidth="1"/>
    <col min="8" max="27" width="16" customWidth="1"/>
    <col min="28" max="43" width="50" customWidth="1"/>
  </cols>
  <sheetData>
    <row r="1" spans="1:43" ht="18" customHeight="1">
      <c r="A1" s="4" t="s">
        <v>11</v>
      </c>
      <c r="B1" s="4" t="s">
        <v>39</v>
      </c>
      <c r="C1" s="4" t="s">
        <v>1</v>
      </c>
      <c r="D1" s="4" t="s">
        <v>40</v>
      </c>
      <c r="E1" s="4" t="s">
        <v>41</v>
      </c>
      <c r="F1" s="4" t="s">
        <v>42</v>
      </c>
      <c r="G1" s="4" t="s">
        <v>43</v>
      </c>
      <c r="H1" s="4" t="s">
        <v>44</v>
      </c>
      <c r="I1" s="4" t="s">
        <v>45</v>
      </c>
      <c r="J1" s="4" t="s">
        <v>46</v>
      </c>
      <c r="K1" s="4" t="s">
        <v>6</v>
      </c>
      <c r="L1" s="4" t="s">
        <v>47</v>
      </c>
      <c r="M1" s="4" t="s">
        <v>48</v>
      </c>
      <c r="N1" s="4" t="s">
        <v>49</v>
      </c>
      <c r="O1" s="4" t="s">
        <v>50</v>
      </c>
      <c r="P1" s="4" t="s">
        <v>51</v>
      </c>
      <c r="Q1" s="4" t="s">
        <v>52</v>
      </c>
      <c r="R1" s="4" t="s">
        <v>53</v>
      </c>
      <c r="S1" s="4" t="s">
        <v>54</v>
      </c>
      <c r="T1" s="4" t="s">
        <v>55</v>
      </c>
      <c r="U1" s="4" t="s">
        <v>56</v>
      </c>
      <c r="V1" s="4" t="s">
        <v>57</v>
      </c>
      <c r="W1" s="4" t="s">
        <v>58</v>
      </c>
      <c r="X1" s="4" t="s">
        <v>59</v>
      </c>
      <c r="Y1" s="4" t="s">
        <v>60</v>
      </c>
      <c r="Z1" s="4" t="s">
        <v>61</v>
      </c>
      <c r="AA1" s="4" t="s">
        <v>62</v>
      </c>
      <c r="AB1" s="4" t="s">
        <v>63</v>
      </c>
      <c r="AC1" s="4" t="s">
        <v>64</v>
      </c>
      <c r="AD1" s="4" t="s">
        <v>65</v>
      </c>
      <c r="AE1" s="4" t="s">
        <v>66</v>
      </c>
      <c r="AF1" s="4" t="s">
        <v>67</v>
      </c>
      <c r="AG1" s="4" t="s">
        <v>68</v>
      </c>
      <c r="AH1" s="4" t="s">
        <v>69</v>
      </c>
      <c r="AI1" s="4" t="s">
        <v>70</v>
      </c>
      <c r="AJ1" s="4" t="s">
        <v>71</v>
      </c>
      <c r="AK1" s="4" t="s">
        <v>72</v>
      </c>
      <c r="AL1" s="4" t="s">
        <v>73</v>
      </c>
      <c r="AM1" s="4" t="s">
        <v>74</v>
      </c>
      <c r="AN1" s="4" t="s">
        <v>75</v>
      </c>
      <c r="AO1" s="4" t="s">
        <v>76</v>
      </c>
      <c r="AP1" s="4" t="s">
        <v>77</v>
      </c>
      <c r="AQ1" s="4" t="s">
        <v>78</v>
      </c>
    </row>
    <row r="2" spans="1:43" ht="18" customHeight="1">
      <c r="A2" s="15" t="s">
        <v>79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</row>
    <row r="3" spans="1:43" ht="18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</row>
    <row r="5" spans="1:43" ht="18" customHeight="1">
      <c r="A5" s="2">
        <f>Saisie_Questions!A5</f>
        <v>1</v>
      </c>
      <c r="B5" s="2" t="b">
        <f>Saisie_Questions!O5="OK"</f>
        <v>1</v>
      </c>
      <c r="C5" s="2" t="str">
        <f>LOWER(TRIM(Saisie_Questions!B5))</f>
        <v>qcu</v>
      </c>
      <c r="D5" s="2" t="str">
        <f t="shared" ref="D5:D36" si="0">IF(C5="qcu","SINGLE CHOICE QUESTION","MULTIPLE CHOICE QUESTION")</f>
        <v>SINGLE CHOICE QUESTION</v>
      </c>
      <c r="E5" s="2" t="str">
        <f t="shared" ref="E5:E36" si="1">IF(C5="qcu","Single","Multiple")</f>
        <v>Single</v>
      </c>
      <c r="F5" s="2" t="str">
        <f>IF(A5="","",SUBSTITUTE(SUBSTITUTE(SUBSTITUTE(SUBSTITUTE(SUBSTITUTE(IF(Saisie_Questions!C5="", "Question "&amp;A5, Saisie_Questions!C5),"&amp;","&amp;amp;"),"&lt;","&amp;lt;"),"&gt;","&amp;gt;"),CHAR(34),"&amp;quot;"),"'","&amp;apos;"))</f>
        <v>Exemple QCU</v>
      </c>
      <c r="G5" s="2" t="str">
        <f>IF(A5="","",SUBSTITUTE(SUBSTITUTE(SUBSTITUTE(SUBSTITUTE(SUBSTITUTE(Saisie_Questions!D5,"&amp;","&amp;amp;"),"&lt;","&amp;lt;"),"&gt;","&amp;gt;"),CHAR(34),"&amp;quot;"),"'","&amp;apos;"))</f>
        <v>Quelle est la capitale de la France ?</v>
      </c>
      <c r="H5" s="2">
        <f>Saisie_Questions!N5</f>
        <v>1</v>
      </c>
      <c r="I5" s="2">
        <f>IF(Saisie_Questions!E5="",0,1)+IF(Saisie_Questions!F5="",0,1)+IF(Saisie_Questions!G5="",0,1)+IF(Saisie_Questions!H5="",0,1)+IF(Saisie_Questions!I5="",0,1)+IF(Saisie_Questions!J5="",0,1)+IF(Saisie_Questions!K5="",0,1)+IF(Saisie_Questions!L5="",0,1)</f>
        <v>4</v>
      </c>
      <c r="J5" s="2" t="str">
        <f>Saisie_Questions!M5</f>
        <v>1</v>
      </c>
      <c r="K5" s="2" t="str">
        <f>Saisie_Questions!O5</f>
        <v>OK</v>
      </c>
      <c r="L5" s="2" t="str">
        <f>IF(Saisie_Questions!E5="","",SUBSTITUTE(SUBSTITUTE(SUBSTITUTE(SUBSTITUTE(SUBSTITUTE(Saisie_Questions!E5,"&amp;","&amp;amp;"),"&lt;","&amp;lt;"),"&gt;","&amp;gt;"),CHAR(34),"&amp;quot;"),"'","&amp;apos;"))</f>
        <v>Paris</v>
      </c>
      <c r="M5" s="2" t="str">
        <f>IF(Saisie_Questions!F5="","",SUBSTITUTE(SUBSTITUTE(SUBSTITUTE(SUBSTITUTE(SUBSTITUTE(Saisie_Questions!F5,"&amp;","&amp;amp;"),"&lt;","&amp;lt;"),"&gt;","&amp;gt;"),CHAR(34),"&amp;quot;"),"'","&amp;apos;"))</f>
        <v>Lyon</v>
      </c>
      <c r="N5" s="2" t="str">
        <f>IF(Saisie_Questions!G5="","",SUBSTITUTE(SUBSTITUTE(SUBSTITUTE(SUBSTITUTE(SUBSTITUTE(Saisie_Questions!G5,"&amp;","&amp;amp;"),"&lt;","&amp;lt;"),"&gt;","&amp;gt;"),CHAR(34),"&amp;quot;"),"'","&amp;apos;"))</f>
        <v>Marseille</v>
      </c>
      <c r="O5" s="2" t="str">
        <f>IF(Saisie_Questions!H5="","",SUBSTITUTE(SUBSTITUTE(SUBSTITUTE(SUBSTITUTE(SUBSTITUTE(Saisie_Questions!H5,"&amp;","&amp;amp;"),"&lt;","&amp;lt;"),"&gt;","&amp;gt;"),CHAR(34),"&amp;quot;"),"'","&amp;apos;"))</f>
        <v>Toulouse</v>
      </c>
      <c r="P5" s="2" t="str">
        <f>IF(Saisie_Questions!I5="","",SUBSTITUTE(SUBSTITUTE(SUBSTITUTE(SUBSTITUTE(SUBSTITUTE(Saisie_Questions!I5,"&amp;","&amp;amp;"),"&lt;","&amp;lt;"),"&gt;","&amp;gt;"),CHAR(34),"&amp;quot;"),"'","&amp;apos;"))</f>
        <v/>
      </c>
      <c r="Q5" s="2" t="str">
        <f>IF(Saisie_Questions!J5="","",SUBSTITUTE(SUBSTITUTE(SUBSTITUTE(SUBSTITUTE(SUBSTITUTE(Saisie_Questions!J5,"&amp;","&amp;amp;"),"&lt;","&amp;lt;"),"&gt;","&amp;gt;"),CHAR(34),"&amp;quot;"),"'","&amp;apos;"))</f>
        <v/>
      </c>
      <c r="R5" s="2" t="str">
        <f>IF(Saisie_Questions!K5="","",SUBSTITUTE(SUBSTITUTE(SUBSTITUTE(SUBSTITUTE(SUBSTITUTE(Saisie_Questions!K5,"&amp;","&amp;amp;"),"&lt;","&amp;lt;"),"&gt;","&amp;gt;"),CHAR(34),"&amp;quot;"),"'","&amp;apos;"))</f>
        <v/>
      </c>
      <c r="S5" s="2" t="str">
        <f>IF(Saisie_Questions!L5="","",SUBSTITUTE(SUBSTITUTE(SUBSTITUTE(SUBSTITUTE(SUBSTITUTE(Saisie_Questions!L5,"&amp;","&amp;amp;"),"&lt;","&amp;lt;"),"&gt;","&amp;gt;"),CHAR(34),"&amp;quot;"),"'","&amp;apos;"))</f>
        <v/>
      </c>
      <c r="T5" s="2" t="b">
        <f t="shared" ref="T5:T36" si="2">ISNUMBER(SEARCH(";"&amp;1&amp;";",";"&amp;$J5&amp;";"))</f>
        <v>1</v>
      </c>
      <c r="U5" s="2" t="b">
        <f t="shared" ref="U5:U36" si="3">ISNUMBER(SEARCH(";"&amp;2&amp;";",";"&amp;$J5&amp;";"))</f>
        <v>0</v>
      </c>
      <c r="V5" s="2" t="b">
        <f t="shared" ref="V5:V36" si="4">ISNUMBER(SEARCH(";"&amp;3&amp;";",";"&amp;$J5&amp;";"))</f>
        <v>0</v>
      </c>
      <c r="W5" s="2" t="b">
        <f t="shared" ref="W5:W36" si="5">ISNUMBER(SEARCH(";"&amp;4&amp;";",";"&amp;$J5&amp;";"))</f>
        <v>0</v>
      </c>
      <c r="X5" s="2" t="b">
        <f t="shared" ref="X5:X36" si="6">ISNUMBER(SEARCH(";"&amp;5&amp;";",";"&amp;$J5&amp;";"))</f>
        <v>0</v>
      </c>
      <c r="Y5" s="2" t="b">
        <f t="shared" ref="Y5:Y36" si="7">ISNUMBER(SEARCH(";"&amp;6&amp;";",";"&amp;$J5&amp;";"))</f>
        <v>0</v>
      </c>
      <c r="Z5" s="2" t="b">
        <f t="shared" ref="Z5:Z36" si="8">ISNUMBER(SEARCH(";"&amp;7&amp;";",";"&amp;$J5&amp;";"))</f>
        <v>0</v>
      </c>
      <c r="AA5" s="2" t="b">
        <f t="shared" ref="AA5:AA36" si="9">ISNUMBER(SEARCH(";"&amp;8&amp;";",";"&amp;$J5&amp;";"))</f>
        <v>0</v>
      </c>
      <c r="AB5" s="2" t="str">
        <f t="shared" ref="AB5:AB36" si="10">IF($B5,IF(L5="","","        &lt;response_label ident=""0""&gt;&lt;material&gt;&lt;mattext texttype=""text/html""&gt;"&amp;L5&amp;"&lt;/mattext&gt;&lt;/material&gt;&lt;/response_label&gt;"),"")</f>
        <v xml:space="preserve">        &lt;response_label ident="0"&gt;&lt;material&gt;&lt;mattext texttype="text/html"&gt;Paris&lt;/mattext&gt;&lt;/material&gt;&lt;/response_label&gt;</v>
      </c>
      <c r="AC5" s="2" t="str">
        <f t="shared" ref="AC5:AC36" si="11">IF($B5,IF(M5="","","        &lt;response_label ident=""1""&gt;&lt;material&gt;&lt;mattext texttype=""text/html""&gt;"&amp;M5&amp;"&lt;/mattext&gt;&lt;/material&gt;&lt;/response_label&gt;"),"")</f>
        <v xml:space="preserve">        &lt;response_label ident="1"&gt;&lt;material&gt;&lt;mattext texttype="text/html"&gt;Lyon&lt;/mattext&gt;&lt;/material&gt;&lt;/response_label&gt;</v>
      </c>
      <c r="AD5" s="2" t="str">
        <f t="shared" ref="AD5:AD36" si="12">IF($B5,IF(N5="","","        &lt;response_label ident=""2""&gt;&lt;material&gt;&lt;mattext texttype=""text/html""&gt;"&amp;N5&amp;"&lt;/mattext&gt;&lt;/material&gt;&lt;/response_label&gt;"),"")</f>
        <v xml:space="preserve">        &lt;response_label ident="2"&gt;&lt;material&gt;&lt;mattext texttype="text/html"&gt;Marseille&lt;/mattext&gt;&lt;/material&gt;&lt;/response_label&gt;</v>
      </c>
      <c r="AE5" s="2" t="str">
        <f t="shared" ref="AE5:AE36" si="13">IF($B5,IF(O5="","","        &lt;response_label ident=""3""&gt;&lt;material&gt;&lt;mattext texttype=""text/html""&gt;"&amp;O5&amp;"&lt;/mattext&gt;&lt;/material&gt;&lt;/response_label&gt;"),"")</f>
        <v xml:space="preserve">        &lt;response_label ident="3"&gt;&lt;material&gt;&lt;mattext texttype="text/html"&gt;Toulouse&lt;/mattext&gt;&lt;/material&gt;&lt;/response_label&gt;</v>
      </c>
      <c r="AF5" s="2" t="str">
        <f t="shared" ref="AF5:AF36" si="14">IF($B5,IF(P5="","","        &lt;response_label ident=""4""&gt;&lt;material&gt;&lt;mattext texttype=""text/html""&gt;"&amp;P5&amp;"&lt;/mattext&gt;&lt;/material&gt;&lt;/response_label&gt;"),"")</f>
        <v/>
      </c>
      <c r="AG5" s="2" t="str">
        <f t="shared" ref="AG5:AG36" si="15">IF($B5,IF(Q5="","","        &lt;response_label ident=""5""&gt;&lt;material&gt;&lt;mattext texttype=""text/html""&gt;"&amp;Q5&amp;"&lt;/mattext&gt;&lt;/material&gt;&lt;/response_label&gt;"),"")</f>
        <v/>
      </c>
      <c r="AH5" s="2" t="str">
        <f t="shared" ref="AH5:AH36" si="16">IF($B5,IF(R5="","","        &lt;response_label ident=""6""&gt;&lt;material&gt;&lt;mattext texttype=""text/html""&gt;"&amp;R5&amp;"&lt;/mattext&gt;&lt;/material&gt;&lt;/response_label&gt;"),"")</f>
        <v/>
      </c>
      <c r="AI5" s="2" t="str">
        <f t="shared" ref="AI5:AI36" si="17">IF($B5,IF(S5="","","        &lt;response_label ident=""7""&gt;&lt;material&gt;&lt;mattext texttype=""text/html""&gt;"&amp;S5&amp;"&lt;/mattext&gt;&lt;/material&gt;&lt;/response_label&gt;"),"")</f>
        <v/>
      </c>
      <c r="AJ5" s="2" t="str">
        <f>IF($B5,IF(L5="","",IF($C5="qcu",IF(T5,"      &lt;respcondition continue=""Yes""&gt;&lt;conditionvar&gt;&lt;varequal respident=""RESPONSE""&gt;0&lt;/varequal&gt;&lt;/conditionvar&gt;&lt;setvar action=""Add""&gt;"&amp;$H5&amp;"&lt;/setvar&gt;&lt;/respcondition&gt;",""),IF(T5,"      &lt;respcondition continue=""Yes""&gt;&lt;conditionvar&gt;&lt;varequal respident=""RESPONSE""&gt;0&lt;/varequal&gt;&lt;/conditionvar&gt;&lt;setvar action=""Add""&gt;"&amp;(Saisie_Questions!$N5/$I5)&amp;"&lt;/setvar&gt;&lt;/respcondition&gt;","      &lt;respcondition continue=""Yes""&gt;&lt;conditionvar&gt;&lt;not&gt;&lt;varequal respident=""RESPONSE""&gt;0&lt;/varequal&gt;&lt;/not&gt;&lt;/conditionvar&gt;&lt;setvar action=""Add""&gt;"&amp;(Saisie_Questions!$N5/$I5)&amp;"&lt;/setvar&gt;&lt;/respcondition&gt;"))),"")</f>
        <v xml:space="preserve">      &lt;respcondition continue="Yes"&gt;&lt;conditionvar&gt;&lt;varequal respident="RESPONSE"&gt;0&lt;/varequal&gt;&lt;/conditionvar&gt;&lt;setvar action="Add"&gt;1&lt;/setvar&gt;&lt;/respcondition&gt;</v>
      </c>
      <c r="AK5" s="2" t="str">
        <f>IF($B5,IF(M5="","",IF($C5="qcu",IF(U5,"      &lt;respcondition continue=""Yes""&gt;&lt;conditionvar&gt;&lt;varequal respident=""RESPONSE""&gt;1&lt;/varequal&gt;&lt;/conditionvar&gt;&lt;setvar action=""Add""&gt;"&amp;$H5&amp;"&lt;/setvar&gt;&lt;/respcondition&gt;",""),IF(U5,"      &lt;respcondition continue=""Yes""&gt;&lt;conditionvar&gt;&lt;varequal respident=""RESPONSE""&gt;1&lt;/varequal&gt;&lt;/conditionvar&gt;&lt;setvar action=""Add""&gt;"&amp;(Saisie_Questions!$N5/$I5)&amp;"&lt;/setvar&gt;&lt;/respcondition&gt;","      &lt;respcondition continue=""Yes""&gt;&lt;conditionvar&gt;&lt;not&gt;&lt;varequal respident=""RESPONSE""&gt;1&lt;/varequal&gt;&lt;/not&gt;&lt;/conditionvar&gt;&lt;setvar action=""Add""&gt;"&amp;(Saisie_Questions!$N5/$I5)&amp;"&lt;/setvar&gt;&lt;/respcondition&gt;"))),"")</f>
        <v/>
      </c>
      <c r="AL5" s="2" t="str">
        <f>IF($B5,IF(N5="","",IF($C5="qcu",IF(V5,"      &lt;respcondition continue=""Yes""&gt;&lt;conditionvar&gt;&lt;varequal respident=""RESPONSE""&gt;2&lt;/varequal&gt;&lt;/conditionvar&gt;&lt;setvar action=""Add""&gt;"&amp;$H5&amp;"&lt;/setvar&gt;&lt;/respcondition&gt;",""),IF(V5,"      &lt;respcondition continue=""Yes""&gt;&lt;conditionvar&gt;&lt;varequal respident=""RESPONSE""&gt;2&lt;/varequal&gt;&lt;/conditionvar&gt;&lt;setvar action=""Add""&gt;"&amp;(Saisie_Questions!$N5/$I5)&amp;"&lt;/setvar&gt;&lt;/respcondition&gt;","      &lt;respcondition continue=""Yes""&gt;&lt;conditionvar&gt;&lt;not&gt;&lt;varequal respident=""RESPONSE""&gt;2&lt;/varequal&gt;&lt;/not&gt;&lt;/conditionvar&gt;&lt;setvar action=""Add""&gt;"&amp;(Saisie_Questions!$N5/$I5)&amp;"&lt;/setvar&gt;&lt;/respcondition&gt;"))),"")</f>
        <v/>
      </c>
      <c r="AM5" s="2" t="str">
        <f>IF($B5,IF(O5="","",IF($C5="qcu",IF(W5,"      &lt;respcondition continue=""Yes""&gt;&lt;conditionvar&gt;&lt;varequal respident=""RESPONSE""&gt;3&lt;/varequal&gt;&lt;/conditionvar&gt;&lt;setvar action=""Add""&gt;"&amp;$H5&amp;"&lt;/setvar&gt;&lt;/respcondition&gt;",""),IF(W5,"      &lt;respcondition continue=""Yes""&gt;&lt;conditionvar&gt;&lt;varequal respident=""RESPONSE""&gt;3&lt;/varequal&gt;&lt;/conditionvar&gt;&lt;setvar action=""Add""&gt;"&amp;(Saisie_Questions!$N5/$I5)&amp;"&lt;/setvar&gt;&lt;/respcondition&gt;","      &lt;respcondition continue=""Yes""&gt;&lt;conditionvar&gt;&lt;not&gt;&lt;varequal respident=""RESPONSE""&gt;3&lt;/varequal&gt;&lt;/not&gt;&lt;/conditionvar&gt;&lt;setvar action=""Add""&gt;"&amp;(Saisie_Questions!$N5/$I5)&amp;"&lt;/setvar&gt;&lt;/respcondition&gt;"))),"")</f>
        <v/>
      </c>
      <c r="AN5" s="2" t="str">
        <f>IF($B5,IF(P5="","",IF($C5="qcu",IF(X5,"      &lt;respcondition continue=""Yes""&gt;&lt;conditionvar&gt;&lt;varequal respident=""RESPONSE""&gt;4&lt;/varequal&gt;&lt;/conditionvar&gt;&lt;setvar action=""Add""&gt;"&amp;$H5&amp;"&lt;/setvar&gt;&lt;/respcondition&gt;",""),IF(X5,"      &lt;respcondition continue=""Yes""&gt;&lt;conditionvar&gt;&lt;varequal respident=""RESPONSE""&gt;4&lt;/varequal&gt;&lt;/conditionvar&gt;&lt;setvar action=""Add""&gt;"&amp;(Saisie_Questions!$N5/$I5)&amp;"&lt;/setvar&gt;&lt;/respcondition&gt;","      &lt;respcondition continue=""Yes""&gt;&lt;conditionvar&gt;&lt;not&gt;&lt;varequal respident=""RESPONSE""&gt;4&lt;/varequal&gt;&lt;/not&gt;&lt;/conditionvar&gt;&lt;setvar action=""Add""&gt;"&amp;(Saisie_Questions!$N5/$I5)&amp;"&lt;/setvar&gt;&lt;/respcondition&gt;"))),"")</f>
        <v/>
      </c>
      <c r="AO5" s="2" t="str">
        <f>IF($B5,IF(Q5="","",IF($C5="qcu",IF(Y5,"      &lt;respcondition continue=""Yes""&gt;&lt;conditionvar&gt;&lt;varequal respident=""RESPONSE""&gt;5&lt;/varequal&gt;&lt;/conditionvar&gt;&lt;setvar action=""Add""&gt;"&amp;$H5&amp;"&lt;/setvar&gt;&lt;/respcondition&gt;",""),IF(Y5,"      &lt;respcondition continue=""Yes""&gt;&lt;conditionvar&gt;&lt;varequal respident=""RESPONSE""&gt;5&lt;/varequal&gt;&lt;/conditionvar&gt;&lt;setvar action=""Add""&gt;"&amp;(Saisie_Questions!$N5/$I5)&amp;"&lt;/setvar&gt;&lt;/respcondition&gt;","      &lt;respcondition continue=""Yes""&gt;&lt;conditionvar&gt;&lt;not&gt;&lt;varequal respident=""RESPONSE""&gt;5&lt;/varequal&gt;&lt;/not&gt;&lt;/conditionvar&gt;&lt;setvar action=""Add""&gt;"&amp;(Saisie_Questions!$N5/$I5)&amp;"&lt;/setvar&gt;&lt;/respcondition&gt;"))),"")</f>
        <v/>
      </c>
      <c r="AP5" s="2" t="str">
        <f>IF($B5,IF(R5="","",IF($C5="qcu",IF(Z5,"      &lt;respcondition continue=""Yes""&gt;&lt;conditionvar&gt;&lt;varequal respident=""RESPONSE""&gt;6&lt;/varequal&gt;&lt;/conditionvar&gt;&lt;setvar action=""Add""&gt;"&amp;$H5&amp;"&lt;/setvar&gt;&lt;/respcondition&gt;",""),IF(Z5,"      &lt;respcondition continue=""Yes""&gt;&lt;conditionvar&gt;&lt;varequal respident=""RESPONSE""&gt;6&lt;/varequal&gt;&lt;/conditionvar&gt;&lt;setvar action=""Add""&gt;"&amp;(Saisie_Questions!$N5/$I5)&amp;"&lt;/setvar&gt;&lt;/respcondition&gt;","      &lt;respcondition continue=""Yes""&gt;&lt;conditionvar&gt;&lt;not&gt;&lt;varequal respident=""RESPONSE""&gt;6&lt;/varequal&gt;&lt;/not&gt;&lt;/conditionvar&gt;&lt;setvar action=""Add""&gt;"&amp;(Saisie_Questions!$N5/$I5)&amp;"&lt;/setvar&gt;&lt;/respcondition&gt;"))),"")</f>
        <v/>
      </c>
      <c r="AQ5" s="2" t="str">
        <f>IF($B5,IF(S5="","",IF($C5="qcu",IF(AA5,"      &lt;respcondition continue=""Yes""&gt;&lt;conditionvar&gt;&lt;varequal respident=""RESPONSE""&gt;7&lt;/varequal&gt;&lt;/conditionvar&gt;&lt;setvar action=""Add""&gt;"&amp;$H5&amp;"&lt;/setvar&gt;&lt;/respcondition&gt;",""),IF(AA5,"      &lt;respcondition continue=""Yes""&gt;&lt;conditionvar&gt;&lt;varequal respident=""RESPONSE""&gt;7&lt;/varequal&gt;&lt;/conditionvar&gt;&lt;setvar action=""Add""&gt;"&amp;(Saisie_Questions!$N5/$I5)&amp;"&lt;/setvar&gt;&lt;/respcondition&gt;","      &lt;respcondition continue=""Yes""&gt;&lt;conditionvar&gt;&lt;not&gt;&lt;varequal respident=""RESPONSE""&gt;7&lt;/varequal&gt;&lt;/not&gt;&lt;/conditionvar&gt;&lt;setvar action=""Add""&gt;"&amp;(Saisie_Questions!$N5/$I5)&amp;"&lt;/setvar&gt;&lt;/respcondition&gt;"))),"")</f>
        <v/>
      </c>
    </row>
    <row r="6" spans="1:43" ht="18" customHeight="1">
      <c r="A6" s="2" t="str">
        <f>Saisie_Questions!A6</f>
        <v/>
      </c>
      <c r="B6" s="2" t="b">
        <f>Saisie_Questions!O6="OK"</f>
        <v>0</v>
      </c>
      <c r="C6" s="2" t="str">
        <f>LOWER(TRIM(Saisie_Questions!B6))</f>
        <v/>
      </c>
      <c r="D6" s="2" t="str">
        <f t="shared" si="0"/>
        <v>MULTIPLE CHOICE QUESTION</v>
      </c>
      <c r="E6" s="2" t="str">
        <f t="shared" si="1"/>
        <v>Multiple</v>
      </c>
      <c r="F6" s="2" t="str">
        <f>IF(A6="","",SUBSTITUTE(SUBSTITUTE(SUBSTITUTE(SUBSTITUTE(SUBSTITUTE(IF(Saisie_Questions!C6="", "Question "&amp;A6, Saisie_Questions!C6),"&amp;","&amp;amp;"),"&lt;","&amp;lt;"),"&gt;","&amp;gt;"),CHAR(34),"&amp;quot;"),"'","&amp;apos;"))</f>
        <v/>
      </c>
      <c r="G6" s="2" t="str">
        <f>IF(A6="","",SUBSTITUTE(SUBSTITUTE(SUBSTITUTE(SUBSTITUTE(SUBSTITUTE(Saisie_Questions!D6,"&amp;","&amp;amp;"),"&lt;","&amp;lt;"),"&gt;","&amp;gt;"),CHAR(34),"&amp;quot;"),"'","&amp;apos;"))</f>
        <v/>
      </c>
      <c r="H6" s="2">
        <f>Saisie_Questions!N6</f>
        <v>0</v>
      </c>
      <c r="I6" s="2">
        <f>IF(Saisie_Questions!E6="",0,1)+IF(Saisie_Questions!F6="",0,1)+IF(Saisie_Questions!G6="",0,1)+IF(Saisie_Questions!H6="",0,1)+IF(Saisie_Questions!I6="",0,1)+IF(Saisie_Questions!J6="",0,1)+IF(Saisie_Questions!K6="",0,1)+IF(Saisie_Questions!L6="",0,1)</f>
        <v>0</v>
      </c>
      <c r="J6" s="2">
        <f>Saisie_Questions!M6</f>
        <v>0</v>
      </c>
      <c r="K6" s="2" t="str">
        <f>Saisie_Questions!O6</f>
        <v/>
      </c>
      <c r="L6" s="2" t="str">
        <f>IF(Saisie_Questions!E6="","",SUBSTITUTE(SUBSTITUTE(SUBSTITUTE(SUBSTITUTE(SUBSTITUTE(Saisie_Questions!E6,"&amp;","&amp;amp;"),"&lt;","&amp;lt;"),"&gt;","&amp;gt;"),CHAR(34),"&amp;quot;"),"'","&amp;apos;"))</f>
        <v/>
      </c>
      <c r="M6" s="2" t="str">
        <f>IF(Saisie_Questions!F6="","",SUBSTITUTE(SUBSTITUTE(SUBSTITUTE(SUBSTITUTE(SUBSTITUTE(Saisie_Questions!F6,"&amp;","&amp;amp;"),"&lt;","&amp;lt;"),"&gt;","&amp;gt;"),CHAR(34),"&amp;quot;"),"'","&amp;apos;"))</f>
        <v/>
      </c>
      <c r="N6" s="2" t="str">
        <f>IF(Saisie_Questions!G6="","",SUBSTITUTE(SUBSTITUTE(SUBSTITUTE(SUBSTITUTE(SUBSTITUTE(Saisie_Questions!G6,"&amp;","&amp;amp;"),"&lt;","&amp;lt;"),"&gt;","&amp;gt;"),CHAR(34),"&amp;quot;"),"'","&amp;apos;"))</f>
        <v/>
      </c>
      <c r="O6" s="2" t="str">
        <f>IF(Saisie_Questions!H6="","",SUBSTITUTE(SUBSTITUTE(SUBSTITUTE(SUBSTITUTE(SUBSTITUTE(Saisie_Questions!H6,"&amp;","&amp;amp;"),"&lt;","&amp;lt;"),"&gt;","&amp;gt;"),CHAR(34),"&amp;quot;"),"'","&amp;apos;"))</f>
        <v/>
      </c>
      <c r="P6" s="2" t="str">
        <f>IF(Saisie_Questions!I6="","",SUBSTITUTE(SUBSTITUTE(SUBSTITUTE(SUBSTITUTE(SUBSTITUTE(Saisie_Questions!I6,"&amp;","&amp;amp;"),"&lt;","&amp;lt;"),"&gt;","&amp;gt;"),CHAR(34),"&amp;quot;"),"'","&amp;apos;"))</f>
        <v/>
      </c>
      <c r="Q6" s="2" t="str">
        <f>IF(Saisie_Questions!J6="","",SUBSTITUTE(SUBSTITUTE(SUBSTITUTE(SUBSTITUTE(SUBSTITUTE(Saisie_Questions!J6,"&amp;","&amp;amp;"),"&lt;","&amp;lt;"),"&gt;","&amp;gt;"),CHAR(34),"&amp;quot;"),"'","&amp;apos;"))</f>
        <v/>
      </c>
      <c r="R6" s="2" t="str">
        <f>IF(Saisie_Questions!K6="","",SUBSTITUTE(SUBSTITUTE(SUBSTITUTE(SUBSTITUTE(SUBSTITUTE(Saisie_Questions!K6,"&amp;","&amp;amp;"),"&lt;","&amp;lt;"),"&gt;","&amp;gt;"),CHAR(34),"&amp;quot;"),"'","&amp;apos;"))</f>
        <v/>
      </c>
      <c r="S6" s="2" t="str">
        <f>IF(Saisie_Questions!L6="","",SUBSTITUTE(SUBSTITUTE(SUBSTITUTE(SUBSTITUTE(SUBSTITUTE(Saisie_Questions!L6,"&amp;","&amp;amp;"),"&lt;","&amp;lt;"),"&gt;","&amp;gt;"),CHAR(34),"&amp;quot;"),"'","&amp;apos;"))</f>
        <v/>
      </c>
      <c r="T6" s="2" t="b">
        <f t="shared" si="2"/>
        <v>0</v>
      </c>
      <c r="U6" s="2" t="b">
        <f t="shared" si="3"/>
        <v>0</v>
      </c>
      <c r="V6" s="2" t="b">
        <f t="shared" si="4"/>
        <v>0</v>
      </c>
      <c r="W6" s="2" t="b">
        <f t="shared" si="5"/>
        <v>0</v>
      </c>
      <c r="X6" s="2" t="b">
        <f t="shared" si="6"/>
        <v>0</v>
      </c>
      <c r="Y6" s="2" t="b">
        <f t="shared" si="7"/>
        <v>0</v>
      </c>
      <c r="Z6" s="2" t="b">
        <f t="shared" si="8"/>
        <v>0</v>
      </c>
      <c r="AA6" s="2" t="b">
        <f t="shared" si="9"/>
        <v>0</v>
      </c>
      <c r="AB6" s="2" t="str">
        <f t="shared" si="10"/>
        <v/>
      </c>
      <c r="AC6" s="2" t="str">
        <f t="shared" si="11"/>
        <v/>
      </c>
      <c r="AD6" s="2" t="str">
        <f t="shared" si="12"/>
        <v/>
      </c>
      <c r="AE6" s="2" t="str">
        <f t="shared" si="13"/>
        <v/>
      </c>
      <c r="AF6" s="2" t="str">
        <f t="shared" si="14"/>
        <v/>
      </c>
      <c r="AG6" s="2" t="str">
        <f t="shared" si="15"/>
        <v/>
      </c>
      <c r="AH6" s="2" t="str">
        <f t="shared" si="16"/>
        <v/>
      </c>
      <c r="AI6" s="2" t="str">
        <f t="shared" si="17"/>
        <v/>
      </c>
      <c r="AJ6" s="2" t="str">
        <f>IF($B6,IF(L6="","",IF($C6="qcu",IF(T6,"      &lt;respcondition continue=""Yes""&gt;&lt;conditionvar&gt;&lt;varequal respident=""RESPONSE""&gt;0&lt;/varequal&gt;&lt;/conditionvar&gt;&lt;setvar action=""Add""&gt;"&amp;$H6&amp;"&lt;/setvar&gt;&lt;/respcondition&gt;",""),IF(T6,"      &lt;respcondition continue=""Yes""&gt;&lt;conditionvar&gt;&lt;varequal respident=""RESPONSE""&gt;0&lt;/varequal&gt;&lt;/conditionvar&gt;&lt;setvar action=""Add""&gt;"&amp;(Saisie_Questions!$N6/$I6)&amp;"&lt;/setvar&gt;&lt;/respcondition&gt;","      &lt;respcondition continue=""Yes""&gt;&lt;conditionvar&gt;&lt;not&gt;&lt;varequal respident=""RESPONSE""&gt;0&lt;/varequal&gt;&lt;/not&gt;&lt;/conditionvar&gt;&lt;setvar action=""Add""&gt;"&amp;(Saisie_Questions!$N6/$I6)&amp;"&lt;/setvar&gt;&lt;/respcondition&gt;"))),"")</f>
        <v/>
      </c>
      <c r="AK6" s="2" t="str">
        <f>IF($B6,IF(M6="","",IF($C6="qcu",IF(U6,"      &lt;respcondition continue=""Yes""&gt;&lt;conditionvar&gt;&lt;varequal respident=""RESPONSE""&gt;1&lt;/varequal&gt;&lt;/conditionvar&gt;&lt;setvar action=""Add""&gt;"&amp;$H6&amp;"&lt;/setvar&gt;&lt;/respcondition&gt;",""),IF(U6,"      &lt;respcondition continue=""Yes""&gt;&lt;conditionvar&gt;&lt;varequal respident=""RESPONSE""&gt;1&lt;/varequal&gt;&lt;/conditionvar&gt;&lt;setvar action=""Add""&gt;"&amp;(Saisie_Questions!$N6/$I6)&amp;"&lt;/setvar&gt;&lt;/respcondition&gt;","      &lt;respcondition continue=""Yes""&gt;&lt;conditionvar&gt;&lt;not&gt;&lt;varequal respident=""RESPONSE""&gt;1&lt;/varequal&gt;&lt;/not&gt;&lt;/conditionvar&gt;&lt;setvar action=""Add""&gt;"&amp;(Saisie_Questions!$N6/$I6)&amp;"&lt;/setvar&gt;&lt;/respcondition&gt;"))),"")</f>
        <v/>
      </c>
      <c r="AL6" s="2" t="str">
        <f>IF($B6,IF(N6="","",IF($C6="qcu",IF(V6,"      &lt;respcondition continue=""Yes""&gt;&lt;conditionvar&gt;&lt;varequal respident=""RESPONSE""&gt;2&lt;/varequal&gt;&lt;/conditionvar&gt;&lt;setvar action=""Add""&gt;"&amp;$H6&amp;"&lt;/setvar&gt;&lt;/respcondition&gt;",""),IF(V6,"      &lt;respcondition continue=""Yes""&gt;&lt;conditionvar&gt;&lt;varequal respident=""RESPONSE""&gt;2&lt;/varequal&gt;&lt;/conditionvar&gt;&lt;setvar action=""Add""&gt;"&amp;(Saisie_Questions!$N6/$I6)&amp;"&lt;/setvar&gt;&lt;/respcondition&gt;","      &lt;respcondition continue=""Yes""&gt;&lt;conditionvar&gt;&lt;not&gt;&lt;varequal respident=""RESPONSE""&gt;2&lt;/varequal&gt;&lt;/not&gt;&lt;/conditionvar&gt;&lt;setvar action=""Add""&gt;"&amp;(Saisie_Questions!$N6/$I6)&amp;"&lt;/setvar&gt;&lt;/respcondition&gt;"))),"")</f>
        <v/>
      </c>
      <c r="AM6" s="2" t="str">
        <f>IF($B6,IF(O6="","",IF($C6="qcu",IF(W6,"      &lt;respcondition continue=""Yes""&gt;&lt;conditionvar&gt;&lt;varequal respident=""RESPONSE""&gt;3&lt;/varequal&gt;&lt;/conditionvar&gt;&lt;setvar action=""Add""&gt;"&amp;$H6&amp;"&lt;/setvar&gt;&lt;/respcondition&gt;",""),IF(W6,"      &lt;respcondition continue=""Yes""&gt;&lt;conditionvar&gt;&lt;varequal respident=""RESPONSE""&gt;3&lt;/varequal&gt;&lt;/conditionvar&gt;&lt;setvar action=""Add""&gt;"&amp;(Saisie_Questions!$N6/$I6)&amp;"&lt;/setvar&gt;&lt;/respcondition&gt;","      &lt;respcondition continue=""Yes""&gt;&lt;conditionvar&gt;&lt;not&gt;&lt;varequal respident=""RESPONSE""&gt;3&lt;/varequal&gt;&lt;/not&gt;&lt;/conditionvar&gt;&lt;setvar action=""Add""&gt;"&amp;(Saisie_Questions!$N6/$I6)&amp;"&lt;/setvar&gt;&lt;/respcondition&gt;"))),"")</f>
        <v/>
      </c>
      <c r="AN6" s="2" t="str">
        <f>IF($B6,IF(P6="","",IF($C6="qcu",IF(X6,"      &lt;respcondition continue=""Yes""&gt;&lt;conditionvar&gt;&lt;varequal respident=""RESPONSE""&gt;4&lt;/varequal&gt;&lt;/conditionvar&gt;&lt;setvar action=""Add""&gt;"&amp;$H6&amp;"&lt;/setvar&gt;&lt;/respcondition&gt;",""),IF(X6,"      &lt;respcondition continue=""Yes""&gt;&lt;conditionvar&gt;&lt;varequal respident=""RESPONSE""&gt;4&lt;/varequal&gt;&lt;/conditionvar&gt;&lt;setvar action=""Add""&gt;"&amp;(Saisie_Questions!$N6/$I6)&amp;"&lt;/setvar&gt;&lt;/respcondition&gt;","      &lt;respcondition continue=""Yes""&gt;&lt;conditionvar&gt;&lt;not&gt;&lt;varequal respident=""RESPONSE""&gt;4&lt;/varequal&gt;&lt;/not&gt;&lt;/conditionvar&gt;&lt;setvar action=""Add""&gt;"&amp;(Saisie_Questions!$N6/$I6)&amp;"&lt;/setvar&gt;&lt;/respcondition&gt;"))),"")</f>
        <v/>
      </c>
      <c r="AO6" s="2" t="str">
        <f>IF($B6,IF(Q6="","",IF($C6="qcu",IF(Y6,"      &lt;respcondition continue=""Yes""&gt;&lt;conditionvar&gt;&lt;varequal respident=""RESPONSE""&gt;5&lt;/varequal&gt;&lt;/conditionvar&gt;&lt;setvar action=""Add""&gt;"&amp;$H6&amp;"&lt;/setvar&gt;&lt;/respcondition&gt;",""),IF(Y6,"      &lt;respcondition continue=""Yes""&gt;&lt;conditionvar&gt;&lt;varequal respident=""RESPONSE""&gt;5&lt;/varequal&gt;&lt;/conditionvar&gt;&lt;setvar action=""Add""&gt;"&amp;(Saisie_Questions!$N6/$I6)&amp;"&lt;/setvar&gt;&lt;/respcondition&gt;","      &lt;respcondition continue=""Yes""&gt;&lt;conditionvar&gt;&lt;not&gt;&lt;varequal respident=""RESPONSE""&gt;5&lt;/varequal&gt;&lt;/not&gt;&lt;/conditionvar&gt;&lt;setvar action=""Add""&gt;"&amp;(Saisie_Questions!$N6/$I6)&amp;"&lt;/setvar&gt;&lt;/respcondition&gt;"))),"")</f>
        <v/>
      </c>
      <c r="AP6" s="2" t="str">
        <f>IF($B6,IF(R6="","",IF($C6="qcu",IF(Z6,"      &lt;respcondition continue=""Yes""&gt;&lt;conditionvar&gt;&lt;varequal respident=""RESPONSE""&gt;6&lt;/varequal&gt;&lt;/conditionvar&gt;&lt;setvar action=""Add""&gt;"&amp;$H6&amp;"&lt;/setvar&gt;&lt;/respcondition&gt;",""),IF(Z6,"      &lt;respcondition continue=""Yes""&gt;&lt;conditionvar&gt;&lt;varequal respident=""RESPONSE""&gt;6&lt;/varequal&gt;&lt;/conditionvar&gt;&lt;setvar action=""Add""&gt;"&amp;(Saisie_Questions!$N6/$I6)&amp;"&lt;/setvar&gt;&lt;/respcondition&gt;","      &lt;respcondition continue=""Yes""&gt;&lt;conditionvar&gt;&lt;not&gt;&lt;varequal respident=""RESPONSE""&gt;6&lt;/varequal&gt;&lt;/not&gt;&lt;/conditionvar&gt;&lt;setvar action=""Add""&gt;"&amp;(Saisie_Questions!$N6/$I6)&amp;"&lt;/setvar&gt;&lt;/respcondition&gt;"))),"")</f>
        <v/>
      </c>
      <c r="AQ6" s="2" t="str">
        <f>IF($B6,IF(S6="","",IF($C6="qcu",IF(AA6,"      &lt;respcondition continue=""Yes""&gt;&lt;conditionvar&gt;&lt;varequal respident=""RESPONSE""&gt;7&lt;/varequal&gt;&lt;/conditionvar&gt;&lt;setvar action=""Add""&gt;"&amp;$H6&amp;"&lt;/setvar&gt;&lt;/respcondition&gt;",""),IF(AA6,"      &lt;respcondition continue=""Yes""&gt;&lt;conditionvar&gt;&lt;varequal respident=""RESPONSE""&gt;7&lt;/varequal&gt;&lt;/conditionvar&gt;&lt;setvar action=""Add""&gt;"&amp;(Saisie_Questions!$N6/$I6)&amp;"&lt;/setvar&gt;&lt;/respcondition&gt;","      &lt;respcondition continue=""Yes""&gt;&lt;conditionvar&gt;&lt;not&gt;&lt;varequal respident=""RESPONSE""&gt;7&lt;/varequal&gt;&lt;/not&gt;&lt;/conditionvar&gt;&lt;setvar action=""Add""&gt;"&amp;(Saisie_Questions!$N6/$I6)&amp;"&lt;/setvar&gt;&lt;/respcondition&gt;"))),"")</f>
        <v/>
      </c>
    </row>
    <row r="7" spans="1:43" ht="18" customHeight="1">
      <c r="A7" s="2" t="str">
        <f>Saisie_Questions!A7</f>
        <v/>
      </c>
      <c r="B7" s="2" t="b">
        <f>Saisie_Questions!O7="OK"</f>
        <v>0</v>
      </c>
      <c r="C7" s="2" t="str">
        <f>LOWER(TRIM(Saisie_Questions!B7))</f>
        <v/>
      </c>
      <c r="D7" s="2" t="str">
        <f t="shared" si="0"/>
        <v>MULTIPLE CHOICE QUESTION</v>
      </c>
      <c r="E7" s="2" t="str">
        <f t="shared" si="1"/>
        <v>Multiple</v>
      </c>
      <c r="F7" s="2" t="str">
        <f>IF(A7="","",SUBSTITUTE(SUBSTITUTE(SUBSTITUTE(SUBSTITUTE(SUBSTITUTE(IF(Saisie_Questions!C7="", "Question "&amp;A7, Saisie_Questions!C7),"&amp;","&amp;amp;"),"&lt;","&amp;lt;"),"&gt;","&amp;gt;"),CHAR(34),"&amp;quot;"),"'","&amp;apos;"))</f>
        <v/>
      </c>
      <c r="G7" s="2" t="str">
        <f>IF(A7="","",SUBSTITUTE(SUBSTITUTE(SUBSTITUTE(SUBSTITUTE(SUBSTITUTE(Saisie_Questions!D7,"&amp;","&amp;amp;"),"&lt;","&amp;lt;"),"&gt;","&amp;gt;"),CHAR(34),"&amp;quot;"),"'","&amp;apos;"))</f>
        <v/>
      </c>
      <c r="H7" s="2">
        <f>Saisie_Questions!N7</f>
        <v>0</v>
      </c>
      <c r="I7" s="2">
        <f>IF(Saisie_Questions!E7="",0,1)+IF(Saisie_Questions!F7="",0,1)+IF(Saisie_Questions!G7="",0,1)+IF(Saisie_Questions!H7="",0,1)+IF(Saisie_Questions!I7="",0,1)+IF(Saisie_Questions!J7="",0,1)+IF(Saisie_Questions!K7="",0,1)+IF(Saisie_Questions!L7="",0,1)</f>
        <v>0</v>
      </c>
      <c r="J7" s="2">
        <f>Saisie_Questions!M7</f>
        <v>0</v>
      </c>
      <c r="K7" s="2" t="str">
        <f>Saisie_Questions!O7</f>
        <v/>
      </c>
      <c r="L7" s="2" t="str">
        <f>IF(Saisie_Questions!E7="","",SUBSTITUTE(SUBSTITUTE(SUBSTITUTE(SUBSTITUTE(SUBSTITUTE(Saisie_Questions!E7,"&amp;","&amp;amp;"),"&lt;","&amp;lt;"),"&gt;","&amp;gt;"),CHAR(34),"&amp;quot;"),"'","&amp;apos;"))</f>
        <v/>
      </c>
      <c r="M7" s="2" t="str">
        <f>IF(Saisie_Questions!F7="","",SUBSTITUTE(SUBSTITUTE(SUBSTITUTE(SUBSTITUTE(SUBSTITUTE(Saisie_Questions!F7,"&amp;","&amp;amp;"),"&lt;","&amp;lt;"),"&gt;","&amp;gt;"),CHAR(34),"&amp;quot;"),"'","&amp;apos;"))</f>
        <v/>
      </c>
      <c r="N7" s="2" t="str">
        <f>IF(Saisie_Questions!G7="","",SUBSTITUTE(SUBSTITUTE(SUBSTITUTE(SUBSTITUTE(SUBSTITUTE(Saisie_Questions!G7,"&amp;","&amp;amp;"),"&lt;","&amp;lt;"),"&gt;","&amp;gt;"),CHAR(34),"&amp;quot;"),"'","&amp;apos;"))</f>
        <v/>
      </c>
      <c r="O7" s="2" t="str">
        <f>IF(Saisie_Questions!H7="","",SUBSTITUTE(SUBSTITUTE(SUBSTITUTE(SUBSTITUTE(SUBSTITUTE(Saisie_Questions!H7,"&amp;","&amp;amp;"),"&lt;","&amp;lt;"),"&gt;","&amp;gt;"),CHAR(34),"&amp;quot;"),"'","&amp;apos;"))</f>
        <v/>
      </c>
      <c r="P7" s="2" t="str">
        <f>IF(Saisie_Questions!I7="","",SUBSTITUTE(SUBSTITUTE(SUBSTITUTE(SUBSTITUTE(SUBSTITUTE(Saisie_Questions!I7,"&amp;","&amp;amp;"),"&lt;","&amp;lt;"),"&gt;","&amp;gt;"),CHAR(34),"&amp;quot;"),"'","&amp;apos;"))</f>
        <v/>
      </c>
      <c r="Q7" s="2" t="str">
        <f>IF(Saisie_Questions!J7="","",SUBSTITUTE(SUBSTITUTE(SUBSTITUTE(SUBSTITUTE(SUBSTITUTE(Saisie_Questions!J7,"&amp;","&amp;amp;"),"&lt;","&amp;lt;"),"&gt;","&amp;gt;"),CHAR(34),"&amp;quot;"),"'","&amp;apos;"))</f>
        <v/>
      </c>
      <c r="R7" s="2" t="str">
        <f>IF(Saisie_Questions!K7="","",SUBSTITUTE(SUBSTITUTE(SUBSTITUTE(SUBSTITUTE(SUBSTITUTE(Saisie_Questions!K7,"&amp;","&amp;amp;"),"&lt;","&amp;lt;"),"&gt;","&amp;gt;"),CHAR(34),"&amp;quot;"),"'","&amp;apos;"))</f>
        <v/>
      </c>
      <c r="S7" s="2" t="str">
        <f>IF(Saisie_Questions!L7="","",SUBSTITUTE(SUBSTITUTE(SUBSTITUTE(SUBSTITUTE(SUBSTITUTE(Saisie_Questions!L7,"&amp;","&amp;amp;"),"&lt;","&amp;lt;"),"&gt;","&amp;gt;"),CHAR(34),"&amp;quot;"),"'","&amp;apos;"))</f>
        <v/>
      </c>
      <c r="T7" s="2" t="b">
        <f t="shared" si="2"/>
        <v>0</v>
      </c>
      <c r="U7" s="2" t="b">
        <f t="shared" si="3"/>
        <v>0</v>
      </c>
      <c r="V7" s="2" t="b">
        <f t="shared" si="4"/>
        <v>0</v>
      </c>
      <c r="W7" s="2" t="b">
        <f t="shared" si="5"/>
        <v>0</v>
      </c>
      <c r="X7" s="2" t="b">
        <f t="shared" si="6"/>
        <v>0</v>
      </c>
      <c r="Y7" s="2" t="b">
        <f t="shared" si="7"/>
        <v>0</v>
      </c>
      <c r="Z7" s="2" t="b">
        <f t="shared" si="8"/>
        <v>0</v>
      </c>
      <c r="AA7" s="2" t="b">
        <f t="shared" si="9"/>
        <v>0</v>
      </c>
      <c r="AB7" s="2" t="str">
        <f t="shared" si="10"/>
        <v/>
      </c>
      <c r="AC7" s="2" t="str">
        <f t="shared" si="11"/>
        <v/>
      </c>
      <c r="AD7" s="2" t="str">
        <f t="shared" si="12"/>
        <v/>
      </c>
      <c r="AE7" s="2" t="str">
        <f t="shared" si="13"/>
        <v/>
      </c>
      <c r="AF7" s="2" t="str">
        <f t="shared" si="14"/>
        <v/>
      </c>
      <c r="AG7" s="2" t="str">
        <f t="shared" si="15"/>
        <v/>
      </c>
      <c r="AH7" s="2" t="str">
        <f t="shared" si="16"/>
        <v/>
      </c>
      <c r="AI7" s="2" t="str">
        <f t="shared" si="17"/>
        <v/>
      </c>
      <c r="AJ7" s="2" t="str">
        <f>IF($B7,IF(L7="","",IF($C7="qcu",IF(T7,"      &lt;respcondition continue=""Yes""&gt;&lt;conditionvar&gt;&lt;varequal respident=""RESPONSE""&gt;0&lt;/varequal&gt;&lt;/conditionvar&gt;&lt;setvar action=""Add""&gt;"&amp;$H7&amp;"&lt;/setvar&gt;&lt;/respcondition&gt;",""),IF(T7,"      &lt;respcondition continue=""Yes""&gt;&lt;conditionvar&gt;&lt;varequal respident=""RESPONSE""&gt;0&lt;/varequal&gt;&lt;/conditionvar&gt;&lt;setvar action=""Add""&gt;"&amp;(Saisie_Questions!$N7/$I7)&amp;"&lt;/setvar&gt;&lt;/respcondition&gt;","      &lt;respcondition continue=""Yes""&gt;&lt;conditionvar&gt;&lt;not&gt;&lt;varequal respident=""RESPONSE""&gt;0&lt;/varequal&gt;&lt;/not&gt;&lt;/conditionvar&gt;&lt;setvar action=""Add""&gt;"&amp;(Saisie_Questions!$N7/$I7)&amp;"&lt;/setvar&gt;&lt;/respcondition&gt;"))),"")</f>
        <v/>
      </c>
      <c r="AK7" s="2" t="str">
        <f>IF($B7,IF(M7="","",IF($C7="qcu",IF(U7,"      &lt;respcondition continue=""Yes""&gt;&lt;conditionvar&gt;&lt;varequal respident=""RESPONSE""&gt;1&lt;/varequal&gt;&lt;/conditionvar&gt;&lt;setvar action=""Add""&gt;"&amp;$H7&amp;"&lt;/setvar&gt;&lt;/respcondition&gt;",""),IF(U7,"      &lt;respcondition continue=""Yes""&gt;&lt;conditionvar&gt;&lt;varequal respident=""RESPONSE""&gt;1&lt;/varequal&gt;&lt;/conditionvar&gt;&lt;setvar action=""Add""&gt;"&amp;(Saisie_Questions!$N7/$I7)&amp;"&lt;/setvar&gt;&lt;/respcondition&gt;","      &lt;respcondition continue=""Yes""&gt;&lt;conditionvar&gt;&lt;not&gt;&lt;varequal respident=""RESPONSE""&gt;1&lt;/varequal&gt;&lt;/not&gt;&lt;/conditionvar&gt;&lt;setvar action=""Add""&gt;"&amp;(Saisie_Questions!$N7/$I7)&amp;"&lt;/setvar&gt;&lt;/respcondition&gt;"))),"")</f>
        <v/>
      </c>
      <c r="AL7" s="2" t="str">
        <f>IF($B7,IF(N7="","",IF($C7="qcu",IF(V7,"      &lt;respcondition continue=""Yes""&gt;&lt;conditionvar&gt;&lt;varequal respident=""RESPONSE""&gt;2&lt;/varequal&gt;&lt;/conditionvar&gt;&lt;setvar action=""Add""&gt;"&amp;$H7&amp;"&lt;/setvar&gt;&lt;/respcondition&gt;",""),IF(V7,"      &lt;respcondition continue=""Yes""&gt;&lt;conditionvar&gt;&lt;varequal respident=""RESPONSE""&gt;2&lt;/varequal&gt;&lt;/conditionvar&gt;&lt;setvar action=""Add""&gt;"&amp;(Saisie_Questions!$N7/$I7)&amp;"&lt;/setvar&gt;&lt;/respcondition&gt;","      &lt;respcondition continue=""Yes""&gt;&lt;conditionvar&gt;&lt;not&gt;&lt;varequal respident=""RESPONSE""&gt;2&lt;/varequal&gt;&lt;/not&gt;&lt;/conditionvar&gt;&lt;setvar action=""Add""&gt;"&amp;(Saisie_Questions!$N7/$I7)&amp;"&lt;/setvar&gt;&lt;/respcondition&gt;"))),"")</f>
        <v/>
      </c>
      <c r="AM7" s="2" t="str">
        <f>IF($B7,IF(O7="","",IF($C7="qcu",IF(W7,"      &lt;respcondition continue=""Yes""&gt;&lt;conditionvar&gt;&lt;varequal respident=""RESPONSE""&gt;3&lt;/varequal&gt;&lt;/conditionvar&gt;&lt;setvar action=""Add""&gt;"&amp;$H7&amp;"&lt;/setvar&gt;&lt;/respcondition&gt;",""),IF(W7,"      &lt;respcondition continue=""Yes""&gt;&lt;conditionvar&gt;&lt;varequal respident=""RESPONSE""&gt;3&lt;/varequal&gt;&lt;/conditionvar&gt;&lt;setvar action=""Add""&gt;"&amp;(Saisie_Questions!$N7/$I7)&amp;"&lt;/setvar&gt;&lt;/respcondition&gt;","      &lt;respcondition continue=""Yes""&gt;&lt;conditionvar&gt;&lt;not&gt;&lt;varequal respident=""RESPONSE""&gt;3&lt;/varequal&gt;&lt;/not&gt;&lt;/conditionvar&gt;&lt;setvar action=""Add""&gt;"&amp;(Saisie_Questions!$N7/$I7)&amp;"&lt;/setvar&gt;&lt;/respcondition&gt;"))),"")</f>
        <v/>
      </c>
      <c r="AN7" s="2" t="str">
        <f>IF($B7,IF(P7="","",IF($C7="qcu",IF(X7,"      &lt;respcondition continue=""Yes""&gt;&lt;conditionvar&gt;&lt;varequal respident=""RESPONSE""&gt;4&lt;/varequal&gt;&lt;/conditionvar&gt;&lt;setvar action=""Add""&gt;"&amp;$H7&amp;"&lt;/setvar&gt;&lt;/respcondition&gt;",""),IF(X7,"      &lt;respcondition continue=""Yes""&gt;&lt;conditionvar&gt;&lt;varequal respident=""RESPONSE""&gt;4&lt;/varequal&gt;&lt;/conditionvar&gt;&lt;setvar action=""Add""&gt;"&amp;(Saisie_Questions!$N7/$I7)&amp;"&lt;/setvar&gt;&lt;/respcondition&gt;","      &lt;respcondition continue=""Yes""&gt;&lt;conditionvar&gt;&lt;not&gt;&lt;varequal respident=""RESPONSE""&gt;4&lt;/varequal&gt;&lt;/not&gt;&lt;/conditionvar&gt;&lt;setvar action=""Add""&gt;"&amp;(Saisie_Questions!$N7/$I7)&amp;"&lt;/setvar&gt;&lt;/respcondition&gt;"))),"")</f>
        <v/>
      </c>
      <c r="AO7" s="2" t="str">
        <f>IF($B7,IF(Q7="","",IF($C7="qcu",IF(Y7,"      &lt;respcondition continue=""Yes""&gt;&lt;conditionvar&gt;&lt;varequal respident=""RESPONSE""&gt;5&lt;/varequal&gt;&lt;/conditionvar&gt;&lt;setvar action=""Add""&gt;"&amp;$H7&amp;"&lt;/setvar&gt;&lt;/respcondition&gt;",""),IF(Y7,"      &lt;respcondition continue=""Yes""&gt;&lt;conditionvar&gt;&lt;varequal respident=""RESPONSE""&gt;5&lt;/varequal&gt;&lt;/conditionvar&gt;&lt;setvar action=""Add""&gt;"&amp;(Saisie_Questions!$N7/$I7)&amp;"&lt;/setvar&gt;&lt;/respcondition&gt;","      &lt;respcondition continue=""Yes""&gt;&lt;conditionvar&gt;&lt;not&gt;&lt;varequal respident=""RESPONSE""&gt;5&lt;/varequal&gt;&lt;/not&gt;&lt;/conditionvar&gt;&lt;setvar action=""Add""&gt;"&amp;(Saisie_Questions!$N7/$I7)&amp;"&lt;/setvar&gt;&lt;/respcondition&gt;"))),"")</f>
        <v/>
      </c>
      <c r="AP7" s="2" t="str">
        <f>IF($B7,IF(R7="","",IF($C7="qcu",IF(Z7,"      &lt;respcondition continue=""Yes""&gt;&lt;conditionvar&gt;&lt;varequal respident=""RESPONSE""&gt;6&lt;/varequal&gt;&lt;/conditionvar&gt;&lt;setvar action=""Add""&gt;"&amp;$H7&amp;"&lt;/setvar&gt;&lt;/respcondition&gt;",""),IF(Z7,"      &lt;respcondition continue=""Yes""&gt;&lt;conditionvar&gt;&lt;varequal respident=""RESPONSE""&gt;6&lt;/varequal&gt;&lt;/conditionvar&gt;&lt;setvar action=""Add""&gt;"&amp;(Saisie_Questions!$N7/$I7)&amp;"&lt;/setvar&gt;&lt;/respcondition&gt;","      &lt;respcondition continue=""Yes""&gt;&lt;conditionvar&gt;&lt;not&gt;&lt;varequal respident=""RESPONSE""&gt;6&lt;/varequal&gt;&lt;/not&gt;&lt;/conditionvar&gt;&lt;setvar action=""Add""&gt;"&amp;(Saisie_Questions!$N7/$I7)&amp;"&lt;/setvar&gt;&lt;/respcondition&gt;"))),"")</f>
        <v/>
      </c>
      <c r="AQ7" s="2" t="str">
        <f>IF($B7,IF(S7="","",IF($C7="qcu",IF(AA7,"      &lt;respcondition continue=""Yes""&gt;&lt;conditionvar&gt;&lt;varequal respident=""RESPONSE""&gt;7&lt;/varequal&gt;&lt;/conditionvar&gt;&lt;setvar action=""Add""&gt;"&amp;$H7&amp;"&lt;/setvar&gt;&lt;/respcondition&gt;",""),IF(AA7,"      &lt;respcondition continue=""Yes""&gt;&lt;conditionvar&gt;&lt;varequal respident=""RESPONSE""&gt;7&lt;/varequal&gt;&lt;/conditionvar&gt;&lt;setvar action=""Add""&gt;"&amp;(Saisie_Questions!$N7/$I7)&amp;"&lt;/setvar&gt;&lt;/respcondition&gt;","      &lt;respcondition continue=""Yes""&gt;&lt;conditionvar&gt;&lt;not&gt;&lt;varequal respident=""RESPONSE""&gt;7&lt;/varequal&gt;&lt;/not&gt;&lt;/conditionvar&gt;&lt;setvar action=""Add""&gt;"&amp;(Saisie_Questions!$N7/$I7)&amp;"&lt;/setvar&gt;&lt;/respcondition&gt;"))),"")</f>
        <v/>
      </c>
    </row>
    <row r="8" spans="1:43" ht="18" customHeight="1">
      <c r="A8" s="2" t="str">
        <f>Saisie_Questions!A8</f>
        <v/>
      </c>
      <c r="B8" s="2" t="b">
        <f>Saisie_Questions!O8="OK"</f>
        <v>0</v>
      </c>
      <c r="C8" s="2" t="str">
        <f>LOWER(TRIM(Saisie_Questions!B8))</f>
        <v/>
      </c>
      <c r="D8" s="2" t="str">
        <f t="shared" si="0"/>
        <v>MULTIPLE CHOICE QUESTION</v>
      </c>
      <c r="E8" s="2" t="str">
        <f t="shared" si="1"/>
        <v>Multiple</v>
      </c>
      <c r="F8" s="2" t="str">
        <f>IF(A8="","",SUBSTITUTE(SUBSTITUTE(SUBSTITUTE(SUBSTITUTE(SUBSTITUTE(IF(Saisie_Questions!C8="", "Question "&amp;A8, Saisie_Questions!C8),"&amp;","&amp;amp;"),"&lt;","&amp;lt;"),"&gt;","&amp;gt;"),CHAR(34),"&amp;quot;"),"'","&amp;apos;"))</f>
        <v/>
      </c>
      <c r="G8" s="2" t="str">
        <f>IF(A8="","",SUBSTITUTE(SUBSTITUTE(SUBSTITUTE(SUBSTITUTE(SUBSTITUTE(Saisie_Questions!D8,"&amp;","&amp;amp;"),"&lt;","&amp;lt;"),"&gt;","&amp;gt;"),CHAR(34),"&amp;quot;"),"'","&amp;apos;"))</f>
        <v/>
      </c>
      <c r="H8" s="2">
        <f>Saisie_Questions!N8</f>
        <v>0</v>
      </c>
      <c r="I8" s="2">
        <f>IF(Saisie_Questions!E8="",0,1)+IF(Saisie_Questions!F8="",0,1)+IF(Saisie_Questions!G8="",0,1)+IF(Saisie_Questions!H8="",0,1)+IF(Saisie_Questions!I8="",0,1)+IF(Saisie_Questions!J8="",0,1)+IF(Saisie_Questions!K8="",0,1)+IF(Saisie_Questions!L8="",0,1)</f>
        <v>0</v>
      </c>
      <c r="J8" s="2">
        <f>Saisie_Questions!M8</f>
        <v>0</v>
      </c>
      <c r="K8" s="2" t="str">
        <f>Saisie_Questions!O8</f>
        <v/>
      </c>
      <c r="L8" s="2" t="str">
        <f>IF(Saisie_Questions!E8="","",SUBSTITUTE(SUBSTITUTE(SUBSTITUTE(SUBSTITUTE(SUBSTITUTE(Saisie_Questions!E8,"&amp;","&amp;amp;"),"&lt;","&amp;lt;"),"&gt;","&amp;gt;"),CHAR(34),"&amp;quot;"),"'","&amp;apos;"))</f>
        <v/>
      </c>
      <c r="M8" s="2" t="str">
        <f>IF(Saisie_Questions!F8="","",SUBSTITUTE(SUBSTITUTE(SUBSTITUTE(SUBSTITUTE(SUBSTITUTE(Saisie_Questions!F8,"&amp;","&amp;amp;"),"&lt;","&amp;lt;"),"&gt;","&amp;gt;"),CHAR(34),"&amp;quot;"),"'","&amp;apos;"))</f>
        <v/>
      </c>
      <c r="N8" s="2" t="str">
        <f>IF(Saisie_Questions!G8="","",SUBSTITUTE(SUBSTITUTE(SUBSTITUTE(SUBSTITUTE(SUBSTITUTE(Saisie_Questions!G8,"&amp;","&amp;amp;"),"&lt;","&amp;lt;"),"&gt;","&amp;gt;"),CHAR(34),"&amp;quot;"),"'","&amp;apos;"))</f>
        <v/>
      </c>
      <c r="O8" s="2" t="str">
        <f>IF(Saisie_Questions!H8="","",SUBSTITUTE(SUBSTITUTE(SUBSTITUTE(SUBSTITUTE(SUBSTITUTE(Saisie_Questions!H8,"&amp;","&amp;amp;"),"&lt;","&amp;lt;"),"&gt;","&amp;gt;"),CHAR(34),"&amp;quot;"),"'","&amp;apos;"))</f>
        <v/>
      </c>
      <c r="P8" s="2" t="str">
        <f>IF(Saisie_Questions!I8="","",SUBSTITUTE(SUBSTITUTE(SUBSTITUTE(SUBSTITUTE(SUBSTITUTE(Saisie_Questions!I8,"&amp;","&amp;amp;"),"&lt;","&amp;lt;"),"&gt;","&amp;gt;"),CHAR(34),"&amp;quot;"),"'","&amp;apos;"))</f>
        <v/>
      </c>
      <c r="Q8" s="2" t="str">
        <f>IF(Saisie_Questions!J8="","",SUBSTITUTE(SUBSTITUTE(SUBSTITUTE(SUBSTITUTE(SUBSTITUTE(Saisie_Questions!J8,"&amp;","&amp;amp;"),"&lt;","&amp;lt;"),"&gt;","&amp;gt;"),CHAR(34),"&amp;quot;"),"'","&amp;apos;"))</f>
        <v/>
      </c>
      <c r="R8" s="2" t="str">
        <f>IF(Saisie_Questions!K8="","",SUBSTITUTE(SUBSTITUTE(SUBSTITUTE(SUBSTITUTE(SUBSTITUTE(Saisie_Questions!K8,"&amp;","&amp;amp;"),"&lt;","&amp;lt;"),"&gt;","&amp;gt;"),CHAR(34),"&amp;quot;"),"'","&amp;apos;"))</f>
        <v/>
      </c>
      <c r="S8" s="2" t="str">
        <f>IF(Saisie_Questions!L8="","",SUBSTITUTE(SUBSTITUTE(SUBSTITUTE(SUBSTITUTE(SUBSTITUTE(Saisie_Questions!L8,"&amp;","&amp;amp;"),"&lt;","&amp;lt;"),"&gt;","&amp;gt;"),CHAR(34),"&amp;quot;"),"'","&amp;apos;"))</f>
        <v/>
      </c>
      <c r="T8" s="2" t="b">
        <f t="shared" si="2"/>
        <v>0</v>
      </c>
      <c r="U8" s="2" t="b">
        <f t="shared" si="3"/>
        <v>0</v>
      </c>
      <c r="V8" s="2" t="b">
        <f t="shared" si="4"/>
        <v>0</v>
      </c>
      <c r="W8" s="2" t="b">
        <f t="shared" si="5"/>
        <v>0</v>
      </c>
      <c r="X8" s="2" t="b">
        <f t="shared" si="6"/>
        <v>0</v>
      </c>
      <c r="Y8" s="2" t="b">
        <f t="shared" si="7"/>
        <v>0</v>
      </c>
      <c r="Z8" s="2" t="b">
        <f t="shared" si="8"/>
        <v>0</v>
      </c>
      <c r="AA8" s="2" t="b">
        <f t="shared" si="9"/>
        <v>0</v>
      </c>
      <c r="AB8" s="2" t="str">
        <f t="shared" si="10"/>
        <v/>
      </c>
      <c r="AC8" s="2" t="str">
        <f t="shared" si="11"/>
        <v/>
      </c>
      <c r="AD8" s="2" t="str">
        <f t="shared" si="12"/>
        <v/>
      </c>
      <c r="AE8" s="2" t="str">
        <f t="shared" si="13"/>
        <v/>
      </c>
      <c r="AF8" s="2" t="str">
        <f t="shared" si="14"/>
        <v/>
      </c>
      <c r="AG8" s="2" t="str">
        <f t="shared" si="15"/>
        <v/>
      </c>
      <c r="AH8" s="2" t="str">
        <f t="shared" si="16"/>
        <v/>
      </c>
      <c r="AI8" s="2" t="str">
        <f t="shared" si="17"/>
        <v/>
      </c>
      <c r="AJ8" s="2" t="str">
        <f>IF($B8,IF(L8="","",IF($C8="qcu",IF(T8,"      &lt;respcondition continue=""Yes""&gt;&lt;conditionvar&gt;&lt;varequal respident=""RESPONSE""&gt;0&lt;/varequal&gt;&lt;/conditionvar&gt;&lt;setvar action=""Add""&gt;"&amp;$H8&amp;"&lt;/setvar&gt;&lt;/respcondition&gt;",""),IF(T8,"      &lt;respcondition continue=""Yes""&gt;&lt;conditionvar&gt;&lt;varequal respident=""RESPONSE""&gt;0&lt;/varequal&gt;&lt;/conditionvar&gt;&lt;setvar action=""Add""&gt;"&amp;(Saisie_Questions!$N8/$I8)&amp;"&lt;/setvar&gt;&lt;/respcondition&gt;","      &lt;respcondition continue=""Yes""&gt;&lt;conditionvar&gt;&lt;not&gt;&lt;varequal respident=""RESPONSE""&gt;0&lt;/varequal&gt;&lt;/not&gt;&lt;/conditionvar&gt;&lt;setvar action=""Add""&gt;"&amp;(Saisie_Questions!$N8/$I8)&amp;"&lt;/setvar&gt;&lt;/respcondition&gt;"))),"")</f>
        <v/>
      </c>
      <c r="AK8" s="2" t="str">
        <f>IF($B8,IF(M8="","",IF($C8="qcu",IF(U8,"      &lt;respcondition continue=""Yes""&gt;&lt;conditionvar&gt;&lt;varequal respident=""RESPONSE""&gt;1&lt;/varequal&gt;&lt;/conditionvar&gt;&lt;setvar action=""Add""&gt;"&amp;$H8&amp;"&lt;/setvar&gt;&lt;/respcondition&gt;",""),IF(U8,"      &lt;respcondition continue=""Yes""&gt;&lt;conditionvar&gt;&lt;varequal respident=""RESPONSE""&gt;1&lt;/varequal&gt;&lt;/conditionvar&gt;&lt;setvar action=""Add""&gt;"&amp;(Saisie_Questions!$N8/$I8)&amp;"&lt;/setvar&gt;&lt;/respcondition&gt;","      &lt;respcondition continue=""Yes""&gt;&lt;conditionvar&gt;&lt;not&gt;&lt;varequal respident=""RESPONSE""&gt;1&lt;/varequal&gt;&lt;/not&gt;&lt;/conditionvar&gt;&lt;setvar action=""Add""&gt;"&amp;(Saisie_Questions!$N8/$I8)&amp;"&lt;/setvar&gt;&lt;/respcondition&gt;"))),"")</f>
        <v/>
      </c>
      <c r="AL8" s="2" t="str">
        <f>IF($B8,IF(N8="","",IF($C8="qcu",IF(V8,"      &lt;respcondition continue=""Yes""&gt;&lt;conditionvar&gt;&lt;varequal respident=""RESPONSE""&gt;2&lt;/varequal&gt;&lt;/conditionvar&gt;&lt;setvar action=""Add""&gt;"&amp;$H8&amp;"&lt;/setvar&gt;&lt;/respcondition&gt;",""),IF(V8,"      &lt;respcondition continue=""Yes""&gt;&lt;conditionvar&gt;&lt;varequal respident=""RESPONSE""&gt;2&lt;/varequal&gt;&lt;/conditionvar&gt;&lt;setvar action=""Add""&gt;"&amp;(Saisie_Questions!$N8/$I8)&amp;"&lt;/setvar&gt;&lt;/respcondition&gt;","      &lt;respcondition continue=""Yes""&gt;&lt;conditionvar&gt;&lt;not&gt;&lt;varequal respident=""RESPONSE""&gt;2&lt;/varequal&gt;&lt;/not&gt;&lt;/conditionvar&gt;&lt;setvar action=""Add""&gt;"&amp;(Saisie_Questions!$N8/$I8)&amp;"&lt;/setvar&gt;&lt;/respcondition&gt;"))),"")</f>
        <v/>
      </c>
      <c r="AM8" s="2" t="str">
        <f>IF($B8,IF(O8="","",IF($C8="qcu",IF(W8,"      &lt;respcondition continue=""Yes""&gt;&lt;conditionvar&gt;&lt;varequal respident=""RESPONSE""&gt;3&lt;/varequal&gt;&lt;/conditionvar&gt;&lt;setvar action=""Add""&gt;"&amp;$H8&amp;"&lt;/setvar&gt;&lt;/respcondition&gt;",""),IF(W8,"      &lt;respcondition continue=""Yes""&gt;&lt;conditionvar&gt;&lt;varequal respident=""RESPONSE""&gt;3&lt;/varequal&gt;&lt;/conditionvar&gt;&lt;setvar action=""Add""&gt;"&amp;(Saisie_Questions!$N8/$I8)&amp;"&lt;/setvar&gt;&lt;/respcondition&gt;","      &lt;respcondition continue=""Yes""&gt;&lt;conditionvar&gt;&lt;not&gt;&lt;varequal respident=""RESPONSE""&gt;3&lt;/varequal&gt;&lt;/not&gt;&lt;/conditionvar&gt;&lt;setvar action=""Add""&gt;"&amp;(Saisie_Questions!$N8/$I8)&amp;"&lt;/setvar&gt;&lt;/respcondition&gt;"))),"")</f>
        <v/>
      </c>
      <c r="AN8" s="2" t="str">
        <f>IF($B8,IF(P8="","",IF($C8="qcu",IF(X8,"      &lt;respcondition continue=""Yes""&gt;&lt;conditionvar&gt;&lt;varequal respident=""RESPONSE""&gt;4&lt;/varequal&gt;&lt;/conditionvar&gt;&lt;setvar action=""Add""&gt;"&amp;$H8&amp;"&lt;/setvar&gt;&lt;/respcondition&gt;",""),IF(X8,"      &lt;respcondition continue=""Yes""&gt;&lt;conditionvar&gt;&lt;varequal respident=""RESPONSE""&gt;4&lt;/varequal&gt;&lt;/conditionvar&gt;&lt;setvar action=""Add""&gt;"&amp;(Saisie_Questions!$N8/$I8)&amp;"&lt;/setvar&gt;&lt;/respcondition&gt;","      &lt;respcondition continue=""Yes""&gt;&lt;conditionvar&gt;&lt;not&gt;&lt;varequal respident=""RESPONSE""&gt;4&lt;/varequal&gt;&lt;/not&gt;&lt;/conditionvar&gt;&lt;setvar action=""Add""&gt;"&amp;(Saisie_Questions!$N8/$I8)&amp;"&lt;/setvar&gt;&lt;/respcondition&gt;"))),"")</f>
        <v/>
      </c>
      <c r="AO8" s="2" t="str">
        <f>IF($B8,IF(Q8="","",IF($C8="qcu",IF(Y8,"      &lt;respcondition continue=""Yes""&gt;&lt;conditionvar&gt;&lt;varequal respident=""RESPONSE""&gt;5&lt;/varequal&gt;&lt;/conditionvar&gt;&lt;setvar action=""Add""&gt;"&amp;$H8&amp;"&lt;/setvar&gt;&lt;/respcondition&gt;",""),IF(Y8,"      &lt;respcondition continue=""Yes""&gt;&lt;conditionvar&gt;&lt;varequal respident=""RESPONSE""&gt;5&lt;/varequal&gt;&lt;/conditionvar&gt;&lt;setvar action=""Add""&gt;"&amp;(Saisie_Questions!$N8/$I8)&amp;"&lt;/setvar&gt;&lt;/respcondition&gt;","      &lt;respcondition continue=""Yes""&gt;&lt;conditionvar&gt;&lt;not&gt;&lt;varequal respident=""RESPONSE""&gt;5&lt;/varequal&gt;&lt;/not&gt;&lt;/conditionvar&gt;&lt;setvar action=""Add""&gt;"&amp;(Saisie_Questions!$N8/$I8)&amp;"&lt;/setvar&gt;&lt;/respcondition&gt;"))),"")</f>
        <v/>
      </c>
      <c r="AP8" s="2" t="str">
        <f>IF($B8,IF(R8="","",IF($C8="qcu",IF(Z8,"      &lt;respcondition continue=""Yes""&gt;&lt;conditionvar&gt;&lt;varequal respident=""RESPONSE""&gt;6&lt;/varequal&gt;&lt;/conditionvar&gt;&lt;setvar action=""Add""&gt;"&amp;$H8&amp;"&lt;/setvar&gt;&lt;/respcondition&gt;",""),IF(Z8,"      &lt;respcondition continue=""Yes""&gt;&lt;conditionvar&gt;&lt;varequal respident=""RESPONSE""&gt;6&lt;/varequal&gt;&lt;/conditionvar&gt;&lt;setvar action=""Add""&gt;"&amp;(Saisie_Questions!$N8/$I8)&amp;"&lt;/setvar&gt;&lt;/respcondition&gt;","      &lt;respcondition continue=""Yes""&gt;&lt;conditionvar&gt;&lt;not&gt;&lt;varequal respident=""RESPONSE""&gt;6&lt;/varequal&gt;&lt;/not&gt;&lt;/conditionvar&gt;&lt;setvar action=""Add""&gt;"&amp;(Saisie_Questions!$N8/$I8)&amp;"&lt;/setvar&gt;&lt;/respcondition&gt;"))),"")</f>
        <v/>
      </c>
      <c r="AQ8" s="2" t="str">
        <f>IF($B8,IF(S8="","",IF($C8="qcu",IF(AA8,"      &lt;respcondition continue=""Yes""&gt;&lt;conditionvar&gt;&lt;varequal respident=""RESPONSE""&gt;7&lt;/varequal&gt;&lt;/conditionvar&gt;&lt;setvar action=""Add""&gt;"&amp;$H8&amp;"&lt;/setvar&gt;&lt;/respcondition&gt;",""),IF(AA8,"      &lt;respcondition continue=""Yes""&gt;&lt;conditionvar&gt;&lt;varequal respident=""RESPONSE""&gt;7&lt;/varequal&gt;&lt;/conditionvar&gt;&lt;setvar action=""Add""&gt;"&amp;(Saisie_Questions!$N8/$I8)&amp;"&lt;/setvar&gt;&lt;/respcondition&gt;","      &lt;respcondition continue=""Yes""&gt;&lt;conditionvar&gt;&lt;not&gt;&lt;varequal respident=""RESPONSE""&gt;7&lt;/varequal&gt;&lt;/not&gt;&lt;/conditionvar&gt;&lt;setvar action=""Add""&gt;"&amp;(Saisie_Questions!$N8/$I8)&amp;"&lt;/setvar&gt;&lt;/respcondition&gt;"))),"")</f>
        <v/>
      </c>
    </row>
    <row r="9" spans="1:43" ht="18" customHeight="1">
      <c r="A9" s="2" t="str">
        <f>Saisie_Questions!A9</f>
        <v/>
      </c>
      <c r="B9" s="2" t="b">
        <f>Saisie_Questions!O9="OK"</f>
        <v>0</v>
      </c>
      <c r="C9" s="2" t="str">
        <f>LOWER(TRIM(Saisie_Questions!B9))</f>
        <v/>
      </c>
      <c r="D9" s="2" t="str">
        <f t="shared" si="0"/>
        <v>MULTIPLE CHOICE QUESTION</v>
      </c>
      <c r="E9" s="2" t="str">
        <f t="shared" si="1"/>
        <v>Multiple</v>
      </c>
      <c r="F9" s="2" t="str">
        <f>IF(A9="","",SUBSTITUTE(SUBSTITUTE(SUBSTITUTE(SUBSTITUTE(SUBSTITUTE(IF(Saisie_Questions!C9="", "Question "&amp;A9, Saisie_Questions!C9),"&amp;","&amp;amp;"),"&lt;","&amp;lt;"),"&gt;","&amp;gt;"),CHAR(34),"&amp;quot;"),"'","&amp;apos;"))</f>
        <v/>
      </c>
      <c r="G9" s="2" t="str">
        <f>IF(A9="","",SUBSTITUTE(SUBSTITUTE(SUBSTITUTE(SUBSTITUTE(SUBSTITUTE(Saisie_Questions!D9,"&amp;","&amp;amp;"),"&lt;","&amp;lt;"),"&gt;","&amp;gt;"),CHAR(34),"&amp;quot;"),"'","&amp;apos;"))</f>
        <v/>
      </c>
      <c r="H9" s="2">
        <f>Saisie_Questions!N9</f>
        <v>0</v>
      </c>
      <c r="I9" s="2">
        <f>IF(Saisie_Questions!E9="",0,1)+IF(Saisie_Questions!F9="",0,1)+IF(Saisie_Questions!G9="",0,1)+IF(Saisie_Questions!H9="",0,1)+IF(Saisie_Questions!I9="",0,1)+IF(Saisie_Questions!J9="",0,1)+IF(Saisie_Questions!K9="",0,1)+IF(Saisie_Questions!L9="",0,1)</f>
        <v>0</v>
      </c>
      <c r="J9" s="2">
        <f>Saisie_Questions!M9</f>
        <v>0</v>
      </c>
      <c r="K9" s="2" t="str">
        <f>Saisie_Questions!O9</f>
        <v/>
      </c>
      <c r="L9" s="2" t="str">
        <f>IF(Saisie_Questions!E9="","",SUBSTITUTE(SUBSTITUTE(SUBSTITUTE(SUBSTITUTE(SUBSTITUTE(Saisie_Questions!E9,"&amp;","&amp;amp;"),"&lt;","&amp;lt;"),"&gt;","&amp;gt;"),CHAR(34),"&amp;quot;"),"'","&amp;apos;"))</f>
        <v/>
      </c>
      <c r="M9" s="2" t="str">
        <f>IF(Saisie_Questions!F9="","",SUBSTITUTE(SUBSTITUTE(SUBSTITUTE(SUBSTITUTE(SUBSTITUTE(Saisie_Questions!F9,"&amp;","&amp;amp;"),"&lt;","&amp;lt;"),"&gt;","&amp;gt;"),CHAR(34),"&amp;quot;"),"'","&amp;apos;"))</f>
        <v/>
      </c>
      <c r="N9" s="2" t="str">
        <f>IF(Saisie_Questions!G9="","",SUBSTITUTE(SUBSTITUTE(SUBSTITUTE(SUBSTITUTE(SUBSTITUTE(Saisie_Questions!G9,"&amp;","&amp;amp;"),"&lt;","&amp;lt;"),"&gt;","&amp;gt;"),CHAR(34),"&amp;quot;"),"'","&amp;apos;"))</f>
        <v/>
      </c>
      <c r="O9" s="2" t="str">
        <f>IF(Saisie_Questions!H9="","",SUBSTITUTE(SUBSTITUTE(SUBSTITUTE(SUBSTITUTE(SUBSTITUTE(Saisie_Questions!H9,"&amp;","&amp;amp;"),"&lt;","&amp;lt;"),"&gt;","&amp;gt;"),CHAR(34),"&amp;quot;"),"'","&amp;apos;"))</f>
        <v/>
      </c>
      <c r="P9" s="2" t="str">
        <f>IF(Saisie_Questions!I9="","",SUBSTITUTE(SUBSTITUTE(SUBSTITUTE(SUBSTITUTE(SUBSTITUTE(Saisie_Questions!I9,"&amp;","&amp;amp;"),"&lt;","&amp;lt;"),"&gt;","&amp;gt;"),CHAR(34),"&amp;quot;"),"'","&amp;apos;"))</f>
        <v/>
      </c>
      <c r="Q9" s="2" t="str">
        <f>IF(Saisie_Questions!J9="","",SUBSTITUTE(SUBSTITUTE(SUBSTITUTE(SUBSTITUTE(SUBSTITUTE(Saisie_Questions!J9,"&amp;","&amp;amp;"),"&lt;","&amp;lt;"),"&gt;","&amp;gt;"),CHAR(34),"&amp;quot;"),"'","&amp;apos;"))</f>
        <v/>
      </c>
      <c r="R9" s="2" t="str">
        <f>IF(Saisie_Questions!K9="","",SUBSTITUTE(SUBSTITUTE(SUBSTITUTE(SUBSTITUTE(SUBSTITUTE(Saisie_Questions!K9,"&amp;","&amp;amp;"),"&lt;","&amp;lt;"),"&gt;","&amp;gt;"),CHAR(34),"&amp;quot;"),"'","&amp;apos;"))</f>
        <v/>
      </c>
      <c r="S9" s="2" t="str">
        <f>IF(Saisie_Questions!L9="","",SUBSTITUTE(SUBSTITUTE(SUBSTITUTE(SUBSTITUTE(SUBSTITUTE(Saisie_Questions!L9,"&amp;","&amp;amp;"),"&lt;","&amp;lt;"),"&gt;","&amp;gt;"),CHAR(34),"&amp;quot;"),"'","&amp;apos;"))</f>
        <v/>
      </c>
      <c r="T9" s="2" t="b">
        <f t="shared" si="2"/>
        <v>0</v>
      </c>
      <c r="U9" s="2" t="b">
        <f t="shared" si="3"/>
        <v>0</v>
      </c>
      <c r="V9" s="2" t="b">
        <f t="shared" si="4"/>
        <v>0</v>
      </c>
      <c r="W9" s="2" t="b">
        <f t="shared" si="5"/>
        <v>0</v>
      </c>
      <c r="X9" s="2" t="b">
        <f t="shared" si="6"/>
        <v>0</v>
      </c>
      <c r="Y9" s="2" t="b">
        <f t="shared" si="7"/>
        <v>0</v>
      </c>
      <c r="Z9" s="2" t="b">
        <f t="shared" si="8"/>
        <v>0</v>
      </c>
      <c r="AA9" s="2" t="b">
        <f t="shared" si="9"/>
        <v>0</v>
      </c>
      <c r="AB9" s="2" t="str">
        <f t="shared" si="10"/>
        <v/>
      </c>
      <c r="AC9" s="2" t="str">
        <f t="shared" si="11"/>
        <v/>
      </c>
      <c r="AD9" s="2" t="str">
        <f t="shared" si="12"/>
        <v/>
      </c>
      <c r="AE9" s="2" t="str">
        <f t="shared" si="13"/>
        <v/>
      </c>
      <c r="AF9" s="2" t="str">
        <f t="shared" si="14"/>
        <v/>
      </c>
      <c r="AG9" s="2" t="str">
        <f t="shared" si="15"/>
        <v/>
      </c>
      <c r="AH9" s="2" t="str">
        <f t="shared" si="16"/>
        <v/>
      </c>
      <c r="AI9" s="2" t="str">
        <f t="shared" si="17"/>
        <v/>
      </c>
      <c r="AJ9" s="2" t="str">
        <f>IF($B9,IF(L9="","",IF($C9="qcu",IF(T9,"      &lt;respcondition continue=""Yes""&gt;&lt;conditionvar&gt;&lt;varequal respident=""RESPONSE""&gt;0&lt;/varequal&gt;&lt;/conditionvar&gt;&lt;setvar action=""Add""&gt;"&amp;$H9&amp;"&lt;/setvar&gt;&lt;/respcondition&gt;",""),IF(T9,"      &lt;respcondition continue=""Yes""&gt;&lt;conditionvar&gt;&lt;varequal respident=""RESPONSE""&gt;0&lt;/varequal&gt;&lt;/conditionvar&gt;&lt;setvar action=""Add""&gt;"&amp;(Saisie_Questions!$N9/$I9)&amp;"&lt;/setvar&gt;&lt;/respcondition&gt;","      &lt;respcondition continue=""Yes""&gt;&lt;conditionvar&gt;&lt;not&gt;&lt;varequal respident=""RESPONSE""&gt;0&lt;/varequal&gt;&lt;/not&gt;&lt;/conditionvar&gt;&lt;setvar action=""Add""&gt;"&amp;(Saisie_Questions!$N9/$I9)&amp;"&lt;/setvar&gt;&lt;/respcondition&gt;"))),"")</f>
        <v/>
      </c>
      <c r="AK9" s="2" t="str">
        <f>IF($B9,IF(M9="","",IF($C9="qcu",IF(U9,"      &lt;respcondition continue=""Yes""&gt;&lt;conditionvar&gt;&lt;varequal respident=""RESPONSE""&gt;1&lt;/varequal&gt;&lt;/conditionvar&gt;&lt;setvar action=""Add""&gt;"&amp;$H9&amp;"&lt;/setvar&gt;&lt;/respcondition&gt;",""),IF(U9,"      &lt;respcondition continue=""Yes""&gt;&lt;conditionvar&gt;&lt;varequal respident=""RESPONSE""&gt;1&lt;/varequal&gt;&lt;/conditionvar&gt;&lt;setvar action=""Add""&gt;"&amp;(Saisie_Questions!$N9/$I9)&amp;"&lt;/setvar&gt;&lt;/respcondition&gt;","      &lt;respcondition continue=""Yes""&gt;&lt;conditionvar&gt;&lt;not&gt;&lt;varequal respident=""RESPONSE""&gt;1&lt;/varequal&gt;&lt;/not&gt;&lt;/conditionvar&gt;&lt;setvar action=""Add""&gt;"&amp;(Saisie_Questions!$N9/$I9)&amp;"&lt;/setvar&gt;&lt;/respcondition&gt;"))),"")</f>
        <v/>
      </c>
      <c r="AL9" s="2" t="str">
        <f>IF($B9,IF(N9="","",IF($C9="qcu",IF(V9,"      &lt;respcondition continue=""Yes""&gt;&lt;conditionvar&gt;&lt;varequal respident=""RESPONSE""&gt;2&lt;/varequal&gt;&lt;/conditionvar&gt;&lt;setvar action=""Add""&gt;"&amp;$H9&amp;"&lt;/setvar&gt;&lt;/respcondition&gt;",""),IF(V9,"      &lt;respcondition continue=""Yes""&gt;&lt;conditionvar&gt;&lt;varequal respident=""RESPONSE""&gt;2&lt;/varequal&gt;&lt;/conditionvar&gt;&lt;setvar action=""Add""&gt;"&amp;(Saisie_Questions!$N9/$I9)&amp;"&lt;/setvar&gt;&lt;/respcondition&gt;","      &lt;respcondition continue=""Yes""&gt;&lt;conditionvar&gt;&lt;not&gt;&lt;varequal respident=""RESPONSE""&gt;2&lt;/varequal&gt;&lt;/not&gt;&lt;/conditionvar&gt;&lt;setvar action=""Add""&gt;"&amp;(Saisie_Questions!$N9/$I9)&amp;"&lt;/setvar&gt;&lt;/respcondition&gt;"))),"")</f>
        <v/>
      </c>
      <c r="AM9" s="2" t="str">
        <f>IF($B9,IF(O9="","",IF($C9="qcu",IF(W9,"      &lt;respcondition continue=""Yes""&gt;&lt;conditionvar&gt;&lt;varequal respident=""RESPONSE""&gt;3&lt;/varequal&gt;&lt;/conditionvar&gt;&lt;setvar action=""Add""&gt;"&amp;$H9&amp;"&lt;/setvar&gt;&lt;/respcondition&gt;",""),IF(W9,"      &lt;respcondition continue=""Yes""&gt;&lt;conditionvar&gt;&lt;varequal respident=""RESPONSE""&gt;3&lt;/varequal&gt;&lt;/conditionvar&gt;&lt;setvar action=""Add""&gt;"&amp;(Saisie_Questions!$N9/$I9)&amp;"&lt;/setvar&gt;&lt;/respcondition&gt;","      &lt;respcondition continue=""Yes""&gt;&lt;conditionvar&gt;&lt;not&gt;&lt;varequal respident=""RESPONSE""&gt;3&lt;/varequal&gt;&lt;/not&gt;&lt;/conditionvar&gt;&lt;setvar action=""Add""&gt;"&amp;(Saisie_Questions!$N9/$I9)&amp;"&lt;/setvar&gt;&lt;/respcondition&gt;"))),"")</f>
        <v/>
      </c>
      <c r="AN9" s="2" t="str">
        <f>IF($B9,IF(P9="","",IF($C9="qcu",IF(X9,"      &lt;respcondition continue=""Yes""&gt;&lt;conditionvar&gt;&lt;varequal respident=""RESPONSE""&gt;4&lt;/varequal&gt;&lt;/conditionvar&gt;&lt;setvar action=""Add""&gt;"&amp;$H9&amp;"&lt;/setvar&gt;&lt;/respcondition&gt;",""),IF(X9,"      &lt;respcondition continue=""Yes""&gt;&lt;conditionvar&gt;&lt;varequal respident=""RESPONSE""&gt;4&lt;/varequal&gt;&lt;/conditionvar&gt;&lt;setvar action=""Add""&gt;"&amp;(Saisie_Questions!$N9/$I9)&amp;"&lt;/setvar&gt;&lt;/respcondition&gt;","      &lt;respcondition continue=""Yes""&gt;&lt;conditionvar&gt;&lt;not&gt;&lt;varequal respident=""RESPONSE""&gt;4&lt;/varequal&gt;&lt;/not&gt;&lt;/conditionvar&gt;&lt;setvar action=""Add""&gt;"&amp;(Saisie_Questions!$N9/$I9)&amp;"&lt;/setvar&gt;&lt;/respcondition&gt;"))),"")</f>
        <v/>
      </c>
      <c r="AO9" s="2" t="str">
        <f>IF($B9,IF(Q9="","",IF($C9="qcu",IF(Y9,"      &lt;respcondition continue=""Yes""&gt;&lt;conditionvar&gt;&lt;varequal respident=""RESPONSE""&gt;5&lt;/varequal&gt;&lt;/conditionvar&gt;&lt;setvar action=""Add""&gt;"&amp;$H9&amp;"&lt;/setvar&gt;&lt;/respcondition&gt;",""),IF(Y9,"      &lt;respcondition continue=""Yes""&gt;&lt;conditionvar&gt;&lt;varequal respident=""RESPONSE""&gt;5&lt;/varequal&gt;&lt;/conditionvar&gt;&lt;setvar action=""Add""&gt;"&amp;(Saisie_Questions!$N9/$I9)&amp;"&lt;/setvar&gt;&lt;/respcondition&gt;","      &lt;respcondition continue=""Yes""&gt;&lt;conditionvar&gt;&lt;not&gt;&lt;varequal respident=""RESPONSE""&gt;5&lt;/varequal&gt;&lt;/not&gt;&lt;/conditionvar&gt;&lt;setvar action=""Add""&gt;"&amp;(Saisie_Questions!$N9/$I9)&amp;"&lt;/setvar&gt;&lt;/respcondition&gt;"))),"")</f>
        <v/>
      </c>
      <c r="AP9" s="2" t="str">
        <f>IF($B9,IF(R9="","",IF($C9="qcu",IF(Z9,"      &lt;respcondition continue=""Yes""&gt;&lt;conditionvar&gt;&lt;varequal respident=""RESPONSE""&gt;6&lt;/varequal&gt;&lt;/conditionvar&gt;&lt;setvar action=""Add""&gt;"&amp;$H9&amp;"&lt;/setvar&gt;&lt;/respcondition&gt;",""),IF(Z9,"      &lt;respcondition continue=""Yes""&gt;&lt;conditionvar&gt;&lt;varequal respident=""RESPONSE""&gt;6&lt;/varequal&gt;&lt;/conditionvar&gt;&lt;setvar action=""Add""&gt;"&amp;(Saisie_Questions!$N9/$I9)&amp;"&lt;/setvar&gt;&lt;/respcondition&gt;","      &lt;respcondition continue=""Yes""&gt;&lt;conditionvar&gt;&lt;not&gt;&lt;varequal respident=""RESPONSE""&gt;6&lt;/varequal&gt;&lt;/not&gt;&lt;/conditionvar&gt;&lt;setvar action=""Add""&gt;"&amp;(Saisie_Questions!$N9/$I9)&amp;"&lt;/setvar&gt;&lt;/respcondition&gt;"))),"")</f>
        <v/>
      </c>
      <c r="AQ9" s="2" t="str">
        <f>IF($B9,IF(S9="","",IF($C9="qcu",IF(AA9,"      &lt;respcondition continue=""Yes""&gt;&lt;conditionvar&gt;&lt;varequal respident=""RESPONSE""&gt;7&lt;/varequal&gt;&lt;/conditionvar&gt;&lt;setvar action=""Add""&gt;"&amp;$H9&amp;"&lt;/setvar&gt;&lt;/respcondition&gt;",""),IF(AA9,"      &lt;respcondition continue=""Yes""&gt;&lt;conditionvar&gt;&lt;varequal respident=""RESPONSE""&gt;7&lt;/varequal&gt;&lt;/conditionvar&gt;&lt;setvar action=""Add""&gt;"&amp;(Saisie_Questions!$N9/$I9)&amp;"&lt;/setvar&gt;&lt;/respcondition&gt;","      &lt;respcondition continue=""Yes""&gt;&lt;conditionvar&gt;&lt;not&gt;&lt;varequal respident=""RESPONSE""&gt;7&lt;/varequal&gt;&lt;/not&gt;&lt;/conditionvar&gt;&lt;setvar action=""Add""&gt;"&amp;(Saisie_Questions!$N9/$I9)&amp;"&lt;/setvar&gt;&lt;/respcondition&gt;"))),"")</f>
        <v/>
      </c>
    </row>
    <row r="10" spans="1:43" ht="18" customHeight="1">
      <c r="A10" s="2" t="str">
        <f>Saisie_Questions!A10</f>
        <v/>
      </c>
      <c r="B10" s="2" t="b">
        <f>Saisie_Questions!O10="OK"</f>
        <v>0</v>
      </c>
      <c r="C10" s="2" t="str">
        <f>LOWER(TRIM(Saisie_Questions!B10))</f>
        <v/>
      </c>
      <c r="D10" s="2" t="str">
        <f t="shared" si="0"/>
        <v>MULTIPLE CHOICE QUESTION</v>
      </c>
      <c r="E10" s="2" t="str">
        <f t="shared" si="1"/>
        <v>Multiple</v>
      </c>
      <c r="F10" s="2" t="str">
        <f>IF(A10="","",SUBSTITUTE(SUBSTITUTE(SUBSTITUTE(SUBSTITUTE(SUBSTITUTE(IF(Saisie_Questions!C10="", "Question "&amp;A10, Saisie_Questions!C10),"&amp;","&amp;amp;"),"&lt;","&amp;lt;"),"&gt;","&amp;gt;"),CHAR(34),"&amp;quot;"),"'","&amp;apos;"))</f>
        <v/>
      </c>
      <c r="G10" s="2" t="str">
        <f>IF(A10="","",SUBSTITUTE(SUBSTITUTE(SUBSTITUTE(SUBSTITUTE(SUBSTITUTE(Saisie_Questions!D10,"&amp;","&amp;amp;"),"&lt;","&amp;lt;"),"&gt;","&amp;gt;"),CHAR(34),"&amp;quot;"),"'","&amp;apos;"))</f>
        <v/>
      </c>
      <c r="H10" s="2">
        <f>Saisie_Questions!N10</f>
        <v>0</v>
      </c>
      <c r="I10" s="2">
        <f>IF(Saisie_Questions!E10="",0,1)+IF(Saisie_Questions!F10="",0,1)+IF(Saisie_Questions!G10="",0,1)+IF(Saisie_Questions!H10="",0,1)+IF(Saisie_Questions!I10="",0,1)+IF(Saisie_Questions!J10="",0,1)+IF(Saisie_Questions!K10="",0,1)+IF(Saisie_Questions!L10="",0,1)</f>
        <v>0</v>
      </c>
      <c r="J10" s="2">
        <f>Saisie_Questions!M10</f>
        <v>0</v>
      </c>
      <c r="K10" s="2" t="str">
        <f>Saisie_Questions!O10</f>
        <v/>
      </c>
      <c r="L10" s="2" t="str">
        <f>IF(Saisie_Questions!E10="","",SUBSTITUTE(SUBSTITUTE(SUBSTITUTE(SUBSTITUTE(SUBSTITUTE(Saisie_Questions!E10,"&amp;","&amp;amp;"),"&lt;","&amp;lt;"),"&gt;","&amp;gt;"),CHAR(34),"&amp;quot;"),"'","&amp;apos;"))</f>
        <v/>
      </c>
      <c r="M10" s="2" t="str">
        <f>IF(Saisie_Questions!F10="","",SUBSTITUTE(SUBSTITUTE(SUBSTITUTE(SUBSTITUTE(SUBSTITUTE(Saisie_Questions!F10,"&amp;","&amp;amp;"),"&lt;","&amp;lt;"),"&gt;","&amp;gt;"),CHAR(34),"&amp;quot;"),"'","&amp;apos;"))</f>
        <v/>
      </c>
      <c r="N10" s="2" t="str">
        <f>IF(Saisie_Questions!G10="","",SUBSTITUTE(SUBSTITUTE(SUBSTITUTE(SUBSTITUTE(SUBSTITUTE(Saisie_Questions!G10,"&amp;","&amp;amp;"),"&lt;","&amp;lt;"),"&gt;","&amp;gt;"),CHAR(34),"&amp;quot;"),"'","&amp;apos;"))</f>
        <v/>
      </c>
      <c r="O10" s="2" t="str">
        <f>IF(Saisie_Questions!H10="","",SUBSTITUTE(SUBSTITUTE(SUBSTITUTE(SUBSTITUTE(SUBSTITUTE(Saisie_Questions!H10,"&amp;","&amp;amp;"),"&lt;","&amp;lt;"),"&gt;","&amp;gt;"),CHAR(34),"&amp;quot;"),"'","&amp;apos;"))</f>
        <v/>
      </c>
      <c r="P10" s="2" t="str">
        <f>IF(Saisie_Questions!I10="","",SUBSTITUTE(SUBSTITUTE(SUBSTITUTE(SUBSTITUTE(SUBSTITUTE(Saisie_Questions!I10,"&amp;","&amp;amp;"),"&lt;","&amp;lt;"),"&gt;","&amp;gt;"),CHAR(34),"&amp;quot;"),"'","&amp;apos;"))</f>
        <v/>
      </c>
      <c r="Q10" s="2" t="str">
        <f>IF(Saisie_Questions!J10="","",SUBSTITUTE(SUBSTITUTE(SUBSTITUTE(SUBSTITUTE(SUBSTITUTE(Saisie_Questions!J10,"&amp;","&amp;amp;"),"&lt;","&amp;lt;"),"&gt;","&amp;gt;"),CHAR(34),"&amp;quot;"),"'","&amp;apos;"))</f>
        <v/>
      </c>
      <c r="R10" s="2" t="str">
        <f>IF(Saisie_Questions!K10="","",SUBSTITUTE(SUBSTITUTE(SUBSTITUTE(SUBSTITUTE(SUBSTITUTE(Saisie_Questions!K10,"&amp;","&amp;amp;"),"&lt;","&amp;lt;"),"&gt;","&amp;gt;"),CHAR(34),"&amp;quot;"),"'","&amp;apos;"))</f>
        <v/>
      </c>
      <c r="S10" s="2" t="str">
        <f>IF(Saisie_Questions!L10="","",SUBSTITUTE(SUBSTITUTE(SUBSTITUTE(SUBSTITUTE(SUBSTITUTE(Saisie_Questions!L10,"&amp;","&amp;amp;"),"&lt;","&amp;lt;"),"&gt;","&amp;gt;"),CHAR(34),"&amp;quot;"),"'","&amp;apos;"))</f>
        <v/>
      </c>
      <c r="T10" s="2" t="b">
        <f t="shared" si="2"/>
        <v>0</v>
      </c>
      <c r="U10" s="2" t="b">
        <f t="shared" si="3"/>
        <v>0</v>
      </c>
      <c r="V10" s="2" t="b">
        <f t="shared" si="4"/>
        <v>0</v>
      </c>
      <c r="W10" s="2" t="b">
        <f t="shared" si="5"/>
        <v>0</v>
      </c>
      <c r="X10" s="2" t="b">
        <f t="shared" si="6"/>
        <v>0</v>
      </c>
      <c r="Y10" s="2" t="b">
        <f t="shared" si="7"/>
        <v>0</v>
      </c>
      <c r="Z10" s="2" t="b">
        <f t="shared" si="8"/>
        <v>0</v>
      </c>
      <c r="AA10" s="2" t="b">
        <f t="shared" si="9"/>
        <v>0</v>
      </c>
      <c r="AB10" s="2" t="str">
        <f t="shared" si="10"/>
        <v/>
      </c>
      <c r="AC10" s="2" t="str">
        <f t="shared" si="11"/>
        <v/>
      </c>
      <c r="AD10" s="2" t="str">
        <f t="shared" si="12"/>
        <v/>
      </c>
      <c r="AE10" s="2" t="str">
        <f t="shared" si="13"/>
        <v/>
      </c>
      <c r="AF10" s="2" t="str">
        <f t="shared" si="14"/>
        <v/>
      </c>
      <c r="AG10" s="2" t="str">
        <f t="shared" si="15"/>
        <v/>
      </c>
      <c r="AH10" s="2" t="str">
        <f t="shared" si="16"/>
        <v/>
      </c>
      <c r="AI10" s="2" t="str">
        <f t="shared" si="17"/>
        <v/>
      </c>
      <c r="AJ10" s="2" t="str">
        <f>IF($B10,IF(L10="","",IF($C10="qcu",IF(T10,"      &lt;respcondition continue=""Yes""&gt;&lt;conditionvar&gt;&lt;varequal respident=""RESPONSE""&gt;0&lt;/varequal&gt;&lt;/conditionvar&gt;&lt;setvar action=""Add""&gt;"&amp;$H10&amp;"&lt;/setvar&gt;&lt;/respcondition&gt;",""),IF(T10,"      &lt;respcondition continue=""Yes""&gt;&lt;conditionvar&gt;&lt;varequal respident=""RESPONSE""&gt;0&lt;/varequal&gt;&lt;/conditionvar&gt;&lt;setvar action=""Add""&gt;"&amp;(Saisie_Questions!$N10/$I10)&amp;"&lt;/setvar&gt;&lt;/respcondition&gt;","      &lt;respcondition continue=""Yes""&gt;&lt;conditionvar&gt;&lt;not&gt;&lt;varequal respident=""RESPONSE""&gt;0&lt;/varequal&gt;&lt;/not&gt;&lt;/conditionvar&gt;&lt;setvar action=""Add""&gt;"&amp;(Saisie_Questions!$N10/$I10)&amp;"&lt;/setvar&gt;&lt;/respcondition&gt;"))),"")</f>
        <v/>
      </c>
      <c r="AK10" s="2" t="str">
        <f>IF($B10,IF(M10="","",IF($C10="qcu",IF(U10,"      &lt;respcondition continue=""Yes""&gt;&lt;conditionvar&gt;&lt;varequal respident=""RESPONSE""&gt;1&lt;/varequal&gt;&lt;/conditionvar&gt;&lt;setvar action=""Add""&gt;"&amp;$H10&amp;"&lt;/setvar&gt;&lt;/respcondition&gt;",""),IF(U10,"      &lt;respcondition continue=""Yes""&gt;&lt;conditionvar&gt;&lt;varequal respident=""RESPONSE""&gt;1&lt;/varequal&gt;&lt;/conditionvar&gt;&lt;setvar action=""Add""&gt;"&amp;(Saisie_Questions!$N10/$I10)&amp;"&lt;/setvar&gt;&lt;/respcondition&gt;","      &lt;respcondition continue=""Yes""&gt;&lt;conditionvar&gt;&lt;not&gt;&lt;varequal respident=""RESPONSE""&gt;1&lt;/varequal&gt;&lt;/not&gt;&lt;/conditionvar&gt;&lt;setvar action=""Add""&gt;"&amp;(Saisie_Questions!$N10/$I10)&amp;"&lt;/setvar&gt;&lt;/respcondition&gt;"))),"")</f>
        <v/>
      </c>
      <c r="AL10" s="2" t="str">
        <f>IF($B10,IF(N10="","",IF($C10="qcu",IF(V10,"      &lt;respcondition continue=""Yes""&gt;&lt;conditionvar&gt;&lt;varequal respident=""RESPONSE""&gt;2&lt;/varequal&gt;&lt;/conditionvar&gt;&lt;setvar action=""Add""&gt;"&amp;$H10&amp;"&lt;/setvar&gt;&lt;/respcondition&gt;",""),IF(V10,"      &lt;respcondition continue=""Yes""&gt;&lt;conditionvar&gt;&lt;varequal respident=""RESPONSE""&gt;2&lt;/varequal&gt;&lt;/conditionvar&gt;&lt;setvar action=""Add""&gt;"&amp;(Saisie_Questions!$N10/$I10)&amp;"&lt;/setvar&gt;&lt;/respcondition&gt;","      &lt;respcondition continue=""Yes""&gt;&lt;conditionvar&gt;&lt;not&gt;&lt;varequal respident=""RESPONSE""&gt;2&lt;/varequal&gt;&lt;/not&gt;&lt;/conditionvar&gt;&lt;setvar action=""Add""&gt;"&amp;(Saisie_Questions!$N10/$I10)&amp;"&lt;/setvar&gt;&lt;/respcondition&gt;"))),"")</f>
        <v/>
      </c>
      <c r="AM10" s="2" t="str">
        <f>IF($B10,IF(O10="","",IF($C10="qcu",IF(W10,"      &lt;respcondition continue=""Yes""&gt;&lt;conditionvar&gt;&lt;varequal respident=""RESPONSE""&gt;3&lt;/varequal&gt;&lt;/conditionvar&gt;&lt;setvar action=""Add""&gt;"&amp;$H10&amp;"&lt;/setvar&gt;&lt;/respcondition&gt;",""),IF(W10,"      &lt;respcondition continue=""Yes""&gt;&lt;conditionvar&gt;&lt;varequal respident=""RESPONSE""&gt;3&lt;/varequal&gt;&lt;/conditionvar&gt;&lt;setvar action=""Add""&gt;"&amp;(Saisie_Questions!$N10/$I10)&amp;"&lt;/setvar&gt;&lt;/respcondition&gt;","      &lt;respcondition continue=""Yes""&gt;&lt;conditionvar&gt;&lt;not&gt;&lt;varequal respident=""RESPONSE""&gt;3&lt;/varequal&gt;&lt;/not&gt;&lt;/conditionvar&gt;&lt;setvar action=""Add""&gt;"&amp;(Saisie_Questions!$N10/$I10)&amp;"&lt;/setvar&gt;&lt;/respcondition&gt;"))),"")</f>
        <v/>
      </c>
      <c r="AN10" s="2" t="str">
        <f>IF($B10,IF(P10="","",IF($C10="qcu",IF(X10,"      &lt;respcondition continue=""Yes""&gt;&lt;conditionvar&gt;&lt;varequal respident=""RESPONSE""&gt;4&lt;/varequal&gt;&lt;/conditionvar&gt;&lt;setvar action=""Add""&gt;"&amp;$H10&amp;"&lt;/setvar&gt;&lt;/respcondition&gt;",""),IF(X10,"      &lt;respcondition continue=""Yes""&gt;&lt;conditionvar&gt;&lt;varequal respident=""RESPONSE""&gt;4&lt;/varequal&gt;&lt;/conditionvar&gt;&lt;setvar action=""Add""&gt;"&amp;(Saisie_Questions!$N10/$I10)&amp;"&lt;/setvar&gt;&lt;/respcondition&gt;","      &lt;respcondition continue=""Yes""&gt;&lt;conditionvar&gt;&lt;not&gt;&lt;varequal respident=""RESPONSE""&gt;4&lt;/varequal&gt;&lt;/not&gt;&lt;/conditionvar&gt;&lt;setvar action=""Add""&gt;"&amp;(Saisie_Questions!$N10/$I10)&amp;"&lt;/setvar&gt;&lt;/respcondition&gt;"))),"")</f>
        <v/>
      </c>
      <c r="AO10" s="2" t="str">
        <f>IF($B10,IF(Q10="","",IF($C10="qcu",IF(Y10,"      &lt;respcondition continue=""Yes""&gt;&lt;conditionvar&gt;&lt;varequal respident=""RESPONSE""&gt;5&lt;/varequal&gt;&lt;/conditionvar&gt;&lt;setvar action=""Add""&gt;"&amp;$H10&amp;"&lt;/setvar&gt;&lt;/respcondition&gt;",""),IF(Y10,"      &lt;respcondition continue=""Yes""&gt;&lt;conditionvar&gt;&lt;varequal respident=""RESPONSE""&gt;5&lt;/varequal&gt;&lt;/conditionvar&gt;&lt;setvar action=""Add""&gt;"&amp;(Saisie_Questions!$N10/$I10)&amp;"&lt;/setvar&gt;&lt;/respcondition&gt;","      &lt;respcondition continue=""Yes""&gt;&lt;conditionvar&gt;&lt;not&gt;&lt;varequal respident=""RESPONSE""&gt;5&lt;/varequal&gt;&lt;/not&gt;&lt;/conditionvar&gt;&lt;setvar action=""Add""&gt;"&amp;(Saisie_Questions!$N10/$I10)&amp;"&lt;/setvar&gt;&lt;/respcondition&gt;"))),"")</f>
        <v/>
      </c>
      <c r="AP10" s="2" t="str">
        <f>IF($B10,IF(R10="","",IF($C10="qcu",IF(Z10,"      &lt;respcondition continue=""Yes""&gt;&lt;conditionvar&gt;&lt;varequal respident=""RESPONSE""&gt;6&lt;/varequal&gt;&lt;/conditionvar&gt;&lt;setvar action=""Add""&gt;"&amp;$H10&amp;"&lt;/setvar&gt;&lt;/respcondition&gt;",""),IF(Z10,"      &lt;respcondition continue=""Yes""&gt;&lt;conditionvar&gt;&lt;varequal respident=""RESPONSE""&gt;6&lt;/varequal&gt;&lt;/conditionvar&gt;&lt;setvar action=""Add""&gt;"&amp;(Saisie_Questions!$N10/$I10)&amp;"&lt;/setvar&gt;&lt;/respcondition&gt;","      &lt;respcondition continue=""Yes""&gt;&lt;conditionvar&gt;&lt;not&gt;&lt;varequal respident=""RESPONSE""&gt;6&lt;/varequal&gt;&lt;/not&gt;&lt;/conditionvar&gt;&lt;setvar action=""Add""&gt;"&amp;(Saisie_Questions!$N10/$I10)&amp;"&lt;/setvar&gt;&lt;/respcondition&gt;"))),"")</f>
        <v/>
      </c>
      <c r="AQ10" s="2" t="str">
        <f>IF($B10,IF(S10="","",IF($C10="qcu",IF(AA10,"      &lt;respcondition continue=""Yes""&gt;&lt;conditionvar&gt;&lt;varequal respident=""RESPONSE""&gt;7&lt;/varequal&gt;&lt;/conditionvar&gt;&lt;setvar action=""Add""&gt;"&amp;$H10&amp;"&lt;/setvar&gt;&lt;/respcondition&gt;",""),IF(AA10,"      &lt;respcondition continue=""Yes""&gt;&lt;conditionvar&gt;&lt;varequal respident=""RESPONSE""&gt;7&lt;/varequal&gt;&lt;/conditionvar&gt;&lt;setvar action=""Add""&gt;"&amp;(Saisie_Questions!$N10/$I10)&amp;"&lt;/setvar&gt;&lt;/respcondition&gt;","      &lt;respcondition continue=""Yes""&gt;&lt;conditionvar&gt;&lt;not&gt;&lt;varequal respident=""RESPONSE""&gt;7&lt;/varequal&gt;&lt;/not&gt;&lt;/conditionvar&gt;&lt;setvar action=""Add""&gt;"&amp;(Saisie_Questions!$N10/$I10)&amp;"&lt;/setvar&gt;&lt;/respcondition&gt;"))),"")</f>
        <v/>
      </c>
    </row>
    <row r="11" spans="1:43" ht="18" customHeight="1">
      <c r="A11" s="2" t="str">
        <f>Saisie_Questions!A11</f>
        <v/>
      </c>
      <c r="B11" s="2" t="b">
        <f>Saisie_Questions!O11="OK"</f>
        <v>0</v>
      </c>
      <c r="C11" s="2" t="str">
        <f>LOWER(TRIM(Saisie_Questions!B11))</f>
        <v/>
      </c>
      <c r="D11" s="2" t="str">
        <f t="shared" si="0"/>
        <v>MULTIPLE CHOICE QUESTION</v>
      </c>
      <c r="E11" s="2" t="str">
        <f t="shared" si="1"/>
        <v>Multiple</v>
      </c>
      <c r="F11" s="2" t="str">
        <f>IF(A11="","",SUBSTITUTE(SUBSTITUTE(SUBSTITUTE(SUBSTITUTE(SUBSTITUTE(IF(Saisie_Questions!C11="", "Question "&amp;A11, Saisie_Questions!C11),"&amp;","&amp;amp;"),"&lt;","&amp;lt;"),"&gt;","&amp;gt;"),CHAR(34),"&amp;quot;"),"'","&amp;apos;"))</f>
        <v/>
      </c>
      <c r="G11" s="2" t="str">
        <f>IF(A11="","",SUBSTITUTE(SUBSTITUTE(SUBSTITUTE(SUBSTITUTE(SUBSTITUTE(Saisie_Questions!D11,"&amp;","&amp;amp;"),"&lt;","&amp;lt;"),"&gt;","&amp;gt;"),CHAR(34),"&amp;quot;"),"'","&amp;apos;"))</f>
        <v/>
      </c>
      <c r="H11" s="2">
        <f>Saisie_Questions!N11</f>
        <v>0</v>
      </c>
      <c r="I11" s="2">
        <f>IF(Saisie_Questions!E11="",0,1)+IF(Saisie_Questions!F11="",0,1)+IF(Saisie_Questions!G11="",0,1)+IF(Saisie_Questions!H11="",0,1)+IF(Saisie_Questions!I11="",0,1)+IF(Saisie_Questions!J11="",0,1)+IF(Saisie_Questions!K11="",0,1)+IF(Saisie_Questions!L11="",0,1)</f>
        <v>0</v>
      </c>
      <c r="J11" s="2">
        <f>Saisie_Questions!M11</f>
        <v>0</v>
      </c>
      <c r="K11" s="2" t="str">
        <f>Saisie_Questions!O11</f>
        <v/>
      </c>
      <c r="L11" s="2" t="str">
        <f>IF(Saisie_Questions!E11="","",SUBSTITUTE(SUBSTITUTE(SUBSTITUTE(SUBSTITUTE(SUBSTITUTE(Saisie_Questions!E11,"&amp;","&amp;amp;"),"&lt;","&amp;lt;"),"&gt;","&amp;gt;"),CHAR(34),"&amp;quot;"),"'","&amp;apos;"))</f>
        <v/>
      </c>
      <c r="M11" s="2" t="str">
        <f>IF(Saisie_Questions!F11="","",SUBSTITUTE(SUBSTITUTE(SUBSTITUTE(SUBSTITUTE(SUBSTITUTE(Saisie_Questions!F11,"&amp;","&amp;amp;"),"&lt;","&amp;lt;"),"&gt;","&amp;gt;"),CHAR(34),"&amp;quot;"),"'","&amp;apos;"))</f>
        <v/>
      </c>
      <c r="N11" s="2" t="str">
        <f>IF(Saisie_Questions!G11="","",SUBSTITUTE(SUBSTITUTE(SUBSTITUTE(SUBSTITUTE(SUBSTITUTE(Saisie_Questions!G11,"&amp;","&amp;amp;"),"&lt;","&amp;lt;"),"&gt;","&amp;gt;"),CHAR(34),"&amp;quot;"),"'","&amp;apos;"))</f>
        <v/>
      </c>
      <c r="O11" s="2" t="str">
        <f>IF(Saisie_Questions!H11="","",SUBSTITUTE(SUBSTITUTE(SUBSTITUTE(SUBSTITUTE(SUBSTITUTE(Saisie_Questions!H11,"&amp;","&amp;amp;"),"&lt;","&amp;lt;"),"&gt;","&amp;gt;"),CHAR(34),"&amp;quot;"),"'","&amp;apos;"))</f>
        <v/>
      </c>
      <c r="P11" s="2" t="str">
        <f>IF(Saisie_Questions!I11="","",SUBSTITUTE(SUBSTITUTE(SUBSTITUTE(SUBSTITUTE(SUBSTITUTE(Saisie_Questions!I11,"&amp;","&amp;amp;"),"&lt;","&amp;lt;"),"&gt;","&amp;gt;"),CHAR(34),"&amp;quot;"),"'","&amp;apos;"))</f>
        <v/>
      </c>
      <c r="Q11" s="2" t="str">
        <f>IF(Saisie_Questions!J11="","",SUBSTITUTE(SUBSTITUTE(SUBSTITUTE(SUBSTITUTE(SUBSTITUTE(Saisie_Questions!J11,"&amp;","&amp;amp;"),"&lt;","&amp;lt;"),"&gt;","&amp;gt;"),CHAR(34),"&amp;quot;"),"'","&amp;apos;"))</f>
        <v/>
      </c>
      <c r="R11" s="2" t="str">
        <f>IF(Saisie_Questions!K11="","",SUBSTITUTE(SUBSTITUTE(SUBSTITUTE(SUBSTITUTE(SUBSTITUTE(Saisie_Questions!K11,"&amp;","&amp;amp;"),"&lt;","&amp;lt;"),"&gt;","&amp;gt;"),CHAR(34),"&amp;quot;"),"'","&amp;apos;"))</f>
        <v/>
      </c>
      <c r="S11" s="2" t="str">
        <f>IF(Saisie_Questions!L11="","",SUBSTITUTE(SUBSTITUTE(SUBSTITUTE(SUBSTITUTE(SUBSTITUTE(Saisie_Questions!L11,"&amp;","&amp;amp;"),"&lt;","&amp;lt;"),"&gt;","&amp;gt;"),CHAR(34),"&amp;quot;"),"'","&amp;apos;"))</f>
        <v/>
      </c>
      <c r="T11" s="2" t="b">
        <f t="shared" si="2"/>
        <v>0</v>
      </c>
      <c r="U11" s="2" t="b">
        <f t="shared" si="3"/>
        <v>0</v>
      </c>
      <c r="V11" s="2" t="b">
        <f t="shared" si="4"/>
        <v>0</v>
      </c>
      <c r="W11" s="2" t="b">
        <f t="shared" si="5"/>
        <v>0</v>
      </c>
      <c r="X11" s="2" t="b">
        <f t="shared" si="6"/>
        <v>0</v>
      </c>
      <c r="Y11" s="2" t="b">
        <f t="shared" si="7"/>
        <v>0</v>
      </c>
      <c r="Z11" s="2" t="b">
        <f t="shared" si="8"/>
        <v>0</v>
      </c>
      <c r="AA11" s="2" t="b">
        <f t="shared" si="9"/>
        <v>0</v>
      </c>
      <c r="AB11" s="2" t="str">
        <f t="shared" si="10"/>
        <v/>
      </c>
      <c r="AC11" s="2" t="str">
        <f t="shared" si="11"/>
        <v/>
      </c>
      <c r="AD11" s="2" t="str">
        <f t="shared" si="12"/>
        <v/>
      </c>
      <c r="AE11" s="2" t="str">
        <f t="shared" si="13"/>
        <v/>
      </c>
      <c r="AF11" s="2" t="str">
        <f t="shared" si="14"/>
        <v/>
      </c>
      <c r="AG11" s="2" t="str">
        <f t="shared" si="15"/>
        <v/>
      </c>
      <c r="AH11" s="2" t="str">
        <f t="shared" si="16"/>
        <v/>
      </c>
      <c r="AI11" s="2" t="str">
        <f t="shared" si="17"/>
        <v/>
      </c>
      <c r="AJ11" s="2" t="str">
        <f>IF($B11,IF(L11="","",IF($C11="qcu",IF(T11,"      &lt;respcondition continue=""Yes""&gt;&lt;conditionvar&gt;&lt;varequal respident=""RESPONSE""&gt;0&lt;/varequal&gt;&lt;/conditionvar&gt;&lt;setvar action=""Add""&gt;"&amp;$H11&amp;"&lt;/setvar&gt;&lt;/respcondition&gt;",""),IF(T11,"      &lt;respcondition continue=""Yes""&gt;&lt;conditionvar&gt;&lt;varequal respident=""RESPONSE""&gt;0&lt;/varequal&gt;&lt;/conditionvar&gt;&lt;setvar action=""Add""&gt;"&amp;(Saisie_Questions!$N11/$I11)&amp;"&lt;/setvar&gt;&lt;/respcondition&gt;","      &lt;respcondition continue=""Yes""&gt;&lt;conditionvar&gt;&lt;not&gt;&lt;varequal respident=""RESPONSE""&gt;0&lt;/varequal&gt;&lt;/not&gt;&lt;/conditionvar&gt;&lt;setvar action=""Add""&gt;"&amp;(Saisie_Questions!$N11/$I11)&amp;"&lt;/setvar&gt;&lt;/respcondition&gt;"))),"")</f>
        <v/>
      </c>
      <c r="AK11" s="2" t="str">
        <f>IF($B11,IF(M11="","",IF($C11="qcu",IF(U11,"      &lt;respcondition continue=""Yes""&gt;&lt;conditionvar&gt;&lt;varequal respident=""RESPONSE""&gt;1&lt;/varequal&gt;&lt;/conditionvar&gt;&lt;setvar action=""Add""&gt;"&amp;$H11&amp;"&lt;/setvar&gt;&lt;/respcondition&gt;",""),IF(U11,"      &lt;respcondition continue=""Yes""&gt;&lt;conditionvar&gt;&lt;varequal respident=""RESPONSE""&gt;1&lt;/varequal&gt;&lt;/conditionvar&gt;&lt;setvar action=""Add""&gt;"&amp;(Saisie_Questions!$N11/$I11)&amp;"&lt;/setvar&gt;&lt;/respcondition&gt;","      &lt;respcondition continue=""Yes""&gt;&lt;conditionvar&gt;&lt;not&gt;&lt;varequal respident=""RESPONSE""&gt;1&lt;/varequal&gt;&lt;/not&gt;&lt;/conditionvar&gt;&lt;setvar action=""Add""&gt;"&amp;(Saisie_Questions!$N11/$I11)&amp;"&lt;/setvar&gt;&lt;/respcondition&gt;"))),"")</f>
        <v/>
      </c>
      <c r="AL11" s="2" t="str">
        <f>IF($B11,IF(N11="","",IF($C11="qcu",IF(V11,"      &lt;respcondition continue=""Yes""&gt;&lt;conditionvar&gt;&lt;varequal respident=""RESPONSE""&gt;2&lt;/varequal&gt;&lt;/conditionvar&gt;&lt;setvar action=""Add""&gt;"&amp;$H11&amp;"&lt;/setvar&gt;&lt;/respcondition&gt;",""),IF(V11,"      &lt;respcondition continue=""Yes""&gt;&lt;conditionvar&gt;&lt;varequal respident=""RESPONSE""&gt;2&lt;/varequal&gt;&lt;/conditionvar&gt;&lt;setvar action=""Add""&gt;"&amp;(Saisie_Questions!$N11/$I11)&amp;"&lt;/setvar&gt;&lt;/respcondition&gt;","      &lt;respcondition continue=""Yes""&gt;&lt;conditionvar&gt;&lt;not&gt;&lt;varequal respident=""RESPONSE""&gt;2&lt;/varequal&gt;&lt;/not&gt;&lt;/conditionvar&gt;&lt;setvar action=""Add""&gt;"&amp;(Saisie_Questions!$N11/$I11)&amp;"&lt;/setvar&gt;&lt;/respcondition&gt;"))),"")</f>
        <v/>
      </c>
      <c r="AM11" s="2" t="str">
        <f>IF($B11,IF(O11="","",IF($C11="qcu",IF(W11,"      &lt;respcondition continue=""Yes""&gt;&lt;conditionvar&gt;&lt;varequal respident=""RESPONSE""&gt;3&lt;/varequal&gt;&lt;/conditionvar&gt;&lt;setvar action=""Add""&gt;"&amp;$H11&amp;"&lt;/setvar&gt;&lt;/respcondition&gt;",""),IF(W11,"      &lt;respcondition continue=""Yes""&gt;&lt;conditionvar&gt;&lt;varequal respident=""RESPONSE""&gt;3&lt;/varequal&gt;&lt;/conditionvar&gt;&lt;setvar action=""Add""&gt;"&amp;(Saisie_Questions!$N11/$I11)&amp;"&lt;/setvar&gt;&lt;/respcondition&gt;","      &lt;respcondition continue=""Yes""&gt;&lt;conditionvar&gt;&lt;not&gt;&lt;varequal respident=""RESPONSE""&gt;3&lt;/varequal&gt;&lt;/not&gt;&lt;/conditionvar&gt;&lt;setvar action=""Add""&gt;"&amp;(Saisie_Questions!$N11/$I11)&amp;"&lt;/setvar&gt;&lt;/respcondition&gt;"))),"")</f>
        <v/>
      </c>
      <c r="AN11" s="2" t="str">
        <f>IF($B11,IF(P11="","",IF($C11="qcu",IF(X11,"      &lt;respcondition continue=""Yes""&gt;&lt;conditionvar&gt;&lt;varequal respident=""RESPONSE""&gt;4&lt;/varequal&gt;&lt;/conditionvar&gt;&lt;setvar action=""Add""&gt;"&amp;$H11&amp;"&lt;/setvar&gt;&lt;/respcondition&gt;",""),IF(X11,"      &lt;respcondition continue=""Yes""&gt;&lt;conditionvar&gt;&lt;varequal respident=""RESPONSE""&gt;4&lt;/varequal&gt;&lt;/conditionvar&gt;&lt;setvar action=""Add""&gt;"&amp;(Saisie_Questions!$N11/$I11)&amp;"&lt;/setvar&gt;&lt;/respcondition&gt;","      &lt;respcondition continue=""Yes""&gt;&lt;conditionvar&gt;&lt;not&gt;&lt;varequal respident=""RESPONSE""&gt;4&lt;/varequal&gt;&lt;/not&gt;&lt;/conditionvar&gt;&lt;setvar action=""Add""&gt;"&amp;(Saisie_Questions!$N11/$I11)&amp;"&lt;/setvar&gt;&lt;/respcondition&gt;"))),"")</f>
        <v/>
      </c>
      <c r="AO11" s="2" t="str">
        <f>IF($B11,IF(Q11="","",IF($C11="qcu",IF(Y11,"      &lt;respcondition continue=""Yes""&gt;&lt;conditionvar&gt;&lt;varequal respident=""RESPONSE""&gt;5&lt;/varequal&gt;&lt;/conditionvar&gt;&lt;setvar action=""Add""&gt;"&amp;$H11&amp;"&lt;/setvar&gt;&lt;/respcondition&gt;",""),IF(Y11,"      &lt;respcondition continue=""Yes""&gt;&lt;conditionvar&gt;&lt;varequal respident=""RESPONSE""&gt;5&lt;/varequal&gt;&lt;/conditionvar&gt;&lt;setvar action=""Add""&gt;"&amp;(Saisie_Questions!$N11/$I11)&amp;"&lt;/setvar&gt;&lt;/respcondition&gt;","      &lt;respcondition continue=""Yes""&gt;&lt;conditionvar&gt;&lt;not&gt;&lt;varequal respident=""RESPONSE""&gt;5&lt;/varequal&gt;&lt;/not&gt;&lt;/conditionvar&gt;&lt;setvar action=""Add""&gt;"&amp;(Saisie_Questions!$N11/$I11)&amp;"&lt;/setvar&gt;&lt;/respcondition&gt;"))),"")</f>
        <v/>
      </c>
      <c r="AP11" s="2" t="str">
        <f>IF($B11,IF(R11="","",IF($C11="qcu",IF(Z11,"      &lt;respcondition continue=""Yes""&gt;&lt;conditionvar&gt;&lt;varequal respident=""RESPONSE""&gt;6&lt;/varequal&gt;&lt;/conditionvar&gt;&lt;setvar action=""Add""&gt;"&amp;$H11&amp;"&lt;/setvar&gt;&lt;/respcondition&gt;",""),IF(Z11,"      &lt;respcondition continue=""Yes""&gt;&lt;conditionvar&gt;&lt;varequal respident=""RESPONSE""&gt;6&lt;/varequal&gt;&lt;/conditionvar&gt;&lt;setvar action=""Add""&gt;"&amp;(Saisie_Questions!$N11/$I11)&amp;"&lt;/setvar&gt;&lt;/respcondition&gt;","      &lt;respcondition continue=""Yes""&gt;&lt;conditionvar&gt;&lt;not&gt;&lt;varequal respident=""RESPONSE""&gt;6&lt;/varequal&gt;&lt;/not&gt;&lt;/conditionvar&gt;&lt;setvar action=""Add""&gt;"&amp;(Saisie_Questions!$N11/$I11)&amp;"&lt;/setvar&gt;&lt;/respcondition&gt;"))),"")</f>
        <v/>
      </c>
      <c r="AQ11" s="2" t="str">
        <f>IF($B11,IF(S11="","",IF($C11="qcu",IF(AA11,"      &lt;respcondition continue=""Yes""&gt;&lt;conditionvar&gt;&lt;varequal respident=""RESPONSE""&gt;7&lt;/varequal&gt;&lt;/conditionvar&gt;&lt;setvar action=""Add""&gt;"&amp;$H11&amp;"&lt;/setvar&gt;&lt;/respcondition&gt;",""),IF(AA11,"      &lt;respcondition continue=""Yes""&gt;&lt;conditionvar&gt;&lt;varequal respident=""RESPONSE""&gt;7&lt;/varequal&gt;&lt;/conditionvar&gt;&lt;setvar action=""Add""&gt;"&amp;(Saisie_Questions!$N11/$I11)&amp;"&lt;/setvar&gt;&lt;/respcondition&gt;","      &lt;respcondition continue=""Yes""&gt;&lt;conditionvar&gt;&lt;not&gt;&lt;varequal respident=""RESPONSE""&gt;7&lt;/varequal&gt;&lt;/not&gt;&lt;/conditionvar&gt;&lt;setvar action=""Add""&gt;"&amp;(Saisie_Questions!$N11/$I11)&amp;"&lt;/setvar&gt;&lt;/respcondition&gt;"))),"")</f>
        <v/>
      </c>
    </row>
    <row r="12" spans="1:43" ht="18" customHeight="1">
      <c r="A12" s="2" t="str">
        <f>Saisie_Questions!A12</f>
        <v/>
      </c>
      <c r="B12" s="2" t="b">
        <f>Saisie_Questions!O12="OK"</f>
        <v>0</v>
      </c>
      <c r="C12" s="2" t="str">
        <f>LOWER(TRIM(Saisie_Questions!B12))</f>
        <v/>
      </c>
      <c r="D12" s="2" t="str">
        <f t="shared" si="0"/>
        <v>MULTIPLE CHOICE QUESTION</v>
      </c>
      <c r="E12" s="2" t="str">
        <f t="shared" si="1"/>
        <v>Multiple</v>
      </c>
      <c r="F12" s="2" t="str">
        <f>IF(A12="","",SUBSTITUTE(SUBSTITUTE(SUBSTITUTE(SUBSTITUTE(SUBSTITUTE(IF(Saisie_Questions!C12="", "Question "&amp;A12, Saisie_Questions!C12),"&amp;","&amp;amp;"),"&lt;","&amp;lt;"),"&gt;","&amp;gt;"),CHAR(34),"&amp;quot;"),"'","&amp;apos;"))</f>
        <v/>
      </c>
      <c r="G12" s="2" t="str">
        <f>IF(A12="","",SUBSTITUTE(SUBSTITUTE(SUBSTITUTE(SUBSTITUTE(SUBSTITUTE(Saisie_Questions!D12,"&amp;","&amp;amp;"),"&lt;","&amp;lt;"),"&gt;","&amp;gt;"),CHAR(34),"&amp;quot;"),"'","&amp;apos;"))</f>
        <v/>
      </c>
      <c r="H12" s="2">
        <f>Saisie_Questions!N12</f>
        <v>0</v>
      </c>
      <c r="I12" s="2">
        <f>IF(Saisie_Questions!E12="",0,1)+IF(Saisie_Questions!F12="",0,1)+IF(Saisie_Questions!G12="",0,1)+IF(Saisie_Questions!H12="",0,1)+IF(Saisie_Questions!I12="",0,1)+IF(Saisie_Questions!J12="",0,1)+IF(Saisie_Questions!K12="",0,1)+IF(Saisie_Questions!L12="",0,1)</f>
        <v>0</v>
      </c>
      <c r="J12" s="2">
        <f>Saisie_Questions!M12</f>
        <v>0</v>
      </c>
      <c r="K12" s="2" t="str">
        <f>Saisie_Questions!O12</f>
        <v/>
      </c>
      <c r="L12" s="2" t="str">
        <f>IF(Saisie_Questions!E12="","",SUBSTITUTE(SUBSTITUTE(SUBSTITUTE(SUBSTITUTE(SUBSTITUTE(Saisie_Questions!E12,"&amp;","&amp;amp;"),"&lt;","&amp;lt;"),"&gt;","&amp;gt;"),CHAR(34),"&amp;quot;"),"'","&amp;apos;"))</f>
        <v/>
      </c>
      <c r="M12" s="2" t="str">
        <f>IF(Saisie_Questions!F12="","",SUBSTITUTE(SUBSTITUTE(SUBSTITUTE(SUBSTITUTE(SUBSTITUTE(Saisie_Questions!F12,"&amp;","&amp;amp;"),"&lt;","&amp;lt;"),"&gt;","&amp;gt;"),CHAR(34),"&amp;quot;"),"'","&amp;apos;"))</f>
        <v/>
      </c>
      <c r="N12" s="2" t="str">
        <f>IF(Saisie_Questions!G12="","",SUBSTITUTE(SUBSTITUTE(SUBSTITUTE(SUBSTITUTE(SUBSTITUTE(Saisie_Questions!G12,"&amp;","&amp;amp;"),"&lt;","&amp;lt;"),"&gt;","&amp;gt;"),CHAR(34),"&amp;quot;"),"'","&amp;apos;"))</f>
        <v/>
      </c>
      <c r="O12" s="2" t="str">
        <f>IF(Saisie_Questions!H12="","",SUBSTITUTE(SUBSTITUTE(SUBSTITUTE(SUBSTITUTE(SUBSTITUTE(Saisie_Questions!H12,"&amp;","&amp;amp;"),"&lt;","&amp;lt;"),"&gt;","&amp;gt;"),CHAR(34),"&amp;quot;"),"'","&amp;apos;"))</f>
        <v/>
      </c>
      <c r="P12" s="2" t="str">
        <f>IF(Saisie_Questions!I12="","",SUBSTITUTE(SUBSTITUTE(SUBSTITUTE(SUBSTITUTE(SUBSTITUTE(Saisie_Questions!I12,"&amp;","&amp;amp;"),"&lt;","&amp;lt;"),"&gt;","&amp;gt;"),CHAR(34),"&amp;quot;"),"'","&amp;apos;"))</f>
        <v/>
      </c>
      <c r="Q12" s="2" t="str">
        <f>IF(Saisie_Questions!J12="","",SUBSTITUTE(SUBSTITUTE(SUBSTITUTE(SUBSTITUTE(SUBSTITUTE(Saisie_Questions!J12,"&amp;","&amp;amp;"),"&lt;","&amp;lt;"),"&gt;","&amp;gt;"),CHAR(34),"&amp;quot;"),"'","&amp;apos;"))</f>
        <v/>
      </c>
      <c r="R12" s="2" t="str">
        <f>IF(Saisie_Questions!K12="","",SUBSTITUTE(SUBSTITUTE(SUBSTITUTE(SUBSTITUTE(SUBSTITUTE(Saisie_Questions!K12,"&amp;","&amp;amp;"),"&lt;","&amp;lt;"),"&gt;","&amp;gt;"),CHAR(34),"&amp;quot;"),"'","&amp;apos;"))</f>
        <v/>
      </c>
      <c r="S12" s="2" t="str">
        <f>IF(Saisie_Questions!L12="","",SUBSTITUTE(SUBSTITUTE(SUBSTITUTE(SUBSTITUTE(SUBSTITUTE(Saisie_Questions!L12,"&amp;","&amp;amp;"),"&lt;","&amp;lt;"),"&gt;","&amp;gt;"),CHAR(34),"&amp;quot;"),"'","&amp;apos;"))</f>
        <v/>
      </c>
      <c r="T12" s="2" t="b">
        <f t="shared" si="2"/>
        <v>0</v>
      </c>
      <c r="U12" s="2" t="b">
        <f t="shared" si="3"/>
        <v>0</v>
      </c>
      <c r="V12" s="2" t="b">
        <f t="shared" si="4"/>
        <v>0</v>
      </c>
      <c r="W12" s="2" t="b">
        <f t="shared" si="5"/>
        <v>0</v>
      </c>
      <c r="X12" s="2" t="b">
        <f t="shared" si="6"/>
        <v>0</v>
      </c>
      <c r="Y12" s="2" t="b">
        <f t="shared" si="7"/>
        <v>0</v>
      </c>
      <c r="Z12" s="2" t="b">
        <f t="shared" si="8"/>
        <v>0</v>
      </c>
      <c r="AA12" s="2" t="b">
        <f t="shared" si="9"/>
        <v>0</v>
      </c>
      <c r="AB12" s="2" t="str">
        <f t="shared" si="10"/>
        <v/>
      </c>
      <c r="AC12" s="2" t="str">
        <f t="shared" si="11"/>
        <v/>
      </c>
      <c r="AD12" s="2" t="str">
        <f t="shared" si="12"/>
        <v/>
      </c>
      <c r="AE12" s="2" t="str">
        <f t="shared" si="13"/>
        <v/>
      </c>
      <c r="AF12" s="2" t="str">
        <f t="shared" si="14"/>
        <v/>
      </c>
      <c r="AG12" s="2" t="str">
        <f t="shared" si="15"/>
        <v/>
      </c>
      <c r="AH12" s="2" t="str">
        <f t="shared" si="16"/>
        <v/>
      </c>
      <c r="AI12" s="2" t="str">
        <f t="shared" si="17"/>
        <v/>
      </c>
      <c r="AJ12" s="2" t="str">
        <f>IF($B12,IF(L12="","",IF($C12="qcu",IF(T12,"      &lt;respcondition continue=""Yes""&gt;&lt;conditionvar&gt;&lt;varequal respident=""RESPONSE""&gt;0&lt;/varequal&gt;&lt;/conditionvar&gt;&lt;setvar action=""Add""&gt;"&amp;$H12&amp;"&lt;/setvar&gt;&lt;/respcondition&gt;",""),IF(T12,"      &lt;respcondition continue=""Yes""&gt;&lt;conditionvar&gt;&lt;varequal respident=""RESPONSE""&gt;0&lt;/varequal&gt;&lt;/conditionvar&gt;&lt;setvar action=""Add""&gt;"&amp;(Saisie_Questions!$N12/$I12)&amp;"&lt;/setvar&gt;&lt;/respcondition&gt;","      &lt;respcondition continue=""Yes""&gt;&lt;conditionvar&gt;&lt;not&gt;&lt;varequal respident=""RESPONSE""&gt;0&lt;/varequal&gt;&lt;/not&gt;&lt;/conditionvar&gt;&lt;setvar action=""Add""&gt;"&amp;(Saisie_Questions!$N12/$I12)&amp;"&lt;/setvar&gt;&lt;/respcondition&gt;"))),"")</f>
        <v/>
      </c>
      <c r="AK12" s="2" t="str">
        <f>IF($B12,IF(M12="","",IF($C12="qcu",IF(U12,"      &lt;respcondition continue=""Yes""&gt;&lt;conditionvar&gt;&lt;varequal respident=""RESPONSE""&gt;1&lt;/varequal&gt;&lt;/conditionvar&gt;&lt;setvar action=""Add""&gt;"&amp;$H12&amp;"&lt;/setvar&gt;&lt;/respcondition&gt;",""),IF(U12,"      &lt;respcondition continue=""Yes""&gt;&lt;conditionvar&gt;&lt;varequal respident=""RESPONSE""&gt;1&lt;/varequal&gt;&lt;/conditionvar&gt;&lt;setvar action=""Add""&gt;"&amp;(Saisie_Questions!$N12/$I12)&amp;"&lt;/setvar&gt;&lt;/respcondition&gt;","      &lt;respcondition continue=""Yes""&gt;&lt;conditionvar&gt;&lt;not&gt;&lt;varequal respident=""RESPONSE""&gt;1&lt;/varequal&gt;&lt;/not&gt;&lt;/conditionvar&gt;&lt;setvar action=""Add""&gt;"&amp;(Saisie_Questions!$N12/$I12)&amp;"&lt;/setvar&gt;&lt;/respcondition&gt;"))),"")</f>
        <v/>
      </c>
      <c r="AL12" s="2" t="str">
        <f>IF($B12,IF(N12="","",IF($C12="qcu",IF(V12,"      &lt;respcondition continue=""Yes""&gt;&lt;conditionvar&gt;&lt;varequal respident=""RESPONSE""&gt;2&lt;/varequal&gt;&lt;/conditionvar&gt;&lt;setvar action=""Add""&gt;"&amp;$H12&amp;"&lt;/setvar&gt;&lt;/respcondition&gt;",""),IF(V12,"      &lt;respcondition continue=""Yes""&gt;&lt;conditionvar&gt;&lt;varequal respident=""RESPONSE""&gt;2&lt;/varequal&gt;&lt;/conditionvar&gt;&lt;setvar action=""Add""&gt;"&amp;(Saisie_Questions!$N12/$I12)&amp;"&lt;/setvar&gt;&lt;/respcondition&gt;","      &lt;respcondition continue=""Yes""&gt;&lt;conditionvar&gt;&lt;not&gt;&lt;varequal respident=""RESPONSE""&gt;2&lt;/varequal&gt;&lt;/not&gt;&lt;/conditionvar&gt;&lt;setvar action=""Add""&gt;"&amp;(Saisie_Questions!$N12/$I12)&amp;"&lt;/setvar&gt;&lt;/respcondition&gt;"))),"")</f>
        <v/>
      </c>
      <c r="AM12" s="2" t="str">
        <f>IF($B12,IF(O12="","",IF($C12="qcu",IF(W12,"      &lt;respcondition continue=""Yes""&gt;&lt;conditionvar&gt;&lt;varequal respident=""RESPONSE""&gt;3&lt;/varequal&gt;&lt;/conditionvar&gt;&lt;setvar action=""Add""&gt;"&amp;$H12&amp;"&lt;/setvar&gt;&lt;/respcondition&gt;",""),IF(W12,"      &lt;respcondition continue=""Yes""&gt;&lt;conditionvar&gt;&lt;varequal respident=""RESPONSE""&gt;3&lt;/varequal&gt;&lt;/conditionvar&gt;&lt;setvar action=""Add""&gt;"&amp;(Saisie_Questions!$N12/$I12)&amp;"&lt;/setvar&gt;&lt;/respcondition&gt;","      &lt;respcondition continue=""Yes""&gt;&lt;conditionvar&gt;&lt;not&gt;&lt;varequal respident=""RESPONSE""&gt;3&lt;/varequal&gt;&lt;/not&gt;&lt;/conditionvar&gt;&lt;setvar action=""Add""&gt;"&amp;(Saisie_Questions!$N12/$I12)&amp;"&lt;/setvar&gt;&lt;/respcondition&gt;"))),"")</f>
        <v/>
      </c>
      <c r="AN12" s="2" t="str">
        <f>IF($B12,IF(P12="","",IF($C12="qcu",IF(X12,"      &lt;respcondition continue=""Yes""&gt;&lt;conditionvar&gt;&lt;varequal respident=""RESPONSE""&gt;4&lt;/varequal&gt;&lt;/conditionvar&gt;&lt;setvar action=""Add""&gt;"&amp;$H12&amp;"&lt;/setvar&gt;&lt;/respcondition&gt;",""),IF(X12,"      &lt;respcondition continue=""Yes""&gt;&lt;conditionvar&gt;&lt;varequal respident=""RESPONSE""&gt;4&lt;/varequal&gt;&lt;/conditionvar&gt;&lt;setvar action=""Add""&gt;"&amp;(Saisie_Questions!$N12/$I12)&amp;"&lt;/setvar&gt;&lt;/respcondition&gt;","      &lt;respcondition continue=""Yes""&gt;&lt;conditionvar&gt;&lt;not&gt;&lt;varequal respident=""RESPONSE""&gt;4&lt;/varequal&gt;&lt;/not&gt;&lt;/conditionvar&gt;&lt;setvar action=""Add""&gt;"&amp;(Saisie_Questions!$N12/$I12)&amp;"&lt;/setvar&gt;&lt;/respcondition&gt;"))),"")</f>
        <v/>
      </c>
      <c r="AO12" s="2" t="str">
        <f>IF($B12,IF(Q12="","",IF($C12="qcu",IF(Y12,"      &lt;respcondition continue=""Yes""&gt;&lt;conditionvar&gt;&lt;varequal respident=""RESPONSE""&gt;5&lt;/varequal&gt;&lt;/conditionvar&gt;&lt;setvar action=""Add""&gt;"&amp;$H12&amp;"&lt;/setvar&gt;&lt;/respcondition&gt;",""),IF(Y12,"      &lt;respcondition continue=""Yes""&gt;&lt;conditionvar&gt;&lt;varequal respident=""RESPONSE""&gt;5&lt;/varequal&gt;&lt;/conditionvar&gt;&lt;setvar action=""Add""&gt;"&amp;(Saisie_Questions!$N12/$I12)&amp;"&lt;/setvar&gt;&lt;/respcondition&gt;","      &lt;respcondition continue=""Yes""&gt;&lt;conditionvar&gt;&lt;not&gt;&lt;varequal respident=""RESPONSE""&gt;5&lt;/varequal&gt;&lt;/not&gt;&lt;/conditionvar&gt;&lt;setvar action=""Add""&gt;"&amp;(Saisie_Questions!$N12/$I12)&amp;"&lt;/setvar&gt;&lt;/respcondition&gt;"))),"")</f>
        <v/>
      </c>
      <c r="AP12" s="2" t="str">
        <f>IF($B12,IF(R12="","",IF($C12="qcu",IF(Z12,"      &lt;respcondition continue=""Yes""&gt;&lt;conditionvar&gt;&lt;varequal respident=""RESPONSE""&gt;6&lt;/varequal&gt;&lt;/conditionvar&gt;&lt;setvar action=""Add""&gt;"&amp;$H12&amp;"&lt;/setvar&gt;&lt;/respcondition&gt;",""),IF(Z12,"      &lt;respcondition continue=""Yes""&gt;&lt;conditionvar&gt;&lt;varequal respident=""RESPONSE""&gt;6&lt;/varequal&gt;&lt;/conditionvar&gt;&lt;setvar action=""Add""&gt;"&amp;(Saisie_Questions!$N12/$I12)&amp;"&lt;/setvar&gt;&lt;/respcondition&gt;","      &lt;respcondition continue=""Yes""&gt;&lt;conditionvar&gt;&lt;not&gt;&lt;varequal respident=""RESPONSE""&gt;6&lt;/varequal&gt;&lt;/not&gt;&lt;/conditionvar&gt;&lt;setvar action=""Add""&gt;"&amp;(Saisie_Questions!$N12/$I12)&amp;"&lt;/setvar&gt;&lt;/respcondition&gt;"))),"")</f>
        <v/>
      </c>
      <c r="AQ12" s="2" t="str">
        <f>IF($B12,IF(S12="","",IF($C12="qcu",IF(AA12,"      &lt;respcondition continue=""Yes""&gt;&lt;conditionvar&gt;&lt;varequal respident=""RESPONSE""&gt;7&lt;/varequal&gt;&lt;/conditionvar&gt;&lt;setvar action=""Add""&gt;"&amp;$H12&amp;"&lt;/setvar&gt;&lt;/respcondition&gt;",""),IF(AA12,"      &lt;respcondition continue=""Yes""&gt;&lt;conditionvar&gt;&lt;varequal respident=""RESPONSE""&gt;7&lt;/varequal&gt;&lt;/conditionvar&gt;&lt;setvar action=""Add""&gt;"&amp;(Saisie_Questions!$N12/$I12)&amp;"&lt;/setvar&gt;&lt;/respcondition&gt;","      &lt;respcondition continue=""Yes""&gt;&lt;conditionvar&gt;&lt;not&gt;&lt;varequal respident=""RESPONSE""&gt;7&lt;/varequal&gt;&lt;/not&gt;&lt;/conditionvar&gt;&lt;setvar action=""Add""&gt;"&amp;(Saisie_Questions!$N12/$I12)&amp;"&lt;/setvar&gt;&lt;/respcondition&gt;"))),"")</f>
        <v/>
      </c>
    </row>
    <row r="13" spans="1:43" ht="18" customHeight="1">
      <c r="A13" s="2" t="str">
        <f>Saisie_Questions!A13</f>
        <v/>
      </c>
      <c r="B13" s="2" t="b">
        <f>Saisie_Questions!O13="OK"</f>
        <v>0</v>
      </c>
      <c r="C13" s="2" t="str">
        <f>LOWER(TRIM(Saisie_Questions!B13))</f>
        <v/>
      </c>
      <c r="D13" s="2" t="str">
        <f t="shared" si="0"/>
        <v>MULTIPLE CHOICE QUESTION</v>
      </c>
      <c r="E13" s="2" t="str">
        <f t="shared" si="1"/>
        <v>Multiple</v>
      </c>
      <c r="F13" s="2" t="str">
        <f>IF(A13="","",SUBSTITUTE(SUBSTITUTE(SUBSTITUTE(SUBSTITUTE(SUBSTITUTE(IF(Saisie_Questions!C13="", "Question "&amp;A13, Saisie_Questions!C13),"&amp;","&amp;amp;"),"&lt;","&amp;lt;"),"&gt;","&amp;gt;"),CHAR(34),"&amp;quot;"),"'","&amp;apos;"))</f>
        <v/>
      </c>
      <c r="G13" s="2" t="str">
        <f>IF(A13="","",SUBSTITUTE(SUBSTITUTE(SUBSTITUTE(SUBSTITUTE(SUBSTITUTE(Saisie_Questions!D13,"&amp;","&amp;amp;"),"&lt;","&amp;lt;"),"&gt;","&amp;gt;"),CHAR(34),"&amp;quot;"),"'","&amp;apos;"))</f>
        <v/>
      </c>
      <c r="H13" s="2">
        <f>Saisie_Questions!N13</f>
        <v>0</v>
      </c>
      <c r="I13" s="2">
        <f>IF(Saisie_Questions!E13="",0,1)+IF(Saisie_Questions!F13="",0,1)+IF(Saisie_Questions!G13="",0,1)+IF(Saisie_Questions!H13="",0,1)+IF(Saisie_Questions!I13="",0,1)+IF(Saisie_Questions!J13="",0,1)+IF(Saisie_Questions!K13="",0,1)+IF(Saisie_Questions!L13="",0,1)</f>
        <v>0</v>
      </c>
      <c r="J13" s="2">
        <f>Saisie_Questions!M13</f>
        <v>0</v>
      </c>
      <c r="K13" s="2" t="str">
        <f>Saisie_Questions!O13</f>
        <v/>
      </c>
      <c r="L13" s="2" t="str">
        <f>IF(Saisie_Questions!E13="","",SUBSTITUTE(SUBSTITUTE(SUBSTITUTE(SUBSTITUTE(SUBSTITUTE(Saisie_Questions!E13,"&amp;","&amp;amp;"),"&lt;","&amp;lt;"),"&gt;","&amp;gt;"),CHAR(34),"&amp;quot;"),"'","&amp;apos;"))</f>
        <v/>
      </c>
      <c r="M13" s="2" t="str">
        <f>IF(Saisie_Questions!F13="","",SUBSTITUTE(SUBSTITUTE(SUBSTITUTE(SUBSTITUTE(SUBSTITUTE(Saisie_Questions!F13,"&amp;","&amp;amp;"),"&lt;","&amp;lt;"),"&gt;","&amp;gt;"),CHAR(34),"&amp;quot;"),"'","&amp;apos;"))</f>
        <v/>
      </c>
      <c r="N13" s="2" t="str">
        <f>IF(Saisie_Questions!G13="","",SUBSTITUTE(SUBSTITUTE(SUBSTITUTE(SUBSTITUTE(SUBSTITUTE(Saisie_Questions!G13,"&amp;","&amp;amp;"),"&lt;","&amp;lt;"),"&gt;","&amp;gt;"),CHAR(34),"&amp;quot;"),"'","&amp;apos;"))</f>
        <v/>
      </c>
      <c r="O13" s="2" t="str">
        <f>IF(Saisie_Questions!H13="","",SUBSTITUTE(SUBSTITUTE(SUBSTITUTE(SUBSTITUTE(SUBSTITUTE(Saisie_Questions!H13,"&amp;","&amp;amp;"),"&lt;","&amp;lt;"),"&gt;","&amp;gt;"),CHAR(34),"&amp;quot;"),"'","&amp;apos;"))</f>
        <v/>
      </c>
      <c r="P13" s="2" t="str">
        <f>IF(Saisie_Questions!I13="","",SUBSTITUTE(SUBSTITUTE(SUBSTITUTE(SUBSTITUTE(SUBSTITUTE(Saisie_Questions!I13,"&amp;","&amp;amp;"),"&lt;","&amp;lt;"),"&gt;","&amp;gt;"),CHAR(34),"&amp;quot;"),"'","&amp;apos;"))</f>
        <v/>
      </c>
      <c r="Q13" s="2" t="str">
        <f>IF(Saisie_Questions!J13="","",SUBSTITUTE(SUBSTITUTE(SUBSTITUTE(SUBSTITUTE(SUBSTITUTE(Saisie_Questions!J13,"&amp;","&amp;amp;"),"&lt;","&amp;lt;"),"&gt;","&amp;gt;"),CHAR(34),"&amp;quot;"),"'","&amp;apos;"))</f>
        <v/>
      </c>
      <c r="R13" s="2" t="str">
        <f>IF(Saisie_Questions!K13="","",SUBSTITUTE(SUBSTITUTE(SUBSTITUTE(SUBSTITUTE(SUBSTITUTE(Saisie_Questions!K13,"&amp;","&amp;amp;"),"&lt;","&amp;lt;"),"&gt;","&amp;gt;"),CHAR(34),"&amp;quot;"),"'","&amp;apos;"))</f>
        <v/>
      </c>
      <c r="S13" s="2" t="str">
        <f>IF(Saisie_Questions!L13="","",SUBSTITUTE(SUBSTITUTE(SUBSTITUTE(SUBSTITUTE(SUBSTITUTE(Saisie_Questions!L13,"&amp;","&amp;amp;"),"&lt;","&amp;lt;"),"&gt;","&amp;gt;"),CHAR(34),"&amp;quot;"),"'","&amp;apos;"))</f>
        <v/>
      </c>
      <c r="T13" s="2" t="b">
        <f t="shared" si="2"/>
        <v>0</v>
      </c>
      <c r="U13" s="2" t="b">
        <f t="shared" si="3"/>
        <v>0</v>
      </c>
      <c r="V13" s="2" t="b">
        <f t="shared" si="4"/>
        <v>0</v>
      </c>
      <c r="W13" s="2" t="b">
        <f t="shared" si="5"/>
        <v>0</v>
      </c>
      <c r="X13" s="2" t="b">
        <f t="shared" si="6"/>
        <v>0</v>
      </c>
      <c r="Y13" s="2" t="b">
        <f t="shared" si="7"/>
        <v>0</v>
      </c>
      <c r="Z13" s="2" t="b">
        <f t="shared" si="8"/>
        <v>0</v>
      </c>
      <c r="AA13" s="2" t="b">
        <f t="shared" si="9"/>
        <v>0</v>
      </c>
      <c r="AB13" s="2" t="str">
        <f t="shared" si="10"/>
        <v/>
      </c>
      <c r="AC13" s="2" t="str">
        <f t="shared" si="11"/>
        <v/>
      </c>
      <c r="AD13" s="2" t="str">
        <f t="shared" si="12"/>
        <v/>
      </c>
      <c r="AE13" s="2" t="str">
        <f t="shared" si="13"/>
        <v/>
      </c>
      <c r="AF13" s="2" t="str">
        <f t="shared" si="14"/>
        <v/>
      </c>
      <c r="AG13" s="2" t="str">
        <f t="shared" si="15"/>
        <v/>
      </c>
      <c r="AH13" s="2" t="str">
        <f t="shared" si="16"/>
        <v/>
      </c>
      <c r="AI13" s="2" t="str">
        <f t="shared" si="17"/>
        <v/>
      </c>
      <c r="AJ13" s="2" t="str">
        <f>IF($B13,IF(L13="","",IF($C13="qcu",IF(T13,"      &lt;respcondition continue=""Yes""&gt;&lt;conditionvar&gt;&lt;varequal respident=""RESPONSE""&gt;0&lt;/varequal&gt;&lt;/conditionvar&gt;&lt;setvar action=""Add""&gt;"&amp;$H13&amp;"&lt;/setvar&gt;&lt;/respcondition&gt;",""),IF(T13,"      &lt;respcondition continue=""Yes""&gt;&lt;conditionvar&gt;&lt;varequal respident=""RESPONSE""&gt;0&lt;/varequal&gt;&lt;/conditionvar&gt;&lt;setvar action=""Add""&gt;"&amp;(Saisie_Questions!$N13/$I13)&amp;"&lt;/setvar&gt;&lt;/respcondition&gt;","      &lt;respcondition continue=""Yes""&gt;&lt;conditionvar&gt;&lt;not&gt;&lt;varequal respident=""RESPONSE""&gt;0&lt;/varequal&gt;&lt;/not&gt;&lt;/conditionvar&gt;&lt;setvar action=""Add""&gt;"&amp;(Saisie_Questions!$N13/$I13)&amp;"&lt;/setvar&gt;&lt;/respcondition&gt;"))),"")</f>
        <v/>
      </c>
      <c r="AK13" s="2" t="str">
        <f>IF($B13,IF(M13="","",IF($C13="qcu",IF(U13,"      &lt;respcondition continue=""Yes""&gt;&lt;conditionvar&gt;&lt;varequal respident=""RESPONSE""&gt;1&lt;/varequal&gt;&lt;/conditionvar&gt;&lt;setvar action=""Add""&gt;"&amp;$H13&amp;"&lt;/setvar&gt;&lt;/respcondition&gt;",""),IF(U13,"      &lt;respcondition continue=""Yes""&gt;&lt;conditionvar&gt;&lt;varequal respident=""RESPONSE""&gt;1&lt;/varequal&gt;&lt;/conditionvar&gt;&lt;setvar action=""Add""&gt;"&amp;(Saisie_Questions!$N13/$I13)&amp;"&lt;/setvar&gt;&lt;/respcondition&gt;","      &lt;respcondition continue=""Yes""&gt;&lt;conditionvar&gt;&lt;not&gt;&lt;varequal respident=""RESPONSE""&gt;1&lt;/varequal&gt;&lt;/not&gt;&lt;/conditionvar&gt;&lt;setvar action=""Add""&gt;"&amp;(Saisie_Questions!$N13/$I13)&amp;"&lt;/setvar&gt;&lt;/respcondition&gt;"))),"")</f>
        <v/>
      </c>
      <c r="AL13" s="2" t="str">
        <f>IF($B13,IF(N13="","",IF($C13="qcu",IF(V13,"      &lt;respcondition continue=""Yes""&gt;&lt;conditionvar&gt;&lt;varequal respident=""RESPONSE""&gt;2&lt;/varequal&gt;&lt;/conditionvar&gt;&lt;setvar action=""Add""&gt;"&amp;$H13&amp;"&lt;/setvar&gt;&lt;/respcondition&gt;",""),IF(V13,"      &lt;respcondition continue=""Yes""&gt;&lt;conditionvar&gt;&lt;varequal respident=""RESPONSE""&gt;2&lt;/varequal&gt;&lt;/conditionvar&gt;&lt;setvar action=""Add""&gt;"&amp;(Saisie_Questions!$N13/$I13)&amp;"&lt;/setvar&gt;&lt;/respcondition&gt;","      &lt;respcondition continue=""Yes""&gt;&lt;conditionvar&gt;&lt;not&gt;&lt;varequal respident=""RESPONSE""&gt;2&lt;/varequal&gt;&lt;/not&gt;&lt;/conditionvar&gt;&lt;setvar action=""Add""&gt;"&amp;(Saisie_Questions!$N13/$I13)&amp;"&lt;/setvar&gt;&lt;/respcondition&gt;"))),"")</f>
        <v/>
      </c>
      <c r="AM13" s="2" t="str">
        <f>IF($B13,IF(O13="","",IF($C13="qcu",IF(W13,"      &lt;respcondition continue=""Yes""&gt;&lt;conditionvar&gt;&lt;varequal respident=""RESPONSE""&gt;3&lt;/varequal&gt;&lt;/conditionvar&gt;&lt;setvar action=""Add""&gt;"&amp;$H13&amp;"&lt;/setvar&gt;&lt;/respcondition&gt;",""),IF(W13,"      &lt;respcondition continue=""Yes""&gt;&lt;conditionvar&gt;&lt;varequal respident=""RESPONSE""&gt;3&lt;/varequal&gt;&lt;/conditionvar&gt;&lt;setvar action=""Add""&gt;"&amp;(Saisie_Questions!$N13/$I13)&amp;"&lt;/setvar&gt;&lt;/respcondition&gt;","      &lt;respcondition continue=""Yes""&gt;&lt;conditionvar&gt;&lt;not&gt;&lt;varequal respident=""RESPONSE""&gt;3&lt;/varequal&gt;&lt;/not&gt;&lt;/conditionvar&gt;&lt;setvar action=""Add""&gt;"&amp;(Saisie_Questions!$N13/$I13)&amp;"&lt;/setvar&gt;&lt;/respcondition&gt;"))),"")</f>
        <v/>
      </c>
      <c r="AN13" s="2" t="str">
        <f>IF($B13,IF(P13="","",IF($C13="qcu",IF(X13,"      &lt;respcondition continue=""Yes""&gt;&lt;conditionvar&gt;&lt;varequal respident=""RESPONSE""&gt;4&lt;/varequal&gt;&lt;/conditionvar&gt;&lt;setvar action=""Add""&gt;"&amp;$H13&amp;"&lt;/setvar&gt;&lt;/respcondition&gt;",""),IF(X13,"      &lt;respcondition continue=""Yes""&gt;&lt;conditionvar&gt;&lt;varequal respident=""RESPONSE""&gt;4&lt;/varequal&gt;&lt;/conditionvar&gt;&lt;setvar action=""Add""&gt;"&amp;(Saisie_Questions!$N13/$I13)&amp;"&lt;/setvar&gt;&lt;/respcondition&gt;","      &lt;respcondition continue=""Yes""&gt;&lt;conditionvar&gt;&lt;not&gt;&lt;varequal respident=""RESPONSE""&gt;4&lt;/varequal&gt;&lt;/not&gt;&lt;/conditionvar&gt;&lt;setvar action=""Add""&gt;"&amp;(Saisie_Questions!$N13/$I13)&amp;"&lt;/setvar&gt;&lt;/respcondition&gt;"))),"")</f>
        <v/>
      </c>
      <c r="AO13" s="2" t="str">
        <f>IF($B13,IF(Q13="","",IF($C13="qcu",IF(Y13,"      &lt;respcondition continue=""Yes""&gt;&lt;conditionvar&gt;&lt;varequal respident=""RESPONSE""&gt;5&lt;/varequal&gt;&lt;/conditionvar&gt;&lt;setvar action=""Add""&gt;"&amp;$H13&amp;"&lt;/setvar&gt;&lt;/respcondition&gt;",""),IF(Y13,"      &lt;respcondition continue=""Yes""&gt;&lt;conditionvar&gt;&lt;varequal respident=""RESPONSE""&gt;5&lt;/varequal&gt;&lt;/conditionvar&gt;&lt;setvar action=""Add""&gt;"&amp;(Saisie_Questions!$N13/$I13)&amp;"&lt;/setvar&gt;&lt;/respcondition&gt;","      &lt;respcondition continue=""Yes""&gt;&lt;conditionvar&gt;&lt;not&gt;&lt;varequal respident=""RESPONSE""&gt;5&lt;/varequal&gt;&lt;/not&gt;&lt;/conditionvar&gt;&lt;setvar action=""Add""&gt;"&amp;(Saisie_Questions!$N13/$I13)&amp;"&lt;/setvar&gt;&lt;/respcondition&gt;"))),"")</f>
        <v/>
      </c>
      <c r="AP13" s="2" t="str">
        <f>IF($B13,IF(R13="","",IF($C13="qcu",IF(Z13,"      &lt;respcondition continue=""Yes""&gt;&lt;conditionvar&gt;&lt;varequal respident=""RESPONSE""&gt;6&lt;/varequal&gt;&lt;/conditionvar&gt;&lt;setvar action=""Add""&gt;"&amp;$H13&amp;"&lt;/setvar&gt;&lt;/respcondition&gt;",""),IF(Z13,"      &lt;respcondition continue=""Yes""&gt;&lt;conditionvar&gt;&lt;varequal respident=""RESPONSE""&gt;6&lt;/varequal&gt;&lt;/conditionvar&gt;&lt;setvar action=""Add""&gt;"&amp;(Saisie_Questions!$N13/$I13)&amp;"&lt;/setvar&gt;&lt;/respcondition&gt;","      &lt;respcondition continue=""Yes""&gt;&lt;conditionvar&gt;&lt;not&gt;&lt;varequal respident=""RESPONSE""&gt;6&lt;/varequal&gt;&lt;/not&gt;&lt;/conditionvar&gt;&lt;setvar action=""Add""&gt;"&amp;(Saisie_Questions!$N13/$I13)&amp;"&lt;/setvar&gt;&lt;/respcondition&gt;"))),"")</f>
        <v/>
      </c>
      <c r="AQ13" s="2" t="str">
        <f>IF($B13,IF(S13="","",IF($C13="qcu",IF(AA13,"      &lt;respcondition continue=""Yes""&gt;&lt;conditionvar&gt;&lt;varequal respident=""RESPONSE""&gt;7&lt;/varequal&gt;&lt;/conditionvar&gt;&lt;setvar action=""Add""&gt;"&amp;$H13&amp;"&lt;/setvar&gt;&lt;/respcondition&gt;",""),IF(AA13,"      &lt;respcondition continue=""Yes""&gt;&lt;conditionvar&gt;&lt;varequal respident=""RESPONSE""&gt;7&lt;/varequal&gt;&lt;/conditionvar&gt;&lt;setvar action=""Add""&gt;"&amp;(Saisie_Questions!$N13/$I13)&amp;"&lt;/setvar&gt;&lt;/respcondition&gt;","      &lt;respcondition continue=""Yes""&gt;&lt;conditionvar&gt;&lt;not&gt;&lt;varequal respident=""RESPONSE""&gt;7&lt;/varequal&gt;&lt;/not&gt;&lt;/conditionvar&gt;&lt;setvar action=""Add""&gt;"&amp;(Saisie_Questions!$N13/$I13)&amp;"&lt;/setvar&gt;&lt;/respcondition&gt;"))),"")</f>
        <v/>
      </c>
    </row>
    <row r="14" spans="1:43" ht="18" customHeight="1">
      <c r="A14" s="2" t="str">
        <f>Saisie_Questions!A14</f>
        <v/>
      </c>
      <c r="B14" s="2" t="b">
        <f>Saisie_Questions!O14="OK"</f>
        <v>0</v>
      </c>
      <c r="C14" s="2" t="str">
        <f>LOWER(TRIM(Saisie_Questions!B14))</f>
        <v/>
      </c>
      <c r="D14" s="2" t="str">
        <f t="shared" si="0"/>
        <v>MULTIPLE CHOICE QUESTION</v>
      </c>
      <c r="E14" s="2" t="str">
        <f t="shared" si="1"/>
        <v>Multiple</v>
      </c>
      <c r="F14" s="2" t="str">
        <f>IF(A14="","",SUBSTITUTE(SUBSTITUTE(SUBSTITUTE(SUBSTITUTE(SUBSTITUTE(IF(Saisie_Questions!C14="", "Question "&amp;A14, Saisie_Questions!C14),"&amp;","&amp;amp;"),"&lt;","&amp;lt;"),"&gt;","&amp;gt;"),CHAR(34),"&amp;quot;"),"'","&amp;apos;"))</f>
        <v/>
      </c>
      <c r="G14" s="2" t="str">
        <f>IF(A14="","",SUBSTITUTE(SUBSTITUTE(SUBSTITUTE(SUBSTITUTE(SUBSTITUTE(Saisie_Questions!D14,"&amp;","&amp;amp;"),"&lt;","&amp;lt;"),"&gt;","&amp;gt;"),CHAR(34),"&amp;quot;"),"'","&amp;apos;"))</f>
        <v/>
      </c>
      <c r="H14" s="2">
        <f>Saisie_Questions!N14</f>
        <v>0</v>
      </c>
      <c r="I14" s="2">
        <f>IF(Saisie_Questions!E14="",0,1)+IF(Saisie_Questions!F14="",0,1)+IF(Saisie_Questions!G14="",0,1)+IF(Saisie_Questions!H14="",0,1)+IF(Saisie_Questions!I14="",0,1)+IF(Saisie_Questions!J14="",0,1)+IF(Saisie_Questions!K14="",0,1)+IF(Saisie_Questions!L14="",0,1)</f>
        <v>0</v>
      </c>
      <c r="J14" s="2">
        <f>Saisie_Questions!M14</f>
        <v>0</v>
      </c>
      <c r="K14" s="2" t="str">
        <f>Saisie_Questions!O14</f>
        <v/>
      </c>
      <c r="L14" s="2" t="str">
        <f>IF(Saisie_Questions!E14="","",SUBSTITUTE(SUBSTITUTE(SUBSTITUTE(SUBSTITUTE(SUBSTITUTE(Saisie_Questions!E14,"&amp;","&amp;amp;"),"&lt;","&amp;lt;"),"&gt;","&amp;gt;"),CHAR(34),"&amp;quot;"),"'","&amp;apos;"))</f>
        <v/>
      </c>
      <c r="M14" s="2" t="str">
        <f>IF(Saisie_Questions!F14="","",SUBSTITUTE(SUBSTITUTE(SUBSTITUTE(SUBSTITUTE(SUBSTITUTE(Saisie_Questions!F14,"&amp;","&amp;amp;"),"&lt;","&amp;lt;"),"&gt;","&amp;gt;"),CHAR(34),"&amp;quot;"),"'","&amp;apos;"))</f>
        <v/>
      </c>
      <c r="N14" s="2" t="str">
        <f>IF(Saisie_Questions!G14="","",SUBSTITUTE(SUBSTITUTE(SUBSTITUTE(SUBSTITUTE(SUBSTITUTE(Saisie_Questions!G14,"&amp;","&amp;amp;"),"&lt;","&amp;lt;"),"&gt;","&amp;gt;"),CHAR(34),"&amp;quot;"),"'","&amp;apos;"))</f>
        <v/>
      </c>
      <c r="O14" s="2" t="str">
        <f>IF(Saisie_Questions!H14="","",SUBSTITUTE(SUBSTITUTE(SUBSTITUTE(SUBSTITUTE(SUBSTITUTE(Saisie_Questions!H14,"&amp;","&amp;amp;"),"&lt;","&amp;lt;"),"&gt;","&amp;gt;"),CHAR(34),"&amp;quot;"),"'","&amp;apos;"))</f>
        <v/>
      </c>
      <c r="P14" s="2" t="str">
        <f>IF(Saisie_Questions!I14="","",SUBSTITUTE(SUBSTITUTE(SUBSTITUTE(SUBSTITUTE(SUBSTITUTE(Saisie_Questions!I14,"&amp;","&amp;amp;"),"&lt;","&amp;lt;"),"&gt;","&amp;gt;"),CHAR(34),"&amp;quot;"),"'","&amp;apos;"))</f>
        <v/>
      </c>
      <c r="Q14" s="2" t="str">
        <f>IF(Saisie_Questions!J14="","",SUBSTITUTE(SUBSTITUTE(SUBSTITUTE(SUBSTITUTE(SUBSTITUTE(Saisie_Questions!J14,"&amp;","&amp;amp;"),"&lt;","&amp;lt;"),"&gt;","&amp;gt;"),CHAR(34),"&amp;quot;"),"'","&amp;apos;"))</f>
        <v/>
      </c>
      <c r="R14" s="2" t="str">
        <f>IF(Saisie_Questions!K14="","",SUBSTITUTE(SUBSTITUTE(SUBSTITUTE(SUBSTITUTE(SUBSTITUTE(Saisie_Questions!K14,"&amp;","&amp;amp;"),"&lt;","&amp;lt;"),"&gt;","&amp;gt;"),CHAR(34),"&amp;quot;"),"'","&amp;apos;"))</f>
        <v/>
      </c>
      <c r="S14" s="2" t="str">
        <f>IF(Saisie_Questions!L14="","",SUBSTITUTE(SUBSTITUTE(SUBSTITUTE(SUBSTITUTE(SUBSTITUTE(Saisie_Questions!L14,"&amp;","&amp;amp;"),"&lt;","&amp;lt;"),"&gt;","&amp;gt;"),CHAR(34),"&amp;quot;"),"'","&amp;apos;"))</f>
        <v/>
      </c>
      <c r="T14" s="2" t="b">
        <f t="shared" si="2"/>
        <v>0</v>
      </c>
      <c r="U14" s="2" t="b">
        <f t="shared" si="3"/>
        <v>0</v>
      </c>
      <c r="V14" s="2" t="b">
        <f t="shared" si="4"/>
        <v>0</v>
      </c>
      <c r="W14" s="2" t="b">
        <f t="shared" si="5"/>
        <v>0</v>
      </c>
      <c r="X14" s="2" t="b">
        <f t="shared" si="6"/>
        <v>0</v>
      </c>
      <c r="Y14" s="2" t="b">
        <f t="shared" si="7"/>
        <v>0</v>
      </c>
      <c r="Z14" s="2" t="b">
        <f t="shared" si="8"/>
        <v>0</v>
      </c>
      <c r="AA14" s="2" t="b">
        <f t="shared" si="9"/>
        <v>0</v>
      </c>
      <c r="AB14" s="2" t="str">
        <f t="shared" si="10"/>
        <v/>
      </c>
      <c r="AC14" s="2" t="str">
        <f t="shared" si="11"/>
        <v/>
      </c>
      <c r="AD14" s="2" t="str">
        <f t="shared" si="12"/>
        <v/>
      </c>
      <c r="AE14" s="2" t="str">
        <f t="shared" si="13"/>
        <v/>
      </c>
      <c r="AF14" s="2" t="str">
        <f t="shared" si="14"/>
        <v/>
      </c>
      <c r="AG14" s="2" t="str">
        <f t="shared" si="15"/>
        <v/>
      </c>
      <c r="AH14" s="2" t="str">
        <f t="shared" si="16"/>
        <v/>
      </c>
      <c r="AI14" s="2" t="str">
        <f t="shared" si="17"/>
        <v/>
      </c>
      <c r="AJ14" s="2" t="str">
        <f>IF($B14,IF(L14="","",IF($C14="qcu",IF(T14,"      &lt;respcondition continue=""Yes""&gt;&lt;conditionvar&gt;&lt;varequal respident=""RESPONSE""&gt;0&lt;/varequal&gt;&lt;/conditionvar&gt;&lt;setvar action=""Add""&gt;"&amp;$H14&amp;"&lt;/setvar&gt;&lt;/respcondition&gt;",""),IF(T14,"      &lt;respcondition continue=""Yes""&gt;&lt;conditionvar&gt;&lt;varequal respident=""RESPONSE""&gt;0&lt;/varequal&gt;&lt;/conditionvar&gt;&lt;setvar action=""Add""&gt;"&amp;(Saisie_Questions!$N14/$I14)&amp;"&lt;/setvar&gt;&lt;/respcondition&gt;","      &lt;respcondition continue=""Yes""&gt;&lt;conditionvar&gt;&lt;not&gt;&lt;varequal respident=""RESPONSE""&gt;0&lt;/varequal&gt;&lt;/not&gt;&lt;/conditionvar&gt;&lt;setvar action=""Add""&gt;"&amp;(Saisie_Questions!$N14/$I14)&amp;"&lt;/setvar&gt;&lt;/respcondition&gt;"))),"")</f>
        <v/>
      </c>
      <c r="AK14" s="2" t="str">
        <f>IF($B14,IF(M14="","",IF($C14="qcu",IF(U14,"      &lt;respcondition continue=""Yes""&gt;&lt;conditionvar&gt;&lt;varequal respident=""RESPONSE""&gt;1&lt;/varequal&gt;&lt;/conditionvar&gt;&lt;setvar action=""Add""&gt;"&amp;$H14&amp;"&lt;/setvar&gt;&lt;/respcondition&gt;",""),IF(U14,"      &lt;respcondition continue=""Yes""&gt;&lt;conditionvar&gt;&lt;varequal respident=""RESPONSE""&gt;1&lt;/varequal&gt;&lt;/conditionvar&gt;&lt;setvar action=""Add""&gt;"&amp;(Saisie_Questions!$N14/$I14)&amp;"&lt;/setvar&gt;&lt;/respcondition&gt;","      &lt;respcondition continue=""Yes""&gt;&lt;conditionvar&gt;&lt;not&gt;&lt;varequal respident=""RESPONSE""&gt;1&lt;/varequal&gt;&lt;/not&gt;&lt;/conditionvar&gt;&lt;setvar action=""Add""&gt;"&amp;(Saisie_Questions!$N14/$I14)&amp;"&lt;/setvar&gt;&lt;/respcondition&gt;"))),"")</f>
        <v/>
      </c>
      <c r="AL14" s="2" t="str">
        <f>IF($B14,IF(N14="","",IF($C14="qcu",IF(V14,"      &lt;respcondition continue=""Yes""&gt;&lt;conditionvar&gt;&lt;varequal respident=""RESPONSE""&gt;2&lt;/varequal&gt;&lt;/conditionvar&gt;&lt;setvar action=""Add""&gt;"&amp;$H14&amp;"&lt;/setvar&gt;&lt;/respcondition&gt;",""),IF(V14,"      &lt;respcondition continue=""Yes""&gt;&lt;conditionvar&gt;&lt;varequal respident=""RESPONSE""&gt;2&lt;/varequal&gt;&lt;/conditionvar&gt;&lt;setvar action=""Add""&gt;"&amp;(Saisie_Questions!$N14/$I14)&amp;"&lt;/setvar&gt;&lt;/respcondition&gt;","      &lt;respcondition continue=""Yes""&gt;&lt;conditionvar&gt;&lt;not&gt;&lt;varequal respident=""RESPONSE""&gt;2&lt;/varequal&gt;&lt;/not&gt;&lt;/conditionvar&gt;&lt;setvar action=""Add""&gt;"&amp;(Saisie_Questions!$N14/$I14)&amp;"&lt;/setvar&gt;&lt;/respcondition&gt;"))),"")</f>
        <v/>
      </c>
      <c r="AM14" s="2" t="str">
        <f>IF($B14,IF(O14="","",IF($C14="qcu",IF(W14,"      &lt;respcondition continue=""Yes""&gt;&lt;conditionvar&gt;&lt;varequal respident=""RESPONSE""&gt;3&lt;/varequal&gt;&lt;/conditionvar&gt;&lt;setvar action=""Add""&gt;"&amp;$H14&amp;"&lt;/setvar&gt;&lt;/respcondition&gt;",""),IF(W14,"      &lt;respcondition continue=""Yes""&gt;&lt;conditionvar&gt;&lt;varequal respident=""RESPONSE""&gt;3&lt;/varequal&gt;&lt;/conditionvar&gt;&lt;setvar action=""Add""&gt;"&amp;(Saisie_Questions!$N14/$I14)&amp;"&lt;/setvar&gt;&lt;/respcondition&gt;","      &lt;respcondition continue=""Yes""&gt;&lt;conditionvar&gt;&lt;not&gt;&lt;varequal respident=""RESPONSE""&gt;3&lt;/varequal&gt;&lt;/not&gt;&lt;/conditionvar&gt;&lt;setvar action=""Add""&gt;"&amp;(Saisie_Questions!$N14/$I14)&amp;"&lt;/setvar&gt;&lt;/respcondition&gt;"))),"")</f>
        <v/>
      </c>
      <c r="AN14" s="2" t="str">
        <f>IF($B14,IF(P14="","",IF($C14="qcu",IF(X14,"      &lt;respcondition continue=""Yes""&gt;&lt;conditionvar&gt;&lt;varequal respident=""RESPONSE""&gt;4&lt;/varequal&gt;&lt;/conditionvar&gt;&lt;setvar action=""Add""&gt;"&amp;$H14&amp;"&lt;/setvar&gt;&lt;/respcondition&gt;",""),IF(X14,"      &lt;respcondition continue=""Yes""&gt;&lt;conditionvar&gt;&lt;varequal respident=""RESPONSE""&gt;4&lt;/varequal&gt;&lt;/conditionvar&gt;&lt;setvar action=""Add""&gt;"&amp;(Saisie_Questions!$N14/$I14)&amp;"&lt;/setvar&gt;&lt;/respcondition&gt;","      &lt;respcondition continue=""Yes""&gt;&lt;conditionvar&gt;&lt;not&gt;&lt;varequal respident=""RESPONSE""&gt;4&lt;/varequal&gt;&lt;/not&gt;&lt;/conditionvar&gt;&lt;setvar action=""Add""&gt;"&amp;(Saisie_Questions!$N14/$I14)&amp;"&lt;/setvar&gt;&lt;/respcondition&gt;"))),"")</f>
        <v/>
      </c>
      <c r="AO14" s="2" t="str">
        <f>IF($B14,IF(Q14="","",IF($C14="qcu",IF(Y14,"      &lt;respcondition continue=""Yes""&gt;&lt;conditionvar&gt;&lt;varequal respident=""RESPONSE""&gt;5&lt;/varequal&gt;&lt;/conditionvar&gt;&lt;setvar action=""Add""&gt;"&amp;$H14&amp;"&lt;/setvar&gt;&lt;/respcondition&gt;",""),IF(Y14,"      &lt;respcondition continue=""Yes""&gt;&lt;conditionvar&gt;&lt;varequal respident=""RESPONSE""&gt;5&lt;/varequal&gt;&lt;/conditionvar&gt;&lt;setvar action=""Add""&gt;"&amp;(Saisie_Questions!$N14/$I14)&amp;"&lt;/setvar&gt;&lt;/respcondition&gt;","      &lt;respcondition continue=""Yes""&gt;&lt;conditionvar&gt;&lt;not&gt;&lt;varequal respident=""RESPONSE""&gt;5&lt;/varequal&gt;&lt;/not&gt;&lt;/conditionvar&gt;&lt;setvar action=""Add""&gt;"&amp;(Saisie_Questions!$N14/$I14)&amp;"&lt;/setvar&gt;&lt;/respcondition&gt;"))),"")</f>
        <v/>
      </c>
      <c r="AP14" s="2" t="str">
        <f>IF($B14,IF(R14="","",IF($C14="qcu",IF(Z14,"      &lt;respcondition continue=""Yes""&gt;&lt;conditionvar&gt;&lt;varequal respident=""RESPONSE""&gt;6&lt;/varequal&gt;&lt;/conditionvar&gt;&lt;setvar action=""Add""&gt;"&amp;$H14&amp;"&lt;/setvar&gt;&lt;/respcondition&gt;",""),IF(Z14,"      &lt;respcondition continue=""Yes""&gt;&lt;conditionvar&gt;&lt;varequal respident=""RESPONSE""&gt;6&lt;/varequal&gt;&lt;/conditionvar&gt;&lt;setvar action=""Add""&gt;"&amp;(Saisie_Questions!$N14/$I14)&amp;"&lt;/setvar&gt;&lt;/respcondition&gt;","      &lt;respcondition continue=""Yes""&gt;&lt;conditionvar&gt;&lt;not&gt;&lt;varequal respident=""RESPONSE""&gt;6&lt;/varequal&gt;&lt;/not&gt;&lt;/conditionvar&gt;&lt;setvar action=""Add""&gt;"&amp;(Saisie_Questions!$N14/$I14)&amp;"&lt;/setvar&gt;&lt;/respcondition&gt;"))),"")</f>
        <v/>
      </c>
      <c r="AQ14" s="2" t="str">
        <f>IF($B14,IF(S14="","",IF($C14="qcu",IF(AA14,"      &lt;respcondition continue=""Yes""&gt;&lt;conditionvar&gt;&lt;varequal respident=""RESPONSE""&gt;7&lt;/varequal&gt;&lt;/conditionvar&gt;&lt;setvar action=""Add""&gt;"&amp;$H14&amp;"&lt;/setvar&gt;&lt;/respcondition&gt;",""),IF(AA14,"      &lt;respcondition continue=""Yes""&gt;&lt;conditionvar&gt;&lt;varequal respident=""RESPONSE""&gt;7&lt;/varequal&gt;&lt;/conditionvar&gt;&lt;setvar action=""Add""&gt;"&amp;(Saisie_Questions!$N14/$I14)&amp;"&lt;/setvar&gt;&lt;/respcondition&gt;","      &lt;respcondition continue=""Yes""&gt;&lt;conditionvar&gt;&lt;not&gt;&lt;varequal respident=""RESPONSE""&gt;7&lt;/varequal&gt;&lt;/not&gt;&lt;/conditionvar&gt;&lt;setvar action=""Add""&gt;"&amp;(Saisie_Questions!$N14/$I14)&amp;"&lt;/setvar&gt;&lt;/respcondition&gt;"))),"")</f>
        <v/>
      </c>
    </row>
    <row r="15" spans="1:43" ht="18" customHeight="1">
      <c r="A15" s="2" t="str">
        <f>Saisie_Questions!A15</f>
        <v/>
      </c>
      <c r="B15" s="2" t="b">
        <f>Saisie_Questions!O15="OK"</f>
        <v>0</v>
      </c>
      <c r="C15" s="2" t="str">
        <f>LOWER(TRIM(Saisie_Questions!B15))</f>
        <v/>
      </c>
      <c r="D15" s="2" t="str">
        <f t="shared" si="0"/>
        <v>MULTIPLE CHOICE QUESTION</v>
      </c>
      <c r="E15" s="2" t="str">
        <f t="shared" si="1"/>
        <v>Multiple</v>
      </c>
      <c r="F15" s="2" t="str">
        <f>IF(A15="","",SUBSTITUTE(SUBSTITUTE(SUBSTITUTE(SUBSTITUTE(SUBSTITUTE(IF(Saisie_Questions!C15="", "Question "&amp;A15, Saisie_Questions!C15),"&amp;","&amp;amp;"),"&lt;","&amp;lt;"),"&gt;","&amp;gt;"),CHAR(34),"&amp;quot;"),"'","&amp;apos;"))</f>
        <v/>
      </c>
      <c r="G15" s="2" t="str">
        <f>IF(A15="","",SUBSTITUTE(SUBSTITUTE(SUBSTITUTE(SUBSTITUTE(SUBSTITUTE(Saisie_Questions!D15,"&amp;","&amp;amp;"),"&lt;","&amp;lt;"),"&gt;","&amp;gt;"),CHAR(34),"&amp;quot;"),"'","&amp;apos;"))</f>
        <v/>
      </c>
      <c r="H15" s="2">
        <f>Saisie_Questions!N15</f>
        <v>0</v>
      </c>
      <c r="I15" s="2">
        <f>IF(Saisie_Questions!E15="",0,1)+IF(Saisie_Questions!F15="",0,1)+IF(Saisie_Questions!G15="",0,1)+IF(Saisie_Questions!H15="",0,1)+IF(Saisie_Questions!I15="",0,1)+IF(Saisie_Questions!J15="",0,1)+IF(Saisie_Questions!K15="",0,1)+IF(Saisie_Questions!L15="",0,1)</f>
        <v>0</v>
      </c>
      <c r="J15" s="2">
        <f>Saisie_Questions!M15</f>
        <v>0</v>
      </c>
      <c r="K15" s="2" t="str">
        <f>Saisie_Questions!O15</f>
        <v/>
      </c>
      <c r="L15" s="2" t="str">
        <f>IF(Saisie_Questions!E15="","",SUBSTITUTE(SUBSTITUTE(SUBSTITUTE(SUBSTITUTE(SUBSTITUTE(Saisie_Questions!E15,"&amp;","&amp;amp;"),"&lt;","&amp;lt;"),"&gt;","&amp;gt;"),CHAR(34),"&amp;quot;"),"'","&amp;apos;"))</f>
        <v/>
      </c>
      <c r="M15" s="2" t="str">
        <f>IF(Saisie_Questions!F15="","",SUBSTITUTE(SUBSTITUTE(SUBSTITUTE(SUBSTITUTE(SUBSTITUTE(Saisie_Questions!F15,"&amp;","&amp;amp;"),"&lt;","&amp;lt;"),"&gt;","&amp;gt;"),CHAR(34),"&amp;quot;"),"'","&amp;apos;"))</f>
        <v/>
      </c>
      <c r="N15" s="2" t="str">
        <f>IF(Saisie_Questions!G15="","",SUBSTITUTE(SUBSTITUTE(SUBSTITUTE(SUBSTITUTE(SUBSTITUTE(Saisie_Questions!G15,"&amp;","&amp;amp;"),"&lt;","&amp;lt;"),"&gt;","&amp;gt;"),CHAR(34),"&amp;quot;"),"'","&amp;apos;"))</f>
        <v/>
      </c>
      <c r="O15" s="2" t="str">
        <f>IF(Saisie_Questions!H15="","",SUBSTITUTE(SUBSTITUTE(SUBSTITUTE(SUBSTITUTE(SUBSTITUTE(Saisie_Questions!H15,"&amp;","&amp;amp;"),"&lt;","&amp;lt;"),"&gt;","&amp;gt;"),CHAR(34),"&amp;quot;"),"'","&amp;apos;"))</f>
        <v/>
      </c>
      <c r="P15" s="2" t="str">
        <f>IF(Saisie_Questions!I15="","",SUBSTITUTE(SUBSTITUTE(SUBSTITUTE(SUBSTITUTE(SUBSTITUTE(Saisie_Questions!I15,"&amp;","&amp;amp;"),"&lt;","&amp;lt;"),"&gt;","&amp;gt;"),CHAR(34),"&amp;quot;"),"'","&amp;apos;"))</f>
        <v/>
      </c>
      <c r="Q15" s="2" t="str">
        <f>IF(Saisie_Questions!J15="","",SUBSTITUTE(SUBSTITUTE(SUBSTITUTE(SUBSTITUTE(SUBSTITUTE(Saisie_Questions!J15,"&amp;","&amp;amp;"),"&lt;","&amp;lt;"),"&gt;","&amp;gt;"),CHAR(34),"&amp;quot;"),"'","&amp;apos;"))</f>
        <v/>
      </c>
      <c r="R15" s="2" t="str">
        <f>IF(Saisie_Questions!K15="","",SUBSTITUTE(SUBSTITUTE(SUBSTITUTE(SUBSTITUTE(SUBSTITUTE(Saisie_Questions!K15,"&amp;","&amp;amp;"),"&lt;","&amp;lt;"),"&gt;","&amp;gt;"),CHAR(34),"&amp;quot;"),"'","&amp;apos;"))</f>
        <v/>
      </c>
      <c r="S15" s="2" t="str">
        <f>IF(Saisie_Questions!L15="","",SUBSTITUTE(SUBSTITUTE(SUBSTITUTE(SUBSTITUTE(SUBSTITUTE(Saisie_Questions!L15,"&amp;","&amp;amp;"),"&lt;","&amp;lt;"),"&gt;","&amp;gt;"),CHAR(34),"&amp;quot;"),"'","&amp;apos;"))</f>
        <v/>
      </c>
      <c r="T15" s="2" t="b">
        <f t="shared" si="2"/>
        <v>0</v>
      </c>
      <c r="U15" s="2" t="b">
        <f t="shared" si="3"/>
        <v>0</v>
      </c>
      <c r="V15" s="2" t="b">
        <f t="shared" si="4"/>
        <v>0</v>
      </c>
      <c r="W15" s="2" t="b">
        <f t="shared" si="5"/>
        <v>0</v>
      </c>
      <c r="X15" s="2" t="b">
        <f t="shared" si="6"/>
        <v>0</v>
      </c>
      <c r="Y15" s="2" t="b">
        <f t="shared" si="7"/>
        <v>0</v>
      </c>
      <c r="Z15" s="2" t="b">
        <f t="shared" si="8"/>
        <v>0</v>
      </c>
      <c r="AA15" s="2" t="b">
        <f t="shared" si="9"/>
        <v>0</v>
      </c>
      <c r="AB15" s="2" t="str">
        <f t="shared" si="10"/>
        <v/>
      </c>
      <c r="AC15" s="2" t="str">
        <f t="shared" si="11"/>
        <v/>
      </c>
      <c r="AD15" s="2" t="str">
        <f t="shared" si="12"/>
        <v/>
      </c>
      <c r="AE15" s="2" t="str">
        <f t="shared" si="13"/>
        <v/>
      </c>
      <c r="AF15" s="2" t="str">
        <f t="shared" si="14"/>
        <v/>
      </c>
      <c r="AG15" s="2" t="str">
        <f t="shared" si="15"/>
        <v/>
      </c>
      <c r="AH15" s="2" t="str">
        <f t="shared" si="16"/>
        <v/>
      </c>
      <c r="AI15" s="2" t="str">
        <f t="shared" si="17"/>
        <v/>
      </c>
      <c r="AJ15" s="2" t="str">
        <f>IF($B15,IF(L15="","",IF($C15="qcu",IF(T15,"      &lt;respcondition continue=""Yes""&gt;&lt;conditionvar&gt;&lt;varequal respident=""RESPONSE""&gt;0&lt;/varequal&gt;&lt;/conditionvar&gt;&lt;setvar action=""Add""&gt;"&amp;$H15&amp;"&lt;/setvar&gt;&lt;/respcondition&gt;",""),IF(T15,"      &lt;respcondition continue=""Yes""&gt;&lt;conditionvar&gt;&lt;varequal respident=""RESPONSE""&gt;0&lt;/varequal&gt;&lt;/conditionvar&gt;&lt;setvar action=""Add""&gt;"&amp;(Saisie_Questions!$N15/$I15)&amp;"&lt;/setvar&gt;&lt;/respcondition&gt;","      &lt;respcondition continue=""Yes""&gt;&lt;conditionvar&gt;&lt;not&gt;&lt;varequal respident=""RESPONSE""&gt;0&lt;/varequal&gt;&lt;/not&gt;&lt;/conditionvar&gt;&lt;setvar action=""Add""&gt;"&amp;(Saisie_Questions!$N15/$I15)&amp;"&lt;/setvar&gt;&lt;/respcondition&gt;"))),"")</f>
        <v/>
      </c>
      <c r="AK15" s="2" t="str">
        <f>IF($B15,IF(M15="","",IF($C15="qcu",IF(U15,"      &lt;respcondition continue=""Yes""&gt;&lt;conditionvar&gt;&lt;varequal respident=""RESPONSE""&gt;1&lt;/varequal&gt;&lt;/conditionvar&gt;&lt;setvar action=""Add""&gt;"&amp;$H15&amp;"&lt;/setvar&gt;&lt;/respcondition&gt;",""),IF(U15,"      &lt;respcondition continue=""Yes""&gt;&lt;conditionvar&gt;&lt;varequal respident=""RESPONSE""&gt;1&lt;/varequal&gt;&lt;/conditionvar&gt;&lt;setvar action=""Add""&gt;"&amp;(Saisie_Questions!$N15/$I15)&amp;"&lt;/setvar&gt;&lt;/respcondition&gt;","      &lt;respcondition continue=""Yes""&gt;&lt;conditionvar&gt;&lt;not&gt;&lt;varequal respident=""RESPONSE""&gt;1&lt;/varequal&gt;&lt;/not&gt;&lt;/conditionvar&gt;&lt;setvar action=""Add""&gt;"&amp;(Saisie_Questions!$N15/$I15)&amp;"&lt;/setvar&gt;&lt;/respcondition&gt;"))),"")</f>
        <v/>
      </c>
      <c r="AL15" s="2" t="str">
        <f>IF($B15,IF(N15="","",IF($C15="qcu",IF(V15,"      &lt;respcondition continue=""Yes""&gt;&lt;conditionvar&gt;&lt;varequal respident=""RESPONSE""&gt;2&lt;/varequal&gt;&lt;/conditionvar&gt;&lt;setvar action=""Add""&gt;"&amp;$H15&amp;"&lt;/setvar&gt;&lt;/respcondition&gt;",""),IF(V15,"      &lt;respcondition continue=""Yes""&gt;&lt;conditionvar&gt;&lt;varequal respident=""RESPONSE""&gt;2&lt;/varequal&gt;&lt;/conditionvar&gt;&lt;setvar action=""Add""&gt;"&amp;(Saisie_Questions!$N15/$I15)&amp;"&lt;/setvar&gt;&lt;/respcondition&gt;","      &lt;respcondition continue=""Yes""&gt;&lt;conditionvar&gt;&lt;not&gt;&lt;varequal respident=""RESPONSE""&gt;2&lt;/varequal&gt;&lt;/not&gt;&lt;/conditionvar&gt;&lt;setvar action=""Add""&gt;"&amp;(Saisie_Questions!$N15/$I15)&amp;"&lt;/setvar&gt;&lt;/respcondition&gt;"))),"")</f>
        <v/>
      </c>
      <c r="AM15" s="2" t="str">
        <f>IF($B15,IF(O15="","",IF($C15="qcu",IF(W15,"      &lt;respcondition continue=""Yes""&gt;&lt;conditionvar&gt;&lt;varequal respident=""RESPONSE""&gt;3&lt;/varequal&gt;&lt;/conditionvar&gt;&lt;setvar action=""Add""&gt;"&amp;$H15&amp;"&lt;/setvar&gt;&lt;/respcondition&gt;",""),IF(W15,"      &lt;respcondition continue=""Yes""&gt;&lt;conditionvar&gt;&lt;varequal respident=""RESPONSE""&gt;3&lt;/varequal&gt;&lt;/conditionvar&gt;&lt;setvar action=""Add""&gt;"&amp;(Saisie_Questions!$N15/$I15)&amp;"&lt;/setvar&gt;&lt;/respcondition&gt;","      &lt;respcondition continue=""Yes""&gt;&lt;conditionvar&gt;&lt;not&gt;&lt;varequal respident=""RESPONSE""&gt;3&lt;/varequal&gt;&lt;/not&gt;&lt;/conditionvar&gt;&lt;setvar action=""Add""&gt;"&amp;(Saisie_Questions!$N15/$I15)&amp;"&lt;/setvar&gt;&lt;/respcondition&gt;"))),"")</f>
        <v/>
      </c>
      <c r="AN15" s="2" t="str">
        <f>IF($B15,IF(P15="","",IF($C15="qcu",IF(X15,"      &lt;respcondition continue=""Yes""&gt;&lt;conditionvar&gt;&lt;varequal respident=""RESPONSE""&gt;4&lt;/varequal&gt;&lt;/conditionvar&gt;&lt;setvar action=""Add""&gt;"&amp;$H15&amp;"&lt;/setvar&gt;&lt;/respcondition&gt;",""),IF(X15,"      &lt;respcondition continue=""Yes""&gt;&lt;conditionvar&gt;&lt;varequal respident=""RESPONSE""&gt;4&lt;/varequal&gt;&lt;/conditionvar&gt;&lt;setvar action=""Add""&gt;"&amp;(Saisie_Questions!$N15/$I15)&amp;"&lt;/setvar&gt;&lt;/respcondition&gt;","      &lt;respcondition continue=""Yes""&gt;&lt;conditionvar&gt;&lt;not&gt;&lt;varequal respident=""RESPONSE""&gt;4&lt;/varequal&gt;&lt;/not&gt;&lt;/conditionvar&gt;&lt;setvar action=""Add""&gt;"&amp;(Saisie_Questions!$N15/$I15)&amp;"&lt;/setvar&gt;&lt;/respcondition&gt;"))),"")</f>
        <v/>
      </c>
      <c r="AO15" s="2" t="str">
        <f>IF($B15,IF(Q15="","",IF($C15="qcu",IF(Y15,"      &lt;respcondition continue=""Yes""&gt;&lt;conditionvar&gt;&lt;varequal respident=""RESPONSE""&gt;5&lt;/varequal&gt;&lt;/conditionvar&gt;&lt;setvar action=""Add""&gt;"&amp;$H15&amp;"&lt;/setvar&gt;&lt;/respcondition&gt;",""),IF(Y15,"      &lt;respcondition continue=""Yes""&gt;&lt;conditionvar&gt;&lt;varequal respident=""RESPONSE""&gt;5&lt;/varequal&gt;&lt;/conditionvar&gt;&lt;setvar action=""Add""&gt;"&amp;(Saisie_Questions!$N15/$I15)&amp;"&lt;/setvar&gt;&lt;/respcondition&gt;","      &lt;respcondition continue=""Yes""&gt;&lt;conditionvar&gt;&lt;not&gt;&lt;varequal respident=""RESPONSE""&gt;5&lt;/varequal&gt;&lt;/not&gt;&lt;/conditionvar&gt;&lt;setvar action=""Add""&gt;"&amp;(Saisie_Questions!$N15/$I15)&amp;"&lt;/setvar&gt;&lt;/respcondition&gt;"))),"")</f>
        <v/>
      </c>
      <c r="AP15" s="2" t="str">
        <f>IF($B15,IF(R15="","",IF($C15="qcu",IF(Z15,"      &lt;respcondition continue=""Yes""&gt;&lt;conditionvar&gt;&lt;varequal respident=""RESPONSE""&gt;6&lt;/varequal&gt;&lt;/conditionvar&gt;&lt;setvar action=""Add""&gt;"&amp;$H15&amp;"&lt;/setvar&gt;&lt;/respcondition&gt;",""),IF(Z15,"      &lt;respcondition continue=""Yes""&gt;&lt;conditionvar&gt;&lt;varequal respident=""RESPONSE""&gt;6&lt;/varequal&gt;&lt;/conditionvar&gt;&lt;setvar action=""Add""&gt;"&amp;(Saisie_Questions!$N15/$I15)&amp;"&lt;/setvar&gt;&lt;/respcondition&gt;","      &lt;respcondition continue=""Yes""&gt;&lt;conditionvar&gt;&lt;not&gt;&lt;varequal respident=""RESPONSE""&gt;6&lt;/varequal&gt;&lt;/not&gt;&lt;/conditionvar&gt;&lt;setvar action=""Add""&gt;"&amp;(Saisie_Questions!$N15/$I15)&amp;"&lt;/setvar&gt;&lt;/respcondition&gt;"))),"")</f>
        <v/>
      </c>
      <c r="AQ15" s="2" t="str">
        <f>IF($B15,IF(S15="","",IF($C15="qcu",IF(AA15,"      &lt;respcondition continue=""Yes""&gt;&lt;conditionvar&gt;&lt;varequal respident=""RESPONSE""&gt;7&lt;/varequal&gt;&lt;/conditionvar&gt;&lt;setvar action=""Add""&gt;"&amp;$H15&amp;"&lt;/setvar&gt;&lt;/respcondition&gt;",""),IF(AA15,"      &lt;respcondition continue=""Yes""&gt;&lt;conditionvar&gt;&lt;varequal respident=""RESPONSE""&gt;7&lt;/varequal&gt;&lt;/conditionvar&gt;&lt;setvar action=""Add""&gt;"&amp;(Saisie_Questions!$N15/$I15)&amp;"&lt;/setvar&gt;&lt;/respcondition&gt;","      &lt;respcondition continue=""Yes""&gt;&lt;conditionvar&gt;&lt;not&gt;&lt;varequal respident=""RESPONSE""&gt;7&lt;/varequal&gt;&lt;/not&gt;&lt;/conditionvar&gt;&lt;setvar action=""Add""&gt;"&amp;(Saisie_Questions!$N15/$I15)&amp;"&lt;/setvar&gt;&lt;/respcondition&gt;"))),"")</f>
        <v/>
      </c>
    </row>
    <row r="16" spans="1:43" ht="18" customHeight="1">
      <c r="A16" s="2" t="str">
        <f>Saisie_Questions!A16</f>
        <v/>
      </c>
      <c r="B16" s="2" t="b">
        <f>Saisie_Questions!O16="OK"</f>
        <v>0</v>
      </c>
      <c r="C16" s="2" t="str">
        <f>LOWER(TRIM(Saisie_Questions!B16))</f>
        <v/>
      </c>
      <c r="D16" s="2" t="str">
        <f t="shared" si="0"/>
        <v>MULTIPLE CHOICE QUESTION</v>
      </c>
      <c r="E16" s="2" t="str">
        <f t="shared" si="1"/>
        <v>Multiple</v>
      </c>
      <c r="F16" s="2" t="str">
        <f>IF(A16="","",SUBSTITUTE(SUBSTITUTE(SUBSTITUTE(SUBSTITUTE(SUBSTITUTE(IF(Saisie_Questions!C16="", "Question "&amp;A16, Saisie_Questions!C16),"&amp;","&amp;amp;"),"&lt;","&amp;lt;"),"&gt;","&amp;gt;"),CHAR(34),"&amp;quot;"),"'","&amp;apos;"))</f>
        <v/>
      </c>
      <c r="G16" s="2" t="str">
        <f>IF(A16="","",SUBSTITUTE(SUBSTITUTE(SUBSTITUTE(SUBSTITUTE(SUBSTITUTE(Saisie_Questions!D16,"&amp;","&amp;amp;"),"&lt;","&amp;lt;"),"&gt;","&amp;gt;"),CHAR(34),"&amp;quot;"),"'","&amp;apos;"))</f>
        <v/>
      </c>
      <c r="H16" s="2">
        <f>Saisie_Questions!N16</f>
        <v>0</v>
      </c>
      <c r="I16" s="2">
        <f>IF(Saisie_Questions!E16="",0,1)+IF(Saisie_Questions!F16="",0,1)+IF(Saisie_Questions!G16="",0,1)+IF(Saisie_Questions!H16="",0,1)+IF(Saisie_Questions!I16="",0,1)+IF(Saisie_Questions!J16="",0,1)+IF(Saisie_Questions!K16="",0,1)+IF(Saisie_Questions!L16="",0,1)</f>
        <v>0</v>
      </c>
      <c r="J16" s="2">
        <f>Saisie_Questions!M16</f>
        <v>0</v>
      </c>
      <c r="K16" s="2" t="str">
        <f>Saisie_Questions!O16</f>
        <v/>
      </c>
      <c r="L16" s="2" t="str">
        <f>IF(Saisie_Questions!E16="","",SUBSTITUTE(SUBSTITUTE(SUBSTITUTE(SUBSTITUTE(SUBSTITUTE(Saisie_Questions!E16,"&amp;","&amp;amp;"),"&lt;","&amp;lt;"),"&gt;","&amp;gt;"),CHAR(34),"&amp;quot;"),"'","&amp;apos;"))</f>
        <v/>
      </c>
      <c r="M16" s="2" t="str">
        <f>IF(Saisie_Questions!F16="","",SUBSTITUTE(SUBSTITUTE(SUBSTITUTE(SUBSTITUTE(SUBSTITUTE(Saisie_Questions!F16,"&amp;","&amp;amp;"),"&lt;","&amp;lt;"),"&gt;","&amp;gt;"),CHAR(34),"&amp;quot;"),"'","&amp;apos;"))</f>
        <v/>
      </c>
      <c r="N16" s="2" t="str">
        <f>IF(Saisie_Questions!G16="","",SUBSTITUTE(SUBSTITUTE(SUBSTITUTE(SUBSTITUTE(SUBSTITUTE(Saisie_Questions!G16,"&amp;","&amp;amp;"),"&lt;","&amp;lt;"),"&gt;","&amp;gt;"),CHAR(34),"&amp;quot;"),"'","&amp;apos;"))</f>
        <v/>
      </c>
      <c r="O16" s="2" t="str">
        <f>IF(Saisie_Questions!H16="","",SUBSTITUTE(SUBSTITUTE(SUBSTITUTE(SUBSTITUTE(SUBSTITUTE(Saisie_Questions!H16,"&amp;","&amp;amp;"),"&lt;","&amp;lt;"),"&gt;","&amp;gt;"),CHAR(34),"&amp;quot;"),"'","&amp;apos;"))</f>
        <v/>
      </c>
      <c r="P16" s="2" t="str">
        <f>IF(Saisie_Questions!I16="","",SUBSTITUTE(SUBSTITUTE(SUBSTITUTE(SUBSTITUTE(SUBSTITUTE(Saisie_Questions!I16,"&amp;","&amp;amp;"),"&lt;","&amp;lt;"),"&gt;","&amp;gt;"),CHAR(34),"&amp;quot;"),"'","&amp;apos;"))</f>
        <v/>
      </c>
      <c r="Q16" s="2" t="str">
        <f>IF(Saisie_Questions!J16="","",SUBSTITUTE(SUBSTITUTE(SUBSTITUTE(SUBSTITUTE(SUBSTITUTE(Saisie_Questions!J16,"&amp;","&amp;amp;"),"&lt;","&amp;lt;"),"&gt;","&amp;gt;"),CHAR(34),"&amp;quot;"),"'","&amp;apos;"))</f>
        <v/>
      </c>
      <c r="R16" s="2" t="str">
        <f>IF(Saisie_Questions!K16="","",SUBSTITUTE(SUBSTITUTE(SUBSTITUTE(SUBSTITUTE(SUBSTITUTE(Saisie_Questions!K16,"&amp;","&amp;amp;"),"&lt;","&amp;lt;"),"&gt;","&amp;gt;"),CHAR(34),"&amp;quot;"),"'","&amp;apos;"))</f>
        <v/>
      </c>
      <c r="S16" s="2" t="str">
        <f>IF(Saisie_Questions!L16="","",SUBSTITUTE(SUBSTITUTE(SUBSTITUTE(SUBSTITUTE(SUBSTITUTE(Saisie_Questions!L16,"&amp;","&amp;amp;"),"&lt;","&amp;lt;"),"&gt;","&amp;gt;"),CHAR(34),"&amp;quot;"),"'","&amp;apos;"))</f>
        <v/>
      </c>
      <c r="T16" s="2" t="b">
        <f t="shared" si="2"/>
        <v>0</v>
      </c>
      <c r="U16" s="2" t="b">
        <f t="shared" si="3"/>
        <v>0</v>
      </c>
      <c r="V16" s="2" t="b">
        <f t="shared" si="4"/>
        <v>0</v>
      </c>
      <c r="W16" s="2" t="b">
        <f t="shared" si="5"/>
        <v>0</v>
      </c>
      <c r="X16" s="2" t="b">
        <f t="shared" si="6"/>
        <v>0</v>
      </c>
      <c r="Y16" s="2" t="b">
        <f t="shared" si="7"/>
        <v>0</v>
      </c>
      <c r="Z16" s="2" t="b">
        <f t="shared" si="8"/>
        <v>0</v>
      </c>
      <c r="AA16" s="2" t="b">
        <f t="shared" si="9"/>
        <v>0</v>
      </c>
      <c r="AB16" s="2" t="str">
        <f t="shared" si="10"/>
        <v/>
      </c>
      <c r="AC16" s="2" t="str">
        <f t="shared" si="11"/>
        <v/>
      </c>
      <c r="AD16" s="2" t="str">
        <f t="shared" si="12"/>
        <v/>
      </c>
      <c r="AE16" s="2" t="str">
        <f t="shared" si="13"/>
        <v/>
      </c>
      <c r="AF16" s="2" t="str">
        <f t="shared" si="14"/>
        <v/>
      </c>
      <c r="AG16" s="2" t="str">
        <f t="shared" si="15"/>
        <v/>
      </c>
      <c r="AH16" s="2" t="str">
        <f t="shared" si="16"/>
        <v/>
      </c>
      <c r="AI16" s="2" t="str">
        <f t="shared" si="17"/>
        <v/>
      </c>
      <c r="AJ16" s="2" t="str">
        <f>IF($B16,IF(L16="","",IF($C16="qcu",IF(T16,"      &lt;respcondition continue=""Yes""&gt;&lt;conditionvar&gt;&lt;varequal respident=""RESPONSE""&gt;0&lt;/varequal&gt;&lt;/conditionvar&gt;&lt;setvar action=""Add""&gt;"&amp;$H16&amp;"&lt;/setvar&gt;&lt;/respcondition&gt;",""),IF(T16,"      &lt;respcondition continue=""Yes""&gt;&lt;conditionvar&gt;&lt;varequal respident=""RESPONSE""&gt;0&lt;/varequal&gt;&lt;/conditionvar&gt;&lt;setvar action=""Add""&gt;"&amp;(Saisie_Questions!$N16/$I16)&amp;"&lt;/setvar&gt;&lt;/respcondition&gt;","      &lt;respcondition continue=""Yes""&gt;&lt;conditionvar&gt;&lt;not&gt;&lt;varequal respident=""RESPONSE""&gt;0&lt;/varequal&gt;&lt;/not&gt;&lt;/conditionvar&gt;&lt;setvar action=""Add""&gt;"&amp;(Saisie_Questions!$N16/$I16)&amp;"&lt;/setvar&gt;&lt;/respcondition&gt;"))),"")</f>
        <v/>
      </c>
      <c r="AK16" s="2" t="str">
        <f>IF($B16,IF(M16="","",IF($C16="qcu",IF(U16,"      &lt;respcondition continue=""Yes""&gt;&lt;conditionvar&gt;&lt;varequal respident=""RESPONSE""&gt;1&lt;/varequal&gt;&lt;/conditionvar&gt;&lt;setvar action=""Add""&gt;"&amp;$H16&amp;"&lt;/setvar&gt;&lt;/respcondition&gt;",""),IF(U16,"      &lt;respcondition continue=""Yes""&gt;&lt;conditionvar&gt;&lt;varequal respident=""RESPONSE""&gt;1&lt;/varequal&gt;&lt;/conditionvar&gt;&lt;setvar action=""Add""&gt;"&amp;(Saisie_Questions!$N16/$I16)&amp;"&lt;/setvar&gt;&lt;/respcondition&gt;","      &lt;respcondition continue=""Yes""&gt;&lt;conditionvar&gt;&lt;not&gt;&lt;varequal respident=""RESPONSE""&gt;1&lt;/varequal&gt;&lt;/not&gt;&lt;/conditionvar&gt;&lt;setvar action=""Add""&gt;"&amp;(Saisie_Questions!$N16/$I16)&amp;"&lt;/setvar&gt;&lt;/respcondition&gt;"))),"")</f>
        <v/>
      </c>
      <c r="AL16" s="2" t="str">
        <f>IF($B16,IF(N16="","",IF($C16="qcu",IF(V16,"      &lt;respcondition continue=""Yes""&gt;&lt;conditionvar&gt;&lt;varequal respident=""RESPONSE""&gt;2&lt;/varequal&gt;&lt;/conditionvar&gt;&lt;setvar action=""Add""&gt;"&amp;$H16&amp;"&lt;/setvar&gt;&lt;/respcondition&gt;",""),IF(V16,"      &lt;respcondition continue=""Yes""&gt;&lt;conditionvar&gt;&lt;varequal respident=""RESPONSE""&gt;2&lt;/varequal&gt;&lt;/conditionvar&gt;&lt;setvar action=""Add""&gt;"&amp;(Saisie_Questions!$N16/$I16)&amp;"&lt;/setvar&gt;&lt;/respcondition&gt;","      &lt;respcondition continue=""Yes""&gt;&lt;conditionvar&gt;&lt;not&gt;&lt;varequal respident=""RESPONSE""&gt;2&lt;/varequal&gt;&lt;/not&gt;&lt;/conditionvar&gt;&lt;setvar action=""Add""&gt;"&amp;(Saisie_Questions!$N16/$I16)&amp;"&lt;/setvar&gt;&lt;/respcondition&gt;"))),"")</f>
        <v/>
      </c>
      <c r="AM16" s="2" t="str">
        <f>IF($B16,IF(O16="","",IF($C16="qcu",IF(W16,"      &lt;respcondition continue=""Yes""&gt;&lt;conditionvar&gt;&lt;varequal respident=""RESPONSE""&gt;3&lt;/varequal&gt;&lt;/conditionvar&gt;&lt;setvar action=""Add""&gt;"&amp;$H16&amp;"&lt;/setvar&gt;&lt;/respcondition&gt;",""),IF(W16,"      &lt;respcondition continue=""Yes""&gt;&lt;conditionvar&gt;&lt;varequal respident=""RESPONSE""&gt;3&lt;/varequal&gt;&lt;/conditionvar&gt;&lt;setvar action=""Add""&gt;"&amp;(Saisie_Questions!$N16/$I16)&amp;"&lt;/setvar&gt;&lt;/respcondition&gt;","      &lt;respcondition continue=""Yes""&gt;&lt;conditionvar&gt;&lt;not&gt;&lt;varequal respident=""RESPONSE""&gt;3&lt;/varequal&gt;&lt;/not&gt;&lt;/conditionvar&gt;&lt;setvar action=""Add""&gt;"&amp;(Saisie_Questions!$N16/$I16)&amp;"&lt;/setvar&gt;&lt;/respcondition&gt;"))),"")</f>
        <v/>
      </c>
      <c r="AN16" s="2" t="str">
        <f>IF($B16,IF(P16="","",IF($C16="qcu",IF(X16,"      &lt;respcondition continue=""Yes""&gt;&lt;conditionvar&gt;&lt;varequal respident=""RESPONSE""&gt;4&lt;/varequal&gt;&lt;/conditionvar&gt;&lt;setvar action=""Add""&gt;"&amp;$H16&amp;"&lt;/setvar&gt;&lt;/respcondition&gt;",""),IF(X16,"      &lt;respcondition continue=""Yes""&gt;&lt;conditionvar&gt;&lt;varequal respident=""RESPONSE""&gt;4&lt;/varequal&gt;&lt;/conditionvar&gt;&lt;setvar action=""Add""&gt;"&amp;(Saisie_Questions!$N16/$I16)&amp;"&lt;/setvar&gt;&lt;/respcondition&gt;","      &lt;respcondition continue=""Yes""&gt;&lt;conditionvar&gt;&lt;not&gt;&lt;varequal respident=""RESPONSE""&gt;4&lt;/varequal&gt;&lt;/not&gt;&lt;/conditionvar&gt;&lt;setvar action=""Add""&gt;"&amp;(Saisie_Questions!$N16/$I16)&amp;"&lt;/setvar&gt;&lt;/respcondition&gt;"))),"")</f>
        <v/>
      </c>
      <c r="AO16" s="2" t="str">
        <f>IF($B16,IF(Q16="","",IF($C16="qcu",IF(Y16,"      &lt;respcondition continue=""Yes""&gt;&lt;conditionvar&gt;&lt;varequal respident=""RESPONSE""&gt;5&lt;/varequal&gt;&lt;/conditionvar&gt;&lt;setvar action=""Add""&gt;"&amp;$H16&amp;"&lt;/setvar&gt;&lt;/respcondition&gt;",""),IF(Y16,"      &lt;respcondition continue=""Yes""&gt;&lt;conditionvar&gt;&lt;varequal respident=""RESPONSE""&gt;5&lt;/varequal&gt;&lt;/conditionvar&gt;&lt;setvar action=""Add""&gt;"&amp;(Saisie_Questions!$N16/$I16)&amp;"&lt;/setvar&gt;&lt;/respcondition&gt;","      &lt;respcondition continue=""Yes""&gt;&lt;conditionvar&gt;&lt;not&gt;&lt;varequal respident=""RESPONSE""&gt;5&lt;/varequal&gt;&lt;/not&gt;&lt;/conditionvar&gt;&lt;setvar action=""Add""&gt;"&amp;(Saisie_Questions!$N16/$I16)&amp;"&lt;/setvar&gt;&lt;/respcondition&gt;"))),"")</f>
        <v/>
      </c>
      <c r="AP16" s="2" t="str">
        <f>IF($B16,IF(R16="","",IF($C16="qcu",IF(Z16,"      &lt;respcondition continue=""Yes""&gt;&lt;conditionvar&gt;&lt;varequal respident=""RESPONSE""&gt;6&lt;/varequal&gt;&lt;/conditionvar&gt;&lt;setvar action=""Add""&gt;"&amp;$H16&amp;"&lt;/setvar&gt;&lt;/respcondition&gt;",""),IF(Z16,"      &lt;respcondition continue=""Yes""&gt;&lt;conditionvar&gt;&lt;varequal respident=""RESPONSE""&gt;6&lt;/varequal&gt;&lt;/conditionvar&gt;&lt;setvar action=""Add""&gt;"&amp;(Saisie_Questions!$N16/$I16)&amp;"&lt;/setvar&gt;&lt;/respcondition&gt;","      &lt;respcondition continue=""Yes""&gt;&lt;conditionvar&gt;&lt;not&gt;&lt;varequal respident=""RESPONSE""&gt;6&lt;/varequal&gt;&lt;/not&gt;&lt;/conditionvar&gt;&lt;setvar action=""Add""&gt;"&amp;(Saisie_Questions!$N16/$I16)&amp;"&lt;/setvar&gt;&lt;/respcondition&gt;"))),"")</f>
        <v/>
      </c>
      <c r="AQ16" s="2" t="str">
        <f>IF($B16,IF(S16="","",IF($C16="qcu",IF(AA16,"      &lt;respcondition continue=""Yes""&gt;&lt;conditionvar&gt;&lt;varequal respident=""RESPONSE""&gt;7&lt;/varequal&gt;&lt;/conditionvar&gt;&lt;setvar action=""Add""&gt;"&amp;$H16&amp;"&lt;/setvar&gt;&lt;/respcondition&gt;",""),IF(AA16,"      &lt;respcondition continue=""Yes""&gt;&lt;conditionvar&gt;&lt;varequal respident=""RESPONSE""&gt;7&lt;/varequal&gt;&lt;/conditionvar&gt;&lt;setvar action=""Add""&gt;"&amp;(Saisie_Questions!$N16/$I16)&amp;"&lt;/setvar&gt;&lt;/respcondition&gt;","      &lt;respcondition continue=""Yes""&gt;&lt;conditionvar&gt;&lt;not&gt;&lt;varequal respident=""RESPONSE""&gt;7&lt;/varequal&gt;&lt;/not&gt;&lt;/conditionvar&gt;&lt;setvar action=""Add""&gt;"&amp;(Saisie_Questions!$N16/$I16)&amp;"&lt;/setvar&gt;&lt;/respcondition&gt;"))),"")</f>
        <v/>
      </c>
    </row>
    <row r="17" spans="1:43" ht="18" customHeight="1">
      <c r="A17" s="2" t="str">
        <f>Saisie_Questions!A17</f>
        <v/>
      </c>
      <c r="B17" s="2" t="b">
        <f>Saisie_Questions!O17="OK"</f>
        <v>0</v>
      </c>
      <c r="C17" s="2" t="str">
        <f>LOWER(TRIM(Saisie_Questions!B17))</f>
        <v/>
      </c>
      <c r="D17" s="2" t="str">
        <f t="shared" si="0"/>
        <v>MULTIPLE CHOICE QUESTION</v>
      </c>
      <c r="E17" s="2" t="str">
        <f t="shared" si="1"/>
        <v>Multiple</v>
      </c>
      <c r="F17" s="2" t="str">
        <f>IF(A17="","",SUBSTITUTE(SUBSTITUTE(SUBSTITUTE(SUBSTITUTE(SUBSTITUTE(IF(Saisie_Questions!C17="", "Question "&amp;A17, Saisie_Questions!C17),"&amp;","&amp;amp;"),"&lt;","&amp;lt;"),"&gt;","&amp;gt;"),CHAR(34),"&amp;quot;"),"'","&amp;apos;"))</f>
        <v/>
      </c>
      <c r="G17" s="2" t="str">
        <f>IF(A17="","",SUBSTITUTE(SUBSTITUTE(SUBSTITUTE(SUBSTITUTE(SUBSTITUTE(Saisie_Questions!D17,"&amp;","&amp;amp;"),"&lt;","&amp;lt;"),"&gt;","&amp;gt;"),CHAR(34),"&amp;quot;"),"'","&amp;apos;"))</f>
        <v/>
      </c>
      <c r="H17" s="2">
        <f>Saisie_Questions!N17</f>
        <v>0</v>
      </c>
      <c r="I17" s="2">
        <f>IF(Saisie_Questions!E17="",0,1)+IF(Saisie_Questions!F17="",0,1)+IF(Saisie_Questions!G17="",0,1)+IF(Saisie_Questions!H17="",0,1)+IF(Saisie_Questions!I17="",0,1)+IF(Saisie_Questions!J17="",0,1)+IF(Saisie_Questions!K17="",0,1)+IF(Saisie_Questions!L17="",0,1)</f>
        <v>0</v>
      </c>
      <c r="J17" s="2">
        <f>Saisie_Questions!M17</f>
        <v>0</v>
      </c>
      <c r="K17" s="2" t="str">
        <f>Saisie_Questions!O17</f>
        <v/>
      </c>
      <c r="L17" s="2" t="str">
        <f>IF(Saisie_Questions!E17="","",SUBSTITUTE(SUBSTITUTE(SUBSTITUTE(SUBSTITUTE(SUBSTITUTE(Saisie_Questions!E17,"&amp;","&amp;amp;"),"&lt;","&amp;lt;"),"&gt;","&amp;gt;"),CHAR(34),"&amp;quot;"),"'","&amp;apos;"))</f>
        <v/>
      </c>
      <c r="M17" s="2" t="str">
        <f>IF(Saisie_Questions!F17="","",SUBSTITUTE(SUBSTITUTE(SUBSTITUTE(SUBSTITUTE(SUBSTITUTE(Saisie_Questions!F17,"&amp;","&amp;amp;"),"&lt;","&amp;lt;"),"&gt;","&amp;gt;"),CHAR(34),"&amp;quot;"),"'","&amp;apos;"))</f>
        <v/>
      </c>
      <c r="N17" s="2" t="str">
        <f>IF(Saisie_Questions!G17="","",SUBSTITUTE(SUBSTITUTE(SUBSTITUTE(SUBSTITUTE(SUBSTITUTE(Saisie_Questions!G17,"&amp;","&amp;amp;"),"&lt;","&amp;lt;"),"&gt;","&amp;gt;"),CHAR(34),"&amp;quot;"),"'","&amp;apos;"))</f>
        <v/>
      </c>
      <c r="O17" s="2" t="str">
        <f>IF(Saisie_Questions!H17="","",SUBSTITUTE(SUBSTITUTE(SUBSTITUTE(SUBSTITUTE(SUBSTITUTE(Saisie_Questions!H17,"&amp;","&amp;amp;"),"&lt;","&amp;lt;"),"&gt;","&amp;gt;"),CHAR(34),"&amp;quot;"),"'","&amp;apos;"))</f>
        <v/>
      </c>
      <c r="P17" s="2" t="str">
        <f>IF(Saisie_Questions!I17="","",SUBSTITUTE(SUBSTITUTE(SUBSTITUTE(SUBSTITUTE(SUBSTITUTE(Saisie_Questions!I17,"&amp;","&amp;amp;"),"&lt;","&amp;lt;"),"&gt;","&amp;gt;"),CHAR(34),"&amp;quot;"),"'","&amp;apos;"))</f>
        <v/>
      </c>
      <c r="Q17" s="2" t="str">
        <f>IF(Saisie_Questions!J17="","",SUBSTITUTE(SUBSTITUTE(SUBSTITUTE(SUBSTITUTE(SUBSTITUTE(Saisie_Questions!J17,"&amp;","&amp;amp;"),"&lt;","&amp;lt;"),"&gt;","&amp;gt;"),CHAR(34),"&amp;quot;"),"'","&amp;apos;"))</f>
        <v/>
      </c>
      <c r="R17" s="2" t="str">
        <f>IF(Saisie_Questions!K17="","",SUBSTITUTE(SUBSTITUTE(SUBSTITUTE(SUBSTITUTE(SUBSTITUTE(Saisie_Questions!K17,"&amp;","&amp;amp;"),"&lt;","&amp;lt;"),"&gt;","&amp;gt;"),CHAR(34),"&amp;quot;"),"'","&amp;apos;"))</f>
        <v/>
      </c>
      <c r="S17" s="2" t="str">
        <f>IF(Saisie_Questions!L17="","",SUBSTITUTE(SUBSTITUTE(SUBSTITUTE(SUBSTITUTE(SUBSTITUTE(Saisie_Questions!L17,"&amp;","&amp;amp;"),"&lt;","&amp;lt;"),"&gt;","&amp;gt;"),CHAR(34),"&amp;quot;"),"'","&amp;apos;"))</f>
        <v/>
      </c>
      <c r="T17" s="2" t="b">
        <f t="shared" si="2"/>
        <v>0</v>
      </c>
      <c r="U17" s="2" t="b">
        <f t="shared" si="3"/>
        <v>0</v>
      </c>
      <c r="V17" s="2" t="b">
        <f t="shared" si="4"/>
        <v>0</v>
      </c>
      <c r="W17" s="2" t="b">
        <f t="shared" si="5"/>
        <v>0</v>
      </c>
      <c r="X17" s="2" t="b">
        <f t="shared" si="6"/>
        <v>0</v>
      </c>
      <c r="Y17" s="2" t="b">
        <f t="shared" si="7"/>
        <v>0</v>
      </c>
      <c r="Z17" s="2" t="b">
        <f t="shared" si="8"/>
        <v>0</v>
      </c>
      <c r="AA17" s="2" t="b">
        <f t="shared" si="9"/>
        <v>0</v>
      </c>
      <c r="AB17" s="2" t="str">
        <f t="shared" si="10"/>
        <v/>
      </c>
      <c r="AC17" s="2" t="str">
        <f t="shared" si="11"/>
        <v/>
      </c>
      <c r="AD17" s="2" t="str">
        <f t="shared" si="12"/>
        <v/>
      </c>
      <c r="AE17" s="2" t="str">
        <f t="shared" si="13"/>
        <v/>
      </c>
      <c r="AF17" s="2" t="str">
        <f t="shared" si="14"/>
        <v/>
      </c>
      <c r="AG17" s="2" t="str">
        <f t="shared" si="15"/>
        <v/>
      </c>
      <c r="AH17" s="2" t="str">
        <f t="shared" si="16"/>
        <v/>
      </c>
      <c r="AI17" s="2" t="str">
        <f t="shared" si="17"/>
        <v/>
      </c>
      <c r="AJ17" s="2" t="str">
        <f>IF($B17,IF(L17="","",IF($C17="qcu",IF(T17,"      &lt;respcondition continue=""Yes""&gt;&lt;conditionvar&gt;&lt;varequal respident=""RESPONSE""&gt;0&lt;/varequal&gt;&lt;/conditionvar&gt;&lt;setvar action=""Add""&gt;"&amp;$H17&amp;"&lt;/setvar&gt;&lt;/respcondition&gt;",""),IF(T17,"      &lt;respcondition continue=""Yes""&gt;&lt;conditionvar&gt;&lt;varequal respident=""RESPONSE""&gt;0&lt;/varequal&gt;&lt;/conditionvar&gt;&lt;setvar action=""Add""&gt;"&amp;(Saisie_Questions!$N17/$I17)&amp;"&lt;/setvar&gt;&lt;/respcondition&gt;","      &lt;respcondition continue=""Yes""&gt;&lt;conditionvar&gt;&lt;not&gt;&lt;varequal respident=""RESPONSE""&gt;0&lt;/varequal&gt;&lt;/not&gt;&lt;/conditionvar&gt;&lt;setvar action=""Add""&gt;"&amp;(Saisie_Questions!$N17/$I17)&amp;"&lt;/setvar&gt;&lt;/respcondition&gt;"))),"")</f>
        <v/>
      </c>
      <c r="AK17" s="2" t="str">
        <f>IF($B17,IF(M17="","",IF($C17="qcu",IF(U17,"      &lt;respcondition continue=""Yes""&gt;&lt;conditionvar&gt;&lt;varequal respident=""RESPONSE""&gt;1&lt;/varequal&gt;&lt;/conditionvar&gt;&lt;setvar action=""Add""&gt;"&amp;$H17&amp;"&lt;/setvar&gt;&lt;/respcondition&gt;",""),IF(U17,"      &lt;respcondition continue=""Yes""&gt;&lt;conditionvar&gt;&lt;varequal respident=""RESPONSE""&gt;1&lt;/varequal&gt;&lt;/conditionvar&gt;&lt;setvar action=""Add""&gt;"&amp;(Saisie_Questions!$N17/$I17)&amp;"&lt;/setvar&gt;&lt;/respcondition&gt;","      &lt;respcondition continue=""Yes""&gt;&lt;conditionvar&gt;&lt;not&gt;&lt;varequal respident=""RESPONSE""&gt;1&lt;/varequal&gt;&lt;/not&gt;&lt;/conditionvar&gt;&lt;setvar action=""Add""&gt;"&amp;(Saisie_Questions!$N17/$I17)&amp;"&lt;/setvar&gt;&lt;/respcondition&gt;"))),"")</f>
        <v/>
      </c>
      <c r="AL17" s="2" t="str">
        <f>IF($B17,IF(N17="","",IF($C17="qcu",IF(V17,"      &lt;respcondition continue=""Yes""&gt;&lt;conditionvar&gt;&lt;varequal respident=""RESPONSE""&gt;2&lt;/varequal&gt;&lt;/conditionvar&gt;&lt;setvar action=""Add""&gt;"&amp;$H17&amp;"&lt;/setvar&gt;&lt;/respcondition&gt;",""),IF(V17,"      &lt;respcondition continue=""Yes""&gt;&lt;conditionvar&gt;&lt;varequal respident=""RESPONSE""&gt;2&lt;/varequal&gt;&lt;/conditionvar&gt;&lt;setvar action=""Add""&gt;"&amp;(Saisie_Questions!$N17/$I17)&amp;"&lt;/setvar&gt;&lt;/respcondition&gt;","      &lt;respcondition continue=""Yes""&gt;&lt;conditionvar&gt;&lt;not&gt;&lt;varequal respident=""RESPONSE""&gt;2&lt;/varequal&gt;&lt;/not&gt;&lt;/conditionvar&gt;&lt;setvar action=""Add""&gt;"&amp;(Saisie_Questions!$N17/$I17)&amp;"&lt;/setvar&gt;&lt;/respcondition&gt;"))),"")</f>
        <v/>
      </c>
      <c r="AM17" s="2" t="str">
        <f>IF($B17,IF(O17="","",IF($C17="qcu",IF(W17,"      &lt;respcondition continue=""Yes""&gt;&lt;conditionvar&gt;&lt;varequal respident=""RESPONSE""&gt;3&lt;/varequal&gt;&lt;/conditionvar&gt;&lt;setvar action=""Add""&gt;"&amp;$H17&amp;"&lt;/setvar&gt;&lt;/respcondition&gt;",""),IF(W17,"      &lt;respcondition continue=""Yes""&gt;&lt;conditionvar&gt;&lt;varequal respident=""RESPONSE""&gt;3&lt;/varequal&gt;&lt;/conditionvar&gt;&lt;setvar action=""Add""&gt;"&amp;(Saisie_Questions!$N17/$I17)&amp;"&lt;/setvar&gt;&lt;/respcondition&gt;","      &lt;respcondition continue=""Yes""&gt;&lt;conditionvar&gt;&lt;not&gt;&lt;varequal respident=""RESPONSE""&gt;3&lt;/varequal&gt;&lt;/not&gt;&lt;/conditionvar&gt;&lt;setvar action=""Add""&gt;"&amp;(Saisie_Questions!$N17/$I17)&amp;"&lt;/setvar&gt;&lt;/respcondition&gt;"))),"")</f>
        <v/>
      </c>
      <c r="AN17" s="2" t="str">
        <f>IF($B17,IF(P17="","",IF($C17="qcu",IF(X17,"      &lt;respcondition continue=""Yes""&gt;&lt;conditionvar&gt;&lt;varequal respident=""RESPONSE""&gt;4&lt;/varequal&gt;&lt;/conditionvar&gt;&lt;setvar action=""Add""&gt;"&amp;$H17&amp;"&lt;/setvar&gt;&lt;/respcondition&gt;",""),IF(X17,"      &lt;respcondition continue=""Yes""&gt;&lt;conditionvar&gt;&lt;varequal respident=""RESPONSE""&gt;4&lt;/varequal&gt;&lt;/conditionvar&gt;&lt;setvar action=""Add""&gt;"&amp;(Saisie_Questions!$N17/$I17)&amp;"&lt;/setvar&gt;&lt;/respcondition&gt;","      &lt;respcondition continue=""Yes""&gt;&lt;conditionvar&gt;&lt;not&gt;&lt;varequal respident=""RESPONSE""&gt;4&lt;/varequal&gt;&lt;/not&gt;&lt;/conditionvar&gt;&lt;setvar action=""Add""&gt;"&amp;(Saisie_Questions!$N17/$I17)&amp;"&lt;/setvar&gt;&lt;/respcondition&gt;"))),"")</f>
        <v/>
      </c>
      <c r="AO17" s="2" t="str">
        <f>IF($B17,IF(Q17="","",IF($C17="qcu",IF(Y17,"      &lt;respcondition continue=""Yes""&gt;&lt;conditionvar&gt;&lt;varequal respident=""RESPONSE""&gt;5&lt;/varequal&gt;&lt;/conditionvar&gt;&lt;setvar action=""Add""&gt;"&amp;$H17&amp;"&lt;/setvar&gt;&lt;/respcondition&gt;",""),IF(Y17,"      &lt;respcondition continue=""Yes""&gt;&lt;conditionvar&gt;&lt;varequal respident=""RESPONSE""&gt;5&lt;/varequal&gt;&lt;/conditionvar&gt;&lt;setvar action=""Add""&gt;"&amp;(Saisie_Questions!$N17/$I17)&amp;"&lt;/setvar&gt;&lt;/respcondition&gt;","      &lt;respcondition continue=""Yes""&gt;&lt;conditionvar&gt;&lt;not&gt;&lt;varequal respident=""RESPONSE""&gt;5&lt;/varequal&gt;&lt;/not&gt;&lt;/conditionvar&gt;&lt;setvar action=""Add""&gt;"&amp;(Saisie_Questions!$N17/$I17)&amp;"&lt;/setvar&gt;&lt;/respcondition&gt;"))),"")</f>
        <v/>
      </c>
      <c r="AP17" s="2" t="str">
        <f>IF($B17,IF(R17="","",IF($C17="qcu",IF(Z17,"      &lt;respcondition continue=""Yes""&gt;&lt;conditionvar&gt;&lt;varequal respident=""RESPONSE""&gt;6&lt;/varequal&gt;&lt;/conditionvar&gt;&lt;setvar action=""Add""&gt;"&amp;$H17&amp;"&lt;/setvar&gt;&lt;/respcondition&gt;",""),IF(Z17,"      &lt;respcondition continue=""Yes""&gt;&lt;conditionvar&gt;&lt;varequal respident=""RESPONSE""&gt;6&lt;/varequal&gt;&lt;/conditionvar&gt;&lt;setvar action=""Add""&gt;"&amp;(Saisie_Questions!$N17/$I17)&amp;"&lt;/setvar&gt;&lt;/respcondition&gt;","      &lt;respcondition continue=""Yes""&gt;&lt;conditionvar&gt;&lt;not&gt;&lt;varequal respident=""RESPONSE""&gt;6&lt;/varequal&gt;&lt;/not&gt;&lt;/conditionvar&gt;&lt;setvar action=""Add""&gt;"&amp;(Saisie_Questions!$N17/$I17)&amp;"&lt;/setvar&gt;&lt;/respcondition&gt;"))),"")</f>
        <v/>
      </c>
      <c r="AQ17" s="2" t="str">
        <f>IF($B17,IF(S17="","",IF($C17="qcu",IF(AA17,"      &lt;respcondition continue=""Yes""&gt;&lt;conditionvar&gt;&lt;varequal respident=""RESPONSE""&gt;7&lt;/varequal&gt;&lt;/conditionvar&gt;&lt;setvar action=""Add""&gt;"&amp;$H17&amp;"&lt;/setvar&gt;&lt;/respcondition&gt;",""),IF(AA17,"      &lt;respcondition continue=""Yes""&gt;&lt;conditionvar&gt;&lt;varequal respident=""RESPONSE""&gt;7&lt;/varequal&gt;&lt;/conditionvar&gt;&lt;setvar action=""Add""&gt;"&amp;(Saisie_Questions!$N17/$I17)&amp;"&lt;/setvar&gt;&lt;/respcondition&gt;","      &lt;respcondition continue=""Yes""&gt;&lt;conditionvar&gt;&lt;not&gt;&lt;varequal respident=""RESPONSE""&gt;7&lt;/varequal&gt;&lt;/not&gt;&lt;/conditionvar&gt;&lt;setvar action=""Add""&gt;"&amp;(Saisie_Questions!$N17/$I17)&amp;"&lt;/setvar&gt;&lt;/respcondition&gt;"))),"")</f>
        <v/>
      </c>
    </row>
    <row r="18" spans="1:43" ht="18" customHeight="1">
      <c r="A18" s="2" t="str">
        <f>Saisie_Questions!A18</f>
        <v/>
      </c>
      <c r="B18" s="2" t="b">
        <f>Saisie_Questions!O18="OK"</f>
        <v>0</v>
      </c>
      <c r="C18" s="2" t="str">
        <f>LOWER(TRIM(Saisie_Questions!B18))</f>
        <v/>
      </c>
      <c r="D18" s="2" t="str">
        <f t="shared" si="0"/>
        <v>MULTIPLE CHOICE QUESTION</v>
      </c>
      <c r="E18" s="2" t="str">
        <f t="shared" si="1"/>
        <v>Multiple</v>
      </c>
      <c r="F18" s="2" t="str">
        <f>IF(A18="","",SUBSTITUTE(SUBSTITUTE(SUBSTITUTE(SUBSTITUTE(SUBSTITUTE(IF(Saisie_Questions!C18="", "Question "&amp;A18, Saisie_Questions!C18),"&amp;","&amp;amp;"),"&lt;","&amp;lt;"),"&gt;","&amp;gt;"),CHAR(34),"&amp;quot;"),"'","&amp;apos;"))</f>
        <v/>
      </c>
      <c r="G18" s="2" t="str">
        <f>IF(A18="","",SUBSTITUTE(SUBSTITUTE(SUBSTITUTE(SUBSTITUTE(SUBSTITUTE(Saisie_Questions!D18,"&amp;","&amp;amp;"),"&lt;","&amp;lt;"),"&gt;","&amp;gt;"),CHAR(34),"&amp;quot;"),"'","&amp;apos;"))</f>
        <v/>
      </c>
      <c r="H18" s="2">
        <f>Saisie_Questions!N18</f>
        <v>0</v>
      </c>
      <c r="I18" s="2">
        <f>IF(Saisie_Questions!E18="",0,1)+IF(Saisie_Questions!F18="",0,1)+IF(Saisie_Questions!G18="",0,1)+IF(Saisie_Questions!H18="",0,1)+IF(Saisie_Questions!I18="",0,1)+IF(Saisie_Questions!J18="",0,1)+IF(Saisie_Questions!K18="",0,1)+IF(Saisie_Questions!L18="",0,1)</f>
        <v>0</v>
      </c>
      <c r="J18" s="2">
        <f>Saisie_Questions!M18</f>
        <v>0</v>
      </c>
      <c r="K18" s="2" t="str">
        <f>Saisie_Questions!O18</f>
        <v/>
      </c>
      <c r="L18" s="2" t="str">
        <f>IF(Saisie_Questions!E18="","",SUBSTITUTE(SUBSTITUTE(SUBSTITUTE(SUBSTITUTE(SUBSTITUTE(Saisie_Questions!E18,"&amp;","&amp;amp;"),"&lt;","&amp;lt;"),"&gt;","&amp;gt;"),CHAR(34),"&amp;quot;"),"'","&amp;apos;"))</f>
        <v/>
      </c>
      <c r="M18" s="2" t="str">
        <f>IF(Saisie_Questions!F18="","",SUBSTITUTE(SUBSTITUTE(SUBSTITUTE(SUBSTITUTE(SUBSTITUTE(Saisie_Questions!F18,"&amp;","&amp;amp;"),"&lt;","&amp;lt;"),"&gt;","&amp;gt;"),CHAR(34),"&amp;quot;"),"'","&amp;apos;"))</f>
        <v/>
      </c>
      <c r="N18" s="2" t="str">
        <f>IF(Saisie_Questions!G18="","",SUBSTITUTE(SUBSTITUTE(SUBSTITUTE(SUBSTITUTE(SUBSTITUTE(Saisie_Questions!G18,"&amp;","&amp;amp;"),"&lt;","&amp;lt;"),"&gt;","&amp;gt;"),CHAR(34),"&amp;quot;"),"'","&amp;apos;"))</f>
        <v/>
      </c>
      <c r="O18" s="2" t="str">
        <f>IF(Saisie_Questions!H18="","",SUBSTITUTE(SUBSTITUTE(SUBSTITUTE(SUBSTITUTE(SUBSTITUTE(Saisie_Questions!H18,"&amp;","&amp;amp;"),"&lt;","&amp;lt;"),"&gt;","&amp;gt;"),CHAR(34),"&amp;quot;"),"'","&amp;apos;"))</f>
        <v/>
      </c>
      <c r="P18" s="2" t="str">
        <f>IF(Saisie_Questions!I18="","",SUBSTITUTE(SUBSTITUTE(SUBSTITUTE(SUBSTITUTE(SUBSTITUTE(Saisie_Questions!I18,"&amp;","&amp;amp;"),"&lt;","&amp;lt;"),"&gt;","&amp;gt;"),CHAR(34),"&amp;quot;"),"'","&amp;apos;"))</f>
        <v/>
      </c>
      <c r="Q18" s="2" t="str">
        <f>IF(Saisie_Questions!J18="","",SUBSTITUTE(SUBSTITUTE(SUBSTITUTE(SUBSTITUTE(SUBSTITUTE(Saisie_Questions!J18,"&amp;","&amp;amp;"),"&lt;","&amp;lt;"),"&gt;","&amp;gt;"),CHAR(34),"&amp;quot;"),"'","&amp;apos;"))</f>
        <v/>
      </c>
      <c r="R18" s="2" t="str">
        <f>IF(Saisie_Questions!K18="","",SUBSTITUTE(SUBSTITUTE(SUBSTITUTE(SUBSTITUTE(SUBSTITUTE(Saisie_Questions!K18,"&amp;","&amp;amp;"),"&lt;","&amp;lt;"),"&gt;","&amp;gt;"),CHAR(34),"&amp;quot;"),"'","&amp;apos;"))</f>
        <v/>
      </c>
      <c r="S18" s="2" t="str">
        <f>IF(Saisie_Questions!L18="","",SUBSTITUTE(SUBSTITUTE(SUBSTITUTE(SUBSTITUTE(SUBSTITUTE(Saisie_Questions!L18,"&amp;","&amp;amp;"),"&lt;","&amp;lt;"),"&gt;","&amp;gt;"),CHAR(34),"&amp;quot;"),"'","&amp;apos;"))</f>
        <v/>
      </c>
      <c r="T18" s="2" t="b">
        <f t="shared" si="2"/>
        <v>0</v>
      </c>
      <c r="U18" s="2" t="b">
        <f t="shared" si="3"/>
        <v>0</v>
      </c>
      <c r="V18" s="2" t="b">
        <f t="shared" si="4"/>
        <v>0</v>
      </c>
      <c r="W18" s="2" t="b">
        <f t="shared" si="5"/>
        <v>0</v>
      </c>
      <c r="X18" s="2" t="b">
        <f t="shared" si="6"/>
        <v>0</v>
      </c>
      <c r="Y18" s="2" t="b">
        <f t="shared" si="7"/>
        <v>0</v>
      </c>
      <c r="Z18" s="2" t="b">
        <f t="shared" si="8"/>
        <v>0</v>
      </c>
      <c r="AA18" s="2" t="b">
        <f t="shared" si="9"/>
        <v>0</v>
      </c>
      <c r="AB18" s="2" t="str">
        <f t="shared" si="10"/>
        <v/>
      </c>
      <c r="AC18" s="2" t="str">
        <f t="shared" si="11"/>
        <v/>
      </c>
      <c r="AD18" s="2" t="str">
        <f t="shared" si="12"/>
        <v/>
      </c>
      <c r="AE18" s="2" t="str">
        <f t="shared" si="13"/>
        <v/>
      </c>
      <c r="AF18" s="2" t="str">
        <f t="shared" si="14"/>
        <v/>
      </c>
      <c r="AG18" s="2" t="str">
        <f t="shared" si="15"/>
        <v/>
      </c>
      <c r="AH18" s="2" t="str">
        <f t="shared" si="16"/>
        <v/>
      </c>
      <c r="AI18" s="2" t="str">
        <f t="shared" si="17"/>
        <v/>
      </c>
      <c r="AJ18" s="2" t="str">
        <f>IF($B18,IF(L18="","",IF($C18="qcu",IF(T18,"      &lt;respcondition continue=""Yes""&gt;&lt;conditionvar&gt;&lt;varequal respident=""RESPONSE""&gt;0&lt;/varequal&gt;&lt;/conditionvar&gt;&lt;setvar action=""Add""&gt;"&amp;$H18&amp;"&lt;/setvar&gt;&lt;/respcondition&gt;",""),IF(T18,"      &lt;respcondition continue=""Yes""&gt;&lt;conditionvar&gt;&lt;varequal respident=""RESPONSE""&gt;0&lt;/varequal&gt;&lt;/conditionvar&gt;&lt;setvar action=""Add""&gt;"&amp;(Saisie_Questions!$N18/$I18)&amp;"&lt;/setvar&gt;&lt;/respcondition&gt;","      &lt;respcondition continue=""Yes""&gt;&lt;conditionvar&gt;&lt;not&gt;&lt;varequal respident=""RESPONSE""&gt;0&lt;/varequal&gt;&lt;/not&gt;&lt;/conditionvar&gt;&lt;setvar action=""Add""&gt;"&amp;(Saisie_Questions!$N18/$I18)&amp;"&lt;/setvar&gt;&lt;/respcondition&gt;"))),"")</f>
        <v/>
      </c>
      <c r="AK18" s="2" t="str">
        <f>IF($B18,IF(M18="","",IF($C18="qcu",IF(U18,"      &lt;respcondition continue=""Yes""&gt;&lt;conditionvar&gt;&lt;varequal respident=""RESPONSE""&gt;1&lt;/varequal&gt;&lt;/conditionvar&gt;&lt;setvar action=""Add""&gt;"&amp;$H18&amp;"&lt;/setvar&gt;&lt;/respcondition&gt;",""),IF(U18,"      &lt;respcondition continue=""Yes""&gt;&lt;conditionvar&gt;&lt;varequal respident=""RESPONSE""&gt;1&lt;/varequal&gt;&lt;/conditionvar&gt;&lt;setvar action=""Add""&gt;"&amp;(Saisie_Questions!$N18/$I18)&amp;"&lt;/setvar&gt;&lt;/respcondition&gt;","      &lt;respcondition continue=""Yes""&gt;&lt;conditionvar&gt;&lt;not&gt;&lt;varequal respident=""RESPONSE""&gt;1&lt;/varequal&gt;&lt;/not&gt;&lt;/conditionvar&gt;&lt;setvar action=""Add""&gt;"&amp;(Saisie_Questions!$N18/$I18)&amp;"&lt;/setvar&gt;&lt;/respcondition&gt;"))),"")</f>
        <v/>
      </c>
      <c r="AL18" s="2" t="str">
        <f>IF($B18,IF(N18="","",IF($C18="qcu",IF(V18,"      &lt;respcondition continue=""Yes""&gt;&lt;conditionvar&gt;&lt;varequal respident=""RESPONSE""&gt;2&lt;/varequal&gt;&lt;/conditionvar&gt;&lt;setvar action=""Add""&gt;"&amp;$H18&amp;"&lt;/setvar&gt;&lt;/respcondition&gt;",""),IF(V18,"      &lt;respcondition continue=""Yes""&gt;&lt;conditionvar&gt;&lt;varequal respident=""RESPONSE""&gt;2&lt;/varequal&gt;&lt;/conditionvar&gt;&lt;setvar action=""Add""&gt;"&amp;(Saisie_Questions!$N18/$I18)&amp;"&lt;/setvar&gt;&lt;/respcondition&gt;","      &lt;respcondition continue=""Yes""&gt;&lt;conditionvar&gt;&lt;not&gt;&lt;varequal respident=""RESPONSE""&gt;2&lt;/varequal&gt;&lt;/not&gt;&lt;/conditionvar&gt;&lt;setvar action=""Add""&gt;"&amp;(Saisie_Questions!$N18/$I18)&amp;"&lt;/setvar&gt;&lt;/respcondition&gt;"))),"")</f>
        <v/>
      </c>
      <c r="AM18" s="2" t="str">
        <f>IF($B18,IF(O18="","",IF($C18="qcu",IF(W18,"      &lt;respcondition continue=""Yes""&gt;&lt;conditionvar&gt;&lt;varequal respident=""RESPONSE""&gt;3&lt;/varequal&gt;&lt;/conditionvar&gt;&lt;setvar action=""Add""&gt;"&amp;$H18&amp;"&lt;/setvar&gt;&lt;/respcondition&gt;",""),IF(W18,"      &lt;respcondition continue=""Yes""&gt;&lt;conditionvar&gt;&lt;varequal respident=""RESPONSE""&gt;3&lt;/varequal&gt;&lt;/conditionvar&gt;&lt;setvar action=""Add""&gt;"&amp;(Saisie_Questions!$N18/$I18)&amp;"&lt;/setvar&gt;&lt;/respcondition&gt;","      &lt;respcondition continue=""Yes""&gt;&lt;conditionvar&gt;&lt;not&gt;&lt;varequal respident=""RESPONSE""&gt;3&lt;/varequal&gt;&lt;/not&gt;&lt;/conditionvar&gt;&lt;setvar action=""Add""&gt;"&amp;(Saisie_Questions!$N18/$I18)&amp;"&lt;/setvar&gt;&lt;/respcondition&gt;"))),"")</f>
        <v/>
      </c>
      <c r="AN18" s="2" t="str">
        <f>IF($B18,IF(P18="","",IF($C18="qcu",IF(X18,"      &lt;respcondition continue=""Yes""&gt;&lt;conditionvar&gt;&lt;varequal respident=""RESPONSE""&gt;4&lt;/varequal&gt;&lt;/conditionvar&gt;&lt;setvar action=""Add""&gt;"&amp;$H18&amp;"&lt;/setvar&gt;&lt;/respcondition&gt;",""),IF(X18,"      &lt;respcondition continue=""Yes""&gt;&lt;conditionvar&gt;&lt;varequal respident=""RESPONSE""&gt;4&lt;/varequal&gt;&lt;/conditionvar&gt;&lt;setvar action=""Add""&gt;"&amp;(Saisie_Questions!$N18/$I18)&amp;"&lt;/setvar&gt;&lt;/respcondition&gt;","      &lt;respcondition continue=""Yes""&gt;&lt;conditionvar&gt;&lt;not&gt;&lt;varequal respident=""RESPONSE""&gt;4&lt;/varequal&gt;&lt;/not&gt;&lt;/conditionvar&gt;&lt;setvar action=""Add""&gt;"&amp;(Saisie_Questions!$N18/$I18)&amp;"&lt;/setvar&gt;&lt;/respcondition&gt;"))),"")</f>
        <v/>
      </c>
      <c r="AO18" s="2" t="str">
        <f>IF($B18,IF(Q18="","",IF($C18="qcu",IF(Y18,"      &lt;respcondition continue=""Yes""&gt;&lt;conditionvar&gt;&lt;varequal respident=""RESPONSE""&gt;5&lt;/varequal&gt;&lt;/conditionvar&gt;&lt;setvar action=""Add""&gt;"&amp;$H18&amp;"&lt;/setvar&gt;&lt;/respcondition&gt;",""),IF(Y18,"      &lt;respcondition continue=""Yes""&gt;&lt;conditionvar&gt;&lt;varequal respident=""RESPONSE""&gt;5&lt;/varequal&gt;&lt;/conditionvar&gt;&lt;setvar action=""Add""&gt;"&amp;(Saisie_Questions!$N18/$I18)&amp;"&lt;/setvar&gt;&lt;/respcondition&gt;","      &lt;respcondition continue=""Yes""&gt;&lt;conditionvar&gt;&lt;not&gt;&lt;varequal respident=""RESPONSE""&gt;5&lt;/varequal&gt;&lt;/not&gt;&lt;/conditionvar&gt;&lt;setvar action=""Add""&gt;"&amp;(Saisie_Questions!$N18/$I18)&amp;"&lt;/setvar&gt;&lt;/respcondition&gt;"))),"")</f>
        <v/>
      </c>
      <c r="AP18" s="2" t="str">
        <f>IF($B18,IF(R18="","",IF($C18="qcu",IF(Z18,"      &lt;respcondition continue=""Yes""&gt;&lt;conditionvar&gt;&lt;varequal respident=""RESPONSE""&gt;6&lt;/varequal&gt;&lt;/conditionvar&gt;&lt;setvar action=""Add""&gt;"&amp;$H18&amp;"&lt;/setvar&gt;&lt;/respcondition&gt;",""),IF(Z18,"      &lt;respcondition continue=""Yes""&gt;&lt;conditionvar&gt;&lt;varequal respident=""RESPONSE""&gt;6&lt;/varequal&gt;&lt;/conditionvar&gt;&lt;setvar action=""Add""&gt;"&amp;(Saisie_Questions!$N18/$I18)&amp;"&lt;/setvar&gt;&lt;/respcondition&gt;","      &lt;respcondition continue=""Yes""&gt;&lt;conditionvar&gt;&lt;not&gt;&lt;varequal respident=""RESPONSE""&gt;6&lt;/varequal&gt;&lt;/not&gt;&lt;/conditionvar&gt;&lt;setvar action=""Add""&gt;"&amp;(Saisie_Questions!$N18/$I18)&amp;"&lt;/setvar&gt;&lt;/respcondition&gt;"))),"")</f>
        <v/>
      </c>
      <c r="AQ18" s="2" t="str">
        <f>IF($B18,IF(S18="","",IF($C18="qcu",IF(AA18,"      &lt;respcondition continue=""Yes""&gt;&lt;conditionvar&gt;&lt;varequal respident=""RESPONSE""&gt;7&lt;/varequal&gt;&lt;/conditionvar&gt;&lt;setvar action=""Add""&gt;"&amp;$H18&amp;"&lt;/setvar&gt;&lt;/respcondition&gt;",""),IF(AA18,"      &lt;respcondition continue=""Yes""&gt;&lt;conditionvar&gt;&lt;varequal respident=""RESPONSE""&gt;7&lt;/varequal&gt;&lt;/conditionvar&gt;&lt;setvar action=""Add""&gt;"&amp;(Saisie_Questions!$N18/$I18)&amp;"&lt;/setvar&gt;&lt;/respcondition&gt;","      &lt;respcondition continue=""Yes""&gt;&lt;conditionvar&gt;&lt;not&gt;&lt;varequal respident=""RESPONSE""&gt;7&lt;/varequal&gt;&lt;/not&gt;&lt;/conditionvar&gt;&lt;setvar action=""Add""&gt;"&amp;(Saisie_Questions!$N18/$I18)&amp;"&lt;/setvar&gt;&lt;/respcondition&gt;"))),"")</f>
        <v/>
      </c>
    </row>
    <row r="19" spans="1:43" ht="18" customHeight="1">
      <c r="A19" s="2" t="str">
        <f>Saisie_Questions!A19</f>
        <v/>
      </c>
      <c r="B19" s="2" t="b">
        <f>Saisie_Questions!O19="OK"</f>
        <v>0</v>
      </c>
      <c r="C19" s="2" t="str">
        <f>LOWER(TRIM(Saisie_Questions!B19))</f>
        <v/>
      </c>
      <c r="D19" s="2" t="str">
        <f t="shared" si="0"/>
        <v>MULTIPLE CHOICE QUESTION</v>
      </c>
      <c r="E19" s="2" t="str">
        <f t="shared" si="1"/>
        <v>Multiple</v>
      </c>
      <c r="F19" s="2" t="str">
        <f>IF(A19="","",SUBSTITUTE(SUBSTITUTE(SUBSTITUTE(SUBSTITUTE(SUBSTITUTE(IF(Saisie_Questions!C19="", "Question "&amp;A19, Saisie_Questions!C19),"&amp;","&amp;amp;"),"&lt;","&amp;lt;"),"&gt;","&amp;gt;"),CHAR(34),"&amp;quot;"),"'","&amp;apos;"))</f>
        <v/>
      </c>
      <c r="G19" s="2" t="str">
        <f>IF(A19="","",SUBSTITUTE(SUBSTITUTE(SUBSTITUTE(SUBSTITUTE(SUBSTITUTE(Saisie_Questions!D19,"&amp;","&amp;amp;"),"&lt;","&amp;lt;"),"&gt;","&amp;gt;"),CHAR(34),"&amp;quot;"),"'","&amp;apos;"))</f>
        <v/>
      </c>
      <c r="H19" s="2">
        <f>Saisie_Questions!N19</f>
        <v>0</v>
      </c>
      <c r="I19" s="2">
        <f>IF(Saisie_Questions!E19="",0,1)+IF(Saisie_Questions!F19="",0,1)+IF(Saisie_Questions!G19="",0,1)+IF(Saisie_Questions!H19="",0,1)+IF(Saisie_Questions!I19="",0,1)+IF(Saisie_Questions!J19="",0,1)+IF(Saisie_Questions!K19="",0,1)+IF(Saisie_Questions!L19="",0,1)</f>
        <v>0</v>
      </c>
      <c r="J19" s="2">
        <f>Saisie_Questions!M19</f>
        <v>0</v>
      </c>
      <c r="K19" s="2" t="str">
        <f>Saisie_Questions!O19</f>
        <v/>
      </c>
      <c r="L19" s="2" t="str">
        <f>IF(Saisie_Questions!E19="","",SUBSTITUTE(SUBSTITUTE(SUBSTITUTE(SUBSTITUTE(SUBSTITUTE(Saisie_Questions!E19,"&amp;","&amp;amp;"),"&lt;","&amp;lt;"),"&gt;","&amp;gt;"),CHAR(34),"&amp;quot;"),"'","&amp;apos;"))</f>
        <v/>
      </c>
      <c r="M19" s="2" t="str">
        <f>IF(Saisie_Questions!F19="","",SUBSTITUTE(SUBSTITUTE(SUBSTITUTE(SUBSTITUTE(SUBSTITUTE(Saisie_Questions!F19,"&amp;","&amp;amp;"),"&lt;","&amp;lt;"),"&gt;","&amp;gt;"),CHAR(34),"&amp;quot;"),"'","&amp;apos;"))</f>
        <v/>
      </c>
      <c r="N19" s="2" t="str">
        <f>IF(Saisie_Questions!G19="","",SUBSTITUTE(SUBSTITUTE(SUBSTITUTE(SUBSTITUTE(SUBSTITUTE(Saisie_Questions!G19,"&amp;","&amp;amp;"),"&lt;","&amp;lt;"),"&gt;","&amp;gt;"),CHAR(34),"&amp;quot;"),"'","&amp;apos;"))</f>
        <v/>
      </c>
      <c r="O19" s="2" t="str">
        <f>IF(Saisie_Questions!H19="","",SUBSTITUTE(SUBSTITUTE(SUBSTITUTE(SUBSTITUTE(SUBSTITUTE(Saisie_Questions!H19,"&amp;","&amp;amp;"),"&lt;","&amp;lt;"),"&gt;","&amp;gt;"),CHAR(34),"&amp;quot;"),"'","&amp;apos;"))</f>
        <v/>
      </c>
      <c r="P19" s="2" t="str">
        <f>IF(Saisie_Questions!I19="","",SUBSTITUTE(SUBSTITUTE(SUBSTITUTE(SUBSTITUTE(SUBSTITUTE(Saisie_Questions!I19,"&amp;","&amp;amp;"),"&lt;","&amp;lt;"),"&gt;","&amp;gt;"),CHAR(34),"&amp;quot;"),"'","&amp;apos;"))</f>
        <v/>
      </c>
      <c r="Q19" s="2" t="str">
        <f>IF(Saisie_Questions!J19="","",SUBSTITUTE(SUBSTITUTE(SUBSTITUTE(SUBSTITUTE(SUBSTITUTE(Saisie_Questions!J19,"&amp;","&amp;amp;"),"&lt;","&amp;lt;"),"&gt;","&amp;gt;"),CHAR(34),"&amp;quot;"),"'","&amp;apos;"))</f>
        <v/>
      </c>
      <c r="R19" s="2" t="str">
        <f>IF(Saisie_Questions!K19="","",SUBSTITUTE(SUBSTITUTE(SUBSTITUTE(SUBSTITUTE(SUBSTITUTE(Saisie_Questions!K19,"&amp;","&amp;amp;"),"&lt;","&amp;lt;"),"&gt;","&amp;gt;"),CHAR(34),"&amp;quot;"),"'","&amp;apos;"))</f>
        <v/>
      </c>
      <c r="S19" s="2" t="str">
        <f>IF(Saisie_Questions!L19="","",SUBSTITUTE(SUBSTITUTE(SUBSTITUTE(SUBSTITUTE(SUBSTITUTE(Saisie_Questions!L19,"&amp;","&amp;amp;"),"&lt;","&amp;lt;"),"&gt;","&amp;gt;"),CHAR(34),"&amp;quot;"),"'","&amp;apos;"))</f>
        <v/>
      </c>
      <c r="T19" s="2" t="b">
        <f t="shared" si="2"/>
        <v>0</v>
      </c>
      <c r="U19" s="2" t="b">
        <f t="shared" si="3"/>
        <v>0</v>
      </c>
      <c r="V19" s="2" t="b">
        <f t="shared" si="4"/>
        <v>0</v>
      </c>
      <c r="W19" s="2" t="b">
        <f t="shared" si="5"/>
        <v>0</v>
      </c>
      <c r="X19" s="2" t="b">
        <f t="shared" si="6"/>
        <v>0</v>
      </c>
      <c r="Y19" s="2" t="b">
        <f t="shared" si="7"/>
        <v>0</v>
      </c>
      <c r="Z19" s="2" t="b">
        <f t="shared" si="8"/>
        <v>0</v>
      </c>
      <c r="AA19" s="2" t="b">
        <f t="shared" si="9"/>
        <v>0</v>
      </c>
      <c r="AB19" s="2" t="str">
        <f t="shared" si="10"/>
        <v/>
      </c>
      <c r="AC19" s="2" t="str">
        <f t="shared" si="11"/>
        <v/>
      </c>
      <c r="AD19" s="2" t="str">
        <f t="shared" si="12"/>
        <v/>
      </c>
      <c r="AE19" s="2" t="str">
        <f t="shared" si="13"/>
        <v/>
      </c>
      <c r="AF19" s="2" t="str">
        <f t="shared" si="14"/>
        <v/>
      </c>
      <c r="AG19" s="2" t="str">
        <f t="shared" si="15"/>
        <v/>
      </c>
      <c r="AH19" s="2" t="str">
        <f t="shared" si="16"/>
        <v/>
      </c>
      <c r="AI19" s="2" t="str">
        <f t="shared" si="17"/>
        <v/>
      </c>
      <c r="AJ19" s="2" t="str">
        <f>IF($B19,IF(L19="","",IF($C19="qcu",IF(T19,"      &lt;respcondition continue=""Yes""&gt;&lt;conditionvar&gt;&lt;varequal respident=""RESPONSE""&gt;0&lt;/varequal&gt;&lt;/conditionvar&gt;&lt;setvar action=""Add""&gt;"&amp;$H19&amp;"&lt;/setvar&gt;&lt;/respcondition&gt;",""),IF(T19,"      &lt;respcondition continue=""Yes""&gt;&lt;conditionvar&gt;&lt;varequal respident=""RESPONSE""&gt;0&lt;/varequal&gt;&lt;/conditionvar&gt;&lt;setvar action=""Add""&gt;"&amp;(Saisie_Questions!$N19/$I19)&amp;"&lt;/setvar&gt;&lt;/respcondition&gt;","      &lt;respcondition continue=""Yes""&gt;&lt;conditionvar&gt;&lt;not&gt;&lt;varequal respident=""RESPONSE""&gt;0&lt;/varequal&gt;&lt;/not&gt;&lt;/conditionvar&gt;&lt;setvar action=""Add""&gt;"&amp;(Saisie_Questions!$N19/$I19)&amp;"&lt;/setvar&gt;&lt;/respcondition&gt;"))),"")</f>
        <v/>
      </c>
      <c r="AK19" s="2" t="str">
        <f>IF($B19,IF(M19="","",IF($C19="qcu",IF(U19,"      &lt;respcondition continue=""Yes""&gt;&lt;conditionvar&gt;&lt;varequal respident=""RESPONSE""&gt;1&lt;/varequal&gt;&lt;/conditionvar&gt;&lt;setvar action=""Add""&gt;"&amp;$H19&amp;"&lt;/setvar&gt;&lt;/respcondition&gt;",""),IF(U19,"      &lt;respcondition continue=""Yes""&gt;&lt;conditionvar&gt;&lt;varequal respident=""RESPONSE""&gt;1&lt;/varequal&gt;&lt;/conditionvar&gt;&lt;setvar action=""Add""&gt;"&amp;(Saisie_Questions!$N19/$I19)&amp;"&lt;/setvar&gt;&lt;/respcondition&gt;","      &lt;respcondition continue=""Yes""&gt;&lt;conditionvar&gt;&lt;not&gt;&lt;varequal respident=""RESPONSE""&gt;1&lt;/varequal&gt;&lt;/not&gt;&lt;/conditionvar&gt;&lt;setvar action=""Add""&gt;"&amp;(Saisie_Questions!$N19/$I19)&amp;"&lt;/setvar&gt;&lt;/respcondition&gt;"))),"")</f>
        <v/>
      </c>
      <c r="AL19" s="2" t="str">
        <f>IF($B19,IF(N19="","",IF($C19="qcu",IF(V19,"      &lt;respcondition continue=""Yes""&gt;&lt;conditionvar&gt;&lt;varequal respident=""RESPONSE""&gt;2&lt;/varequal&gt;&lt;/conditionvar&gt;&lt;setvar action=""Add""&gt;"&amp;$H19&amp;"&lt;/setvar&gt;&lt;/respcondition&gt;",""),IF(V19,"      &lt;respcondition continue=""Yes""&gt;&lt;conditionvar&gt;&lt;varequal respident=""RESPONSE""&gt;2&lt;/varequal&gt;&lt;/conditionvar&gt;&lt;setvar action=""Add""&gt;"&amp;(Saisie_Questions!$N19/$I19)&amp;"&lt;/setvar&gt;&lt;/respcondition&gt;","      &lt;respcondition continue=""Yes""&gt;&lt;conditionvar&gt;&lt;not&gt;&lt;varequal respident=""RESPONSE""&gt;2&lt;/varequal&gt;&lt;/not&gt;&lt;/conditionvar&gt;&lt;setvar action=""Add""&gt;"&amp;(Saisie_Questions!$N19/$I19)&amp;"&lt;/setvar&gt;&lt;/respcondition&gt;"))),"")</f>
        <v/>
      </c>
      <c r="AM19" s="2" t="str">
        <f>IF($B19,IF(O19="","",IF($C19="qcu",IF(W19,"      &lt;respcondition continue=""Yes""&gt;&lt;conditionvar&gt;&lt;varequal respident=""RESPONSE""&gt;3&lt;/varequal&gt;&lt;/conditionvar&gt;&lt;setvar action=""Add""&gt;"&amp;$H19&amp;"&lt;/setvar&gt;&lt;/respcondition&gt;",""),IF(W19,"      &lt;respcondition continue=""Yes""&gt;&lt;conditionvar&gt;&lt;varequal respident=""RESPONSE""&gt;3&lt;/varequal&gt;&lt;/conditionvar&gt;&lt;setvar action=""Add""&gt;"&amp;(Saisie_Questions!$N19/$I19)&amp;"&lt;/setvar&gt;&lt;/respcondition&gt;","      &lt;respcondition continue=""Yes""&gt;&lt;conditionvar&gt;&lt;not&gt;&lt;varequal respident=""RESPONSE""&gt;3&lt;/varequal&gt;&lt;/not&gt;&lt;/conditionvar&gt;&lt;setvar action=""Add""&gt;"&amp;(Saisie_Questions!$N19/$I19)&amp;"&lt;/setvar&gt;&lt;/respcondition&gt;"))),"")</f>
        <v/>
      </c>
      <c r="AN19" s="2" t="str">
        <f>IF($B19,IF(P19="","",IF($C19="qcu",IF(X19,"      &lt;respcondition continue=""Yes""&gt;&lt;conditionvar&gt;&lt;varequal respident=""RESPONSE""&gt;4&lt;/varequal&gt;&lt;/conditionvar&gt;&lt;setvar action=""Add""&gt;"&amp;$H19&amp;"&lt;/setvar&gt;&lt;/respcondition&gt;",""),IF(X19,"      &lt;respcondition continue=""Yes""&gt;&lt;conditionvar&gt;&lt;varequal respident=""RESPONSE""&gt;4&lt;/varequal&gt;&lt;/conditionvar&gt;&lt;setvar action=""Add""&gt;"&amp;(Saisie_Questions!$N19/$I19)&amp;"&lt;/setvar&gt;&lt;/respcondition&gt;","      &lt;respcondition continue=""Yes""&gt;&lt;conditionvar&gt;&lt;not&gt;&lt;varequal respident=""RESPONSE""&gt;4&lt;/varequal&gt;&lt;/not&gt;&lt;/conditionvar&gt;&lt;setvar action=""Add""&gt;"&amp;(Saisie_Questions!$N19/$I19)&amp;"&lt;/setvar&gt;&lt;/respcondition&gt;"))),"")</f>
        <v/>
      </c>
      <c r="AO19" s="2" t="str">
        <f>IF($B19,IF(Q19="","",IF($C19="qcu",IF(Y19,"      &lt;respcondition continue=""Yes""&gt;&lt;conditionvar&gt;&lt;varequal respident=""RESPONSE""&gt;5&lt;/varequal&gt;&lt;/conditionvar&gt;&lt;setvar action=""Add""&gt;"&amp;$H19&amp;"&lt;/setvar&gt;&lt;/respcondition&gt;",""),IF(Y19,"      &lt;respcondition continue=""Yes""&gt;&lt;conditionvar&gt;&lt;varequal respident=""RESPONSE""&gt;5&lt;/varequal&gt;&lt;/conditionvar&gt;&lt;setvar action=""Add""&gt;"&amp;(Saisie_Questions!$N19/$I19)&amp;"&lt;/setvar&gt;&lt;/respcondition&gt;","      &lt;respcondition continue=""Yes""&gt;&lt;conditionvar&gt;&lt;not&gt;&lt;varequal respident=""RESPONSE""&gt;5&lt;/varequal&gt;&lt;/not&gt;&lt;/conditionvar&gt;&lt;setvar action=""Add""&gt;"&amp;(Saisie_Questions!$N19/$I19)&amp;"&lt;/setvar&gt;&lt;/respcondition&gt;"))),"")</f>
        <v/>
      </c>
      <c r="AP19" s="2" t="str">
        <f>IF($B19,IF(R19="","",IF($C19="qcu",IF(Z19,"      &lt;respcondition continue=""Yes""&gt;&lt;conditionvar&gt;&lt;varequal respident=""RESPONSE""&gt;6&lt;/varequal&gt;&lt;/conditionvar&gt;&lt;setvar action=""Add""&gt;"&amp;$H19&amp;"&lt;/setvar&gt;&lt;/respcondition&gt;",""),IF(Z19,"      &lt;respcondition continue=""Yes""&gt;&lt;conditionvar&gt;&lt;varequal respident=""RESPONSE""&gt;6&lt;/varequal&gt;&lt;/conditionvar&gt;&lt;setvar action=""Add""&gt;"&amp;(Saisie_Questions!$N19/$I19)&amp;"&lt;/setvar&gt;&lt;/respcondition&gt;","      &lt;respcondition continue=""Yes""&gt;&lt;conditionvar&gt;&lt;not&gt;&lt;varequal respident=""RESPONSE""&gt;6&lt;/varequal&gt;&lt;/not&gt;&lt;/conditionvar&gt;&lt;setvar action=""Add""&gt;"&amp;(Saisie_Questions!$N19/$I19)&amp;"&lt;/setvar&gt;&lt;/respcondition&gt;"))),"")</f>
        <v/>
      </c>
      <c r="AQ19" s="2" t="str">
        <f>IF($B19,IF(S19="","",IF($C19="qcu",IF(AA19,"      &lt;respcondition continue=""Yes""&gt;&lt;conditionvar&gt;&lt;varequal respident=""RESPONSE""&gt;7&lt;/varequal&gt;&lt;/conditionvar&gt;&lt;setvar action=""Add""&gt;"&amp;$H19&amp;"&lt;/setvar&gt;&lt;/respcondition&gt;",""),IF(AA19,"      &lt;respcondition continue=""Yes""&gt;&lt;conditionvar&gt;&lt;varequal respident=""RESPONSE""&gt;7&lt;/varequal&gt;&lt;/conditionvar&gt;&lt;setvar action=""Add""&gt;"&amp;(Saisie_Questions!$N19/$I19)&amp;"&lt;/setvar&gt;&lt;/respcondition&gt;","      &lt;respcondition continue=""Yes""&gt;&lt;conditionvar&gt;&lt;not&gt;&lt;varequal respident=""RESPONSE""&gt;7&lt;/varequal&gt;&lt;/not&gt;&lt;/conditionvar&gt;&lt;setvar action=""Add""&gt;"&amp;(Saisie_Questions!$N19/$I19)&amp;"&lt;/setvar&gt;&lt;/respcondition&gt;"))),"")</f>
        <v/>
      </c>
    </row>
    <row r="20" spans="1:43" ht="18" customHeight="1">
      <c r="A20" s="2" t="str">
        <f>Saisie_Questions!A20</f>
        <v/>
      </c>
      <c r="B20" s="2" t="b">
        <f>Saisie_Questions!O20="OK"</f>
        <v>0</v>
      </c>
      <c r="C20" s="2" t="str">
        <f>LOWER(TRIM(Saisie_Questions!B20))</f>
        <v/>
      </c>
      <c r="D20" s="2" t="str">
        <f t="shared" si="0"/>
        <v>MULTIPLE CHOICE QUESTION</v>
      </c>
      <c r="E20" s="2" t="str">
        <f t="shared" si="1"/>
        <v>Multiple</v>
      </c>
      <c r="F20" s="2" t="str">
        <f>IF(A20="","",SUBSTITUTE(SUBSTITUTE(SUBSTITUTE(SUBSTITUTE(SUBSTITUTE(IF(Saisie_Questions!C20="", "Question "&amp;A20, Saisie_Questions!C20),"&amp;","&amp;amp;"),"&lt;","&amp;lt;"),"&gt;","&amp;gt;"),CHAR(34),"&amp;quot;"),"'","&amp;apos;"))</f>
        <v/>
      </c>
      <c r="G20" s="2" t="str">
        <f>IF(A20="","",SUBSTITUTE(SUBSTITUTE(SUBSTITUTE(SUBSTITUTE(SUBSTITUTE(Saisie_Questions!D20,"&amp;","&amp;amp;"),"&lt;","&amp;lt;"),"&gt;","&amp;gt;"),CHAR(34),"&amp;quot;"),"'","&amp;apos;"))</f>
        <v/>
      </c>
      <c r="H20" s="2">
        <f>Saisie_Questions!N20</f>
        <v>0</v>
      </c>
      <c r="I20" s="2">
        <f>IF(Saisie_Questions!E20="",0,1)+IF(Saisie_Questions!F20="",0,1)+IF(Saisie_Questions!G20="",0,1)+IF(Saisie_Questions!H20="",0,1)+IF(Saisie_Questions!I20="",0,1)+IF(Saisie_Questions!J20="",0,1)+IF(Saisie_Questions!K20="",0,1)+IF(Saisie_Questions!L20="",0,1)</f>
        <v>0</v>
      </c>
      <c r="J20" s="2">
        <f>Saisie_Questions!M20</f>
        <v>0</v>
      </c>
      <c r="K20" s="2" t="str">
        <f>Saisie_Questions!O20</f>
        <v/>
      </c>
      <c r="L20" s="2" t="str">
        <f>IF(Saisie_Questions!E20="","",SUBSTITUTE(SUBSTITUTE(SUBSTITUTE(SUBSTITUTE(SUBSTITUTE(Saisie_Questions!E20,"&amp;","&amp;amp;"),"&lt;","&amp;lt;"),"&gt;","&amp;gt;"),CHAR(34),"&amp;quot;"),"'","&amp;apos;"))</f>
        <v/>
      </c>
      <c r="M20" s="2" t="str">
        <f>IF(Saisie_Questions!F20="","",SUBSTITUTE(SUBSTITUTE(SUBSTITUTE(SUBSTITUTE(SUBSTITUTE(Saisie_Questions!F20,"&amp;","&amp;amp;"),"&lt;","&amp;lt;"),"&gt;","&amp;gt;"),CHAR(34),"&amp;quot;"),"'","&amp;apos;"))</f>
        <v/>
      </c>
      <c r="N20" s="2" t="str">
        <f>IF(Saisie_Questions!G20="","",SUBSTITUTE(SUBSTITUTE(SUBSTITUTE(SUBSTITUTE(SUBSTITUTE(Saisie_Questions!G20,"&amp;","&amp;amp;"),"&lt;","&amp;lt;"),"&gt;","&amp;gt;"),CHAR(34),"&amp;quot;"),"'","&amp;apos;"))</f>
        <v/>
      </c>
      <c r="O20" s="2" t="str">
        <f>IF(Saisie_Questions!H20="","",SUBSTITUTE(SUBSTITUTE(SUBSTITUTE(SUBSTITUTE(SUBSTITUTE(Saisie_Questions!H20,"&amp;","&amp;amp;"),"&lt;","&amp;lt;"),"&gt;","&amp;gt;"),CHAR(34),"&amp;quot;"),"'","&amp;apos;"))</f>
        <v/>
      </c>
      <c r="P20" s="2" t="str">
        <f>IF(Saisie_Questions!I20="","",SUBSTITUTE(SUBSTITUTE(SUBSTITUTE(SUBSTITUTE(SUBSTITUTE(Saisie_Questions!I20,"&amp;","&amp;amp;"),"&lt;","&amp;lt;"),"&gt;","&amp;gt;"),CHAR(34),"&amp;quot;"),"'","&amp;apos;"))</f>
        <v/>
      </c>
      <c r="Q20" s="2" t="str">
        <f>IF(Saisie_Questions!J20="","",SUBSTITUTE(SUBSTITUTE(SUBSTITUTE(SUBSTITUTE(SUBSTITUTE(Saisie_Questions!J20,"&amp;","&amp;amp;"),"&lt;","&amp;lt;"),"&gt;","&amp;gt;"),CHAR(34),"&amp;quot;"),"'","&amp;apos;"))</f>
        <v/>
      </c>
      <c r="R20" s="2" t="str">
        <f>IF(Saisie_Questions!K20="","",SUBSTITUTE(SUBSTITUTE(SUBSTITUTE(SUBSTITUTE(SUBSTITUTE(Saisie_Questions!K20,"&amp;","&amp;amp;"),"&lt;","&amp;lt;"),"&gt;","&amp;gt;"),CHAR(34),"&amp;quot;"),"'","&amp;apos;"))</f>
        <v/>
      </c>
      <c r="S20" s="2" t="str">
        <f>IF(Saisie_Questions!L20="","",SUBSTITUTE(SUBSTITUTE(SUBSTITUTE(SUBSTITUTE(SUBSTITUTE(Saisie_Questions!L20,"&amp;","&amp;amp;"),"&lt;","&amp;lt;"),"&gt;","&amp;gt;"),CHAR(34),"&amp;quot;"),"'","&amp;apos;"))</f>
        <v/>
      </c>
      <c r="T20" s="2" t="b">
        <f t="shared" si="2"/>
        <v>0</v>
      </c>
      <c r="U20" s="2" t="b">
        <f t="shared" si="3"/>
        <v>0</v>
      </c>
      <c r="V20" s="2" t="b">
        <f t="shared" si="4"/>
        <v>0</v>
      </c>
      <c r="W20" s="2" t="b">
        <f t="shared" si="5"/>
        <v>0</v>
      </c>
      <c r="X20" s="2" t="b">
        <f t="shared" si="6"/>
        <v>0</v>
      </c>
      <c r="Y20" s="2" t="b">
        <f t="shared" si="7"/>
        <v>0</v>
      </c>
      <c r="Z20" s="2" t="b">
        <f t="shared" si="8"/>
        <v>0</v>
      </c>
      <c r="AA20" s="2" t="b">
        <f t="shared" si="9"/>
        <v>0</v>
      </c>
      <c r="AB20" s="2" t="str">
        <f t="shared" si="10"/>
        <v/>
      </c>
      <c r="AC20" s="2" t="str">
        <f t="shared" si="11"/>
        <v/>
      </c>
      <c r="AD20" s="2" t="str">
        <f t="shared" si="12"/>
        <v/>
      </c>
      <c r="AE20" s="2" t="str">
        <f t="shared" si="13"/>
        <v/>
      </c>
      <c r="AF20" s="2" t="str">
        <f t="shared" si="14"/>
        <v/>
      </c>
      <c r="AG20" s="2" t="str">
        <f t="shared" si="15"/>
        <v/>
      </c>
      <c r="AH20" s="2" t="str">
        <f t="shared" si="16"/>
        <v/>
      </c>
      <c r="AI20" s="2" t="str">
        <f t="shared" si="17"/>
        <v/>
      </c>
      <c r="AJ20" s="2" t="str">
        <f>IF($B20,IF(L20="","",IF($C20="qcu",IF(T20,"      &lt;respcondition continue=""Yes""&gt;&lt;conditionvar&gt;&lt;varequal respident=""RESPONSE""&gt;0&lt;/varequal&gt;&lt;/conditionvar&gt;&lt;setvar action=""Add""&gt;"&amp;$H20&amp;"&lt;/setvar&gt;&lt;/respcondition&gt;",""),IF(T20,"      &lt;respcondition continue=""Yes""&gt;&lt;conditionvar&gt;&lt;varequal respident=""RESPONSE""&gt;0&lt;/varequal&gt;&lt;/conditionvar&gt;&lt;setvar action=""Add""&gt;"&amp;(Saisie_Questions!$N20/$I20)&amp;"&lt;/setvar&gt;&lt;/respcondition&gt;","      &lt;respcondition continue=""Yes""&gt;&lt;conditionvar&gt;&lt;not&gt;&lt;varequal respident=""RESPONSE""&gt;0&lt;/varequal&gt;&lt;/not&gt;&lt;/conditionvar&gt;&lt;setvar action=""Add""&gt;"&amp;(Saisie_Questions!$N20/$I20)&amp;"&lt;/setvar&gt;&lt;/respcondition&gt;"))),"")</f>
        <v/>
      </c>
      <c r="AK20" s="2" t="str">
        <f>IF($B20,IF(M20="","",IF($C20="qcu",IF(U20,"      &lt;respcondition continue=""Yes""&gt;&lt;conditionvar&gt;&lt;varequal respident=""RESPONSE""&gt;1&lt;/varequal&gt;&lt;/conditionvar&gt;&lt;setvar action=""Add""&gt;"&amp;$H20&amp;"&lt;/setvar&gt;&lt;/respcondition&gt;",""),IF(U20,"      &lt;respcondition continue=""Yes""&gt;&lt;conditionvar&gt;&lt;varequal respident=""RESPONSE""&gt;1&lt;/varequal&gt;&lt;/conditionvar&gt;&lt;setvar action=""Add""&gt;"&amp;(Saisie_Questions!$N20/$I20)&amp;"&lt;/setvar&gt;&lt;/respcondition&gt;","      &lt;respcondition continue=""Yes""&gt;&lt;conditionvar&gt;&lt;not&gt;&lt;varequal respident=""RESPONSE""&gt;1&lt;/varequal&gt;&lt;/not&gt;&lt;/conditionvar&gt;&lt;setvar action=""Add""&gt;"&amp;(Saisie_Questions!$N20/$I20)&amp;"&lt;/setvar&gt;&lt;/respcondition&gt;"))),"")</f>
        <v/>
      </c>
      <c r="AL20" s="2" t="str">
        <f>IF($B20,IF(N20="","",IF($C20="qcu",IF(V20,"      &lt;respcondition continue=""Yes""&gt;&lt;conditionvar&gt;&lt;varequal respident=""RESPONSE""&gt;2&lt;/varequal&gt;&lt;/conditionvar&gt;&lt;setvar action=""Add""&gt;"&amp;$H20&amp;"&lt;/setvar&gt;&lt;/respcondition&gt;",""),IF(V20,"      &lt;respcondition continue=""Yes""&gt;&lt;conditionvar&gt;&lt;varequal respident=""RESPONSE""&gt;2&lt;/varequal&gt;&lt;/conditionvar&gt;&lt;setvar action=""Add""&gt;"&amp;(Saisie_Questions!$N20/$I20)&amp;"&lt;/setvar&gt;&lt;/respcondition&gt;","      &lt;respcondition continue=""Yes""&gt;&lt;conditionvar&gt;&lt;not&gt;&lt;varequal respident=""RESPONSE""&gt;2&lt;/varequal&gt;&lt;/not&gt;&lt;/conditionvar&gt;&lt;setvar action=""Add""&gt;"&amp;(Saisie_Questions!$N20/$I20)&amp;"&lt;/setvar&gt;&lt;/respcondition&gt;"))),"")</f>
        <v/>
      </c>
      <c r="AM20" s="2" t="str">
        <f>IF($B20,IF(O20="","",IF($C20="qcu",IF(W20,"      &lt;respcondition continue=""Yes""&gt;&lt;conditionvar&gt;&lt;varequal respident=""RESPONSE""&gt;3&lt;/varequal&gt;&lt;/conditionvar&gt;&lt;setvar action=""Add""&gt;"&amp;$H20&amp;"&lt;/setvar&gt;&lt;/respcondition&gt;",""),IF(W20,"      &lt;respcondition continue=""Yes""&gt;&lt;conditionvar&gt;&lt;varequal respident=""RESPONSE""&gt;3&lt;/varequal&gt;&lt;/conditionvar&gt;&lt;setvar action=""Add""&gt;"&amp;(Saisie_Questions!$N20/$I20)&amp;"&lt;/setvar&gt;&lt;/respcondition&gt;","      &lt;respcondition continue=""Yes""&gt;&lt;conditionvar&gt;&lt;not&gt;&lt;varequal respident=""RESPONSE""&gt;3&lt;/varequal&gt;&lt;/not&gt;&lt;/conditionvar&gt;&lt;setvar action=""Add""&gt;"&amp;(Saisie_Questions!$N20/$I20)&amp;"&lt;/setvar&gt;&lt;/respcondition&gt;"))),"")</f>
        <v/>
      </c>
      <c r="AN20" s="2" t="str">
        <f>IF($B20,IF(P20="","",IF($C20="qcu",IF(X20,"      &lt;respcondition continue=""Yes""&gt;&lt;conditionvar&gt;&lt;varequal respident=""RESPONSE""&gt;4&lt;/varequal&gt;&lt;/conditionvar&gt;&lt;setvar action=""Add""&gt;"&amp;$H20&amp;"&lt;/setvar&gt;&lt;/respcondition&gt;",""),IF(X20,"      &lt;respcondition continue=""Yes""&gt;&lt;conditionvar&gt;&lt;varequal respident=""RESPONSE""&gt;4&lt;/varequal&gt;&lt;/conditionvar&gt;&lt;setvar action=""Add""&gt;"&amp;(Saisie_Questions!$N20/$I20)&amp;"&lt;/setvar&gt;&lt;/respcondition&gt;","      &lt;respcondition continue=""Yes""&gt;&lt;conditionvar&gt;&lt;not&gt;&lt;varequal respident=""RESPONSE""&gt;4&lt;/varequal&gt;&lt;/not&gt;&lt;/conditionvar&gt;&lt;setvar action=""Add""&gt;"&amp;(Saisie_Questions!$N20/$I20)&amp;"&lt;/setvar&gt;&lt;/respcondition&gt;"))),"")</f>
        <v/>
      </c>
      <c r="AO20" s="2" t="str">
        <f>IF($B20,IF(Q20="","",IF($C20="qcu",IF(Y20,"      &lt;respcondition continue=""Yes""&gt;&lt;conditionvar&gt;&lt;varequal respident=""RESPONSE""&gt;5&lt;/varequal&gt;&lt;/conditionvar&gt;&lt;setvar action=""Add""&gt;"&amp;$H20&amp;"&lt;/setvar&gt;&lt;/respcondition&gt;",""),IF(Y20,"      &lt;respcondition continue=""Yes""&gt;&lt;conditionvar&gt;&lt;varequal respident=""RESPONSE""&gt;5&lt;/varequal&gt;&lt;/conditionvar&gt;&lt;setvar action=""Add""&gt;"&amp;(Saisie_Questions!$N20/$I20)&amp;"&lt;/setvar&gt;&lt;/respcondition&gt;","      &lt;respcondition continue=""Yes""&gt;&lt;conditionvar&gt;&lt;not&gt;&lt;varequal respident=""RESPONSE""&gt;5&lt;/varequal&gt;&lt;/not&gt;&lt;/conditionvar&gt;&lt;setvar action=""Add""&gt;"&amp;(Saisie_Questions!$N20/$I20)&amp;"&lt;/setvar&gt;&lt;/respcondition&gt;"))),"")</f>
        <v/>
      </c>
      <c r="AP20" s="2" t="str">
        <f>IF($B20,IF(R20="","",IF($C20="qcu",IF(Z20,"      &lt;respcondition continue=""Yes""&gt;&lt;conditionvar&gt;&lt;varequal respident=""RESPONSE""&gt;6&lt;/varequal&gt;&lt;/conditionvar&gt;&lt;setvar action=""Add""&gt;"&amp;$H20&amp;"&lt;/setvar&gt;&lt;/respcondition&gt;",""),IF(Z20,"      &lt;respcondition continue=""Yes""&gt;&lt;conditionvar&gt;&lt;varequal respident=""RESPONSE""&gt;6&lt;/varequal&gt;&lt;/conditionvar&gt;&lt;setvar action=""Add""&gt;"&amp;(Saisie_Questions!$N20/$I20)&amp;"&lt;/setvar&gt;&lt;/respcondition&gt;","      &lt;respcondition continue=""Yes""&gt;&lt;conditionvar&gt;&lt;not&gt;&lt;varequal respident=""RESPONSE""&gt;6&lt;/varequal&gt;&lt;/not&gt;&lt;/conditionvar&gt;&lt;setvar action=""Add""&gt;"&amp;(Saisie_Questions!$N20/$I20)&amp;"&lt;/setvar&gt;&lt;/respcondition&gt;"))),"")</f>
        <v/>
      </c>
      <c r="AQ20" s="2" t="str">
        <f>IF($B20,IF(S20="","",IF($C20="qcu",IF(AA20,"      &lt;respcondition continue=""Yes""&gt;&lt;conditionvar&gt;&lt;varequal respident=""RESPONSE""&gt;7&lt;/varequal&gt;&lt;/conditionvar&gt;&lt;setvar action=""Add""&gt;"&amp;$H20&amp;"&lt;/setvar&gt;&lt;/respcondition&gt;",""),IF(AA20,"      &lt;respcondition continue=""Yes""&gt;&lt;conditionvar&gt;&lt;varequal respident=""RESPONSE""&gt;7&lt;/varequal&gt;&lt;/conditionvar&gt;&lt;setvar action=""Add""&gt;"&amp;(Saisie_Questions!$N20/$I20)&amp;"&lt;/setvar&gt;&lt;/respcondition&gt;","      &lt;respcondition continue=""Yes""&gt;&lt;conditionvar&gt;&lt;not&gt;&lt;varequal respident=""RESPONSE""&gt;7&lt;/varequal&gt;&lt;/not&gt;&lt;/conditionvar&gt;&lt;setvar action=""Add""&gt;"&amp;(Saisie_Questions!$N20/$I20)&amp;"&lt;/setvar&gt;&lt;/respcondition&gt;"))),"")</f>
        <v/>
      </c>
    </row>
    <row r="21" spans="1:43" ht="18" customHeight="1">
      <c r="A21" s="2" t="str">
        <f>Saisie_Questions!A21</f>
        <v/>
      </c>
      <c r="B21" s="2" t="b">
        <f>Saisie_Questions!O21="OK"</f>
        <v>0</v>
      </c>
      <c r="C21" s="2" t="str">
        <f>LOWER(TRIM(Saisie_Questions!B21))</f>
        <v/>
      </c>
      <c r="D21" s="2" t="str">
        <f t="shared" si="0"/>
        <v>MULTIPLE CHOICE QUESTION</v>
      </c>
      <c r="E21" s="2" t="str">
        <f t="shared" si="1"/>
        <v>Multiple</v>
      </c>
      <c r="F21" s="2" t="str">
        <f>IF(A21="","",SUBSTITUTE(SUBSTITUTE(SUBSTITUTE(SUBSTITUTE(SUBSTITUTE(IF(Saisie_Questions!C21="", "Question "&amp;A21, Saisie_Questions!C21),"&amp;","&amp;amp;"),"&lt;","&amp;lt;"),"&gt;","&amp;gt;"),CHAR(34),"&amp;quot;"),"'","&amp;apos;"))</f>
        <v/>
      </c>
      <c r="G21" s="2" t="str">
        <f>IF(A21="","",SUBSTITUTE(SUBSTITUTE(SUBSTITUTE(SUBSTITUTE(SUBSTITUTE(Saisie_Questions!D21,"&amp;","&amp;amp;"),"&lt;","&amp;lt;"),"&gt;","&amp;gt;"),CHAR(34),"&amp;quot;"),"'","&amp;apos;"))</f>
        <v/>
      </c>
      <c r="H21" s="2">
        <f>Saisie_Questions!N21</f>
        <v>0</v>
      </c>
      <c r="I21" s="2">
        <f>IF(Saisie_Questions!E21="",0,1)+IF(Saisie_Questions!F21="",0,1)+IF(Saisie_Questions!G21="",0,1)+IF(Saisie_Questions!H21="",0,1)+IF(Saisie_Questions!I21="",0,1)+IF(Saisie_Questions!J21="",0,1)+IF(Saisie_Questions!K21="",0,1)+IF(Saisie_Questions!L21="",0,1)</f>
        <v>0</v>
      </c>
      <c r="J21" s="2">
        <f>Saisie_Questions!M21</f>
        <v>0</v>
      </c>
      <c r="K21" s="2" t="str">
        <f>Saisie_Questions!O21</f>
        <v/>
      </c>
      <c r="L21" s="2" t="str">
        <f>IF(Saisie_Questions!E21="","",SUBSTITUTE(SUBSTITUTE(SUBSTITUTE(SUBSTITUTE(SUBSTITUTE(Saisie_Questions!E21,"&amp;","&amp;amp;"),"&lt;","&amp;lt;"),"&gt;","&amp;gt;"),CHAR(34),"&amp;quot;"),"'","&amp;apos;"))</f>
        <v/>
      </c>
      <c r="M21" s="2" t="str">
        <f>IF(Saisie_Questions!F21="","",SUBSTITUTE(SUBSTITUTE(SUBSTITUTE(SUBSTITUTE(SUBSTITUTE(Saisie_Questions!F21,"&amp;","&amp;amp;"),"&lt;","&amp;lt;"),"&gt;","&amp;gt;"),CHAR(34),"&amp;quot;"),"'","&amp;apos;"))</f>
        <v/>
      </c>
      <c r="N21" s="2" t="str">
        <f>IF(Saisie_Questions!G21="","",SUBSTITUTE(SUBSTITUTE(SUBSTITUTE(SUBSTITUTE(SUBSTITUTE(Saisie_Questions!G21,"&amp;","&amp;amp;"),"&lt;","&amp;lt;"),"&gt;","&amp;gt;"),CHAR(34),"&amp;quot;"),"'","&amp;apos;"))</f>
        <v/>
      </c>
      <c r="O21" s="2" t="str">
        <f>IF(Saisie_Questions!H21="","",SUBSTITUTE(SUBSTITUTE(SUBSTITUTE(SUBSTITUTE(SUBSTITUTE(Saisie_Questions!H21,"&amp;","&amp;amp;"),"&lt;","&amp;lt;"),"&gt;","&amp;gt;"),CHAR(34),"&amp;quot;"),"'","&amp;apos;"))</f>
        <v/>
      </c>
      <c r="P21" s="2" t="str">
        <f>IF(Saisie_Questions!I21="","",SUBSTITUTE(SUBSTITUTE(SUBSTITUTE(SUBSTITUTE(SUBSTITUTE(Saisie_Questions!I21,"&amp;","&amp;amp;"),"&lt;","&amp;lt;"),"&gt;","&amp;gt;"),CHAR(34),"&amp;quot;"),"'","&amp;apos;"))</f>
        <v/>
      </c>
      <c r="Q21" s="2" t="str">
        <f>IF(Saisie_Questions!J21="","",SUBSTITUTE(SUBSTITUTE(SUBSTITUTE(SUBSTITUTE(SUBSTITUTE(Saisie_Questions!J21,"&amp;","&amp;amp;"),"&lt;","&amp;lt;"),"&gt;","&amp;gt;"),CHAR(34),"&amp;quot;"),"'","&amp;apos;"))</f>
        <v/>
      </c>
      <c r="R21" s="2" t="str">
        <f>IF(Saisie_Questions!K21="","",SUBSTITUTE(SUBSTITUTE(SUBSTITUTE(SUBSTITUTE(SUBSTITUTE(Saisie_Questions!K21,"&amp;","&amp;amp;"),"&lt;","&amp;lt;"),"&gt;","&amp;gt;"),CHAR(34),"&amp;quot;"),"'","&amp;apos;"))</f>
        <v/>
      </c>
      <c r="S21" s="2" t="str">
        <f>IF(Saisie_Questions!L21="","",SUBSTITUTE(SUBSTITUTE(SUBSTITUTE(SUBSTITUTE(SUBSTITUTE(Saisie_Questions!L21,"&amp;","&amp;amp;"),"&lt;","&amp;lt;"),"&gt;","&amp;gt;"),CHAR(34),"&amp;quot;"),"'","&amp;apos;"))</f>
        <v/>
      </c>
      <c r="T21" s="2" t="b">
        <f t="shared" si="2"/>
        <v>0</v>
      </c>
      <c r="U21" s="2" t="b">
        <f t="shared" si="3"/>
        <v>0</v>
      </c>
      <c r="V21" s="2" t="b">
        <f t="shared" si="4"/>
        <v>0</v>
      </c>
      <c r="W21" s="2" t="b">
        <f t="shared" si="5"/>
        <v>0</v>
      </c>
      <c r="X21" s="2" t="b">
        <f t="shared" si="6"/>
        <v>0</v>
      </c>
      <c r="Y21" s="2" t="b">
        <f t="shared" si="7"/>
        <v>0</v>
      </c>
      <c r="Z21" s="2" t="b">
        <f t="shared" si="8"/>
        <v>0</v>
      </c>
      <c r="AA21" s="2" t="b">
        <f t="shared" si="9"/>
        <v>0</v>
      </c>
      <c r="AB21" s="2" t="str">
        <f t="shared" si="10"/>
        <v/>
      </c>
      <c r="AC21" s="2" t="str">
        <f t="shared" si="11"/>
        <v/>
      </c>
      <c r="AD21" s="2" t="str">
        <f t="shared" si="12"/>
        <v/>
      </c>
      <c r="AE21" s="2" t="str">
        <f t="shared" si="13"/>
        <v/>
      </c>
      <c r="AF21" s="2" t="str">
        <f t="shared" si="14"/>
        <v/>
      </c>
      <c r="AG21" s="2" t="str">
        <f t="shared" si="15"/>
        <v/>
      </c>
      <c r="AH21" s="2" t="str">
        <f t="shared" si="16"/>
        <v/>
      </c>
      <c r="AI21" s="2" t="str">
        <f t="shared" si="17"/>
        <v/>
      </c>
      <c r="AJ21" s="2" t="str">
        <f>IF($B21,IF(L21="","",IF($C21="qcu",IF(T21,"      &lt;respcondition continue=""Yes""&gt;&lt;conditionvar&gt;&lt;varequal respident=""RESPONSE""&gt;0&lt;/varequal&gt;&lt;/conditionvar&gt;&lt;setvar action=""Add""&gt;"&amp;$H21&amp;"&lt;/setvar&gt;&lt;/respcondition&gt;",""),IF(T21,"      &lt;respcondition continue=""Yes""&gt;&lt;conditionvar&gt;&lt;varequal respident=""RESPONSE""&gt;0&lt;/varequal&gt;&lt;/conditionvar&gt;&lt;setvar action=""Add""&gt;"&amp;(Saisie_Questions!$N21/$I21)&amp;"&lt;/setvar&gt;&lt;/respcondition&gt;","      &lt;respcondition continue=""Yes""&gt;&lt;conditionvar&gt;&lt;not&gt;&lt;varequal respident=""RESPONSE""&gt;0&lt;/varequal&gt;&lt;/not&gt;&lt;/conditionvar&gt;&lt;setvar action=""Add""&gt;"&amp;(Saisie_Questions!$N21/$I21)&amp;"&lt;/setvar&gt;&lt;/respcondition&gt;"))),"")</f>
        <v/>
      </c>
      <c r="AK21" s="2" t="str">
        <f>IF($B21,IF(M21="","",IF($C21="qcu",IF(U21,"      &lt;respcondition continue=""Yes""&gt;&lt;conditionvar&gt;&lt;varequal respident=""RESPONSE""&gt;1&lt;/varequal&gt;&lt;/conditionvar&gt;&lt;setvar action=""Add""&gt;"&amp;$H21&amp;"&lt;/setvar&gt;&lt;/respcondition&gt;",""),IF(U21,"      &lt;respcondition continue=""Yes""&gt;&lt;conditionvar&gt;&lt;varequal respident=""RESPONSE""&gt;1&lt;/varequal&gt;&lt;/conditionvar&gt;&lt;setvar action=""Add""&gt;"&amp;(Saisie_Questions!$N21/$I21)&amp;"&lt;/setvar&gt;&lt;/respcondition&gt;","      &lt;respcondition continue=""Yes""&gt;&lt;conditionvar&gt;&lt;not&gt;&lt;varequal respident=""RESPONSE""&gt;1&lt;/varequal&gt;&lt;/not&gt;&lt;/conditionvar&gt;&lt;setvar action=""Add""&gt;"&amp;(Saisie_Questions!$N21/$I21)&amp;"&lt;/setvar&gt;&lt;/respcondition&gt;"))),"")</f>
        <v/>
      </c>
      <c r="AL21" s="2" t="str">
        <f>IF($B21,IF(N21="","",IF($C21="qcu",IF(V21,"      &lt;respcondition continue=""Yes""&gt;&lt;conditionvar&gt;&lt;varequal respident=""RESPONSE""&gt;2&lt;/varequal&gt;&lt;/conditionvar&gt;&lt;setvar action=""Add""&gt;"&amp;$H21&amp;"&lt;/setvar&gt;&lt;/respcondition&gt;",""),IF(V21,"      &lt;respcondition continue=""Yes""&gt;&lt;conditionvar&gt;&lt;varequal respident=""RESPONSE""&gt;2&lt;/varequal&gt;&lt;/conditionvar&gt;&lt;setvar action=""Add""&gt;"&amp;(Saisie_Questions!$N21/$I21)&amp;"&lt;/setvar&gt;&lt;/respcondition&gt;","      &lt;respcondition continue=""Yes""&gt;&lt;conditionvar&gt;&lt;not&gt;&lt;varequal respident=""RESPONSE""&gt;2&lt;/varequal&gt;&lt;/not&gt;&lt;/conditionvar&gt;&lt;setvar action=""Add""&gt;"&amp;(Saisie_Questions!$N21/$I21)&amp;"&lt;/setvar&gt;&lt;/respcondition&gt;"))),"")</f>
        <v/>
      </c>
      <c r="AM21" s="2" t="str">
        <f>IF($B21,IF(O21="","",IF($C21="qcu",IF(W21,"      &lt;respcondition continue=""Yes""&gt;&lt;conditionvar&gt;&lt;varequal respident=""RESPONSE""&gt;3&lt;/varequal&gt;&lt;/conditionvar&gt;&lt;setvar action=""Add""&gt;"&amp;$H21&amp;"&lt;/setvar&gt;&lt;/respcondition&gt;",""),IF(W21,"      &lt;respcondition continue=""Yes""&gt;&lt;conditionvar&gt;&lt;varequal respident=""RESPONSE""&gt;3&lt;/varequal&gt;&lt;/conditionvar&gt;&lt;setvar action=""Add""&gt;"&amp;(Saisie_Questions!$N21/$I21)&amp;"&lt;/setvar&gt;&lt;/respcondition&gt;","      &lt;respcondition continue=""Yes""&gt;&lt;conditionvar&gt;&lt;not&gt;&lt;varequal respident=""RESPONSE""&gt;3&lt;/varequal&gt;&lt;/not&gt;&lt;/conditionvar&gt;&lt;setvar action=""Add""&gt;"&amp;(Saisie_Questions!$N21/$I21)&amp;"&lt;/setvar&gt;&lt;/respcondition&gt;"))),"")</f>
        <v/>
      </c>
      <c r="AN21" s="2" t="str">
        <f>IF($B21,IF(P21="","",IF($C21="qcu",IF(X21,"      &lt;respcondition continue=""Yes""&gt;&lt;conditionvar&gt;&lt;varequal respident=""RESPONSE""&gt;4&lt;/varequal&gt;&lt;/conditionvar&gt;&lt;setvar action=""Add""&gt;"&amp;$H21&amp;"&lt;/setvar&gt;&lt;/respcondition&gt;",""),IF(X21,"      &lt;respcondition continue=""Yes""&gt;&lt;conditionvar&gt;&lt;varequal respident=""RESPONSE""&gt;4&lt;/varequal&gt;&lt;/conditionvar&gt;&lt;setvar action=""Add""&gt;"&amp;(Saisie_Questions!$N21/$I21)&amp;"&lt;/setvar&gt;&lt;/respcondition&gt;","      &lt;respcondition continue=""Yes""&gt;&lt;conditionvar&gt;&lt;not&gt;&lt;varequal respident=""RESPONSE""&gt;4&lt;/varequal&gt;&lt;/not&gt;&lt;/conditionvar&gt;&lt;setvar action=""Add""&gt;"&amp;(Saisie_Questions!$N21/$I21)&amp;"&lt;/setvar&gt;&lt;/respcondition&gt;"))),"")</f>
        <v/>
      </c>
      <c r="AO21" s="2" t="str">
        <f>IF($B21,IF(Q21="","",IF($C21="qcu",IF(Y21,"      &lt;respcondition continue=""Yes""&gt;&lt;conditionvar&gt;&lt;varequal respident=""RESPONSE""&gt;5&lt;/varequal&gt;&lt;/conditionvar&gt;&lt;setvar action=""Add""&gt;"&amp;$H21&amp;"&lt;/setvar&gt;&lt;/respcondition&gt;",""),IF(Y21,"      &lt;respcondition continue=""Yes""&gt;&lt;conditionvar&gt;&lt;varequal respident=""RESPONSE""&gt;5&lt;/varequal&gt;&lt;/conditionvar&gt;&lt;setvar action=""Add""&gt;"&amp;(Saisie_Questions!$N21/$I21)&amp;"&lt;/setvar&gt;&lt;/respcondition&gt;","      &lt;respcondition continue=""Yes""&gt;&lt;conditionvar&gt;&lt;not&gt;&lt;varequal respident=""RESPONSE""&gt;5&lt;/varequal&gt;&lt;/not&gt;&lt;/conditionvar&gt;&lt;setvar action=""Add""&gt;"&amp;(Saisie_Questions!$N21/$I21)&amp;"&lt;/setvar&gt;&lt;/respcondition&gt;"))),"")</f>
        <v/>
      </c>
      <c r="AP21" s="2" t="str">
        <f>IF($B21,IF(R21="","",IF($C21="qcu",IF(Z21,"      &lt;respcondition continue=""Yes""&gt;&lt;conditionvar&gt;&lt;varequal respident=""RESPONSE""&gt;6&lt;/varequal&gt;&lt;/conditionvar&gt;&lt;setvar action=""Add""&gt;"&amp;$H21&amp;"&lt;/setvar&gt;&lt;/respcondition&gt;",""),IF(Z21,"      &lt;respcondition continue=""Yes""&gt;&lt;conditionvar&gt;&lt;varequal respident=""RESPONSE""&gt;6&lt;/varequal&gt;&lt;/conditionvar&gt;&lt;setvar action=""Add""&gt;"&amp;(Saisie_Questions!$N21/$I21)&amp;"&lt;/setvar&gt;&lt;/respcondition&gt;","      &lt;respcondition continue=""Yes""&gt;&lt;conditionvar&gt;&lt;not&gt;&lt;varequal respident=""RESPONSE""&gt;6&lt;/varequal&gt;&lt;/not&gt;&lt;/conditionvar&gt;&lt;setvar action=""Add""&gt;"&amp;(Saisie_Questions!$N21/$I21)&amp;"&lt;/setvar&gt;&lt;/respcondition&gt;"))),"")</f>
        <v/>
      </c>
      <c r="AQ21" s="2" t="str">
        <f>IF($B21,IF(S21="","",IF($C21="qcu",IF(AA21,"      &lt;respcondition continue=""Yes""&gt;&lt;conditionvar&gt;&lt;varequal respident=""RESPONSE""&gt;7&lt;/varequal&gt;&lt;/conditionvar&gt;&lt;setvar action=""Add""&gt;"&amp;$H21&amp;"&lt;/setvar&gt;&lt;/respcondition&gt;",""),IF(AA21,"      &lt;respcondition continue=""Yes""&gt;&lt;conditionvar&gt;&lt;varequal respident=""RESPONSE""&gt;7&lt;/varequal&gt;&lt;/conditionvar&gt;&lt;setvar action=""Add""&gt;"&amp;(Saisie_Questions!$N21/$I21)&amp;"&lt;/setvar&gt;&lt;/respcondition&gt;","      &lt;respcondition continue=""Yes""&gt;&lt;conditionvar&gt;&lt;not&gt;&lt;varequal respident=""RESPONSE""&gt;7&lt;/varequal&gt;&lt;/not&gt;&lt;/conditionvar&gt;&lt;setvar action=""Add""&gt;"&amp;(Saisie_Questions!$N21/$I21)&amp;"&lt;/setvar&gt;&lt;/respcondition&gt;"))),"")</f>
        <v/>
      </c>
    </row>
    <row r="22" spans="1:43" ht="18" customHeight="1">
      <c r="A22" s="2" t="str">
        <f>Saisie_Questions!A22</f>
        <v/>
      </c>
      <c r="B22" s="2" t="b">
        <f>Saisie_Questions!O22="OK"</f>
        <v>0</v>
      </c>
      <c r="C22" s="2" t="str">
        <f>LOWER(TRIM(Saisie_Questions!B22))</f>
        <v/>
      </c>
      <c r="D22" s="2" t="str">
        <f t="shared" si="0"/>
        <v>MULTIPLE CHOICE QUESTION</v>
      </c>
      <c r="E22" s="2" t="str">
        <f t="shared" si="1"/>
        <v>Multiple</v>
      </c>
      <c r="F22" s="2" t="str">
        <f>IF(A22="","",SUBSTITUTE(SUBSTITUTE(SUBSTITUTE(SUBSTITUTE(SUBSTITUTE(IF(Saisie_Questions!C22="", "Question "&amp;A22, Saisie_Questions!C22),"&amp;","&amp;amp;"),"&lt;","&amp;lt;"),"&gt;","&amp;gt;"),CHAR(34),"&amp;quot;"),"'","&amp;apos;"))</f>
        <v/>
      </c>
      <c r="G22" s="2" t="str">
        <f>IF(A22="","",SUBSTITUTE(SUBSTITUTE(SUBSTITUTE(SUBSTITUTE(SUBSTITUTE(Saisie_Questions!D22,"&amp;","&amp;amp;"),"&lt;","&amp;lt;"),"&gt;","&amp;gt;"),CHAR(34),"&amp;quot;"),"'","&amp;apos;"))</f>
        <v/>
      </c>
      <c r="H22" s="2">
        <f>Saisie_Questions!N22</f>
        <v>0</v>
      </c>
      <c r="I22" s="2">
        <f>IF(Saisie_Questions!E22="",0,1)+IF(Saisie_Questions!F22="",0,1)+IF(Saisie_Questions!G22="",0,1)+IF(Saisie_Questions!H22="",0,1)+IF(Saisie_Questions!I22="",0,1)+IF(Saisie_Questions!J22="",0,1)+IF(Saisie_Questions!K22="",0,1)+IF(Saisie_Questions!L22="",0,1)</f>
        <v>0</v>
      </c>
      <c r="J22" s="2">
        <f>Saisie_Questions!M22</f>
        <v>0</v>
      </c>
      <c r="K22" s="2" t="str">
        <f>Saisie_Questions!O22</f>
        <v/>
      </c>
      <c r="L22" s="2" t="str">
        <f>IF(Saisie_Questions!E22="","",SUBSTITUTE(SUBSTITUTE(SUBSTITUTE(SUBSTITUTE(SUBSTITUTE(Saisie_Questions!E22,"&amp;","&amp;amp;"),"&lt;","&amp;lt;"),"&gt;","&amp;gt;"),CHAR(34),"&amp;quot;"),"'","&amp;apos;"))</f>
        <v/>
      </c>
      <c r="M22" s="2" t="str">
        <f>IF(Saisie_Questions!F22="","",SUBSTITUTE(SUBSTITUTE(SUBSTITUTE(SUBSTITUTE(SUBSTITUTE(Saisie_Questions!F22,"&amp;","&amp;amp;"),"&lt;","&amp;lt;"),"&gt;","&amp;gt;"),CHAR(34),"&amp;quot;"),"'","&amp;apos;"))</f>
        <v/>
      </c>
      <c r="N22" s="2" t="str">
        <f>IF(Saisie_Questions!G22="","",SUBSTITUTE(SUBSTITUTE(SUBSTITUTE(SUBSTITUTE(SUBSTITUTE(Saisie_Questions!G22,"&amp;","&amp;amp;"),"&lt;","&amp;lt;"),"&gt;","&amp;gt;"),CHAR(34),"&amp;quot;"),"'","&amp;apos;"))</f>
        <v/>
      </c>
      <c r="O22" s="2" t="str">
        <f>IF(Saisie_Questions!H22="","",SUBSTITUTE(SUBSTITUTE(SUBSTITUTE(SUBSTITUTE(SUBSTITUTE(Saisie_Questions!H22,"&amp;","&amp;amp;"),"&lt;","&amp;lt;"),"&gt;","&amp;gt;"),CHAR(34),"&amp;quot;"),"'","&amp;apos;"))</f>
        <v/>
      </c>
      <c r="P22" s="2" t="str">
        <f>IF(Saisie_Questions!I22="","",SUBSTITUTE(SUBSTITUTE(SUBSTITUTE(SUBSTITUTE(SUBSTITUTE(Saisie_Questions!I22,"&amp;","&amp;amp;"),"&lt;","&amp;lt;"),"&gt;","&amp;gt;"),CHAR(34),"&amp;quot;"),"'","&amp;apos;"))</f>
        <v/>
      </c>
      <c r="Q22" s="2" t="str">
        <f>IF(Saisie_Questions!J22="","",SUBSTITUTE(SUBSTITUTE(SUBSTITUTE(SUBSTITUTE(SUBSTITUTE(Saisie_Questions!J22,"&amp;","&amp;amp;"),"&lt;","&amp;lt;"),"&gt;","&amp;gt;"),CHAR(34),"&amp;quot;"),"'","&amp;apos;"))</f>
        <v/>
      </c>
      <c r="R22" s="2" t="str">
        <f>IF(Saisie_Questions!K22="","",SUBSTITUTE(SUBSTITUTE(SUBSTITUTE(SUBSTITUTE(SUBSTITUTE(Saisie_Questions!K22,"&amp;","&amp;amp;"),"&lt;","&amp;lt;"),"&gt;","&amp;gt;"),CHAR(34),"&amp;quot;"),"'","&amp;apos;"))</f>
        <v/>
      </c>
      <c r="S22" s="2" t="str">
        <f>IF(Saisie_Questions!L22="","",SUBSTITUTE(SUBSTITUTE(SUBSTITUTE(SUBSTITUTE(SUBSTITUTE(Saisie_Questions!L22,"&amp;","&amp;amp;"),"&lt;","&amp;lt;"),"&gt;","&amp;gt;"),CHAR(34),"&amp;quot;"),"'","&amp;apos;"))</f>
        <v/>
      </c>
      <c r="T22" s="2" t="b">
        <f t="shared" si="2"/>
        <v>0</v>
      </c>
      <c r="U22" s="2" t="b">
        <f t="shared" si="3"/>
        <v>0</v>
      </c>
      <c r="V22" s="2" t="b">
        <f t="shared" si="4"/>
        <v>0</v>
      </c>
      <c r="W22" s="2" t="b">
        <f t="shared" si="5"/>
        <v>0</v>
      </c>
      <c r="X22" s="2" t="b">
        <f t="shared" si="6"/>
        <v>0</v>
      </c>
      <c r="Y22" s="2" t="b">
        <f t="shared" si="7"/>
        <v>0</v>
      </c>
      <c r="Z22" s="2" t="b">
        <f t="shared" si="8"/>
        <v>0</v>
      </c>
      <c r="AA22" s="2" t="b">
        <f t="shared" si="9"/>
        <v>0</v>
      </c>
      <c r="AB22" s="2" t="str">
        <f t="shared" si="10"/>
        <v/>
      </c>
      <c r="AC22" s="2" t="str">
        <f t="shared" si="11"/>
        <v/>
      </c>
      <c r="AD22" s="2" t="str">
        <f t="shared" si="12"/>
        <v/>
      </c>
      <c r="AE22" s="2" t="str">
        <f t="shared" si="13"/>
        <v/>
      </c>
      <c r="AF22" s="2" t="str">
        <f t="shared" si="14"/>
        <v/>
      </c>
      <c r="AG22" s="2" t="str">
        <f t="shared" si="15"/>
        <v/>
      </c>
      <c r="AH22" s="2" t="str">
        <f t="shared" si="16"/>
        <v/>
      </c>
      <c r="AI22" s="2" t="str">
        <f t="shared" si="17"/>
        <v/>
      </c>
      <c r="AJ22" s="2" t="str">
        <f>IF($B22,IF(L22="","",IF($C22="qcu",IF(T22,"      &lt;respcondition continue=""Yes""&gt;&lt;conditionvar&gt;&lt;varequal respident=""RESPONSE""&gt;0&lt;/varequal&gt;&lt;/conditionvar&gt;&lt;setvar action=""Add""&gt;"&amp;$H22&amp;"&lt;/setvar&gt;&lt;/respcondition&gt;",""),IF(T22,"      &lt;respcondition continue=""Yes""&gt;&lt;conditionvar&gt;&lt;varequal respident=""RESPONSE""&gt;0&lt;/varequal&gt;&lt;/conditionvar&gt;&lt;setvar action=""Add""&gt;"&amp;(Saisie_Questions!$N22/$I22)&amp;"&lt;/setvar&gt;&lt;/respcondition&gt;","      &lt;respcondition continue=""Yes""&gt;&lt;conditionvar&gt;&lt;not&gt;&lt;varequal respident=""RESPONSE""&gt;0&lt;/varequal&gt;&lt;/not&gt;&lt;/conditionvar&gt;&lt;setvar action=""Add""&gt;"&amp;(Saisie_Questions!$N22/$I22)&amp;"&lt;/setvar&gt;&lt;/respcondition&gt;"))),"")</f>
        <v/>
      </c>
      <c r="AK22" s="2" t="str">
        <f>IF($B22,IF(M22="","",IF($C22="qcu",IF(U22,"      &lt;respcondition continue=""Yes""&gt;&lt;conditionvar&gt;&lt;varequal respident=""RESPONSE""&gt;1&lt;/varequal&gt;&lt;/conditionvar&gt;&lt;setvar action=""Add""&gt;"&amp;$H22&amp;"&lt;/setvar&gt;&lt;/respcondition&gt;",""),IF(U22,"      &lt;respcondition continue=""Yes""&gt;&lt;conditionvar&gt;&lt;varequal respident=""RESPONSE""&gt;1&lt;/varequal&gt;&lt;/conditionvar&gt;&lt;setvar action=""Add""&gt;"&amp;(Saisie_Questions!$N22/$I22)&amp;"&lt;/setvar&gt;&lt;/respcondition&gt;","      &lt;respcondition continue=""Yes""&gt;&lt;conditionvar&gt;&lt;not&gt;&lt;varequal respident=""RESPONSE""&gt;1&lt;/varequal&gt;&lt;/not&gt;&lt;/conditionvar&gt;&lt;setvar action=""Add""&gt;"&amp;(Saisie_Questions!$N22/$I22)&amp;"&lt;/setvar&gt;&lt;/respcondition&gt;"))),"")</f>
        <v/>
      </c>
      <c r="AL22" s="2" t="str">
        <f>IF($B22,IF(N22="","",IF($C22="qcu",IF(V22,"      &lt;respcondition continue=""Yes""&gt;&lt;conditionvar&gt;&lt;varequal respident=""RESPONSE""&gt;2&lt;/varequal&gt;&lt;/conditionvar&gt;&lt;setvar action=""Add""&gt;"&amp;$H22&amp;"&lt;/setvar&gt;&lt;/respcondition&gt;",""),IF(V22,"      &lt;respcondition continue=""Yes""&gt;&lt;conditionvar&gt;&lt;varequal respident=""RESPONSE""&gt;2&lt;/varequal&gt;&lt;/conditionvar&gt;&lt;setvar action=""Add""&gt;"&amp;(Saisie_Questions!$N22/$I22)&amp;"&lt;/setvar&gt;&lt;/respcondition&gt;","      &lt;respcondition continue=""Yes""&gt;&lt;conditionvar&gt;&lt;not&gt;&lt;varequal respident=""RESPONSE""&gt;2&lt;/varequal&gt;&lt;/not&gt;&lt;/conditionvar&gt;&lt;setvar action=""Add""&gt;"&amp;(Saisie_Questions!$N22/$I22)&amp;"&lt;/setvar&gt;&lt;/respcondition&gt;"))),"")</f>
        <v/>
      </c>
      <c r="AM22" s="2" t="str">
        <f>IF($B22,IF(O22="","",IF($C22="qcu",IF(W22,"      &lt;respcondition continue=""Yes""&gt;&lt;conditionvar&gt;&lt;varequal respident=""RESPONSE""&gt;3&lt;/varequal&gt;&lt;/conditionvar&gt;&lt;setvar action=""Add""&gt;"&amp;$H22&amp;"&lt;/setvar&gt;&lt;/respcondition&gt;",""),IF(W22,"      &lt;respcondition continue=""Yes""&gt;&lt;conditionvar&gt;&lt;varequal respident=""RESPONSE""&gt;3&lt;/varequal&gt;&lt;/conditionvar&gt;&lt;setvar action=""Add""&gt;"&amp;(Saisie_Questions!$N22/$I22)&amp;"&lt;/setvar&gt;&lt;/respcondition&gt;","      &lt;respcondition continue=""Yes""&gt;&lt;conditionvar&gt;&lt;not&gt;&lt;varequal respident=""RESPONSE""&gt;3&lt;/varequal&gt;&lt;/not&gt;&lt;/conditionvar&gt;&lt;setvar action=""Add""&gt;"&amp;(Saisie_Questions!$N22/$I22)&amp;"&lt;/setvar&gt;&lt;/respcondition&gt;"))),"")</f>
        <v/>
      </c>
      <c r="AN22" s="2" t="str">
        <f>IF($B22,IF(P22="","",IF($C22="qcu",IF(X22,"      &lt;respcondition continue=""Yes""&gt;&lt;conditionvar&gt;&lt;varequal respident=""RESPONSE""&gt;4&lt;/varequal&gt;&lt;/conditionvar&gt;&lt;setvar action=""Add""&gt;"&amp;$H22&amp;"&lt;/setvar&gt;&lt;/respcondition&gt;",""),IF(X22,"      &lt;respcondition continue=""Yes""&gt;&lt;conditionvar&gt;&lt;varequal respident=""RESPONSE""&gt;4&lt;/varequal&gt;&lt;/conditionvar&gt;&lt;setvar action=""Add""&gt;"&amp;(Saisie_Questions!$N22/$I22)&amp;"&lt;/setvar&gt;&lt;/respcondition&gt;","      &lt;respcondition continue=""Yes""&gt;&lt;conditionvar&gt;&lt;not&gt;&lt;varequal respident=""RESPONSE""&gt;4&lt;/varequal&gt;&lt;/not&gt;&lt;/conditionvar&gt;&lt;setvar action=""Add""&gt;"&amp;(Saisie_Questions!$N22/$I22)&amp;"&lt;/setvar&gt;&lt;/respcondition&gt;"))),"")</f>
        <v/>
      </c>
      <c r="AO22" s="2" t="str">
        <f>IF($B22,IF(Q22="","",IF($C22="qcu",IF(Y22,"      &lt;respcondition continue=""Yes""&gt;&lt;conditionvar&gt;&lt;varequal respident=""RESPONSE""&gt;5&lt;/varequal&gt;&lt;/conditionvar&gt;&lt;setvar action=""Add""&gt;"&amp;$H22&amp;"&lt;/setvar&gt;&lt;/respcondition&gt;",""),IF(Y22,"      &lt;respcondition continue=""Yes""&gt;&lt;conditionvar&gt;&lt;varequal respident=""RESPONSE""&gt;5&lt;/varequal&gt;&lt;/conditionvar&gt;&lt;setvar action=""Add""&gt;"&amp;(Saisie_Questions!$N22/$I22)&amp;"&lt;/setvar&gt;&lt;/respcondition&gt;","      &lt;respcondition continue=""Yes""&gt;&lt;conditionvar&gt;&lt;not&gt;&lt;varequal respident=""RESPONSE""&gt;5&lt;/varequal&gt;&lt;/not&gt;&lt;/conditionvar&gt;&lt;setvar action=""Add""&gt;"&amp;(Saisie_Questions!$N22/$I22)&amp;"&lt;/setvar&gt;&lt;/respcondition&gt;"))),"")</f>
        <v/>
      </c>
      <c r="AP22" s="2" t="str">
        <f>IF($B22,IF(R22="","",IF($C22="qcu",IF(Z22,"      &lt;respcondition continue=""Yes""&gt;&lt;conditionvar&gt;&lt;varequal respident=""RESPONSE""&gt;6&lt;/varequal&gt;&lt;/conditionvar&gt;&lt;setvar action=""Add""&gt;"&amp;$H22&amp;"&lt;/setvar&gt;&lt;/respcondition&gt;",""),IF(Z22,"      &lt;respcondition continue=""Yes""&gt;&lt;conditionvar&gt;&lt;varequal respident=""RESPONSE""&gt;6&lt;/varequal&gt;&lt;/conditionvar&gt;&lt;setvar action=""Add""&gt;"&amp;(Saisie_Questions!$N22/$I22)&amp;"&lt;/setvar&gt;&lt;/respcondition&gt;","      &lt;respcondition continue=""Yes""&gt;&lt;conditionvar&gt;&lt;not&gt;&lt;varequal respident=""RESPONSE""&gt;6&lt;/varequal&gt;&lt;/not&gt;&lt;/conditionvar&gt;&lt;setvar action=""Add""&gt;"&amp;(Saisie_Questions!$N22/$I22)&amp;"&lt;/setvar&gt;&lt;/respcondition&gt;"))),"")</f>
        <v/>
      </c>
      <c r="AQ22" s="2" t="str">
        <f>IF($B22,IF(S22="","",IF($C22="qcu",IF(AA22,"      &lt;respcondition continue=""Yes""&gt;&lt;conditionvar&gt;&lt;varequal respident=""RESPONSE""&gt;7&lt;/varequal&gt;&lt;/conditionvar&gt;&lt;setvar action=""Add""&gt;"&amp;$H22&amp;"&lt;/setvar&gt;&lt;/respcondition&gt;",""),IF(AA22,"      &lt;respcondition continue=""Yes""&gt;&lt;conditionvar&gt;&lt;varequal respident=""RESPONSE""&gt;7&lt;/varequal&gt;&lt;/conditionvar&gt;&lt;setvar action=""Add""&gt;"&amp;(Saisie_Questions!$N22/$I22)&amp;"&lt;/setvar&gt;&lt;/respcondition&gt;","      &lt;respcondition continue=""Yes""&gt;&lt;conditionvar&gt;&lt;not&gt;&lt;varequal respident=""RESPONSE""&gt;7&lt;/varequal&gt;&lt;/not&gt;&lt;/conditionvar&gt;&lt;setvar action=""Add""&gt;"&amp;(Saisie_Questions!$N22/$I22)&amp;"&lt;/setvar&gt;&lt;/respcondition&gt;"))),"")</f>
        <v/>
      </c>
    </row>
    <row r="23" spans="1:43" ht="18" customHeight="1">
      <c r="A23" s="2" t="str">
        <f>Saisie_Questions!A23</f>
        <v/>
      </c>
      <c r="B23" s="2" t="b">
        <f>Saisie_Questions!O23="OK"</f>
        <v>0</v>
      </c>
      <c r="C23" s="2" t="str">
        <f>LOWER(TRIM(Saisie_Questions!B23))</f>
        <v/>
      </c>
      <c r="D23" s="2" t="str">
        <f t="shared" si="0"/>
        <v>MULTIPLE CHOICE QUESTION</v>
      </c>
      <c r="E23" s="2" t="str">
        <f t="shared" si="1"/>
        <v>Multiple</v>
      </c>
      <c r="F23" s="2" t="str">
        <f>IF(A23="","",SUBSTITUTE(SUBSTITUTE(SUBSTITUTE(SUBSTITUTE(SUBSTITUTE(IF(Saisie_Questions!C23="", "Question "&amp;A23, Saisie_Questions!C23),"&amp;","&amp;amp;"),"&lt;","&amp;lt;"),"&gt;","&amp;gt;"),CHAR(34),"&amp;quot;"),"'","&amp;apos;"))</f>
        <v/>
      </c>
      <c r="G23" s="2" t="str">
        <f>IF(A23="","",SUBSTITUTE(SUBSTITUTE(SUBSTITUTE(SUBSTITUTE(SUBSTITUTE(Saisie_Questions!D23,"&amp;","&amp;amp;"),"&lt;","&amp;lt;"),"&gt;","&amp;gt;"),CHAR(34),"&amp;quot;"),"'","&amp;apos;"))</f>
        <v/>
      </c>
      <c r="H23" s="2">
        <f>Saisie_Questions!N23</f>
        <v>0</v>
      </c>
      <c r="I23" s="2">
        <f>IF(Saisie_Questions!E23="",0,1)+IF(Saisie_Questions!F23="",0,1)+IF(Saisie_Questions!G23="",0,1)+IF(Saisie_Questions!H23="",0,1)+IF(Saisie_Questions!I23="",0,1)+IF(Saisie_Questions!J23="",0,1)+IF(Saisie_Questions!K23="",0,1)+IF(Saisie_Questions!L23="",0,1)</f>
        <v>0</v>
      </c>
      <c r="J23" s="2">
        <f>Saisie_Questions!M23</f>
        <v>0</v>
      </c>
      <c r="K23" s="2" t="str">
        <f>Saisie_Questions!O23</f>
        <v/>
      </c>
      <c r="L23" s="2" t="str">
        <f>IF(Saisie_Questions!E23="","",SUBSTITUTE(SUBSTITUTE(SUBSTITUTE(SUBSTITUTE(SUBSTITUTE(Saisie_Questions!E23,"&amp;","&amp;amp;"),"&lt;","&amp;lt;"),"&gt;","&amp;gt;"),CHAR(34),"&amp;quot;"),"'","&amp;apos;"))</f>
        <v/>
      </c>
      <c r="M23" s="2" t="str">
        <f>IF(Saisie_Questions!F23="","",SUBSTITUTE(SUBSTITUTE(SUBSTITUTE(SUBSTITUTE(SUBSTITUTE(Saisie_Questions!F23,"&amp;","&amp;amp;"),"&lt;","&amp;lt;"),"&gt;","&amp;gt;"),CHAR(34),"&amp;quot;"),"'","&amp;apos;"))</f>
        <v/>
      </c>
      <c r="N23" s="2" t="str">
        <f>IF(Saisie_Questions!G23="","",SUBSTITUTE(SUBSTITUTE(SUBSTITUTE(SUBSTITUTE(SUBSTITUTE(Saisie_Questions!G23,"&amp;","&amp;amp;"),"&lt;","&amp;lt;"),"&gt;","&amp;gt;"),CHAR(34),"&amp;quot;"),"'","&amp;apos;"))</f>
        <v/>
      </c>
      <c r="O23" s="2" t="str">
        <f>IF(Saisie_Questions!H23="","",SUBSTITUTE(SUBSTITUTE(SUBSTITUTE(SUBSTITUTE(SUBSTITUTE(Saisie_Questions!H23,"&amp;","&amp;amp;"),"&lt;","&amp;lt;"),"&gt;","&amp;gt;"),CHAR(34),"&amp;quot;"),"'","&amp;apos;"))</f>
        <v/>
      </c>
      <c r="P23" s="2" t="str">
        <f>IF(Saisie_Questions!I23="","",SUBSTITUTE(SUBSTITUTE(SUBSTITUTE(SUBSTITUTE(SUBSTITUTE(Saisie_Questions!I23,"&amp;","&amp;amp;"),"&lt;","&amp;lt;"),"&gt;","&amp;gt;"),CHAR(34),"&amp;quot;"),"'","&amp;apos;"))</f>
        <v/>
      </c>
      <c r="Q23" s="2" t="str">
        <f>IF(Saisie_Questions!J23="","",SUBSTITUTE(SUBSTITUTE(SUBSTITUTE(SUBSTITUTE(SUBSTITUTE(Saisie_Questions!J23,"&amp;","&amp;amp;"),"&lt;","&amp;lt;"),"&gt;","&amp;gt;"),CHAR(34),"&amp;quot;"),"'","&amp;apos;"))</f>
        <v/>
      </c>
      <c r="R23" s="2" t="str">
        <f>IF(Saisie_Questions!K23="","",SUBSTITUTE(SUBSTITUTE(SUBSTITUTE(SUBSTITUTE(SUBSTITUTE(Saisie_Questions!K23,"&amp;","&amp;amp;"),"&lt;","&amp;lt;"),"&gt;","&amp;gt;"),CHAR(34),"&amp;quot;"),"'","&amp;apos;"))</f>
        <v/>
      </c>
      <c r="S23" s="2" t="str">
        <f>IF(Saisie_Questions!L23="","",SUBSTITUTE(SUBSTITUTE(SUBSTITUTE(SUBSTITUTE(SUBSTITUTE(Saisie_Questions!L23,"&amp;","&amp;amp;"),"&lt;","&amp;lt;"),"&gt;","&amp;gt;"),CHAR(34),"&amp;quot;"),"'","&amp;apos;"))</f>
        <v/>
      </c>
      <c r="T23" s="2" t="b">
        <f t="shared" si="2"/>
        <v>0</v>
      </c>
      <c r="U23" s="2" t="b">
        <f t="shared" si="3"/>
        <v>0</v>
      </c>
      <c r="V23" s="2" t="b">
        <f t="shared" si="4"/>
        <v>0</v>
      </c>
      <c r="W23" s="2" t="b">
        <f t="shared" si="5"/>
        <v>0</v>
      </c>
      <c r="X23" s="2" t="b">
        <f t="shared" si="6"/>
        <v>0</v>
      </c>
      <c r="Y23" s="2" t="b">
        <f t="shared" si="7"/>
        <v>0</v>
      </c>
      <c r="Z23" s="2" t="b">
        <f t="shared" si="8"/>
        <v>0</v>
      </c>
      <c r="AA23" s="2" t="b">
        <f t="shared" si="9"/>
        <v>0</v>
      </c>
      <c r="AB23" s="2" t="str">
        <f t="shared" si="10"/>
        <v/>
      </c>
      <c r="AC23" s="2" t="str">
        <f t="shared" si="11"/>
        <v/>
      </c>
      <c r="AD23" s="2" t="str">
        <f t="shared" si="12"/>
        <v/>
      </c>
      <c r="AE23" s="2" t="str">
        <f t="shared" si="13"/>
        <v/>
      </c>
      <c r="AF23" s="2" t="str">
        <f t="shared" si="14"/>
        <v/>
      </c>
      <c r="AG23" s="2" t="str">
        <f t="shared" si="15"/>
        <v/>
      </c>
      <c r="AH23" s="2" t="str">
        <f t="shared" si="16"/>
        <v/>
      </c>
      <c r="AI23" s="2" t="str">
        <f t="shared" si="17"/>
        <v/>
      </c>
      <c r="AJ23" s="2" t="str">
        <f>IF($B23,IF(L23="","",IF($C23="qcu",IF(T23,"      &lt;respcondition continue=""Yes""&gt;&lt;conditionvar&gt;&lt;varequal respident=""RESPONSE""&gt;0&lt;/varequal&gt;&lt;/conditionvar&gt;&lt;setvar action=""Add""&gt;"&amp;$H23&amp;"&lt;/setvar&gt;&lt;/respcondition&gt;",""),IF(T23,"      &lt;respcondition continue=""Yes""&gt;&lt;conditionvar&gt;&lt;varequal respident=""RESPONSE""&gt;0&lt;/varequal&gt;&lt;/conditionvar&gt;&lt;setvar action=""Add""&gt;"&amp;(Saisie_Questions!$N23/$I23)&amp;"&lt;/setvar&gt;&lt;/respcondition&gt;","      &lt;respcondition continue=""Yes""&gt;&lt;conditionvar&gt;&lt;not&gt;&lt;varequal respident=""RESPONSE""&gt;0&lt;/varequal&gt;&lt;/not&gt;&lt;/conditionvar&gt;&lt;setvar action=""Add""&gt;"&amp;(Saisie_Questions!$N23/$I23)&amp;"&lt;/setvar&gt;&lt;/respcondition&gt;"))),"")</f>
        <v/>
      </c>
      <c r="AK23" s="2" t="str">
        <f>IF($B23,IF(M23="","",IF($C23="qcu",IF(U23,"      &lt;respcondition continue=""Yes""&gt;&lt;conditionvar&gt;&lt;varequal respident=""RESPONSE""&gt;1&lt;/varequal&gt;&lt;/conditionvar&gt;&lt;setvar action=""Add""&gt;"&amp;$H23&amp;"&lt;/setvar&gt;&lt;/respcondition&gt;",""),IF(U23,"      &lt;respcondition continue=""Yes""&gt;&lt;conditionvar&gt;&lt;varequal respident=""RESPONSE""&gt;1&lt;/varequal&gt;&lt;/conditionvar&gt;&lt;setvar action=""Add""&gt;"&amp;(Saisie_Questions!$N23/$I23)&amp;"&lt;/setvar&gt;&lt;/respcondition&gt;","      &lt;respcondition continue=""Yes""&gt;&lt;conditionvar&gt;&lt;not&gt;&lt;varequal respident=""RESPONSE""&gt;1&lt;/varequal&gt;&lt;/not&gt;&lt;/conditionvar&gt;&lt;setvar action=""Add""&gt;"&amp;(Saisie_Questions!$N23/$I23)&amp;"&lt;/setvar&gt;&lt;/respcondition&gt;"))),"")</f>
        <v/>
      </c>
      <c r="AL23" s="2" t="str">
        <f>IF($B23,IF(N23="","",IF($C23="qcu",IF(V23,"      &lt;respcondition continue=""Yes""&gt;&lt;conditionvar&gt;&lt;varequal respident=""RESPONSE""&gt;2&lt;/varequal&gt;&lt;/conditionvar&gt;&lt;setvar action=""Add""&gt;"&amp;$H23&amp;"&lt;/setvar&gt;&lt;/respcondition&gt;",""),IF(V23,"      &lt;respcondition continue=""Yes""&gt;&lt;conditionvar&gt;&lt;varequal respident=""RESPONSE""&gt;2&lt;/varequal&gt;&lt;/conditionvar&gt;&lt;setvar action=""Add""&gt;"&amp;(Saisie_Questions!$N23/$I23)&amp;"&lt;/setvar&gt;&lt;/respcondition&gt;","      &lt;respcondition continue=""Yes""&gt;&lt;conditionvar&gt;&lt;not&gt;&lt;varequal respident=""RESPONSE""&gt;2&lt;/varequal&gt;&lt;/not&gt;&lt;/conditionvar&gt;&lt;setvar action=""Add""&gt;"&amp;(Saisie_Questions!$N23/$I23)&amp;"&lt;/setvar&gt;&lt;/respcondition&gt;"))),"")</f>
        <v/>
      </c>
      <c r="AM23" s="2" t="str">
        <f>IF($B23,IF(O23="","",IF($C23="qcu",IF(W23,"      &lt;respcondition continue=""Yes""&gt;&lt;conditionvar&gt;&lt;varequal respident=""RESPONSE""&gt;3&lt;/varequal&gt;&lt;/conditionvar&gt;&lt;setvar action=""Add""&gt;"&amp;$H23&amp;"&lt;/setvar&gt;&lt;/respcondition&gt;",""),IF(W23,"      &lt;respcondition continue=""Yes""&gt;&lt;conditionvar&gt;&lt;varequal respident=""RESPONSE""&gt;3&lt;/varequal&gt;&lt;/conditionvar&gt;&lt;setvar action=""Add""&gt;"&amp;(Saisie_Questions!$N23/$I23)&amp;"&lt;/setvar&gt;&lt;/respcondition&gt;","      &lt;respcondition continue=""Yes""&gt;&lt;conditionvar&gt;&lt;not&gt;&lt;varequal respident=""RESPONSE""&gt;3&lt;/varequal&gt;&lt;/not&gt;&lt;/conditionvar&gt;&lt;setvar action=""Add""&gt;"&amp;(Saisie_Questions!$N23/$I23)&amp;"&lt;/setvar&gt;&lt;/respcondition&gt;"))),"")</f>
        <v/>
      </c>
      <c r="AN23" s="2" t="str">
        <f>IF($B23,IF(P23="","",IF($C23="qcu",IF(X23,"      &lt;respcondition continue=""Yes""&gt;&lt;conditionvar&gt;&lt;varequal respident=""RESPONSE""&gt;4&lt;/varequal&gt;&lt;/conditionvar&gt;&lt;setvar action=""Add""&gt;"&amp;$H23&amp;"&lt;/setvar&gt;&lt;/respcondition&gt;",""),IF(X23,"      &lt;respcondition continue=""Yes""&gt;&lt;conditionvar&gt;&lt;varequal respident=""RESPONSE""&gt;4&lt;/varequal&gt;&lt;/conditionvar&gt;&lt;setvar action=""Add""&gt;"&amp;(Saisie_Questions!$N23/$I23)&amp;"&lt;/setvar&gt;&lt;/respcondition&gt;","      &lt;respcondition continue=""Yes""&gt;&lt;conditionvar&gt;&lt;not&gt;&lt;varequal respident=""RESPONSE""&gt;4&lt;/varequal&gt;&lt;/not&gt;&lt;/conditionvar&gt;&lt;setvar action=""Add""&gt;"&amp;(Saisie_Questions!$N23/$I23)&amp;"&lt;/setvar&gt;&lt;/respcondition&gt;"))),"")</f>
        <v/>
      </c>
      <c r="AO23" s="2" t="str">
        <f>IF($B23,IF(Q23="","",IF($C23="qcu",IF(Y23,"      &lt;respcondition continue=""Yes""&gt;&lt;conditionvar&gt;&lt;varequal respident=""RESPONSE""&gt;5&lt;/varequal&gt;&lt;/conditionvar&gt;&lt;setvar action=""Add""&gt;"&amp;$H23&amp;"&lt;/setvar&gt;&lt;/respcondition&gt;",""),IF(Y23,"      &lt;respcondition continue=""Yes""&gt;&lt;conditionvar&gt;&lt;varequal respident=""RESPONSE""&gt;5&lt;/varequal&gt;&lt;/conditionvar&gt;&lt;setvar action=""Add""&gt;"&amp;(Saisie_Questions!$N23/$I23)&amp;"&lt;/setvar&gt;&lt;/respcondition&gt;","      &lt;respcondition continue=""Yes""&gt;&lt;conditionvar&gt;&lt;not&gt;&lt;varequal respident=""RESPONSE""&gt;5&lt;/varequal&gt;&lt;/not&gt;&lt;/conditionvar&gt;&lt;setvar action=""Add""&gt;"&amp;(Saisie_Questions!$N23/$I23)&amp;"&lt;/setvar&gt;&lt;/respcondition&gt;"))),"")</f>
        <v/>
      </c>
      <c r="AP23" s="2" t="str">
        <f>IF($B23,IF(R23="","",IF($C23="qcu",IF(Z23,"      &lt;respcondition continue=""Yes""&gt;&lt;conditionvar&gt;&lt;varequal respident=""RESPONSE""&gt;6&lt;/varequal&gt;&lt;/conditionvar&gt;&lt;setvar action=""Add""&gt;"&amp;$H23&amp;"&lt;/setvar&gt;&lt;/respcondition&gt;",""),IF(Z23,"      &lt;respcondition continue=""Yes""&gt;&lt;conditionvar&gt;&lt;varequal respident=""RESPONSE""&gt;6&lt;/varequal&gt;&lt;/conditionvar&gt;&lt;setvar action=""Add""&gt;"&amp;(Saisie_Questions!$N23/$I23)&amp;"&lt;/setvar&gt;&lt;/respcondition&gt;","      &lt;respcondition continue=""Yes""&gt;&lt;conditionvar&gt;&lt;not&gt;&lt;varequal respident=""RESPONSE""&gt;6&lt;/varequal&gt;&lt;/not&gt;&lt;/conditionvar&gt;&lt;setvar action=""Add""&gt;"&amp;(Saisie_Questions!$N23/$I23)&amp;"&lt;/setvar&gt;&lt;/respcondition&gt;"))),"")</f>
        <v/>
      </c>
      <c r="AQ23" s="2" t="str">
        <f>IF($B23,IF(S23="","",IF($C23="qcu",IF(AA23,"      &lt;respcondition continue=""Yes""&gt;&lt;conditionvar&gt;&lt;varequal respident=""RESPONSE""&gt;7&lt;/varequal&gt;&lt;/conditionvar&gt;&lt;setvar action=""Add""&gt;"&amp;$H23&amp;"&lt;/setvar&gt;&lt;/respcondition&gt;",""),IF(AA23,"      &lt;respcondition continue=""Yes""&gt;&lt;conditionvar&gt;&lt;varequal respident=""RESPONSE""&gt;7&lt;/varequal&gt;&lt;/conditionvar&gt;&lt;setvar action=""Add""&gt;"&amp;(Saisie_Questions!$N23/$I23)&amp;"&lt;/setvar&gt;&lt;/respcondition&gt;","      &lt;respcondition continue=""Yes""&gt;&lt;conditionvar&gt;&lt;not&gt;&lt;varequal respident=""RESPONSE""&gt;7&lt;/varequal&gt;&lt;/not&gt;&lt;/conditionvar&gt;&lt;setvar action=""Add""&gt;"&amp;(Saisie_Questions!$N23/$I23)&amp;"&lt;/setvar&gt;&lt;/respcondition&gt;"))),"")</f>
        <v/>
      </c>
    </row>
    <row r="24" spans="1:43" ht="18" customHeight="1">
      <c r="A24" s="2" t="str">
        <f>Saisie_Questions!A24</f>
        <v/>
      </c>
      <c r="B24" s="2" t="b">
        <f>Saisie_Questions!O24="OK"</f>
        <v>0</v>
      </c>
      <c r="C24" s="2" t="str">
        <f>LOWER(TRIM(Saisie_Questions!B24))</f>
        <v/>
      </c>
      <c r="D24" s="2" t="str">
        <f t="shared" si="0"/>
        <v>MULTIPLE CHOICE QUESTION</v>
      </c>
      <c r="E24" s="2" t="str">
        <f t="shared" si="1"/>
        <v>Multiple</v>
      </c>
      <c r="F24" s="2" t="str">
        <f>IF(A24="","",SUBSTITUTE(SUBSTITUTE(SUBSTITUTE(SUBSTITUTE(SUBSTITUTE(IF(Saisie_Questions!C24="", "Question "&amp;A24, Saisie_Questions!C24),"&amp;","&amp;amp;"),"&lt;","&amp;lt;"),"&gt;","&amp;gt;"),CHAR(34),"&amp;quot;"),"'","&amp;apos;"))</f>
        <v/>
      </c>
      <c r="G24" s="2" t="str">
        <f>IF(A24="","",SUBSTITUTE(SUBSTITUTE(SUBSTITUTE(SUBSTITUTE(SUBSTITUTE(Saisie_Questions!D24,"&amp;","&amp;amp;"),"&lt;","&amp;lt;"),"&gt;","&amp;gt;"),CHAR(34),"&amp;quot;"),"'","&amp;apos;"))</f>
        <v/>
      </c>
      <c r="H24" s="2">
        <f>Saisie_Questions!N24</f>
        <v>0</v>
      </c>
      <c r="I24" s="2">
        <f>IF(Saisie_Questions!E24="",0,1)+IF(Saisie_Questions!F24="",0,1)+IF(Saisie_Questions!G24="",0,1)+IF(Saisie_Questions!H24="",0,1)+IF(Saisie_Questions!I24="",0,1)+IF(Saisie_Questions!J24="",0,1)+IF(Saisie_Questions!K24="",0,1)+IF(Saisie_Questions!L24="",0,1)</f>
        <v>0</v>
      </c>
      <c r="J24" s="2">
        <f>Saisie_Questions!M24</f>
        <v>0</v>
      </c>
      <c r="K24" s="2" t="str">
        <f>Saisie_Questions!O24</f>
        <v/>
      </c>
      <c r="L24" s="2" t="str">
        <f>IF(Saisie_Questions!E24="","",SUBSTITUTE(SUBSTITUTE(SUBSTITUTE(SUBSTITUTE(SUBSTITUTE(Saisie_Questions!E24,"&amp;","&amp;amp;"),"&lt;","&amp;lt;"),"&gt;","&amp;gt;"),CHAR(34),"&amp;quot;"),"'","&amp;apos;"))</f>
        <v/>
      </c>
      <c r="M24" s="2" t="str">
        <f>IF(Saisie_Questions!F24="","",SUBSTITUTE(SUBSTITUTE(SUBSTITUTE(SUBSTITUTE(SUBSTITUTE(Saisie_Questions!F24,"&amp;","&amp;amp;"),"&lt;","&amp;lt;"),"&gt;","&amp;gt;"),CHAR(34),"&amp;quot;"),"'","&amp;apos;"))</f>
        <v/>
      </c>
      <c r="N24" s="2" t="str">
        <f>IF(Saisie_Questions!G24="","",SUBSTITUTE(SUBSTITUTE(SUBSTITUTE(SUBSTITUTE(SUBSTITUTE(Saisie_Questions!G24,"&amp;","&amp;amp;"),"&lt;","&amp;lt;"),"&gt;","&amp;gt;"),CHAR(34),"&amp;quot;"),"'","&amp;apos;"))</f>
        <v/>
      </c>
      <c r="O24" s="2" t="str">
        <f>IF(Saisie_Questions!H24="","",SUBSTITUTE(SUBSTITUTE(SUBSTITUTE(SUBSTITUTE(SUBSTITUTE(Saisie_Questions!H24,"&amp;","&amp;amp;"),"&lt;","&amp;lt;"),"&gt;","&amp;gt;"),CHAR(34),"&amp;quot;"),"'","&amp;apos;"))</f>
        <v/>
      </c>
      <c r="P24" s="2" t="str">
        <f>IF(Saisie_Questions!I24="","",SUBSTITUTE(SUBSTITUTE(SUBSTITUTE(SUBSTITUTE(SUBSTITUTE(Saisie_Questions!I24,"&amp;","&amp;amp;"),"&lt;","&amp;lt;"),"&gt;","&amp;gt;"),CHAR(34),"&amp;quot;"),"'","&amp;apos;"))</f>
        <v/>
      </c>
      <c r="Q24" s="2" t="str">
        <f>IF(Saisie_Questions!J24="","",SUBSTITUTE(SUBSTITUTE(SUBSTITUTE(SUBSTITUTE(SUBSTITUTE(Saisie_Questions!J24,"&amp;","&amp;amp;"),"&lt;","&amp;lt;"),"&gt;","&amp;gt;"),CHAR(34),"&amp;quot;"),"'","&amp;apos;"))</f>
        <v/>
      </c>
      <c r="R24" s="2" t="str">
        <f>IF(Saisie_Questions!K24="","",SUBSTITUTE(SUBSTITUTE(SUBSTITUTE(SUBSTITUTE(SUBSTITUTE(Saisie_Questions!K24,"&amp;","&amp;amp;"),"&lt;","&amp;lt;"),"&gt;","&amp;gt;"),CHAR(34),"&amp;quot;"),"'","&amp;apos;"))</f>
        <v/>
      </c>
      <c r="S24" s="2" t="str">
        <f>IF(Saisie_Questions!L24="","",SUBSTITUTE(SUBSTITUTE(SUBSTITUTE(SUBSTITUTE(SUBSTITUTE(Saisie_Questions!L24,"&amp;","&amp;amp;"),"&lt;","&amp;lt;"),"&gt;","&amp;gt;"),CHAR(34),"&amp;quot;"),"'","&amp;apos;"))</f>
        <v/>
      </c>
      <c r="T24" s="2" t="b">
        <f t="shared" si="2"/>
        <v>0</v>
      </c>
      <c r="U24" s="2" t="b">
        <f t="shared" si="3"/>
        <v>0</v>
      </c>
      <c r="V24" s="2" t="b">
        <f t="shared" si="4"/>
        <v>0</v>
      </c>
      <c r="W24" s="2" t="b">
        <f t="shared" si="5"/>
        <v>0</v>
      </c>
      <c r="X24" s="2" t="b">
        <f t="shared" si="6"/>
        <v>0</v>
      </c>
      <c r="Y24" s="2" t="b">
        <f t="shared" si="7"/>
        <v>0</v>
      </c>
      <c r="Z24" s="2" t="b">
        <f t="shared" si="8"/>
        <v>0</v>
      </c>
      <c r="AA24" s="2" t="b">
        <f t="shared" si="9"/>
        <v>0</v>
      </c>
      <c r="AB24" s="2" t="str">
        <f t="shared" si="10"/>
        <v/>
      </c>
      <c r="AC24" s="2" t="str">
        <f t="shared" si="11"/>
        <v/>
      </c>
      <c r="AD24" s="2" t="str">
        <f t="shared" si="12"/>
        <v/>
      </c>
      <c r="AE24" s="2" t="str">
        <f t="shared" si="13"/>
        <v/>
      </c>
      <c r="AF24" s="2" t="str">
        <f t="shared" si="14"/>
        <v/>
      </c>
      <c r="AG24" s="2" t="str">
        <f t="shared" si="15"/>
        <v/>
      </c>
      <c r="AH24" s="2" t="str">
        <f t="shared" si="16"/>
        <v/>
      </c>
      <c r="AI24" s="2" t="str">
        <f t="shared" si="17"/>
        <v/>
      </c>
      <c r="AJ24" s="2" t="str">
        <f>IF($B24,IF(L24="","",IF($C24="qcu",IF(T24,"      &lt;respcondition continue=""Yes""&gt;&lt;conditionvar&gt;&lt;varequal respident=""RESPONSE""&gt;0&lt;/varequal&gt;&lt;/conditionvar&gt;&lt;setvar action=""Add""&gt;"&amp;$H24&amp;"&lt;/setvar&gt;&lt;/respcondition&gt;",""),IF(T24,"      &lt;respcondition continue=""Yes""&gt;&lt;conditionvar&gt;&lt;varequal respident=""RESPONSE""&gt;0&lt;/varequal&gt;&lt;/conditionvar&gt;&lt;setvar action=""Add""&gt;"&amp;(Saisie_Questions!$N24/$I24)&amp;"&lt;/setvar&gt;&lt;/respcondition&gt;","      &lt;respcondition continue=""Yes""&gt;&lt;conditionvar&gt;&lt;not&gt;&lt;varequal respident=""RESPONSE""&gt;0&lt;/varequal&gt;&lt;/not&gt;&lt;/conditionvar&gt;&lt;setvar action=""Add""&gt;"&amp;(Saisie_Questions!$N24/$I24)&amp;"&lt;/setvar&gt;&lt;/respcondition&gt;"))),"")</f>
        <v/>
      </c>
      <c r="AK24" s="2" t="str">
        <f>IF($B24,IF(M24="","",IF($C24="qcu",IF(U24,"      &lt;respcondition continue=""Yes""&gt;&lt;conditionvar&gt;&lt;varequal respident=""RESPONSE""&gt;1&lt;/varequal&gt;&lt;/conditionvar&gt;&lt;setvar action=""Add""&gt;"&amp;$H24&amp;"&lt;/setvar&gt;&lt;/respcondition&gt;",""),IF(U24,"      &lt;respcondition continue=""Yes""&gt;&lt;conditionvar&gt;&lt;varequal respident=""RESPONSE""&gt;1&lt;/varequal&gt;&lt;/conditionvar&gt;&lt;setvar action=""Add""&gt;"&amp;(Saisie_Questions!$N24/$I24)&amp;"&lt;/setvar&gt;&lt;/respcondition&gt;","      &lt;respcondition continue=""Yes""&gt;&lt;conditionvar&gt;&lt;not&gt;&lt;varequal respident=""RESPONSE""&gt;1&lt;/varequal&gt;&lt;/not&gt;&lt;/conditionvar&gt;&lt;setvar action=""Add""&gt;"&amp;(Saisie_Questions!$N24/$I24)&amp;"&lt;/setvar&gt;&lt;/respcondition&gt;"))),"")</f>
        <v/>
      </c>
      <c r="AL24" s="2" t="str">
        <f>IF($B24,IF(N24="","",IF($C24="qcu",IF(V24,"      &lt;respcondition continue=""Yes""&gt;&lt;conditionvar&gt;&lt;varequal respident=""RESPONSE""&gt;2&lt;/varequal&gt;&lt;/conditionvar&gt;&lt;setvar action=""Add""&gt;"&amp;$H24&amp;"&lt;/setvar&gt;&lt;/respcondition&gt;",""),IF(V24,"      &lt;respcondition continue=""Yes""&gt;&lt;conditionvar&gt;&lt;varequal respident=""RESPONSE""&gt;2&lt;/varequal&gt;&lt;/conditionvar&gt;&lt;setvar action=""Add""&gt;"&amp;(Saisie_Questions!$N24/$I24)&amp;"&lt;/setvar&gt;&lt;/respcondition&gt;","      &lt;respcondition continue=""Yes""&gt;&lt;conditionvar&gt;&lt;not&gt;&lt;varequal respident=""RESPONSE""&gt;2&lt;/varequal&gt;&lt;/not&gt;&lt;/conditionvar&gt;&lt;setvar action=""Add""&gt;"&amp;(Saisie_Questions!$N24/$I24)&amp;"&lt;/setvar&gt;&lt;/respcondition&gt;"))),"")</f>
        <v/>
      </c>
      <c r="AM24" s="2" t="str">
        <f>IF($B24,IF(O24="","",IF($C24="qcu",IF(W24,"      &lt;respcondition continue=""Yes""&gt;&lt;conditionvar&gt;&lt;varequal respident=""RESPONSE""&gt;3&lt;/varequal&gt;&lt;/conditionvar&gt;&lt;setvar action=""Add""&gt;"&amp;$H24&amp;"&lt;/setvar&gt;&lt;/respcondition&gt;",""),IF(W24,"      &lt;respcondition continue=""Yes""&gt;&lt;conditionvar&gt;&lt;varequal respident=""RESPONSE""&gt;3&lt;/varequal&gt;&lt;/conditionvar&gt;&lt;setvar action=""Add""&gt;"&amp;(Saisie_Questions!$N24/$I24)&amp;"&lt;/setvar&gt;&lt;/respcondition&gt;","      &lt;respcondition continue=""Yes""&gt;&lt;conditionvar&gt;&lt;not&gt;&lt;varequal respident=""RESPONSE""&gt;3&lt;/varequal&gt;&lt;/not&gt;&lt;/conditionvar&gt;&lt;setvar action=""Add""&gt;"&amp;(Saisie_Questions!$N24/$I24)&amp;"&lt;/setvar&gt;&lt;/respcondition&gt;"))),"")</f>
        <v/>
      </c>
      <c r="AN24" s="2" t="str">
        <f>IF($B24,IF(P24="","",IF($C24="qcu",IF(X24,"      &lt;respcondition continue=""Yes""&gt;&lt;conditionvar&gt;&lt;varequal respident=""RESPONSE""&gt;4&lt;/varequal&gt;&lt;/conditionvar&gt;&lt;setvar action=""Add""&gt;"&amp;$H24&amp;"&lt;/setvar&gt;&lt;/respcondition&gt;",""),IF(X24,"      &lt;respcondition continue=""Yes""&gt;&lt;conditionvar&gt;&lt;varequal respident=""RESPONSE""&gt;4&lt;/varequal&gt;&lt;/conditionvar&gt;&lt;setvar action=""Add""&gt;"&amp;(Saisie_Questions!$N24/$I24)&amp;"&lt;/setvar&gt;&lt;/respcondition&gt;","      &lt;respcondition continue=""Yes""&gt;&lt;conditionvar&gt;&lt;not&gt;&lt;varequal respident=""RESPONSE""&gt;4&lt;/varequal&gt;&lt;/not&gt;&lt;/conditionvar&gt;&lt;setvar action=""Add""&gt;"&amp;(Saisie_Questions!$N24/$I24)&amp;"&lt;/setvar&gt;&lt;/respcondition&gt;"))),"")</f>
        <v/>
      </c>
      <c r="AO24" s="2" t="str">
        <f>IF($B24,IF(Q24="","",IF($C24="qcu",IF(Y24,"      &lt;respcondition continue=""Yes""&gt;&lt;conditionvar&gt;&lt;varequal respident=""RESPONSE""&gt;5&lt;/varequal&gt;&lt;/conditionvar&gt;&lt;setvar action=""Add""&gt;"&amp;$H24&amp;"&lt;/setvar&gt;&lt;/respcondition&gt;",""),IF(Y24,"      &lt;respcondition continue=""Yes""&gt;&lt;conditionvar&gt;&lt;varequal respident=""RESPONSE""&gt;5&lt;/varequal&gt;&lt;/conditionvar&gt;&lt;setvar action=""Add""&gt;"&amp;(Saisie_Questions!$N24/$I24)&amp;"&lt;/setvar&gt;&lt;/respcondition&gt;","      &lt;respcondition continue=""Yes""&gt;&lt;conditionvar&gt;&lt;not&gt;&lt;varequal respident=""RESPONSE""&gt;5&lt;/varequal&gt;&lt;/not&gt;&lt;/conditionvar&gt;&lt;setvar action=""Add""&gt;"&amp;(Saisie_Questions!$N24/$I24)&amp;"&lt;/setvar&gt;&lt;/respcondition&gt;"))),"")</f>
        <v/>
      </c>
      <c r="AP24" s="2" t="str">
        <f>IF($B24,IF(R24="","",IF($C24="qcu",IF(Z24,"      &lt;respcondition continue=""Yes""&gt;&lt;conditionvar&gt;&lt;varequal respident=""RESPONSE""&gt;6&lt;/varequal&gt;&lt;/conditionvar&gt;&lt;setvar action=""Add""&gt;"&amp;$H24&amp;"&lt;/setvar&gt;&lt;/respcondition&gt;",""),IF(Z24,"      &lt;respcondition continue=""Yes""&gt;&lt;conditionvar&gt;&lt;varequal respident=""RESPONSE""&gt;6&lt;/varequal&gt;&lt;/conditionvar&gt;&lt;setvar action=""Add""&gt;"&amp;(Saisie_Questions!$N24/$I24)&amp;"&lt;/setvar&gt;&lt;/respcondition&gt;","      &lt;respcondition continue=""Yes""&gt;&lt;conditionvar&gt;&lt;not&gt;&lt;varequal respident=""RESPONSE""&gt;6&lt;/varequal&gt;&lt;/not&gt;&lt;/conditionvar&gt;&lt;setvar action=""Add""&gt;"&amp;(Saisie_Questions!$N24/$I24)&amp;"&lt;/setvar&gt;&lt;/respcondition&gt;"))),"")</f>
        <v/>
      </c>
      <c r="AQ24" s="2" t="str">
        <f>IF($B24,IF(S24="","",IF($C24="qcu",IF(AA24,"      &lt;respcondition continue=""Yes""&gt;&lt;conditionvar&gt;&lt;varequal respident=""RESPONSE""&gt;7&lt;/varequal&gt;&lt;/conditionvar&gt;&lt;setvar action=""Add""&gt;"&amp;$H24&amp;"&lt;/setvar&gt;&lt;/respcondition&gt;",""),IF(AA24,"      &lt;respcondition continue=""Yes""&gt;&lt;conditionvar&gt;&lt;varequal respident=""RESPONSE""&gt;7&lt;/varequal&gt;&lt;/conditionvar&gt;&lt;setvar action=""Add""&gt;"&amp;(Saisie_Questions!$N24/$I24)&amp;"&lt;/setvar&gt;&lt;/respcondition&gt;","      &lt;respcondition continue=""Yes""&gt;&lt;conditionvar&gt;&lt;not&gt;&lt;varequal respident=""RESPONSE""&gt;7&lt;/varequal&gt;&lt;/not&gt;&lt;/conditionvar&gt;&lt;setvar action=""Add""&gt;"&amp;(Saisie_Questions!$N24/$I24)&amp;"&lt;/setvar&gt;&lt;/respcondition&gt;"))),"")</f>
        <v/>
      </c>
    </row>
    <row r="25" spans="1:43" ht="18" customHeight="1">
      <c r="A25" s="2" t="str">
        <f>Saisie_Questions!A25</f>
        <v/>
      </c>
      <c r="B25" s="2" t="b">
        <f>Saisie_Questions!O25="OK"</f>
        <v>0</v>
      </c>
      <c r="C25" s="2" t="str">
        <f>LOWER(TRIM(Saisie_Questions!B25))</f>
        <v/>
      </c>
      <c r="D25" s="2" t="str">
        <f t="shared" si="0"/>
        <v>MULTIPLE CHOICE QUESTION</v>
      </c>
      <c r="E25" s="2" t="str">
        <f t="shared" si="1"/>
        <v>Multiple</v>
      </c>
      <c r="F25" s="2" t="str">
        <f>IF(A25="","",SUBSTITUTE(SUBSTITUTE(SUBSTITUTE(SUBSTITUTE(SUBSTITUTE(IF(Saisie_Questions!C25="", "Question "&amp;A25, Saisie_Questions!C25),"&amp;","&amp;amp;"),"&lt;","&amp;lt;"),"&gt;","&amp;gt;"),CHAR(34),"&amp;quot;"),"'","&amp;apos;"))</f>
        <v/>
      </c>
      <c r="G25" s="2" t="str">
        <f>IF(A25="","",SUBSTITUTE(SUBSTITUTE(SUBSTITUTE(SUBSTITUTE(SUBSTITUTE(Saisie_Questions!D25,"&amp;","&amp;amp;"),"&lt;","&amp;lt;"),"&gt;","&amp;gt;"),CHAR(34),"&amp;quot;"),"'","&amp;apos;"))</f>
        <v/>
      </c>
      <c r="H25" s="2">
        <f>Saisie_Questions!N25</f>
        <v>0</v>
      </c>
      <c r="I25" s="2">
        <f>IF(Saisie_Questions!E25="",0,1)+IF(Saisie_Questions!F25="",0,1)+IF(Saisie_Questions!G25="",0,1)+IF(Saisie_Questions!H25="",0,1)+IF(Saisie_Questions!I25="",0,1)+IF(Saisie_Questions!J25="",0,1)+IF(Saisie_Questions!K25="",0,1)+IF(Saisie_Questions!L25="",0,1)</f>
        <v>0</v>
      </c>
      <c r="J25" s="2">
        <f>Saisie_Questions!M25</f>
        <v>0</v>
      </c>
      <c r="K25" s="2" t="str">
        <f>Saisie_Questions!O25</f>
        <v/>
      </c>
      <c r="L25" s="2" t="str">
        <f>IF(Saisie_Questions!E25="","",SUBSTITUTE(SUBSTITUTE(SUBSTITUTE(SUBSTITUTE(SUBSTITUTE(Saisie_Questions!E25,"&amp;","&amp;amp;"),"&lt;","&amp;lt;"),"&gt;","&amp;gt;"),CHAR(34),"&amp;quot;"),"'","&amp;apos;"))</f>
        <v/>
      </c>
      <c r="M25" s="2" t="str">
        <f>IF(Saisie_Questions!F25="","",SUBSTITUTE(SUBSTITUTE(SUBSTITUTE(SUBSTITUTE(SUBSTITUTE(Saisie_Questions!F25,"&amp;","&amp;amp;"),"&lt;","&amp;lt;"),"&gt;","&amp;gt;"),CHAR(34),"&amp;quot;"),"'","&amp;apos;"))</f>
        <v/>
      </c>
      <c r="N25" s="2" t="str">
        <f>IF(Saisie_Questions!G25="","",SUBSTITUTE(SUBSTITUTE(SUBSTITUTE(SUBSTITUTE(SUBSTITUTE(Saisie_Questions!G25,"&amp;","&amp;amp;"),"&lt;","&amp;lt;"),"&gt;","&amp;gt;"),CHAR(34),"&amp;quot;"),"'","&amp;apos;"))</f>
        <v/>
      </c>
      <c r="O25" s="2" t="str">
        <f>IF(Saisie_Questions!H25="","",SUBSTITUTE(SUBSTITUTE(SUBSTITUTE(SUBSTITUTE(SUBSTITUTE(Saisie_Questions!H25,"&amp;","&amp;amp;"),"&lt;","&amp;lt;"),"&gt;","&amp;gt;"),CHAR(34),"&amp;quot;"),"'","&amp;apos;"))</f>
        <v/>
      </c>
      <c r="P25" s="2" t="str">
        <f>IF(Saisie_Questions!I25="","",SUBSTITUTE(SUBSTITUTE(SUBSTITUTE(SUBSTITUTE(SUBSTITUTE(Saisie_Questions!I25,"&amp;","&amp;amp;"),"&lt;","&amp;lt;"),"&gt;","&amp;gt;"),CHAR(34),"&amp;quot;"),"'","&amp;apos;"))</f>
        <v/>
      </c>
      <c r="Q25" s="2" t="str">
        <f>IF(Saisie_Questions!J25="","",SUBSTITUTE(SUBSTITUTE(SUBSTITUTE(SUBSTITUTE(SUBSTITUTE(Saisie_Questions!J25,"&amp;","&amp;amp;"),"&lt;","&amp;lt;"),"&gt;","&amp;gt;"),CHAR(34),"&amp;quot;"),"'","&amp;apos;"))</f>
        <v/>
      </c>
      <c r="R25" s="2" t="str">
        <f>IF(Saisie_Questions!K25="","",SUBSTITUTE(SUBSTITUTE(SUBSTITUTE(SUBSTITUTE(SUBSTITUTE(Saisie_Questions!K25,"&amp;","&amp;amp;"),"&lt;","&amp;lt;"),"&gt;","&amp;gt;"),CHAR(34),"&amp;quot;"),"'","&amp;apos;"))</f>
        <v/>
      </c>
      <c r="S25" s="2" t="str">
        <f>IF(Saisie_Questions!L25="","",SUBSTITUTE(SUBSTITUTE(SUBSTITUTE(SUBSTITUTE(SUBSTITUTE(Saisie_Questions!L25,"&amp;","&amp;amp;"),"&lt;","&amp;lt;"),"&gt;","&amp;gt;"),CHAR(34),"&amp;quot;"),"'","&amp;apos;"))</f>
        <v/>
      </c>
      <c r="T25" s="2" t="b">
        <f t="shared" si="2"/>
        <v>0</v>
      </c>
      <c r="U25" s="2" t="b">
        <f t="shared" si="3"/>
        <v>0</v>
      </c>
      <c r="V25" s="2" t="b">
        <f t="shared" si="4"/>
        <v>0</v>
      </c>
      <c r="W25" s="2" t="b">
        <f t="shared" si="5"/>
        <v>0</v>
      </c>
      <c r="X25" s="2" t="b">
        <f t="shared" si="6"/>
        <v>0</v>
      </c>
      <c r="Y25" s="2" t="b">
        <f t="shared" si="7"/>
        <v>0</v>
      </c>
      <c r="Z25" s="2" t="b">
        <f t="shared" si="8"/>
        <v>0</v>
      </c>
      <c r="AA25" s="2" t="b">
        <f t="shared" si="9"/>
        <v>0</v>
      </c>
      <c r="AB25" s="2" t="str">
        <f t="shared" si="10"/>
        <v/>
      </c>
      <c r="AC25" s="2" t="str">
        <f t="shared" si="11"/>
        <v/>
      </c>
      <c r="AD25" s="2" t="str">
        <f t="shared" si="12"/>
        <v/>
      </c>
      <c r="AE25" s="2" t="str">
        <f t="shared" si="13"/>
        <v/>
      </c>
      <c r="AF25" s="2" t="str">
        <f t="shared" si="14"/>
        <v/>
      </c>
      <c r="AG25" s="2" t="str">
        <f t="shared" si="15"/>
        <v/>
      </c>
      <c r="AH25" s="2" t="str">
        <f t="shared" si="16"/>
        <v/>
      </c>
      <c r="AI25" s="2" t="str">
        <f t="shared" si="17"/>
        <v/>
      </c>
      <c r="AJ25" s="2" t="str">
        <f>IF($B25,IF(L25="","",IF($C25="qcu",IF(T25,"      &lt;respcondition continue=""Yes""&gt;&lt;conditionvar&gt;&lt;varequal respident=""RESPONSE""&gt;0&lt;/varequal&gt;&lt;/conditionvar&gt;&lt;setvar action=""Add""&gt;"&amp;$H25&amp;"&lt;/setvar&gt;&lt;/respcondition&gt;",""),IF(T25,"      &lt;respcondition continue=""Yes""&gt;&lt;conditionvar&gt;&lt;varequal respident=""RESPONSE""&gt;0&lt;/varequal&gt;&lt;/conditionvar&gt;&lt;setvar action=""Add""&gt;"&amp;(Saisie_Questions!$N25/$I25)&amp;"&lt;/setvar&gt;&lt;/respcondition&gt;","      &lt;respcondition continue=""Yes""&gt;&lt;conditionvar&gt;&lt;not&gt;&lt;varequal respident=""RESPONSE""&gt;0&lt;/varequal&gt;&lt;/not&gt;&lt;/conditionvar&gt;&lt;setvar action=""Add""&gt;"&amp;(Saisie_Questions!$N25/$I25)&amp;"&lt;/setvar&gt;&lt;/respcondition&gt;"))),"")</f>
        <v/>
      </c>
      <c r="AK25" s="2" t="str">
        <f>IF($B25,IF(M25="","",IF($C25="qcu",IF(U25,"      &lt;respcondition continue=""Yes""&gt;&lt;conditionvar&gt;&lt;varequal respident=""RESPONSE""&gt;1&lt;/varequal&gt;&lt;/conditionvar&gt;&lt;setvar action=""Add""&gt;"&amp;$H25&amp;"&lt;/setvar&gt;&lt;/respcondition&gt;",""),IF(U25,"      &lt;respcondition continue=""Yes""&gt;&lt;conditionvar&gt;&lt;varequal respident=""RESPONSE""&gt;1&lt;/varequal&gt;&lt;/conditionvar&gt;&lt;setvar action=""Add""&gt;"&amp;(Saisie_Questions!$N25/$I25)&amp;"&lt;/setvar&gt;&lt;/respcondition&gt;","      &lt;respcondition continue=""Yes""&gt;&lt;conditionvar&gt;&lt;not&gt;&lt;varequal respident=""RESPONSE""&gt;1&lt;/varequal&gt;&lt;/not&gt;&lt;/conditionvar&gt;&lt;setvar action=""Add""&gt;"&amp;(Saisie_Questions!$N25/$I25)&amp;"&lt;/setvar&gt;&lt;/respcondition&gt;"))),"")</f>
        <v/>
      </c>
      <c r="AL25" s="2" t="str">
        <f>IF($B25,IF(N25="","",IF($C25="qcu",IF(V25,"      &lt;respcondition continue=""Yes""&gt;&lt;conditionvar&gt;&lt;varequal respident=""RESPONSE""&gt;2&lt;/varequal&gt;&lt;/conditionvar&gt;&lt;setvar action=""Add""&gt;"&amp;$H25&amp;"&lt;/setvar&gt;&lt;/respcondition&gt;",""),IF(V25,"      &lt;respcondition continue=""Yes""&gt;&lt;conditionvar&gt;&lt;varequal respident=""RESPONSE""&gt;2&lt;/varequal&gt;&lt;/conditionvar&gt;&lt;setvar action=""Add""&gt;"&amp;(Saisie_Questions!$N25/$I25)&amp;"&lt;/setvar&gt;&lt;/respcondition&gt;","      &lt;respcondition continue=""Yes""&gt;&lt;conditionvar&gt;&lt;not&gt;&lt;varequal respident=""RESPONSE""&gt;2&lt;/varequal&gt;&lt;/not&gt;&lt;/conditionvar&gt;&lt;setvar action=""Add""&gt;"&amp;(Saisie_Questions!$N25/$I25)&amp;"&lt;/setvar&gt;&lt;/respcondition&gt;"))),"")</f>
        <v/>
      </c>
      <c r="AM25" s="2" t="str">
        <f>IF($B25,IF(O25="","",IF($C25="qcu",IF(W25,"      &lt;respcondition continue=""Yes""&gt;&lt;conditionvar&gt;&lt;varequal respident=""RESPONSE""&gt;3&lt;/varequal&gt;&lt;/conditionvar&gt;&lt;setvar action=""Add""&gt;"&amp;$H25&amp;"&lt;/setvar&gt;&lt;/respcondition&gt;",""),IF(W25,"      &lt;respcondition continue=""Yes""&gt;&lt;conditionvar&gt;&lt;varequal respident=""RESPONSE""&gt;3&lt;/varequal&gt;&lt;/conditionvar&gt;&lt;setvar action=""Add""&gt;"&amp;(Saisie_Questions!$N25/$I25)&amp;"&lt;/setvar&gt;&lt;/respcondition&gt;","      &lt;respcondition continue=""Yes""&gt;&lt;conditionvar&gt;&lt;not&gt;&lt;varequal respident=""RESPONSE""&gt;3&lt;/varequal&gt;&lt;/not&gt;&lt;/conditionvar&gt;&lt;setvar action=""Add""&gt;"&amp;(Saisie_Questions!$N25/$I25)&amp;"&lt;/setvar&gt;&lt;/respcondition&gt;"))),"")</f>
        <v/>
      </c>
      <c r="AN25" s="2" t="str">
        <f>IF($B25,IF(P25="","",IF($C25="qcu",IF(X25,"      &lt;respcondition continue=""Yes""&gt;&lt;conditionvar&gt;&lt;varequal respident=""RESPONSE""&gt;4&lt;/varequal&gt;&lt;/conditionvar&gt;&lt;setvar action=""Add""&gt;"&amp;$H25&amp;"&lt;/setvar&gt;&lt;/respcondition&gt;",""),IF(X25,"      &lt;respcondition continue=""Yes""&gt;&lt;conditionvar&gt;&lt;varequal respident=""RESPONSE""&gt;4&lt;/varequal&gt;&lt;/conditionvar&gt;&lt;setvar action=""Add""&gt;"&amp;(Saisie_Questions!$N25/$I25)&amp;"&lt;/setvar&gt;&lt;/respcondition&gt;","      &lt;respcondition continue=""Yes""&gt;&lt;conditionvar&gt;&lt;not&gt;&lt;varequal respident=""RESPONSE""&gt;4&lt;/varequal&gt;&lt;/not&gt;&lt;/conditionvar&gt;&lt;setvar action=""Add""&gt;"&amp;(Saisie_Questions!$N25/$I25)&amp;"&lt;/setvar&gt;&lt;/respcondition&gt;"))),"")</f>
        <v/>
      </c>
      <c r="AO25" s="2" t="str">
        <f>IF($B25,IF(Q25="","",IF($C25="qcu",IF(Y25,"      &lt;respcondition continue=""Yes""&gt;&lt;conditionvar&gt;&lt;varequal respident=""RESPONSE""&gt;5&lt;/varequal&gt;&lt;/conditionvar&gt;&lt;setvar action=""Add""&gt;"&amp;$H25&amp;"&lt;/setvar&gt;&lt;/respcondition&gt;",""),IF(Y25,"      &lt;respcondition continue=""Yes""&gt;&lt;conditionvar&gt;&lt;varequal respident=""RESPONSE""&gt;5&lt;/varequal&gt;&lt;/conditionvar&gt;&lt;setvar action=""Add""&gt;"&amp;(Saisie_Questions!$N25/$I25)&amp;"&lt;/setvar&gt;&lt;/respcondition&gt;","      &lt;respcondition continue=""Yes""&gt;&lt;conditionvar&gt;&lt;not&gt;&lt;varequal respident=""RESPONSE""&gt;5&lt;/varequal&gt;&lt;/not&gt;&lt;/conditionvar&gt;&lt;setvar action=""Add""&gt;"&amp;(Saisie_Questions!$N25/$I25)&amp;"&lt;/setvar&gt;&lt;/respcondition&gt;"))),"")</f>
        <v/>
      </c>
      <c r="AP25" s="2" t="str">
        <f>IF($B25,IF(R25="","",IF($C25="qcu",IF(Z25,"      &lt;respcondition continue=""Yes""&gt;&lt;conditionvar&gt;&lt;varequal respident=""RESPONSE""&gt;6&lt;/varequal&gt;&lt;/conditionvar&gt;&lt;setvar action=""Add""&gt;"&amp;$H25&amp;"&lt;/setvar&gt;&lt;/respcondition&gt;",""),IF(Z25,"      &lt;respcondition continue=""Yes""&gt;&lt;conditionvar&gt;&lt;varequal respident=""RESPONSE""&gt;6&lt;/varequal&gt;&lt;/conditionvar&gt;&lt;setvar action=""Add""&gt;"&amp;(Saisie_Questions!$N25/$I25)&amp;"&lt;/setvar&gt;&lt;/respcondition&gt;","      &lt;respcondition continue=""Yes""&gt;&lt;conditionvar&gt;&lt;not&gt;&lt;varequal respident=""RESPONSE""&gt;6&lt;/varequal&gt;&lt;/not&gt;&lt;/conditionvar&gt;&lt;setvar action=""Add""&gt;"&amp;(Saisie_Questions!$N25/$I25)&amp;"&lt;/setvar&gt;&lt;/respcondition&gt;"))),"")</f>
        <v/>
      </c>
      <c r="AQ25" s="2" t="str">
        <f>IF($B25,IF(S25="","",IF($C25="qcu",IF(AA25,"      &lt;respcondition continue=""Yes""&gt;&lt;conditionvar&gt;&lt;varequal respident=""RESPONSE""&gt;7&lt;/varequal&gt;&lt;/conditionvar&gt;&lt;setvar action=""Add""&gt;"&amp;$H25&amp;"&lt;/setvar&gt;&lt;/respcondition&gt;",""),IF(AA25,"      &lt;respcondition continue=""Yes""&gt;&lt;conditionvar&gt;&lt;varequal respident=""RESPONSE""&gt;7&lt;/varequal&gt;&lt;/conditionvar&gt;&lt;setvar action=""Add""&gt;"&amp;(Saisie_Questions!$N25/$I25)&amp;"&lt;/setvar&gt;&lt;/respcondition&gt;","      &lt;respcondition continue=""Yes""&gt;&lt;conditionvar&gt;&lt;not&gt;&lt;varequal respident=""RESPONSE""&gt;7&lt;/varequal&gt;&lt;/not&gt;&lt;/conditionvar&gt;&lt;setvar action=""Add""&gt;"&amp;(Saisie_Questions!$N25/$I25)&amp;"&lt;/setvar&gt;&lt;/respcondition&gt;"))),"")</f>
        <v/>
      </c>
    </row>
    <row r="26" spans="1:43" ht="18" customHeight="1">
      <c r="A26" s="2" t="str">
        <f>Saisie_Questions!A26</f>
        <v/>
      </c>
      <c r="B26" s="2" t="b">
        <f>Saisie_Questions!O26="OK"</f>
        <v>0</v>
      </c>
      <c r="C26" s="2" t="str">
        <f>LOWER(TRIM(Saisie_Questions!B26))</f>
        <v/>
      </c>
      <c r="D26" s="2" t="str">
        <f t="shared" si="0"/>
        <v>MULTIPLE CHOICE QUESTION</v>
      </c>
      <c r="E26" s="2" t="str">
        <f t="shared" si="1"/>
        <v>Multiple</v>
      </c>
      <c r="F26" s="2" t="str">
        <f>IF(A26="","",SUBSTITUTE(SUBSTITUTE(SUBSTITUTE(SUBSTITUTE(SUBSTITUTE(IF(Saisie_Questions!C26="", "Question "&amp;A26, Saisie_Questions!C26),"&amp;","&amp;amp;"),"&lt;","&amp;lt;"),"&gt;","&amp;gt;"),CHAR(34),"&amp;quot;"),"'","&amp;apos;"))</f>
        <v/>
      </c>
      <c r="G26" s="2" t="str">
        <f>IF(A26="","",SUBSTITUTE(SUBSTITUTE(SUBSTITUTE(SUBSTITUTE(SUBSTITUTE(Saisie_Questions!D26,"&amp;","&amp;amp;"),"&lt;","&amp;lt;"),"&gt;","&amp;gt;"),CHAR(34),"&amp;quot;"),"'","&amp;apos;"))</f>
        <v/>
      </c>
      <c r="H26" s="2">
        <f>Saisie_Questions!N26</f>
        <v>0</v>
      </c>
      <c r="I26" s="2">
        <f>IF(Saisie_Questions!E26="",0,1)+IF(Saisie_Questions!F26="",0,1)+IF(Saisie_Questions!G26="",0,1)+IF(Saisie_Questions!H26="",0,1)+IF(Saisie_Questions!I26="",0,1)+IF(Saisie_Questions!J26="",0,1)+IF(Saisie_Questions!K26="",0,1)+IF(Saisie_Questions!L26="",0,1)</f>
        <v>0</v>
      </c>
      <c r="J26" s="2">
        <f>Saisie_Questions!M26</f>
        <v>0</v>
      </c>
      <c r="K26" s="2" t="str">
        <f>Saisie_Questions!O26</f>
        <v/>
      </c>
      <c r="L26" s="2" t="str">
        <f>IF(Saisie_Questions!E26="","",SUBSTITUTE(SUBSTITUTE(SUBSTITUTE(SUBSTITUTE(SUBSTITUTE(Saisie_Questions!E26,"&amp;","&amp;amp;"),"&lt;","&amp;lt;"),"&gt;","&amp;gt;"),CHAR(34),"&amp;quot;"),"'","&amp;apos;"))</f>
        <v/>
      </c>
      <c r="M26" s="2" t="str">
        <f>IF(Saisie_Questions!F26="","",SUBSTITUTE(SUBSTITUTE(SUBSTITUTE(SUBSTITUTE(SUBSTITUTE(Saisie_Questions!F26,"&amp;","&amp;amp;"),"&lt;","&amp;lt;"),"&gt;","&amp;gt;"),CHAR(34),"&amp;quot;"),"'","&amp;apos;"))</f>
        <v/>
      </c>
      <c r="N26" s="2" t="str">
        <f>IF(Saisie_Questions!G26="","",SUBSTITUTE(SUBSTITUTE(SUBSTITUTE(SUBSTITUTE(SUBSTITUTE(Saisie_Questions!G26,"&amp;","&amp;amp;"),"&lt;","&amp;lt;"),"&gt;","&amp;gt;"),CHAR(34),"&amp;quot;"),"'","&amp;apos;"))</f>
        <v/>
      </c>
      <c r="O26" s="2" t="str">
        <f>IF(Saisie_Questions!H26="","",SUBSTITUTE(SUBSTITUTE(SUBSTITUTE(SUBSTITUTE(SUBSTITUTE(Saisie_Questions!H26,"&amp;","&amp;amp;"),"&lt;","&amp;lt;"),"&gt;","&amp;gt;"),CHAR(34),"&amp;quot;"),"'","&amp;apos;"))</f>
        <v/>
      </c>
      <c r="P26" s="2" t="str">
        <f>IF(Saisie_Questions!I26="","",SUBSTITUTE(SUBSTITUTE(SUBSTITUTE(SUBSTITUTE(SUBSTITUTE(Saisie_Questions!I26,"&amp;","&amp;amp;"),"&lt;","&amp;lt;"),"&gt;","&amp;gt;"),CHAR(34),"&amp;quot;"),"'","&amp;apos;"))</f>
        <v/>
      </c>
      <c r="Q26" s="2" t="str">
        <f>IF(Saisie_Questions!J26="","",SUBSTITUTE(SUBSTITUTE(SUBSTITUTE(SUBSTITUTE(SUBSTITUTE(Saisie_Questions!J26,"&amp;","&amp;amp;"),"&lt;","&amp;lt;"),"&gt;","&amp;gt;"),CHAR(34),"&amp;quot;"),"'","&amp;apos;"))</f>
        <v/>
      </c>
      <c r="R26" s="2" t="str">
        <f>IF(Saisie_Questions!K26="","",SUBSTITUTE(SUBSTITUTE(SUBSTITUTE(SUBSTITUTE(SUBSTITUTE(Saisie_Questions!K26,"&amp;","&amp;amp;"),"&lt;","&amp;lt;"),"&gt;","&amp;gt;"),CHAR(34),"&amp;quot;"),"'","&amp;apos;"))</f>
        <v/>
      </c>
      <c r="S26" s="2" t="str">
        <f>IF(Saisie_Questions!L26="","",SUBSTITUTE(SUBSTITUTE(SUBSTITUTE(SUBSTITUTE(SUBSTITUTE(Saisie_Questions!L26,"&amp;","&amp;amp;"),"&lt;","&amp;lt;"),"&gt;","&amp;gt;"),CHAR(34),"&amp;quot;"),"'","&amp;apos;"))</f>
        <v/>
      </c>
      <c r="T26" s="2" t="b">
        <f t="shared" si="2"/>
        <v>0</v>
      </c>
      <c r="U26" s="2" t="b">
        <f t="shared" si="3"/>
        <v>0</v>
      </c>
      <c r="V26" s="2" t="b">
        <f t="shared" si="4"/>
        <v>0</v>
      </c>
      <c r="W26" s="2" t="b">
        <f t="shared" si="5"/>
        <v>0</v>
      </c>
      <c r="X26" s="2" t="b">
        <f t="shared" si="6"/>
        <v>0</v>
      </c>
      <c r="Y26" s="2" t="b">
        <f t="shared" si="7"/>
        <v>0</v>
      </c>
      <c r="Z26" s="2" t="b">
        <f t="shared" si="8"/>
        <v>0</v>
      </c>
      <c r="AA26" s="2" t="b">
        <f t="shared" si="9"/>
        <v>0</v>
      </c>
      <c r="AB26" s="2" t="str">
        <f t="shared" si="10"/>
        <v/>
      </c>
      <c r="AC26" s="2" t="str">
        <f t="shared" si="11"/>
        <v/>
      </c>
      <c r="AD26" s="2" t="str">
        <f t="shared" si="12"/>
        <v/>
      </c>
      <c r="AE26" s="2" t="str">
        <f t="shared" si="13"/>
        <v/>
      </c>
      <c r="AF26" s="2" t="str">
        <f t="shared" si="14"/>
        <v/>
      </c>
      <c r="AG26" s="2" t="str">
        <f t="shared" si="15"/>
        <v/>
      </c>
      <c r="AH26" s="2" t="str">
        <f t="shared" si="16"/>
        <v/>
      </c>
      <c r="AI26" s="2" t="str">
        <f t="shared" si="17"/>
        <v/>
      </c>
      <c r="AJ26" s="2" t="str">
        <f>IF($B26,IF(L26="","",IF($C26="qcu",IF(T26,"      &lt;respcondition continue=""Yes""&gt;&lt;conditionvar&gt;&lt;varequal respident=""RESPONSE""&gt;0&lt;/varequal&gt;&lt;/conditionvar&gt;&lt;setvar action=""Add""&gt;"&amp;$H26&amp;"&lt;/setvar&gt;&lt;/respcondition&gt;",""),IF(T26,"      &lt;respcondition continue=""Yes""&gt;&lt;conditionvar&gt;&lt;varequal respident=""RESPONSE""&gt;0&lt;/varequal&gt;&lt;/conditionvar&gt;&lt;setvar action=""Add""&gt;"&amp;(Saisie_Questions!$N26/$I26)&amp;"&lt;/setvar&gt;&lt;/respcondition&gt;","      &lt;respcondition continue=""Yes""&gt;&lt;conditionvar&gt;&lt;not&gt;&lt;varequal respident=""RESPONSE""&gt;0&lt;/varequal&gt;&lt;/not&gt;&lt;/conditionvar&gt;&lt;setvar action=""Add""&gt;"&amp;(Saisie_Questions!$N26/$I26)&amp;"&lt;/setvar&gt;&lt;/respcondition&gt;"))),"")</f>
        <v/>
      </c>
      <c r="AK26" s="2" t="str">
        <f>IF($B26,IF(M26="","",IF($C26="qcu",IF(U26,"      &lt;respcondition continue=""Yes""&gt;&lt;conditionvar&gt;&lt;varequal respident=""RESPONSE""&gt;1&lt;/varequal&gt;&lt;/conditionvar&gt;&lt;setvar action=""Add""&gt;"&amp;$H26&amp;"&lt;/setvar&gt;&lt;/respcondition&gt;",""),IF(U26,"      &lt;respcondition continue=""Yes""&gt;&lt;conditionvar&gt;&lt;varequal respident=""RESPONSE""&gt;1&lt;/varequal&gt;&lt;/conditionvar&gt;&lt;setvar action=""Add""&gt;"&amp;(Saisie_Questions!$N26/$I26)&amp;"&lt;/setvar&gt;&lt;/respcondition&gt;","      &lt;respcondition continue=""Yes""&gt;&lt;conditionvar&gt;&lt;not&gt;&lt;varequal respident=""RESPONSE""&gt;1&lt;/varequal&gt;&lt;/not&gt;&lt;/conditionvar&gt;&lt;setvar action=""Add""&gt;"&amp;(Saisie_Questions!$N26/$I26)&amp;"&lt;/setvar&gt;&lt;/respcondition&gt;"))),"")</f>
        <v/>
      </c>
      <c r="AL26" s="2" t="str">
        <f>IF($B26,IF(N26="","",IF($C26="qcu",IF(V26,"      &lt;respcondition continue=""Yes""&gt;&lt;conditionvar&gt;&lt;varequal respident=""RESPONSE""&gt;2&lt;/varequal&gt;&lt;/conditionvar&gt;&lt;setvar action=""Add""&gt;"&amp;$H26&amp;"&lt;/setvar&gt;&lt;/respcondition&gt;",""),IF(V26,"      &lt;respcondition continue=""Yes""&gt;&lt;conditionvar&gt;&lt;varequal respident=""RESPONSE""&gt;2&lt;/varequal&gt;&lt;/conditionvar&gt;&lt;setvar action=""Add""&gt;"&amp;(Saisie_Questions!$N26/$I26)&amp;"&lt;/setvar&gt;&lt;/respcondition&gt;","      &lt;respcondition continue=""Yes""&gt;&lt;conditionvar&gt;&lt;not&gt;&lt;varequal respident=""RESPONSE""&gt;2&lt;/varequal&gt;&lt;/not&gt;&lt;/conditionvar&gt;&lt;setvar action=""Add""&gt;"&amp;(Saisie_Questions!$N26/$I26)&amp;"&lt;/setvar&gt;&lt;/respcondition&gt;"))),"")</f>
        <v/>
      </c>
      <c r="AM26" s="2" t="str">
        <f>IF($B26,IF(O26="","",IF($C26="qcu",IF(W26,"      &lt;respcondition continue=""Yes""&gt;&lt;conditionvar&gt;&lt;varequal respident=""RESPONSE""&gt;3&lt;/varequal&gt;&lt;/conditionvar&gt;&lt;setvar action=""Add""&gt;"&amp;$H26&amp;"&lt;/setvar&gt;&lt;/respcondition&gt;",""),IF(W26,"      &lt;respcondition continue=""Yes""&gt;&lt;conditionvar&gt;&lt;varequal respident=""RESPONSE""&gt;3&lt;/varequal&gt;&lt;/conditionvar&gt;&lt;setvar action=""Add""&gt;"&amp;(Saisie_Questions!$N26/$I26)&amp;"&lt;/setvar&gt;&lt;/respcondition&gt;","      &lt;respcondition continue=""Yes""&gt;&lt;conditionvar&gt;&lt;not&gt;&lt;varequal respident=""RESPONSE""&gt;3&lt;/varequal&gt;&lt;/not&gt;&lt;/conditionvar&gt;&lt;setvar action=""Add""&gt;"&amp;(Saisie_Questions!$N26/$I26)&amp;"&lt;/setvar&gt;&lt;/respcondition&gt;"))),"")</f>
        <v/>
      </c>
      <c r="AN26" s="2" t="str">
        <f>IF($B26,IF(P26="","",IF($C26="qcu",IF(X26,"      &lt;respcondition continue=""Yes""&gt;&lt;conditionvar&gt;&lt;varequal respident=""RESPONSE""&gt;4&lt;/varequal&gt;&lt;/conditionvar&gt;&lt;setvar action=""Add""&gt;"&amp;$H26&amp;"&lt;/setvar&gt;&lt;/respcondition&gt;",""),IF(X26,"      &lt;respcondition continue=""Yes""&gt;&lt;conditionvar&gt;&lt;varequal respident=""RESPONSE""&gt;4&lt;/varequal&gt;&lt;/conditionvar&gt;&lt;setvar action=""Add""&gt;"&amp;(Saisie_Questions!$N26/$I26)&amp;"&lt;/setvar&gt;&lt;/respcondition&gt;","      &lt;respcondition continue=""Yes""&gt;&lt;conditionvar&gt;&lt;not&gt;&lt;varequal respident=""RESPONSE""&gt;4&lt;/varequal&gt;&lt;/not&gt;&lt;/conditionvar&gt;&lt;setvar action=""Add""&gt;"&amp;(Saisie_Questions!$N26/$I26)&amp;"&lt;/setvar&gt;&lt;/respcondition&gt;"))),"")</f>
        <v/>
      </c>
      <c r="AO26" s="2" t="str">
        <f>IF($B26,IF(Q26="","",IF($C26="qcu",IF(Y26,"      &lt;respcondition continue=""Yes""&gt;&lt;conditionvar&gt;&lt;varequal respident=""RESPONSE""&gt;5&lt;/varequal&gt;&lt;/conditionvar&gt;&lt;setvar action=""Add""&gt;"&amp;$H26&amp;"&lt;/setvar&gt;&lt;/respcondition&gt;",""),IF(Y26,"      &lt;respcondition continue=""Yes""&gt;&lt;conditionvar&gt;&lt;varequal respident=""RESPONSE""&gt;5&lt;/varequal&gt;&lt;/conditionvar&gt;&lt;setvar action=""Add""&gt;"&amp;(Saisie_Questions!$N26/$I26)&amp;"&lt;/setvar&gt;&lt;/respcondition&gt;","      &lt;respcondition continue=""Yes""&gt;&lt;conditionvar&gt;&lt;not&gt;&lt;varequal respident=""RESPONSE""&gt;5&lt;/varequal&gt;&lt;/not&gt;&lt;/conditionvar&gt;&lt;setvar action=""Add""&gt;"&amp;(Saisie_Questions!$N26/$I26)&amp;"&lt;/setvar&gt;&lt;/respcondition&gt;"))),"")</f>
        <v/>
      </c>
      <c r="AP26" s="2" t="str">
        <f>IF($B26,IF(R26="","",IF($C26="qcu",IF(Z26,"      &lt;respcondition continue=""Yes""&gt;&lt;conditionvar&gt;&lt;varequal respident=""RESPONSE""&gt;6&lt;/varequal&gt;&lt;/conditionvar&gt;&lt;setvar action=""Add""&gt;"&amp;$H26&amp;"&lt;/setvar&gt;&lt;/respcondition&gt;",""),IF(Z26,"      &lt;respcondition continue=""Yes""&gt;&lt;conditionvar&gt;&lt;varequal respident=""RESPONSE""&gt;6&lt;/varequal&gt;&lt;/conditionvar&gt;&lt;setvar action=""Add""&gt;"&amp;(Saisie_Questions!$N26/$I26)&amp;"&lt;/setvar&gt;&lt;/respcondition&gt;","      &lt;respcondition continue=""Yes""&gt;&lt;conditionvar&gt;&lt;not&gt;&lt;varequal respident=""RESPONSE""&gt;6&lt;/varequal&gt;&lt;/not&gt;&lt;/conditionvar&gt;&lt;setvar action=""Add""&gt;"&amp;(Saisie_Questions!$N26/$I26)&amp;"&lt;/setvar&gt;&lt;/respcondition&gt;"))),"")</f>
        <v/>
      </c>
      <c r="AQ26" s="2" t="str">
        <f>IF($B26,IF(S26="","",IF($C26="qcu",IF(AA26,"      &lt;respcondition continue=""Yes""&gt;&lt;conditionvar&gt;&lt;varequal respident=""RESPONSE""&gt;7&lt;/varequal&gt;&lt;/conditionvar&gt;&lt;setvar action=""Add""&gt;"&amp;$H26&amp;"&lt;/setvar&gt;&lt;/respcondition&gt;",""),IF(AA26,"      &lt;respcondition continue=""Yes""&gt;&lt;conditionvar&gt;&lt;varequal respident=""RESPONSE""&gt;7&lt;/varequal&gt;&lt;/conditionvar&gt;&lt;setvar action=""Add""&gt;"&amp;(Saisie_Questions!$N26/$I26)&amp;"&lt;/setvar&gt;&lt;/respcondition&gt;","      &lt;respcondition continue=""Yes""&gt;&lt;conditionvar&gt;&lt;not&gt;&lt;varequal respident=""RESPONSE""&gt;7&lt;/varequal&gt;&lt;/not&gt;&lt;/conditionvar&gt;&lt;setvar action=""Add""&gt;"&amp;(Saisie_Questions!$N26/$I26)&amp;"&lt;/setvar&gt;&lt;/respcondition&gt;"))),"")</f>
        <v/>
      </c>
    </row>
    <row r="27" spans="1:43" ht="18" customHeight="1">
      <c r="A27" s="2" t="str">
        <f>Saisie_Questions!A27</f>
        <v/>
      </c>
      <c r="B27" s="2" t="b">
        <f>Saisie_Questions!O27="OK"</f>
        <v>0</v>
      </c>
      <c r="C27" s="2" t="str">
        <f>LOWER(TRIM(Saisie_Questions!B27))</f>
        <v/>
      </c>
      <c r="D27" s="2" t="str">
        <f t="shared" si="0"/>
        <v>MULTIPLE CHOICE QUESTION</v>
      </c>
      <c r="E27" s="2" t="str">
        <f t="shared" si="1"/>
        <v>Multiple</v>
      </c>
      <c r="F27" s="2" t="str">
        <f>IF(A27="","",SUBSTITUTE(SUBSTITUTE(SUBSTITUTE(SUBSTITUTE(SUBSTITUTE(IF(Saisie_Questions!C27="", "Question "&amp;A27, Saisie_Questions!C27),"&amp;","&amp;amp;"),"&lt;","&amp;lt;"),"&gt;","&amp;gt;"),CHAR(34),"&amp;quot;"),"'","&amp;apos;"))</f>
        <v/>
      </c>
      <c r="G27" s="2" t="str">
        <f>IF(A27="","",SUBSTITUTE(SUBSTITUTE(SUBSTITUTE(SUBSTITUTE(SUBSTITUTE(Saisie_Questions!D27,"&amp;","&amp;amp;"),"&lt;","&amp;lt;"),"&gt;","&amp;gt;"),CHAR(34),"&amp;quot;"),"'","&amp;apos;"))</f>
        <v/>
      </c>
      <c r="H27" s="2">
        <f>Saisie_Questions!N27</f>
        <v>0</v>
      </c>
      <c r="I27" s="2">
        <f>IF(Saisie_Questions!E27="",0,1)+IF(Saisie_Questions!F27="",0,1)+IF(Saisie_Questions!G27="",0,1)+IF(Saisie_Questions!H27="",0,1)+IF(Saisie_Questions!I27="",0,1)+IF(Saisie_Questions!J27="",0,1)+IF(Saisie_Questions!K27="",0,1)+IF(Saisie_Questions!L27="",0,1)</f>
        <v>0</v>
      </c>
      <c r="J27" s="2">
        <f>Saisie_Questions!M27</f>
        <v>0</v>
      </c>
      <c r="K27" s="2" t="str">
        <f>Saisie_Questions!O27</f>
        <v/>
      </c>
      <c r="L27" s="2" t="str">
        <f>IF(Saisie_Questions!E27="","",SUBSTITUTE(SUBSTITUTE(SUBSTITUTE(SUBSTITUTE(SUBSTITUTE(Saisie_Questions!E27,"&amp;","&amp;amp;"),"&lt;","&amp;lt;"),"&gt;","&amp;gt;"),CHAR(34),"&amp;quot;"),"'","&amp;apos;"))</f>
        <v/>
      </c>
      <c r="M27" s="2" t="str">
        <f>IF(Saisie_Questions!F27="","",SUBSTITUTE(SUBSTITUTE(SUBSTITUTE(SUBSTITUTE(SUBSTITUTE(Saisie_Questions!F27,"&amp;","&amp;amp;"),"&lt;","&amp;lt;"),"&gt;","&amp;gt;"),CHAR(34),"&amp;quot;"),"'","&amp;apos;"))</f>
        <v/>
      </c>
      <c r="N27" s="2" t="str">
        <f>IF(Saisie_Questions!G27="","",SUBSTITUTE(SUBSTITUTE(SUBSTITUTE(SUBSTITUTE(SUBSTITUTE(Saisie_Questions!G27,"&amp;","&amp;amp;"),"&lt;","&amp;lt;"),"&gt;","&amp;gt;"),CHAR(34),"&amp;quot;"),"'","&amp;apos;"))</f>
        <v/>
      </c>
      <c r="O27" s="2" t="str">
        <f>IF(Saisie_Questions!H27="","",SUBSTITUTE(SUBSTITUTE(SUBSTITUTE(SUBSTITUTE(SUBSTITUTE(Saisie_Questions!H27,"&amp;","&amp;amp;"),"&lt;","&amp;lt;"),"&gt;","&amp;gt;"),CHAR(34),"&amp;quot;"),"'","&amp;apos;"))</f>
        <v/>
      </c>
      <c r="P27" s="2" t="str">
        <f>IF(Saisie_Questions!I27="","",SUBSTITUTE(SUBSTITUTE(SUBSTITUTE(SUBSTITUTE(SUBSTITUTE(Saisie_Questions!I27,"&amp;","&amp;amp;"),"&lt;","&amp;lt;"),"&gt;","&amp;gt;"),CHAR(34),"&amp;quot;"),"'","&amp;apos;"))</f>
        <v/>
      </c>
      <c r="Q27" s="2" t="str">
        <f>IF(Saisie_Questions!J27="","",SUBSTITUTE(SUBSTITUTE(SUBSTITUTE(SUBSTITUTE(SUBSTITUTE(Saisie_Questions!J27,"&amp;","&amp;amp;"),"&lt;","&amp;lt;"),"&gt;","&amp;gt;"),CHAR(34),"&amp;quot;"),"'","&amp;apos;"))</f>
        <v/>
      </c>
      <c r="R27" s="2" t="str">
        <f>IF(Saisie_Questions!K27="","",SUBSTITUTE(SUBSTITUTE(SUBSTITUTE(SUBSTITUTE(SUBSTITUTE(Saisie_Questions!K27,"&amp;","&amp;amp;"),"&lt;","&amp;lt;"),"&gt;","&amp;gt;"),CHAR(34),"&amp;quot;"),"'","&amp;apos;"))</f>
        <v/>
      </c>
      <c r="S27" s="2" t="str">
        <f>IF(Saisie_Questions!L27="","",SUBSTITUTE(SUBSTITUTE(SUBSTITUTE(SUBSTITUTE(SUBSTITUTE(Saisie_Questions!L27,"&amp;","&amp;amp;"),"&lt;","&amp;lt;"),"&gt;","&amp;gt;"),CHAR(34),"&amp;quot;"),"'","&amp;apos;"))</f>
        <v/>
      </c>
      <c r="T27" s="2" t="b">
        <f t="shared" si="2"/>
        <v>0</v>
      </c>
      <c r="U27" s="2" t="b">
        <f t="shared" si="3"/>
        <v>0</v>
      </c>
      <c r="V27" s="2" t="b">
        <f t="shared" si="4"/>
        <v>0</v>
      </c>
      <c r="W27" s="2" t="b">
        <f t="shared" si="5"/>
        <v>0</v>
      </c>
      <c r="X27" s="2" t="b">
        <f t="shared" si="6"/>
        <v>0</v>
      </c>
      <c r="Y27" s="2" t="b">
        <f t="shared" si="7"/>
        <v>0</v>
      </c>
      <c r="Z27" s="2" t="b">
        <f t="shared" si="8"/>
        <v>0</v>
      </c>
      <c r="AA27" s="2" t="b">
        <f t="shared" si="9"/>
        <v>0</v>
      </c>
      <c r="AB27" s="2" t="str">
        <f t="shared" si="10"/>
        <v/>
      </c>
      <c r="AC27" s="2" t="str">
        <f t="shared" si="11"/>
        <v/>
      </c>
      <c r="AD27" s="2" t="str">
        <f t="shared" si="12"/>
        <v/>
      </c>
      <c r="AE27" s="2" t="str">
        <f t="shared" si="13"/>
        <v/>
      </c>
      <c r="AF27" s="2" t="str">
        <f t="shared" si="14"/>
        <v/>
      </c>
      <c r="AG27" s="2" t="str">
        <f t="shared" si="15"/>
        <v/>
      </c>
      <c r="AH27" s="2" t="str">
        <f t="shared" si="16"/>
        <v/>
      </c>
      <c r="AI27" s="2" t="str">
        <f t="shared" si="17"/>
        <v/>
      </c>
      <c r="AJ27" s="2" t="str">
        <f>IF($B27,IF(L27="","",IF($C27="qcu",IF(T27,"      &lt;respcondition continue=""Yes""&gt;&lt;conditionvar&gt;&lt;varequal respident=""RESPONSE""&gt;0&lt;/varequal&gt;&lt;/conditionvar&gt;&lt;setvar action=""Add""&gt;"&amp;$H27&amp;"&lt;/setvar&gt;&lt;/respcondition&gt;",""),IF(T27,"      &lt;respcondition continue=""Yes""&gt;&lt;conditionvar&gt;&lt;varequal respident=""RESPONSE""&gt;0&lt;/varequal&gt;&lt;/conditionvar&gt;&lt;setvar action=""Add""&gt;"&amp;(Saisie_Questions!$N27/$I27)&amp;"&lt;/setvar&gt;&lt;/respcondition&gt;","      &lt;respcondition continue=""Yes""&gt;&lt;conditionvar&gt;&lt;not&gt;&lt;varequal respident=""RESPONSE""&gt;0&lt;/varequal&gt;&lt;/not&gt;&lt;/conditionvar&gt;&lt;setvar action=""Add""&gt;"&amp;(Saisie_Questions!$N27/$I27)&amp;"&lt;/setvar&gt;&lt;/respcondition&gt;"))),"")</f>
        <v/>
      </c>
      <c r="AK27" s="2" t="str">
        <f>IF($B27,IF(M27="","",IF($C27="qcu",IF(U27,"      &lt;respcondition continue=""Yes""&gt;&lt;conditionvar&gt;&lt;varequal respident=""RESPONSE""&gt;1&lt;/varequal&gt;&lt;/conditionvar&gt;&lt;setvar action=""Add""&gt;"&amp;$H27&amp;"&lt;/setvar&gt;&lt;/respcondition&gt;",""),IF(U27,"      &lt;respcondition continue=""Yes""&gt;&lt;conditionvar&gt;&lt;varequal respident=""RESPONSE""&gt;1&lt;/varequal&gt;&lt;/conditionvar&gt;&lt;setvar action=""Add""&gt;"&amp;(Saisie_Questions!$N27/$I27)&amp;"&lt;/setvar&gt;&lt;/respcondition&gt;","      &lt;respcondition continue=""Yes""&gt;&lt;conditionvar&gt;&lt;not&gt;&lt;varequal respident=""RESPONSE""&gt;1&lt;/varequal&gt;&lt;/not&gt;&lt;/conditionvar&gt;&lt;setvar action=""Add""&gt;"&amp;(Saisie_Questions!$N27/$I27)&amp;"&lt;/setvar&gt;&lt;/respcondition&gt;"))),"")</f>
        <v/>
      </c>
      <c r="AL27" s="2" t="str">
        <f>IF($B27,IF(N27="","",IF($C27="qcu",IF(V27,"      &lt;respcondition continue=""Yes""&gt;&lt;conditionvar&gt;&lt;varequal respident=""RESPONSE""&gt;2&lt;/varequal&gt;&lt;/conditionvar&gt;&lt;setvar action=""Add""&gt;"&amp;$H27&amp;"&lt;/setvar&gt;&lt;/respcondition&gt;",""),IF(V27,"      &lt;respcondition continue=""Yes""&gt;&lt;conditionvar&gt;&lt;varequal respident=""RESPONSE""&gt;2&lt;/varequal&gt;&lt;/conditionvar&gt;&lt;setvar action=""Add""&gt;"&amp;(Saisie_Questions!$N27/$I27)&amp;"&lt;/setvar&gt;&lt;/respcondition&gt;","      &lt;respcondition continue=""Yes""&gt;&lt;conditionvar&gt;&lt;not&gt;&lt;varequal respident=""RESPONSE""&gt;2&lt;/varequal&gt;&lt;/not&gt;&lt;/conditionvar&gt;&lt;setvar action=""Add""&gt;"&amp;(Saisie_Questions!$N27/$I27)&amp;"&lt;/setvar&gt;&lt;/respcondition&gt;"))),"")</f>
        <v/>
      </c>
      <c r="AM27" s="2" t="str">
        <f>IF($B27,IF(O27="","",IF($C27="qcu",IF(W27,"      &lt;respcondition continue=""Yes""&gt;&lt;conditionvar&gt;&lt;varequal respident=""RESPONSE""&gt;3&lt;/varequal&gt;&lt;/conditionvar&gt;&lt;setvar action=""Add""&gt;"&amp;$H27&amp;"&lt;/setvar&gt;&lt;/respcondition&gt;",""),IF(W27,"      &lt;respcondition continue=""Yes""&gt;&lt;conditionvar&gt;&lt;varequal respident=""RESPONSE""&gt;3&lt;/varequal&gt;&lt;/conditionvar&gt;&lt;setvar action=""Add""&gt;"&amp;(Saisie_Questions!$N27/$I27)&amp;"&lt;/setvar&gt;&lt;/respcondition&gt;","      &lt;respcondition continue=""Yes""&gt;&lt;conditionvar&gt;&lt;not&gt;&lt;varequal respident=""RESPONSE""&gt;3&lt;/varequal&gt;&lt;/not&gt;&lt;/conditionvar&gt;&lt;setvar action=""Add""&gt;"&amp;(Saisie_Questions!$N27/$I27)&amp;"&lt;/setvar&gt;&lt;/respcondition&gt;"))),"")</f>
        <v/>
      </c>
      <c r="AN27" s="2" t="str">
        <f>IF($B27,IF(P27="","",IF($C27="qcu",IF(X27,"      &lt;respcondition continue=""Yes""&gt;&lt;conditionvar&gt;&lt;varequal respident=""RESPONSE""&gt;4&lt;/varequal&gt;&lt;/conditionvar&gt;&lt;setvar action=""Add""&gt;"&amp;$H27&amp;"&lt;/setvar&gt;&lt;/respcondition&gt;",""),IF(X27,"      &lt;respcondition continue=""Yes""&gt;&lt;conditionvar&gt;&lt;varequal respident=""RESPONSE""&gt;4&lt;/varequal&gt;&lt;/conditionvar&gt;&lt;setvar action=""Add""&gt;"&amp;(Saisie_Questions!$N27/$I27)&amp;"&lt;/setvar&gt;&lt;/respcondition&gt;","      &lt;respcondition continue=""Yes""&gt;&lt;conditionvar&gt;&lt;not&gt;&lt;varequal respident=""RESPONSE""&gt;4&lt;/varequal&gt;&lt;/not&gt;&lt;/conditionvar&gt;&lt;setvar action=""Add""&gt;"&amp;(Saisie_Questions!$N27/$I27)&amp;"&lt;/setvar&gt;&lt;/respcondition&gt;"))),"")</f>
        <v/>
      </c>
      <c r="AO27" s="2" t="str">
        <f>IF($B27,IF(Q27="","",IF($C27="qcu",IF(Y27,"      &lt;respcondition continue=""Yes""&gt;&lt;conditionvar&gt;&lt;varequal respident=""RESPONSE""&gt;5&lt;/varequal&gt;&lt;/conditionvar&gt;&lt;setvar action=""Add""&gt;"&amp;$H27&amp;"&lt;/setvar&gt;&lt;/respcondition&gt;",""),IF(Y27,"      &lt;respcondition continue=""Yes""&gt;&lt;conditionvar&gt;&lt;varequal respident=""RESPONSE""&gt;5&lt;/varequal&gt;&lt;/conditionvar&gt;&lt;setvar action=""Add""&gt;"&amp;(Saisie_Questions!$N27/$I27)&amp;"&lt;/setvar&gt;&lt;/respcondition&gt;","      &lt;respcondition continue=""Yes""&gt;&lt;conditionvar&gt;&lt;not&gt;&lt;varequal respident=""RESPONSE""&gt;5&lt;/varequal&gt;&lt;/not&gt;&lt;/conditionvar&gt;&lt;setvar action=""Add""&gt;"&amp;(Saisie_Questions!$N27/$I27)&amp;"&lt;/setvar&gt;&lt;/respcondition&gt;"))),"")</f>
        <v/>
      </c>
      <c r="AP27" s="2" t="str">
        <f>IF($B27,IF(R27="","",IF($C27="qcu",IF(Z27,"      &lt;respcondition continue=""Yes""&gt;&lt;conditionvar&gt;&lt;varequal respident=""RESPONSE""&gt;6&lt;/varequal&gt;&lt;/conditionvar&gt;&lt;setvar action=""Add""&gt;"&amp;$H27&amp;"&lt;/setvar&gt;&lt;/respcondition&gt;",""),IF(Z27,"      &lt;respcondition continue=""Yes""&gt;&lt;conditionvar&gt;&lt;varequal respident=""RESPONSE""&gt;6&lt;/varequal&gt;&lt;/conditionvar&gt;&lt;setvar action=""Add""&gt;"&amp;(Saisie_Questions!$N27/$I27)&amp;"&lt;/setvar&gt;&lt;/respcondition&gt;","      &lt;respcondition continue=""Yes""&gt;&lt;conditionvar&gt;&lt;not&gt;&lt;varequal respident=""RESPONSE""&gt;6&lt;/varequal&gt;&lt;/not&gt;&lt;/conditionvar&gt;&lt;setvar action=""Add""&gt;"&amp;(Saisie_Questions!$N27/$I27)&amp;"&lt;/setvar&gt;&lt;/respcondition&gt;"))),"")</f>
        <v/>
      </c>
      <c r="AQ27" s="2" t="str">
        <f>IF($B27,IF(S27="","",IF($C27="qcu",IF(AA27,"      &lt;respcondition continue=""Yes""&gt;&lt;conditionvar&gt;&lt;varequal respident=""RESPONSE""&gt;7&lt;/varequal&gt;&lt;/conditionvar&gt;&lt;setvar action=""Add""&gt;"&amp;$H27&amp;"&lt;/setvar&gt;&lt;/respcondition&gt;",""),IF(AA27,"      &lt;respcondition continue=""Yes""&gt;&lt;conditionvar&gt;&lt;varequal respident=""RESPONSE""&gt;7&lt;/varequal&gt;&lt;/conditionvar&gt;&lt;setvar action=""Add""&gt;"&amp;(Saisie_Questions!$N27/$I27)&amp;"&lt;/setvar&gt;&lt;/respcondition&gt;","      &lt;respcondition continue=""Yes""&gt;&lt;conditionvar&gt;&lt;not&gt;&lt;varequal respident=""RESPONSE""&gt;7&lt;/varequal&gt;&lt;/not&gt;&lt;/conditionvar&gt;&lt;setvar action=""Add""&gt;"&amp;(Saisie_Questions!$N27/$I27)&amp;"&lt;/setvar&gt;&lt;/respcondition&gt;"))),"")</f>
        <v/>
      </c>
    </row>
    <row r="28" spans="1:43" ht="18" customHeight="1">
      <c r="A28" s="2" t="str">
        <f>Saisie_Questions!A28</f>
        <v/>
      </c>
      <c r="B28" s="2" t="b">
        <f>Saisie_Questions!O28="OK"</f>
        <v>0</v>
      </c>
      <c r="C28" s="2" t="str">
        <f>LOWER(TRIM(Saisie_Questions!B28))</f>
        <v/>
      </c>
      <c r="D28" s="2" t="str">
        <f t="shared" si="0"/>
        <v>MULTIPLE CHOICE QUESTION</v>
      </c>
      <c r="E28" s="2" t="str">
        <f t="shared" si="1"/>
        <v>Multiple</v>
      </c>
      <c r="F28" s="2" t="str">
        <f>IF(A28="","",SUBSTITUTE(SUBSTITUTE(SUBSTITUTE(SUBSTITUTE(SUBSTITUTE(IF(Saisie_Questions!C28="", "Question "&amp;A28, Saisie_Questions!C28),"&amp;","&amp;amp;"),"&lt;","&amp;lt;"),"&gt;","&amp;gt;"),CHAR(34),"&amp;quot;"),"'","&amp;apos;"))</f>
        <v/>
      </c>
      <c r="G28" s="2" t="str">
        <f>IF(A28="","",SUBSTITUTE(SUBSTITUTE(SUBSTITUTE(SUBSTITUTE(SUBSTITUTE(Saisie_Questions!D28,"&amp;","&amp;amp;"),"&lt;","&amp;lt;"),"&gt;","&amp;gt;"),CHAR(34),"&amp;quot;"),"'","&amp;apos;"))</f>
        <v/>
      </c>
      <c r="H28" s="2">
        <f>Saisie_Questions!N28</f>
        <v>0</v>
      </c>
      <c r="I28" s="2">
        <f>IF(Saisie_Questions!E28="",0,1)+IF(Saisie_Questions!F28="",0,1)+IF(Saisie_Questions!G28="",0,1)+IF(Saisie_Questions!H28="",0,1)+IF(Saisie_Questions!I28="",0,1)+IF(Saisie_Questions!J28="",0,1)+IF(Saisie_Questions!K28="",0,1)+IF(Saisie_Questions!L28="",0,1)</f>
        <v>0</v>
      </c>
      <c r="J28" s="2">
        <f>Saisie_Questions!M28</f>
        <v>0</v>
      </c>
      <c r="K28" s="2" t="str">
        <f>Saisie_Questions!O28</f>
        <v/>
      </c>
      <c r="L28" s="2" t="str">
        <f>IF(Saisie_Questions!E28="","",SUBSTITUTE(SUBSTITUTE(SUBSTITUTE(SUBSTITUTE(SUBSTITUTE(Saisie_Questions!E28,"&amp;","&amp;amp;"),"&lt;","&amp;lt;"),"&gt;","&amp;gt;"),CHAR(34),"&amp;quot;"),"'","&amp;apos;"))</f>
        <v/>
      </c>
      <c r="M28" s="2" t="str">
        <f>IF(Saisie_Questions!F28="","",SUBSTITUTE(SUBSTITUTE(SUBSTITUTE(SUBSTITUTE(SUBSTITUTE(Saisie_Questions!F28,"&amp;","&amp;amp;"),"&lt;","&amp;lt;"),"&gt;","&amp;gt;"),CHAR(34),"&amp;quot;"),"'","&amp;apos;"))</f>
        <v/>
      </c>
      <c r="N28" s="2" t="str">
        <f>IF(Saisie_Questions!G28="","",SUBSTITUTE(SUBSTITUTE(SUBSTITUTE(SUBSTITUTE(SUBSTITUTE(Saisie_Questions!G28,"&amp;","&amp;amp;"),"&lt;","&amp;lt;"),"&gt;","&amp;gt;"),CHAR(34),"&amp;quot;"),"'","&amp;apos;"))</f>
        <v/>
      </c>
      <c r="O28" s="2" t="str">
        <f>IF(Saisie_Questions!H28="","",SUBSTITUTE(SUBSTITUTE(SUBSTITUTE(SUBSTITUTE(SUBSTITUTE(Saisie_Questions!H28,"&amp;","&amp;amp;"),"&lt;","&amp;lt;"),"&gt;","&amp;gt;"),CHAR(34),"&amp;quot;"),"'","&amp;apos;"))</f>
        <v/>
      </c>
      <c r="P28" s="2" t="str">
        <f>IF(Saisie_Questions!I28="","",SUBSTITUTE(SUBSTITUTE(SUBSTITUTE(SUBSTITUTE(SUBSTITUTE(Saisie_Questions!I28,"&amp;","&amp;amp;"),"&lt;","&amp;lt;"),"&gt;","&amp;gt;"),CHAR(34),"&amp;quot;"),"'","&amp;apos;"))</f>
        <v/>
      </c>
      <c r="Q28" s="2" t="str">
        <f>IF(Saisie_Questions!J28="","",SUBSTITUTE(SUBSTITUTE(SUBSTITUTE(SUBSTITUTE(SUBSTITUTE(Saisie_Questions!J28,"&amp;","&amp;amp;"),"&lt;","&amp;lt;"),"&gt;","&amp;gt;"),CHAR(34),"&amp;quot;"),"'","&amp;apos;"))</f>
        <v/>
      </c>
      <c r="R28" s="2" t="str">
        <f>IF(Saisie_Questions!K28="","",SUBSTITUTE(SUBSTITUTE(SUBSTITUTE(SUBSTITUTE(SUBSTITUTE(Saisie_Questions!K28,"&amp;","&amp;amp;"),"&lt;","&amp;lt;"),"&gt;","&amp;gt;"),CHAR(34),"&amp;quot;"),"'","&amp;apos;"))</f>
        <v/>
      </c>
      <c r="S28" s="2" t="str">
        <f>IF(Saisie_Questions!L28="","",SUBSTITUTE(SUBSTITUTE(SUBSTITUTE(SUBSTITUTE(SUBSTITUTE(Saisie_Questions!L28,"&amp;","&amp;amp;"),"&lt;","&amp;lt;"),"&gt;","&amp;gt;"),CHAR(34),"&amp;quot;"),"'","&amp;apos;"))</f>
        <v/>
      </c>
      <c r="T28" s="2" t="b">
        <f t="shared" si="2"/>
        <v>0</v>
      </c>
      <c r="U28" s="2" t="b">
        <f t="shared" si="3"/>
        <v>0</v>
      </c>
      <c r="V28" s="2" t="b">
        <f t="shared" si="4"/>
        <v>0</v>
      </c>
      <c r="W28" s="2" t="b">
        <f t="shared" si="5"/>
        <v>0</v>
      </c>
      <c r="X28" s="2" t="b">
        <f t="shared" si="6"/>
        <v>0</v>
      </c>
      <c r="Y28" s="2" t="b">
        <f t="shared" si="7"/>
        <v>0</v>
      </c>
      <c r="Z28" s="2" t="b">
        <f t="shared" si="8"/>
        <v>0</v>
      </c>
      <c r="AA28" s="2" t="b">
        <f t="shared" si="9"/>
        <v>0</v>
      </c>
      <c r="AB28" s="2" t="str">
        <f t="shared" si="10"/>
        <v/>
      </c>
      <c r="AC28" s="2" t="str">
        <f t="shared" si="11"/>
        <v/>
      </c>
      <c r="AD28" s="2" t="str">
        <f t="shared" si="12"/>
        <v/>
      </c>
      <c r="AE28" s="2" t="str">
        <f t="shared" si="13"/>
        <v/>
      </c>
      <c r="AF28" s="2" t="str">
        <f t="shared" si="14"/>
        <v/>
      </c>
      <c r="AG28" s="2" t="str">
        <f t="shared" si="15"/>
        <v/>
      </c>
      <c r="AH28" s="2" t="str">
        <f t="shared" si="16"/>
        <v/>
      </c>
      <c r="AI28" s="2" t="str">
        <f t="shared" si="17"/>
        <v/>
      </c>
      <c r="AJ28" s="2" t="str">
        <f>IF($B28,IF(L28="","",IF($C28="qcu",IF(T28,"      &lt;respcondition continue=""Yes""&gt;&lt;conditionvar&gt;&lt;varequal respident=""RESPONSE""&gt;0&lt;/varequal&gt;&lt;/conditionvar&gt;&lt;setvar action=""Add""&gt;"&amp;$H28&amp;"&lt;/setvar&gt;&lt;/respcondition&gt;",""),IF(T28,"      &lt;respcondition continue=""Yes""&gt;&lt;conditionvar&gt;&lt;varequal respident=""RESPONSE""&gt;0&lt;/varequal&gt;&lt;/conditionvar&gt;&lt;setvar action=""Add""&gt;"&amp;(Saisie_Questions!$N28/$I28)&amp;"&lt;/setvar&gt;&lt;/respcondition&gt;","      &lt;respcondition continue=""Yes""&gt;&lt;conditionvar&gt;&lt;not&gt;&lt;varequal respident=""RESPONSE""&gt;0&lt;/varequal&gt;&lt;/not&gt;&lt;/conditionvar&gt;&lt;setvar action=""Add""&gt;"&amp;(Saisie_Questions!$N28/$I28)&amp;"&lt;/setvar&gt;&lt;/respcondition&gt;"))),"")</f>
        <v/>
      </c>
      <c r="AK28" s="2" t="str">
        <f>IF($B28,IF(M28="","",IF($C28="qcu",IF(U28,"      &lt;respcondition continue=""Yes""&gt;&lt;conditionvar&gt;&lt;varequal respident=""RESPONSE""&gt;1&lt;/varequal&gt;&lt;/conditionvar&gt;&lt;setvar action=""Add""&gt;"&amp;$H28&amp;"&lt;/setvar&gt;&lt;/respcondition&gt;",""),IF(U28,"      &lt;respcondition continue=""Yes""&gt;&lt;conditionvar&gt;&lt;varequal respident=""RESPONSE""&gt;1&lt;/varequal&gt;&lt;/conditionvar&gt;&lt;setvar action=""Add""&gt;"&amp;(Saisie_Questions!$N28/$I28)&amp;"&lt;/setvar&gt;&lt;/respcondition&gt;","      &lt;respcondition continue=""Yes""&gt;&lt;conditionvar&gt;&lt;not&gt;&lt;varequal respident=""RESPONSE""&gt;1&lt;/varequal&gt;&lt;/not&gt;&lt;/conditionvar&gt;&lt;setvar action=""Add""&gt;"&amp;(Saisie_Questions!$N28/$I28)&amp;"&lt;/setvar&gt;&lt;/respcondition&gt;"))),"")</f>
        <v/>
      </c>
      <c r="AL28" s="2" t="str">
        <f>IF($B28,IF(N28="","",IF($C28="qcu",IF(V28,"      &lt;respcondition continue=""Yes""&gt;&lt;conditionvar&gt;&lt;varequal respident=""RESPONSE""&gt;2&lt;/varequal&gt;&lt;/conditionvar&gt;&lt;setvar action=""Add""&gt;"&amp;$H28&amp;"&lt;/setvar&gt;&lt;/respcondition&gt;",""),IF(V28,"      &lt;respcondition continue=""Yes""&gt;&lt;conditionvar&gt;&lt;varequal respident=""RESPONSE""&gt;2&lt;/varequal&gt;&lt;/conditionvar&gt;&lt;setvar action=""Add""&gt;"&amp;(Saisie_Questions!$N28/$I28)&amp;"&lt;/setvar&gt;&lt;/respcondition&gt;","      &lt;respcondition continue=""Yes""&gt;&lt;conditionvar&gt;&lt;not&gt;&lt;varequal respident=""RESPONSE""&gt;2&lt;/varequal&gt;&lt;/not&gt;&lt;/conditionvar&gt;&lt;setvar action=""Add""&gt;"&amp;(Saisie_Questions!$N28/$I28)&amp;"&lt;/setvar&gt;&lt;/respcondition&gt;"))),"")</f>
        <v/>
      </c>
      <c r="AM28" s="2" t="str">
        <f>IF($B28,IF(O28="","",IF($C28="qcu",IF(W28,"      &lt;respcondition continue=""Yes""&gt;&lt;conditionvar&gt;&lt;varequal respident=""RESPONSE""&gt;3&lt;/varequal&gt;&lt;/conditionvar&gt;&lt;setvar action=""Add""&gt;"&amp;$H28&amp;"&lt;/setvar&gt;&lt;/respcondition&gt;",""),IF(W28,"      &lt;respcondition continue=""Yes""&gt;&lt;conditionvar&gt;&lt;varequal respident=""RESPONSE""&gt;3&lt;/varequal&gt;&lt;/conditionvar&gt;&lt;setvar action=""Add""&gt;"&amp;(Saisie_Questions!$N28/$I28)&amp;"&lt;/setvar&gt;&lt;/respcondition&gt;","      &lt;respcondition continue=""Yes""&gt;&lt;conditionvar&gt;&lt;not&gt;&lt;varequal respident=""RESPONSE""&gt;3&lt;/varequal&gt;&lt;/not&gt;&lt;/conditionvar&gt;&lt;setvar action=""Add""&gt;"&amp;(Saisie_Questions!$N28/$I28)&amp;"&lt;/setvar&gt;&lt;/respcondition&gt;"))),"")</f>
        <v/>
      </c>
      <c r="AN28" s="2" t="str">
        <f>IF($B28,IF(P28="","",IF($C28="qcu",IF(X28,"      &lt;respcondition continue=""Yes""&gt;&lt;conditionvar&gt;&lt;varequal respident=""RESPONSE""&gt;4&lt;/varequal&gt;&lt;/conditionvar&gt;&lt;setvar action=""Add""&gt;"&amp;$H28&amp;"&lt;/setvar&gt;&lt;/respcondition&gt;",""),IF(X28,"      &lt;respcondition continue=""Yes""&gt;&lt;conditionvar&gt;&lt;varequal respident=""RESPONSE""&gt;4&lt;/varequal&gt;&lt;/conditionvar&gt;&lt;setvar action=""Add""&gt;"&amp;(Saisie_Questions!$N28/$I28)&amp;"&lt;/setvar&gt;&lt;/respcondition&gt;","      &lt;respcondition continue=""Yes""&gt;&lt;conditionvar&gt;&lt;not&gt;&lt;varequal respident=""RESPONSE""&gt;4&lt;/varequal&gt;&lt;/not&gt;&lt;/conditionvar&gt;&lt;setvar action=""Add""&gt;"&amp;(Saisie_Questions!$N28/$I28)&amp;"&lt;/setvar&gt;&lt;/respcondition&gt;"))),"")</f>
        <v/>
      </c>
      <c r="AO28" s="2" t="str">
        <f>IF($B28,IF(Q28="","",IF($C28="qcu",IF(Y28,"      &lt;respcondition continue=""Yes""&gt;&lt;conditionvar&gt;&lt;varequal respident=""RESPONSE""&gt;5&lt;/varequal&gt;&lt;/conditionvar&gt;&lt;setvar action=""Add""&gt;"&amp;$H28&amp;"&lt;/setvar&gt;&lt;/respcondition&gt;",""),IF(Y28,"      &lt;respcondition continue=""Yes""&gt;&lt;conditionvar&gt;&lt;varequal respident=""RESPONSE""&gt;5&lt;/varequal&gt;&lt;/conditionvar&gt;&lt;setvar action=""Add""&gt;"&amp;(Saisie_Questions!$N28/$I28)&amp;"&lt;/setvar&gt;&lt;/respcondition&gt;","      &lt;respcondition continue=""Yes""&gt;&lt;conditionvar&gt;&lt;not&gt;&lt;varequal respident=""RESPONSE""&gt;5&lt;/varequal&gt;&lt;/not&gt;&lt;/conditionvar&gt;&lt;setvar action=""Add""&gt;"&amp;(Saisie_Questions!$N28/$I28)&amp;"&lt;/setvar&gt;&lt;/respcondition&gt;"))),"")</f>
        <v/>
      </c>
      <c r="AP28" s="2" t="str">
        <f>IF($B28,IF(R28="","",IF($C28="qcu",IF(Z28,"      &lt;respcondition continue=""Yes""&gt;&lt;conditionvar&gt;&lt;varequal respident=""RESPONSE""&gt;6&lt;/varequal&gt;&lt;/conditionvar&gt;&lt;setvar action=""Add""&gt;"&amp;$H28&amp;"&lt;/setvar&gt;&lt;/respcondition&gt;",""),IF(Z28,"      &lt;respcondition continue=""Yes""&gt;&lt;conditionvar&gt;&lt;varequal respident=""RESPONSE""&gt;6&lt;/varequal&gt;&lt;/conditionvar&gt;&lt;setvar action=""Add""&gt;"&amp;(Saisie_Questions!$N28/$I28)&amp;"&lt;/setvar&gt;&lt;/respcondition&gt;","      &lt;respcondition continue=""Yes""&gt;&lt;conditionvar&gt;&lt;not&gt;&lt;varequal respident=""RESPONSE""&gt;6&lt;/varequal&gt;&lt;/not&gt;&lt;/conditionvar&gt;&lt;setvar action=""Add""&gt;"&amp;(Saisie_Questions!$N28/$I28)&amp;"&lt;/setvar&gt;&lt;/respcondition&gt;"))),"")</f>
        <v/>
      </c>
      <c r="AQ28" s="2" t="str">
        <f>IF($B28,IF(S28="","",IF($C28="qcu",IF(AA28,"      &lt;respcondition continue=""Yes""&gt;&lt;conditionvar&gt;&lt;varequal respident=""RESPONSE""&gt;7&lt;/varequal&gt;&lt;/conditionvar&gt;&lt;setvar action=""Add""&gt;"&amp;$H28&amp;"&lt;/setvar&gt;&lt;/respcondition&gt;",""),IF(AA28,"      &lt;respcondition continue=""Yes""&gt;&lt;conditionvar&gt;&lt;varequal respident=""RESPONSE""&gt;7&lt;/varequal&gt;&lt;/conditionvar&gt;&lt;setvar action=""Add""&gt;"&amp;(Saisie_Questions!$N28/$I28)&amp;"&lt;/setvar&gt;&lt;/respcondition&gt;","      &lt;respcondition continue=""Yes""&gt;&lt;conditionvar&gt;&lt;not&gt;&lt;varequal respident=""RESPONSE""&gt;7&lt;/varequal&gt;&lt;/not&gt;&lt;/conditionvar&gt;&lt;setvar action=""Add""&gt;"&amp;(Saisie_Questions!$N28/$I28)&amp;"&lt;/setvar&gt;&lt;/respcondition&gt;"))),"")</f>
        <v/>
      </c>
    </row>
    <row r="29" spans="1:43" ht="18" customHeight="1">
      <c r="A29" s="2" t="str">
        <f>Saisie_Questions!A29</f>
        <v/>
      </c>
      <c r="B29" s="2" t="b">
        <f>Saisie_Questions!O29="OK"</f>
        <v>0</v>
      </c>
      <c r="C29" s="2" t="str">
        <f>LOWER(TRIM(Saisie_Questions!B29))</f>
        <v/>
      </c>
      <c r="D29" s="2" t="str">
        <f t="shared" si="0"/>
        <v>MULTIPLE CHOICE QUESTION</v>
      </c>
      <c r="E29" s="2" t="str">
        <f t="shared" si="1"/>
        <v>Multiple</v>
      </c>
      <c r="F29" s="2" t="str">
        <f>IF(A29="","",SUBSTITUTE(SUBSTITUTE(SUBSTITUTE(SUBSTITUTE(SUBSTITUTE(IF(Saisie_Questions!C29="", "Question "&amp;A29, Saisie_Questions!C29),"&amp;","&amp;amp;"),"&lt;","&amp;lt;"),"&gt;","&amp;gt;"),CHAR(34),"&amp;quot;"),"'","&amp;apos;"))</f>
        <v/>
      </c>
      <c r="G29" s="2" t="str">
        <f>IF(A29="","",SUBSTITUTE(SUBSTITUTE(SUBSTITUTE(SUBSTITUTE(SUBSTITUTE(Saisie_Questions!D29,"&amp;","&amp;amp;"),"&lt;","&amp;lt;"),"&gt;","&amp;gt;"),CHAR(34),"&amp;quot;"),"'","&amp;apos;"))</f>
        <v/>
      </c>
      <c r="H29" s="2">
        <f>Saisie_Questions!N29</f>
        <v>0</v>
      </c>
      <c r="I29" s="2">
        <f>IF(Saisie_Questions!E29="",0,1)+IF(Saisie_Questions!F29="",0,1)+IF(Saisie_Questions!G29="",0,1)+IF(Saisie_Questions!H29="",0,1)+IF(Saisie_Questions!I29="",0,1)+IF(Saisie_Questions!J29="",0,1)+IF(Saisie_Questions!K29="",0,1)+IF(Saisie_Questions!L29="",0,1)</f>
        <v>0</v>
      </c>
      <c r="J29" s="2">
        <f>Saisie_Questions!M29</f>
        <v>0</v>
      </c>
      <c r="K29" s="2" t="str">
        <f>Saisie_Questions!O29</f>
        <v/>
      </c>
      <c r="L29" s="2" t="str">
        <f>IF(Saisie_Questions!E29="","",SUBSTITUTE(SUBSTITUTE(SUBSTITUTE(SUBSTITUTE(SUBSTITUTE(Saisie_Questions!E29,"&amp;","&amp;amp;"),"&lt;","&amp;lt;"),"&gt;","&amp;gt;"),CHAR(34),"&amp;quot;"),"'","&amp;apos;"))</f>
        <v/>
      </c>
      <c r="M29" s="2" t="str">
        <f>IF(Saisie_Questions!F29="","",SUBSTITUTE(SUBSTITUTE(SUBSTITUTE(SUBSTITUTE(SUBSTITUTE(Saisie_Questions!F29,"&amp;","&amp;amp;"),"&lt;","&amp;lt;"),"&gt;","&amp;gt;"),CHAR(34),"&amp;quot;"),"'","&amp;apos;"))</f>
        <v/>
      </c>
      <c r="N29" s="2" t="str">
        <f>IF(Saisie_Questions!G29="","",SUBSTITUTE(SUBSTITUTE(SUBSTITUTE(SUBSTITUTE(SUBSTITUTE(Saisie_Questions!G29,"&amp;","&amp;amp;"),"&lt;","&amp;lt;"),"&gt;","&amp;gt;"),CHAR(34),"&amp;quot;"),"'","&amp;apos;"))</f>
        <v/>
      </c>
      <c r="O29" s="2" t="str">
        <f>IF(Saisie_Questions!H29="","",SUBSTITUTE(SUBSTITUTE(SUBSTITUTE(SUBSTITUTE(SUBSTITUTE(Saisie_Questions!H29,"&amp;","&amp;amp;"),"&lt;","&amp;lt;"),"&gt;","&amp;gt;"),CHAR(34),"&amp;quot;"),"'","&amp;apos;"))</f>
        <v/>
      </c>
      <c r="P29" s="2" t="str">
        <f>IF(Saisie_Questions!I29="","",SUBSTITUTE(SUBSTITUTE(SUBSTITUTE(SUBSTITUTE(SUBSTITUTE(Saisie_Questions!I29,"&amp;","&amp;amp;"),"&lt;","&amp;lt;"),"&gt;","&amp;gt;"),CHAR(34),"&amp;quot;"),"'","&amp;apos;"))</f>
        <v/>
      </c>
      <c r="Q29" s="2" t="str">
        <f>IF(Saisie_Questions!J29="","",SUBSTITUTE(SUBSTITUTE(SUBSTITUTE(SUBSTITUTE(SUBSTITUTE(Saisie_Questions!J29,"&amp;","&amp;amp;"),"&lt;","&amp;lt;"),"&gt;","&amp;gt;"),CHAR(34),"&amp;quot;"),"'","&amp;apos;"))</f>
        <v/>
      </c>
      <c r="R29" s="2" t="str">
        <f>IF(Saisie_Questions!K29="","",SUBSTITUTE(SUBSTITUTE(SUBSTITUTE(SUBSTITUTE(SUBSTITUTE(Saisie_Questions!K29,"&amp;","&amp;amp;"),"&lt;","&amp;lt;"),"&gt;","&amp;gt;"),CHAR(34),"&amp;quot;"),"'","&amp;apos;"))</f>
        <v/>
      </c>
      <c r="S29" s="2" t="str">
        <f>IF(Saisie_Questions!L29="","",SUBSTITUTE(SUBSTITUTE(SUBSTITUTE(SUBSTITUTE(SUBSTITUTE(Saisie_Questions!L29,"&amp;","&amp;amp;"),"&lt;","&amp;lt;"),"&gt;","&amp;gt;"),CHAR(34),"&amp;quot;"),"'","&amp;apos;"))</f>
        <v/>
      </c>
      <c r="T29" s="2" t="b">
        <f t="shared" si="2"/>
        <v>0</v>
      </c>
      <c r="U29" s="2" t="b">
        <f t="shared" si="3"/>
        <v>0</v>
      </c>
      <c r="V29" s="2" t="b">
        <f t="shared" si="4"/>
        <v>0</v>
      </c>
      <c r="W29" s="2" t="b">
        <f t="shared" si="5"/>
        <v>0</v>
      </c>
      <c r="X29" s="2" t="b">
        <f t="shared" si="6"/>
        <v>0</v>
      </c>
      <c r="Y29" s="2" t="b">
        <f t="shared" si="7"/>
        <v>0</v>
      </c>
      <c r="Z29" s="2" t="b">
        <f t="shared" si="8"/>
        <v>0</v>
      </c>
      <c r="AA29" s="2" t="b">
        <f t="shared" si="9"/>
        <v>0</v>
      </c>
      <c r="AB29" s="2" t="str">
        <f t="shared" si="10"/>
        <v/>
      </c>
      <c r="AC29" s="2" t="str">
        <f t="shared" si="11"/>
        <v/>
      </c>
      <c r="AD29" s="2" t="str">
        <f t="shared" si="12"/>
        <v/>
      </c>
      <c r="AE29" s="2" t="str">
        <f t="shared" si="13"/>
        <v/>
      </c>
      <c r="AF29" s="2" t="str">
        <f t="shared" si="14"/>
        <v/>
      </c>
      <c r="AG29" s="2" t="str">
        <f t="shared" si="15"/>
        <v/>
      </c>
      <c r="AH29" s="2" t="str">
        <f t="shared" si="16"/>
        <v/>
      </c>
      <c r="AI29" s="2" t="str">
        <f t="shared" si="17"/>
        <v/>
      </c>
      <c r="AJ29" s="2" t="str">
        <f>IF($B29,IF(L29="","",IF($C29="qcu",IF(T29,"      &lt;respcondition continue=""Yes""&gt;&lt;conditionvar&gt;&lt;varequal respident=""RESPONSE""&gt;0&lt;/varequal&gt;&lt;/conditionvar&gt;&lt;setvar action=""Add""&gt;"&amp;$H29&amp;"&lt;/setvar&gt;&lt;/respcondition&gt;",""),IF(T29,"      &lt;respcondition continue=""Yes""&gt;&lt;conditionvar&gt;&lt;varequal respident=""RESPONSE""&gt;0&lt;/varequal&gt;&lt;/conditionvar&gt;&lt;setvar action=""Add""&gt;"&amp;(Saisie_Questions!$N29/$I29)&amp;"&lt;/setvar&gt;&lt;/respcondition&gt;","      &lt;respcondition continue=""Yes""&gt;&lt;conditionvar&gt;&lt;not&gt;&lt;varequal respident=""RESPONSE""&gt;0&lt;/varequal&gt;&lt;/not&gt;&lt;/conditionvar&gt;&lt;setvar action=""Add""&gt;"&amp;(Saisie_Questions!$N29/$I29)&amp;"&lt;/setvar&gt;&lt;/respcondition&gt;"))),"")</f>
        <v/>
      </c>
      <c r="AK29" s="2" t="str">
        <f>IF($B29,IF(M29="","",IF($C29="qcu",IF(U29,"      &lt;respcondition continue=""Yes""&gt;&lt;conditionvar&gt;&lt;varequal respident=""RESPONSE""&gt;1&lt;/varequal&gt;&lt;/conditionvar&gt;&lt;setvar action=""Add""&gt;"&amp;$H29&amp;"&lt;/setvar&gt;&lt;/respcondition&gt;",""),IF(U29,"      &lt;respcondition continue=""Yes""&gt;&lt;conditionvar&gt;&lt;varequal respident=""RESPONSE""&gt;1&lt;/varequal&gt;&lt;/conditionvar&gt;&lt;setvar action=""Add""&gt;"&amp;(Saisie_Questions!$N29/$I29)&amp;"&lt;/setvar&gt;&lt;/respcondition&gt;","      &lt;respcondition continue=""Yes""&gt;&lt;conditionvar&gt;&lt;not&gt;&lt;varequal respident=""RESPONSE""&gt;1&lt;/varequal&gt;&lt;/not&gt;&lt;/conditionvar&gt;&lt;setvar action=""Add""&gt;"&amp;(Saisie_Questions!$N29/$I29)&amp;"&lt;/setvar&gt;&lt;/respcondition&gt;"))),"")</f>
        <v/>
      </c>
      <c r="AL29" s="2" t="str">
        <f>IF($B29,IF(N29="","",IF($C29="qcu",IF(V29,"      &lt;respcondition continue=""Yes""&gt;&lt;conditionvar&gt;&lt;varequal respident=""RESPONSE""&gt;2&lt;/varequal&gt;&lt;/conditionvar&gt;&lt;setvar action=""Add""&gt;"&amp;$H29&amp;"&lt;/setvar&gt;&lt;/respcondition&gt;",""),IF(V29,"      &lt;respcondition continue=""Yes""&gt;&lt;conditionvar&gt;&lt;varequal respident=""RESPONSE""&gt;2&lt;/varequal&gt;&lt;/conditionvar&gt;&lt;setvar action=""Add""&gt;"&amp;(Saisie_Questions!$N29/$I29)&amp;"&lt;/setvar&gt;&lt;/respcondition&gt;","      &lt;respcondition continue=""Yes""&gt;&lt;conditionvar&gt;&lt;not&gt;&lt;varequal respident=""RESPONSE""&gt;2&lt;/varequal&gt;&lt;/not&gt;&lt;/conditionvar&gt;&lt;setvar action=""Add""&gt;"&amp;(Saisie_Questions!$N29/$I29)&amp;"&lt;/setvar&gt;&lt;/respcondition&gt;"))),"")</f>
        <v/>
      </c>
      <c r="AM29" s="2" t="str">
        <f>IF($B29,IF(O29="","",IF($C29="qcu",IF(W29,"      &lt;respcondition continue=""Yes""&gt;&lt;conditionvar&gt;&lt;varequal respident=""RESPONSE""&gt;3&lt;/varequal&gt;&lt;/conditionvar&gt;&lt;setvar action=""Add""&gt;"&amp;$H29&amp;"&lt;/setvar&gt;&lt;/respcondition&gt;",""),IF(W29,"      &lt;respcondition continue=""Yes""&gt;&lt;conditionvar&gt;&lt;varequal respident=""RESPONSE""&gt;3&lt;/varequal&gt;&lt;/conditionvar&gt;&lt;setvar action=""Add""&gt;"&amp;(Saisie_Questions!$N29/$I29)&amp;"&lt;/setvar&gt;&lt;/respcondition&gt;","      &lt;respcondition continue=""Yes""&gt;&lt;conditionvar&gt;&lt;not&gt;&lt;varequal respident=""RESPONSE""&gt;3&lt;/varequal&gt;&lt;/not&gt;&lt;/conditionvar&gt;&lt;setvar action=""Add""&gt;"&amp;(Saisie_Questions!$N29/$I29)&amp;"&lt;/setvar&gt;&lt;/respcondition&gt;"))),"")</f>
        <v/>
      </c>
      <c r="AN29" s="2" t="str">
        <f>IF($B29,IF(P29="","",IF($C29="qcu",IF(X29,"      &lt;respcondition continue=""Yes""&gt;&lt;conditionvar&gt;&lt;varequal respident=""RESPONSE""&gt;4&lt;/varequal&gt;&lt;/conditionvar&gt;&lt;setvar action=""Add""&gt;"&amp;$H29&amp;"&lt;/setvar&gt;&lt;/respcondition&gt;",""),IF(X29,"      &lt;respcondition continue=""Yes""&gt;&lt;conditionvar&gt;&lt;varequal respident=""RESPONSE""&gt;4&lt;/varequal&gt;&lt;/conditionvar&gt;&lt;setvar action=""Add""&gt;"&amp;(Saisie_Questions!$N29/$I29)&amp;"&lt;/setvar&gt;&lt;/respcondition&gt;","      &lt;respcondition continue=""Yes""&gt;&lt;conditionvar&gt;&lt;not&gt;&lt;varequal respident=""RESPONSE""&gt;4&lt;/varequal&gt;&lt;/not&gt;&lt;/conditionvar&gt;&lt;setvar action=""Add""&gt;"&amp;(Saisie_Questions!$N29/$I29)&amp;"&lt;/setvar&gt;&lt;/respcondition&gt;"))),"")</f>
        <v/>
      </c>
      <c r="AO29" s="2" t="str">
        <f>IF($B29,IF(Q29="","",IF($C29="qcu",IF(Y29,"      &lt;respcondition continue=""Yes""&gt;&lt;conditionvar&gt;&lt;varequal respident=""RESPONSE""&gt;5&lt;/varequal&gt;&lt;/conditionvar&gt;&lt;setvar action=""Add""&gt;"&amp;$H29&amp;"&lt;/setvar&gt;&lt;/respcondition&gt;",""),IF(Y29,"      &lt;respcondition continue=""Yes""&gt;&lt;conditionvar&gt;&lt;varequal respident=""RESPONSE""&gt;5&lt;/varequal&gt;&lt;/conditionvar&gt;&lt;setvar action=""Add""&gt;"&amp;(Saisie_Questions!$N29/$I29)&amp;"&lt;/setvar&gt;&lt;/respcondition&gt;","      &lt;respcondition continue=""Yes""&gt;&lt;conditionvar&gt;&lt;not&gt;&lt;varequal respident=""RESPONSE""&gt;5&lt;/varequal&gt;&lt;/not&gt;&lt;/conditionvar&gt;&lt;setvar action=""Add""&gt;"&amp;(Saisie_Questions!$N29/$I29)&amp;"&lt;/setvar&gt;&lt;/respcondition&gt;"))),"")</f>
        <v/>
      </c>
      <c r="AP29" s="2" t="str">
        <f>IF($B29,IF(R29="","",IF($C29="qcu",IF(Z29,"      &lt;respcondition continue=""Yes""&gt;&lt;conditionvar&gt;&lt;varequal respident=""RESPONSE""&gt;6&lt;/varequal&gt;&lt;/conditionvar&gt;&lt;setvar action=""Add""&gt;"&amp;$H29&amp;"&lt;/setvar&gt;&lt;/respcondition&gt;",""),IF(Z29,"      &lt;respcondition continue=""Yes""&gt;&lt;conditionvar&gt;&lt;varequal respident=""RESPONSE""&gt;6&lt;/varequal&gt;&lt;/conditionvar&gt;&lt;setvar action=""Add""&gt;"&amp;(Saisie_Questions!$N29/$I29)&amp;"&lt;/setvar&gt;&lt;/respcondition&gt;","      &lt;respcondition continue=""Yes""&gt;&lt;conditionvar&gt;&lt;not&gt;&lt;varequal respident=""RESPONSE""&gt;6&lt;/varequal&gt;&lt;/not&gt;&lt;/conditionvar&gt;&lt;setvar action=""Add""&gt;"&amp;(Saisie_Questions!$N29/$I29)&amp;"&lt;/setvar&gt;&lt;/respcondition&gt;"))),"")</f>
        <v/>
      </c>
      <c r="AQ29" s="2" t="str">
        <f>IF($B29,IF(S29="","",IF($C29="qcu",IF(AA29,"      &lt;respcondition continue=""Yes""&gt;&lt;conditionvar&gt;&lt;varequal respident=""RESPONSE""&gt;7&lt;/varequal&gt;&lt;/conditionvar&gt;&lt;setvar action=""Add""&gt;"&amp;$H29&amp;"&lt;/setvar&gt;&lt;/respcondition&gt;",""),IF(AA29,"      &lt;respcondition continue=""Yes""&gt;&lt;conditionvar&gt;&lt;varequal respident=""RESPONSE""&gt;7&lt;/varequal&gt;&lt;/conditionvar&gt;&lt;setvar action=""Add""&gt;"&amp;(Saisie_Questions!$N29/$I29)&amp;"&lt;/setvar&gt;&lt;/respcondition&gt;","      &lt;respcondition continue=""Yes""&gt;&lt;conditionvar&gt;&lt;not&gt;&lt;varequal respident=""RESPONSE""&gt;7&lt;/varequal&gt;&lt;/not&gt;&lt;/conditionvar&gt;&lt;setvar action=""Add""&gt;"&amp;(Saisie_Questions!$N29/$I29)&amp;"&lt;/setvar&gt;&lt;/respcondition&gt;"))),"")</f>
        <v/>
      </c>
    </row>
    <row r="30" spans="1:43" ht="18" customHeight="1">
      <c r="A30" s="2" t="str">
        <f>Saisie_Questions!A30</f>
        <v/>
      </c>
      <c r="B30" s="2" t="b">
        <f>Saisie_Questions!O30="OK"</f>
        <v>0</v>
      </c>
      <c r="C30" s="2" t="str">
        <f>LOWER(TRIM(Saisie_Questions!B30))</f>
        <v/>
      </c>
      <c r="D30" s="2" t="str">
        <f t="shared" si="0"/>
        <v>MULTIPLE CHOICE QUESTION</v>
      </c>
      <c r="E30" s="2" t="str">
        <f t="shared" si="1"/>
        <v>Multiple</v>
      </c>
      <c r="F30" s="2" t="str">
        <f>IF(A30="","",SUBSTITUTE(SUBSTITUTE(SUBSTITUTE(SUBSTITUTE(SUBSTITUTE(IF(Saisie_Questions!C30="", "Question "&amp;A30, Saisie_Questions!C30),"&amp;","&amp;amp;"),"&lt;","&amp;lt;"),"&gt;","&amp;gt;"),CHAR(34),"&amp;quot;"),"'","&amp;apos;"))</f>
        <v/>
      </c>
      <c r="G30" s="2" t="str">
        <f>IF(A30="","",SUBSTITUTE(SUBSTITUTE(SUBSTITUTE(SUBSTITUTE(SUBSTITUTE(Saisie_Questions!D30,"&amp;","&amp;amp;"),"&lt;","&amp;lt;"),"&gt;","&amp;gt;"),CHAR(34),"&amp;quot;"),"'","&amp;apos;"))</f>
        <v/>
      </c>
      <c r="H30" s="2">
        <f>Saisie_Questions!N30</f>
        <v>0</v>
      </c>
      <c r="I30" s="2">
        <f>IF(Saisie_Questions!E30="",0,1)+IF(Saisie_Questions!F30="",0,1)+IF(Saisie_Questions!G30="",0,1)+IF(Saisie_Questions!H30="",0,1)+IF(Saisie_Questions!I30="",0,1)+IF(Saisie_Questions!J30="",0,1)+IF(Saisie_Questions!K30="",0,1)+IF(Saisie_Questions!L30="",0,1)</f>
        <v>0</v>
      </c>
      <c r="J30" s="2">
        <f>Saisie_Questions!M30</f>
        <v>0</v>
      </c>
      <c r="K30" s="2" t="str">
        <f>Saisie_Questions!O30</f>
        <v/>
      </c>
      <c r="L30" s="2" t="str">
        <f>IF(Saisie_Questions!E30="","",SUBSTITUTE(SUBSTITUTE(SUBSTITUTE(SUBSTITUTE(SUBSTITUTE(Saisie_Questions!E30,"&amp;","&amp;amp;"),"&lt;","&amp;lt;"),"&gt;","&amp;gt;"),CHAR(34),"&amp;quot;"),"'","&amp;apos;"))</f>
        <v/>
      </c>
      <c r="M30" s="2" t="str">
        <f>IF(Saisie_Questions!F30="","",SUBSTITUTE(SUBSTITUTE(SUBSTITUTE(SUBSTITUTE(SUBSTITUTE(Saisie_Questions!F30,"&amp;","&amp;amp;"),"&lt;","&amp;lt;"),"&gt;","&amp;gt;"),CHAR(34),"&amp;quot;"),"'","&amp;apos;"))</f>
        <v/>
      </c>
      <c r="N30" s="2" t="str">
        <f>IF(Saisie_Questions!G30="","",SUBSTITUTE(SUBSTITUTE(SUBSTITUTE(SUBSTITUTE(SUBSTITUTE(Saisie_Questions!G30,"&amp;","&amp;amp;"),"&lt;","&amp;lt;"),"&gt;","&amp;gt;"),CHAR(34),"&amp;quot;"),"'","&amp;apos;"))</f>
        <v/>
      </c>
      <c r="O30" s="2" t="str">
        <f>IF(Saisie_Questions!H30="","",SUBSTITUTE(SUBSTITUTE(SUBSTITUTE(SUBSTITUTE(SUBSTITUTE(Saisie_Questions!H30,"&amp;","&amp;amp;"),"&lt;","&amp;lt;"),"&gt;","&amp;gt;"),CHAR(34),"&amp;quot;"),"'","&amp;apos;"))</f>
        <v/>
      </c>
      <c r="P30" s="2" t="str">
        <f>IF(Saisie_Questions!I30="","",SUBSTITUTE(SUBSTITUTE(SUBSTITUTE(SUBSTITUTE(SUBSTITUTE(Saisie_Questions!I30,"&amp;","&amp;amp;"),"&lt;","&amp;lt;"),"&gt;","&amp;gt;"),CHAR(34),"&amp;quot;"),"'","&amp;apos;"))</f>
        <v/>
      </c>
      <c r="Q30" s="2" t="str">
        <f>IF(Saisie_Questions!J30="","",SUBSTITUTE(SUBSTITUTE(SUBSTITUTE(SUBSTITUTE(SUBSTITUTE(Saisie_Questions!J30,"&amp;","&amp;amp;"),"&lt;","&amp;lt;"),"&gt;","&amp;gt;"),CHAR(34),"&amp;quot;"),"'","&amp;apos;"))</f>
        <v/>
      </c>
      <c r="R30" s="2" t="str">
        <f>IF(Saisie_Questions!K30="","",SUBSTITUTE(SUBSTITUTE(SUBSTITUTE(SUBSTITUTE(SUBSTITUTE(Saisie_Questions!K30,"&amp;","&amp;amp;"),"&lt;","&amp;lt;"),"&gt;","&amp;gt;"),CHAR(34),"&amp;quot;"),"'","&amp;apos;"))</f>
        <v/>
      </c>
      <c r="S30" s="2" t="str">
        <f>IF(Saisie_Questions!L30="","",SUBSTITUTE(SUBSTITUTE(SUBSTITUTE(SUBSTITUTE(SUBSTITUTE(Saisie_Questions!L30,"&amp;","&amp;amp;"),"&lt;","&amp;lt;"),"&gt;","&amp;gt;"),CHAR(34),"&amp;quot;"),"'","&amp;apos;"))</f>
        <v/>
      </c>
      <c r="T30" s="2" t="b">
        <f t="shared" si="2"/>
        <v>0</v>
      </c>
      <c r="U30" s="2" t="b">
        <f t="shared" si="3"/>
        <v>0</v>
      </c>
      <c r="V30" s="2" t="b">
        <f t="shared" si="4"/>
        <v>0</v>
      </c>
      <c r="W30" s="2" t="b">
        <f t="shared" si="5"/>
        <v>0</v>
      </c>
      <c r="X30" s="2" t="b">
        <f t="shared" si="6"/>
        <v>0</v>
      </c>
      <c r="Y30" s="2" t="b">
        <f t="shared" si="7"/>
        <v>0</v>
      </c>
      <c r="Z30" s="2" t="b">
        <f t="shared" si="8"/>
        <v>0</v>
      </c>
      <c r="AA30" s="2" t="b">
        <f t="shared" si="9"/>
        <v>0</v>
      </c>
      <c r="AB30" s="2" t="str">
        <f t="shared" si="10"/>
        <v/>
      </c>
      <c r="AC30" s="2" t="str">
        <f t="shared" si="11"/>
        <v/>
      </c>
      <c r="AD30" s="2" t="str">
        <f t="shared" si="12"/>
        <v/>
      </c>
      <c r="AE30" s="2" t="str">
        <f t="shared" si="13"/>
        <v/>
      </c>
      <c r="AF30" s="2" t="str">
        <f t="shared" si="14"/>
        <v/>
      </c>
      <c r="AG30" s="2" t="str">
        <f t="shared" si="15"/>
        <v/>
      </c>
      <c r="AH30" s="2" t="str">
        <f t="shared" si="16"/>
        <v/>
      </c>
      <c r="AI30" s="2" t="str">
        <f t="shared" si="17"/>
        <v/>
      </c>
      <c r="AJ30" s="2" t="str">
        <f>IF($B30,IF(L30="","",IF($C30="qcu",IF(T30,"      &lt;respcondition continue=""Yes""&gt;&lt;conditionvar&gt;&lt;varequal respident=""RESPONSE""&gt;0&lt;/varequal&gt;&lt;/conditionvar&gt;&lt;setvar action=""Add""&gt;"&amp;$H30&amp;"&lt;/setvar&gt;&lt;/respcondition&gt;",""),IF(T30,"      &lt;respcondition continue=""Yes""&gt;&lt;conditionvar&gt;&lt;varequal respident=""RESPONSE""&gt;0&lt;/varequal&gt;&lt;/conditionvar&gt;&lt;setvar action=""Add""&gt;"&amp;(Saisie_Questions!$N30/$I30)&amp;"&lt;/setvar&gt;&lt;/respcondition&gt;","      &lt;respcondition continue=""Yes""&gt;&lt;conditionvar&gt;&lt;not&gt;&lt;varequal respident=""RESPONSE""&gt;0&lt;/varequal&gt;&lt;/not&gt;&lt;/conditionvar&gt;&lt;setvar action=""Add""&gt;"&amp;(Saisie_Questions!$N30/$I30)&amp;"&lt;/setvar&gt;&lt;/respcondition&gt;"))),"")</f>
        <v/>
      </c>
      <c r="AK30" s="2" t="str">
        <f>IF($B30,IF(M30="","",IF($C30="qcu",IF(U30,"      &lt;respcondition continue=""Yes""&gt;&lt;conditionvar&gt;&lt;varequal respident=""RESPONSE""&gt;1&lt;/varequal&gt;&lt;/conditionvar&gt;&lt;setvar action=""Add""&gt;"&amp;$H30&amp;"&lt;/setvar&gt;&lt;/respcondition&gt;",""),IF(U30,"      &lt;respcondition continue=""Yes""&gt;&lt;conditionvar&gt;&lt;varequal respident=""RESPONSE""&gt;1&lt;/varequal&gt;&lt;/conditionvar&gt;&lt;setvar action=""Add""&gt;"&amp;(Saisie_Questions!$N30/$I30)&amp;"&lt;/setvar&gt;&lt;/respcondition&gt;","      &lt;respcondition continue=""Yes""&gt;&lt;conditionvar&gt;&lt;not&gt;&lt;varequal respident=""RESPONSE""&gt;1&lt;/varequal&gt;&lt;/not&gt;&lt;/conditionvar&gt;&lt;setvar action=""Add""&gt;"&amp;(Saisie_Questions!$N30/$I30)&amp;"&lt;/setvar&gt;&lt;/respcondition&gt;"))),"")</f>
        <v/>
      </c>
      <c r="AL30" s="2" t="str">
        <f>IF($B30,IF(N30="","",IF($C30="qcu",IF(V30,"      &lt;respcondition continue=""Yes""&gt;&lt;conditionvar&gt;&lt;varequal respident=""RESPONSE""&gt;2&lt;/varequal&gt;&lt;/conditionvar&gt;&lt;setvar action=""Add""&gt;"&amp;$H30&amp;"&lt;/setvar&gt;&lt;/respcondition&gt;",""),IF(V30,"      &lt;respcondition continue=""Yes""&gt;&lt;conditionvar&gt;&lt;varequal respident=""RESPONSE""&gt;2&lt;/varequal&gt;&lt;/conditionvar&gt;&lt;setvar action=""Add""&gt;"&amp;(Saisie_Questions!$N30/$I30)&amp;"&lt;/setvar&gt;&lt;/respcondition&gt;","      &lt;respcondition continue=""Yes""&gt;&lt;conditionvar&gt;&lt;not&gt;&lt;varequal respident=""RESPONSE""&gt;2&lt;/varequal&gt;&lt;/not&gt;&lt;/conditionvar&gt;&lt;setvar action=""Add""&gt;"&amp;(Saisie_Questions!$N30/$I30)&amp;"&lt;/setvar&gt;&lt;/respcondition&gt;"))),"")</f>
        <v/>
      </c>
      <c r="AM30" s="2" t="str">
        <f>IF($B30,IF(O30="","",IF($C30="qcu",IF(W30,"      &lt;respcondition continue=""Yes""&gt;&lt;conditionvar&gt;&lt;varequal respident=""RESPONSE""&gt;3&lt;/varequal&gt;&lt;/conditionvar&gt;&lt;setvar action=""Add""&gt;"&amp;$H30&amp;"&lt;/setvar&gt;&lt;/respcondition&gt;",""),IF(W30,"      &lt;respcondition continue=""Yes""&gt;&lt;conditionvar&gt;&lt;varequal respident=""RESPONSE""&gt;3&lt;/varequal&gt;&lt;/conditionvar&gt;&lt;setvar action=""Add""&gt;"&amp;(Saisie_Questions!$N30/$I30)&amp;"&lt;/setvar&gt;&lt;/respcondition&gt;","      &lt;respcondition continue=""Yes""&gt;&lt;conditionvar&gt;&lt;not&gt;&lt;varequal respident=""RESPONSE""&gt;3&lt;/varequal&gt;&lt;/not&gt;&lt;/conditionvar&gt;&lt;setvar action=""Add""&gt;"&amp;(Saisie_Questions!$N30/$I30)&amp;"&lt;/setvar&gt;&lt;/respcondition&gt;"))),"")</f>
        <v/>
      </c>
      <c r="AN30" s="2" t="str">
        <f>IF($B30,IF(P30="","",IF($C30="qcu",IF(X30,"      &lt;respcondition continue=""Yes""&gt;&lt;conditionvar&gt;&lt;varequal respident=""RESPONSE""&gt;4&lt;/varequal&gt;&lt;/conditionvar&gt;&lt;setvar action=""Add""&gt;"&amp;$H30&amp;"&lt;/setvar&gt;&lt;/respcondition&gt;",""),IF(X30,"      &lt;respcondition continue=""Yes""&gt;&lt;conditionvar&gt;&lt;varequal respident=""RESPONSE""&gt;4&lt;/varequal&gt;&lt;/conditionvar&gt;&lt;setvar action=""Add""&gt;"&amp;(Saisie_Questions!$N30/$I30)&amp;"&lt;/setvar&gt;&lt;/respcondition&gt;","      &lt;respcondition continue=""Yes""&gt;&lt;conditionvar&gt;&lt;not&gt;&lt;varequal respident=""RESPONSE""&gt;4&lt;/varequal&gt;&lt;/not&gt;&lt;/conditionvar&gt;&lt;setvar action=""Add""&gt;"&amp;(Saisie_Questions!$N30/$I30)&amp;"&lt;/setvar&gt;&lt;/respcondition&gt;"))),"")</f>
        <v/>
      </c>
      <c r="AO30" s="2" t="str">
        <f>IF($B30,IF(Q30="","",IF($C30="qcu",IF(Y30,"      &lt;respcondition continue=""Yes""&gt;&lt;conditionvar&gt;&lt;varequal respident=""RESPONSE""&gt;5&lt;/varequal&gt;&lt;/conditionvar&gt;&lt;setvar action=""Add""&gt;"&amp;$H30&amp;"&lt;/setvar&gt;&lt;/respcondition&gt;",""),IF(Y30,"      &lt;respcondition continue=""Yes""&gt;&lt;conditionvar&gt;&lt;varequal respident=""RESPONSE""&gt;5&lt;/varequal&gt;&lt;/conditionvar&gt;&lt;setvar action=""Add""&gt;"&amp;(Saisie_Questions!$N30/$I30)&amp;"&lt;/setvar&gt;&lt;/respcondition&gt;","      &lt;respcondition continue=""Yes""&gt;&lt;conditionvar&gt;&lt;not&gt;&lt;varequal respident=""RESPONSE""&gt;5&lt;/varequal&gt;&lt;/not&gt;&lt;/conditionvar&gt;&lt;setvar action=""Add""&gt;"&amp;(Saisie_Questions!$N30/$I30)&amp;"&lt;/setvar&gt;&lt;/respcondition&gt;"))),"")</f>
        <v/>
      </c>
      <c r="AP30" s="2" t="str">
        <f>IF($B30,IF(R30="","",IF($C30="qcu",IF(Z30,"      &lt;respcondition continue=""Yes""&gt;&lt;conditionvar&gt;&lt;varequal respident=""RESPONSE""&gt;6&lt;/varequal&gt;&lt;/conditionvar&gt;&lt;setvar action=""Add""&gt;"&amp;$H30&amp;"&lt;/setvar&gt;&lt;/respcondition&gt;",""),IF(Z30,"      &lt;respcondition continue=""Yes""&gt;&lt;conditionvar&gt;&lt;varequal respident=""RESPONSE""&gt;6&lt;/varequal&gt;&lt;/conditionvar&gt;&lt;setvar action=""Add""&gt;"&amp;(Saisie_Questions!$N30/$I30)&amp;"&lt;/setvar&gt;&lt;/respcondition&gt;","      &lt;respcondition continue=""Yes""&gt;&lt;conditionvar&gt;&lt;not&gt;&lt;varequal respident=""RESPONSE""&gt;6&lt;/varequal&gt;&lt;/not&gt;&lt;/conditionvar&gt;&lt;setvar action=""Add""&gt;"&amp;(Saisie_Questions!$N30/$I30)&amp;"&lt;/setvar&gt;&lt;/respcondition&gt;"))),"")</f>
        <v/>
      </c>
      <c r="AQ30" s="2" t="str">
        <f>IF($B30,IF(S30="","",IF($C30="qcu",IF(AA30,"      &lt;respcondition continue=""Yes""&gt;&lt;conditionvar&gt;&lt;varequal respident=""RESPONSE""&gt;7&lt;/varequal&gt;&lt;/conditionvar&gt;&lt;setvar action=""Add""&gt;"&amp;$H30&amp;"&lt;/setvar&gt;&lt;/respcondition&gt;",""),IF(AA30,"      &lt;respcondition continue=""Yes""&gt;&lt;conditionvar&gt;&lt;varequal respident=""RESPONSE""&gt;7&lt;/varequal&gt;&lt;/conditionvar&gt;&lt;setvar action=""Add""&gt;"&amp;(Saisie_Questions!$N30/$I30)&amp;"&lt;/setvar&gt;&lt;/respcondition&gt;","      &lt;respcondition continue=""Yes""&gt;&lt;conditionvar&gt;&lt;not&gt;&lt;varequal respident=""RESPONSE""&gt;7&lt;/varequal&gt;&lt;/not&gt;&lt;/conditionvar&gt;&lt;setvar action=""Add""&gt;"&amp;(Saisie_Questions!$N30/$I30)&amp;"&lt;/setvar&gt;&lt;/respcondition&gt;"))),"")</f>
        <v/>
      </c>
    </row>
    <row r="31" spans="1:43" ht="18" customHeight="1">
      <c r="A31" s="2" t="str">
        <f>Saisie_Questions!A31</f>
        <v/>
      </c>
      <c r="B31" s="2" t="b">
        <f>Saisie_Questions!O31="OK"</f>
        <v>0</v>
      </c>
      <c r="C31" s="2" t="str">
        <f>LOWER(TRIM(Saisie_Questions!B31))</f>
        <v/>
      </c>
      <c r="D31" s="2" t="str">
        <f t="shared" si="0"/>
        <v>MULTIPLE CHOICE QUESTION</v>
      </c>
      <c r="E31" s="2" t="str">
        <f t="shared" si="1"/>
        <v>Multiple</v>
      </c>
      <c r="F31" s="2" t="str">
        <f>IF(A31="","",SUBSTITUTE(SUBSTITUTE(SUBSTITUTE(SUBSTITUTE(SUBSTITUTE(IF(Saisie_Questions!C31="", "Question "&amp;A31, Saisie_Questions!C31),"&amp;","&amp;amp;"),"&lt;","&amp;lt;"),"&gt;","&amp;gt;"),CHAR(34),"&amp;quot;"),"'","&amp;apos;"))</f>
        <v/>
      </c>
      <c r="G31" s="2" t="str">
        <f>IF(A31="","",SUBSTITUTE(SUBSTITUTE(SUBSTITUTE(SUBSTITUTE(SUBSTITUTE(Saisie_Questions!D31,"&amp;","&amp;amp;"),"&lt;","&amp;lt;"),"&gt;","&amp;gt;"),CHAR(34),"&amp;quot;"),"'","&amp;apos;"))</f>
        <v/>
      </c>
      <c r="H31" s="2">
        <f>Saisie_Questions!N31</f>
        <v>0</v>
      </c>
      <c r="I31" s="2">
        <f>IF(Saisie_Questions!E31="",0,1)+IF(Saisie_Questions!F31="",0,1)+IF(Saisie_Questions!G31="",0,1)+IF(Saisie_Questions!H31="",0,1)+IF(Saisie_Questions!I31="",0,1)+IF(Saisie_Questions!J31="",0,1)+IF(Saisie_Questions!K31="",0,1)+IF(Saisie_Questions!L31="",0,1)</f>
        <v>0</v>
      </c>
      <c r="J31" s="2">
        <f>Saisie_Questions!M31</f>
        <v>0</v>
      </c>
      <c r="K31" s="2" t="str">
        <f>Saisie_Questions!O31</f>
        <v/>
      </c>
      <c r="L31" s="2" t="str">
        <f>IF(Saisie_Questions!E31="","",SUBSTITUTE(SUBSTITUTE(SUBSTITUTE(SUBSTITUTE(SUBSTITUTE(Saisie_Questions!E31,"&amp;","&amp;amp;"),"&lt;","&amp;lt;"),"&gt;","&amp;gt;"),CHAR(34),"&amp;quot;"),"'","&amp;apos;"))</f>
        <v/>
      </c>
      <c r="M31" s="2" t="str">
        <f>IF(Saisie_Questions!F31="","",SUBSTITUTE(SUBSTITUTE(SUBSTITUTE(SUBSTITUTE(SUBSTITUTE(Saisie_Questions!F31,"&amp;","&amp;amp;"),"&lt;","&amp;lt;"),"&gt;","&amp;gt;"),CHAR(34),"&amp;quot;"),"'","&amp;apos;"))</f>
        <v/>
      </c>
      <c r="N31" s="2" t="str">
        <f>IF(Saisie_Questions!G31="","",SUBSTITUTE(SUBSTITUTE(SUBSTITUTE(SUBSTITUTE(SUBSTITUTE(Saisie_Questions!G31,"&amp;","&amp;amp;"),"&lt;","&amp;lt;"),"&gt;","&amp;gt;"),CHAR(34),"&amp;quot;"),"'","&amp;apos;"))</f>
        <v/>
      </c>
      <c r="O31" s="2" t="str">
        <f>IF(Saisie_Questions!H31="","",SUBSTITUTE(SUBSTITUTE(SUBSTITUTE(SUBSTITUTE(SUBSTITUTE(Saisie_Questions!H31,"&amp;","&amp;amp;"),"&lt;","&amp;lt;"),"&gt;","&amp;gt;"),CHAR(34),"&amp;quot;"),"'","&amp;apos;"))</f>
        <v/>
      </c>
      <c r="P31" s="2" t="str">
        <f>IF(Saisie_Questions!I31="","",SUBSTITUTE(SUBSTITUTE(SUBSTITUTE(SUBSTITUTE(SUBSTITUTE(Saisie_Questions!I31,"&amp;","&amp;amp;"),"&lt;","&amp;lt;"),"&gt;","&amp;gt;"),CHAR(34),"&amp;quot;"),"'","&amp;apos;"))</f>
        <v/>
      </c>
      <c r="Q31" s="2" t="str">
        <f>IF(Saisie_Questions!J31="","",SUBSTITUTE(SUBSTITUTE(SUBSTITUTE(SUBSTITUTE(SUBSTITUTE(Saisie_Questions!J31,"&amp;","&amp;amp;"),"&lt;","&amp;lt;"),"&gt;","&amp;gt;"),CHAR(34),"&amp;quot;"),"'","&amp;apos;"))</f>
        <v/>
      </c>
      <c r="R31" s="2" t="str">
        <f>IF(Saisie_Questions!K31="","",SUBSTITUTE(SUBSTITUTE(SUBSTITUTE(SUBSTITUTE(SUBSTITUTE(Saisie_Questions!K31,"&amp;","&amp;amp;"),"&lt;","&amp;lt;"),"&gt;","&amp;gt;"),CHAR(34),"&amp;quot;"),"'","&amp;apos;"))</f>
        <v/>
      </c>
      <c r="S31" s="2" t="str">
        <f>IF(Saisie_Questions!L31="","",SUBSTITUTE(SUBSTITUTE(SUBSTITUTE(SUBSTITUTE(SUBSTITUTE(Saisie_Questions!L31,"&amp;","&amp;amp;"),"&lt;","&amp;lt;"),"&gt;","&amp;gt;"),CHAR(34),"&amp;quot;"),"'","&amp;apos;"))</f>
        <v/>
      </c>
      <c r="T31" s="2" t="b">
        <f t="shared" si="2"/>
        <v>0</v>
      </c>
      <c r="U31" s="2" t="b">
        <f t="shared" si="3"/>
        <v>0</v>
      </c>
      <c r="V31" s="2" t="b">
        <f t="shared" si="4"/>
        <v>0</v>
      </c>
      <c r="W31" s="2" t="b">
        <f t="shared" si="5"/>
        <v>0</v>
      </c>
      <c r="X31" s="2" t="b">
        <f t="shared" si="6"/>
        <v>0</v>
      </c>
      <c r="Y31" s="2" t="b">
        <f t="shared" si="7"/>
        <v>0</v>
      </c>
      <c r="Z31" s="2" t="b">
        <f t="shared" si="8"/>
        <v>0</v>
      </c>
      <c r="AA31" s="2" t="b">
        <f t="shared" si="9"/>
        <v>0</v>
      </c>
      <c r="AB31" s="2" t="str">
        <f t="shared" si="10"/>
        <v/>
      </c>
      <c r="AC31" s="2" t="str">
        <f t="shared" si="11"/>
        <v/>
      </c>
      <c r="AD31" s="2" t="str">
        <f t="shared" si="12"/>
        <v/>
      </c>
      <c r="AE31" s="2" t="str">
        <f t="shared" si="13"/>
        <v/>
      </c>
      <c r="AF31" s="2" t="str">
        <f t="shared" si="14"/>
        <v/>
      </c>
      <c r="AG31" s="2" t="str">
        <f t="shared" si="15"/>
        <v/>
      </c>
      <c r="AH31" s="2" t="str">
        <f t="shared" si="16"/>
        <v/>
      </c>
      <c r="AI31" s="2" t="str">
        <f t="shared" si="17"/>
        <v/>
      </c>
      <c r="AJ31" s="2" t="str">
        <f>IF($B31,IF(L31="","",IF($C31="qcu",IF(T31,"      &lt;respcondition continue=""Yes""&gt;&lt;conditionvar&gt;&lt;varequal respident=""RESPONSE""&gt;0&lt;/varequal&gt;&lt;/conditionvar&gt;&lt;setvar action=""Add""&gt;"&amp;$H31&amp;"&lt;/setvar&gt;&lt;/respcondition&gt;",""),IF(T31,"      &lt;respcondition continue=""Yes""&gt;&lt;conditionvar&gt;&lt;varequal respident=""RESPONSE""&gt;0&lt;/varequal&gt;&lt;/conditionvar&gt;&lt;setvar action=""Add""&gt;"&amp;(Saisie_Questions!$N31/$I31)&amp;"&lt;/setvar&gt;&lt;/respcondition&gt;","      &lt;respcondition continue=""Yes""&gt;&lt;conditionvar&gt;&lt;not&gt;&lt;varequal respident=""RESPONSE""&gt;0&lt;/varequal&gt;&lt;/not&gt;&lt;/conditionvar&gt;&lt;setvar action=""Add""&gt;"&amp;(Saisie_Questions!$N31/$I31)&amp;"&lt;/setvar&gt;&lt;/respcondition&gt;"))),"")</f>
        <v/>
      </c>
      <c r="AK31" s="2" t="str">
        <f>IF($B31,IF(M31="","",IF($C31="qcu",IF(U31,"      &lt;respcondition continue=""Yes""&gt;&lt;conditionvar&gt;&lt;varequal respident=""RESPONSE""&gt;1&lt;/varequal&gt;&lt;/conditionvar&gt;&lt;setvar action=""Add""&gt;"&amp;$H31&amp;"&lt;/setvar&gt;&lt;/respcondition&gt;",""),IF(U31,"      &lt;respcondition continue=""Yes""&gt;&lt;conditionvar&gt;&lt;varequal respident=""RESPONSE""&gt;1&lt;/varequal&gt;&lt;/conditionvar&gt;&lt;setvar action=""Add""&gt;"&amp;(Saisie_Questions!$N31/$I31)&amp;"&lt;/setvar&gt;&lt;/respcondition&gt;","      &lt;respcondition continue=""Yes""&gt;&lt;conditionvar&gt;&lt;not&gt;&lt;varequal respident=""RESPONSE""&gt;1&lt;/varequal&gt;&lt;/not&gt;&lt;/conditionvar&gt;&lt;setvar action=""Add""&gt;"&amp;(Saisie_Questions!$N31/$I31)&amp;"&lt;/setvar&gt;&lt;/respcondition&gt;"))),"")</f>
        <v/>
      </c>
      <c r="AL31" s="2" t="str">
        <f>IF($B31,IF(N31="","",IF($C31="qcu",IF(V31,"      &lt;respcondition continue=""Yes""&gt;&lt;conditionvar&gt;&lt;varequal respident=""RESPONSE""&gt;2&lt;/varequal&gt;&lt;/conditionvar&gt;&lt;setvar action=""Add""&gt;"&amp;$H31&amp;"&lt;/setvar&gt;&lt;/respcondition&gt;",""),IF(V31,"      &lt;respcondition continue=""Yes""&gt;&lt;conditionvar&gt;&lt;varequal respident=""RESPONSE""&gt;2&lt;/varequal&gt;&lt;/conditionvar&gt;&lt;setvar action=""Add""&gt;"&amp;(Saisie_Questions!$N31/$I31)&amp;"&lt;/setvar&gt;&lt;/respcondition&gt;","      &lt;respcondition continue=""Yes""&gt;&lt;conditionvar&gt;&lt;not&gt;&lt;varequal respident=""RESPONSE""&gt;2&lt;/varequal&gt;&lt;/not&gt;&lt;/conditionvar&gt;&lt;setvar action=""Add""&gt;"&amp;(Saisie_Questions!$N31/$I31)&amp;"&lt;/setvar&gt;&lt;/respcondition&gt;"))),"")</f>
        <v/>
      </c>
      <c r="AM31" s="2" t="str">
        <f>IF($B31,IF(O31="","",IF($C31="qcu",IF(W31,"      &lt;respcondition continue=""Yes""&gt;&lt;conditionvar&gt;&lt;varequal respident=""RESPONSE""&gt;3&lt;/varequal&gt;&lt;/conditionvar&gt;&lt;setvar action=""Add""&gt;"&amp;$H31&amp;"&lt;/setvar&gt;&lt;/respcondition&gt;",""),IF(W31,"      &lt;respcondition continue=""Yes""&gt;&lt;conditionvar&gt;&lt;varequal respident=""RESPONSE""&gt;3&lt;/varequal&gt;&lt;/conditionvar&gt;&lt;setvar action=""Add""&gt;"&amp;(Saisie_Questions!$N31/$I31)&amp;"&lt;/setvar&gt;&lt;/respcondition&gt;","      &lt;respcondition continue=""Yes""&gt;&lt;conditionvar&gt;&lt;not&gt;&lt;varequal respident=""RESPONSE""&gt;3&lt;/varequal&gt;&lt;/not&gt;&lt;/conditionvar&gt;&lt;setvar action=""Add""&gt;"&amp;(Saisie_Questions!$N31/$I31)&amp;"&lt;/setvar&gt;&lt;/respcondition&gt;"))),"")</f>
        <v/>
      </c>
      <c r="AN31" s="2" t="str">
        <f>IF($B31,IF(P31="","",IF($C31="qcu",IF(X31,"      &lt;respcondition continue=""Yes""&gt;&lt;conditionvar&gt;&lt;varequal respident=""RESPONSE""&gt;4&lt;/varequal&gt;&lt;/conditionvar&gt;&lt;setvar action=""Add""&gt;"&amp;$H31&amp;"&lt;/setvar&gt;&lt;/respcondition&gt;",""),IF(X31,"      &lt;respcondition continue=""Yes""&gt;&lt;conditionvar&gt;&lt;varequal respident=""RESPONSE""&gt;4&lt;/varequal&gt;&lt;/conditionvar&gt;&lt;setvar action=""Add""&gt;"&amp;(Saisie_Questions!$N31/$I31)&amp;"&lt;/setvar&gt;&lt;/respcondition&gt;","      &lt;respcondition continue=""Yes""&gt;&lt;conditionvar&gt;&lt;not&gt;&lt;varequal respident=""RESPONSE""&gt;4&lt;/varequal&gt;&lt;/not&gt;&lt;/conditionvar&gt;&lt;setvar action=""Add""&gt;"&amp;(Saisie_Questions!$N31/$I31)&amp;"&lt;/setvar&gt;&lt;/respcondition&gt;"))),"")</f>
        <v/>
      </c>
      <c r="AO31" s="2" t="str">
        <f>IF($B31,IF(Q31="","",IF($C31="qcu",IF(Y31,"      &lt;respcondition continue=""Yes""&gt;&lt;conditionvar&gt;&lt;varequal respident=""RESPONSE""&gt;5&lt;/varequal&gt;&lt;/conditionvar&gt;&lt;setvar action=""Add""&gt;"&amp;$H31&amp;"&lt;/setvar&gt;&lt;/respcondition&gt;",""),IF(Y31,"      &lt;respcondition continue=""Yes""&gt;&lt;conditionvar&gt;&lt;varequal respident=""RESPONSE""&gt;5&lt;/varequal&gt;&lt;/conditionvar&gt;&lt;setvar action=""Add""&gt;"&amp;(Saisie_Questions!$N31/$I31)&amp;"&lt;/setvar&gt;&lt;/respcondition&gt;","      &lt;respcondition continue=""Yes""&gt;&lt;conditionvar&gt;&lt;not&gt;&lt;varequal respident=""RESPONSE""&gt;5&lt;/varequal&gt;&lt;/not&gt;&lt;/conditionvar&gt;&lt;setvar action=""Add""&gt;"&amp;(Saisie_Questions!$N31/$I31)&amp;"&lt;/setvar&gt;&lt;/respcondition&gt;"))),"")</f>
        <v/>
      </c>
      <c r="AP31" s="2" t="str">
        <f>IF($B31,IF(R31="","",IF($C31="qcu",IF(Z31,"      &lt;respcondition continue=""Yes""&gt;&lt;conditionvar&gt;&lt;varequal respident=""RESPONSE""&gt;6&lt;/varequal&gt;&lt;/conditionvar&gt;&lt;setvar action=""Add""&gt;"&amp;$H31&amp;"&lt;/setvar&gt;&lt;/respcondition&gt;",""),IF(Z31,"      &lt;respcondition continue=""Yes""&gt;&lt;conditionvar&gt;&lt;varequal respident=""RESPONSE""&gt;6&lt;/varequal&gt;&lt;/conditionvar&gt;&lt;setvar action=""Add""&gt;"&amp;(Saisie_Questions!$N31/$I31)&amp;"&lt;/setvar&gt;&lt;/respcondition&gt;","      &lt;respcondition continue=""Yes""&gt;&lt;conditionvar&gt;&lt;not&gt;&lt;varequal respident=""RESPONSE""&gt;6&lt;/varequal&gt;&lt;/not&gt;&lt;/conditionvar&gt;&lt;setvar action=""Add""&gt;"&amp;(Saisie_Questions!$N31/$I31)&amp;"&lt;/setvar&gt;&lt;/respcondition&gt;"))),"")</f>
        <v/>
      </c>
      <c r="AQ31" s="2" t="str">
        <f>IF($B31,IF(S31="","",IF($C31="qcu",IF(AA31,"      &lt;respcondition continue=""Yes""&gt;&lt;conditionvar&gt;&lt;varequal respident=""RESPONSE""&gt;7&lt;/varequal&gt;&lt;/conditionvar&gt;&lt;setvar action=""Add""&gt;"&amp;$H31&amp;"&lt;/setvar&gt;&lt;/respcondition&gt;",""),IF(AA31,"      &lt;respcondition continue=""Yes""&gt;&lt;conditionvar&gt;&lt;varequal respident=""RESPONSE""&gt;7&lt;/varequal&gt;&lt;/conditionvar&gt;&lt;setvar action=""Add""&gt;"&amp;(Saisie_Questions!$N31/$I31)&amp;"&lt;/setvar&gt;&lt;/respcondition&gt;","      &lt;respcondition continue=""Yes""&gt;&lt;conditionvar&gt;&lt;not&gt;&lt;varequal respident=""RESPONSE""&gt;7&lt;/varequal&gt;&lt;/not&gt;&lt;/conditionvar&gt;&lt;setvar action=""Add""&gt;"&amp;(Saisie_Questions!$N31/$I31)&amp;"&lt;/setvar&gt;&lt;/respcondition&gt;"))),"")</f>
        <v/>
      </c>
    </row>
    <row r="32" spans="1:43" ht="18" customHeight="1">
      <c r="A32" s="2" t="str">
        <f>Saisie_Questions!A32</f>
        <v/>
      </c>
      <c r="B32" s="2" t="b">
        <f>Saisie_Questions!O32="OK"</f>
        <v>0</v>
      </c>
      <c r="C32" s="2" t="str">
        <f>LOWER(TRIM(Saisie_Questions!B32))</f>
        <v/>
      </c>
      <c r="D32" s="2" t="str">
        <f t="shared" si="0"/>
        <v>MULTIPLE CHOICE QUESTION</v>
      </c>
      <c r="E32" s="2" t="str">
        <f t="shared" si="1"/>
        <v>Multiple</v>
      </c>
      <c r="F32" s="2" t="str">
        <f>IF(A32="","",SUBSTITUTE(SUBSTITUTE(SUBSTITUTE(SUBSTITUTE(SUBSTITUTE(IF(Saisie_Questions!C32="", "Question "&amp;A32, Saisie_Questions!C32),"&amp;","&amp;amp;"),"&lt;","&amp;lt;"),"&gt;","&amp;gt;"),CHAR(34),"&amp;quot;"),"'","&amp;apos;"))</f>
        <v/>
      </c>
      <c r="G32" s="2" t="str">
        <f>IF(A32="","",SUBSTITUTE(SUBSTITUTE(SUBSTITUTE(SUBSTITUTE(SUBSTITUTE(Saisie_Questions!D32,"&amp;","&amp;amp;"),"&lt;","&amp;lt;"),"&gt;","&amp;gt;"),CHAR(34),"&amp;quot;"),"'","&amp;apos;"))</f>
        <v/>
      </c>
      <c r="H32" s="2">
        <f>Saisie_Questions!N32</f>
        <v>0</v>
      </c>
      <c r="I32" s="2">
        <f>IF(Saisie_Questions!E32="",0,1)+IF(Saisie_Questions!F32="",0,1)+IF(Saisie_Questions!G32="",0,1)+IF(Saisie_Questions!H32="",0,1)+IF(Saisie_Questions!I32="",0,1)+IF(Saisie_Questions!J32="",0,1)+IF(Saisie_Questions!K32="",0,1)+IF(Saisie_Questions!L32="",0,1)</f>
        <v>0</v>
      </c>
      <c r="J32" s="2">
        <f>Saisie_Questions!M32</f>
        <v>0</v>
      </c>
      <c r="K32" s="2" t="str">
        <f>Saisie_Questions!O32</f>
        <v/>
      </c>
      <c r="L32" s="2" t="str">
        <f>IF(Saisie_Questions!E32="","",SUBSTITUTE(SUBSTITUTE(SUBSTITUTE(SUBSTITUTE(SUBSTITUTE(Saisie_Questions!E32,"&amp;","&amp;amp;"),"&lt;","&amp;lt;"),"&gt;","&amp;gt;"),CHAR(34),"&amp;quot;"),"'","&amp;apos;"))</f>
        <v/>
      </c>
      <c r="M32" s="2" t="str">
        <f>IF(Saisie_Questions!F32="","",SUBSTITUTE(SUBSTITUTE(SUBSTITUTE(SUBSTITUTE(SUBSTITUTE(Saisie_Questions!F32,"&amp;","&amp;amp;"),"&lt;","&amp;lt;"),"&gt;","&amp;gt;"),CHAR(34),"&amp;quot;"),"'","&amp;apos;"))</f>
        <v/>
      </c>
      <c r="N32" s="2" t="str">
        <f>IF(Saisie_Questions!G32="","",SUBSTITUTE(SUBSTITUTE(SUBSTITUTE(SUBSTITUTE(SUBSTITUTE(Saisie_Questions!G32,"&amp;","&amp;amp;"),"&lt;","&amp;lt;"),"&gt;","&amp;gt;"),CHAR(34),"&amp;quot;"),"'","&amp;apos;"))</f>
        <v/>
      </c>
      <c r="O32" s="2" t="str">
        <f>IF(Saisie_Questions!H32="","",SUBSTITUTE(SUBSTITUTE(SUBSTITUTE(SUBSTITUTE(SUBSTITUTE(Saisie_Questions!H32,"&amp;","&amp;amp;"),"&lt;","&amp;lt;"),"&gt;","&amp;gt;"),CHAR(34),"&amp;quot;"),"'","&amp;apos;"))</f>
        <v/>
      </c>
      <c r="P32" s="2" t="str">
        <f>IF(Saisie_Questions!I32="","",SUBSTITUTE(SUBSTITUTE(SUBSTITUTE(SUBSTITUTE(SUBSTITUTE(Saisie_Questions!I32,"&amp;","&amp;amp;"),"&lt;","&amp;lt;"),"&gt;","&amp;gt;"),CHAR(34),"&amp;quot;"),"'","&amp;apos;"))</f>
        <v/>
      </c>
      <c r="Q32" s="2" t="str">
        <f>IF(Saisie_Questions!J32="","",SUBSTITUTE(SUBSTITUTE(SUBSTITUTE(SUBSTITUTE(SUBSTITUTE(Saisie_Questions!J32,"&amp;","&amp;amp;"),"&lt;","&amp;lt;"),"&gt;","&amp;gt;"),CHAR(34),"&amp;quot;"),"'","&amp;apos;"))</f>
        <v/>
      </c>
      <c r="R32" s="2" t="str">
        <f>IF(Saisie_Questions!K32="","",SUBSTITUTE(SUBSTITUTE(SUBSTITUTE(SUBSTITUTE(SUBSTITUTE(Saisie_Questions!K32,"&amp;","&amp;amp;"),"&lt;","&amp;lt;"),"&gt;","&amp;gt;"),CHAR(34),"&amp;quot;"),"'","&amp;apos;"))</f>
        <v/>
      </c>
      <c r="S32" s="2" t="str">
        <f>IF(Saisie_Questions!L32="","",SUBSTITUTE(SUBSTITUTE(SUBSTITUTE(SUBSTITUTE(SUBSTITUTE(Saisie_Questions!L32,"&amp;","&amp;amp;"),"&lt;","&amp;lt;"),"&gt;","&amp;gt;"),CHAR(34),"&amp;quot;"),"'","&amp;apos;"))</f>
        <v/>
      </c>
      <c r="T32" s="2" t="b">
        <f t="shared" si="2"/>
        <v>0</v>
      </c>
      <c r="U32" s="2" t="b">
        <f t="shared" si="3"/>
        <v>0</v>
      </c>
      <c r="V32" s="2" t="b">
        <f t="shared" si="4"/>
        <v>0</v>
      </c>
      <c r="W32" s="2" t="b">
        <f t="shared" si="5"/>
        <v>0</v>
      </c>
      <c r="X32" s="2" t="b">
        <f t="shared" si="6"/>
        <v>0</v>
      </c>
      <c r="Y32" s="2" t="b">
        <f t="shared" si="7"/>
        <v>0</v>
      </c>
      <c r="Z32" s="2" t="b">
        <f t="shared" si="8"/>
        <v>0</v>
      </c>
      <c r="AA32" s="2" t="b">
        <f t="shared" si="9"/>
        <v>0</v>
      </c>
      <c r="AB32" s="2" t="str">
        <f t="shared" si="10"/>
        <v/>
      </c>
      <c r="AC32" s="2" t="str">
        <f t="shared" si="11"/>
        <v/>
      </c>
      <c r="AD32" s="2" t="str">
        <f t="shared" si="12"/>
        <v/>
      </c>
      <c r="AE32" s="2" t="str">
        <f t="shared" si="13"/>
        <v/>
      </c>
      <c r="AF32" s="2" t="str">
        <f t="shared" si="14"/>
        <v/>
      </c>
      <c r="AG32" s="2" t="str">
        <f t="shared" si="15"/>
        <v/>
      </c>
      <c r="AH32" s="2" t="str">
        <f t="shared" si="16"/>
        <v/>
      </c>
      <c r="AI32" s="2" t="str">
        <f t="shared" si="17"/>
        <v/>
      </c>
      <c r="AJ32" s="2" t="str">
        <f>IF($B32,IF(L32="","",IF($C32="qcu",IF(T32,"      &lt;respcondition continue=""Yes""&gt;&lt;conditionvar&gt;&lt;varequal respident=""RESPONSE""&gt;0&lt;/varequal&gt;&lt;/conditionvar&gt;&lt;setvar action=""Add""&gt;"&amp;$H32&amp;"&lt;/setvar&gt;&lt;/respcondition&gt;",""),IF(T32,"      &lt;respcondition continue=""Yes""&gt;&lt;conditionvar&gt;&lt;varequal respident=""RESPONSE""&gt;0&lt;/varequal&gt;&lt;/conditionvar&gt;&lt;setvar action=""Add""&gt;"&amp;(Saisie_Questions!$N32/$I32)&amp;"&lt;/setvar&gt;&lt;/respcondition&gt;","      &lt;respcondition continue=""Yes""&gt;&lt;conditionvar&gt;&lt;not&gt;&lt;varequal respident=""RESPONSE""&gt;0&lt;/varequal&gt;&lt;/not&gt;&lt;/conditionvar&gt;&lt;setvar action=""Add""&gt;"&amp;(Saisie_Questions!$N32/$I32)&amp;"&lt;/setvar&gt;&lt;/respcondition&gt;"))),"")</f>
        <v/>
      </c>
      <c r="AK32" s="2" t="str">
        <f>IF($B32,IF(M32="","",IF($C32="qcu",IF(U32,"      &lt;respcondition continue=""Yes""&gt;&lt;conditionvar&gt;&lt;varequal respident=""RESPONSE""&gt;1&lt;/varequal&gt;&lt;/conditionvar&gt;&lt;setvar action=""Add""&gt;"&amp;$H32&amp;"&lt;/setvar&gt;&lt;/respcondition&gt;",""),IF(U32,"      &lt;respcondition continue=""Yes""&gt;&lt;conditionvar&gt;&lt;varequal respident=""RESPONSE""&gt;1&lt;/varequal&gt;&lt;/conditionvar&gt;&lt;setvar action=""Add""&gt;"&amp;(Saisie_Questions!$N32/$I32)&amp;"&lt;/setvar&gt;&lt;/respcondition&gt;","      &lt;respcondition continue=""Yes""&gt;&lt;conditionvar&gt;&lt;not&gt;&lt;varequal respident=""RESPONSE""&gt;1&lt;/varequal&gt;&lt;/not&gt;&lt;/conditionvar&gt;&lt;setvar action=""Add""&gt;"&amp;(Saisie_Questions!$N32/$I32)&amp;"&lt;/setvar&gt;&lt;/respcondition&gt;"))),"")</f>
        <v/>
      </c>
      <c r="AL32" s="2" t="str">
        <f>IF($B32,IF(N32="","",IF($C32="qcu",IF(V32,"      &lt;respcondition continue=""Yes""&gt;&lt;conditionvar&gt;&lt;varequal respident=""RESPONSE""&gt;2&lt;/varequal&gt;&lt;/conditionvar&gt;&lt;setvar action=""Add""&gt;"&amp;$H32&amp;"&lt;/setvar&gt;&lt;/respcondition&gt;",""),IF(V32,"      &lt;respcondition continue=""Yes""&gt;&lt;conditionvar&gt;&lt;varequal respident=""RESPONSE""&gt;2&lt;/varequal&gt;&lt;/conditionvar&gt;&lt;setvar action=""Add""&gt;"&amp;(Saisie_Questions!$N32/$I32)&amp;"&lt;/setvar&gt;&lt;/respcondition&gt;","      &lt;respcondition continue=""Yes""&gt;&lt;conditionvar&gt;&lt;not&gt;&lt;varequal respident=""RESPONSE""&gt;2&lt;/varequal&gt;&lt;/not&gt;&lt;/conditionvar&gt;&lt;setvar action=""Add""&gt;"&amp;(Saisie_Questions!$N32/$I32)&amp;"&lt;/setvar&gt;&lt;/respcondition&gt;"))),"")</f>
        <v/>
      </c>
      <c r="AM32" s="2" t="str">
        <f>IF($B32,IF(O32="","",IF($C32="qcu",IF(W32,"      &lt;respcondition continue=""Yes""&gt;&lt;conditionvar&gt;&lt;varequal respident=""RESPONSE""&gt;3&lt;/varequal&gt;&lt;/conditionvar&gt;&lt;setvar action=""Add""&gt;"&amp;$H32&amp;"&lt;/setvar&gt;&lt;/respcondition&gt;",""),IF(W32,"      &lt;respcondition continue=""Yes""&gt;&lt;conditionvar&gt;&lt;varequal respident=""RESPONSE""&gt;3&lt;/varequal&gt;&lt;/conditionvar&gt;&lt;setvar action=""Add""&gt;"&amp;(Saisie_Questions!$N32/$I32)&amp;"&lt;/setvar&gt;&lt;/respcondition&gt;","      &lt;respcondition continue=""Yes""&gt;&lt;conditionvar&gt;&lt;not&gt;&lt;varequal respident=""RESPONSE""&gt;3&lt;/varequal&gt;&lt;/not&gt;&lt;/conditionvar&gt;&lt;setvar action=""Add""&gt;"&amp;(Saisie_Questions!$N32/$I32)&amp;"&lt;/setvar&gt;&lt;/respcondition&gt;"))),"")</f>
        <v/>
      </c>
      <c r="AN32" s="2" t="str">
        <f>IF($B32,IF(P32="","",IF($C32="qcu",IF(X32,"      &lt;respcondition continue=""Yes""&gt;&lt;conditionvar&gt;&lt;varequal respident=""RESPONSE""&gt;4&lt;/varequal&gt;&lt;/conditionvar&gt;&lt;setvar action=""Add""&gt;"&amp;$H32&amp;"&lt;/setvar&gt;&lt;/respcondition&gt;",""),IF(X32,"      &lt;respcondition continue=""Yes""&gt;&lt;conditionvar&gt;&lt;varequal respident=""RESPONSE""&gt;4&lt;/varequal&gt;&lt;/conditionvar&gt;&lt;setvar action=""Add""&gt;"&amp;(Saisie_Questions!$N32/$I32)&amp;"&lt;/setvar&gt;&lt;/respcondition&gt;","      &lt;respcondition continue=""Yes""&gt;&lt;conditionvar&gt;&lt;not&gt;&lt;varequal respident=""RESPONSE""&gt;4&lt;/varequal&gt;&lt;/not&gt;&lt;/conditionvar&gt;&lt;setvar action=""Add""&gt;"&amp;(Saisie_Questions!$N32/$I32)&amp;"&lt;/setvar&gt;&lt;/respcondition&gt;"))),"")</f>
        <v/>
      </c>
      <c r="AO32" s="2" t="str">
        <f>IF($B32,IF(Q32="","",IF($C32="qcu",IF(Y32,"      &lt;respcondition continue=""Yes""&gt;&lt;conditionvar&gt;&lt;varequal respident=""RESPONSE""&gt;5&lt;/varequal&gt;&lt;/conditionvar&gt;&lt;setvar action=""Add""&gt;"&amp;$H32&amp;"&lt;/setvar&gt;&lt;/respcondition&gt;",""),IF(Y32,"      &lt;respcondition continue=""Yes""&gt;&lt;conditionvar&gt;&lt;varequal respident=""RESPONSE""&gt;5&lt;/varequal&gt;&lt;/conditionvar&gt;&lt;setvar action=""Add""&gt;"&amp;(Saisie_Questions!$N32/$I32)&amp;"&lt;/setvar&gt;&lt;/respcondition&gt;","      &lt;respcondition continue=""Yes""&gt;&lt;conditionvar&gt;&lt;not&gt;&lt;varequal respident=""RESPONSE""&gt;5&lt;/varequal&gt;&lt;/not&gt;&lt;/conditionvar&gt;&lt;setvar action=""Add""&gt;"&amp;(Saisie_Questions!$N32/$I32)&amp;"&lt;/setvar&gt;&lt;/respcondition&gt;"))),"")</f>
        <v/>
      </c>
      <c r="AP32" s="2" t="str">
        <f>IF($B32,IF(R32="","",IF($C32="qcu",IF(Z32,"      &lt;respcondition continue=""Yes""&gt;&lt;conditionvar&gt;&lt;varequal respident=""RESPONSE""&gt;6&lt;/varequal&gt;&lt;/conditionvar&gt;&lt;setvar action=""Add""&gt;"&amp;$H32&amp;"&lt;/setvar&gt;&lt;/respcondition&gt;",""),IF(Z32,"      &lt;respcondition continue=""Yes""&gt;&lt;conditionvar&gt;&lt;varequal respident=""RESPONSE""&gt;6&lt;/varequal&gt;&lt;/conditionvar&gt;&lt;setvar action=""Add""&gt;"&amp;(Saisie_Questions!$N32/$I32)&amp;"&lt;/setvar&gt;&lt;/respcondition&gt;","      &lt;respcondition continue=""Yes""&gt;&lt;conditionvar&gt;&lt;not&gt;&lt;varequal respident=""RESPONSE""&gt;6&lt;/varequal&gt;&lt;/not&gt;&lt;/conditionvar&gt;&lt;setvar action=""Add""&gt;"&amp;(Saisie_Questions!$N32/$I32)&amp;"&lt;/setvar&gt;&lt;/respcondition&gt;"))),"")</f>
        <v/>
      </c>
      <c r="AQ32" s="2" t="str">
        <f>IF($B32,IF(S32="","",IF($C32="qcu",IF(AA32,"      &lt;respcondition continue=""Yes""&gt;&lt;conditionvar&gt;&lt;varequal respident=""RESPONSE""&gt;7&lt;/varequal&gt;&lt;/conditionvar&gt;&lt;setvar action=""Add""&gt;"&amp;$H32&amp;"&lt;/setvar&gt;&lt;/respcondition&gt;",""),IF(AA32,"      &lt;respcondition continue=""Yes""&gt;&lt;conditionvar&gt;&lt;varequal respident=""RESPONSE""&gt;7&lt;/varequal&gt;&lt;/conditionvar&gt;&lt;setvar action=""Add""&gt;"&amp;(Saisie_Questions!$N32/$I32)&amp;"&lt;/setvar&gt;&lt;/respcondition&gt;","      &lt;respcondition continue=""Yes""&gt;&lt;conditionvar&gt;&lt;not&gt;&lt;varequal respident=""RESPONSE""&gt;7&lt;/varequal&gt;&lt;/not&gt;&lt;/conditionvar&gt;&lt;setvar action=""Add""&gt;"&amp;(Saisie_Questions!$N32/$I32)&amp;"&lt;/setvar&gt;&lt;/respcondition&gt;"))),"")</f>
        <v/>
      </c>
    </row>
    <row r="33" spans="1:43" ht="18" customHeight="1">
      <c r="A33" s="2" t="str">
        <f>Saisie_Questions!A33</f>
        <v/>
      </c>
      <c r="B33" s="2" t="b">
        <f>Saisie_Questions!O33="OK"</f>
        <v>0</v>
      </c>
      <c r="C33" s="2" t="str">
        <f>LOWER(TRIM(Saisie_Questions!B33))</f>
        <v/>
      </c>
      <c r="D33" s="2" t="str">
        <f t="shared" si="0"/>
        <v>MULTIPLE CHOICE QUESTION</v>
      </c>
      <c r="E33" s="2" t="str">
        <f t="shared" si="1"/>
        <v>Multiple</v>
      </c>
      <c r="F33" s="2" t="str">
        <f>IF(A33="","",SUBSTITUTE(SUBSTITUTE(SUBSTITUTE(SUBSTITUTE(SUBSTITUTE(IF(Saisie_Questions!C33="", "Question "&amp;A33, Saisie_Questions!C33),"&amp;","&amp;amp;"),"&lt;","&amp;lt;"),"&gt;","&amp;gt;"),CHAR(34),"&amp;quot;"),"'","&amp;apos;"))</f>
        <v/>
      </c>
      <c r="G33" s="2" t="str">
        <f>IF(A33="","",SUBSTITUTE(SUBSTITUTE(SUBSTITUTE(SUBSTITUTE(SUBSTITUTE(Saisie_Questions!D33,"&amp;","&amp;amp;"),"&lt;","&amp;lt;"),"&gt;","&amp;gt;"),CHAR(34),"&amp;quot;"),"'","&amp;apos;"))</f>
        <v/>
      </c>
      <c r="H33" s="2">
        <f>Saisie_Questions!N33</f>
        <v>0</v>
      </c>
      <c r="I33" s="2">
        <f>IF(Saisie_Questions!E33="",0,1)+IF(Saisie_Questions!F33="",0,1)+IF(Saisie_Questions!G33="",0,1)+IF(Saisie_Questions!H33="",0,1)+IF(Saisie_Questions!I33="",0,1)+IF(Saisie_Questions!J33="",0,1)+IF(Saisie_Questions!K33="",0,1)+IF(Saisie_Questions!L33="",0,1)</f>
        <v>0</v>
      </c>
      <c r="J33" s="2">
        <f>Saisie_Questions!M33</f>
        <v>0</v>
      </c>
      <c r="K33" s="2" t="str">
        <f>Saisie_Questions!O33</f>
        <v/>
      </c>
      <c r="L33" s="2" t="str">
        <f>IF(Saisie_Questions!E33="","",SUBSTITUTE(SUBSTITUTE(SUBSTITUTE(SUBSTITUTE(SUBSTITUTE(Saisie_Questions!E33,"&amp;","&amp;amp;"),"&lt;","&amp;lt;"),"&gt;","&amp;gt;"),CHAR(34),"&amp;quot;"),"'","&amp;apos;"))</f>
        <v/>
      </c>
      <c r="M33" s="2" t="str">
        <f>IF(Saisie_Questions!F33="","",SUBSTITUTE(SUBSTITUTE(SUBSTITUTE(SUBSTITUTE(SUBSTITUTE(Saisie_Questions!F33,"&amp;","&amp;amp;"),"&lt;","&amp;lt;"),"&gt;","&amp;gt;"),CHAR(34),"&amp;quot;"),"'","&amp;apos;"))</f>
        <v/>
      </c>
      <c r="N33" s="2" t="str">
        <f>IF(Saisie_Questions!G33="","",SUBSTITUTE(SUBSTITUTE(SUBSTITUTE(SUBSTITUTE(SUBSTITUTE(Saisie_Questions!G33,"&amp;","&amp;amp;"),"&lt;","&amp;lt;"),"&gt;","&amp;gt;"),CHAR(34),"&amp;quot;"),"'","&amp;apos;"))</f>
        <v/>
      </c>
      <c r="O33" s="2" t="str">
        <f>IF(Saisie_Questions!H33="","",SUBSTITUTE(SUBSTITUTE(SUBSTITUTE(SUBSTITUTE(SUBSTITUTE(Saisie_Questions!H33,"&amp;","&amp;amp;"),"&lt;","&amp;lt;"),"&gt;","&amp;gt;"),CHAR(34),"&amp;quot;"),"'","&amp;apos;"))</f>
        <v/>
      </c>
      <c r="P33" s="2" t="str">
        <f>IF(Saisie_Questions!I33="","",SUBSTITUTE(SUBSTITUTE(SUBSTITUTE(SUBSTITUTE(SUBSTITUTE(Saisie_Questions!I33,"&amp;","&amp;amp;"),"&lt;","&amp;lt;"),"&gt;","&amp;gt;"),CHAR(34),"&amp;quot;"),"'","&amp;apos;"))</f>
        <v/>
      </c>
      <c r="Q33" s="2" t="str">
        <f>IF(Saisie_Questions!J33="","",SUBSTITUTE(SUBSTITUTE(SUBSTITUTE(SUBSTITUTE(SUBSTITUTE(Saisie_Questions!J33,"&amp;","&amp;amp;"),"&lt;","&amp;lt;"),"&gt;","&amp;gt;"),CHAR(34),"&amp;quot;"),"'","&amp;apos;"))</f>
        <v/>
      </c>
      <c r="R33" s="2" t="str">
        <f>IF(Saisie_Questions!K33="","",SUBSTITUTE(SUBSTITUTE(SUBSTITUTE(SUBSTITUTE(SUBSTITUTE(Saisie_Questions!K33,"&amp;","&amp;amp;"),"&lt;","&amp;lt;"),"&gt;","&amp;gt;"),CHAR(34),"&amp;quot;"),"'","&amp;apos;"))</f>
        <v/>
      </c>
      <c r="S33" s="2" t="str">
        <f>IF(Saisie_Questions!L33="","",SUBSTITUTE(SUBSTITUTE(SUBSTITUTE(SUBSTITUTE(SUBSTITUTE(Saisie_Questions!L33,"&amp;","&amp;amp;"),"&lt;","&amp;lt;"),"&gt;","&amp;gt;"),CHAR(34),"&amp;quot;"),"'","&amp;apos;"))</f>
        <v/>
      </c>
      <c r="T33" s="2" t="b">
        <f t="shared" si="2"/>
        <v>0</v>
      </c>
      <c r="U33" s="2" t="b">
        <f t="shared" si="3"/>
        <v>0</v>
      </c>
      <c r="V33" s="2" t="b">
        <f t="shared" si="4"/>
        <v>0</v>
      </c>
      <c r="W33" s="2" t="b">
        <f t="shared" si="5"/>
        <v>0</v>
      </c>
      <c r="X33" s="2" t="b">
        <f t="shared" si="6"/>
        <v>0</v>
      </c>
      <c r="Y33" s="2" t="b">
        <f t="shared" si="7"/>
        <v>0</v>
      </c>
      <c r="Z33" s="2" t="b">
        <f t="shared" si="8"/>
        <v>0</v>
      </c>
      <c r="AA33" s="2" t="b">
        <f t="shared" si="9"/>
        <v>0</v>
      </c>
      <c r="AB33" s="2" t="str">
        <f t="shared" si="10"/>
        <v/>
      </c>
      <c r="AC33" s="2" t="str">
        <f t="shared" si="11"/>
        <v/>
      </c>
      <c r="AD33" s="2" t="str">
        <f t="shared" si="12"/>
        <v/>
      </c>
      <c r="AE33" s="2" t="str">
        <f t="shared" si="13"/>
        <v/>
      </c>
      <c r="AF33" s="2" t="str">
        <f t="shared" si="14"/>
        <v/>
      </c>
      <c r="AG33" s="2" t="str">
        <f t="shared" si="15"/>
        <v/>
      </c>
      <c r="AH33" s="2" t="str">
        <f t="shared" si="16"/>
        <v/>
      </c>
      <c r="AI33" s="2" t="str">
        <f t="shared" si="17"/>
        <v/>
      </c>
      <c r="AJ33" s="2" t="str">
        <f>IF($B33,IF(L33="","",IF($C33="qcu",IF(T33,"      &lt;respcondition continue=""Yes""&gt;&lt;conditionvar&gt;&lt;varequal respident=""RESPONSE""&gt;0&lt;/varequal&gt;&lt;/conditionvar&gt;&lt;setvar action=""Add""&gt;"&amp;$H33&amp;"&lt;/setvar&gt;&lt;/respcondition&gt;",""),IF(T33,"      &lt;respcondition continue=""Yes""&gt;&lt;conditionvar&gt;&lt;varequal respident=""RESPONSE""&gt;0&lt;/varequal&gt;&lt;/conditionvar&gt;&lt;setvar action=""Add""&gt;"&amp;(Saisie_Questions!$N33/$I33)&amp;"&lt;/setvar&gt;&lt;/respcondition&gt;","      &lt;respcondition continue=""Yes""&gt;&lt;conditionvar&gt;&lt;not&gt;&lt;varequal respident=""RESPONSE""&gt;0&lt;/varequal&gt;&lt;/not&gt;&lt;/conditionvar&gt;&lt;setvar action=""Add""&gt;"&amp;(Saisie_Questions!$N33/$I33)&amp;"&lt;/setvar&gt;&lt;/respcondition&gt;"))),"")</f>
        <v/>
      </c>
      <c r="AK33" s="2" t="str">
        <f>IF($B33,IF(M33="","",IF($C33="qcu",IF(U33,"      &lt;respcondition continue=""Yes""&gt;&lt;conditionvar&gt;&lt;varequal respident=""RESPONSE""&gt;1&lt;/varequal&gt;&lt;/conditionvar&gt;&lt;setvar action=""Add""&gt;"&amp;$H33&amp;"&lt;/setvar&gt;&lt;/respcondition&gt;",""),IF(U33,"      &lt;respcondition continue=""Yes""&gt;&lt;conditionvar&gt;&lt;varequal respident=""RESPONSE""&gt;1&lt;/varequal&gt;&lt;/conditionvar&gt;&lt;setvar action=""Add""&gt;"&amp;(Saisie_Questions!$N33/$I33)&amp;"&lt;/setvar&gt;&lt;/respcondition&gt;","      &lt;respcondition continue=""Yes""&gt;&lt;conditionvar&gt;&lt;not&gt;&lt;varequal respident=""RESPONSE""&gt;1&lt;/varequal&gt;&lt;/not&gt;&lt;/conditionvar&gt;&lt;setvar action=""Add""&gt;"&amp;(Saisie_Questions!$N33/$I33)&amp;"&lt;/setvar&gt;&lt;/respcondition&gt;"))),"")</f>
        <v/>
      </c>
      <c r="AL33" s="2" t="str">
        <f>IF($B33,IF(N33="","",IF($C33="qcu",IF(V33,"      &lt;respcondition continue=""Yes""&gt;&lt;conditionvar&gt;&lt;varequal respident=""RESPONSE""&gt;2&lt;/varequal&gt;&lt;/conditionvar&gt;&lt;setvar action=""Add""&gt;"&amp;$H33&amp;"&lt;/setvar&gt;&lt;/respcondition&gt;",""),IF(V33,"      &lt;respcondition continue=""Yes""&gt;&lt;conditionvar&gt;&lt;varequal respident=""RESPONSE""&gt;2&lt;/varequal&gt;&lt;/conditionvar&gt;&lt;setvar action=""Add""&gt;"&amp;(Saisie_Questions!$N33/$I33)&amp;"&lt;/setvar&gt;&lt;/respcondition&gt;","      &lt;respcondition continue=""Yes""&gt;&lt;conditionvar&gt;&lt;not&gt;&lt;varequal respident=""RESPONSE""&gt;2&lt;/varequal&gt;&lt;/not&gt;&lt;/conditionvar&gt;&lt;setvar action=""Add""&gt;"&amp;(Saisie_Questions!$N33/$I33)&amp;"&lt;/setvar&gt;&lt;/respcondition&gt;"))),"")</f>
        <v/>
      </c>
      <c r="AM33" s="2" t="str">
        <f>IF($B33,IF(O33="","",IF($C33="qcu",IF(W33,"      &lt;respcondition continue=""Yes""&gt;&lt;conditionvar&gt;&lt;varequal respident=""RESPONSE""&gt;3&lt;/varequal&gt;&lt;/conditionvar&gt;&lt;setvar action=""Add""&gt;"&amp;$H33&amp;"&lt;/setvar&gt;&lt;/respcondition&gt;",""),IF(W33,"      &lt;respcondition continue=""Yes""&gt;&lt;conditionvar&gt;&lt;varequal respident=""RESPONSE""&gt;3&lt;/varequal&gt;&lt;/conditionvar&gt;&lt;setvar action=""Add""&gt;"&amp;(Saisie_Questions!$N33/$I33)&amp;"&lt;/setvar&gt;&lt;/respcondition&gt;","      &lt;respcondition continue=""Yes""&gt;&lt;conditionvar&gt;&lt;not&gt;&lt;varequal respident=""RESPONSE""&gt;3&lt;/varequal&gt;&lt;/not&gt;&lt;/conditionvar&gt;&lt;setvar action=""Add""&gt;"&amp;(Saisie_Questions!$N33/$I33)&amp;"&lt;/setvar&gt;&lt;/respcondition&gt;"))),"")</f>
        <v/>
      </c>
      <c r="AN33" s="2" t="str">
        <f>IF($B33,IF(P33="","",IF($C33="qcu",IF(X33,"      &lt;respcondition continue=""Yes""&gt;&lt;conditionvar&gt;&lt;varequal respident=""RESPONSE""&gt;4&lt;/varequal&gt;&lt;/conditionvar&gt;&lt;setvar action=""Add""&gt;"&amp;$H33&amp;"&lt;/setvar&gt;&lt;/respcondition&gt;",""),IF(X33,"      &lt;respcondition continue=""Yes""&gt;&lt;conditionvar&gt;&lt;varequal respident=""RESPONSE""&gt;4&lt;/varequal&gt;&lt;/conditionvar&gt;&lt;setvar action=""Add""&gt;"&amp;(Saisie_Questions!$N33/$I33)&amp;"&lt;/setvar&gt;&lt;/respcondition&gt;","      &lt;respcondition continue=""Yes""&gt;&lt;conditionvar&gt;&lt;not&gt;&lt;varequal respident=""RESPONSE""&gt;4&lt;/varequal&gt;&lt;/not&gt;&lt;/conditionvar&gt;&lt;setvar action=""Add""&gt;"&amp;(Saisie_Questions!$N33/$I33)&amp;"&lt;/setvar&gt;&lt;/respcondition&gt;"))),"")</f>
        <v/>
      </c>
      <c r="AO33" s="2" t="str">
        <f>IF($B33,IF(Q33="","",IF($C33="qcu",IF(Y33,"      &lt;respcondition continue=""Yes""&gt;&lt;conditionvar&gt;&lt;varequal respident=""RESPONSE""&gt;5&lt;/varequal&gt;&lt;/conditionvar&gt;&lt;setvar action=""Add""&gt;"&amp;$H33&amp;"&lt;/setvar&gt;&lt;/respcondition&gt;",""),IF(Y33,"      &lt;respcondition continue=""Yes""&gt;&lt;conditionvar&gt;&lt;varequal respident=""RESPONSE""&gt;5&lt;/varequal&gt;&lt;/conditionvar&gt;&lt;setvar action=""Add""&gt;"&amp;(Saisie_Questions!$N33/$I33)&amp;"&lt;/setvar&gt;&lt;/respcondition&gt;","      &lt;respcondition continue=""Yes""&gt;&lt;conditionvar&gt;&lt;not&gt;&lt;varequal respident=""RESPONSE""&gt;5&lt;/varequal&gt;&lt;/not&gt;&lt;/conditionvar&gt;&lt;setvar action=""Add""&gt;"&amp;(Saisie_Questions!$N33/$I33)&amp;"&lt;/setvar&gt;&lt;/respcondition&gt;"))),"")</f>
        <v/>
      </c>
      <c r="AP33" s="2" t="str">
        <f>IF($B33,IF(R33="","",IF($C33="qcu",IF(Z33,"      &lt;respcondition continue=""Yes""&gt;&lt;conditionvar&gt;&lt;varequal respident=""RESPONSE""&gt;6&lt;/varequal&gt;&lt;/conditionvar&gt;&lt;setvar action=""Add""&gt;"&amp;$H33&amp;"&lt;/setvar&gt;&lt;/respcondition&gt;",""),IF(Z33,"      &lt;respcondition continue=""Yes""&gt;&lt;conditionvar&gt;&lt;varequal respident=""RESPONSE""&gt;6&lt;/varequal&gt;&lt;/conditionvar&gt;&lt;setvar action=""Add""&gt;"&amp;(Saisie_Questions!$N33/$I33)&amp;"&lt;/setvar&gt;&lt;/respcondition&gt;","      &lt;respcondition continue=""Yes""&gt;&lt;conditionvar&gt;&lt;not&gt;&lt;varequal respident=""RESPONSE""&gt;6&lt;/varequal&gt;&lt;/not&gt;&lt;/conditionvar&gt;&lt;setvar action=""Add""&gt;"&amp;(Saisie_Questions!$N33/$I33)&amp;"&lt;/setvar&gt;&lt;/respcondition&gt;"))),"")</f>
        <v/>
      </c>
      <c r="AQ33" s="2" t="str">
        <f>IF($B33,IF(S33="","",IF($C33="qcu",IF(AA33,"      &lt;respcondition continue=""Yes""&gt;&lt;conditionvar&gt;&lt;varequal respident=""RESPONSE""&gt;7&lt;/varequal&gt;&lt;/conditionvar&gt;&lt;setvar action=""Add""&gt;"&amp;$H33&amp;"&lt;/setvar&gt;&lt;/respcondition&gt;",""),IF(AA33,"      &lt;respcondition continue=""Yes""&gt;&lt;conditionvar&gt;&lt;varequal respident=""RESPONSE""&gt;7&lt;/varequal&gt;&lt;/conditionvar&gt;&lt;setvar action=""Add""&gt;"&amp;(Saisie_Questions!$N33/$I33)&amp;"&lt;/setvar&gt;&lt;/respcondition&gt;","      &lt;respcondition continue=""Yes""&gt;&lt;conditionvar&gt;&lt;not&gt;&lt;varequal respident=""RESPONSE""&gt;7&lt;/varequal&gt;&lt;/not&gt;&lt;/conditionvar&gt;&lt;setvar action=""Add""&gt;"&amp;(Saisie_Questions!$N33/$I33)&amp;"&lt;/setvar&gt;&lt;/respcondition&gt;"))),"")</f>
        <v/>
      </c>
    </row>
    <row r="34" spans="1:43" ht="18" customHeight="1">
      <c r="A34" s="2" t="str">
        <f>Saisie_Questions!A34</f>
        <v/>
      </c>
      <c r="B34" s="2" t="b">
        <f>Saisie_Questions!O34="OK"</f>
        <v>0</v>
      </c>
      <c r="C34" s="2" t="str">
        <f>LOWER(TRIM(Saisie_Questions!B34))</f>
        <v/>
      </c>
      <c r="D34" s="2" t="str">
        <f t="shared" si="0"/>
        <v>MULTIPLE CHOICE QUESTION</v>
      </c>
      <c r="E34" s="2" t="str">
        <f t="shared" si="1"/>
        <v>Multiple</v>
      </c>
      <c r="F34" s="2" t="str">
        <f>IF(A34="","",SUBSTITUTE(SUBSTITUTE(SUBSTITUTE(SUBSTITUTE(SUBSTITUTE(IF(Saisie_Questions!C34="", "Question "&amp;A34, Saisie_Questions!C34),"&amp;","&amp;amp;"),"&lt;","&amp;lt;"),"&gt;","&amp;gt;"),CHAR(34),"&amp;quot;"),"'","&amp;apos;"))</f>
        <v/>
      </c>
      <c r="G34" s="2" t="str">
        <f>IF(A34="","",SUBSTITUTE(SUBSTITUTE(SUBSTITUTE(SUBSTITUTE(SUBSTITUTE(Saisie_Questions!D34,"&amp;","&amp;amp;"),"&lt;","&amp;lt;"),"&gt;","&amp;gt;"),CHAR(34),"&amp;quot;"),"'","&amp;apos;"))</f>
        <v/>
      </c>
      <c r="H34" s="2">
        <f>Saisie_Questions!N34</f>
        <v>0</v>
      </c>
      <c r="I34" s="2">
        <f>IF(Saisie_Questions!E34="",0,1)+IF(Saisie_Questions!F34="",0,1)+IF(Saisie_Questions!G34="",0,1)+IF(Saisie_Questions!H34="",0,1)+IF(Saisie_Questions!I34="",0,1)+IF(Saisie_Questions!J34="",0,1)+IF(Saisie_Questions!K34="",0,1)+IF(Saisie_Questions!L34="",0,1)</f>
        <v>0</v>
      </c>
      <c r="J34" s="2">
        <f>Saisie_Questions!M34</f>
        <v>0</v>
      </c>
      <c r="K34" s="2" t="str">
        <f>Saisie_Questions!O34</f>
        <v/>
      </c>
      <c r="L34" s="2" t="str">
        <f>IF(Saisie_Questions!E34="","",SUBSTITUTE(SUBSTITUTE(SUBSTITUTE(SUBSTITUTE(SUBSTITUTE(Saisie_Questions!E34,"&amp;","&amp;amp;"),"&lt;","&amp;lt;"),"&gt;","&amp;gt;"),CHAR(34),"&amp;quot;"),"'","&amp;apos;"))</f>
        <v/>
      </c>
      <c r="M34" s="2" t="str">
        <f>IF(Saisie_Questions!F34="","",SUBSTITUTE(SUBSTITUTE(SUBSTITUTE(SUBSTITUTE(SUBSTITUTE(Saisie_Questions!F34,"&amp;","&amp;amp;"),"&lt;","&amp;lt;"),"&gt;","&amp;gt;"),CHAR(34),"&amp;quot;"),"'","&amp;apos;"))</f>
        <v/>
      </c>
      <c r="N34" s="2" t="str">
        <f>IF(Saisie_Questions!G34="","",SUBSTITUTE(SUBSTITUTE(SUBSTITUTE(SUBSTITUTE(SUBSTITUTE(Saisie_Questions!G34,"&amp;","&amp;amp;"),"&lt;","&amp;lt;"),"&gt;","&amp;gt;"),CHAR(34),"&amp;quot;"),"'","&amp;apos;"))</f>
        <v/>
      </c>
      <c r="O34" s="2" t="str">
        <f>IF(Saisie_Questions!H34="","",SUBSTITUTE(SUBSTITUTE(SUBSTITUTE(SUBSTITUTE(SUBSTITUTE(Saisie_Questions!H34,"&amp;","&amp;amp;"),"&lt;","&amp;lt;"),"&gt;","&amp;gt;"),CHAR(34),"&amp;quot;"),"'","&amp;apos;"))</f>
        <v/>
      </c>
      <c r="P34" s="2" t="str">
        <f>IF(Saisie_Questions!I34="","",SUBSTITUTE(SUBSTITUTE(SUBSTITUTE(SUBSTITUTE(SUBSTITUTE(Saisie_Questions!I34,"&amp;","&amp;amp;"),"&lt;","&amp;lt;"),"&gt;","&amp;gt;"),CHAR(34),"&amp;quot;"),"'","&amp;apos;"))</f>
        <v/>
      </c>
      <c r="Q34" s="2" t="str">
        <f>IF(Saisie_Questions!J34="","",SUBSTITUTE(SUBSTITUTE(SUBSTITUTE(SUBSTITUTE(SUBSTITUTE(Saisie_Questions!J34,"&amp;","&amp;amp;"),"&lt;","&amp;lt;"),"&gt;","&amp;gt;"),CHAR(34),"&amp;quot;"),"'","&amp;apos;"))</f>
        <v/>
      </c>
      <c r="R34" s="2" t="str">
        <f>IF(Saisie_Questions!K34="","",SUBSTITUTE(SUBSTITUTE(SUBSTITUTE(SUBSTITUTE(SUBSTITUTE(Saisie_Questions!K34,"&amp;","&amp;amp;"),"&lt;","&amp;lt;"),"&gt;","&amp;gt;"),CHAR(34),"&amp;quot;"),"'","&amp;apos;"))</f>
        <v/>
      </c>
      <c r="S34" s="2" t="str">
        <f>IF(Saisie_Questions!L34="","",SUBSTITUTE(SUBSTITUTE(SUBSTITUTE(SUBSTITUTE(SUBSTITUTE(Saisie_Questions!L34,"&amp;","&amp;amp;"),"&lt;","&amp;lt;"),"&gt;","&amp;gt;"),CHAR(34),"&amp;quot;"),"'","&amp;apos;"))</f>
        <v/>
      </c>
      <c r="T34" s="2" t="b">
        <f t="shared" si="2"/>
        <v>0</v>
      </c>
      <c r="U34" s="2" t="b">
        <f t="shared" si="3"/>
        <v>0</v>
      </c>
      <c r="V34" s="2" t="b">
        <f t="shared" si="4"/>
        <v>0</v>
      </c>
      <c r="W34" s="2" t="b">
        <f t="shared" si="5"/>
        <v>0</v>
      </c>
      <c r="X34" s="2" t="b">
        <f t="shared" si="6"/>
        <v>0</v>
      </c>
      <c r="Y34" s="2" t="b">
        <f t="shared" si="7"/>
        <v>0</v>
      </c>
      <c r="Z34" s="2" t="b">
        <f t="shared" si="8"/>
        <v>0</v>
      </c>
      <c r="AA34" s="2" t="b">
        <f t="shared" si="9"/>
        <v>0</v>
      </c>
      <c r="AB34" s="2" t="str">
        <f t="shared" si="10"/>
        <v/>
      </c>
      <c r="AC34" s="2" t="str">
        <f t="shared" si="11"/>
        <v/>
      </c>
      <c r="AD34" s="2" t="str">
        <f t="shared" si="12"/>
        <v/>
      </c>
      <c r="AE34" s="2" t="str">
        <f t="shared" si="13"/>
        <v/>
      </c>
      <c r="AF34" s="2" t="str">
        <f t="shared" si="14"/>
        <v/>
      </c>
      <c r="AG34" s="2" t="str">
        <f t="shared" si="15"/>
        <v/>
      </c>
      <c r="AH34" s="2" t="str">
        <f t="shared" si="16"/>
        <v/>
      </c>
      <c r="AI34" s="2" t="str">
        <f t="shared" si="17"/>
        <v/>
      </c>
      <c r="AJ34" s="2" t="str">
        <f>IF($B34,IF(L34="","",IF($C34="qcu",IF(T34,"      &lt;respcondition continue=""Yes""&gt;&lt;conditionvar&gt;&lt;varequal respident=""RESPONSE""&gt;0&lt;/varequal&gt;&lt;/conditionvar&gt;&lt;setvar action=""Add""&gt;"&amp;$H34&amp;"&lt;/setvar&gt;&lt;/respcondition&gt;",""),IF(T34,"      &lt;respcondition continue=""Yes""&gt;&lt;conditionvar&gt;&lt;varequal respident=""RESPONSE""&gt;0&lt;/varequal&gt;&lt;/conditionvar&gt;&lt;setvar action=""Add""&gt;"&amp;(Saisie_Questions!$N34/$I34)&amp;"&lt;/setvar&gt;&lt;/respcondition&gt;","      &lt;respcondition continue=""Yes""&gt;&lt;conditionvar&gt;&lt;not&gt;&lt;varequal respident=""RESPONSE""&gt;0&lt;/varequal&gt;&lt;/not&gt;&lt;/conditionvar&gt;&lt;setvar action=""Add""&gt;"&amp;(Saisie_Questions!$N34/$I34)&amp;"&lt;/setvar&gt;&lt;/respcondition&gt;"))),"")</f>
        <v/>
      </c>
      <c r="AK34" s="2" t="str">
        <f>IF($B34,IF(M34="","",IF($C34="qcu",IF(U34,"      &lt;respcondition continue=""Yes""&gt;&lt;conditionvar&gt;&lt;varequal respident=""RESPONSE""&gt;1&lt;/varequal&gt;&lt;/conditionvar&gt;&lt;setvar action=""Add""&gt;"&amp;$H34&amp;"&lt;/setvar&gt;&lt;/respcondition&gt;",""),IF(U34,"      &lt;respcondition continue=""Yes""&gt;&lt;conditionvar&gt;&lt;varequal respident=""RESPONSE""&gt;1&lt;/varequal&gt;&lt;/conditionvar&gt;&lt;setvar action=""Add""&gt;"&amp;(Saisie_Questions!$N34/$I34)&amp;"&lt;/setvar&gt;&lt;/respcondition&gt;","      &lt;respcondition continue=""Yes""&gt;&lt;conditionvar&gt;&lt;not&gt;&lt;varequal respident=""RESPONSE""&gt;1&lt;/varequal&gt;&lt;/not&gt;&lt;/conditionvar&gt;&lt;setvar action=""Add""&gt;"&amp;(Saisie_Questions!$N34/$I34)&amp;"&lt;/setvar&gt;&lt;/respcondition&gt;"))),"")</f>
        <v/>
      </c>
      <c r="AL34" s="2" t="str">
        <f>IF($B34,IF(N34="","",IF($C34="qcu",IF(V34,"      &lt;respcondition continue=""Yes""&gt;&lt;conditionvar&gt;&lt;varequal respident=""RESPONSE""&gt;2&lt;/varequal&gt;&lt;/conditionvar&gt;&lt;setvar action=""Add""&gt;"&amp;$H34&amp;"&lt;/setvar&gt;&lt;/respcondition&gt;",""),IF(V34,"      &lt;respcondition continue=""Yes""&gt;&lt;conditionvar&gt;&lt;varequal respident=""RESPONSE""&gt;2&lt;/varequal&gt;&lt;/conditionvar&gt;&lt;setvar action=""Add""&gt;"&amp;(Saisie_Questions!$N34/$I34)&amp;"&lt;/setvar&gt;&lt;/respcondition&gt;","      &lt;respcondition continue=""Yes""&gt;&lt;conditionvar&gt;&lt;not&gt;&lt;varequal respident=""RESPONSE""&gt;2&lt;/varequal&gt;&lt;/not&gt;&lt;/conditionvar&gt;&lt;setvar action=""Add""&gt;"&amp;(Saisie_Questions!$N34/$I34)&amp;"&lt;/setvar&gt;&lt;/respcondition&gt;"))),"")</f>
        <v/>
      </c>
      <c r="AM34" s="2" t="str">
        <f>IF($B34,IF(O34="","",IF($C34="qcu",IF(W34,"      &lt;respcondition continue=""Yes""&gt;&lt;conditionvar&gt;&lt;varequal respident=""RESPONSE""&gt;3&lt;/varequal&gt;&lt;/conditionvar&gt;&lt;setvar action=""Add""&gt;"&amp;$H34&amp;"&lt;/setvar&gt;&lt;/respcondition&gt;",""),IF(W34,"      &lt;respcondition continue=""Yes""&gt;&lt;conditionvar&gt;&lt;varequal respident=""RESPONSE""&gt;3&lt;/varequal&gt;&lt;/conditionvar&gt;&lt;setvar action=""Add""&gt;"&amp;(Saisie_Questions!$N34/$I34)&amp;"&lt;/setvar&gt;&lt;/respcondition&gt;","      &lt;respcondition continue=""Yes""&gt;&lt;conditionvar&gt;&lt;not&gt;&lt;varequal respident=""RESPONSE""&gt;3&lt;/varequal&gt;&lt;/not&gt;&lt;/conditionvar&gt;&lt;setvar action=""Add""&gt;"&amp;(Saisie_Questions!$N34/$I34)&amp;"&lt;/setvar&gt;&lt;/respcondition&gt;"))),"")</f>
        <v/>
      </c>
      <c r="AN34" s="2" t="str">
        <f>IF($B34,IF(P34="","",IF($C34="qcu",IF(X34,"      &lt;respcondition continue=""Yes""&gt;&lt;conditionvar&gt;&lt;varequal respident=""RESPONSE""&gt;4&lt;/varequal&gt;&lt;/conditionvar&gt;&lt;setvar action=""Add""&gt;"&amp;$H34&amp;"&lt;/setvar&gt;&lt;/respcondition&gt;",""),IF(X34,"      &lt;respcondition continue=""Yes""&gt;&lt;conditionvar&gt;&lt;varequal respident=""RESPONSE""&gt;4&lt;/varequal&gt;&lt;/conditionvar&gt;&lt;setvar action=""Add""&gt;"&amp;(Saisie_Questions!$N34/$I34)&amp;"&lt;/setvar&gt;&lt;/respcondition&gt;","      &lt;respcondition continue=""Yes""&gt;&lt;conditionvar&gt;&lt;not&gt;&lt;varequal respident=""RESPONSE""&gt;4&lt;/varequal&gt;&lt;/not&gt;&lt;/conditionvar&gt;&lt;setvar action=""Add""&gt;"&amp;(Saisie_Questions!$N34/$I34)&amp;"&lt;/setvar&gt;&lt;/respcondition&gt;"))),"")</f>
        <v/>
      </c>
      <c r="AO34" s="2" t="str">
        <f>IF($B34,IF(Q34="","",IF($C34="qcu",IF(Y34,"      &lt;respcondition continue=""Yes""&gt;&lt;conditionvar&gt;&lt;varequal respident=""RESPONSE""&gt;5&lt;/varequal&gt;&lt;/conditionvar&gt;&lt;setvar action=""Add""&gt;"&amp;$H34&amp;"&lt;/setvar&gt;&lt;/respcondition&gt;",""),IF(Y34,"      &lt;respcondition continue=""Yes""&gt;&lt;conditionvar&gt;&lt;varequal respident=""RESPONSE""&gt;5&lt;/varequal&gt;&lt;/conditionvar&gt;&lt;setvar action=""Add""&gt;"&amp;(Saisie_Questions!$N34/$I34)&amp;"&lt;/setvar&gt;&lt;/respcondition&gt;","      &lt;respcondition continue=""Yes""&gt;&lt;conditionvar&gt;&lt;not&gt;&lt;varequal respident=""RESPONSE""&gt;5&lt;/varequal&gt;&lt;/not&gt;&lt;/conditionvar&gt;&lt;setvar action=""Add""&gt;"&amp;(Saisie_Questions!$N34/$I34)&amp;"&lt;/setvar&gt;&lt;/respcondition&gt;"))),"")</f>
        <v/>
      </c>
      <c r="AP34" s="2" t="str">
        <f>IF($B34,IF(R34="","",IF($C34="qcu",IF(Z34,"      &lt;respcondition continue=""Yes""&gt;&lt;conditionvar&gt;&lt;varequal respident=""RESPONSE""&gt;6&lt;/varequal&gt;&lt;/conditionvar&gt;&lt;setvar action=""Add""&gt;"&amp;$H34&amp;"&lt;/setvar&gt;&lt;/respcondition&gt;",""),IF(Z34,"      &lt;respcondition continue=""Yes""&gt;&lt;conditionvar&gt;&lt;varequal respident=""RESPONSE""&gt;6&lt;/varequal&gt;&lt;/conditionvar&gt;&lt;setvar action=""Add""&gt;"&amp;(Saisie_Questions!$N34/$I34)&amp;"&lt;/setvar&gt;&lt;/respcondition&gt;","      &lt;respcondition continue=""Yes""&gt;&lt;conditionvar&gt;&lt;not&gt;&lt;varequal respident=""RESPONSE""&gt;6&lt;/varequal&gt;&lt;/not&gt;&lt;/conditionvar&gt;&lt;setvar action=""Add""&gt;"&amp;(Saisie_Questions!$N34/$I34)&amp;"&lt;/setvar&gt;&lt;/respcondition&gt;"))),"")</f>
        <v/>
      </c>
      <c r="AQ34" s="2" t="str">
        <f>IF($B34,IF(S34="","",IF($C34="qcu",IF(AA34,"      &lt;respcondition continue=""Yes""&gt;&lt;conditionvar&gt;&lt;varequal respident=""RESPONSE""&gt;7&lt;/varequal&gt;&lt;/conditionvar&gt;&lt;setvar action=""Add""&gt;"&amp;$H34&amp;"&lt;/setvar&gt;&lt;/respcondition&gt;",""),IF(AA34,"      &lt;respcondition continue=""Yes""&gt;&lt;conditionvar&gt;&lt;varequal respident=""RESPONSE""&gt;7&lt;/varequal&gt;&lt;/conditionvar&gt;&lt;setvar action=""Add""&gt;"&amp;(Saisie_Questions!$N34/$I34)&amp;"&lt;/setvar&gt;&lt;/respcondition&gt;","      &lt;respcondition continue=""Yes""&gt;&lt;conditionvar&gt;&lt;not&gt;&lt;varequal respident=""RESPONSE""&gt;7&lt;/varequal&gt;&lt;/not&gt;&lt;/conditionvar&gt;&lt;setvar action=""Add""&gt;"&amp;(Saisie_Questions!$N34/$I34)&amp;"&lt;/setvar&gt;&lt;/respcondition&gt;"))),"")</f>
        <v/>
      </c>
    </row>
    <row r="35" spans="1:43" ht="18" customHeight="1">
      <c r="A35" s="2" t="str">
        <f>Saisie_Questions!A35</f>
        <v/>
      </c>
      <c r="B35" s="2" t="b">
        <f>Saisie_Questions!O35="OK"</f>
        <v>0</v>
      </c>
      <c r="C35" s="2" t="str">
        <f>LOWER(TRIM(Saisie_Questions!B35))</f>
        <v/>
      </c>
      <c r="D35" s="2" t="str">
        <f t="shared" si="0"/>
        <v>MULTIPLE CHOICE QUESTION</v>
      </c>
      <c r="E35" s="2" t="str">
        <f t="shared" si="1"/>
        <v>Multiple</v>
      </c>
      <c r="F35" s="2" t="str">
        <f>IF(A35="","",SUBSTITUTE(SUBSTITUTE(SUBSTITUTE(SUBSTITUTE(SUBSTITUTE(IF(Saisie_Questions!C35="", "Question "&amp;A35, Saisie_Questions!C35),"&amp;","&amp;amp;"),"&lt;","&amp;lt;"),"&gt;","&amp;gt;"),CHAR(34),"&amp;quot;"),"'","&amp;apos;"))</f>
        <v/>
      </c>
      <c r="G35" s="2" t="str">
        <f>IF(A35="","",SUBSTITUTE(SUBSTITUTE(SUBSTITUTE(SUBSTITUTE(SUBSTITUTE(Saisie_Questions!D35,"&amp;","&amp;amp;"),"&lt;","&amp;lt;"),"&gt;","&amp;gt;"),CHAR(34),"&amp;quot;"),"'","&amp;apos;"))</f>
        <v/>
      </c>
      <c r="H35" s="2">
        <f>Saisie_Questions!N35</f>
        <v>0</v>
      </c>
      <c r="I35" s="2">
        <f>IF(Saisie_Questions!E35="",0,1)+IF(Saisie_Questions!F35="",0,1)+IF(Saisie_Questions!G35="",0,1)+IF(Saisie_Questions!H35="",0,1)+IF(Saisie_Questions!I35="",0,1)+IF(Saisie_Questions!J35="",0,1)+IF(Saisie_Questions!K35="",0,1)+IF(Saisie_Questions!L35="",0,1)</f>
        <v>0</v>
      </c>
      <c r="J35" s="2">
        <f>Saisie_Questions!M35</f>
        <v>0</v>
      </c>
      <c r="K35" s="2" t="str">
        <f>Saisie_Questions!O35</f>
        <v/>
      </c>
      <c r="L35" s="2" t="str">
        <f>IF(Saisie_Questions!E35="","",SUBSTITUTE(SUBSTITUTE(SUBSTITUTE(SUBSTITUTE(SUBSTITUTE(Saisie_Questions!E35,"&amp;","&amp;amp;"),"&lt;","&amp;lt;"),"&gt;","&amp;gt;"),CHAR(34),"&amp;quot;"),"'","&amp;apos;"))</f>
        <v/>
      </c>
      <c r="M35" s="2" t="str">
        <f>IF(Saisie_Questions!F35="","",SUBSTITUTE(SUBSTITUTE(SUBSTITUTE(SUBSTITUTE(SUBSTITUTE(Saisie_Questions!F35,"&amp;","&amp;amp;"),"&lt;","&amp;lt;"),"&gt;","&amp;gt;"),CHAR(34),"&amp;quot;"),"'","&amp;apos;"))</f>
        <v/>
      </c>
      <c r="N35" s="2" t="str">
        <f>IF(Saisie_Questions!G35="","",SUBSTITUTE(SUBSTITUTE(SUBSTITUTE(SUBSTITUTE(SUBSTITUTE(Saisie_Questions!G35,"&amp;","&amp;amp;"),"&lt;","&amp;lt;"),"&gt;","&amp;gt;"),CHAR(34),"&amp;quot;"),"'","&amp;apos;"))</f>
        <v/>
      </c>
      <c r="O35" s="2" t="str">
        <f>IF(Saisie_Questions!H35="","",SUBSTITUTE(SUBSTITUTE(SUBSTITUTE(SUBSTITUTE(SUBSTITUTE(Saisie_Questions!H35,"&amp;","&amp;amp;"),"&lt;","&amp;lt;"),"&gt;","&amp;gt;"),CHAR(34),"&amp;quot;"),"'","&amp;apos;"))</f>
        <v/>
      </c>
      <c r="P35" s="2" t="str">
        <f>IF(Saisie_Questions!I35="","",SUBSTITUTE(SUBSTITUTE(SUBSTITUTE(SUBSTITUTE(SUBSTITUTE(Saisie_Questions!I35,"&amp;","&amp;amp;"),"&lt;","&amp;lt;"),"&gt;","&amp;gt;"),CHAR(34),"&amp;quot;"),"'","&amp;apos;"))</f>
        <v/>
      </c>
      <c r="Q35" s="2" t="str">
        <f>IF(Saisie_Questions!J35="","",SUBSTITUTE(SUBSTITUTE(SUBSTITUTE(SUBSTITUTE(SUBSTITUTE(Saisie_Questions!J35,"&amp;","&amp;amp;"),"&lt;","&amp;lt;"),"&gt;","&amp;gt;"),CHAR(34),"&amp;quot;"),"'","&amp;apos;"))</f>
        <v/>
      </c>
      <c r="R35" s="2" t="str">
        <f>IF(Saisie_Questions!K35="","",SUBSTITUTE(SUBSTITUTE(SUBSTITUTE(SUBSTITUTE(SUBSTITUTE(Saisie_Questions!K35,"&amp;","&amp;amp;"),"&lt;","&amp;lt;"),"&gt;","&amp;gt;"),CHAR(34),"&amp;quot;"),"'","&amp;apos;"))</f>
        <v/>
      </c>
      <c r="S35" s="2" t="str">
        <f>IF(Saisie_Questions!L35="","",SUBSTITUTE(SUBSTITUTE(SUBSTITUTE(SUBSTITUTE(SUBSTITUTE(Saisie_Questions!L35,"&amp;","&amp;amp;"),"&lt;","&amp;lt;"),"&gt;","&amp;gt;"),CHAR(34),"&amp;quot;"),"'","&amp;apos;"))</f>
        <v/>
      </c>
      <c r="T35" s="2" t="b">
        <f t="shared" si="2"/>
        <v>0</v>
      </c>
      <c r="U35" s="2" t="b">
        <f t="shared" si="3"/>
        <v>0</v>
      </c>
      <c r="V35" s="2" t="b">
        <f t="shared" si="4"/>
        <v>0</v>
      </c>
      <c r="W35" s="2" t="b">
        <f t="shared" si="5"/>
        <v>0</v>
      </c>
      <c r="X35" s="2" t="b">
        <f t="shared" si="6"/>
        <v>0</v>
      </c>
      <c r="Y35" s="2" t="b">
        <f t="shared" si="7"/>
        <v>0</v>
      </c>
      <c r="Z35" s="2" t="b">
        <f t="shared" si="8"/>
        <v>0</v>
      </c>
      <c r="AA35" s="2" t="b">
        <f t="shared" si="9"/>
        <v>0</v>
      </c>
      <c r="AB35" s="2" t="str">
        <f t="shared" si="10"/>
        <v/>
      </c>
      <c r="AC35" s="2" t="str">
        <f t="shared" si="11"/>
        <v/>
      </c>
      <c r="AD35" s="2" t="str">
        <f t="shared" si="12"/>
        <v/>
      </c>
      <c r="AE35" s="2" t="str">
        <f t="shared" si="13"/>
        <v/>
      </c>
      <c r="AF35" s="2" t="str">
        <f t="shared" si="14"/>
        <v/>
      </c>
      <c r="AG35" s="2" t="str">
        <f t="shared" si="15"/>
        <v/>
      </c>
      <c r="AH35" s="2" t="str">
        <f t="shared" si="16"/>
        <v/>
      </c>
      <c r="AI35" s="2" t="str">
        <f t="shared" si="17"/>
        <v/>
      </c>
      <c r="AJ35" s="2" t="str">
        <f>IF($B35,IF(L35="","",IF($C35="qcu",IF(T35,"      &lt;respcondition continue=""Yes""&gt;&lt;conditionvar&gt;&lt;varequal respident=""RESPONSE""&gt;0&lt;/varequal&gt;&lt;/conditionvar&gt;&lt;setvar action=""Add""&gt;"&amp;$H35&amp;"&lt;/setvar&gt;&lt;/respcondition&gt;",""),IF(T35,"      &lt;respcondition continue=""Yes""&gt;&lt;conditionvar&gt;&lt;varequal respident=""RESPONSE""&gt;0&lt;/varequal&gt;&lt;/conditionvar&gt;&lt;setvar action=""Add""&gt;"&amp;(Saisie_Questions!$N35/$I35)&amp;"&lt;/setvar&gt;&lt;/respcondition&gt;","      &lt;respcondition continue=""Yes""&gt;&lt;conditionvar&gt;&lt;not&gt;&lt;varequal respident=""RESPONSE""&gt;0&lt;/varequal&gt;&lt;/not&gt;&lt;/conditionvar&gt;&lt;setvar action=""Add""&gt;"&amp;(Saisie_Questions!$N35/$I35)&amp;"&lt;/setvar&gt;&lt;/respcondition&gt;"))),"")</f>
        <v/>
      </c>
      <c r="AK35" s="2" t="str">
        <f>IF($B35,IF(M35="","",IF($C35="qcu",IF(U35,"      &lt;respcondition continue=""Yes""&gt;&lt;conditionvar&gt;&lt;varequal respident=""RESPONSE""&gt;1&lt;/varequal&gt;&lt;/conditionvar&gt;&lt;setvar action=""Add""&gt;"&amp;$H35&amp;"&lt;/setvar&gt;&lt;/respcondition&gt;",""),IF(U35,"      &lt;respcondition continue=""Yes""&gt;&lt;conditionvar&gt;&lt;varequal respident=""RESPONSE""&gt;1&lt;/varequal&gt;&lt;/conditionvar&gt;&lt;setvar action=""Add""&gt;"&amp;(Saisie_Questions!$N35/$I35)&amp;"&lt;/setvar&gt;&lt;/respcondition&gt;","      &lt;respcondition continue=""Yes""&gt;&lt;conditionvar&gt;&lt;not&gt;&lt;varequal respident=""RESPONSE""&gt;1&lt;/varequal&gt;&lt;/not&gt;&lt;/conditionvar&gt;&lt;setvar action=""Add""&gt;"&amp;(Saisie_Questions!$N35/$I35)&amp;"&lt;/setvar&gt;&lt;/respcondition&gt;"))),"")</f>
        <v/>
      </c>
      <c r="AL35" s="2" t="str">
        <f>IF($B35,IF(N35="","",IF($C35="qcu",IF(V35,"      &lt;respcondition continue=""Yes""&gt;&lt;conditionvar&gt;&lt;varequal respident=""RESPONSE""&gt;2&lt;/varequal&gt;&lt;/conditionvar&gt;&lt;setvar action=""Add""&gt;"&amp;$H35&amp;"&lt;/setvar&gt;&lt;/respcondition&gt;",""),IF(V35,"      &lt;respcondition continue=""Yes""&gt;&lt;conditionvar&gt;&lt;varequal respident=""RESPONSE""&gt;2&lt;/varequal&gt;&lt;/conditionvar&gt;&lt;setvar action=""Add""&gt;"&amp;(Saisie_Questions!$N35/$I35)&amp;"&lt;/setvar&gt;&lt;/respcondition&gt;","      &lt;respcondition continue=""Yes""&gt;&lt;conditionvar&gt;&lt;not&gt;&lt;varequal respident=""RESPONSE""&gt;2&lt;/varequal&gt;&lt;/not&gt;&lt;/conditionvar&gt;&lt;setvar action=""Add""&gt;"&amp;(Saisie_Questions!$N35/$I35)&amp;"&lt;/setvar&gt;&lt;/respcondition&gt;"))),"")</f>
        <v/>
      </c>
      <c r="AM35" s="2" t="str">
        <f>IF($B35,IF(O35="","",IF($C35="qcu",IF(W35,"      &lt;respcondition continue=""Yes""&gt;&lt;conditionvar&gt;&lt;varequal respident=""RESPONSE""&gt;3&lt;/varequal&gt;&lt;/conditionvar&gt;&lt;setvar action=""Add""&gt;"&amp;$H35&amp;"&lt;/setvar&gt;&lt;/respcondition&gt;",""),IF(W35,"      &lt;respcondition continue=""Yes""&gt;&lt;conditionvar&gt;&lt;varequal respident=""RESPONSE""&gt;3&lt;/varequal&gt;&lt;/conditionvar&gt;&lt;setvar action=""Add""&gt;"&amp;(Saisie_Questions!$N35/$I35)&amp;"&lt;/setvar&gt;&lt;/respcondition&gt;","      &lt;respcondition continue=""Yes""&gt;&lt;conditionvar&gt;&lt;not&gt;&lt;varequal respident=""RESPONSE""&gt;3&lt;/varequal&gt;&lt;/not&gt;&lt;/conditionvar&gt;&lt;setvar action=""Add""&gt;"&amp;(Saisie_Questions!$N35/$I35)&amp;"&lt;/setvar&gt;&lt;/respcondition&gt;"))),"")</f>
        <v/>
      </c>
      <c r="AN35" s="2" t="str">
        <f>IF($B35,IF(P35="","",IF($C35="qcu",IF(X35,"      &lt;respcondition continue=""Yes""&gt;&lt;conditionvar&gt;&lt;varequal respident=""RESPONSE""&gt;4&lt;/varequal&gt;&lt;/conditionvar&gt;&lt;setvar action=""Add""&gt;"&amp;$H35&amp;"&lt;/setvar&gt;&lt;/respcondition&gt;",""),IF(X35,"      &lt;respcondition continue=""Yes""&gt;&lt;conditionvar&gt;&lt;varequal respident=""RESPONSE""&gt;4&lt;/varequal&gt;&lt;/conditionvar&gt;&lt;setvar action=""Add""&gt;"&amp;(Saisie_Questions!$N35/$I35)&amp;"&lt;/setvar&gt;&lt;/respcondition&gt;","      &lt;respcondition continue=""Yes""&gt;&lt;conditionvar&gt;&lt;not&gt;&lt;varequal respident=""RESPONSE""&gt;4&lt;/varequal&gt;&lt;/not&gt;&lt;/conditionvar&gt;&lt;setvar action=""Add""&gt;"&amp;(Saisie_Questions!$N35/$I35)&amp;"&lt;/setvar&gt;&lt;/respcondition&gt;"))),"")</f>
        <v/>
      </c>
      <c r="AO35" s="2" t="str">
        <f>IF($B35,IF(Q35="","",IF($C35="qcu",IF(Y35,"      &lt;respcondition continue=""Yes""&gt;&lt;conditionvar&gt;&lt;varequal respident=""RESPONSE""&gt;5&lt;/varequal&gt;&lt;/conditionvar&gt;&lt;setvar action=""Add""&gt;"&amp;$H35&amp;"&lt;/setvar&gt;&lt;/respcondition&gt;",""),IF(Y35,"      &lt;respcondition continue=""Yes""&gt;&lt;conditionvar&gt;&lt;varequal respident=""RESPONSE""&gt;5&lt;/varequal&gt;&lt;/conditionvar&gt;&lt;setvar action=""Add""&gt;"&amp;(Saisie_Questions!$N35/$I35)&amp;"&lt;/setvar&gt;&lt;/respcondition&gt;","      &lt;respcondition continue=""Yes""&gt;&lt;conditionvar&gt;&lt;not&gt;&lt;varequal respident=""RESPONSE""&gt;5&lt;/varequal&gt;&lt;/not&gt;&lt;/conditionvar&gt;&lt;setvar action=""Add""&gt;"&amp;(Saisie_Questions!$N35/$I35)&amp;"&lt;/setvar&gt;&lt;/respcondition&gt;"))),"")</f>
        <v/>
      </c>
      <c r="AP35" s="2" t="str">
        <f>IF($B35,IF(R35="","",IF($C35="qcu",IF(Z35,"      &lt;respcondition continue=""Yes""&gt;&lt;conditionvar&gt;&lt;varequal respident=""RESPONSE""&gt;6&lt;/varequal&gt;&lt;/conditionvar&gt;&lt;setvar action=""Add""&gt;"&amp;$H35&amp;"&lt;/setvar&gt;&lt;/respcondition&gt;",""),IF(Z35,"      &lt;respcondition continue=""Yes""&gt;&lt;conditionvar&gt;&lt;varequal respident=""RESPONSE""&gt;6&lt;/varequal&gt;&lt;/conditionvar&gt;&lt;setvar action=""Add""&gt;"&amp;(Saisie_Questions!$N35/$I35)&amp;"&lt;/setvar&gt;&lt;/respcondition&gt;","      &lt;respcondition continue=""Yes""&gt;&lt;conditionvar&gt;&lt;not&gt;&lt;varequal respident=""RESPONSE""&gt;6&lt;/varequal&gt;&lt;/not&gt;&lt;/conditionvar&gt;&lt;setvar action=""Add""&gt;"&amp;(Saisie_Questions!$N35/$I35)&amp;"&lt;/setvar&gt;&lt;/respcondition&gt;"))),"")</f>
        <v/>
      </c>
      <c r="AQ35" s="2" t="str">
        <f>IF($B35,IF(S35="","",IF($C35="qcu",IF(AA35,"      &lt;respcondition continue=""Yes""&gt;&lt;conditionvar&gt;&lt;varequal respident=""RESPONSE""&gt;7&lt;/varequal&gt;&lt;/conditionvar&gt;&lt;setvar action=""Add""&gt;"&amp;$H35&amp;"&lt;/setvar&gt;&lt;/respcondition&gt;",""),IF(AA35,"      &lt;respcondition continue=""Yes""&gt;&lt;conditionvar&gt;&lt;varequal respident=""RESPONSE""&gt;7&lt;/varequal&gt;&lt;/conditionvar&gt;&lt;setvar action=""Add""&gt;"&amp;(Saisie_Questions!$N35/$I35)&amp;"&lt;/setvar&gt;&lt;/respcondition&gt;","      &lt;respcondition continue=""Yes""&gt;&lt;conditionvar&gt;&lt;not&gt;&lt;varequal respident=""RESPONSE""&gt;7&lt;/varequal&gt;&lt;/not&gt;&lt;/conditionvar&gt;&lt;setvar action=""Add""&gt;"&amp;(Saisie_Questions!$N35/$I35)&amp;"&lt;/setvar&gt;&lt;/respcondition&gt;"))),"")</f>
        <v/>
      </c>
    </row>
    <row r="36" spans="1:43" ht="18" customHeight="1">
      <c r="A36" s="2" t="str">
        <f>Saisie_Questions!A36</f>
        <v/>
      </c>
      <c r="B36" s="2" t="b">
        <f>Saisie_Questions!O36="OK"</f>
        <v>0</v>
      </c>
      <c r="C36" s="2" t="str">
        <f>LOWER(TRIM(Saisie_Questions!B36))</f>
        <v/>
      </c>
      <c r="D36" s="2" t="str">
        <f t="shared" si="0"/>
        <v>MULTIPLE CHOICE QUESTION</v>
      </c>
      <c r="E36" s="2" t="str">
        <f t="shared" si="1"/>
        <v>Multiple</v>
      </c>
      <c r="F36" s="2" t="str">
        <f>IF(A36="","",SUBSTITUTE(SUBSTITUTE(SUBSTITUTE(SUBSTITUTE(SUBSTITUTE(IF(Saisie_Questions!C36="", "Question "&amp;A36, Saisie_Questions!C36),"&amp;","&amp;amp;"),"&lt;","&amp;lt;"),"&gt;","&amp;gt;"),CHAR(34),"&amp;quot;"),"'","&amp;apos;"))</f>
        <v/>
      </c>
      <c r="G36" s="2" t="str">
        <f>IF(A36="","",SUBSTITUTE(SUBSTITUTE(SUBSTITUTE(SUBSTITUTE(SUBSTITUTE(Saisie_Questions!D36,"&amp;","&amp;amp;"),"&lt;","&amp;lt;"),"&gt;","&amp;gt;"),CHAR(34),"&amp;quot;"),"'","&amp;apos;"))</f>
        <v/>
      </c>
      <c r="H36" s="2">
        <f>Saisie_Questions!N36</f>
        <v>0</v>
      </c>
      <c r="I36" s="2">
        <f>IF(Saisie_Questions!E36="",0,1)+IF(Saisie_Questions!F36="",0,1)+IF(Saisie_Questions!G36="",0,1)+IF(Saisie_Questions!H36="",0,1)+IF(Saisie_Questions!I36="",0,1)+IF(Saisie_Questions!J36="",0,1)+IF(Saisie_Questions!K36="",0,1)+IF(Saisie_Questions!L36="",0,1)</f>
        <v>0</v>
      </c>
      <c r="J36" s="2">
        <f>Saisie_Questions!M36</f>
        <v>0</v>
      </c>
      <c r="K36" s="2" t="str">
        <f>Saisie_Questions!O36</f>
        <v/>
      </c>
      <c r="L36" s="2" t="str">
        <f>IF(Saisie_Questions!E36="","",SUBSTITUTE(SUBSTITUTE(SUBSTITUTE(SUBSTITUTE(SUBSTITUTE(Saisie_Questions!E36,"&amp;","&amp;amp;"),"&lt;","&amp;lt;"),"&gt;","&amp;gt;"),CHAR(34),"&amp;quot;"),"'","&amp;apos;"))</f>
        <v/>
      </c>
      <c r="M36" s="2" t="str">
        <f>IF(Saisie_Questions!F36="","",SUBSTITUTE(SUBSTITUTE(SUBSTITUTE(SUBSTITUTE(SUBSTITUTE(Saisie_Questions!F36,"&amp;","&amp;amp;"),"&lt;","&amp;lt;"),"&gt;","&amp;gt;"),CHAR(34),"&amp;quot;"),"'","&amp;apos;"))</f>
        <v/>
      </c>
      <c r="N36" s="2" t="str">
        <f>IF(Saisie_Questions!G36="","",SUBSTITUTE(SUBSTITUTE(SUBSTITUTE(SUBSTITUTE(SUBSTITUTE(Saisie_Questions!G36,"&amp;","&amp;amp;"),"&lt;","&amp;lt;"),"&gt;","&amp;gt;"),CHAR(34),"&amp;quot;"),"'","&amp;apos;"))</f>
        <v/>
      </c>
      <c r="O36" s="2" t="str">
        <f>IF(Saisie_Questions!H36="","",SUBSTITUTE(SUBSTITUTE(SUBSTITUTE(SUBSTITUTE(SUBSTITUTE(Saisie_Questions!H36,"&amp;","&amp;amp;"),"&lt;","&amp;lt;"),"&gt;","&amp;gt;"),CHAR(34),"&amp;quot;"),"'","&amp;apos;"))</f>
        <v/>
      </c>
      <c r="P36" s="2" t="str">
        <f>IF(Saisie_Questions!I36="","",SUBSTITUTE(SUBSTITUTE(SUBSTITUTE(SUBSTITUTE(SUBSTITUTE(Saisie_Questions!I36,"&amp;","&amp;amp;"),"&lt;","&amp;lt;"),"&gt;","&amp;gt;"),CHAR(34),"&amp;quot;"),"'","&amp;apos;"))</f>
        <v/>
      </c>
      <c r="Q36" s="2" t="str">
        <f>IF(Saisie_Questions!J36="","",SUBSTITUTE(SUBSTITUTE(SUBSTITUTE(SUBSTITUTE(SUBSTITUTE(Saisie_Questions!J36,"&amp;","&amp;amp;"),"&lt;","&amp;lt;"),"&gt;","&amp;gt;"),CHAR(34),"&amp;quot;"),"'","&amp;apos;"))</f>
        <v/>
      </c>
      <c r="R36" s="2" t="str">
        <f>IF(Saisie_Questions!K36="","",SUBSTITUTE(SUBSTITUTE(SUBSTITUTE(SUBSTITUTE(SUBSTITUTE(Saisie_Questions!K36,"&amp;","&amp;amp;"),"&lt;","&amp;lt;"),"&gt;","&amp;gt;"),CHAR(34),"&amp;quot;"),"'","&amp;apos;"))</f>
        <v/>
      </c>
      <c r="S36" s="2" t="str">
        <f>IF(Saisie_Questions!L36="","",SUBSTITUTE(SUBSTITUTE(SUBSTITUTE(SUBSTITUTE(SUBSTITUTE(Saisie_Questions!L36,"&amp;","&amp;amp;"),"&lt;","&amp;lt;"),"&gt;","&amp;gt;"),CHAR(34),"&amp;quot;"),"'","&amp;apos;"))</f>
        <v/>
      </c>
      <c r="T36" s="2" t="b">
        <f t="shared" si="2"/>
        <v>0</v>
      </c>
      <c r="U36" s="2" t="b">
        <f t="shared" si="3"/>
        <v>0</v>
      </c>
      <c r="V36" s="2" t="b">
        <f t="shared" si="4"/>
        <v>0</v>
      </c>
      <c r="W36" s="2" t="b">
        <f t="shared" si="5"/>
        <v>0</v>
      </c>
      <c r="X36" s="2" t="b">
        <f t="shared" si="6"/>
        <v>0</v>
      </c>
      <c r="Y36" s="2" t="b">
        <f t="shared" si="7"/>
        <v>0</v>
      </c>
      <c r="Z36" s="2" t="b">
        <f t="shared" si="8"/>
        <v>0</v>
      </c>
      <c r="AA36" s="2" t="b">
        <f t="shared" si="9"/>
        <v>0</v>
      </c>
      <c r="AB36" s="2" t="str">
        <f t="shared" si="10"/>
        <v/>
      </c>
      <c r="AC36" s="2" t="str">
        <f t="shared" si="11"/>
        <v/>
      </c>
      <c r="AD36" s="2" t="str">
        <f t="shared" si="12"/>
        <v/>
      </c>
      <c r="AE36" s="2" t="str">
        <f t="shared" si="13"/>
        <v/>
      </c>
      <c r="AF36" s="2" t="str">
        <f t="shared" si="14"/>
        <v/>
      </c>
      <c r="AG36" s="2" t="str">
        <f t="shared" si="15"/>
        <v/>
      </c>
      <c r="AH36" s="2" t="str">
        <f t="shared" si="16"/>
        <v/>
      </c>
      <c r="AI36" s="2" t="str">
        <f t="shared" si="17"/>
        <v/>
      </c>
      <c r="AJ36" s="2" t="str">
        <f>IF($B36,IF(L36="","",IF($C36="qcu",IF(T36,"      &lt;respcondition continue=""Yes""&gt;&lt;conditionvar&gt;&lt;varequal respident=""RESPONSE""&gt;0&lt;/varequal&gt;&lt;/conditionvar&gt;&lt;setvar action=""Add""&gt;"&amp;$H36&amp;"&lt;/setvar&gt;&lt;/respcondition&gt;",""),IF(T36,"      &lt;respcondition continue=""Yes""&gt;&lt;conditionvar&gt;&lt;varequal respident=""RESPONSE""&gt;0&lt;/varequal&gt;&lt;/conditionvar&gt;&lt;setvar action=""Add""&gt;"&amp;(Saisie_Questions!$N36/$I36)&amp;"&lt;/setvar&gt;&lt;/respcondition&gt;","      &lt;respcondition continue=""Yes""&gt;&lt;conditionvar&gt;&lt;not&gt;&lt;varequal respident=""RESPONSE""&gt;0&lt;/varequal&gt;&lt;/not&gt;&lt;/conditionvar&gt;&lt;setvar action=""Add""&gt;"&amp;(Saisie_Questions!$N36/$I36)&amp;"&lt;/setvar&gt;&lt;/respcondition&gt;"))),"")</f>
        <v/>
      </c>
      <c r="AK36" s="2" t="str">
        <f>IF($B36,IF(M36="","",IF($C36="qcu",IF(U36,"      &lt;respcondition continue=""Yes""&gt;&lt;conditionvar&gt;&lt;varequal respident=""RESPONSE""&gt;1&lt;/varequal&gt;&lt;/conditionvar&gt;&lt;setvar action=""Add""&gt;"&amp;$H36&amp;"&lt;/setvar&gt;&lt;/respcondition&gt;",""),IF(U36,"      &lt;respcondition continue=""Yes""&gt;&lt;conditionvar&gt;&lt;varequal respident=""RESPONSE""&gt;1&lt;/varequal&gt;&lt;/conditionvar&gt;&lt;setvar action=""Add""&gt;"&amp;(Saisie_Questions!$N36/$I36)&amp;"&lt;/setvar&gt;&lt;/respcondition&gt;","      &lt;respcondition continue=""Yes""&gt;&lt;conditionvar&gt;&lt;not&gt;&lt;varequal respident=""RESPONSE""&gt;1&lt;/varequal&gt;&lt;/not&gt;&lt;/conditionvar&gt;&lt;setvar action=""Add""&gt;"&amp;(Saisie_Questions!$N36/$I36)&amp;"&lt;/setvar&gt;&lt;/respcondition&gt;"))),"")</f>
        <v/>
      </c>
      <c r="AL36" s="2" t="str">
        <f>IF($B36,IF(N36="","",IF($C36="qcu",IF(V36,"      &lt;respcondition continue=""Yes""&gt;&lt;conditionvar&gt;&lt;varequal respident=""RESPONSE""&gt;2&lt;/varequal&gt;&lt;/conditionvar&gt;&lt;setvar action=""Add""&gt;"&amp;$H36&amp;"&lt;/setvar&gt;&lt;/respcondition&gt;",""),IF(V36,"      &lt;respcondition continue=""Yes""&gt;&lt;conditionvar&gt;&lt;varequal respident=""RESPONSE""&gt;2&lt;/varequal&gt;&lt;/conditionvar&gt;&lt;setvar action=""Add""&gt;"&amp;(Saisie_Questions!$N36/$I36)&amp;"&lt;/setvar&gt;&lt;/respcondition&gt;","      &lt;respcondition continue=""Yes""&gt;&lt;conditionvar&gt;&lt;not&gt;&lt;varequal respident=""RESPONSE""&gt;2&lt;/varequal&gt;&lt;/not&gt;&lt;/conditionvar&gt;&lt;setvar action=""Add""&gt;"&amp;(Saisie_Questions!$N36/$I36)&amp;"&lt;/setvar&gt;&lt;/respcondition&gt;"))),"")</f>
        <v/>
      </c>
      <c r="AM36" s="2" t="str">
        <f>IF($B36,IF(O36="","",IF($C36="qcu",IF(W36,"      &lt;respcondition continue=""Yes""&gt;&lt;conditionvar&gt;&lt;varequal respident=""RESPONSE""&gt;3&lt;/varequal&gt;&lt;/conditionvar&gt;&lt;setvar action=""Add""&gt;"&amp;$H36&amp;"&lt;/setvar&gt;&lt;/respcondition&gt;",""),IF(W36,"      &lt;respcondition continue=""Yes""&gt;&lt;conditionvar&gt;&lt;varequal respident=""RESPONSE""&gt;3&lt;/varequal&gt;&lt;/conditionvar&gt;&lt;setvar action=""Add""&gt;"&amp;(Saisie_Questions!$N36/$I36)&amp;"&lt;/setvar&gt;&lt;/respcondition&gt;","      &lt;respcondition continue=""Yes""&gt;&lt;conditionvar&gt;&lt;not&gt;&lt;varequal respident=""RESPONSE""&gt;3&lt;/varequal&gt;&lt;/not&gt;&lt;/conditionvar&gt;&lt;setvar action=""Add""&gt;"&amp;(Saisie_Questions!$N36/$I36)&amp;"&lt;/setvar&gt;&lt;/respcondition&gt;"))),"")</f>
        <v/>
      </c>
      <c r="AN36" s="2" t="str">
        <f>IF($B36,IF(P36="","",IF($C36="qcu",IF(X36,"      &lt;respcondition continue=""Yes""&gt;&lt;conditionvar&gt;&lt;varequal respident=""RESPONSE""&gt;4&lt;/varequal&gt;&lt;/conditionvar&gt;&lt;setvar action=""Add""&gt;"&amp;$H36&amp;"&lt;/setvar&gt;&lt;/respcondition&gt;",""),IF(X36,"      &lt;respcondition continue=""Yes""&gt;&lt;conditionvar&gt;&lt;varequal respident=""RESPONSE""&gt;4&lt;/varequal&gt;&lt;/conditionvar&gt;&lt;setvar action=""Add""&gt;"&amp;(Saisie_Questions!$N36/$I36)&amp;"&lt;/setvar&gt;&lt;/respcondition&gt;","      &lt;respcondition continue=""Yes""&gt;&lt;conditionvar&gt;&lt;not&gt;&lt;varequal respident=""RESPONSE""&gt;4&lt;/varequal&gt;&lt;/not&gt;&lt;/conditionvar&gt;&lt;setvar action=""Add""&gt;"&amp;(Saisie_Questions!$N36/$I36)&amp;"&lt;/setvar&gt;&lt;/respcondition&gt;"))),"")</f>
        <v/>
      </c>
      <c r="AO36" s="2" t="str">
        <f>IF($B36,IF(Q36="","",IF($C36="qcu",IF(Y36,"      &lt;respcondition continue=""Yes""&gt;&lt;conditionvar&gt;&lt;varequal respident=""RESPONSE""&gt;5&lt;/varequal&gt;&lt;/conditionvar&gt;&lt;setvar action=""Add""&gt;"&amp;$H36&amp;"&lt;/setvar&gt;&lt;/respcondition&gt;",""),IF(Y36,"      &lt;respcondition continue=""Yes""&gt;&lt;conditionvar&gt;&lt;varequal respident=""RESPONSE""&gt;5&lt;/varequal&gt;&lt;/conditionvar&gt;&lt;setvar action=""Add""&gt;"&amp;(Saisie_Questions!$N36/$I36)&amp;"&lt;/setvar&gt;&lt;/respcondition&gt;","      &lt;respcondition continue=""Yes""&gt;&lt;conditionvar&gt;&lt;not&gt;&lt;varequal respident=""RESPONSE""&gt;5&lt;/varequal&gt;&lt;/not&gt;&lt;/conditionvar&gt;&lt;setvar action=""Add""&gt;"&amp;(Saisie_Questions!$N36/$I36)&amp;"&lt;/setvar&gt;&lt;/respcondition&gt;"))),"")</f>
        <v/>
      </c>
      <c r="AP36" s="2" t="str">
        <f>IF($B36,IF(R36="","",IF($C36="qcu",IF(Z36,"      &lt;respcondition continue=""Yes""&gt;&lt;conditionvar&gt;&lt;varequal respident=""RESPONSE""&gt;6&lt;/varequal&gt;&lt;/conditionvar&gt;&lt;setvar action=""Add""&gt;"&amp;$H36&amp;"&lt;/setvar&gt;&lt;/respcondition&gt;",""),IF(Z36,"      &lt;respcondition continue=""Yes""&gt;&lt;conditionvar&gt;&lt;varequal respident=""RESPONSE""&gt;6&lt;/varequal&gt;&lt;/conditionvar&gt;&lt;setvar action=""Add""&gt;"&amp;(Saisie_Questions!$N36/$I36)&amp;"&lt;/setvar&gt;&lt;/respcondition&gt;","      &lt;respcondition continue=""Yes""&gt;&lt;conditionvar&gt;&lt;not&gt;&lt;varequal respident=""RESPONSE""&gt;6&lt;/varequal&gt;&lt;/not&gt;&lt;/conditionvar&gt;&lt;setvar action=""Add""&gt;"&amp;(Saisie_Questions!$N36/$I36)&amp;"&lt;/setvar&gt;&lt;/respcondition&gt;"))),"")</f>
        <v/>
      </c>
      <c r="AQ36" s="2" t="str">
        <f>IF($B36,IF(S36="","",IF($C36="qcu",IF(AA36,"      &lt;respcondition continue=""Yes""&gt;&lt;conditionvar&gt;&lt;varequal respident=""RESPONSE""&gt;7&lt;/varequal&gt;&lt;/conditionvar&gt;&lt;setvar action=""Add""&gt;"&amp;$H36&amp;"&lt;/setvar&gt;&lt;/respcondition&gt;",""),IF(AA36,"      &lt;respcondition continue=""Yes""&gt;&lt;conditionvar&gt;&lt;varequal respident=""RESPONSE""&gt;7&lt;/varequal&gt;&lt;/conditionvar&gt;&lt;setvar action=""Add""&gt;"&amp;(Saisie_Questions!$N36/$I36)&amp;"&lt;/setvar&gt;&lt;/respcondition&gt;","      &lt;respcondition continue=""Yes""&gt;&lt;conditionvar&gt;&lt;not&gt;&lt;varequal respident=""RESPONSE""&gt;7&lt;/varequal&gt;&lt;/not&gt;&lt;/conditionvar&gt;&lt;setvar action=""Add""&gt;"&amp;(Saisie_Questions!$N36/$I36)&amp;"&lt;/setvar&gt;&lt;/respcondition&gt;"))),"")</f>
        <v/>
      </c>
    </row>
    <row r="37" spans="1:43" ht="18" customHeight="1">
      <c r="A37" s="2" t="str">
        <f>Saisie_Questions!A37</f>
        <v/>
      </c>
      <c r="B37" s="2" t="b">
        <f>Saisie_Questions!O37="OK"</f>
        <v>0</v>
      </c>
      <c r="C37" s="2" t="str">
        <f>LOWER(TRIM(Saisie_Questions!B37))</f>
        <v/>
      </c>
      <c r="D37" s="2" t="str">
        <f t="shared" ref="D37:D68" si="18">IF(C37="qcu","SINGLE CHOICE QUESTION","MULTIPLE CHOICE QUESTION")</f>
        <v>MULTIPLE CHOICE QUESTION</v>
      </c>
      <c r="E37" s="2" t="str">
        <f t="shared" ref="E37:E68" si="19">IF(C37="qcu","Single","Multiple")</f>
        <v>Multiple</v>
      </c>
      <c r="F37" s="2" t="str">
        <f>IF(A37="","",SUBSTITUTE(SUBSTITUTE(SUBSTITUTE(SUBSTITUTE(SUBSTITUTE(IF(Saisie_Questions!C37="", "Question "&amp;A37, Saisie_Questions!C37),"&amp;","&amp;amp;"),"&lt;","&amp;lt;"),"&gt;","&amp;gt;"),CHAR(34),"&amp;quot;"),"'","&amp;apos;"))</f>
        <v/>
      </c>
      <c r="G37" s="2" t="str">
        <f>IF(A37="","",SUBSTITUTE(SUBSTITUTE(SUBSTITUTE(SUBSTITUTE(SUBSTITUTE(Saisie_Questions!D37,"&amp;","&amp;amp;"),"&lt;","&amp;lt;"),"&gt;","&amp;gt;"),CHAR(34),"&amp;quot;"),"'","&amp;apos;"))</f>
        <v/>
      </c>
      <c r="H37" s="2">
        <f>Saisie_Questions!N37</f>
        <v>0</v>
      </c>
      <c r="I37" s="2">
        <f>IF(Saisie_Questions!E37="",0,1)+IF(Saisie_Questions!F37="",0,1)+IF(Saisie_Questions!G37="",0,1)+IF(Saisie_Questions!H37="",0,1)+IF(Saisie_Questions!I37="",0,1)+IF(Saisie_Questions!J37="",0,1)+IF(Saisie_Questions!K37="",0,1)+IF(Saisie_Questions!L37="",0,1)</f>
        <v>0</v>
      </c>
      <c r="J37" s="2">
        <f>Saisie_Questions!M37</f>
        <v>0</v>
      </c>
      <c r="K37" s="2" t="str">
        <f>Saisie_Questions!O37</f>
        <v/>
      </c>
      <c r="L37" s="2" t="str">
        <f>IF(Saisie_Questions!E37="","",SUBSTITUTE(SUBSTITUTE(SUBSTITUTE(SUBSTITUTE(SUBSTITUTE(Saisie_Questions!E37,"&amp;","&amp;amp;"),"&lt;","&amp;lt;"),"&gt;","&amp;gt;"),CHAR(34),"&amp;quot;"),"'","&amp;apos;"))</f>
        <v/>
      </c>
      <c r="M37" s="2" t="str">
        <f>IF(Saisie_Questions!F37="","",SUBSTITUTE(SUBSTITUTE(SUBSTITUTE(SUBSTITUTE(SUBSTITUTE(Saisie_Questions!F37,"&amp;","&amp;amp;"),"&lt;","&amp;lt;"),"&gt;","&amp;gt;"),CHAR(34),"&amp;quot;"),"'","&amp;apos;"))</f>
        <v/>
      </c>
      <c r="N37" s="2" t="str">
        <f>IF(Saisie_Questions!G37="","",SUBSTITUTE(SUBSTITUTE(SUBSTITUTE(SUBSTITUTE(SUBSTITUTE(Saisie_Questions!G37,"&amp;","&amp;amp;"),"&lt;","&amp;lt;"),"&gt;","&amp;gt;"),CHAR(34),"&amp;quot;"),"'","&amp;apos;"))</f>
        <v/>
      </c>
      <c r="O37" s="2" t="str">
        <f>IF(Saisie_Questions!H37="","",SUBSTITUTE(SUBSTITUTE(SUBSTITUTE(SUBSTITUTE(SUBSTITUTE(Saisie_Questions!H37,"&amp;","&amp;amp;"),"&lt;","&amp;lt;"),"&gt;","&amp;gt;"),CHAR(34),"&amp;quot;"),"'","&amp;apos;"))</f>
        <v/>
      </c>
      <c r="P37" s="2" t="str">
        <f>IF(Saisie_Questions!I37="","",SUBSTITUTE(SUBSTITUTE(SUBSTITUTE(SUBSTITUTE(SUBSTITUTE(Saisie_Questions!I37,"&amp;","&amp;amp;"),"&lt;","&amp;lt;"),"&gt;","&amp;gt;"),CHAR(34),"&amp;quot;"),"'","&amp;apos;"))</f>
        <v/>
      </c>
      <c r="Q37" s="2" t="str">
        <f>IF(Saisie_Questions!J37="","",SUBSTITUTE(SUBSTITUTE(SUBSTITUTE(SUBSTITUTE(SUBSTITUTE(Saisie_Questions!J37,"&amp;","&amp;amp;"),"&lt;","&amp;lt;"),"&gt;","&amp;gt;"),CHAR(34),"&amp;quot;"),"'","&amp;apos;"))</f>
        <v/>
      </c>
      <c r="R37" s="2" t="str">
        <f>IF(Saisie_Questions!K37="","",SUBSTITUTE(SUBSTITUTE(SUBSTITUTE(SUBSTITUTE(SUBSTITUTE(Saisie_Questions!K37,"&amp;","&amp;amp;"),"&lt;","&amp;lt;"),"&gt;","&amp;gt;"),CHAR(34),"&amp;quot;"),"'","&amp;apos;"))</f>
        <v/>
      </c>
      <c r="S37" s="2" t="str">
        <f>IF(Saisie_Questions!L37="","",SUBSTITUTE(SUBSTITUTE(SUBSTITUTE(SUBSTITUTE(SUBSTITUTE(Saisie_Questions!L37,"&amp;","&amp;amp;"),"&lt;","&amp;lt;"),"&gt;","&amp;gt;"),CHAR(34),"&amp;quot;"),"'","&amp;apos;"))</f>
        <v/>
      </c>
      <c r="T37" s="2" t="b">
        <f t="shared" ref="T37:T68" si="20">ISNUMBER(SEARCH(";"&amp;1&amp;";",";"&amp;$J37&amp;";"))</f>
        <v>0</v>
      </c>
      <c r="U37" s="2" t="b">
        <f t="shared" ref="U37:U68" si="21">ISNUMBER(SEARCH(";"&amp;2&amp;";",";"&amp;$J37&amp;";"))</f>
        <v>0</v>
      </c>
      <c r="V37" s="2" t="b">
        <f t="shared" ref="V37:V68" si="22">ISNUMBER(SEARCH(";"&amp;3&amp;";",";"&amp;$J37&amp;";"))</f>
        <v>0</v>
      </c>
      <c r="W37" s="2" t="b">
        <f t="shared" ref="W37:W68" si="23">ISNUMBER(SEARCH(";"&amp;4&amp;";",";"&amp;$J37&amp;";"))</f>
        <v>0</v>
      </c>
      <c r="X37" s="2" t="b">
        <f t="shared" ref="X37:X68" si="24">ISNUMBER(SEARCH(";"&amp;5&amp;";",";"&amp;$J37&amp;";"))</f>
        <v>0</v>
      </c>
      <c r="Y37" s="2" t="b">
        <f t="shared" ref="Y37:Y68" si="25">ISNUMBER(SEARCH(";"&amp;6&amp;";",";"&amp;$J37&amp;";"))</f>
        <v>0</v>
      </c>
      <c r="Z37" s="2" t="b">
        <f t="shared" ref="Z37:Z68" si="26">ISNUMBER(SEARCH(";"&amp;7&amp;";",";"&amp;$J37&amp;";"))</f>
        <v>0</v>
      </c>
      <c r="AA37" s="2" t="b">
        <f t="shared" ref="AA37:AA68" si="27">ISNUMBER(SEARCH(";"&amp;8&amp;";",";"&amp;$J37&amp;";"))</f>
        <v>0</v>
      </c>
      <c r="AB37" s="2" t="str">
        <f t="shared" ref="AB37:AB68" si="28">IF($B37,IF(L37="","","        &lt;response_label ident=""0""&gt;&lt;material&gt;&lt;mattext texttype=""text/html""&gt;"&amp;L37&amp;"&lt;/mattext&gt;&lt;/material&gt;&lt;/response_label&gt;"),"")</f>
        <v/>
      </c>
      <c r="AC37" s="2" t="str">
        <f t="shared" ref="AC37:AC68" si="29">IF($B37,IF(M37="","","        &lt;response_label ident=""1""&gt;&lt;material&gt;&lt;mattext texttype=""text/html""&gt;"&amp;M37&amp;"&lt;/mattext&gt;&lt;/material&gt;&lt;/response_label&gt;"),"")</f>
        <v/>
      </c>
      <c r="AD37" s="2" t="str">
        <f t="shared" ref="AD37:AD68" si="30">IF($B37,IF(N37="","","        &lt;response_label ident=""2""&gt;&lt;material&gt;&lt;mattext texttype=""text/html""&gt;"&amp;N37&amp;"&lt;/mattext&gt;&lt;/material&gt;&lt;/response_label&gt;"),"")</f>
        <v/>
      </c>
      <c r="AE37" s="2" t="str">
        <f t="shared" ref="AE37:AE68" si="31">IF($B37,IF(O37="","","        &lt;response_label ident=""3""&gt;&lt;material&gt;&lt;mattext texttype=""text/html""&gt;"&amp;O37&amp;"&lt;/mattext&gt;&lt;/material&gt;&lt;/response_label&gt;"),"")</f>
        <v/>
      </c>
      <c r="AF37" s="2" t="str">
        <f t="shared" ref="AF37:AF68" si="32">IF($B37,IF(P37="","","        &lt;response_label ident=""4""&gt;&lt;material&gt;&lt;mattext texttype=""text/html""&gt;"&amp;P37&amp;"&lt;/mattext&gt;&lt;/material&gt;&lt;/response_label&gt;"),"")</f>
        <v/>
      </c>
      <c r="AG37" s="2" t="str">
        <f t="shared" ref="AG37:AG68" si="33">IF($B37,IF(Q37="","","        &lt;response_label ident=""5""&gt;&lt;material&gt;&lt;mattext texttype=""text/html""&gt;"&amp;Q37&amp;"&lt;/mattext&gt;&lt;/material&gt;&lt;/response_label&gt;"),"")</f>
        <v/>
      </c>
      <c r="AH37" s="2" t="str">
        <f t="shared" ref="AH37:AH68" si="34">IF($B37,IF(R37="","","        &lt;response_label ident=""6""&gt;&lt;material&gt;&lt;mattext texttype=""text/html""&gt;"&amp;R37&amp;"&lt;/mattext&gt;&lt;/material&gt;&lt;/response_label&gt;"),"")</f>
        <v/>
      </c>
      <c r="AI37" s="2" t="str">
        <f t="shared" ref="AI37:AI68" si="35">IF($B37,IF(S37="","","        &lt;response_label ident=""7""&gt;&lt;material&gt;&lt;mattext texttype=""text/html""&gt;"&amp;S37&amp;"&lt;/mattext&gt;&lt;/material&gt;&lt;/response_label&gt;"),"")</f>
        <v/>
      </c>
      <c r="AJ37" s="2" t="str">
        <f>IF($B37,IF(L37="","",IF($C37="qcu",IF(T37,"      &lt;respcondition continue=""Yes""&gt;&lt;conditionvar&gt;&lt;varequal respident=""RESPONSE""&gt;0&lt;/varequal&gt;&lt;/conditionvar&gt;&lt;setvar action=""Add""&gt;"&amp;$H37&amp;"&lt;/setvar&gt;&lt;/respcondition&gt;",""),IF(T37,"      &lt;respcondition continue=""Yes""&gt;&lt;conditionvar&gt;&lt;varequal respident=""RESPONSE""&gt;0&lt;/varequal&gt;&lt;/conditionvar&gt;&lt;setvar action=""Add""&gt;"&amp;(Saisie_Questions!$N37/$I37)&amp;"&lt;/setvar&gt;&lt;/respcondition&gt;","      &lt;respcondition continue=""Yes""&gt;&lt;conditionvar&gt;&lt;not&gt;&lt;varequal respident=""RESPONSE""&gt;0&lt;/varequal&gt;&lt;/not&gt;&lt;/conditionvar&gt;&lt;setvar action=""Add""&gt;"&amp;(Saisie_Questions!$N37/$I37)&amp;"&lt;/setvar&gt;&lt;/respcondition&gt;"))),"")</f>
        <v/>
      </c>
      <c r="AK37" s="2" t="str">
        <f>IF($B37,IF(M37="","",IF($C37="qcu",IF(U37,"      &lt;respcondition continue=""Yes""&gt;&lt;conditionvar&gt;&lt;varequal respident=""RESPONSE""&gt;1&lt;/varequal&gt;&lt;/conditionvar&gt;&lt;setvar action=""Add""&gt;"&amp;$H37&amp;"&lt;/setvar&gt;&lt;/respcondition&gt;",""),IF(U37,"      &lt;respcondition continue=""Yes""&gt;&lt;conditionvar&gt;&lt;varequal respident=""RESPONSE""&gt;1&lt;/varequal&gt;&lt;/conditionvar&gt;&lt;setvar action=""Add""&gt;"&amp;(Saisie_Questions!$N37/$I37)&amp;"&lt;/setvar&gt;&lt;/respcondition&gt;","      &lt;respcondition continue=""Yes""&gt;&lt;conditionvar&gt;&lt;not&gt;&lt;varequal respident=""RESPONSE""&gt;1&lt;/varequal&gt;&lt;/not&gt;&lt;/conditionvar&gt;&lt;setvar action=""Add""&gt;"&amp;(Saisie_Questions!$N37/$I37)&amp;"&lt;/setvar&gt;&lt;/respcondition&gt;"))),"")</f>
        <v/>
      </c>
      <c r="AL37" s="2" t="str">
        <f>IF($B37,IF(N37="","",IF($C37="qcu",IF(V37,"      &lt;respcondition continue=""Yes""&gt;&lt;conditionvar&gt;&lt;varequal respident=""RESPONSE""&gt;2&lt;/varequal&gt;&lt;/conditionvar&gt;&lt;setvar action=""Add""&gt;"&amp;$H37&amp;"&lt;/setvar&gt;&lt;/respcondition&gt;",""),IF(V37,"      &lt;respcondition continue=""Yes""&gt;&lt;conditionvar&gt;&lt;varequal respident=""RESPONSE""&gt;2&lt;/varequal&gt;&lt;/conditionvar&gt;&lt;setvar action=""Add""&gt;"&amp;(Saisie_Questions!$N37/$I37)&amp;"&lt;/setvar&gt;&lt;/respcondition&gt;","      &lt;respcondition continue=""Yes""&gt;&lt;conditionvar&gt;&lt;not&gt;&lt;varequal respident=""RESPONSE""&gt;2&lt;/varequal&gt;&lt;/not&gt;&lt;/conditionvar&gt;&lt;setvar action=""Add""&gt;"&amp;(Saisie_Questions!$N37/$I37)&amp;"&lt;/setvar&gt;&lt;/respcondition&gt;"))),"")</f>
        <v/>
      </c>
      <c r="AM37" s="2" t="str">
        <f>IF($B37,IF(O37="","",IF($C37="qcu",IF(W37,"      &lt;respcondition continue=""Yes""&gt;&lt;conditionvar&gt;&lt;varequal respident=""RESPONSE""&gt;3&lt;/varequal&gt;&lt;/conditionvar&gt;&lt;setvar action=""Add""&gt;"&amp;$H37&amp;"&lt;/setvar&gt;&lt;/respcondition&gt;",""),IF(W37,"      &lt;respcondition continue=""Yes""&gt;&lt;conditionvar&gt;&lt;varequal respident=""RESPONSE""&gt;3&lt;/varequal&gt;&lt;/conditionvar&gt;&lt;setvar action=""Add""&gt;"&amp;(Saisie_Questions!$N37/$I37)&amp;"&lt;/setvar&gt;&lt;/respcondition&gt;","      &lt;respcondition continue=""Yes""&gt;&lt;conditionvar&gt;&lt;not&gt;&lt;varequal respident=""RESPONSE""&gt;3&lt;/varequal&gt;&lt;/not&gt;&lt;/conditionvar&gt;&lt;setvar action=""Add""&gt;"&amp;(Saisie_Questions!$N37/$I37)&amp;"&lt;/setvar&gt;&lt;/respcondition&gt;"))),"")</f>
        <v/>
      </c>
      <c r="AN37" s="2" t="str">
        <f>IF($B37,IF(P37="","",IF($C37="qcu",IF(X37,"      &lt;respcondition continue=""Yes""&gt;&lt;conditionvar&gt;&lt;varequal respident=""RESPONSE""&gt;4&lt;/varequal&gt;&lt;/conditionvar&gt;&lt;setvar action=""Add""&gt;"&amp;$H37&amp;"&lt;/setvar&gt;&lt;/respcondition&gt;",""),IF(X37,"      &lt;respcondition continue=""Yes""&gt;&lt;conditionvar&gt;&lt;varequal respident=""RESPONSE""&gt;4&lt;/varequal&gt;&lt;/conditionvar&gt;&lt;setvar action=""Add""&gt;"&amp;(Saisie_Questions!$N37/$I37)&amp;"&lt;/setvar&gt;&lt;/respcondition&gt;","      &lt;respcondition continue=""Yes""&gt;&lt;conditionvar&gt;&lt;not&gt;&lt;varequal respident=""RESPONSE""&gt;4&lt;/varequal&gt;&lt;/not&gt;&lt;/conditionvar&gt;&lt;setvar action=""Add""&gt;"&amp;(Saisie_Questions!$N37/$I37)&amp;"&lt;/setvar&gt;&lt;/respcondition&gt;"))),"")</f>
        <v/>
      </c>
      <c r="AO37" s="2" t="str">
        <f>IF($B37,IF(Q37="","",IF($C37="qcu",IF(Y37,"      &lt;respcondition continue=""Yes""&gt;&lt;conditionvar&gt;&lt;varequal respident=""RESPONSE""&gt;5&lt;/varequal&gt;&lt;/conditionvar&gt;&lt;setvar action=""Add""&gt;"&amp;$H37&amp;"&lt;/setvar&gt;&lt;/respcondition&gt;",""),IF(Y37,"      &lt;respcondition continue=""Yes""&gt;&lt;conditionvar&gt;&lt;varequal respident=""RESPONSE""&gt;5&lt;/varequal&gt;&lt;/conditionvar&gt;&lt;setvar action=""Add""&gt;"&amp;(Saisie_Questions!$N37/$I37)&amp;"&lt;/setvar&gt;&lt;/respcondition&gt;","      &lt;respcondition continue=""Yes""&gt;&lt;conditionvar&gt;&lt;not&gt;&lt;varequal respident=""RESPONSE""&gt;5&lt;/varequal&gt;&lt;/not&gt;&lt;/conditionvar&gt;&lt;setvar action=""Add""&gt;"&amp;(Saisie_Questions!$N37/$I37)&amp;"&lt;/setvar&gt;&lt;/respcondition&gt;"))),"")</f>
        <v/>
      </c>
      <c r="AP37" s="2" t="str">
        <f>IF($B37,IF(R37="","",IF($C37="qcu",IF(Z37,"      &lt;respcondition continue=""Yes""&gt;&lt;conditionvar&gt;&lt;varequal respident=""RESPONSE""&gt;6&lt;/varequal&gt;&lt;/conditionvar&gt;&lt;setvar action=""Add""&gt;"&amp;$H37&amp;"&lt;/setvar&gt;&lt;/respcondition&gt;",""),IF(Z37,"      &lt;respcondition continue=""Yes""&gt;&lt;conditionvar&gt;&lt;varequal respident=""RESPONSE""&gt;6&lt;/varequal&gt;&lt;/conditionvar&gt;&lt;setvar action=""Add""&gt;"&amp;(Saisie_Questions!$N37/$I37)&amp;"&lt;/setvar&gt;&lt;/respcondition&gt;","      &lt;respcondition continue=""Yes""&gt;&lt;conditionvar&gt;&lt;not&gt;&lt;varequal respident=""RESPONSE""&gt;6&lt;/varequal&gt;&lt;/not&gt;&lt;/conditionvar&gt;&lt;setvar action=""Add""&gt;"&amp;(Saisie_Questions!$N37/$I37)&amp;"&lt;/setvar&gt;&lt;/respcondition&gt;"))),"")</f>
        <v/>
      </c>
      <c r="AQ37" s="2" t="str">
        <f>IF($B37,IF(S37="","",IF($C37="qcu",IF(AA37,"      &lt;respcondition continue=""Yes""&gt;&lt;conditionvar&gt;&lt;varequal respident=""RESPONSE""&gt;7&lt;/varequal&gt;&lt;/conditionvar&gt;&lt;setvar action=""Add""&gt;"&amp;$H37&amp;"&lt;/setvar&gt;&lt;/respcondition&gt;",""),IF(AA37,"      &lt;respcondition continue=""Yes""&gt;&lt;conditionvar&gt;&lt;varequal respident=""RESPONSE""&gt;7&lt;/varequal&gt;&lt;/conditionvar&gt;&lt;setvar action=""Add""&gt;"&amp;(Saisie_Questions!$N37/$I37)&amp;"&lt;/setvar&gt;&lt;/respcondition&gt;","      &lt;respcondition continue=""Yes""&gt;&lt;conditionvar&gt;&lt;not&gt;&lt;varequal respident=""RESPONSE""&gt;7&lt;/varequal&gt;&lt;/not&gt;&lt;/conditionvar&gt;&lt;setvar action=""Add""&gt;"&amp;(Saisie_Questions!$N37/$I37)&amp;"&lt;/setvar&gt;&lt;/respcondition&gt;"))),"")</f>
        <v/>
      </c>
    </row>
    <row r="38" spans="1:43" ht="18" customHeight="1">
      <c r="A38" s="2" t="str">
        <f>Saisie_Questions!A38</f>
        <v/>
      </c>
      <c r="B38" s="2" t="b">
        <f>Saisie_Questions!O38="OK"</f>
        <v>0</v>
      </c>
      <c r="C38" s="2" t="str">
        <f>LOWER(TRIM(Saisie_Questions!B38))</f>
        <v/>
      </c>
      <c r="D38" s="2" t="str">
        <f t="shared" si="18"/>
        <v>MULTIPLE CHOICE QUESTION</v>
      </c>
      <c r="E38" s="2" t="str">
        <f t="shared" si="19"/>
        <v>Multiple</v>
      </c>
      <c r="F38" s="2" t="str">
        <f>IF(A38="","",SUBSTITUTE(SUBSTITUTE(SUBSTITUTE(SUBSTITUTE(SUBSTITUTE(IF(Saisie_Questions!C38="", "Question "&amp;A38, Saisie_Questions!C38),"&amp;","&amp;amp;"),"&lt;","&amp;lt;"),"&gt;","&amp;gt;"),CHAR(34),"&amp;quot;"),"'","&amp;apos;"))</f>
        <v/>
      </c>
      <c r="G38" s="2" t="str">
        <f>IF(A38="","",SUBSTITUTE(SUBSTITUTE(SUBSTITUTE(SUBSTITUTE(SUBSTITUTE(Saisie_Questions!D38,"&amp;","&amp;amp;"),"&lt;","&amp;lt;"),"&gt;","&amp;gt;"),CHAR(34),"&amp;quot;"),"'","&amp;apos;"))</f>
        <v/>
      </c>
      <c r="H38" s="2">
        <f>Saisie_Questions!N38</f>
        <v>0</v>
      </c>
      <c r="I38" s="2">
        <f>IF(Saisie_Questions!E38="",0,1)+IF(Saisie_Questions!F38="",0,1)+IF(Saisie_Questions!G38="",0,1)+IF(Saisie_Questions!H38="",0,1)+IF(Saisie_Questions!I38="",0,1)+IF(Saisie_Questions!J38="",0,1)+IF(Saisie_Questions!K38="",0,1)+IF(Saisie_Questions!L38="",0,1)</f>
        <v>0</v>
      </c>
      <c r="J38" s="2">
        <f>Saisie_Questions!M38</f>
        <v>0</v>
      </c>
      <c r="K38" s="2" t="str">
        <f>Saisie_Questions!O38</f>
        <v/>
      </c>
      <c r="L38" s="2" t="str">
        <f>IF(Saisie_Questions!E38="","",SUBSTITUTE(SUBSTITUTE(SUBSTITUTE(SUBSTITUTE(SUBSTITUTE(Saisie_Questions!E38,"&amp;","&amp;amp;"),"&lt;","&amp;lt;"),"&gt;","&amp;gt;"),CHAR(34),"&amp;quot;"),"'","&amp;apos;"))</f>
        <v/>
      </c>
      <c r="M38" s="2" t="str">
        <f>IF(Saisie_Questions!F38="","",SUBSTITUTE(SUBSTITUTE(SUBSTITUTE(SUBSTITUTE(SUBSTITUTE(Saisie_Questions!F38,"&amp;","&amp;amp;"),"&lt;","&amp;lt;"),"&gt;","&amp;gt;"),CHAR(34),"&amp;quot;"),"'","&amp;apos;"))</f>
        <v/>
      </c>
      <c r="N38" s="2" t="str">
        <f>IF(Saisie_Questions!G38="","",SUBSTITUTE(SUBSTITUTE(SUBSTITUTE(SUBSTITUTE(SUBSTITUTE(Saisie_Questions!G38,"&amp;","&amp;amp;"),"&lt;","&amp;lt;"),"&gt;","&amp;gt;"),CHAR(34),"&amp;quot;"),"'","&amp;apos;"))</f>
        <v/>
      </c>
      <c r="O38" s="2" t="str">
        <f>IF(Saisie_Questions!H38="","",SUBSTITUTE(SUBSTITUTE(SUBSTITUTE(SUBSTITUTE(SUBSTITUTE(Saisie_Questions!H38,"&amp;","&amp;amp;"),"&lt;","&amp;lt;"),"&gt;","&amp;gt;"),CHAR(34),"&amp;quot;"),"'","&amp;apos;"))</f>
        <v/>
      </c>
      <c r="P38" s="2" t="str">
        <f>IF(Saisie_Questions!I38="","",SUBSTITUTE(SUBSTITUTE(SUBSTITUTE(SUBSTITUTE(SUBSTITUTE(Saisie_Questions!I38,"&amp;","&amp;amp;"),"&lt;","&amp;lt;"),"&gt;","&amp;gt;"),CHAR(34),"&amp;quot;"),"'","&amp;apos;"))</f>
        <v/>
      </c>
      <c r="Q38" s="2" t="str">
        <f>IF(Saisie_Questions!J38="","",SUBSTITUTE(SUBSTITUTE(SUBSTITUTE(SUBSTITUTE(SUBSTITUTE(Saisie_Questions!J38,"&amp;","&amp;amp;"),"&lt;","&amp;lt;"),"&gt;","&amp;gt;"),CHAR(34),"&amp;quot;"),"'","&amp;apos;"))</f>
        <v/>
      </c>
      <c r="R38" s="2" t="str">
        <f>IF(Saisie_Questions!K38="","",SUBSTITUTE(SUBSTITUTE(SUBSTITUTE(SUBSTITUTE(SUBSTITUTE(Saisie_Questions!K38,"&amp;","&amp;amp;"),"&lt;","&amp;lt;"),"&gt;","&amp;gt;"),CHAR(34),"&amp;quot;"),"'","&amp;apos;"))</f>
        <v/>
      </c>
      <c r="S38" s="2" t="str">
        <f>IF(Saisie_Questions!L38="","",SUBSTITUTE(SUBSTITUTE(SUBSTITUTE(SUBSTITUTE(SUBSTITUTE(Saisie_Questions!L38,"&amp;","&amp;amp;"),"&lt;","&amp;lt;"),"&gt;","&amp;gt;"),CHAR(34),"&amp;quot;"),"'","&amp;apos;"))</f>
        <v/>
      </c>
      <c r="T38" s="2" t="b">
        <f t="shared" si="20"/>
        <v>0</v>
      </c>
      <c r="U38" s="2" t="b">
        <f t="shared" si="21"/>
        <v>0</v>
      </c>
      <c r="V38" s="2" t="b">
        <f t="shared" si="22"/>
        <v>0</v>
      </c>
      <c r="W38" s="2" t="b">
        <f t="shared" si="23"/>
        <v>0</v>
      </c>
      <c r="X38" s="2" t="b">
        <f t="shared" si="24"/>
        <v>0</v>
      </c>
      <c r="Y38" s="2" t="b">
        <f t="shared" si="25"/>
        <v>0</v>
      </c>
      <c r="Z38" s="2" t="b">
        <f t="shared" si="26"/>
        <v>0</v>
      </c>
      <c r="AA38" s="2" t="b">
        <f t="shared" si="27"/>
        <v>0</v>
      </c>
      <c r="AB38" s="2" t="str">
        <f t="shared" si="28"/>
        <v/>
      </c>
      <c r="AC38" s="2" t="str">
        <f t="shared" si="29"/>
        <v/>
      </c>
      <c r="AD38" s="2" t="str">
        <f t="shared" si="30"/>
        <v/>
      </c>
      <c r="AE38" s="2" t="str">
        <f t="shared" si="31"/>
        <v/>
      </c>
      <c r="AF38" s="2" t="str">
        <f t="shared" si="32"/>
        <v/>
      </c>
      <c r="AG38" s="2" t="str">
        <f t="shared" si="33"/>
        <v/>
      </c>
      <c r="AH38" s="2" t="str">
        <f t="shared" si="34"/>
        <v/>
      </c>
      <c r="AI38" s="2" t="str">
        <f t="shared" si="35"/>
        <v/>
      </c>
      <c r="AJ38" s="2" t="str">
        <f>IF($B38,IF(L38="","",IF($C38="qcu",IF(T38,"      &lt;respcondition continue=""Yes""&gt;&lt;conditionvar&gt;&lt;varequal respident=""RESPONSE""&gt;0&lt;/varequal&gt;&lt;/conditionvar&gt;&lt;setvar action=""Add""&gt;"&amp;$H38&amp;"&lt;/setvar&gt;&lt;/respcondition&gt;",""),IF(T38,"      &lt;respcondition continue=""Yes""&gt;&lt;conditionvar&gt;&lt;varequal respident=""RESPONSE""&gt;0&lt;/varequal&gt;&lt;/conditionvar&gt;&lt;setvar action=""Add""&gt;"&amp;(Saisie_Questions!$N38/$I38)&amp;"&lt;/setvar&gt;&lt;/respcondition&gt;","      &lt;respcondition continue=""Yes""&gt;&lt;conditionvar&gt;&lt;not&gt;&lt;varequal respident=""RESPONSE""&gt;0&lt;/varequal&gt;&lt;/not&gt;&lt;/conditionvar&gt;&lt;setvar action=""Add""&gt;"&amp;(Saisie_Questions!$N38/$I38)&amp;"&lt;/setvar&gt;&lt;/respcondition&gt;"))),"")</f>
        <v/>
      </c>
      <c r="AK38" s="2" t="str">
        <f>IF($B38,IF(M38="","",IF($C38="qcu",IF(U38,"      &lt;respcondition continue=""Yes""&gt;&lt;conditionvar&gt;&lt;varequal respident=""RESPONSE""&gt;1&lt;/varequal&gt;&lt;/conditionvar&gt;&lt;setvar action=""Add""&gt;"&amp;$H38&amp;"&lt;/setvar&gt;&lt;/respcondition&gt;",""),IF(U38,"      &lt;respcondition continue=""Yes""&gt;&lt;conditionvar&gt;&lt;varequal respident=""RESPONSE""&gt;1&lt;/varequal&gt;&lt;/conditionvar&gt;&lt;setvar action=""Add""&gt;"&amp;(Saisie_Questions!$N38/$I38)&amp;"&lt;/setvar&gt;&lt;/respcondition&gt;","      &lt;respcondition continue=""Yes""&gt;&lt;conditionvar&gt;&lt;not&gt;&lt;varequal respident=""RESPONSE""&gt;1&lt;/varequal&gt;&lt;/not&gt;&lt;/conditionvar&gt;&lt;setvar action=""Add""&gt;"&amp;(Saisie_Questions!$N38/$I38)&amp;"&lt;/setvar&gt;&lt;/respcondition&gt;"))),"")</f>
        <v/>
      </c>
      <c r="AL38" s="2" t="str">
        <f>IF($B38,IF(N38="","",IF($C38="qcu",IF(V38,"      &lt;respcondition continue=""Yes""&gt;&lt;conditionvar&gt;&lt;varequal respident=""RESPONSE""&gt;2&lt;/varequal&gt;&lt;/conditionvar&gt;&lt;setvar action=""Add""&gt;"&amp;$H38&amp;"&lt;/setvar&gt;&lt;/respcondition&gt;",""),IF(V38,"      &lt;respcondition continue=""Yes""&gt;&lt;conditionvar&gt;&lt;varequal respident=""RESPONSE""&gt;2&lt;/varequal&gt;&lt;/conditionvar&gt;&lt;setvar action=""Add""&gt;"&amp;(Saisie_Questions!$N38/$I38)&amp;"&lt;/setvar&gt;&lt;/respcondition&gt;","      &lt;respcondition continue=""Yes""&gt;&lt;conditionvar&gt;&lt;not&gt;&lt;varequal respident=""RESPONSE""&gt;2&lt;/varequal&gt;&lt;/not&gt;&lt;/conditionvar&gt;&lt;setvar action=""Add""&gt;"&amp;(Saisie_Questions!$N38/$I38)&amp;"&lt;/setvar&gt;&lt;/respcondition&gt;"))),"")</f>
        <v/>
      </c>
      <c r="AM38" s="2" t="str">
        <f>IF($B38,IF(O38="","",IF($C38="qcu",IF(W38,"      &lt;respcondition continue=""Yes""&gt;&lt;conditionvar&gt;&lt;varequal respident=""RESPONSE""&gt;3&lt;/varequal&gt;&lt;/conditionvar&gt;&lt;setvar action=""Add""&gt;"&amp;$H38&amp;"&lt;/setvar&gt;&lt;/respcondition&gt;",""),IF(W38,"      &lt;respcondition continue=""Yes""&gt;&lt;conditionvar&gt;&lt;varequal respident=""RESPONSE""&gt;3&lt;/varequal&gt;&lt;/conditionvar&gt;&lt;setvar action=""Add""&gt;"&amp;(Saisie_Questions!$N38/$I38)&amp;"&lt;/setvar&gt;&lt;/respcondition&gt;","      &lt;respcondition continue=""Yes""&gt;&lt;conditionvar&gt;&lt;not&gt;&lt;varequal respident=""RESPONSE""&gt;3&lt;/varequal&gt;&lt;/not&gt;&lt;/conditionvar&gt;&lt;setvar action=""Add""&gt;"&amp;(Saisie_Questions!$N38/$I38)&amp;"&lt;/setvar&gt;&lt;/respcondition&gt;"))),"")</f>
        <v/>
      </c>
      <c r="AN38" s="2" t="str">
        <f>IF($B38,IF(P38="","",IF($C38="qcu",IF(X38,"      &lt;respcondition continue=""Yes""&gt;&lt;conditionvar&gt;&lt;varequal respident=""RESPONSE""&gt;4&lt;/varequal&gt;&lt;/conditionvar&gt;&lt;setvar action=""Add""&gt;"&amp;$H38&amp;"&lt;/setvar&gt;&lt;/respcondition&gt;",""),IF(X38,"      &lt;respcondition continue=""Yes""&gt;&lt;conditionvar&gt;&lt;varequal respident=""RESPONSE""&gt;4&lt;/varequal&gt;&lt;/conditionvar&gt;&lt;setvar action=""Add""&gt;"&amp;(Saisie_Questions!$N38/$I38)&amp;"&lt;/setvar&gt;&lt;/respcondition&gt;","      &lt;respcondition continue=""Yes""&gt;&lt;conditionvar&gt;&lt;not&gt;&lt;varequal respident=""RESPONSE""&gt;4&lt;/varequal&gt;&lt;/not&gt;&lt;/conditionvar&gt;&lt;setvar action=""Add""&gt;"&amp;(Saisie_Questions!$N38/$I38)&amp;"&lt;/setvar&gt;&lt;/respcondition&gt;"))),"")</f>
        <v/>
      </c>
      <c r="AO38" s="2" t="str">
        <f>IF($B38,IF(Q38="","",IF($C38="qcu",IF(Y38,"      &lt;respcondition continue=""Yes""&gt;&lt;conditionvar&gt;&lt;varequal respident=""RESPONSE""&gt;5&lt;/varequal&gt;&lt;/conditionvar&gt;&lt;setvar action=""Add""&gt;"&amp;$H38&amp;"&lt;/setvar&gt;&lt;/respcondition&gt;",""),IF(Y38,"      &lt;respcondition continue=""Yes""&gt;&lt;conditionvar&gt;&lt;varequal respident=""RESPONSE""&gt;5&lt;/varequal&gt;&lt;/conditionvar&gt;&lt;setvar action=""Add""&gt;"&amp;(Saisie_Questions!$N38/$I38)&amp;"&lt;/setvar&gt;&lt;/respcondition&gt;","      &lt;respcondition continue=""Yes""&gt;&lt;conditionvar&gt;&lt;not&gt;&lt;varequal respident=""RESPONSE""&gt;5&lt;/varequal&gt;&lt;/not&gt;&lt;/conditionvar&gt;&lt;setvar action=""Add""&gt;"&amp;(Saisie_Questions!$N38/$I38)&amp;"&lt;/setvar&gt;&lt;/respcondition&gt;"))),"")</f>
        <v/>
      </c>
      <c r="AP38" s="2" t="str">
        <f>IF($B38,IF(R38="","",IF($C38="qcu",IF(Z38,"      &lt;respcondition continue=""Yes""&gt;&lt;conditionvar&gt;&lt;varequal respident=""RESPONSE""&gt;6&lt;/varequal&gt;&lt;/conditionvar&gt;&lt;setvar action=""Add""&gt;"&amp;$H38&amp;"&lt;/setvar&gt;&lt;/respcondition&gt;",""),IF(Z38,"      &lt;respcondition continue=""Yes""&gt;&lt;conditionvar&gt;&lt;varequal respident=""RESPONSE""&gt;6&lt;/varequal&gt;&lt;/conditionvar&gt;&lt;setvar action=""Add""&gt;"&amp;(Saisie_Questions!$N38/$I38)&amp;"&lt;/setvar&gt;&lt;/respcondition&gt;","      &lt;respcondition continue=""Yes""&gt;&lt;conditionvar&gt;&lt;not&gt;&lt;varequal respident=""RESPONSE""&gt;6&lt;/varequal&gt;&lt;/not&gt;&lt;/conditionvar&gt;&lt;setvar action=""Add""&gt;"&amp;(Saisie_Questions!$N38/$I38)&amp;"&lt;/setvar&gt;&lt;/respcondition&gt;"))),"")</f>
        <v/>
      </c>
      <c r="AQ38" s="2" t="str">
        <f>IF($B38,IF(S38="","",IF($C38="qcu",IF(AA38,"      &lt;respcondition continue=""Yes""&gt;&lt;conditionvar&gt;&lt;varequal respident=""RESPONSE""&gt;7&lt;/varequal&gt;&lt;/conditionvar&gt;&lt;setvar action=""Add""&gt;"&amp;$H38&amp;"&lt;/setvar&gt;&lt;/respcondition&gt;",""),IF(AA38,"      &lt;respcondition continue=""Yes""&gt;&lt;conditionvar&gt;&lt;varequal respident=""RESPONSE""&gt;7&lt;/varequal&gt;&lt;/conditionvar&gt;&lt;setvar action=""Add""&gt;"&amp;(Saisie_Questions!$N38/$I38)&amp;"&lt;/setvar&gt;&lt;/respcondition&gt;","      &lt;respcondition continue=""Yes""&gt;&lt;conditionvar&gt;&lt;not&gt;&lt;varequal respident=""RESPONSE""&gt;7&lt;/varequal&gt;&lt;/not&gt;&lt;/conditionvar&gt;&lt;setvar action=""Add""&gt;"&amp;(Saisie_Questions!$N38/$I38)&amp;"&lt;/setvar&gt;&lt;/respcondition&gt;"))),"")</f>
        <v/>
      </c>
    </row>
    <row r="39" spans="1:43" ht="18" customHeight="1">
      <c r="A39" s="2" t="str">
        <f>Saisie_Questions!A39</f>
        <v/>
      </c>
      <c r="B39" s="2" t="b">
        <f>Saisie_Questions!O39="OK"</f>
        <v>0</v>
      </c>
      <c r="C39" s="2" t="str">
        <f>LOWER(TRIM(Saisie_Questions!B39))</f>
        <v/>
      </c>
      <c r="D39" s="2" t="str">
        <f t="shared" si="18"/>
        <v>MULTIPLE CHOICE QUESTION</v>
      </c>
      <c r="E39" s="2" t="str">
        <f t="shared" si="19"/>
        <v>Multiple</v>
      </c>
      <c r="F39" s="2" t="str">
        <f>IF(A39="","",SUBSTITUTE(SUBSTITUTE(SUBSTITUTE(SUBSTITUTE(SUBSTITUTE(IF(Saisie_Questions!C39="", "Question "&amp;A39, Saisie_Questions!C39),"&amp;","&amp;amp;"),"&lt;","&amp;lt;"),"&gt;","&amp;gt;"),CHAR(34),"&amp;quot;"),"'","&amp;apos;"))</f>
        <v/>
      </c>
      <c r="G39" s="2" t="str">
        <f>IF(A39="","",SUBSTITUTE(SUBSTITUTE(SUBSTITUTE(SUBSTITUTE(SUBSTITUTE(Saisie_Questions!D39,"&amp;","&amp;amp;"),"&lt;","&amp;lt;"),"&gt;","&amp;gt;"),CHAR(34),"&amp;quot;"),"'","&amp;apos;"))</f>
        <v/>
      </c>
      <c r="H39" s="2">
        <f>Saisie_Questions!N39</f>
        <v>0</v>
      </c>
      <c r="I39" s="2">
        <f>IF(Saisie_Questions!E39="",0,1)+IF(Saisie_Questions!F39="",0,1)+IF(Saisie_Questions!G39="",0,1)+IF(Saisie_Questions!H39="",0,1)+IF(Saisie_Questions!I39="",0,1)+IF(Saisie_Questions!J39="",0,1)+IF(Saisie_Questions!K39="",0,1)+IF(Saisie_Questions!L39="",0,1)</f>
        <v>0</v>
      </c>
      <c r="J39" s="2">
        <f>Saisie_Questions!M39</f>
        <v>0</v>
      </c>
      <c r="K39" s="2" t="str">
        <f>Saisie_Questions!O39</f>
        <v/>
      </c>
      <c r="L39" s="2" t="str">
        <f>IF(Saisie_Questions!E39="","",SUBSTITUTE(SUBSTITUTE(SUBSTITUTE(SUBSTITUTE(SUBSTITUTE(Saisie_Questions!E39,"&amp;","&amp;amp;"),"&lt;","&amp;lt;"),"&gt;","&amp;gt;"),CHAR(34),"&amp;quot;"),"'","&amp;apos;"))</f>
        <v/>
      </c>
      <c r="M39" s="2" t="str">
        <f>IF(Saisie_Questions!F39="","",SUBSTITUTE(SUBSTITUTE(SUBSTITUTE(SUBSTITUTE(SUBSTITUTE(Saisie_Questions!F39,"&amp;","&amp;amp;"),"&lt;","&amp;lt;"),"&gt;","&amp;gt;"),CHAR(34),"&amp;quot;"),"'","&amp;apos;"))</f>
        <v/>
      </c>
      <c r="N39" s="2" t="str">
        <f>IF(Saisie_Questions!G39="","",SUBSTITUTE(SUBSTITUTE(SUBSTITUTE(SUBSTITUTE(SUBSTITUTE(Saisie_Questions!G39,"&amp;","&amp;amp;"),"&lt;","&amp;lt;"),"&gt;","&amp;gt;"),CHAR(34),"&amp;quot;"),"'","&amp;apos;"))</f>
        <v/>
      </c>
      <c r="O39" s="2" t="str">
        <f>IF(Saisie_Questions!H39="","",SUBSTITUTE(SUBSTITUTE(SUBSTITUTE(SUBSTITUTE(SUBSTITUTE(Saisie_Questions!H39,"&amp;","&amp;amp;"),"&lt;","&amp;lt;"),"&gt;","&amp;gt;"),CHAR(34),"&amp;quot;"),"'","&amp;apos;"))</f>
        <v/>
      </c>
      <c r="P39" s="2" t="str">
        <f>IF(Saisie_Questions!I39="","",SUBSTITUTE(SUBSTITUTE(SUBSTITUTE(SUBSTITUTE(SUBSTITUTE(Saisie_Questions!I39,"&amp;","&amp;amp;"),"&lt;","&amp;lt;"),"&gt;","&amp;gt;"),CHAR(34),"&amp;quot;"),"'","&amp;apos;"))</f>
        <v/>
      </c>
      <c r="Q39" s="2" t="str">
        <f>IF(Saisie_Questions!J39="","",SUBSTITUTE(SUBSTITUTE(SUBSTITUTE(SUBSTITUTE(SUBSTITUTE(Saisie_Questions!J39,"&amp;","&amp;amp;"),"&lt;","&amp;lt;"),"&gt;","&amp;gt;"),CHAR(34),"&amp;quot;"),"'","&amp;apos;"))</f>
        <v/>
      </c>
      <c r="R39" s="2" t="str">
        <f>IF(Saisie_Questions!K39="","",SUBSTITUTE(SUBSTITUTE(SUBSTITUTE(SUBSTITUTE(SUBSTITUTE(Saisie_Questions!K39,"&amp;","&amp;amp;"),"&lt;","&amp;lt;"),"&gt;","&amp;gt;"),CHAR(34),"&amp;quot;"),"'","&amp;apos;"))</f>
        <v/>
      </c>
      <c r="S39" s="2" t="str">
        <f>IF(Saisie_Questions!L39="","",SUBSTITUTE(SUBSTITUTE(SUBSTITUTE(SUBSTITUTE(SUBSTITUTE(Saisie_Questions!L39,"&amp;","&amp;amp;"),"&lt;","&amp;lt;"),"&gt;","&amp;gt;"),CHAR(34),"&amp;quot;"),"'","&amp;apos;"))</f>
        <v/>
      </c>
      <c r="T39" s="2" t="b">
        <f t="shared" si="20"/>
        <v>0</v>
      </c>
      <c r="U39" s="2" t="b">
        <f t="shared" si="21"/>
        <v>0</v>
      </c>
      <c r="V39" s="2" t="b">
        <f t="shared" si="22"/>
        <v>0</v>
      </c>
      <c r="W39" s="2" t="b">
        <f t="shared" si="23"/>
        <v>0</v>
      </c>
      <c r="X39" s="2" t="b">
        <f t="shared" si="24"/>
        <v>0</v>
      </c>
      <c r="Y39" s="2" t="b">
        <f t="shared" si="25"/>
        <v>0</v>
      </c>
      <c r="Z39" s="2" t="b">
        <f t="shared" si="26"/>
        <v>0</v>
      </c>
      <c r="AA39" s="2" t="b">
        <f t="shared" si="27"/>
        <v>0</v>
      </c>
      <c r="AB39" s="2" t="str">
        <f t="shared" si="28"/>
        <v/>
      </c>
      <c r="AC39" s="2" t="str">
        <f t="shared" si="29"/>
        <v/>
      </c>
      <c r="AD39" s="2" t="str">
        <f t="shared" si="30"/>
        <v/>
      </c>
      <c r="AE39" s="2" t="str">
        <f t="shared" si="31"/>
        <v/>
      </c>
      <c r="AF39" s="2" t="str">
        <f t="shared" si="32"/>
        <v/>
      </c>
      <c r="AG39" s="2" t="str">
        <f t="shared" si="33"/>
        <v/>
      </c>
      <c r="AH39" s="2" t="str">
        <f t="shared" si="34"/>
        <v/>
      </c>
      <c r="AI39" s="2" t="str">
        <f t="shared" si="35"/>
        <v/>
      </c>
      <c r="AJ39" s="2" t="str">
        <f>IF($B39,IF(L39="","",IF($C39="qcu",IF(T39,"      &lt;respcondition continue=""Yes""&gt;&lt;conditionvar&gt;&lt;varequal respident=""RESPONSE""&gt;0&lt;/varequal&gt;&lt;/conditionvar&gt;&lt;setvar action=""Add""&gt;"&amp;$H39&amp;"&lt;/setvar&gt;&lt;/respcondition&gt;",""),IF(T39,"      &lt;respcondition continue=""Yes""&gt;&lt;conditionvar&gt;&lt;varequal respident=""RESPONSE""&gt;0&lt;/varequal&gt;&lt;/conditionvar&gt;&lt;setvar action=""Add""&gt;"&amp;(Saisie_Questions!$N39/$I39)&amp;"&lt;/setvar&gt;&lt;/respcondition&gt;","      &lt;respcondition continue=""Yes""&gt;&lt;conditionvar&gt;&lt;not&gt;&lt;varequal respident=""RESPONSE""&gt;0&lt;/varequal&gt;&lt;/not&gt;&lt;/conditionvar&gt;&lt;setvar action=""Add""&gt;"&amp;(Saisie_Questions!$N39/$I39)&amp;"&lt;/setvar&gt;&lt;/respcondition&gt;"))),"")</f>
        <v/>
      </c>
      <c r="AK39" s="2" t="str">
        <f>IF($B39,IF(M39="","",IF($C39="qcu",IF(U39,"      &lt;respcondition continue=""Yes""&gt;&lt;conditionvar&gt;&lt;varequal respident=""RESPONSE""&gt;1&lt;/varequal&gt;&lt;/conditionvar&gt;&lt;setvar action=""Add""&gt;"&amp;$H39&amp;"&lt;/setvar&gt;&lt;/respcondition&gt;",""),IF(U39,"      &lt;respcondition continue=""Yes""&gt;&lt;conditionvar&gt;&lt;varequal respident=""RESPONSE""&gt;1&lt;/varequal&gt;&lt;/conditionvar&gt;&lt;setvar action=""Add""&gt;"&amp;(Saisie_Questions!$N39/$I39)&amp;"&lt;/setvar&gt;&lt;/respcondition&gt;","      &lt;respcondition continue=""Yes""&gt;&lt;conditionvar&gt;&lt;not&gt;&lt;varequal respident=""RESPONSE""&gt;1&lt;/varequal&gt;&lt;/not&gt;&lt;/conditionvar&gt;&lt;setvar action=""Add""&gt;"&amp;(Saisie_Questions!$N39/$I39)&amp;"&lt;/setvar&gt;&lt;/respcondition&gt;"))),"")</f>
        <v/>
      </c>
      <c r="AL39" s="2" t="str">
        <f>IF($B39,IF(N39="","",IF($C39="qcu",IF(V39,"      &lt;respcondition continue=""Yes""&gt;&lt;conditionvar&gt;&lt;varequal respident=""RESPONSE""&gt;2&lt;/varequal&gt;&lt;/conditionvar&gt;&lt;setvar action=""Add""&gt;"&amp;$H39&amp;"&lt;/setvar&gt;&lt;/respcondition&gt;",""),IF(V39,"      &lt;respcondition continue=""Yes""&gt;&lt;conditionvar&gt;&lt;varequal respident=""RESPONSE""&gt;2&lt;/varequal&gt;&lt;/conditionvar&gt;&lt;setvar action=""Add""&gt;"&amp;(Saisie_Questions!$N39/$I39)&amp;"&lt;/setvar&gt;&lt;/respcondition&gt;","      &lt;respcondition continue=""Yes""&gt;&lt;conditionvar&gt;&lt;not&gt;&lt;varequal respident=""RESPONSE""&gt;2&lt;/varequal&gt;&lt;/not&gt;&lt;/conditionvar&gt;&lt;setvar action=""Add""&gt;"&amp;(Saisie_Questions!$N39/$I39)&amp;"&lt;/setvar&gt;&lt;/respcondition&gt;"))),"")</f>
        <v/>
      </c>
      <c r="AM39" s="2" t="str">
        <f>IF($B39,IF(O39="","",IF($C39="qcu",IF(W39,"      &lt;respcondition continue=""Yes""&gt;&lt;conditionvar&gt;&lt;varequal respident=""RESPONSE""&gt;3&lt;/varequal&gt;&lt;/conditionvar&gt;&lt;setvar action=""Add""&gt;"&amp;$H39&amp;"&lt;/setvar&gt;&lt;/respcondition&gt;",""),IF(W39,"      &lt;respcondition continue=""Yes""&gt;&lt;conditionvar&gt;&lt;varequal respident=""RESPONSE""&gt;3&lt;/varequal&gt;&lt;/conditionvar&gt;&lt;setvar action=""Add""&gt;"&amp;(Saisie_Questions!$N39/$I39)&amp;"&lt;/setvar&gt;&lt;/respcondition&gt;","      &lt;respcondition continue=""Yes""&gt;&lt;conditionvar&gt;&lt;not&gt;&lt;varequal respident=""RESPONSE""&gt;3&lt;/varequal&gt;&lt;/not&gt;&lt;/conditionvar&gt;&lt;setvar action=""Add""&gt;"&amp;(Saisie_Questions!$N39/$I39)&amp;"&lt;/setvar&gt;&lt;/respcondition&gt;"))),"")</f>
        <v/>
      </c>
      <c r="AN39" s="2" t="str">
        <f>IF($B39,IF(P39="","",IF($C39="qcu",IF(X39,"      &lt;respcondition continue=""Yes""&gt;&lt;conditionvar&gt;&lt;varequal respident=""RESPONSE""&gt;4&lt;/varequal&gt;&lt;/conditionvar&gt;&lt;setvar action=""Add""&gt;"&amp;$H39&amp;"&lt;/setvar&gt;&lt;/respcondition&gt;",""),IF(X39,"      &lt;respcondition continue=""Yes""&gt;&lt;conditionvar&gt;&lt;varequal respident=""RESPONSE""&gt;4&lt;/varequal&gt;&lt;/conditionvar&gt;&lt;setvar action=""Add""&gt;"&amp;(Saisie_Questions!$N39/$I39)&amp;"&lt;/setvar&gt;&lt;/respcondition&gt;","      &lt;respcondition continue=""Yes""&gt;&lt;conditionvar&gt;&lt;not&gt;&lt;varequal respident=""RESPONSE""&gt;4&lt;/varequal&gt;&lt;/not&gt;&lt;/conditionvar&gt;&lt;setvar action=""Add""&gt;"&amp;(Saisie_Questions!$N39/$I39)&amp;"&lt;/setvar&gt;&lt;/respcondition&gt;"))),"")</f>
        <v/>
      </c>
      <c r="AO39" s="2" t="str">
        <f>IF($B39,IF(Q39="","",IF($C39="qcu",IF(Y39,"      &lt;respcondition continue=""Yes""&gt;&lt;conditionvar&gt;&lt;varequal respident=""RESPONSE""&gt;5&lt;/varequal&gt;&lt;/conditionvar&gt;&lt;setvar action=""Add""&gt;"&amp;$H39&amp;"&lt;/setvar&gt;&lt;/respcondition&gt;",""),IF(Y39,"      &lt;respcondition continue=""Yes""&gt;&lt;conditionvar&gt;&lt;varequal respident=""RESPONSE""&gt;5&lt;/varequal&gt;&lt;/conditionvar&gt;&lt;setvar action=""Add""&gt;"&amp;(Saisie_Questions!$N39/$I39)&amp;"&lt;/setvar&gt;&lt;/respcondition&gt;","      &lt;respcondition continue=""Yes""&gt;&lt;conditionvar&gt;&lt;not&gt;&lt;varequal respident=""RESPONSE""&gt;5&lt;/varequal&gt;&lt;/not&gt;&lt;/conditionvar&gt;&lt;setvar action=""Add""&gt;"&amp;(Saisie_Questions!$N39/$I39)&amp;"&lt;/setvar&gt;&lt;/respcondition&gt;"))),"")</f>
        <v/>
      </c>
      <c r="AP39" s="2" t="str">
        <f>IF($B39,IF(R39="","",IF($C39="qcu",IF(Z39,"      &lt;respcondition continue=""Yes""&gt;&lt;conditionvar&gt;&lt;varequal respident=""RESPONSE""&gt;6&lt;/varequal&gt;&lt;/conditionvar&gt;&lt;setvar action=""Add""&gt;"&amp;$H39&amp;"&lt;/setvar&gt;&lt;/respcondition&gt;",""),IF(Z39,"      &lt;respcondition continue=""Yes""&gt;&lt;conditionvar&gt;&lt;varequal respident=""RESPONSE""&gt;6&lt;/varequal&gt;&lt;/conditionvar&gt;&lt;setvar action=""Add""&gt;"&amp;(Saisie_Questions!$N39/$I39)&amp;"&lt;/setvar&gt;&lt;/respcondition&gt;","      &lt;respcondition continue=""Yes""&gt;&lt;conditionvar&gt;&lt;not&gt;&lt;varequal respident=""RESPONSE""&gt;6&lt;/varequal&gt;&lt;/not&gt;&lt;/conditionvar&gt;&lt;setvar action=""Add""&gt;"&amp;(Saisie_Questions!$N39/$I39)&amp;"&lt;/setvar&gt;&lt;/respcondition&gt;"))),"")</f>
        <v/>
      </c>
      <c r="AQ39" s="2" t="str">
        <f>IF($B39,IF(S39="","",IF($C39="qcu",IF(AA39,"      &lt;respcondition continue=""Yes""&gt;&lt;conditionvar&gt;&lt;varequal respident=""RESPONSE""&gt;7&lt;/varequal&gt;&lt;/conditionvar&gt;&lt;setvar action=""Add""&gt;"&amp;$H39&amp;"&lt;/setvar&gt;&lt;/respcondition&gt;",""),IF(AA39,"      &lt;respcondition continue=""Yes""&gt;&lt;conditionvar&gt;&lt;varequal respident=""RESPONSE""&gt;7&lt;/varequal&gt;&lt;/conditionvar&gt;&lt;setvar action=""Add""&gt;"&amp;(Saisie_Questions!$N39/$I39)&amp;"&lt;/setvar&gt;&lt;/respcondition&gt;","      &lt;respcondition continue=""Yes""&gt;&lt;conditionvar&gt;&lt;not&gt;&lt;varequal respident=""RESPONSE""&gt;7&lt;/varequal&gt;&lt;/not&gt;&lt;/conditionvar&gt;&lt;setvar action=""Add""&gt;"&amp;(Saisie_Questions!$N39/$I39)&amp;"&lt;/setvar&gt;&lt;/respcondition&gt;"))),"")</f>
        <v/>
      </c>
    </row>
    <row r="40" spans="1:43" ht="18" customHeight="1">
      <c r="A40" s="2" t="str">
        <f>Saisie_Questions!A40</f>
        <v/>
      </c>
      <c r="B40" s="2" t="b">
        <f>Saisie_Questions!O40="OK"</f>
        <v>0</v>
      </c>
      <c r="C40" s="2" t="str">
        <f>LOWER(TRIM(Saisie_Questions!B40))</f>
        <v/>
      </c>
      <c r="D40" s="2" t="str">
        <f t="shared" si="18"/>
        <v>MULTIPLE CHOICE QUESTION</v>
      </c>
      <c r="E40" s="2" t="str">
        <f t="shared" si="19"/>
        <v>Multiple</v>
      </c>
      <c r="F40" s="2" t="str">
        <f>IF(A40="","",SUBSTITUTE(SUBSTITUTE(SUBSTITUTE(SUBSTITUTE(SUBSTITUTE(IF(Saisie_Questions!C40="", "Question "&amp;A40, Saisie_Questions!C40),"&amp;","&amp;amp;"),"&lt;","&amp;lt;"),"&gt;","&amp;gt;"),CHAR(34),"&amp;quot;"),"'","&amp;apos;"))</f>
        <v/>
      </c>
      <c r="G40" s="2" t="str">
        <f>IF(A40="","",SUBSTITUTE(SUBSTITUTE(SUBSTITUTE(SUBSTITUTE(SUBSTITUTE(Saisie_Questions!D40,"&amp;","&amp;amp;"),"&lt;","&amp;lt;"),"&gt;","&amp;gt;"),CHAR(34),"&amp;quot;"),"'","&amp;apos;"))</f>
        <v/>
      </c>
      <c r="H40" s="2">
        <f>Saisie_Questions!N40</f>
        <v>0</v>
      </c>
      <c r="I40" s="2">
        <f>IF(Saisie_Questions!E40="",0,1)+IF(Saisie_Questions!F40="",0,1)+IF(Saisie_Questions!G40="",0,1)+IF(Saisie_Questions!H40="",0,1)+IF(Saisie_Questions!I40="",0,1)+IF(Saisie_Questions!J40="",0,1)+IF(Saisie_Questions!K40="",0,1)+IF(Saisie_Questions!L40="",0,1)</f>
        <v>0</v>
      </c>
      <c r="J40" s="2">
        <f>Saisie_Questions!M40</f>
        <v>0</v>
      </c>
      <c r="K40" s="2" t="str">
        <f>Saisie_Questions!O40</f>
        <v/>
      </c>
      <c r="L40" s="2" t="str">
        <f>IF(Saisie_Questions!E40="","",SUBSTITUTE(SUBSTITUTE(SUBSTITUTE(SUBSTITUTE(SUBSTITUTE(Saisie_Questions!E40,"&amp;","&amp;amp;"),"&lt;","&amp;lt;"),"&gt;","&amp;gt;"),CHAR(34),"&amp;quot;"),"'","&amp;apos;"))</f>
        <v/>
      </c>
      <c r="M40" s="2" t="str">
        <f>IF(Saisie_Questions!F40="","",SUBSTITUTE(SUBSTITUTE(SUBSTITUTE(SUBSTITUTE(SUBSTITUTE(Saisie_Questions!F40,"&amp;","&amp;amp;"),"&lt;","&amp;lt;"),"&gt;","&amp;gt;"),CHAR(34),"&amp;quot;"),"'","&amp;apos;"))</f>
        <v/>
      </c>
      <c r="N40" s="2" t="str">
        <f>IF(Saisie_Questions!G40="","",SUBSTITUTE(SUBSTITUTE(SUBSTITUTE(SUBSTITUTE(SUBSTITUTE(Saisie_Questions!G40,"&amp;","&amp;amp;"),"&lt;","&amp;lt;"),"&gt;","&amp;gt;"),CHAR(34),"&amp;quot;"),"'","&amp;apos;"))</f>
        <v/>
      </c>
      <c r="O40" s="2" t="str">
        <f>IF(Saisie_Questions!H40="","",SUBSTITUTE(SUBSTITUTE(SUBSTITUTE(SUBSTITUTE(SUBSTITUTE(Saisie_Questions!H40,"&amp;","&amp;amp;"),"&lt;","&amp;lt;"),"&gt;","&amp;gt;"),CHAR(34),"&amp;quot;"),"'","&amp;apos;"))</f>
        <v/>
      </c>
      <c r="P40" s="2" t="str">
        <f>IF(Saisie_Questions!I40="","",SUBSTITUTE(SUBSTITUTE(SUBSTITUTE(SUBSTITUTE(SUBSTITUTE(Saisie_Questions!I40,"&amp;","&amp;amp;"),"&lt;","&amp;lt;"),"&gt;","&amp;gt;"),CHAR(34),"&amp;quot;"),"'","&amp;apos;"))</f>
        <v/>
      </c>
      <c r="Q40" s="2" t="str">
        <f>IF(Saisie_Questions!J40="","",SUBSTITUTE(SUBSTITUTE(SUBSTITUTE(SUBSTITUTE(SUBSTITUTE(Saisie_Questions!J40,"&amp;","&amp;amp;"),"&lt;","&amp;lt;"),"&gt;","&amp;gt;"),CHAR(34),"&amp;quot;"),"'","&amp;apos;"))</f>
        <v/>
      </c>
      <c r="R40" s="2" t="str">
        <f>IF(Saisie_Questions!K40="","",SUBSTITUTE(SUBSTITUTE(SUBSTITUTE(SUBSTITUTE(SUBSTITUTE(Saisie_Questions!K40,"&amp;","&amp;amp;"),"&lt;","&amp;lt;"),"&gt;","&amp;gt;"),CHAR(34),"&amp;quot;"),"'","&amp;apos;"))</f>
        <v/>
      </c>
      <c r="S40" s="2" t="str">
        <f>IF(Saisie_Questions!L40="","",SUBSTITUTE(SUBSTITUTE(SUBSTITUTE(SUBSTITUTE(SUBSTITUTE(Saisie_Questions!L40,"&amp;","&amp;amp;"),"&lt;","&amp;lt;"),"&gt;","&amp;gt;"),CHAR(34),"&amp;quot;"),"'","&amp;apos;"))</f>
        <v/>
      </c>
      <c r="T40" s="2" t="b">
        <f t="shared" si="20"/>
        <v>0</v>
      </c>
      <c r="U40" s="2" t="b">
        <f t="shared" si="21"/>
        <v>0</v>
      </c>
      <c r="V40" s="2" t="b">
        <f t="shared" si="22"/>
        <v>0</v>
      </c>
      <c r="W40" s="2" t="b">
        <f t="shared" si="23"/>
        <v>0</v>
      </c>
      <c r="X40" s="2" t="b">
        <f t="shared" si="24"/>
        <v>0</v>
      </c>
      <c r="Y40" s="2" t="b">
        <f t="shared" si="25"/>
        <v>0</v>
      </c>
      <c r="Z40" s="2" t="b">
        <f t="shared" si="26"/>
        <v>0</v>
      </c>
      <c r="AA40" s="2" t="b">
        <f t="shared" si="27"/>
        <v>0</v>
      </c>
      <c r="AB40" s="2" t="str">
        <f t="shared" si="28"/>
        <v/>
      </c>
      <c r="AC40" s="2" t="str">
        <f t="shared" si="29"/>
        <v/>
      </c>
      <c r="AD40" s="2" t="str">
        <f t="shared" si="30"/>
        <v/>
      </c>
      <c r="AE40" s="2" t="str">
        <f t="shared" si="31"/>
        <v/>
      </c>
      <c r="AF40" s="2" t="str">
        <f t="shared" si="32"/>
        <v/>
      </c>
      <c r="AG40" s="2" t="str">
        <f t="shared" si="33"/>
        <v/>
      </c>
      <c r="AH40" s="2" t="str">
        <f t="shared" si="34"/>
        <v/>
      </c>
      <c r="AI40" s="2" t="str">
        <f t="shared" si="35"/>
        <v/>
      </c>
      <c r="AJ40" s="2" t="str">
        <f>IF($B40,IF(L40="","",IF($C40="qcu",IF(T40,"      &lt;respcondition continue=""Yes""&gt;&lt;conditionvar&gt;&lt;varequal respident=""RESPONSE""&gt;0&lt;/varequal&gt;&lt;/conditionvar&gt;&lt;setvar action=""Add""&gt;"&amp;$H40&amp;"&lt;/setvar&gt;&lt;/respcondition&gt;",""),IF(T40,"      &lt;respcondition continue=""Yes""&gt;&lt;conditionvar&gt;&lt;varequal respident=""RESPONSE""&gt;0&lt;/varequal&gt;&lt;/conditionvar&gt;&lt;setvar action=""Add""&gt;"&amp;(Saisie_Questions!$N40/$I40)&amp;"&lt;/setvar&gt;&lt;/respcondition&gt;","      &lt;respcondition continue=""Yes""&gt;&lt;conditionvar&gt;&lt;not&gt;&lt;varequal respident=""RESPONSE""&gt;0&lt;/varequal&gt;&lt;/not&gt;&lt;/conditionvar&gt;&lt;setvar action=""Add""&gt;"&amp;(Saisie_Questions!$N40/$I40)&amp;"&lt;/setvar&gt;&lt;/respcondition&gt;"))),"")</f>
        <v/>
      </c>
      <c r="AK40" s="2" t="str">
        <f>IF($B40,IF(M40="","",IF($C40="qcu",IF(U40,"      &lt;respcondition continue=""Yes""&gt;&lt;conditionvar&gt;&lt;varequal respident=""RESPONSE""&gt;1&lt;/varequal&gt;&lt;/conditionvar&gt;&lt;setvar action=""Add""&gt;"&amp;$H40&amp;"&lt;/setvar&gt;&lt;/respcondition&gt;",""),IF(U40,"      &lt;respcondition continue=""Yes""&gt;&lt;conditionvar&gt;&lt;varequal respident=""RESPONSE""&gt;1&lt;/varequal&gt;&lt;/conditionvar&gt;&lt;setvar action=""Add""&gt;"&amp;(Saisie_Questions!$N40/$I40)&amp;"&lt;/setvar&gt;&lt;/respcondition&gt;","      &lt;respcondition continue=""Yes""&gt;&lt;conditionvar&gt;&lt;not&gt;&lt;varequal respident=""RESPONSE""&gt;1&lt;/varequal&gt;&lt;/not&gt;&lt;/conditionvar&gt;&lt;setvar action=""Add""&gt;"&amp;(Saisie_Questions!$N40/$I40)&amp;"&lt;/setvar&gt;&lt;/respcondition&gt;"))),"")</f>
        <v/>
      </c>
      <c r="AL40" s="2" t="str">
        <f>IF($B40,IF(N40="","",IF($C40="qcu",IF(V40,"      &lt;respcondition continue=""Yes""&gt;&lt;conditionvar&gt;&lt;varequal respident=""RESPONSE""&gt;2&lt;/varequal&gt;&lt;/conditionvar&gt;&lt;setvar action=""Add""&gt;"&amp;$H40&amp;"&lt;/setvar&gt;&lt;/respcondition&gt;",""),IF(V40,"      &lt;respcondition continue=""Yes""&gt;&lt;conditionvar&gt;&lt;varequal respident=""RESPONSE""&gt;2&lt;/varequal&gt;&lt;/conditionvar&gt;&lt;setvar action=""Add""&gt;"&amp;(Saisie_Questions!$N40/$I40)&amp;"&lt;/setvar&gt;&lt;/respcondition&gt;","      &lt;respcondition continue=""Yes""&gt;&lt;conditionvar&gt;&lt;not&gt;&lt;varequal respident=""RESPONSE""&gt;2&lt;/varequal&gt;&lt;/not&gt;&lt;/conditionvar&gt;&lt;setvar action=""Add""&gt;"&amp;(Saisie_Questions!$N40/$I40)&amp;"&lt;/setvar&gt;&lt;/respcondition&gt;"))),"")</f>
        <v/>
      </c>
      <c r="AM40" s="2" t="str">
        <f>IF($B40,IF(O40="","",IF($C40="qcu",IF(W40,"      &lt;respcondition continue=""Yes""&gt;&lt;conditionvar&gt;&lt;varequal respident=""RESPONSE""&gt;3&lt;/varequal&gt;&lt;/conditionvar&gt;&lt;setvar action=""Add""&gt;"&amp;$H40&amp;"&lt;/setvar&gt;&lt;/respcondition&gt;",""),IF(W40,"      &lt;respcondition continue=""Yes""&gt;&lt;conditionvar&gt;&lt;varequal respident=""RESPONSE""&gt;3&lt;/varequal&gt;&lt;/conditionvar&gt;&lt;setvar action=""Add""&gt;"&amp;(Saisie_Questions!$N40/$I40)&amp;"&lt;/setvar&gt;&lt;/respcondition&gt;","      &lt;respcondition continue=""Yes""&gt;&lt;conditionvar&gt;&lt;not&gt;&lt;varequal respident=""RESPONSE""&gt;3&lt;/varequal&gt;&lt;/not&gt;&lt;/conditionvar&gt;&lt;setvar action=""Add""&gt;"&amp;(Saisie_Questions!$N40/$I40)&amp;"&lt;/setvar&gt;&lt;/respcondition&gt;"))),"")</f>
        <v/>
      </c>
      <c r="AN40" s="2" t="str">
        <f>IF($B40,IF(P40="","",IF($C40="qcu",IF(X40,"      &lt;respcondition continue=""Yes""&gt;&lt;conditionvar&gt;&lt;varequal respident=""RESPONSE""&gt;4&lt;/varequal&gt;&lt;/conditionvar&gt;&lt;setvar action=""Add""&gt;"&amp;$H40&amp;"&lt;/setvar&gt;&lt;/respcondition&gt;",""),IF(X40,"      &lt;respcondition continue=""Yes""&gt;&lt;conditionvar&gt;&lt;varequal respident=""RESPONSE""&gt;4&lt;/varequal&gt;&lt;/conditionvar&gt;&lt;setvar action=""Add""&gt;"&amp;(Saisie_Questions!$N40/$I40)&amp;"&lt;/setvar&gt;&lt;/respcondition&gt;","      &lt;respcondition continue=""Yes""&gt;&lt;conditionvar&gt;&lt;not&gt;&lt;varequal respident=""RESPONSE""&gt;4&lt;/varequal&gt;&lt;/not&gt;&lt;/conditionvar&gt;&lt;setvar action=""Add""&gt;"&amp;(Saisie_Questions!$N40/$I40)&amp;"&lt;/setvar&gt;&lt;/respcondition&gt;"))),"")</f>
        <v/>
      </c>
      <c r="AO40" s="2" t="str">
        <f>IF($B40,IF(Q40="","",IF($C40="qcu",IF(Y40,"      &lt;respcondition continue=""Yes""&gt;&lt;conditionvar&gt;&lt;varequal respident=""RESPONSE""&gt;5&lt;/varequal&gt;&lt;/conditionvar&gt;&lt;setvar action=""Add""&gt;"&amp;$H40&amp;"&lt;/setvar&gt;&lt;/respcondition&gt;",""),IF(Y40,"      &lt;respcondition continue=""Yes""&gt;&lt;conditionvar&gt;&lt;varequal respident=""RESPONSE""&gt;5&lt;/varequal&gt;&lt;/conditionvar&gt;&lt;setvar action=""Add""&gt;"&amp;(Saisie_Questions!$N40/$I40)&amp;"&lt;/setvar&gt;&lt;/respcondition&gt;","      &lt;respcondition continue=""Yes""&gt;&lt;conditionvar&gt;&lt;not&gt;&lt;varequal respident=""RESPONSE""&gt;5&lt;/varequal&gt;&lt;/not&gt;&lt;/conditionvar&gt;&lt;setvar action=""Add""&gt;"&amp;(Saisie_Questions!$N40/$I40)&amp;"&lt;/setvar&gt;&lt;/respcondition&gt;"))),"")</f>
        <v/>
      </c>
      <c r="AP40" s="2" t="str">
        <f>IF($B40,IF(R40="","",IF($C40="qcu",IF(Z40,"      &lt;respcondition continue=""Yes""&gt;&lt;conditionvar&gt;&lt;varequal respident=""RESPONSE""&gt;6&lt;/varequal&gt;&lt;/conditionvar&gt;&lt;setvar action=""Add""&gt;"&amp;$H40&amp;"&lt;/setvar&gt;&lt;/respcondition&gt;",""),IF(Z40,"      &lt;respcondition continue=""Yes""&gt;&lt;conditionvar&gt;&lt;varequal respident=""RESPONSE""&gt;6&lt;/varequal&gt;&lt;/conditionvar&gt;&lt;setvar action=""Add""&gt;"&amp;(Saisie_Questions!$N40/$I40)&amp;"&lt;/setvar&gt;&lt;/respcondition&gt;","      &lt;respcondition continue=""Yes""&gt;&lt;conditionvar&gt;&lt;not&gt;&lt;varequal respident=""RESPONSE""&gt;6&lt;/varequal&gt;&lt;/not&gt;&lt;/conditionvar&gt;&lt;setvar action=""Add""&gt;"&amp;(Saisie_Questions!$N40/$I40)&amp;"&lt;/setvar&gt;&lt;/respcondition&gt;"))),"")</f>
        <v/>
      </c>
      <c r="AQ40" s="2" t="str">
        <f>IF($B40,IF(S40="","",IF($C40="qcu",IF(AA40,"      &lt;respcondition continue=""Yes""&gt;&lt;conditionvar&gt;&lt;varequal respident=""RESPONSE""&gt;7&lt;/varequal&gt;&lt;/conditionvar&gt;&lt;setvar action=""Add""&gt;"&amp;$H40&amp;"&lt;/setvar&gt;&lt;/respcondition&gt;",""),IF(AA40,"      &lt;respcondition continue=""Yes""&gt;&lt;conditionvar&gt;&lt;varequal respident=""RESPONSE""&gt;7&lt;/varequal&gt;&lt;/conditionvar&gt;&lt;setvar action=""Add""&gt;"&amp;(Saisie_Questions!$N40/$I40)&amp;"&lt;/setvar&gt;&lt;/respcondition&gt;","      &lt;respcondition continue=""Yes""&gt;&lt;conditionvar&gt;&lt;not&gt;&lt;varequal respident=""RESPONSE""&gt;7&lt;/varequal&gt;&lt;/not&gt;&lt;/conditionvar&gt;&lt;setvar action=""Add""&gt;"&amp;(Saisie_Questions!$N40/$I40)&amp;"&lt;/setvar&gt;&lt;/respcondition&gt;"))),"")</f>
        <v/>
      </c>
    </row>
    <row r="41" spans="1:43" ht="18" customHeight="1">
      <c r="A41" s="2" t="str">
        <f>Saisie_Questions!A41</f>
        <v/>
      </c>
      <c r="B41" s="2" t="b">
        <f>Saisie_Questions!O41="OK"</f>
        <v>0</v>
      </c>
      <c r="C41" s="2" t="str">
        <f>LOWER(TRIM(Saisie_Questions!B41))</f>
        <v/>
      </c>
      <c r="D41" s="2" t="str">
        <f t="shared" si="18"/>
        <v>MULTIPLE CHOICE QUESTION</v>
      </c>
      <c r="E41" s="2" t="str">
        <f t="shared" si="19"/>
        <v>Multiple</v>
      </c>
      <c r="F41" s="2" t="str">
        <f>IF(A41="","",SUBSTITUTE(SUBSTITUTE(SUBSTITUTE(SUBSTITUTE(SUBSTITUTE(IF(Saisie_Questions!C41="", "Question "&amp;A41, Saisie_Questions!C41),"&amp;","&amp;amp;"),"&lt;","&amp;lt;"),"&gt;","&amp;gt;"),CHAR(34),"&amp;quot;"),"'","&amp;apos;"))</f>
        <v/>
      </c>
      <c r="G41" s="2" t="str">
        <f>IF(A41="","",SUBSTITUTE(SUBSTITUTE(SUBSTITUTE(SUBSTITUTE(SUBSTITUTE(Saisie_Questions!D41,"&amp;","&amp;amp;"),"&lt;","&amp;lt;"),"&gt;","&amp;gt;"),CHAR(34),"&amp;quot;"),"'","&amp;apos;"))</f>
        <v/>
      </c>
      <c r="H41" s="2">
        <f>Saisie_Questions!N41</f>
        <v>0</v>
      </c>
      <c r="I41" s="2">
        <f>IF(Saisie_Questions!E41="",0,1)+IF(Saisie_Questions!F41="",0,1)+IF(Saisie_Questions!G41="",0,1)+IF(Saisie_Questions!H41="",0,1)+IF(Saisie_Questions!I41="",0,1)+IF(Saisie_Questions!J41="",0,1)+IF(Saisie_Questions!K41="",0,1)+IF(Saisie_Questions!L41="",0,1)</f>
        <v>0</v>
      </c>
      <c r="J41" s="2">
        <f>Saisie_Questions!M41</f>
        <v>0</v>
      </c>
      <c r="K41" s="2" t="str">
        <f>Saisie_Questions!O41</f>
        <v/>
      </c>
      <c r="L41" s="2" t="str">
        <f>IF(Saisie_Questions!E41="","",SUBSTITUTE(SUBSTITUTE(SUBSTITUTE(SUBSTITUTE(SUBSTITUTE(Saisie_Questions!E41,"&amp;","&amp;amp;"),"&lt;","&amp;lt;"),"&gt;","&amp;gt;"),CHAR(34),"&amp;quot;"),"'","&amp;apos;"))</f>
        <v/>
      </c>
      <c r="M41" s="2" t="str">
        <f>IF(Saisie_Questions!F41="","",SUBSTITUTE(SUBSTITUTE(SUBSTITUTE(SUBSTITUTE(SUBSTITUTE(Saisie_Questions!F41,"&amp;","&amp;amp;"),"&lt;","&amp;lt;"),"&gt;","&amp;gt;"),CHAR(34),"&amp;quot;"),"'","&amp;apos;"))</f>
        <v/>
      </c>
      <c r="N41" s="2" t="str">
        <f>IF(Saisie_Questions!G41="","",SUBSTITUTE(SUBSTITUTE(SUBSTITUTE(SUBSTITUTE(SUBSTITUTE(Saisie_Questions!G41,"&amp;","&amp;amp;"),"&lt;","&amp;lt;"),"&gt;","&amp;gt;"),CHAR(34),"&amp;quot;"),"'","&amp;apos;"))</f>
        <v/>
      </c>
      <c r="O41" s="2" t="str">
        <f>IF(Saisie_Questions!H41="","",SUBSTITUTE(SUBSTITUTE(SUBSTITUTE(SUBSTITUTE(SUBSTITUTE(Saisie_Questions!H41,"&amp;","&amp;amp;"),"&lt;","&amp;lt;"),"&gt;","&amp;gt;"),CHAR(34),"&amp;quot;"),"'","&amp;apos;"))</f>
        <v/>
      </c>
      <c r="P41" s="2" t="str">
        <f>IF(Saisie_Questions!I41="","",SUBSTITUTE(SUBSTITUTE(SUBSTITUTE(SUBSTITUTE(SUBSTITUTE(Saisie_Questions!I41,"&amp;","&amp;amp;"),"&lt;","&amp;lt;"),"&gt;","&amp;gt;"),CHAR(34),"&amp;quot;"),"'","&amp;apos;"))</f>
        <v/>
      </c>
      <c r="Q41" s="2" t="str">
        <f>IF(Saisie_Questions!J41="","",SUBSTITUTE(SUBSTITUTE(SUBSTITUTE(SUBSTITUTE(SUBSTITUTE(Saisie_Questions!J41,"&amp;","&amp;amp;"),"&lt;","&amp;lt;"),"&gt;","&amp;gt;"),CHAR(34),"&amp;quot;"),"'","&amp;apos;"))</f>
        <v/>
      </c>
      <c r="R41" s="2" t="str">
        <f>IF(Saisie_Questions!K41="","",SUBSTITUTE(SUBSTITUTE(SUBSTITUTE(SUBSTITUTE(SUBSTITUTE(Saisie_Questions!K41,"&amp;","&amp;amp;"),"&lt;","&amp;lt;"),"&gt;","&amp;gt;"),CHAR(34),"&amp;quot;"),"'","&amp;apos;"))</f>
        <v/>
      </c>
      <c r="S41" s="2" t="str">
        <f>IF(Saisie_Questions!L41="","",SUBSTITUTE(SUBSTITUTE(SUBSTITUTE(SUBSTITUTE(SUBSTITUTE(Saisie_Questions!L41,"&amp;","&amp;amp;"),"&lt;","&amp;lt;"),"&gt;","&amp;gt;"),CHAR(34),"&amp;quot;"),"'","&amp;apos;"))</f>
        <v/>
      </c>
      <c r="T41" s="2" t="b">
        <f t="shared" si="20"/>
        <v>0</v>
      </c>
      <c r="U41" s="2" t="b">
        <f t="shared" si="21"/>
        <v>0</v>
      </c>
      <c r="V41" s="2" t="b">
        <f t="shared" si="22"/>
        <v>0</v>
      </c>
      <c r="W41" s="2" t="b">
        <f t="shared" si="23"/>
        <v>0</v>
      </c>
      <c r="X41" s="2" t="b">
        <f t="shared" si="24"/>
        <v>0</v>
      </c>
      <c r="Y41" s="2" t="b">
        <f t="shared" si="25"/>
        <v>0</v>
      </c>
      <c r="Z41" s="2" t="b">
        <f t="shared" si="26"/>
        <v>0</v>
      </c>
      <c r="AA41" s="2" t="b">
        <f t="shared" si="27"/>
        <v>0</v>
      </c>
      <c r="AB41" s="2" t="str">
        <f t="shared" si="28"/>
        <v/>
      </c>
      <c r="AC41" s="2" t="str">
        <f t="shared" si="29"/>
        <v/>
      </c>
      <c r="AD41" s="2" t="str">
        <f t="shared" si="30"/>
        <v/>
      </c>
      <c r="AE41" s="2" t="str">
        <f t="shared" si="31"/>
        <v/>
      </c>
      <c r="AF41" s="2" t="str">
        <f t="shared" si="32"/>
        <v/>
      </c>
      <c r="AG41" s="2" t="str">
        <f t="shared" si="33"/>
        <v/>
      </c>
      <c r="AH41" s="2" t="str">
        <f t="shared" si="34"/>
        <v/>
      </c>
      <c r="AI41" s="2" t="str">
        <f t="shared" si="35"/>
        <v/>
      </c>
      <c r="AJ41" s="2" t="str">
        <f>IF($B41,IF(L41="","",IF($C41="qcu",IF(T41,"      &lt;respcondition continue=""Yes""&gt;&lt;conditionvar&gt;&lt;varequal respident=""RESPONSE""&gt;0&lt;/varequal&gt;&lt;/conditionvar&gt;&lt;setvar action=""Add""&gt;"&amp;$H41&amp;"&lt;/setvar&gt;&lt;/respcondition&gt;",""),IF(T41,"      &lt;respcondition continue=""Yes""&gt;&lt;conditionvar&gt;&lt;varequal respident=""RESPONSE""&gt;0&lt;/varequal&gt;&lt;/conditionvar&gt;&lt;setvar action=""Add""&gt;"&amp;(Saisie_Questions!$N41/$I41)&amp;"&lt;/setvar&gt;&lt;/respcondition&gt;","      &lt;respcondition continue=""Yes""&gt;&lt;conditionvar&gt;&lt;not&gt;&lt;varequal respident=""RESPONSE""&gt;0&lt;/varequal&gt;&lt;/not&gt;&lt;/conditionvar&gt;&lt;setvar action=""Add""&gt;"&amp;(Saisie_Questions!$N41/$I41)&amp;"&lt;/setvar&gt;&lt;/respcondition&gt;"))),"")</f>
        <v/>
      </c>
      <c r="AK41" s="2" t="str">
        <f>IF($B41,IF(M41="","",IF($C41="qcu",IF(U41,"      &lt;respcondition continue=""Yes""&gt;&lt;conditionvar&gt;&lt;varequal respident=""RESPONSE""&gt;1&lt;/varequal&gt;&lt;/conditionvar&gt;&lt;setvar action=""Add""&gt;"&amp;$H41&amp;"&lt;/setvar&gt;&lt;/respcondition&gt;",""),IF(U41,"      &lt;respcondition continue=""Yes""&gt;&lt;conditionvar&gt;&lt;varequal respident=""RESPONSE""&gt;1&lt;/varequal&gt;&lt;/conditionvar&gt;&lt;setvar action=""Add""&gt;"&amp;(Saisie_Questions!$N41/$I41)&amp;"&lt;/setvar&gt;&lt;/respcondition&gt;","      &lt;respcondition continue=""Yes""&gt;&lt;conditionvar&gt;&lt;not&gt;&lt;varequal respident=""RESPONSE""&gt;1&lt;/varequal&gt;&lt;/not&gt;&lt;/conditionvar&gt;&lt;setvar action=""Add""&gt;"&amp;(Saisie_Questions!$N41/$I41)&amp;"&lt;/setvar&gt;&lt;/respcondition&gt;"))),"")</f>
        <v/>
      </c>
      <c r="AL41" s="2" t="str">
        <f>IF($B41,IF(N41="","",IF($C41="qcu",IF(V41,"      &lt;respcondition continue=""Yes""&gt;&lt;conditionvar&gt;&lt;varequal respident=""RESPONSE""&gt;2&lt;/varequal&gt;&lt;/conditionvar&gt;&lt;setvar action=""Add""&gt;"&amp;$H41&amp;"&lt;/setvar&gt;&lt;/respcondition&gt;",""),IF(V41,"      &lt;respcondition continue=""Yes""&gt;&lt;conditionvar&gt;&lt;varequal respident=""RESPONSE""&gt;2&lt;/varequal&gt;&lt;/conditionvar&gt;&lt;setvar action=""Add""&gt;"&amp;(Saisie_Questions!$N41/$I41)&amp;"&lt;/setvar&gt;&lt;/respcondition&gt;","      &lt;respcondition continue=""Yes""&gt;&lt;conditionvar&gt;&lt;not&gt;&lt;varequal respident=""RESPONSE""&gt;2&lt;/varequal&gt;&lt;/not&gt;&lt;/conditionvar&gt;&lt;setvar action=""Add""&gt;"&amp;(Saisie_Questions!$N41/$I41)&amp;"&lt;/setvar&gt;&lt;/respcondition&gt;"))),"")</f>
        <v/>
      </c>
      <c r="AM41" s="2" t="str">
        <f>IF($B41,IF(O41="","",IF($C41="qcu",IF(W41,"      &lt;respcondition continue=""Yes""&gt;&lt;conditionvar&gt;&lt;varequal respident=""RESPONSE""&gt;3&lt;/varequal&gt;&lt;/conditionvar&gt;&lt;setvar action=""Add""&gt;"&amp;$H41&amp;"&lt;/setvar&gt;&lt;/respcondition&gt;",""),IF(W41,"      &lt;respcondition continue=""Yes""&gt;&lt;conditionvar&gt;&lt;varequal respident=""RESPONSE""&gt;3&lt;/varequal&gt;&lt;/conditionvar&gt;&lt;setvar action=""Add""&gt;"&amp;(Saisie_Questions!$N41/$I41)&amp;"&lt;/setvar&gt;&lt;/respcondition&gt;","      &lt;respcondition continue=""Yes""&gt;&lt;conditionvar&gt;&lt;not&gt;&lt;varequal respident=""RESPONSE""&gt;3&lt;/varequal&gt;&lt;/not&gt;&lt;/conditionvar&gt;&lt;setvar action=""Add""&gt;"&amp;(Saisie_Questions!$N41/$I41)&amp;"&lt;/setvar&gt;&lt;/respcondition&gt;"))),"")</f>
        <v/>
      </c>
      <c r="AN41" s="2" t="str">
        <f>IF($B41,IF(P41="","",IF($C41="qcu",IF(X41,"      &lt;respcondition continue=""Yes""&gt;&lt;conditionvar&gt;&lt;varequal respident=""RESPONSE""&gt;4&lt;/varequal&gt;&lt;/conditionvar&gt;&lt;setvar action=""Add""&gt;"&amp;$H41&amp;"&lt;/setvar&gt;&lt;/respcondition&gt;",""),IF(X41,"      &lt;respcondition continue=""Yes""&gt;&lt;conditionvar&gt;&lt;varequal respident=""RESPONSE""&gt;4&lt;/varequal&gt;&lt;/conditionvar&gt;&lt;setvar action=""Add""&gt;"&amp;(Saisie_Questions!$N41/$I41)&amp;"&lt;/setvar&gt;&lt;/respcondition&gt;","      &lt;respcondition continue=""Yes""&gt;&lt;conditionvar&gt;&lt;not&gt;&lt;varequal respident=""RESPONSE""&gt;4&lt;/varequal&gt;&lt;/not&gt;&lt;/conditionvar&gt;&lt;setvar action=""Add""&gt;"&amp;(Saisie_Questions!$N41/$I41)&amp;"&lt;/setvar&gt;&lt;/respcondition&gt;"))),"")</f>
        <v/>
      </c>
      <c r="AO41" s="2" t="str">
        <f>IF($B41,IF(Q41="","",IF($C41="qcu",IF(Y41,"      &lt;respcondition continue=""Yes""&gt;&lt;conditionvar&gt;&lt;varequal respident=""RESPONSE""&gt;5&lt;/varequal&gt;&lt;/conditionvar&gt;&lt;setvar action=""Add""&gt;"&amp;$H41&amp;"&lt;/setvar&gt;&lt;/respcondition&gt;",""),IF(Y41,"      &lt;respcondition continue=""Yes""&gt;&lt;conditionvar&gt;&lt;varequal respident=""RESPONSE""&gt;5&lt;/varequal&gt;&lt;/conditionvar&gt;&lt;setvar action=""Add""&gt;"&amp;(Saisie_Questions!$N41/$I41)&amp;"&lt;/setvar&gt;&lt;/respcondition&gt;","      &lt;respcondition continue=""Yes""&gt;&lt;conditionvar&gt;&lt;not&gt;&lt;varequal respident=""RESPONSE""&gt;5&lt;/varequal&gt;&lt;/not&gt;&lt;/conditionvar&gt;&lt;setvar action=""Add""&gt;"&amp;(Saisie_Questions!$N41/$I41)&amp;"&lt;/setvar&gt;&lt;/respcondition&gt;"))),"")</f>
        <v/>
      </c>
      <c r="AP41" s="2" t="str">
        <f>IF($B41,IF(R41="","",IF($C41="qcu",IF(Z41,"      &lt;respcondition continue=""Yes""&gt;&lt;conditionvar&gt;&lt;varequal respident=""RESPONSE""&gt;6&lt;/varequal&gt;&lt;/conditionvar&gt;&lt;setvar action=""Add""&gt;"&amp;$H41&amp;"&lt;/setvar&gt;&lt;/respcondition&gt;",""),IF(Z41,"      &lt;respcondition continue=""Yes""&gt;&lt;conditionvar&gt;&lt;varequal respident=""RESPONSE""&gt;6&lt;/varequal&gt;&lt;/conditionvar&gt;&lt;setvar action=""Add""&gt;"&amp;(Saisie_Questions!$N41/$I41)&amp;"&lt;/setvar&gt;&lt;/respcondition&gt;","      &lt;respcondition continue=""Yes""&gt;&lt;conditionvar&gt;&lt;not&gt;&lt;varequal respident=""RESPONSE""&gt;6&lt;/varequal&gt;&lt;/not&gt;&lt;/conditionvar&gt;&lt;setvar action=""Add""&gt;"&amp;(Saisie_Questions!$N41/$I41)&amp;"&lt;/setvar&gt;&lt;/respcondition&gt;"))),"")</f>
        <v/>
      </c>
      <c r="AQ41" s="2" t="str">
        <f>IF($B41,IF(S41="","",IF($C41="qcu",IF(AA41,"      &lt;respcondition continue=""Yes""&gt;&lt;conditionvar&gt;&lt;varequal respident=""RESPONSE""&gt;7&lt;/varequal&gt;&lt;/conditionvar&gt;&lt;setvar action=""Add""&gt;"&amp;$H41&amp;"&lt;/setvar&gt;&lt;/respcondition&gt;",""),IF(AA41,"      &lt;respcondition continue=""Yes""&gt;&lt;conditionvar&gt;&lt;varequal respident=""RESPONSE""&gt;7&lt;/varequal&gt;&lt;/conditionvar&gt;&lt;setvar action=""Add""&gt;"&amp;(Saisie_Questions!$N41/$I41)&amp;"&lt;/setvar&gt;&lt;/respcondition&gt;","      &lt;respcondition continue=""Yes""&gt;&lt;conditionvar&gt;&lt;not&gt;&lt;varequal respident=""RESPONSE""&gt;7&lt;/varequal&gt;&lt;/not&gt;&lt;/conditionvar&gt;&lt;setvar action=""Add""&gt;"&amp;(Saisie_Questions!$N41/$I41)&amp;"&lt;/setvar&gt;&lt;/respcondition&gt;"))),"")</f>
        <v/>
      </c>
    </row>
    <row r="42" spans="1:43" ht="18" customHeight="1">
      <c r="A42" s="2" t="str">
        <f>Saisie_Questions!A42</f>
        <v/>
      </c>
      <c r="B42" s="2" t="b">
        <f>Saisie_Questions!O42="OK"</f>
        <v>0</v>
      </c>
      <c r="C42" s="2" t="str">
        <f>LOWER(TRIM(Saisie_Questions!B42))</f>
        <v/>
      </c>
      <c r="D42" s="2" t="str">
        <f t="shared" si="18"/>
        <v>MULTIPLE CHOICE QUESTION</v>
      </c>
      <c r="E42" s="2" t="str">
        <f t="shared" si="19"/>
        <v>Multiple</v>
      </c>
      <c r="F42" s="2" t="str">
        <f>IF(A42="","",SUBSTITUTE(SUBSTITUTE(SUBSTITUTE(SUBSTITUTE(SUBSTITUTE(IF(Saisie_Questions!C42="", "Question "&amp;A42, Saisie_Questions!C42),"&amp;","&amp;amp;"),"&lt;","&amp;lt;"),"&gt;","&amp;gt;"),CHAR(34),"&amp;quot;"),"'","&amp;apos;"))</f>
        <v/>
      </c>
      <c r="G42" s="2" t="str">
        <f>IF(A42="","",SUBSTITUTE(SUBSTITUTE(SUBSTITUTE(SUBSTITUTE(SUBSTITUTE(Saisie_Questions!D42,"&amp;","&amp;amp;"),"&lt;","&amp;lt;"),"&gt;","&amp;gt;"),CHAR(34),"&amp;quot;"),"'","&amp;apos;"))</f>
        <v/>
      </c>
      <c r="H42" s="2">
        <f>Saisie_Questions!N42</f>
        <v>0</v>
      </c>
      <c r="I42" s="2">
        <f>IF(Saisie_Questions!E42="",0,1)+IF(Saisie_Questions!F42="",0,1)+IF(Saisie_Questions!G42="",0,1)+IF(Saisie_Questions!H42="",0,1)+IF(Saisie_Questions!I42="",0,1)+IF(Saisie_Questions!J42="",0,1)+IF(Saisie_Questions!K42="",0,1)+IF(Saisie_Questions!L42="",0,1)</f>
        <v>0</v>
      </c>
      <c r="J42" s="2">
        <f>Saisie_Questions!M42</f>
        <v>0</v>
      </c>
      <c r="K42" s="2" t="str">
        <f>Saisie_Questions!O42</f>
        <v/>
      </c>
      <c r="L42" s="2" t="str">
        <f>IF(Saisie_Questions!E42="","",SUBSTITUTE(SUBSTITUTE(SUBSTITUTE(SUBSTITUTE(SUBSTITUTE(Saisie_Questions!E42,"&amp;","&amp;amp;"),"&lt;","&amp;lt;"),"&gt;","&amp;gt;"),CHAR(34),"&amp;quot;"),"'","&amp;apos;"))</f>
        <v/>
      </c>
      <c r="M42" s="2" t="str">
        <f>IF(Saisie_Questions!F42="","",SUBSTITUTE(SUBSTITUTE(SUBSTITUTE(SUBSTITUTE(SUBSTITUTE(Saisie_Questions!F42,"&amp;","&amp;amp;"),"&lt;","&amp;lt;"),"&gt;","&amp;gt;"),CHAR(34),"&amp;quot;"),"'","&amp;apos;"))</f>
        <v/>
      </c>
      <c r="N42" s="2" t="str">
        <f>IF(Saisie_Questions!G42="","",SUBSTITUTE(SUBSTITUTE(SUBSTITUTE(SUBSTITUTE(SUBSTITUTE(Saisie_Questions!G42,"&amp;","&amp;amp;"),"&lt;","&amp;lt;"),"&gt;","&amp;gt;"),CHAR(34),"&amp;quot;"),"'","&amp;apos;"))</f>
        <v/>
      </c>
      <c r="O42" s="2" t="str">
        <f>IF(Saisie_Questions!H42="","",SUBSTITUTE(SUBSTITUTE(SUBSTITUTE(SUBSTITUTE(SUBSTITUTE(Saisie_Questions!H42,"&amp;","&amp;amp;"),"&lt;","&amp;lt;"),"&gt;","&amp;gt;"),CHAR(34),"&amp;quot;"),"'","&amp;apos;"))</f>
        <v/>
      </c>
      <c r="P42" s="2" t="str">
        <f>IF(Saisie_Questions!I42="","",SUBSTITUTE(SUBSTITUTE(SUBSTITUTE(SUBSTITUTE(SUBSTITUTE(Saisie_Questions!I42,"&amp;","&amp;amp;"),"&lt;","&amp;lt;"),"&gt;","&amp;gt;"),CHAR(34),"&amp;quot;"),"'","&amp;apos;"))</f>
        <v/>
      </c>
      <c r="Q42" s="2" t="str">
        <f>IF(Saisie_Questions!J42="","",SUBSTITUTE(SUBSTITUTE(SUBSTITUTE(SUBSTITUTE(SUBSTITUTE(Saisie_Questions!J42,"&amp;","&amp;amp;"),"&lt;","&amp;lt;"),"&gt;","&amp;gt;"),CHAR(34),"&amp;quot;"),"'","&amp;apos;"))</f>
        <v/>
      </c>
      <c r="R42" s="2" t="str">
        <f>IF(Saisie_Questions!K42="","",SUBSTITUTE(SUBSTITUTE(SUBSTITUTE(SUBSTITUTE(SUBSTITUTE(Saisie_Questions!K42,"&amp;","&amp;amp;"),"&lt;","&amp;lt;"),"&gt;","&amp;gt;"),CHAR(34),"&amp;quot;"),"'","&amp;apos;"))</f>
        <v/>
      </c>
      <c r="S42" s="2" t="str">
        <f>IF(Saisie_Questions!L42="","",SUBSTITUTE(SUBSTITUTE(SUBSTITUTE(SUBSTITUTE(SUBSTITUTE(Saisie_Questions!L42,"&amp;","&amp;amp;"),"&lt;","&amp;lt;"),"&gt;","&amp;gt;"),CHAR(34),"&amp;quot;"),"'","&amp;apos;"))</f>
        <v/>
      </c>
      <c r="T42" s="2" t="b">
        <f t="shared" si="20"/>
        <v>0</v>
      </c>
      <c r="U42" s="2" t="b">
        <f t="shared" si="21"/>
        <v>0</v>
      </c>
      <c r="V42" s="2" t="b">
        <f t="shared" si="22"/>
        <v>0</v>
      </c>
      <c r="W42" s="2" t="b">
        <f t="shared" si="23"/>
        <v>0</v>
      </c>
      <c r="X42" s="2" t="b">
        <f t="shared" si="24"/>
        <v>0</v>
      </c>
      <c r="Y42" s="2" t="b">
        <f t="shared" si="25"/>
        <v>0</v>
      </c>
      <c r="Z42" s="2" t="b">
        <f t="shared" si="26"/>
        <v>0</v>
      </c>
      <c r="AA42" s="2" t="b">
        <f t="shared" si="27"/>
        <v>0</v>
      </c>
      <c r="AB42" s="2" t="str">
        <f t="shared" si="28"/>
        <v/>
      </c>
      <c r="AC42" s="2" t="str">
        <f t="shared" si="29"/>
        <v/>
      </c>
      <c r="AD42" s="2" t="str">
        <f t="shared" si="30"/>
        <v/>
      </c>
      <c r="AE42" s="2" t="str">
        <f t="shared" si="31"/>
        <v/>
      </c>
      <c r="AF42" s="2" t="str">
        <f t="shared" si="32"/>
        <v/>
      </c>
      <c r="AG42" s="2" t="str">
        <f t="shared" si="33"/>
        <v/>
      </c>
      <c r="AH42" s="2" t="str">
        <f t="shared" si="34"/>
        <v/>
      </c>
      <c r="AI42" s="2" t="str">
        <f t="shared" si="35"/>
        <v/>
      </c>
      <c r="AJ42" s="2" t="str">
        <f>IF($B42,IF(L42="","",IF($C42="qcu",IF(T42,"      &lt;respcondition continue=""Yes""&gt;&lt;conditionvar&gt;&lt;varequal respident=""RESPONSE""&gt;0&lt;/varequal&gt;&lt;/conditionvar&gt;&lt;setvar action=""Add""&gt;"&amp;$H42&amp;"&lt;/setvar&gt;&lt;/respcondition&gt;",""),IF(T42,"      &lt;respcondition continue=""Yes""&gt;&lt;conditionvar&gt;&lt;varequal respident=""RESPONSE""&gt;0&lt;/varequal&gt;&lt;/conditionvar&gt;&lt;setvar action=""Add""&gt;"&amp;(Saisie_Questions!$N42/$I42)&amp;"&lt;/setvar&gt;&lt;/respcondition&gt;","      &lt;respcondition continue=""Yes""&gt;&lt;conditionvar&gt;&lt;not&gt;&lt;varequal respident=""RESPONSE""&gt;0&lt;/varequal&gt;&lt;/not&gt;&lt;/conditionvar&gt;&lt;setvar action=""Add""&gt;"&amp;(Saisie_Questions!$N42/$I42)&amp;"&lt;/setvar&gt;&lt;/respcondition&gt;"))),"")</f>
        <v/>
      </c>
      <c r="AK42" s="2" t="str">
        <f>IF($B42,IF(M42="","",IF($C42="qcu",IF(U42,"      &lt;respcondition continue=""Yes""&gt;&lt;conditionvar&gt;&lt;varequal respident=""RESPONSE""&gt;1&lt;/varequal&gt;&lt;/conditionvar&gt;&lt;setvar action=""Add""&gt;"&amp;$H42&amp;"&lt;/setvar&gt;&lt;/respcondition&gt;",""),IF(U42,"      &lt;respcondition continue=""Yes""&gt;&lt;conditionvar&gt;&lt;varequal respident=""RESPONSE""&gt;1&lt;/varequal&gt;&lt;/conditionvar&gt;&lt;setvar action=""Add""&gt;"&amp;(Saisie_Questions!$N42/$I42)&amp;"&lt;/setvar&gt;&lt;/respcondition&gt;","      &lt;respcondition continue=""Yes""&gt;&lt;conditionvar&gt;&lt;not&gt;&lt;varequal respident=""RESPONSE""&gt;1&lt;/varequal&gt;&lt;/not&gt;&lt;/conditionvar&gt;&lt;setvar action=""Add""&gt;"&amp;(Saisie_Questions!$N42/$I42)&amp;"&lt;/setvar&gt;&lt;/respcondition&gt;"))),"")</f>
        <v/>
      </c>
      <c r="AL42" s="2" t="str">
        <f>IF($B42,IF(N42="","",IF($C42="qcu",IF(V42,"      &lt;respcondition continue=""Yes""&gt;&lt;conditionvar&gt;&lt;varequal respident=""RESPONSE""&gt;2&lt;/varequal&gt;&lt;/conditionvar&gt;&lt;setvar action=""Add""&gt;"&amp;$H42&amp;"&lt;/setvar&gt;&lt;/respcondition&gt;",""),IF(V42,"      &lt;respcondition continue=""Yes""&gt;&lt;conditionvar&gt;&lt;varequal respident=""RESPONSE""&gt;2&lt;/varequal&gt;&lt;/conditionvar&gt;&lt;setvar action=""Add""&gt;"&amp;(Saisie_Questions!$N42/$I42)&amp;"&lt;/setvar&gt;&lt;/respcondition&gt;","      &lt;respcondition continue=""Yes""&gt;&lt;conditionvar&gt;&lt;not&gt;&lt;varequal respident=""RESPONSE""&gt;2&lt;/varequal&gt;&lt;/not&gt;&lt;/conditionvar&gt;&lt;setvar action=""Add""&gt;"&amp;(Saisie_Questions!$N42/$I42)&amp;"&lt;/setvar&gt;&lt;/respcondition&gt;"))),"")</f>
        <v/>
      </c>
      <c r="AM42" s="2" t="str">
        <f>IF($B42,IF(O42="","",IF($C42="qcu",IF(W42,"      &lt;respcondition continue=""Yes""&gt;&lt;conditionvar&gt;&lt;varequal respident=""RESPONSE""&gt;3&lt;/varequal&gt;&lt;/conditionvar&gt;&lt;setvar action=""Add""&gt;"&amp;$H42&amp;"&lt;/setvar&gt;&lt;/respcondition&gt;",""),IF(W42,"      &lt;respcondition continue=""Yes""&gt;&lt;conditionvar&gt;&lt;varequal respident=""RESPONSE""&gt;3&lt;/varequal&gt;&lt;/conditionvar&gt;&lt;setvar action=""Add""&gt;"&amp;(Saisie_Questions!$N42/$I42)&amp;"&lt;/setvar&gt;&lt;/respcondition&gt;","      &lt;respcondition continue=""Yes""&gt;&lt;conditionvar&gt;&lt;not&gt;&lt;varequal respident=""RESPONSE""&gt;3&lt;/varequal&gt;&lt;/not&gt;&lt;/conditionvar&gt;&lt;setvar action=""Add""&gt;"&amp;(Saisie_Questions!$N42/$I42)&amp;"&lt;/setvar&gt;&lt;/respcondition&gt;"))),"")</f>
        <v/>
      </c>
      <c r="AN42" s="2" t="str">
        <f>IF($B42,IF(P42="","",IF($C42="qcu",IF(X42,"      &lt;respcondition continue=""Yes""&gt;&lt;conditionvar&gt;&lt;varequal respident=""RESPONSE""&gt;4&lt;/varequal&gt;&lt;/conditionvar&gt;&lt;setvar action=""Add""&gt;"&amp;$H42&amp;"&lt;/setvar&gt;&lt;/respcondition&gt;",""),IF(X42,"      &lt;respcondition continue=""Yes""&gt;&lt;conditionvar&gt;&lt;varequal respident=""RESPONSE""&gt;4&lt;/varequal&gt;&lt;/conditionvar&gt;&lt;setvar action=""Add""&gt;"&amp;(Saisie_Questions!$N42/$I42)&amp;"&lt;/setvar&gt;&lt;/respcondition&gt;","      &lt;respcondition continue=""Yes""&gt;&lt;conditionvar&gt;&lt;not&gt;&lt;varequal respident=""RESPONSE""&gt;4&lt;/varequal&gt;&lt;/not&gt;&lt;/conditionvar&gt;&lt;setvar action=""Add""&gt;"&amp;(Saisie_Questions!$N42/$I42)&amp;"&lt;/setvar&gt;&lt;/respcondition&gt;"))),"")</f>
        <v/>
      </c>
      <c r="AO42" s="2" t="str">
        <f>IF($B42,IF(Q42="","",IF($C42="qcu",IF(Y42,"      &lt;respcondition continue=""Yes""&gt;&lt;conditionvar&gt;&lt;varequal respident=""RESPONSE""&gt;5&lt;/varequal&gt;&lt;/conditionvar&gt;&lt;setvar action=""Add""&gt;"&amp;$H42&amp;"&lt;/setvar&gt;&lt;/respcondition&gt;",""),IF(Y42,"      &lt;respcondition continue=""Yes""&gt;&lt;conditionvar&gt;&lt;varequal respident=""RESPONSE""&gt;5&lt;/varequal&gt;&lt;/conditionvar&gt;&lt;setvar action=""Add""&gt;"&amp;(Saisie_Questions!$N42/$I42)&amp;"&lt;/setvar&gt;&lt;/respcondition&gt;","      &lt;respcondition continue=""Yes""&gt;&lt;conditionvar&gt;&lt;not&gt;&lt;varequal respident=""RESPONSE""&gt;5&lt;/varequal&gt;&lt;/not&gt;&lt;/conditionvar&gt;&lt;setvar action=""Add""&gt;"&amp;(Saisie_Questions!$N42/$I42)&amp;"&lt;/setvar&gt;&lt;/respcondition&gt;"))),"")</f>
        <v/>
      </c>
      <c r="AP42" s="2" t="str">
        <f>IF($B42,IF(R42="","",IF($C42="qcu",IF(Z42,"      &lt;respcondition continue=""Yes""&gt;&lt;conditionvar&gt;&lt;varequal respident=""RESPONSE""&gt;6&lt;/varequal&gt;&lt;/conditionvar&gt;&lt;setvar action=""Add""&gt;"&amp;$H42&amp;"&lt;/setvar&gt;&lt;/respcondition&gt;",""),IF(Z42,"      &lt;respcondition continue=""Yes""&gt;&lt;conditionvar&gt;&lt;varequal respident=""RESPONSE""&gt;6&lt;/varequal&gt;&lt;/conditionvar&gt;&lt;setvar action=""Add""&gt;"&amp;(Saisie_Questions!$N42/$I42)&amp;"&lt;/setvar&gt;&lt;/respcondition&gt;","      &lt;respcondition continue=""Yes""&gt;&lt;conditionvar&gt;&lt;not&gt;&lt;varequal respident=""RESPONSE""&gt;6&lt;/varequal&gt;&lt;/not&gt;&lt;/conditionvar&gt;&lt;setvar action=""Add""&gt;"&amp;(Saisie_Questions!$N42/$I42)&amp;"&lt;/setvar&gt;&lt;/respcondition&gt;"))),"")</f>
        <v/>
      </c>
      <c r="AQ42" s="2" t="str">
        <f>IF($B42,IF(S42="","",IF($C42="qcu",IF(AA42,"      &lt;respcondition continue=""Yes""&gt;&lt;conditionvar&gt;&lt;varequal respident=""RESPONSE""&gt;7&lt;/varequal&gt;&lt;/conditionvar&gt;&lt;setvar action=""Add""&gt;"&amp;$H42&amp;"&lt;/setvar&gt;&lt;/respcondition&gt;",""),IF(AA42,"      &lt;respcondition continue=""Yes""&gt;&lt;conditionvar&gt;&lt;varequal respident=""RESPONSE""&gt;7&lt;/varequal&gt;&lt;/conditionvar&gt;&lt;setvar action=""Add""&gt;"&amp;(Saisie_Questions!$N42/$I42)&amp;"&lt;/setvar&gt;&lt;/respcondition&gt;","      &lt;respcondition continue=""Yes""&gt;&lt;conditionvar&gt;&lt;not&gt;&lt;varequal respident=""RESPONSE""&gt;7&lt;/varequal&gt;&lt;/not&gt;&lt;/conditionvar&gt;&lt;setvar action=""Add""&gt;"&amp;(Saisie_Questions!$N42/$I42)&amp;"&lt;/setvar&gt;&lt;/respcondition&gt;"))),"")</f>
        <v/>
      </c>
    </row>
    <row r="43" spans="1:43" ht="18" customHeight="1">
      <c r="A43" s="2" t="str">
        <f>Saisie_Questions!A43</f>
        <v/>
      </c>
      <c r="B43" s="2" t="b">
        <f>Saisie_Questions!O43="OK"</f>
        <v>0</v>
      </c>
      <c r="C43" s="2" t="str">
        <f>LOWER(TRIM(Saisie_Questions!B43))</f>
        <v/>
      </c>
      <c r="D43" s="2" t="str">
        <f t="shared" si="18"/>
        <v>MULTIPLE CHOICE QUESTION</v>
      </c>
      <c r="E43" s="2" t="str">
        <f t="shared" si="19"/>
        <v>Multiple</v>
      </c>
      <c r="F43" s="2" t="str">
        <f>IF(A43="","",SUBSTITUTE(SUBSTITUTE(SUBSTITUTE(SUBSTITUTE(SUBSTITUTE(IF(Saisie_Questions!C43="", "Question "&amp;A43, Saisie_Questions!C43),"&amp;","&amp;amp;"),"&lt;","&amp;lt;"),"&gt;","&amp;gt;"),CHAR(34),"&amp;quot;"),"'","&amp;apos;"))</f>
        <v/>
      </c>
      <c r="G43" s="2" t="str">
        <f>IF(A43="","",SUBSTITUTE(SUBSTITUTE(SUBSTITUTE(SUBSTITUTE(SUBSTITUTE(Saisie_Questions!D43,"&amp;","&amp;amp;"),"&lt;","&amp;lt;"),"&gt;","&amp;gt;"),CHAR(34),"&amp;quot;"),"'","&amp;apos;"))</f>
        <v/>
      </c>
      <c r="H43" s="2">
        <f>Saisie_Questions!N43</f>
        <v>0</v>
      </c>
      <c r="I43" s="2">
        <f>IF(Saisie_Questions!E43="",0,1)+IF(Saisie_Questions!F43="",0,1)+IF(Saisie_Questions!G43="",0,1)+IF(Saisie_Questions!H43="",0,1)+IF(Saisie_Questions!I43="",0,1)+IF(Saisie_Questions!J43="",0,1)+IF(Saisie_Questions!K43="",0,1)+IF(Saisie_Questions!L43="",0,1)</f>
        <v>0</v>
      </c>
      <c r="J43" s="2">
        <f>Saisie_Questions!M43</f>
        <v>0</v>
      </c>
      <c r="K43" s="2" t="str">
        <f>Saisie_Questions!O43</f>
        <v/>
      </c>
      <c r="L43" s="2" t="str">
        <f>IF(Saisie_Questions!E43="","",SUBSTITUTE(SUBSTITUTE(SUBSTITUTE(SUBSTITUTE(SUBSTITUTE(Saisie_Questions!E43,"&amp;","&amp;amp;"),"&lt;","&amp;lt;"),"&gt;","&amp;gt;"),CHAR(34),"&amp;quot;"),"'","&amp;apos;"))</f>
        <v/>
      </c>
      <c r="M43" s="2" t="str">
        <f>IF(Saisie_Questions!F43="","",SUBSTITUTE(SUBSTITUTE(SUBSTITUTE(SUBSTITUTE(SUBSTITUTE(Saisie_Questions!F43,"&amp;","&amp;amp;"),"&lt;","&amp;lt;"),"&gt;","&amp;gt;"),CHAR(34),"&amp;quot;"),"'","&amp;apos;"))</f>
        <v/>
      </c>
      <c r="N43" s="2" t="str">
        <f>IF(Saisie_Questions!G43="","",SUBSTITUTE(SUBSTITUTE(SUBSTITUTE(SUBSTITUTE(SUBSTITUTE(Saisie_Questions!G43,"&amp;","&amp;amp;"),"&lt;","&amp;lt;"),"&gt;","&amp;gt;"),CHAR(34),"&amp;quot;"),"'","&amp;apos;"))</f>
        <v/>
      </c>
      <c r="O43" s="2" t="str">
        <f>IF(Saisie_Questions!H43="","",SUBSTITUTE(SUBSTITUTE(SUBSTITUTE(SUBSTITUTE(SUBSTITUTE(Saisie_Questions!H43,"&amp;","&amp;amp;"),"&lt;","&amp;lt;"),"&gt;","&amp;gt;"),CHAR(34),"&amp;quot;"),"'","&amp;apos;"))</f>
        <v/>
      </c>
      <c r="P43" s="2" t="str">
        <f>IF(Saisie_Questions!I43="","",SUBSTITUTE(SUBSTITUTE(SUBSTITUTE(SUBSTITUTE(SUBSTITUTE(Saisie_Questions!I43,"&amp;","&amp;amp;"),"&lt;","&amp;lt;"),"&gt;","&amp;gt;"),CHAR(34),"&amp;quot;"),"'","&amp;apos;"))</f>
        <v/>
      </c>
      <c r="Q43" s="2" t="str">
        <f>IF(Saisie_Questions!J43="","",SUBSTITUTE(SUBSTITUTE(SUBSTITUTE(SUBSTITUTE(SUBSTITUTE(Saisie_Questions!J43,"&amp;","&amp;amp;"),"&lt;","&amp;lt;"),"&gt;","&amp;gt;"),CHAR(34),"&amp;quot;"),"'","&amp;apos;"))</f>
        <v/>
      </c>
      <c r="R43" s="2" t="str">
        <f>IF(Saisie_Questions!K43="","",SUBSTITUTE(SUBSTITUTE(SUBSTITUTE(SUBSTITUTE(SUBSTITUTE(Saisie_Questions!K43,"&amp;","&amp;amp;"),"&lt;","&amp;lt;"),"&gt;","&amp;gt;"),CHAR(34),"&amp;quot;"),"'","&amp;apos;"))</f>
        <v/>
      </c>
      <c r="S43" s="2" t="str">
        <f>IF(Saisie_Questions!L43="","",SUBSTITUTE(SUBSTITUTE(SUBSTITUTE(SUBSTITUTE(SUBSTITUTE(Saisie_Questions!L43,"&amp;","&amp;amp;"),"&lt;","&amp;lt;"),"&gt;","&amp;gt;"),CHAR(34),"&amp;quot;"),"'","&amp;apos;"))</f>
        <v/>
      </c>
      <c r="T43" s="2" t="b">
        <f t="shared" si="20"/>
        <v>0</v>
      </c>
      <c r="U43" s="2" t="b">
        <f t="shared" si="21"/>
        <v>0</v>
      </c>
      <c r="V43" s="2" t="b">
        <f t="shared" si="22"/>
        <v>0</v>
      </c>
      <c r="W43" s="2" t="b">
        <f t="shared" si="23"/>
        <v>0</v>
      </c>
      <c r="X43" s="2" t="b">
        <f t="shared" si="24"/>
        <v>0</v>
      </c>
      <c r="Y43" s="2" t="b">
        <f t="shared" si="25"/>
        <v>0</v>
      </c>
      <c r="Z43" s="2" t="b">
        <f t="shared" si="26"/>
        <v>0</v>
      </c>
      <c r="AA43" s="2" t="b">
        <f t="shared" si="27"/>
        <v>0</v>
      </c>
      <c r="AB43" s="2" t="str">
        <f t="shared" si="28"/>
        <v/>
      </c>
      <c r="AC43" s="2" t="str">
        <f t="shared" si="29"/>
        <v/>
      </c>
      <c r="AD43" s="2" t="str">
        <f t="shared" si="30"/>
        <v/>
      </c>
      <c r="AE43" s="2" t="str">
        <f t="shared" si="31"/>
        <v/>
      </c>
      <c r="AF43" s="2" t="str">
        <f t="shared" si="32"/>
        <v/>
      </c>
      <c r="AG43" s="2" t="str">
        <f t="shared" si="33"/>
        <v/>
      </c>
      <c r="AH43" s="2" t="str">
        <f t="shared" si="34"/>
        <v/>
      </c>
      <c r="AI43" s="2" t="str">
        <f t="shared" si="35"/>
        <v/>
      </c>
      <c r="AJ43" s="2" t="str">
        <f>IF($B43,IF(L43="","",IF($C43="qcu",IF(T43,"      &lt;respcondition continue=""Yes""&gt;&lt;conditionvar&gt;&lt;varequal respident=""RESPONSE""&gt;0&lt;/varequal&gt;&lt;/conditionvar&gt;&lt;setvar action=""Add""&gt;"&amp;$H43&amp;"&lt;/setvar&gt;&lt;/respcondition&gt;",""),IF(T43,"      &lt;respcondition continue=""Yes""&gt;&lt;conditionvar&gt;&lt;varequal respident=""RESPONSE""&gt;0&lt;/varequal&gt;&lt;/conditionvar&gt;&lt;setvar action=""Add""&gt;"&amp;(Saisie_Questions!$N43/$I43)&amp;"&lt;/setvar&gt;&lt;/respcondition&gt;","      &lt;respcondition continue=""Yes""&gt;&lt;conditionvar&gt;&lt;not&gt;&lt;varequal respident=""RESPONSE""&gt;0&lt;/varequal&gt;&lt;/not&gt;&lt;/conditionvar&gt;&lt;setvar action=""Add""&gt;"&amp;(Saisie_Questions!$N43/$I43)&amp;"&lt;/setvar&gt;&lt;/respcondition&gt;"))),"")</f>
        <v/>
      </c>
      <c r="AK43" s="2" t="str">
        <f>IF($B43,IF(M43="","",IF($C43="qcu",IF(U43,"      &lt;respcondition continue=""Yes""&gt;&lt;conditionvar&gt;&lt;varequal respident=""RESPONSE""&gt;1&lt;/varequal&gt;&lt;/conditionvar&gt;&lt;setvar action=""Add""&gt;"&amp;$H43&amp;"&lt;/setvar&gt;&lt;/respcondition&gt;",""),IF(U43,"      &lt;respcondition continue=""Yes""&gt;&lt;conditionvar&gt;&lt;varequal respident=""RESPONSE""&gt;1&lt;/varequal&gt;&lt;/conditionvar&gt;&lt;setvar action=""Add""&gt;"&amp;(Saisie_Questions!$N43/$I43)&amp;"&lt;/setvar&gt;&lt;/respcondition&gt;","      &lt;respcondition continue=""Yes""&gt;&lt;conditionvar&gt;&lt;not&gt;&lt;varequal respident=""RESPONSE""&gt;1&lt;/varequal&gt;&lt;/not&gt;&lt;/conditionvar&gt;&lt;setvar action=""Add""&gt;"&amp;(Saisie_Questions!$N43/$I43)&amp;"&lt;/setvar&gt;&lt;/respcondition&gt;"))),"")</f>
        <v/>
      </c>
      <c r="AL43" s="2" t="str">
        <f>IF($B43,IF(N43="","",IF($C43="qcu",IF(V43,"      &lt;respcondition continue=""Yes""&gt;&lt;conditionvar&gt;&lt;varequal respident=""RESPONSE""&gt;2&lt;/varequal&gt;&lt;/conditionvar&gt;&lt;setvar action=""Add""&gt;"&amp;$H43&amp;"&lt;/setvar&gt;&lt;/respcondition&gt;",""),IF(V43,"      &lt;respcondition continue=""Yes""&gt;&lt;conditionvar&gt;&lt;varequal respident=""RESPONSE""&gt;2&lt;/varequal&gt;&lt;/conditionvar&gt;&lt;setvar action=""Add""&gt;"&amp;(Saisie_Questions!$N43/$I43)&amp;"&lt;/setvar&gt;&lt;/respcondition&gt;","      &lt;respcondition continue=""Yes""&gt;&lt;conditionvar&gt;&lt;not&gt;&lt;varequal respident=""RESPONSE""&gt;2&lt;/varequal&gt;&lt;/not&gt;&lt;/conditionvar&gt;&lt;setvar action=""Add""&gt;"&amp;(Saisie_Questions!$N43/$I43)&amp;"&lt;/setvar&gt;&lt;/respcondition&gt;"))),"")</f>
        <v/>
      </c>
      <c r="AM43" s="2" t="str">
        <f>IF($B43,IF(O43="","",IF($C43="qcu",IF(W43,"      &lt;respcondition continue=""Yes""&gt;&lt;conditionvar&gt;&lt;varequal respident=""RESPONSE""&gt;3&lt;/varequal&gt;&lt;/conditionvar&gt;&lt;setvar action=""Add""&gt;"&amp;$H43&amp;"&lt;/setvar&gt;&lt;/respcondition&gt;",""),IF(W43,"      &lt;respcondition continue=""Yes""&gt;&lt;conditionvar&gt;&lt;varequal respident=""RESPONSE""&gt;3&lt;/varequal&gt;&lt;/conditionvar&gt;&lt;setvar action=""Add""&gt;"&amp;(Saisie_Questions!$N43/$I43)&amp;"&lt;/setvar&gt;&lt;/respcondition&gt;","      &lt;respcondition continue=""Yes""&gt;&lt;conditionvar&gt;&lt;not&gt;&lt;varequal respident=""RESPONSE""&gt;3&lt;/varequal&gt;&lt;/not&gt;&lt;/conditionvar&gt;&lt;setvar action=""Add""&gt;"&amp;(Saisie_Questions!$N43/$I43)&amp;"&lt;/setvar&gt;&lt;/respcondition&gt;"))),"")</f>
        <v/>
      </c>
      <c r="AN43" s="2" t="str">
        <f>IF($B43,IF(P43="","",IF($C43="qcu",IF(X43,"      &lt;respcondition continue=""Yes""&gt;&lt;conditionvar&gt;&lt;varequal respident=""RESPONSE""&gt;4&lt;/varequal&gt;&lt;/conditionvar&gt;&lt;setvar action=""Add""&gt;"&amp;$H43&amp;"&lt;/setvar&gt;&lt;/respcondition&gt;",""),IF(X43,"      &lt;respcondition continue=""Yes""&gt;&lt;conditionvar&gt;&lt;varequal respident=""RESPONSE""&gt;4&lt;/varequal&gt;&lt;/conditionvar&gt;&lt;setvar action=""Add""&gt;"&amp;(Saisie_Questions!$N43/$I43)&amp;"&lt;/setvar&gt;&lt;/respcondition&gt;","      &lt;respcondition continue=""Yes""&gt;&lt;conditionvar&gt;&lt;not&gt;&lt;varequal respident=""RESPONSE""&gt;4&lt;/varequal&gt;&lt;/not&gt;&lt;/conditionvar&gt;&lt;setvar action=""Add""&gt;"&amp;(Saisie_Questions!$N43/$I43)&amp;"&lt;/setvar&gt;&lt;/respcondition&gt;"))),"")</f>
        <v/>
      </c>
      <c r="AO43" s="2" t="str">
        <f>IF($B43,IF(Q43="","",IF($C43="qcu",IF(Y43,"      &lt;respcondition continue=""Yes""&gt;&lt;conditionvar&gt;&lt;varequal respident=""RESPONSE""&gt;5&lt;/varequal&gt;&lt;/conditionvar&gt;&lt;setvar action=""Add""&gt;"&amp;$H43&amp;"&lt;/setvar&gt;&lt;/respcondition&gt;",""),IF(Y43,"      &lt;respcondition continue=""Yes""&gt;&lt;conditionvar&gt;&lt;varequal respident=""RESPONSE""&gt;5&lt;/varequal&gt;&lt;/conditionvar&gt;&lt;setvar action=""Add""&gt;"&amp;(Saisie_Questions!$N43/$I43)&amp;"&lt;/setvar&gt;&lt;/respcondition&gt;","      &lt;respcondition continue=""Yes""&gt;&lt;conditionvar&gt;&lt;not&gt;&lt;varequal respident=""RESPONSE""&gt;5&lt;/varequal&gt;&lt;/not&gt;&lt;/conditionvar&gt;&lt;setvar action=""Add""&gt;"&amp;(Saisie_Questions!$N43/$I43)&amp;"&lt;/setvar&gt;&lt;/respcondition&gt;"))),"")</f>
        <v/>
      </c>
      <c r="AP43" s="2" t="str">
        <f>IF($B43,IF(R43="","",IF($C43="qcu",IF(Z43,"      &lt;respcondition continue=""Yes""&gt;&lt;conditionvar&gt;&lt;varequal respident=""RESPONSE""&gt;6&lt;/varequal&gt;&lt;/conditionvar&gt;&lt;setvar action=""Add""&gt;"&amp;$H43&amp;"&lt;/setvar&gt;&lt;/respcondition&gt;",""),IF(Z43,"      &lt;respcondition continue=""Yes""&gt;&lt;conditionvar&gt;&lt;varequal respident=""RESPONSE""&gt;6&lt;/varequal&gt;&lt;/conditionvar&gt;&lt;setvar action=""Add""&gt;"&amp;(Saisie_Questions!$N43/$I43)&amp;"&lt;/setvar&gt;&lt;/respcondition&gt;","      &lt;respcondition continue=""Yes""&gt;&lt;conditionvar&gt;&lt;not&gt;&lt;varequal respident=""RESPONSE""&gt;6&lt;/varequal&gt;&lt;/not&gt;&lt;/conditionvar&gt;&lt;setvar action=""Add""&gt;"&amp;(Saisie_Questions!$N43/$I43)&amp;"&lt;/setvar&gt;&lt;/respcondition&gt;"))),"")</f>
        <v/>
      </c>
      <c r="AQ43" s="2" t="str">
        <f>IF($B43,IF(S43="","",IF($C43="qcu",IF(AA43,"      &lt;respcondition continue=""Yes""&gt;&lt;conditionvar&gt;&lt;varequal respident=""RESPONSE""&gt;7&lt;/varequal&gt;&lt;/conditionvar&gt;&lt;setvar action=""Add""&gt;"&amp;$H43&amp;"&lt;/setvar&gt;&lt;/respcondition&gt;",""),IF(AA43,"      &lt;respcondition continue=""Yes""&gt;&lt;conditionvar&gt;&lt;varequal respident=""RESPONSE""&gt;7&lt;/varequal&gt;&lt;/conditionvar&gt;&lt;setvar action=""Add""&gt;"&amp;(Saisie_Questions!$N43/$I43)&amp;"&lt;/setvar&gt;&lt;/respcondition&gt;","      &lt;respcondition continue=""Yes""&gt;&lt;conditionvar&gt;&lt;not&gt;&lt;varequal respident=""RESPONSE""&gt;7&lt;/varequal&gt;&lt;/not&gt;&lt;/conditionvar&gt;&lt;setvar action=""Add""&gt;"&amp;(Saisie_Questions!$N43/$I43)&amp;"&lt;/setvar&gt;&lt;/respcondition&gt;"))),"")</f>
        <v/>
      </c>
    </row>
    <row r="44" spans="1:43" ht="18" customHeight="1">
      <c r="A44" s="2" t="str">
        <f>Saisie_Questions!A44</f>
        <v/>
      </c>
      <c r="B44" s="2" t="b">
        <f>Saisie_Questions!O44="OK"</f>
        <v>0</v>
      </c>
      <c r="C44" s="2" t="str">
        <f>LOWER(TRIM(Saisie_Questions!B44))</f>
        <v/>
      </c>
      <c r="D44" s="2" t="str">
        <f t="shared" si="18"/>
        <v>MULTIPLE CHOICE QUESTION</v>
      </c>
      <c r="E44" s="2" t="str">
        <f t="shared" si="19"/>
        <v>Multiple</v>
      </c>
      <c r="F44" s="2" t="str">
        <f>IF(A44="","",SUBSTITUTE(SUBSTITUTE(SUBSTITUTE(SUBSTITUTE(SUBSTITUTE(IF(Saisie_Questions!C44="", "Question "&amp;A44, Saisie_Questions!C44),"&amp;","&amp;amp;"),"&lt;","&amp;lt;"),"&gt;","&amp;gt;"),CHAR(34),"&amp;quot;"),"'","&amp;apos;"))</f>
        <v/>
      </c>
      <c r="G44" s="2" t="str">
        <f>IF(A44="","",SUBSTITUTE(SUBSTITUTE(SUBSTITUTE(SUBSTITUTE(SUBSTITUTE(Saisie_Questions!D44,"&amp;","&amp;amp;"),"&lt;","&amp;lt;"),"&gt;","&amp;gt;"),CHAR(34),"&amp;quot;"),"'","&amp;apos;"))</f>
        <v/>
      </c>
      <c r="H44" s="2">
        <f>Saisie_Questions!N44</f>
        <v>0</v>
      </c>
      <c r="I44" s="2">
        <f>IF(Saisie_Questions!E44="",0,1)+IF(Saisie_Questions!F44="",0,1)+IF(Saisie_Questions!G44="",0,1)+IF(Saisie_Questions!H44="",0,1)+IF(Saisie_Questions!I44="",0,1)+IF(Saisie_Questions!J44="",0,1)+IF(Saisie_Questions!K44="",0,1)+IF(Saisie_Questions!L44="",0,1)</f>
        <v>0</v>
      </c>
      <c r="J44" s="2">
        <f>Saisie_Questions!M44</f>
        <v>0</v>
      </c>
      <c r="K44" s="2" t="str">
        <f>Saisie_Questions!O44</f>
        <v/>
      </c>
      <c r="L44" s="2" t="str">
        <f>IF(Saisie_Questions!E44="","",SUBSTITUTE(SUBSTITUTE(SUBSTITUTE(SUBSTITUTE(SUBSTITUTE(Saisie_Questions!E44,"&amp;","&amp;amp;"),"&lt;","&amp;lt;"),"&gt;","&amp;gt;"),CHAR(34),"&amp;quot;"),"'","&amp;apos;"))</f>
        <v/>
      </c>
      <c r="M44" s="2" t="str">
        <f>IF(Saisie_Questions!F44="","",SUBSTITUTE(SUBSTITUTE(SUBSTITUTE(SUBSTITUTE(SUBSTITUTE(Saisie_Questions!F44,"&amp;","&amp;amp;"),"&lt;","&amp;lt;"),"&gt;","&amp;gt;"),CHAR(34),"&amp;quot;"),"'","&amp;apos;"))</f>
        <v/>
      </c>
      <c r="N44" s="2" t="str">
        <f>IF(Saisie_Questions!G44="","",SUBSTITUTE(SUBSTITUTE(SUBSTITUTE(SUBSTITUTE(SUBSTITUTE(Saisie_Questions!G44,"&amp;","&amp;amp;"),"&lt;","&amp;lt;"),"&gt;","&amp;gt;"),CHAR(34),"&amp;quot;"),"'","&amp;apos;"))</f>
        <v/>
      </c>
      <c r="O44" s="2" t="str">
        <f>IF(Saisie_Questions!H44="","",SUBSTITUTE(SUBSTITUTE(SUBSTITUTE(SUBSTITUTE(SUBSTITUTE(Saisie_Questions!H44,"&amp;","&amp;amp;"),"&lt;","&amp;lt;"),"&gt;","&amp;gt;"),CHAR(34),"&amp;quot;"),"'","&amp;apos;"))</f>
        <v/>
      </c>
      <c r="P44" s="2" t="str">
        <f>IF(Saisie_Questions!I44="","",SUBSTITUTE(SUBSTITUTE(SUBSTITUTE(SUBSTITUTE(SUBSTITUTE(Saisie_Questions!I44,"&amp;","&amp;amp;"),"&lt;","&amp;lt;"),"&gt;","&amp;gt;"),CHAR(34),"&amp;quot;"),"'","&amp;apos;"))</f>
        <v/>
      </c>
      <c r="Q44" s="2" t="str">
        <f>IF(Saisie_Questions!J44="","",SUBSTITUTE(SUBSTITUTE(SUBSTITUTE(SUBSTITUTE(SUBSTITUTE(Saisie_Questions!J44,"&amp;","&amp;amp;"),"&lt;","&amp;lt;"),"&gt;","&amp;gt;"),CHAR(34),"&amp;quot;"),"'","&amp;apos;"))</f>
        <v/>
      </c>
      <c r="R44" s="2" t="str">
        <f>IF(Saisie_Questions!K44="","",SUBSTITUTE(SUBSTITUTE(SUBSTITUTE(SUBSTITUTE(SUBSTITUTE(Saisie_Questions!K44,"&amp;","&amp;amp;"),"&lt;","&amp;lt;"),"&gt;","&amp;gt;"),CHAR(34),"&amp;quot;"),"'","&amp;apos;"))</f>
        <v/>
      </c>
      <c r="S44" s="2" t="str">
        <f>IF(Saisie_Questions!L44="","",SUBSTITUTE(SUBSTITUTE(SUBSTITUTE(SUBSTITUTE(SUBSTITUTE(Saisie_Questions!L44,"&amp;","&amp;amp;"),"&lt;","&amp;lt;"),"&gt;","&amp;gt;"),CHAR(34),"&amp;quot;"),"'","&amp;apos;"))</f>
        <v/>
      </c>
      <c r="T44" s="2" t="b">
        <f t="shared" si="20"/>
        <v>0</v>
      </c>
      <c r="U44" s="2" t="b">
        <f t="shared" si="21"/>
        <v>0</v>
      </c>
      <c r="V44" s="2" t="b">
        <f t="shared" si="22"/>
        <v>0</v>
      </c>
      <c r="W44" s="2" t="b">
        <f t="shared" si="23"/>
        <v>0</v>
      </c>
      <c r="X44" s="2" t="b">
        <f t="shared" si="24"/>
        <v>0</v>
      </c>
      <c r="Y44" s="2" t="b">
        <f t="shared" si="25"/>
        <v>0</v>
      </c>
      <c r="Z44" s="2" t="b">
        <f t="shared" si="26"/>
        <v>0</v>
      </c>
      <c r="AA44" s="2" t="b">
        <f t="shared" si="27"/>
        <v>0</v>
      </c>
      <c r="AB44" s="2" t="str">
        <f t="shared" si="28"/>
        <v/>
      </c>
      <c r="AC44" s="2" t="str">
        <f t="shared" si="29"/>
        <v/>
      </c>
      <c r="AD44" s="2" t="str">
        <f t="shared" si="30"/>
        <v/>
      </c>
      <c r="AE44" s="2" t="str">
        <f t="shared" si="31"/>
        <v/>
      </c>
      <c r="AF44" s="2" t="str">
        <f t="shared" si="32"/>
        <v/>
      </c>
      <c r="AG44" s="2" t="str">
        <f t="shared" si="33"/>
        <v/>
      </c>
      <c r="AH44" s="2" t="str">
        <f t="shared" si="34"/>
        <v/>
      </c>
      <c r="AI44" s="2" t="str">
        <f t="shared" si="35"/>
        <v/>
      </c>
      <c r="AJ44" s="2" t="str">
        <f>IF($B44,IF(L44="","",IF($C44="qcu",IF(T44,"      &lt;respcondition continue=""Yes""&gt;&lt;conditionvar&gt;&lt;varequal respident=""RESPONSE""&gt;0&lt;/varequal&gt;&lt;/conditionvar&gt;&lt;setvar action=""Add""&gt;"&amp;$H44&amp;"&lt;/setvar&gt;&lt;/respcondition&gt;",""),IF(T44,"      &lt;respcondition continue=""Yes""&gt;&lt;conditionvar&gt;&lt;varequal respident=""RESPONSE""&gt;0&lt;/varequal&gt;&lt;/conditionvar&gt;&lt;setvar action=""Add""&gt;"&amp;(Saisie_Questions!$N44/$I44)&amp;"&lt;/setvar&gt;&lt;/respcondition&gt;","      &lt;respcondition continue=""Yes""&gt;&lt;conditionvar&gt;&lt;not&gt;&lt;varequal respident=""RESPONSE""&gt;0&lt;/varequal&gt;&lt;/not&gt;&lt;/conditionvar&gt;&lt;setvar action=""Add""&gt;"&amp;(Saisie_Questions!$N44/$I44)&amp;"&lt;/setvar&gt;&lt;/respcondition&gt;"))),"")</f>
        <v/>
      </c>
      <c r="AK44" s="2" t="str">
        <f>IF($B44,IF(M44="","",IF($C44="qcu",IF(U44,"      &lt;respcondition continue=""Yes""&gt;&lt;conditionvar&gt;&lt;varequal respident=""RESPONSE""&gt;1&lt;/varequal&gt;&lt;/conditionvar&gt;&lt;setvar action=""Add""&gt;"&amp;$H44&amp;"&lt;/setvar&gt;&lt;/respcondition&gt;",""),IF(U44,"      &lt;respcondition continue=""Yes""&gt;&lt;conditionvar&gt;&lt;varequal respident=""RESPONSE""&gt;1&lt;/varequal&gt;&lt;/conditionvar&gt;&lt;setvar action=""Add""&gt;"&amp;(Saisie_Questions!$N44/$I44)&amp;"&lt;/setvar&gt;&lt;/respcondition&gt;","      &lt;respcondition continue=""Yes""&gt;&lt;conditionvar&gt;&lt;not&gt;&lt;varequal respident=""RESPONSE""&gt;1&lt;/varequal&gt;&lt;/not&gt;&lt;/conditionvar&gt;&lt;setvar action=""Add""&gt;"&amp;(Saisie_Questions!$N44/$I44)&amp;"&lt;/setvar&gt;&lt;/respcondition&gt;"))),"")</f>
        <v/>
      </c>
      <c r="AL44" s="2" t="str">
        <f>IF($B44,IF(N44="","",IF($C44="qcu",IF(V44,"      &lt;respcondition continue=""Yes""&gt;&lt;conditionvar&gt;&lt;varequal respident=""RESPONSE""&gt;2&lt;/varequal&gt;&lt;/conditionvar&gt;&lt;setvar action=""Add""&gt;"&amp;$H44&amp;"&lt;/setvar&gt;&lt;/respcondition&gt;",""),IF(V44,"      &lt;respcondition continue=""Yes""&gt;&lt;conditionvar&gt;&lt;varequal respident=""RESPONSE""&gt;2&lt;/varequal&gt;&lt;/conditionvar&gt;&lt;setvar action=""Add""&gt;"&amp;(Saisie_Questions!$N44/$I44)&amp;"&lt;/setvar&gt;&lt;/respcondition&gt;","      &lt;respcondition continue=""Yes""&gt;&lt;conditionvar&gt;&lt;not&gt;&lt;varequal respident=""RESPONSE""&gt;2&lt;/varequal&gt;&lt;/not&gt;&lt;/conditionvar&gt;&lt;setvar action=""Add""&gt;"&amp;(Saisie_Questions!$N44/$I44)&amp;"&lt;/setvar&gt;&lt;/respcondition&gt;"))),"")</f>
        <v/>
      </c>
      <c r="AM44" s="2" t="str">
        <f>IF($B44,IF(O44="","",IF($C44="qcu",IF(W44,"      &lt;respcondition continue=""Yes""&gt;&lt;conditionvar&gt;&lt;varequal respident=""RESPONSE""&gt;3&lt;/varequal&gt;&lt;/conditionvar&gt;&lt;setvar action=""Add""&gt;"&amp;$H44&amp;"&lt;/setvar&gt;&lt;/respcondition&gt;",""),IF(W44,"      &lt;respcondition continue=""Yes""&gt;&lt;conditionvar&gt;&lt;varequal respident=""RESPONSE""&gt;3&lt;/varequal&gt;&lt;/conditionvar&gt;&lt;setvar action=""Add""&gt;"&amp;(Saisie_Questions!$N44/$I44)&amp;"&lt;/setvar&gt;&lt;/respcondition&gt;","      &lt;respcondition continue=""Yes""&gt;&lt;conditionvar&gt;&lt;not&gt;&lt;varequal respident=""RESPONSE""&gt;3&lt;/varequal&gt;&lt;/not&gt;&lt;/conditionvar&gt;&lt;setvar action=""Add""&gt;"&amp;(Saisie_Questions!$N44/$I44)&amp;"&lt;/setvar&gt;&lt;/respcondition&gt;"))),"")</f>
        <v/>
      </c>
      <c r="AN44" s="2" t="str">
        <f>IF($B44,IF(P44="","",IF($C44="qcu",IF(X44,"      &lt;respcondition continue=""Yes""&gt;&lt;conditionvar&gt;&lt;varequal respident=""RESPONSE""&gt;4&lt;/varequal&gt;&lt;/conditionvar&gt;&lt;setvar action=""Add""&gt;"&amp;$H44&amp;"&lt;/setvar&gt;&lt;/respcondition&gt;",""),IF(X44,"      &lt;respcondition continue=""Yes""&gt;&lt;conditionvar&gt;&lt;varequal respident=""RESPONSE""&gt;4&lt;/varequal&gt;&lt;/conditionvar&gt;&lt;setvar action=""Add""&gt;"&amp;(Saisie_Questions!$N44/$I44)&amp;"&lt;/setvar&gt;&lt;/respcondition&gt;","      &lt;respcondition continue=""Yes""&gt;&lt;conditionvar&gt;&lt;not&gt;&lt;varequal respident=""RESPONSE""&gt;4&lt;/varequal&gt;&lt;/not&gt;&lt;/conditionvar&gt;&lt;setvar action=""Add""&gt;"&amp;(Saisie_Questions!$N44/$I44)&amp;"&lt;/setvar&gt;&lt;/respcondition&gt;"))),"")</f>
        <v/>
      </c>
      <c r="AO44" s="2" t="str">
        <f>IF($B44,IF(Q44="","",IF($C44="qcu",IF(Y44,"      &lt;respcondition continue=""Yes""&gt;&lt;conditionvar&gt;&lt;varequal respident=""RESPONSE""&gt;5&lt;/varequal&gt;&lt;/conditionvar&gt;&lt;setvar action=""Add""&gt;"&amp;$H44&amp;"&lt;/setvar&gt;&lt;/respcondition&gt;",""),IF(Y44,"      &lt;respcondition continue=""Yes""&gt;&lt;conditionvar&gt;&lt;varequal respident=""RESPONSE""&gt;5&lt;/varequal&gt;&lt;/conditionvar&gt;&lt;setvar action=""Add""&gt;"&amp;(Saisie_Questions!$N44/$I44)&amp;"&lt;/setvar&gt;&lt;/respcondition&gt;","      &lt;respcondition continue=""Yes""&gt;&lt;conditionvar&gt;&lt;not&gt;&lt;varequal respident=""RESPONSE""&gt;5&lt;/varequal&gt;&lt;/not&gt;&lt;/conditionvar&gt;&lt;setvar action=""Add""&gt;"&amp;(Saisie_Questions!$N44/$I44)&amp;"&lt;/setvar&gt;&lt;/respcondition&gt;"))),"")</f>
        <v/>
      </c>
      <c r="AP44" s="2" t="str">
        <f>IF($B44,IF(R44="","",IF($C44="qcu",IF(Z44,"      &lt;respcondition continue=""Yes""&gt;&lt;conditionvar&gt;&lt;varequal respident=""RESPONSE""&gt;6&lt;/varequal&gt;&lt;/conditionvar&gt;&lt;setvar action=""Add""&gt;"&amp;$H44&amp;"&lt;/setvar&gt;&lt;/respcondition&gt;",""),IF(Z44,"      &lt;respcondition continue=""Yes""&gt;&lt;conditionvar&gt;&lt;varequal respident=""RESPONSE""&gt;6&lt;/varequal&gt;&lt;/conditionvar&gt;&lt;setvar action=""Add""&gt;"&amp;(Saisie_Questions!$N44/$I44)&amp;"&lt;/setvar&gt;&lt;/respcondition&gt;","      &lt;respcondition continue=""Yes""&gt;&lt;conditionvar&gt;&lt;not&gt;&lt;varequal respident=""RESPONSE""&gt;6&lt;/varequal&gt;&lt;/not&gt;&lt;/conditionvar&gt;&lt;setvar action=""Add""&gt;"&amp;(Saisie_Questions!$N44/$I44)&amp;"&lt;/setvar&gt;&lt;/respcondition&gt;"))),"")</f>
        <v/>
      </c>
      <c r="AQ44" s="2" t="str">
        <f>IF($B44,IF(S44="","",IF($C44="qcu",IF(AA44,"      &lt;respcondition continue=""Yes""&gt;&lt;conditionvar&gt;&lt;varequal respident=""RESPONSE""&gt;7&lt;/varequal&gt;&lt;/conditionvar&gt;&lt;setvar action=""Add""&gt;"&amp;$H44&amp;"&lt;/setvar&gt;&lt;/respcondition&gt;",""),IF(AA44,"      &lt;respcondition continue=""Yes""&gt;&lt;conditionvar&gt;&lt;varequal respident=""RESPONSE""&gt;7&lt;/varequal&gt;&lt;/conditionvar&gt;&lt;setvar action=""Add""&gt;"&amp;(Saisie_Questions!$N44/$I44)&amp;"&lt;/setvar&gt;&lt;/respcondition&gt;","      &lt;respcondition continue=""Yes""&gt;&lt;conditionvar&gt;&lt;not&gt;&lt;varequal respident=""RESPONSE""&gt;7&lt;/varequal&gt;&lt;/not&gt;&lt;/conditionvar&gt;&lt;setvar action=""Add""&gt;"&amp;(Saisie_Questions!$N44/$I44)&amp;"&lt;/setvar&gt;&lt;/respcondition&gt;"))),"")</f>
        <v/>
      </c>
    </row>
    <row r="45" spans="1:43" ht="18" customHeight="1">
      <c r="A45" s="2" t="str">
        <f>Saisie_Questions!A45</f>
        <v/>
      </c>
      <c r="B45" s="2" t="b">
        <f>Saisie_Questions!O45="OK"</f>
        <v>0</v>
      </c>
      <c r="C45" s="2" t="str">
        <f>LOWER(TRIM(Saisie_Questions!B45))</f>
        <v/>
      </c>
      <c r="D45" s="2" t="str">
        <f t="shared" si="18"/>
        <v>MULTIPLE CHOICE QUESTION</v>
      </c>
      <c r="E45" s="2" t="str">
        <f t="shared" si="19"/>
        <v>Multiple</v>
      </c>
      <c r="F45" s="2" t="str">
        <f>IF(A45="","",SUBSTITUTE(SUBSTITUTE(SUBSTITUTE(SUBSTITUTE(SUBSTITUTE(IF(Saisie_Questions!C45="", "Question "&amp;A45, Saisie_Questions!C45),"&amp;","&amp;amp;"),"&lt;","&amp;lt;"),"&gt;","&amp;gt;"),CHAR(34),"&amp;quot;"),"'","&amp;apos;"))</f>
        <v/>
      </c>
      <c r="G45" s="2" t="str">
        <f>IF(A45="","",SUBSTITUTE(SUBSTITUTE(SUBSTITUTE(SUBSTITUTE(SUBSTITUTE(Saisie_Questions!D45,"&amp;","&amp;amp;"),"&lt;","&amp;lt;"),"&gt;","&amp;gt;"),CHAR(34),"&amp;quot;"),"'","&amp;apos;"))</f>
        <v/>
      </c>
      <c r="H45" s="2">
        <f>Saisie_Questions!N45</f>
        <v>0</v>
      </c>
      <c r="I45" s="2">
        <f>IF(Saisie_Questions!E45="",0,1)+IF(Saisie_Questions!F45="",0,1)+IF(Saisie_Questions!G45="",0,1)+IF(Saisie_Questions!H45="",0,1)+IF(Saisie_Questions!I45="",0,1)+IF(Saisie_Questions!J45="",0,1)+IF(Saisie_Questions!K45="",0,1)+IF(Saisie_Questions!L45="",0,1)</f>
        <v>0</v>
      </c>
      <c r="J45" s="2">
        <f>Saisie_Questions!M45</f>
        <v>0</v>
      </c>
      <c r="K45" s="2" t="str">
        <f>Saisie_Questions!O45</f>
        <v/>
      </c>
      <c r="L45" s="2" t="str">
        <f>IF(Saisie_Questions!E45="","",SUBSTITUTE(SUBSTITUTE(SUBSTITUTE(SUBSTITUTE(SUBSTITUTE(Saisie_Questions!E45,"&amp;","&amp;amp;"),"&lt;","&amp;lt;"),"&gt;","&amp;gt;"),CHAR(34),"&amp;quot;"),"'","&amp;apos;"))</f>
        <v/>
      </c>
      <c r="M45" s="2" t="str">
        <f>IF(Saisie_Questions!F45="","",SUBSTITUTE(SUBSTITUTE(SUBSTITUTE(SUBSTITUTE(SUBSTITUTE(Saisie_Questions!F45,"&amp;","&amp;amp;"),"&lt;","&amp;lt;"),"&gt;","&amp;gt;"),CHAR(34),"&amp;quot;"),"'","&amp;apos;"))</f>
        <v/>
      </c>
      <c r="N45" s="2" t="str">
        <f>IF(Saisie_Questions!G45="","",SUBSTITUTE(SUBSTITUTE(SUBSTITUTE(SUBSTITUTE(SUBSTITUTE(Saisie_Questions!G45,"&amp;","&amp;amp;"),"&lt;","&amp;lt;"),"&gt;","&amp;gt;"),CHAR(34),"&amp;quot;"),"'","&amp;apos;"))</f>
        <v/>
      </c>
      <c r="O45" s="2" t="str">
        <f>IF(Saisie_Questions!H45="","",SUBSTITUTE(SUBSTITUTE(SUBSTITUTE(SUBSTITUTE(SUBSTITUTE(Saisie_Questions!H45,"&amp;","&amp;amp;"),"&lt;","&amp;lt;"),"&gt;","&amp;gt;"),CHAR(34),"&amp;quot;"),"'","&amp;apos;"))</f>
        <v/>
      </c>
      <c r="P45" s="2" t="str">
        <f>IF(Saisie_Questions!I45="","",SUBSTITUTE(SUBSTITUTE(SUBSTITUTE(SUBSTITUTE(SUBSTITUTE(Saisie_Questions!I45,"&amp;","&amp;amp;"),"&lt;","&amp;lt;"),"&gt;","&amp;gt;"),CHAR(34),"&amp;quot;"),"'","&amp;apos;"))</f>
        <v/>
      </c>
      <c r="Q45" s="2" t="str">
        <f>IF(Saisie_Questions!J45="","",SUBSTITUTE(SUBSTITUTE(SUBSTITUTE(SUBSTITUTE(SUBSTITUTE(Saisie_Questions!J45,"&amp;","&amp;amp;"),"&lt;","&amp;lt;"),"&gt;","&amp;gt;"),CHAR(34),"&amp;quot;"),"'","&amp;apos;"))</f>
        <v/>
      </c>
      <c r="R45" s="2" t="str">
        <f>IF(Saisie_Questions!K45="","",SUBSTITUTE(SUBSTITUTE(SUBSTITUTE(SUBSTITUTE(SUBSTITUTE(Saisie_Questions!K45,"&amp;","&amp;amp;"),"&lt;","&amp;lt;"),"&gt;","&amp;gt;"),CHAR(34),"&amp;quot;"),"'","&amp;apos;"))</f>
        <v/>
      </c>
      <c r="S45" s="2" t="str">
        <f>IF(Saisie_Questions!L45="","",SUBSTITUTE(SUBSTITUTE(SUBSTITUTE(SUBSTITUTE(SUBSTITUTE(Saisie_Questions!L45,"&amp;","&amp;amp;"),"&lt;","&amp;lt;"),"&gt;","&amp;gt;"),CHAR(34),"&amp;quot;"),"'","&amp;apos;"))</f>
        <v/>
      </c>
      <c r="T45" s="2" t="b">
        <f t="shared" si="20"/>
        <v>0</v>
      </c>
      <c r="U45" s="2" t="b">
        <f t="shared" si="21"/>
        <v>0</v>
      </c>
      <c r="V45" s="2" t="b">
        <f t="shared" si="22"/>
        <v>0</v>
      </c>
      <c r="W45" s="2" t="b">
        <f t="shared" si="23"/>
        <v>0</v>
      </c>
      <c r="X45" s="2" t="b">
        <f t="shared" si="24"/>
        <v>0</v>
      </c>
      <c r="Y45" s="2" t="b">
        <f t="shared" si="25"/>
        <v>0</v>
      </c>
      <c r="Z45" s="2" t="b">
        <f t="shared" si="26"/>
        <v>0</v>
      </c>
      <c r="AA45" s="2" t="b">
        <f t="shared" si="27"/>
        <v>0</v>
      </c>
      <c r="AB45" s="2" t="str">
        <f t="shared" si="28"/>
        <v/>
      </c>
      <c r="AC45" s="2" t="str">
        <f t="shared" si="29"/>
        <v/>
      </c>
      <c r="AD45" s="2" t="str">
        <f t="shared" si="30"/>
        <v/>
      </c>
      <c r="AE45" s="2" t="str">
        <f t="shared" si="31"/>
        <v/>
      </c>
      <c r="AF45" s="2" t="str">
        <f t="shared" si="32"/>
        <v/>
      </c>
      <c r="AG45" s="2" t="str">
        <f t="shared" si="33"/>
        <v/>
      </c>
      <c r="AH45" s="2" t="str">
        <f t="shared" si="34"/>
        <v/>
      </c>
      <c r="AI45" s="2" t="str">
        <f t="shared" si="35"/>
        <v/>
      </c>
      <c r="AJ45" s="2" t="str">
        <f>IF($B45,IF(L45="","",IF($C45="qcu",IF(T45,"      &lt;respcondition continue=""Yes""&gt;&lt;conditionvar&gt;&lt;varequal respident=""RESPONSE""&gt;0&lt;/varequal&gt;&lt;/conditionvar&gt;&lt;setvar action=""Add""&gt;"&amp;$H45&amp;"&lt;/setvar&gt;&lt;/respcondition&gt;",""),IF(T45,"      &lt;respcondition continue=""Yes""&gt;&lt;conditionvar&gt;&lt;varequal respident=""RESPONSE""&gt;0&lt;/varequal&gt;&lt;/conditionvar&gt;&lt;setvar action=""Add""&gt;"&amp;(Saisie_Questions!$N45/$I45)&amp;"&lt;/setvar&gt;&lt;/respcondition&gt;","      &lt;respcondition continue=""Yes""&gt;&lt;conditionvar&gt;&lt;not&gt;&lt;varequal respident=""RESPONSE""&gt;0&lt;/varequal&gt;&lt;/not&gt;&lt;/conditionvar&gt;&lt;setvar action=""Add""&gt;"&amp;(Saisie_Questions!$N45/$I45)&amp;"&lt;/setvar&gt;&lt;/respcondition&gt;"))),"")</f>
        <v/>
      </c>
      <c r="AK45" s="2" t="str">
        <f>IF($B45,IF(M45="","",IF($C45="qcu",IF(U45,"      &lt;respcondition continue=""Yes""&gt;&lt;conditionvar&gt;&lt;varequal respident=""RESPONSE""&gt;1&lt;/varequal&gt;&lt;/conditionvar&gt;&lt;setvar action=""Add""&gt;"&amp;$H45&amp;"&lt;/setvar&gt;&lt;/respcondition&gt;",""),IF(U45,"      &lt;respcondition continue=""Yes""&gt;&lt;conditionvar&gt;&lt;varequal respident=""RESPONSE""&gt;1&lt;/varequal&gt;&lt;/conditionvar&gt;&lt;setvar action=""Add""&gt;"&amp;(Saisie_Questions!$N45/$I45)&amp;"&lt;/setvar&gt;&lt;/respcondition&gt;","      &lt;respcondition continue=""Yes""&gt;&lt;conditionvar&gt;&lt;not&gt;&lt;varequal respident=""RESPONSE""&gt;1&lt;/varequal&gt;&lt;/not&gt;&lt;/conditionvar&gt;&lt;setvar action=""Add""&gt;"&amp;(Saisie_Questions!$N45/$I45)&amp;"&lt;/setvar&gt;&lt;/respcondition&gt;"))),"")</f>
        <v/>
      </c>
      <c r="AL45" s="2" t="str">
        <f>IF($B45,IF(N45="","",IF($C45="qcu",IF(V45,"      &lt;respcondition continue=""Yes""&gt;&lt;conditionvar&gt;&lt;varequal respident=""RESPONSE""&gt;2&lt;/varequal&gt;&lt;/conditionvar&gt;&lt;setvar action=""Add""&gt;"&amp;$H45&amp;"&lt;/setvar&gt;&lt;/respcondition&gt;",""),IF(V45,"      &lt;respcondition continue=""Yes""&gt;&lt;conditionvar&gt;&lt;varequal respident=""RESPONSE""&gt;2&lt;/varequal&gt;&lt;/conditionvar&gt;&lt;setvar action=""Add""&gt;"&amp;(Saisie_Questions!$N45/$I45)&amp;"&lt;/setvar&gt;&lt;/respcondition&gt;","      &lt;respcondition continue=""Yes""&gt;&lt;conditionvar&gt;&lt;not&gt;&lt;varequal respident=""RESPONSE""&gt;2&lt;/varequal&gt;&lt;/not&gt;&lt;/conditionvar&gt;&lt;setvar action=""Add""&gt;"&amp;(Saisie_Questions!$N45/$I45)&amp;"&lt;/setvar&gt;&lt;/respcondition&gt;"))),"")</f>
        <v/>
      </c>
      <c r="AM45" s="2" t="str">
        <f>IF($B45,IF(O45="","",IF($C45="qcu",IF(W45,"      &lt;respcondition continue=""Yes""&gt;&lt;conditionvar&gt;&lt;varequal respident=""RESPONSE""&gt;3&lt;/varequal&gt;&lt;/conditionvar&gt;&lt;setvar action=""Add""&gt;"&amp;$H45&amp;"&lt;/setvar&gt;&lt;/respcondition&gt;",""),IF(W45,"      &lt;respcondition continue=""Yes""&gt;&lt;conditionvar&gt;&lt;varequal respident=""RESPONSE""&gt;3&lt;/varequal&gt;&lt;/conditionvar&gt;&lt;setvar action=""Add""&gt;"&amp;(Saisie_Questions!$N45/$I45)&amp;"&lt;/setvar&gt;&lt;/respcondition&gt;","      &lt;respcondition continue=""Yes""&gt;&lt;conditionvar&gt;&lt;not&gt;&lt;varequal respident=""RESPONSE""&gt;3&lt;/varequal&gt;&lt;/not&gt;&lt;/conditionvar&gt;&lt;setvar action=""Add""&gt;"&amp;(Saisie_Questions!$N45/$I45)&amp;"&lt;/setvar&gt;&lt;/respcondition&gt;"))),"")</f>
        <v/>
      </c>
      <c r="AN45" s="2" t="str">
        <f>IF($B45,IF(P45="","",IF($C45="qcu",IF(X45,"      &lt;respcondition continue=""Yes""&gt;&lt;conditionvar&gt;&lt;varequal respident=""RESPONSE""&gt;4&lt;/varequal&gt;&lt;/conditionvar&gt;&lt;setvar action=""Add""&gt;"&amp;$H45&amp;"&lt;/setvar&gt;&lt;/respcondition&gt;",""),IF(X45,"      &lt;respcondition continue=""Yes""&gt;&lt;conditionvar&gt;&lt;varequal respident=""RESPONSE""&gt;4&lt;/varequal&gt;&lt;/conditionvar&gt;&lt;setvar action=""Add""&gt;"&amp;(Saisie_Questions!$N45/$I45)&amp;"&lt;/setvar&gt;&lt;/respcondition&gt;","      &lt;respcondition continue=""Yes""&gt;&lt;conditionvar&gt;&lt;not&gt;&lt;varequal respident=""RESPONSE""&gt;4&lt;/varequal&gt;&lt;/not&gt;&lt;/conditionvar&gt;&lt;setvar action=""Add""&gt;"&amp;(Saisie_Questions!$N45/$I45)&amp;"&lt;/setvar&gt;&lt;/respcondition&gt;"))),"")</f>
        <v/>
      </c>
      <c r="AO45" s="2" t="str">
        <f>IF($B45,IF(Q45="","",IF($C45="qcu",IF(Y45,"      &lt;respcondition continue=""Yes""&gt;&lt;conditionvar&gt;&lt;varequal respident=""RESPONSE""&gt;5&lt;/varequal&gt;&lt;/conditionvar&gt;&lt;setvar action=""Add""&gt;"&amp;$H45&amp;"&lt;/setvar&gt;&lt;/respcondition&gt;",""),IF(Y45,"      &lt;respcondition continue=""Yes""&gt;&lt;conditionvar&gt;&lt;varequal respident=""RESPONSE""&gt;5&lt;/varequal&gt;&lt;/conditionvar&gt;&lt;setvar action=""Add""&gt;"&amp;(Saisie_Questions!$N45/$I45)&amp;"&lt;/setvar&gt;&lt;/respcondition&gt;","      &lt;respcondition continue=""Yes""&gt;&lt;conditionvar&gt;&lt;not&gt;&lt;varequal respident=""RESPONSE""&gt;5&lt;/varequal&gt;&lt;/not&gt;&lt;/conditionvar&gt;&lt;setvar action=""Add""&gt;"&amp;(Saisie_Questions!$N45/$I45)&amp;"&lt;/setvar&gt;&lt;/respcondition&gt;"))),"")</f>
        <v/>
      </c>
      <c r="AP45" s="2" t="str">
        <f>IF($B45,IF(R45="","",IF($C45="qcu",IF(Z45,"      &lt;respcondition continue=""Yes""&gt;&lt;conditionvar&gt;&lt;varequal respident=""RESPONSE""&gt;6&lt;/varequal&gt;&lt;/conditionvar&gt;&lt;setvar action=""Add""&gt;"&amp;$H45&amp;"&lt;/setvar&gt;&lt;/respcondition&gt;",""),IF(Z45,"      &lt;respcondition continue=""Yes""&gt;&lt;conditionvar&gt;&lt;varequal respident=""RESPONSE""&gt;6&lt;/varequal&gt;&lt;/conditionvar&gt;&lt;setvar action=""Add""&gt;"&amp;(Saisie_Questions!$N45/$I45)&amp;"&lt;/setvar&gt;&lt;/respcondition&gt;","      &lt;respcondition continue=""Yes""&gt;&lt;conditionvar&gt;&lt;not&gt;&lt;varequal respident=""RESPONSE""&gt;6&lt;/varequal&gt;&lt;/not&gt;&lt;/conditionvar&gt;&lt;setvar action=""Add""&gt;"&amp;(Saisie_Questions!$N45/$I45)&amp;"&lt;/setvar&gt;&lt;/respcondition&gt;"))),"")</f>
        <v/>
      </c>
      <c r="AQ45" s="2" t="str">
        <f>IF($B45,IF(S45="","",IF($C45="qcu",IF(AA45,"      &lt;respcondition continue=""Yes""&gt;&lt;conditionvar&gt;&lt;varequal respident=""RESPONSE""&gt;7&lt;/varequal&gt;&lt;/conditionvar&gt;&lt;setvar action=""Add""&gt;"&amp;$H45&amp;"&lt;/setvar&gt;&lt;/respcondition&gt;",""),IF(AA45,"      &lt;respcondition continue=""Yes""&gt;&lt;conditionvar&gt;&lt;varequal respident=""RESPONSE""&gt;7&lt;/varequal&gt;&lt;/conditionvar&gt;&lt;setvar action=""Add""&gt;"&amp;(Saisie_Questions!$N45/$I45)&amp;"&lt;/setvar&gt;&lt;/respcondition&gt;","      &lt;respcondition continue=""Yes""&gt;&lt;conditionvar&gt;&lt;not&gt;&lt;varequal respident=""RESPONSE""&gt;7&lt;/varequal&gt;&lt;/not&gt;&lt;/conditionvar&gt;&lt;setvar action=""Add""&gt;"&amp;(Saisie_Questions!$N45/$I45)&amp;"&lt;/setvar&gt;&lt;/respcondition&gt;"))),"")</f>
        <v/>
      </c>
    </row>
    <row r="46" spans="1:43" ht="18" customHeight="1">
      <c r="A46" s="2" t="str">
        <f>Saisie_Questions!A46</f>
        <v/>
      </c>
      <c r="B46" s="2" t="b">
        <f>Saisie_Questions!O46="OK"</f>
        <v>0</v>
      </c>
      <c r="C46" s="2" t="str">
        <f>LOWER(TRIM(Saisie_Questions!B46))</f>
        <v/>
      </c>
      <c r="D46" s="2" t="str">
        <f t="shared" si="18"/>
        <v>MULTIPLE CHOICE QUESTION</v>
      </c>
      <c r="E46" s="2" t="str">
        <f t="shared" si="19"/>
        <v>Multiple</v>
      </c>
      <c r="F46" s="2" t="str">
        <f>IF(A46="","",SUBSTITUTE(SUBSTITUTE(SUBSTITUTE(SUBSTITUTE(SUBSTITUTE(IF(Saisie_Questions!C46="", "Question "&amp;A46, Saisie_Questions!C46),"&amp;","&amp;amp;"),"&lt;","&amp;lt;"),"&gt;","&amp;gt;"),CHAR(34),"&amp;quot;"),"'","&amp;apos;"))</f>
        <v/>
      </c>
      <c r="G46" s="2" t="str">
        <f>IF(A46="","",SUBSTITUTE(SUBSTITUTE(SUBSTITUTE(SUBSTITUTE(SUBSTITUTE(Saisie_Questions!D46,"&amp;","&amp;amp;"),"&lt;","&amp;lt;"),"&gt;","&amp;gt;"),CHAR(34),"&amp;quot;"),"'","&amp;apos;"))</f>
        <v/>
      </c>
      <c r="H46" s="2">
        <f>Saisie_Questions!N46</f>
        <v>0</v>
      </c>
      <c r="I46" s="2">
        <f>IF(Saisie_Questions!E46="",0,1)+IF(Saisie_Questions!F46="",0,1)+IF(Saisie_Questions!G46="",0,1)+IF(Saisie_Questions!H46="",0,1)+IF(Saisie_Questions!I46="",0,1)+IF(Saisie_Questions!J46="",0,1)+IF(Saisie_Questions!K46="",0,1)+IF(Saisie_Questions!L46="",0,1)</f>
        <v>0</v>
      </c>
      <c r="J46" s="2">
        <f>Saisie_Questions!M46</f>
        <v>0</v>
      </c>
      <c r="K46" s="2" t="str">
        <f>Saisie_Questions!O46</f>
        <v/>
      </c>
      <c r="L46" s="2" t="str">
        <f>IF(Saisie_Questions!E46="","",SUBSTITUTE(SUBSTITUTE(SUBSTITUTE(SUBSTITUTE(SUBSTITUTE(Saisie_Questions!E46,"&amp;","&amp;amp;"),"&lt;","&amp;lt;"),"&gt;","&amp;gt;"),CHAR(34),"&amp;quot;"),"'","&amp;apos;"))</f>
        <v/>
      </c>
      <c r="M46" s="2" t="str">
        <f>IF(Saisie_Questions!F46="","",SUBSTITUTE(SUBSTITUTE(SUBSTITUTE(SUBSTITUTE(SUBSTITUTE(Saisie_Questions!F46,"&amp;","&amp;amp;"),"&lt;","&amp;lt;"),"&gt;","&amp;gt;"),CHAR(34),"&amp;quot;"),"'","&amp;apos;"))</f>
        <v/>
      </c>
      <c r="N46" s="2" t="str">
        <f>IF(Saisie_Questions!G46="","",SUBSTITUTE(SUBSTITUTE(SUBSTITUTE(SUBSTITUTE(SUBSTITUTE(Saisie_Questions!G46,"&amp;","&amp;amp;"),"&lt;","&amp;lt;"),"&gt;","&amp;gt;"),CHAR(34),"&amp;quot;"),"'","&amp;apos;"))</f>
        <v/>
      </c>
      <c r="O46" s="2" t="str">
        <f>IF(Saisie_Questions!H46="","",SUBSTITUTE(SUBSTITUTE(SUBSTITUTE(SUBSTITUTE(SUBSTITUTE(Saisie_Questions!H46,"&amp;","&amp;amp;"),"&lt;","&amp;lt;"),"&gt;","&amp;gt;"),CHAR(34),"&amp;quot;"),"'","&amp;apos;"))</f>
        <v/>
      </c>
      <c r="P46" s="2" t="str">
        <f>IF(Saisie_Questions!I46="","",SUBSTITUTE(SUBSTITUTE(SUBSTITUTE(SUBSTITUTE(SUBSTITUTE(Saisie_Questions!I46,"&amp;","&amp;amp;"),"&lt;","&amp;lt;"),"&gt;","&amp;gt;"),CHAR(34),"&amp;quot;"),"'","&amp;apos;"))</f>
        <v/>
      </c>
      <c r="Q46" s="2" t="str">
        <f>IF(Saisie_Questions!J46="","",SUBSTITUTE(SUBSTITUTE(SUBSTITUTE(SUBSTITUTE(SUBSTITUTE(Saisie_Questions!J46,"&amp;","&amp;amp;"),"&lt;","&amp;lt;"),"&gt;","&amp;gt;"),CHAR(34),"&amp;quot;"),"'","&amp;apos;"))</f>
        <v/>
      </c>
      <c r="R46" s="2" t="str">
        <f>IF(Saisie_Questions!K46="","",SUBSTITUTE(SUBSTITUTE(SUBSTITUTE(SUBSTITUTE(SUBSTITUTE(Saisie_Questions!K46,"&amp;","&amp;amp;"),"&lt;","&amp;lt;"),"&gt;","&amp;gt;"),CHAR(34),"&amp;quot;"),"'","&amp;apos;"))</f>
        <v/>
      </c>
      <c r="S46" s="2" t="str">
        <f>IF(Saisie_Questions!L46="","",SUBSTITUTE(SUBSTITUTE(SUBSTITUTE(SUBSTITUTE(SUBSTITUTE(Saisie_Questions!L46,"&amp;","&amp;amp;"),"&lt;","&amp;lt;"),"&gt;","&amp;gt;"),CHAR(34),"&amp;quot;"),"'","&amp;apos;"))</f>
        <v/>
      </c>
      <c r="T46" s="2" t="b">
        <f t="shared" si="20"/>
        <v>0</v>
      </c>
      <c r="U46" s="2" t="b">
        <f t="shared" si="21"/>
        <v>0</v>
      </c>
      <c r="V46" s="2" t="b">
        <f t="shared" si="22"/>
        <v>0</v>
      </c>
      <c r="W46" s="2" t="b">
        <f t="shared" si="23"/>
        <v>0</v>
      </c>
      <c r="X46" s="2" t="b">
        <f t="shared" si="24"/>
        <v>0</v>
      </c>
      <c r="Y46" s="2" t="b">
        <f t="shared" si="25"/>
        <v>0</v>
      </c>
      <c r="Z46" s="2" t="b">
        <f t="shared" si="26"/>
        <v>0</v>
      </c>
      <c r="AA46" s="2" t="b">
        <f t="shared" si="27"/>
        <v>0</v>
      </c>
      <c r="AB46" s="2" t="str">
        <f t="shared" si="28"/>
        <v/>
      </c>
      <c r="AC46" s="2" t="str">
        <f t="shared" si="29"/>
        <v/>
      </c>
      <c r="AD46" s="2" t="str">
        <f t="shared" si="30"/>
        <v/>
      </c>
      <c r="AE46" s="2" t="str">
        <f t="shared" si="31"/>
        <v/>
      </c>
      <c r="AF46" s="2" t="str">
        <f t="shared" si="32"/>
        <v/>
      </c>
      <c r="AG46" s="2" t="str">
        <f t="shared" si="33"/>
        <v/>
      </c>
      <c r="AH46" s="2" t="str">
        <f t="shared" si="34"/>
        <v/>
      </c>
      <c r="AI46" s="2" t="str">
        <f t="shared" si="35"/>
        <v/>
      </c>
      <c r="AJ46" s="2" t="str">
        <f>IF($B46,IF(L46="","",IF($C46="qcu",IF(T46,"      &lt;respcondition continue=""Yes""&gt;&lt;conditionvar&gt;&lt;varequal respident=""RESPONSE""&gt;0&lt;/varequal&gt;&lt;/conditionvar&gt;&lt;setvar action=""Add""&gt;"&amp;$H46&amp;"&lt;/setvar&gt;&lt;/respcondition&gt;",""),IF(T46,"      &lt;respcondition continue=""Yes""&gt;&lt;conditionvar&gt;&lt;varequal respident=""RESPONSE""&gt;0&lt;/varequal&gt;&lt;/conditionvar&gt;&lt;setvar action=""Add""&gt;"&amp;(Saisie_Questions!$N46/$I46)&amp;"&lt;/setvar&gt;&lt;/respcondition&gt;","      &lt;respcondition continue=""Yes""&gt;&lt;conditionvar&gt;&lt;not&gt;&lt;varequal respident=""RESPONSE""&gt;0&lt;/varequal&gt;&lt;/not&gt;&lt;/conditionvar&gt;&lt;setvar action=""Add""&gt;"&amp;(Saisie_Questions!$N46/$I46)&amp;"&lt;/setvar&gt;&lt;/respcondition&gt;"))),"")</f>
        <v/>
      </c>
      <c r="AK46" s="2" t="str">
        <f>IF($B46,IF(M46="","",IF($C46="qcu",IF(U46,"      &lt;respcondition continue=""Yes""&gt;&lt;conditionvar&gt;&lt;varequal respident=""RESPONSE""&gt;1&lt;/varequal&gt;&lt;/conditionvar&gt;&lt;setvar action=""Add""&gt;"&amp;$H46&amp;"&lt;/setvar&gt;&lt;/respcondition&gt;",""),IF(U46,"      &lt;respcondition continue=""Yes""&gt;&lt;conditionvar&gt;&lt;varequal respident=""RESPONSE""&gt;1&lt;/varequal&gt;&lt;/conditionvar&gt;&lt;setvar action=""Add""&gt;"&amp;(Saisie_Questions!$N46/$I46)&amp;"&lt;/setvar&gt;&lt;/respcondition&gt;","      &lt;respcondition continue=""Yes""&gt;&lt;conditionvar&gt;&lt;not&gt;&lt;varequal respident=""RESPONSE""&gt;1&lt;/varequal&gt;&lt;/not&gt;&lt;/conditionvar&gt;&lt;setvar action=""Add""&gt;"&amp;(Saisie_Questions!$N46/$I46)&amp;"&lt;/setvar&gt;&lt;/respcondition&gt;"))),"")</f>
        <v/>
      </c>
      <c r="AL46" s="2" t="str">
        <f>IF($B46,IF(N46="","",IF($C46="qcu",IF(V46,"      &lt;respcondition continue=""Yes""&gt;&lt;conditionvar&gt;&lt;varequal respident=""RESPONSE""&gt;2&lt;/varequal&gt;&lt;/conditionvar&gt;&lt;setvar action=""Add""&gt;"&amp;$H46&amp;"&lt;/setvar&gt;&lt;/respcondition&gt;",""),IF(V46,"      &lt;respcondition continue=""Yes""&gt;&lt;conditionvar&gt;&lt;varequal respident=""RESPONSE""&gt;2&lt;/varequal&gt;&lt;/conditionvar&gt;&lt;setvar action=""Add""&gt;"&amp;(Saisie_Questions!$N46/$I46)&amp;"&lt;/setvar&gt;&lt;/respcondition&gt;","      &lt;respcondition continue=""Yes""&gt;&lt;conditionvar&gt;&lt;not&gt;&lt;varequal respident=""RESPONSE""&gt;2&lt;/varequal&gt;&lt;/not&gt;&lt;/conditionvar&gt;&lt;setvar action=""Add""&gt;"&amp;(Saisie_Questions!$N46/$I46)&amp;"&lt;/setvar&gt;&lt;/respcondition&gt;"))),"")</f>
        <v/>
      </c>
      <c r="AM46" s="2" t="str">
        <f>IF($B46,IF(O46="","",IF($C46="qcu",IF(W46,"      &lt;respcondition continue=""Yes""&gt;&lt;conditionvar&gt;&lt;varequal respident=""RESPONSE""&gt;3&lt;/varequal&gt;&lt;/conditionvar&gt;&lt;setvar action=""Add""&gt;"&amp;$H46&amp;"&lt;/setvar&gt;&lt;/respcondition&gt;",""),IF(W46,"      &lt;respcondition continue=""Yes""&gt;&lt;conditionvar&gt;&lt;varequal respident=""RESPONSE""&gt;3&lt;/varequal&gt;&lt;/conditionvar&gt;&lt;setvar action=""Add""&gt;"&amp;(Saisie_Questions!$N46/$I46)&amp;"&lt;/setvar&gt;&lt;/respcondition&gt;","      &lt;respcondition continue=""Yes""&gt;&lt;conditionvar&gt;&lt;not&gt;&lt;varequal respident=""RESPONSE""&gt;3&lt;/varequal&gt;&lt;/not&gt;&lt;/conditionvar&gt;&lt;setvar action=""Add""&gt;"&amp;(Saisie_Questions!$N46/$I46)&amp;"&lt;/setvar&gt;&lt;/respcondition&gt;"))),"")</f>
        <v/>
      </c>
      <c r="AN46" s="2" t="str">
        <f>IF($B46,IF(P46="","",IF($C46="qcu",IF(X46,"      &lt;respcondition continue=""Yes""&gt;&lt;conditionvar&gt;&lt;varequal respident=""RESPONSE""&gt;4&lt;/varequal&gt;&lt;/conditionvar&gt;&lt;setvar action=""Add""&gt;"&amp;$H46&amp;"&lt;/setvar&gt;&lt;/respcondition&gt;",""),IF(X46,"      &lt;respcondition continue=""Yes""&gt;&lt;conditionvar&gt;&lt;varequal respident=""RESPONSE""&gt;4&lt;/varequal&gt;&lt;/conditionvar&gt;&lt;setvar action=""Add""&gt;"&amp;(Saisie_Questions!$N46/$I46)&amp;"&lt;/setvar&gt;&lt;/respcondition&gt;","      &lt;respcondition continue=""Yes""&gt;&lt;conditionvar&gt;&lt;not&gt;&lt;varequal respident=""RESPONSE""&gt;4&lt;/varequal&gt;&lt;/not&gt;&lt;/conditionvar&gt;&lt;setvar action=""Add""&gt;"&amp;(Saisie_Questions!$N46/$I46)&amp;"&lt;/setvar&gt;&lt;/respcondition&gt;"))),"")</f>
        <v/>
      </c>
      <c r="AO46" s="2" t="str">
        <f>IF($B46,IF(Q46="","",IF($C46="qcu",IF(Y46,"      &lt;respcondition continue=""Yes""&gt;&lt;conditionvar&gt;&lt;varequal respident=""RESPONSE""&gt;5&lt;/varequal&gt;&lt;/conditionvar&gt;&lt;setvar action=""Add""&gt;"&amp;$H46&amp;"&lt;/setvar&gt;&lt;/respcondition&gt;",""),IF(Y46,"      &lt;respcondition continue=""Yes""&gt;&lt;conditionvar&gt;&lt;varequal respident=""RESPONSE""&gt;5&lt;/varequal&gt;&lt;/conditionvar&gt;&lt;setvar action=""Add""&gt;"&amp;(Saisie_Questions!$N46/$I46)&amp;"&lt;/setvar&gt;&lt;/respcondition&gt;","      &lt;respcondition continue=""Yes""&gt;&lt;conditionvar&gt;&lt;not&gt;&lt;varequal respident=""RESPONSE""&gt;5&lt;/varequal&gt;&lt;/not&gt;&lt;/conditionvar&gt;&lt;setvar action=""Add""&gt;"&amp;(Saisie_Questions!$N46/$I46)&amp;"&lt;/setvar&gt;&lt;/respcondition&gt;"))),"")</f>
        <v/>
      </c>
      <c r="AP46" s="2" t="str">
        <f>IF($B46,IF(R46="","",IF($C46="qcu",IF(Z46,"      &lt;respcondition continue=""Yes""&gt;&lt;conditionvar&gt;&lt;varequal respident=""RESPONSE""&gt;6&lt;/varequal&gt;&lt;/conditionvar&gt;&lt;setvar action=""Add""&gt;"&amp;$H46&amp;"&lt;/setvar&gt;&lt;/respcondition&gt;",""),IF(Z46,"      &lt;respcondition continue=""Yes""&gt;&lt;conditionvar&gt;&lt;varequal respident=""RESPONSE""&gt;6&lt;/varequal&gt;&lt;/conditionvar&gt;&lt;setvar action=""Add""&gt;"&amp;(Saisie_Questions!$N46/$I46)&amp;"&lt;/setvar&gt;&lt;/respcondition&gt;","      &lt;respcondition continue=""Yes""&gt;&lt;conditionvar&gt;&lt;not&gt;&lt;varequal respident=""RESPONSE""&gt;6&lt;/varequal&gt;&lt;/not&gt;&lt;/conditionvar&gt;&lt;setvar action=""Add""&gt;"&amp;(Saisie_Questions!$N46/$I46)&amp;"&lt;/setvar&gt;&lt;/respcondition&gt;"))),"")</f>
        <v/>
      </c>
      <c r="AQ46" s="2" t="str">
        <f>IF($B46,IF(S46="","",IF($C46="qcu",IF(AA46,"      &lt;respcondition continue=""Yes""&gt;&lt;conditionvar&gt;&lt;varequal respident=""RESPONSE""&gt;7&lt;/varequal&gt;&lt;/conditionvar&gt;&lt;setvar action=""Add""&gt;"&amp;$H46&amp;"&lt;/setvar&gt;&lt;/respcondition&gt;",""),IF(AA46,"      &lt;respcondition continue=""Yes""&gt;&lt;conditionvar&gt;&lt;varequal respident=""RESPONSE""&gt;7&lt;/varequal&gt;&lt;/conditionvar&gt;&lt;setvar action=""Add""&gt;"&amp;(Saisie_Questions!$N46/$I46)&amp;"&lt;/setvar&gt;&lt;/respcondition&gt;","      &lt;respcondition continue=""Yes""&gt;&lt;conditionvar&gt;&lt;not&gt;&lt;varequal respident=""RESPONSE""&gt;7&lt;/varequal&gt;&lt;/not&gt;&lt;/conditionvar&gt;&lt;setvar action=""Add""&gt;"&amp;(Saisie_Questions!$N46/$I46)&amp;"&lt;/setvar&gt;&lt;/respcondition&gt;"))),"")</f>
        <v/>
      </c>
    </row>
    <row r="47" spans="1:43" ht="18" customHeight="1">
      <c r="A47" s="2" t="str">
        <f>Saisie_Questions!A47</f>
        <v/>
      </c>
      <c r="B47" s="2" t="b">
        <f>Saisie_Questions!O47="OK"</f>
        <v>0</v>
      </c>
      <c r="C47" s="2" t="str">
        <f>LOWER(TRIM(Saisie_Questions!B47))</f>
        <v/>
      </c>
      <c r="D47" s="2" t="str">
        <f t="shared" si="18"/>
        <v>MULTIPLE CHOICE QUESTION</v>
      </c>
      <c r="E47" s="2" t="str">
        <f t="shared" si="19"/>
        <v>Multiple</v>
      </c>
      <c r="F47" s="2" t="str">
        <f>IF(A47="","",SUBSTITUTE(SUBSTITUTE(SUBSTITUTE(SUBSTITUTE(SUBSTITUTE(IF(Saisie_Questions!C47="", "Question "&amp;A47, Saisie_Questions!C47),"&amp;","&amp;amp;"),"&lt;","&amp;lt;"),"&gt;","&amp;gt;"),CHAR(34),"&amp;quot;"),"'","&amp;apos;"))</f>
        <v/>
      </c>
      <c r="G47" s="2" t="str">
        <f>IF(A47="","",SUBSTITUTE(SUBSTITUTE(SUBSTITUTE(SUBSTITUTE(SUBSTITUTE(Saisie_Questions!D47,"&amp;","&amp;amp;"),"&lt;","&amp;lt;"),"&gt;","&amp;gt;"),CHAR(34),"&amp;quot;"),"'","&amp;apos;"))</f>
        <v/>
      </c>
      <c r="H47" s="2">
        <f>Saisie_Questions!N47</f>
        <v>0</v>
      </c>
      <c r="I47" s="2">
        <f>IF(Saisie_Questions!E47="",0,1)+IF(Saisie_Questions!F47="",0,1)+IF(Saisie_Questions!G47="",0,1)+IF(Saisie_Questions!H47="",0,1)+IF(Saisie_Questions!I47="",0,1)+IF(Saisie_Questions!J47="",0,1)+IF(Saisie_Questions!K47="",0,1)+IF(Saisie_Questions!L47="",0,1)</f>
        <v>0</v>
      </c>
      <c r="J47" s="2">
        <f>Saisie_Questions!M47</f>
        <v>0</v>
      </c>
      <c r="K47" s="2" t="str">
        <f>Saisie_Questions!O47</f>
        <v/>
      </c>
      <c r="L47" s="2" t="str">
        <f>IF(Saisie_Questions!E47="","",SUBSTITUTE(SUBSTITUTE(SUBSTITUTE(SUBSTITUTE(SUBSTITUTE(Saisie_Questions!E47,"&amp;","&amp;amp;"),"&lt;","&amp;lt;"),"&gt;","&amp;gt;"),CHAR(34),"&amp;quot;"),"'","&amp;apos;"))</f>
        <v/>
      </c>
      <c r="M47" s="2" t="str">
        <f>IF(Saisie_Questions!F47="","",SUBSTITUTE(SUBSTITUTE(SUBSTITUTE(SUBSTITUTE(SUBSTITUTE(Saisie_Questions!F47,"&amp;","&amp;amp;"),"&lt;","&amp;lt;"),"&gt;","&amp;gt;"),CHAR(34),"&amp;quot;"),"'","&amp;apos;"))</f>
        <v/>
      </c>
      <c r="N47" s="2" t="str">
        <f>IF(Saisie_Questions!G47="","",SUBSTITUTE(SUBSTITUTE(SUBSTITUTE(SUBSTITUTE(SUBSTITUTE(Saisie_Questions!G47,"&amp;","&amp;amp;"),"&lt;","&amp;lt;"),"&gt;","&amp;gt;"),CHAR(34),"&amp;quot;"),"'","&amp;apos;"))</f>
        <v/>
      </c>
      <c r="O47" s="2" t="str">
        <f>IF(Saisie_Questions!H47="","",SUBSTITUTE(SUBSTITUTE(SUBSTITUTE(SUBSTITUTE(SUBSTITUTE(Saisie_Questions!H47,"&amp;","&amp;amp;"),"&lt;","&amp;lt;"),"&gt;","&amp;gt;"),CHAR(34),"&amp;quot;"),"'","&amp;apos;"))</f>
        <v/>
      </c>
      <c r="P47" s="2" t="str">
        <f>IF(Saisie_Questions!I47="","",SUBSTITUTE(SUBSTITUTE(SUBSTITUTE(SUBSTITUTE(SUBSTITUTE(Saisie_Questions!I47,"&amp;","&amp;amp;"),"&lt;","&amp;lt;"),"&gt;","&amp;gt;"),CHAR(34),"&amp;quot;"),"'","&amp;apos;"))</f>
        <v/>
      </c>
      <c r="Q47" s="2" t="str">
        <f>IF(Saisie_Questions!J47="","",SUBSTITUTE(SUBSTITUTE(SUBSTITUTE(SUBSTITUTE(SUBSTITUTE(Saisie_Questions!J47,"&amp;","&amp;amp;"),"&lt;","&amp;lt;"),"&gt;","&amp;gt;"),CHAR(34),"&amp;quot;"),"'","&amp;apos;"))</f>
        <v/>
      </c>
      <c r="R47" s="2" t="str">
        <f>IF(Saisie_Questions!K47="","",SUBSTITUTE(SUBSTITUTE(SUBSTITUTE(SUBSTITUTE(SUBSTITUTE(Saisie_Questions!K47,"&amp;","&amp;amp;"),"&lt;","&amp;lt;"),"&gt;","&amp;gt;"),CHAR(34),"&amp;quot;"),"'","&amp;apos;"))</f>
        <v/>
      </c>
      <c r="S47" s="2" t="str">
        <f>IF(Saisie_Questions!L47="","",SUBSTITUTE(SUBSTITUTE(SUBSTITUTE(SUBSTITUTE(SUBSTITUTE(Saisie_Questions!L47,"&amp;","&amp;amp;"),"&lt;","&amp;lt;"),"&gt;","&amp;gt;"),CHAR(34),"&amp;quot;"),"'","&amp;apos;"))</f>
        <v/>
      </c>
      <c r="T47" s="2" t="b">
        <f t="shared" si="20"/>
        <v>0</v>
      </c>
      <c r="U47" s="2" t="b">
        <f t="shared" si="21"/>
        <v>0</v>
      </c>
      <c r="V47" s="2" t="b">
        <f t="shared" si="22"/>
        <v>0</v>
      </c>
      <c r="W47" s="2" t="b">
        <f t="shared" si="23"/>
        <v>0</v>
      </c>
      <c r="X47" s="2" t="b">
        <f t="shared" si="24"/>
        <v>0</v>
      </c>
      <c r="Y47" s="2" t="b">
        <f t="shared" si="25"/>
        <v>0</v>
      </c>
      <c r="Z47" s="2" t="b">
        <f t="shared" si="26"/>
        <v>0</v>
      </c>
      <c r="AA47" s="2" t="b">
        <f t="shared" si="27"/>
        <v>0</v>
      </c>
      <c r="AB47" s="2" t="str">
        <f t="shared" si="28"/>
        <v/>
      </c>
      <c r="AC47" s="2" t="str">
        <f t="shared" si="29"/>
        <v/>
      </c>
      <c r="AD47" s="2" t="str">
        <f t="shared" si="30"/>
        <v/>
      </c>
      <c r="AE47" s="2" t="str">
        <f t="shared" si="31"/>
        <v/>
      </c>
      <c r="AF47" s="2" t="str">
        <f t="shared" si="32"/>
        <v/>
      </c>
      <c r="AG47" s="2" t="str">
        <f t="shared" si="33"/>
        <v/>
      </c>
      <c r="AH47" s="2" t="str">
        <f t="shared" si="34"/>
        <v/>
      </c>
      <c r="AI47" s="2" t="str">
        <f t="shared" si="35"/>
        <v/>
      </c>
      <c r="AJ47" s="2" t="str">
        <f>IF($B47,IF(L47="","",IF($C47="qcu",IF(T47,"      &lt;respcondition continue=""Yes""&gt;&lt;conditionvar&gt;&lt;varequal respident=""RESPONSE""&gt;0&lt;/varequal&gt;&lt;/conditionvar&gt;&lt;setvar action=""Add""&gt;"&amp;$H47&amp;"&lt;/setvar&gt;&lt;/respcondition&gt;",""),IF(T47,"      &lt;respcondition continue=""Yes""&gt;&lt;conditionvar&gt;&lt;varequal respident=""RESPONSE""&gt;0&lt;/varequal&gt;&lt;/conditionvar&gt;&lt;setvar action=""Add""&gt;"&amp;(Saisie_Questions!$N47/$I47)&amp;"&lt;/setvar&gt;&lt;/respcondition&gt;","      &lt;respcondition continue=""Yes""&gt;&lt;conditionvar&gt;&lt;not&gt;&lt;varequal respident=""RESPONSE""&gt;0&lt;/varequal&gt;&lt;/not&gt;&lt;/conditionvar&gt;&lt;setvar action=""Add""&gt;"&amp;(Saisie_Questions!$N47/$I47)&amp;"&lt;/setvar&gt;&lt;/respcondition&gt;"))),"")</f>
        <v/>
      </c>
      <c r="AK47" s="2" t="str">
        <f>IF($B47,IF(M47="","",IF($C47="qcu",IF(U47,"      &lt;respcondition continue=""Yes""&gt;&lt;conditionvar&gt;&lt;varequal respident=""RESPONSE""&gt;1&lt;/varequal&gt;&lt;/conditionvar&gt;&lt;setvar action=""Add""&gt;"&amp;$H47&amp;"&lt;/setvar&gt;&lt;/respcondition&gt;",""),IF(U47,"      &lt;respcondition continue=""Yes""&gt;&lt;conditionvar&gt;&lt;varequal respident=""RESPONSE""&gt;1&lt;/varequal&gt;&lt;/conditionvar&gt;&lt;setvar action=""Add""&gt;"&amp;(Saisie_Questions!$N47/$I47)&amp;"&lt;/setvar&gt;&lt;/respcondition&gt;","      &lt;respcondition continue=""Yes""&gt;&lt;conditionvar&gt;&lt;not&gt;&lt;varequal respident=""RESPONSE""&gt;1&lt;/varequal&gt;&lt;/not&gt;&lt;/conditionvar&gt;&lt;setvar action=""Add""&gt;"&amp;(Saisie_Questions!$N47/$I47)&amp;"&lt;/setvar&gt;&lt;/respcondition&gt;"))),"")</f>
        <v/>
      </c>
      <c r="AL47" s="2" t="str">
        <f>IF($B47,IF(N47="","",IF($C47="qcu",IF(V47,"      &lt;respcondition continue=""Yes""&gt;&lt;conditionvar&gt;&lt;varequal respident=""RESPONSE""&gt;2&lt;/varequal&gt;&lt;/conditionvar&gt;&lt;setvar action=""Add""&gt;"&amp;$H47&amp;"&lt;/setvar&gt;&lt;/respcondition&gt;",""),IF(V47,"      &lt;respcondition continue=""Yes""&gt;&lt;conditionvar&gt;&lt;varequal respident=""RESPONSE""&gt;2&lt;/varequal&gt;&lt;/conditionvar&gt;&lt;setvar action=""Add""&gt;"&amp;(Saisie_Questions!$N47/$I47)&amp;"&lt;/setvar&gt;&lt;/respcondition&gt;","      &lt;respcondition continue=""Yes""&gt;&lt;conditionvar&gt;&lt;not&gt;&lt;varequal respident=""RESPONSE""&gt;2&lt;/varequal&gt;&lt;/not&gt;&lt;/conditionvar&gt;&lt;setvar action=""Add""&gt;"&amp;(Saisie_Questions!$N47/$I47)&amp;"&lt;/setvar&gt;&lt;/respcondition&gt;"))),"")</f>
        <v/>
      </c>
      <c r="AM47" s="2" t="str">
        <f>IF($B47,IF(O47="","",IF($C47="qcu",IF(W47,"      &lt;respcondition continue=""Yes""&gt;&lt;conditionvar&gt;&lt;varequal respident=""RESPONSE""&gt;3&lt;/varequal&gt;&lt;/conditionvar&gt;&lt;setvar action=""Add""&gt;"&amp;$H47&amp;"&lt;/setvar&gt;&lt;/respcondition&gt;",""),IF(W47,"      &lt;respcondition continue=""Yes""&gt;&lt;conditionvar&gt;&lt;varequal respident=""RESPONSE""&gt;3&lt;/varequal&gt;&lt;/conditionvar&gt;&lt;setvar action=""Add""&gt;"&amp;(Saisie_Questions!$N47/$I47)&amp;"&lt;/setvar&gt;&lt;/respcondition&gt;","      &lt;respcondition continue=""Yes""&gt;&lt;conditionvar&gt;&lt;not&gt;&lt;varequal respident=""RESPONSE""&gt;3&lt;/varequal&gt;&lt;/not&gt;&lt;/conditionvar&gt;&lt;setvar action=""Add""&gt;"&amp;(Saisie_Questions!$N47/$I47)&amp;"&lt;/setvar&gt;&lt;/respcondition&gt;"))),"")</f>
        <v/>
      </c>
      <c r="AN47" s="2" t="str">
        <f>IF($B47,IF(P47="","",IF($C47="qcu",IF(X47,"      &lt;respcondition continue=""Yes""&gt;&lt;conditionvar&gt;&lt;varequal respident=""RESPONSE""&gt;4&lt;/varequal&gt;&lt;/conditionvar&gt;&lt;setvar action=""Add""&gt;"&amp;$H47&amp;"&lt;/setvar&gt;&lt;/respcondition&gt;",""),IF(X47,"      &lt;respcondition continue=""Yes""&gt;&lt;conditionvar&gt;&lt;varequal respident=""RESPONSE""&gt;4&lt;/varequal&gt;&lt;/conditionvar&gt;&lt;setvar action=""Add""&gt;"&amp;(Saisie_Questions!$N47/$I47)&amp;"&lt;/setvar&gt;&lt;/respcondition&gt;","      &lt;respcondition continue=""Yes""&gt;&lt;conditionvar&gt;&lt;not&gt;&lt;varequal respident=""RESPONSE""&gt;4&lt;/varequal&gt;&lt;/not&gt;&lt;/conditionvar&gt;&lt;setvar action=""Add""&gt;"&amp;(Saisie_Questions!$N47/$I47)&amp;"&lt;/setvar&gt;&lt;/respcondition&gt;"))),"")</f>
        <v/>
      </c>
      <c r="AO47" s="2" t="str">
        <f>IF($B47,IF(Q47="","",IF($C47="qcu",IF(Y47,"      &lt;respcondition continue=""Yes""&gt;&lt;conditionvar&gt;&lt;varequal respident=""RESPONSE""&gt;5&lt;/varequal&gt;&lt;/conditionvar&gt;&lt;setvar action=""Add""&gt;"&amp;$H47&amp;"&lt;/setvar&gt;&lt;/respcondition&gt;",""),IF(Y47,"      &lt;respcondition continue=""Yes""&gt;&lt;conditionvar&gt;&lt;varequal respident=""RESPONSE""&gt;5&lt;/varequal&gt;&lt;/conditionvar&gt;&lt;setvar action=""Add""&gt;"&amp;(Saisie_Questions!$N47/$I47)&amp;"&lt;/setvar&gt;&lt;/respcondition&gt;","      &lt;respcondition continue=""Yes""&gt;&lt;conditionvar&gt;&lt;not&gt;&lt;varequal respident=""RESPONSE""&gt;5&lt;/varequal&gt;&lt;/not&gt;&lt;/conditionvar&gt;&lt;setvar action=""Add""&gt;"&amp;(Saisie_Questions!$N47/$I47)&amp;"&lt;/setvar&gt;&lt;/respcondition&gt;"))),"")</f>
        <v/>
      </c>
      <c r="AP47" s="2" t="str">
        <f>IF($B47,IF(R47="","",IF($C47="qcu",IF(Z47,"      &lt;respcondition continue=""Yes""&gt;&lt;conditionvar&gt;&lt;varequal respident=""RESPONSE""&gt;6&lt;/varequal&gt;&lt;/conditionvar&gt;&lt;setvar action=""Add""&gt;"&amp;$H47&amp;"&lt;/setvar&gt;&lt;/respcondition&gt;",""),IF(Z47,"      &lt;respcondition continue=""Yes""&gt;&lt;conditionvar&gt;&lt;varequal respident=""RESPONSE""&gt;6&lt;/varequal&gt;&lt;/conditionvar&gt;&lt;setvar action=""Add""&gt;"&amp;(Saisie_Questions!$N47/$I47)&amp;"&lt;/setvar&gt;&lt;/respcondition&gt;","      &lt;respcondition continue=""Yes""&gt;&lt;conditionvar&gt;&lt;not&gt;&lt;varequal respident=""RESPONSE""&gt;6&lt;/varequal&gt;&lt;/not&gt;&lt;/conditionvar&gt;&lt;setvar action=""Add""&gt;"&amp;(Saisie_Questions!$N47/$I47)&amp;"&lt;/setvar&gt;&lt;/respcondition&gt;"))),"")</f>
        <v/>
      </c>
      <c r="AQ47" s="2" t="str">
        <f>IF($B47,IF(S47="","",IF($C47="qcu",IF(AA47,"      &lt;respcondition continue=""Yes""&gt;&lt;conditionvar&gt;&lt;varequal respident=""RESPONSE""&gt;7&lt;/varequal&gt;&lt;/conditionvar&gt;&lt;setvar action=""Add""&gt;"&amp;$H47&amp;"&lt;/setvar&gt;&lt;/respcondition&gt;",""),IF(AA47,"      &lt;respcondition continue=""Yes""&gt;&lt;conditionvar&gt;&lt;varequal respident=""RESPONSE""&gt;7&lt;/varequal&gt;&lt;/conditionvar&gt;&lt;setvar action=""Add""&gt;"&amp;(Saisie_Questions!$N47/$I47)&amp;"&lt;/setvar&gt;&lt;/respcondition&gt;","      &lt;respcondition continue=""Yes""&gt;&lt;conditionvar&gt;&lt;not&gt;&lt;varequal respident=""RESPONSE""&gt;7&lt;/varequal&gt;&lt;/not&gt;&lt;/conditionvar&gt;&lt;setvar action=""Add""&gt;"&amp;(Saisie_Questions!$N47/$I47)&amp;"&lt;/setvar&gt;&lt;/respcondition&gt;"))),"")</f>
        <v/>
      </c>
    </row>
    <row r="48" spans="1:43" ht="18" customHeight="1">
      <c r="A48" s="2" t="str">
        <f>Saisie_Questions!A48</f>
        <v/>
      </c>
      <c r="B48" s="2" t="b">
        <f>Saisie_Questions!O48="OK"</f>
        <v>0</v>
      </c>
      <c r="C48" s="2" t="str">
        <f>LOWER(TRIM(Saisie_Questions!B48))</f>
        <v/>
      </c>
      <c r="D48" s="2" t="str">
        <f t="shared" si="18"/>
        <v>MULTIPLE CHOICE QUESTION</v>
      </c>
      <c r="E48" s="2" t="str">
        <f t="shared" si="19"/>
        <v>Multiple</v>
      </c>
      <c r="F48" s="2" t="str">
        <f>IF(A48="","",SUBSTITUTE(SUBSTITUTE(SUBSTITUTE(SUBSTITUTE(SUBSTITUTE(IF(Saisie_Questions!C48="", "Question "&amp;A48, Saisie_Questions!C48),"&amp;","&amp;amp;"),"&lt;","&amp;lt;"),"&gt;","&amp;gt;"),CHAR(34),"&amp;quot;"),"'","&amp;apos;"))</f>
        <v/>
      </c>
      <c r="G48" s="2" t="str">
        <f>IF(A48="","",SUBSTITUTE(SUBSTITUTE(SUBSTITUTE(SUBSTITUTE(SUBSTITUTE(Saisie_Questions!D48,"&amp;","&amp;amp;"),"&lt;","&amp;lt;"),"&gt;","&amp;gt;"),CHAR(34),"&amp;quot;"),"'","&amp;apos;"))</f>
        <v/>
      </c>
      <c r="H48" s="2">
        <f>Saisie_Questions!N48</f>
        <v>0</v>
      </c>
      <c r="I48" s="2">
        <f>IF(Saisie_Questions!E48="",0,1)+IF(Saisie_Questions!F48="",0,1)+IF(Saisie_Questions!G48="",0,1)+IF(Saisie_Questions!H48="",0,1)+IF(Saisie_Questions!I48="",0,1)+IF(Saisie_Questions!J48="",0,1)+IF(Saisie_Questions!K48="",0,1)+IF(Saisie_Questions!L48="",0,1)</f>
        <v>0</v>
      </c>
      <c r="J48" s="2">
        <f>Saisie_Questions!M48</f>
        <v>0</v>
      </c>
      <c r="K48" s="2" t="str">
        <f>Saisie_Questions!O48</f>
        <v/>
      </c>
      <c r="L48" s="2" t="str">
        <f>IF(Saisie_Questions!E48="","",SUBSTITUTE(SUBSTITUTE(SUBSTITUTE(SUBSTITUTE(SUBSTITUTE(Saisie_Questions!E48,"&amp;","&amp;amp;"),"&lt;","&amp;lt;"),"&gt;","&amp;gt;"),CHAR(34),"&amp;quot;"),"'","&amp;apos;"))</f>
        <v/>
      </c>
      <c r="M48" s="2" t="str">
        <f>IF(Saisie_Questions!F48="","",SUBSTITUTE(SUBSTITUTE(SUBSTITUTE(SUBSTITUTE(SUBSTITUTE(Saisie_Questions!F48,"&amp;","&amp;amp;"),"&lt;","&amp;lt;"),"&gt;","&amp;gt;"),CHAR(34),"&amp;quot;"),"'","&amp;apos;"))</f>
        <v/>
      </c>
      <c r="N48" s="2" t="str">
        <f>IF(Saisie_Questions!G48="","",SUBSTITUTE(SUBSTITUTE(SUBSTITUTE(SUBSTITUTE(SUBSTITUTE(Saisie_Questions!G48,"&amp;","&amp;amp;"),"&lt;","&amp;lt;"),"&gt;","&amp;gt;"),CHAR(34),"&amp;quot;"),"'","&amp;apos;"))</f>
        <v/>
      </c>
      <c r="O48" s="2" t="str">
        <f>IF(Saisie_Questions!H48="","",SUBSTITUTE(SUBSTITUTE(SUBSTITUTE(SUBSTITUTE(SUBSTITUTE(Saisie_Questions!H48,"&amp;","&amp;amp;"),"&lt;","&amp;lt;"),"&gt;","&amp;gt;"),CHAR(34),"&amp;quot;"),"'","&amp;apos;"))</f>
        <v/>
      </c>
      <c r="P48" s="2" t="str">
        <f>IF(Saisie_Questions!I48="","",SUBSTITUTE(SUBSTITUTE(SUBSTITUTE(SUBSTITUTE(SUBSTITUTE(Saisie_Questions!I48,"&amp;","&amp;amp;"),"&lt;","&amp;lt;"),"&gt;","&amp;gt;"),CHAR(34),"&amp;quot;"),"'","&amp;apos;"))</f>
        <v/>
      </c>
      <c r="Q48" s="2" t="str">
        <f>IF(Saisie_Questions!J48="","",SUBSTITUTE(SUBSTITUTE(SUBSTITUTE(SUBSTITUTE(SUBSTITUTE(Saisie_Questions!J48,"&amp;","&amp;amp;"),"&lt;","&amp;lt;"),"&gt;","&amp;gt;"),CHAR(34),"&amp;quot;"),"'","&amp;apos;"))</f>
        <v/>
      </c>
      <c r="R48" s="2" t="str">
        <f>IF(Saisie_Questions!K48="","",SUBSTITUTE(SUBSTITUTE(SUBSTITUTE(SUBSTITUTE(SUBSTITUTE(Saisie_Questions!K48,"&amp;","&amp;amp;"),"&lt;","&amp;lt;"),"&gt;","&amp;gt;"),CHAR(34),"&amp;quot;"),"'","&amp;apos;"))</f>
        <v/>
      </c>
      <c r="S48" s="2" t="str">
        <f>IF(Saisie_Questions!L48="","",SUBSTITUTE(SUBSTITUTE(SUBSTITUTE(SUBSTITUTE(SUBSTITUTE(Saisie_Questions!L48,"&amp;","&amp;amp;"),"&lt;","&amp;lt;"),"&gt;","&amp;gt;"),CHAR(34),"&amp;quot;"),"'","&amp;apos;"))</f>
        <v/>
      </c>
      <c r="T48" s="2" t="b">
        <f t="shared" si="20"/>
        <v>0</v>
      </c>
      <c r="U48" s="2" t="b">
        <f t="shared" si="21"/>
        <v>0</v>
      </c>
      <c r="V48" s="2" t="b">
        <f t="shared" si="22"/>
        <v>0</v>
      </c>
      <c r="W48" s="2" t="b">
        <f t="shared" si="23"/>
        <v>0</v>
      </c>
      <c r="X48" s="2" t="b">
        <f t="shared" si="24"/>
        <v>0</v>
      </c>
      <c r="Y48" s="2" t="b">
        <f t="shared" si="25"/>
        <v>0</v>
      </c>
      <c r="Z48" s="2" t="b">
        <f t="shared" si="26"/>
        <v>0</v>
      </c>
      <c r="AA48" s="2" t="b">
        <f t="shared" si="27"/>
        <v>0</v>
      </c>
      <c r="AB48" s="2" t="str">
        <f t="shared" si="28"/>
        <v/>
      </c>
      <c r="AC48" s="2" t="str">
        <f t="shared" si="29"/>
        <v/>
      </c>
      <c r="AD48" s="2" t="str">
        <f t="shared" si="30"/>
        <v/>
      </c>
      <c r="AE48" s="2" t="str">
        <f t="shared" si="31"/>
        <v/>
      </c>
      <c r="AF48" s="2" t="str">
        <f t="shared" si="32"/>
        <v/>
      </c>
      <c r="AG48" s="2" t="str">
        <f t="shared" si="33"/>
        <v/>
      </c>
      <c r="AH48" s="2" t="str">
        <f t="shared" si="34"/>
        <v/>
      </c>
      <c r="AI48" s="2" t="str">
        <f t="shared" si="35"/>
        <v/>
      </c>
      <c r="AJ48" s="2" t="str">
        <f>IF($B48,IF(L48="","",IF($C48="qcu",IF(T48,"      &lt;respcondition continue=""Yes""&gt;&lt;conditionvar&gt;&lt;varequal respident=""RESPONSE""&gt;0&lt;/varequal&gt;&lt;/conditionvar&gt;&lt;setvar action=""Add""&gt;"&amp;$H48&amp;"&lt;/setvar&gt;&lt;/respcondition&gt;",""),IF(T48,"      &lt;respcondition continue=""Yes""&gt;&lt;conditionvar&gt;&lt;varequal respident=""RESPONSE""&gt;0&lt;/varequal&gt;&lt;/conditionvar&gt;&lt;setvar action=""Add""&gt;"&amp;(Saisie_Questions!$N48/$I48)&amp;"&lt;/setvar&gt;&lt;/respcondition&gt;","      &lt;respcondition continue=""Yes""&gt;&lt;conditionvar&gt;&lt;not&gt;&lt;varequal respident=""RESPONSE""&gt;0&lt;/varequal&gt;&lt;/not&gt;&lt;/conditionvar&gt;&lt;setvar action=""Add""&gt;"&amp;(Saisie_Questions!$N48/$I48)&amp;"&lt;/setvar&gt;&lt;/respcondition&gt;"))),"")</f>
        <v/>
      </c>
      <c r="AK48" s="2" t="str">
        <f>IF($B48,IF(M48="","",IF($C48="qcu",IF(U48,"      &lt;respcondition continue=""Yes""&gt;&lt;conditionvar&gt;&lt;varequal respident=""RESPONSE""&gt;1&lt;/varequal&gt;&lt;/conditionvar&gt;&lt;setvar action=""Add""&gt;"&amp;$H48&amp;"&lt;/setvar&gt;&lt;/respcondition&gt;",""),IF(U48,"      &lt;respcondition continue=""Yes""&gt;&lt;conditionvar&gt;&lt;varequal respident=""RESPONSE""&gt;1&lt;/varequal&gt;&lt;/conditionvar&gt;&lt;setvar action=""Add""&gt;"&amp;(Saisie_Questions!$N48/$I48)&amp;"&lt;/setvar&gt;&lt;/respcondition&gt;","      &lt;respcondition continue=""Yes""&gt;&lt;conditionvar&gt;&lt;not&gt;&lt;varequal respident=""RESPONSE""&gt;1&lt;/varequal&gt;&lt;/not&gt;&lt;/conditionvar&gt;&lt;setvar action=""Add""&gt;"&amp;(Saisie_Questions!$N48/$I48)&amp;"&lt;/setvar&gt;&lt;/respcondition&gt;"))),"")</f>
        <v/>
      </c>
      <c r="AL48" s="2" t="str">
        <f>IF($B48,IF(N48="","",IF($C48="qcu",IF(V48,"      &lt;respcondition continue=""Yes""&gt;&lt;conditionvar&gt;&lt;varequal respident=""RESPONSE""&gt;2&lt;/varequal&gt;&lt;/conditionvar&gt;&lt;setvar action=""Add""&gt;"&amp;$H48&amp;"&lt;/setvar&gt;&lt;/respcondition&gt;",""),IF(V48,"      &lt;respcondition continue=""Yes""&gt;&lt;conditionvar&gt;&lt;varequal respident=""RESPONSE""&gt;2&lt;/varequal&gt;&lt;/conditionvar&gt;&lt;setvar action=""Add""&gt;"&amp;(Saisie_Questions!$N48/$I48)&amp;"&lt;/setvar&gt;&lt;/respcondition&gt;","      &lt;respcondition continue=""Yes""&gt;&lt;conditionvar&gt;&lt;not&gt;&lt;varequal respident=""RESPONSE""&gt;2&lt;/varequal&gt;&lt;/not&gt;&lt;/conditionvar&gt;&lt;setvar action=""Add""&gt;"&amp;(Saisie_Questions!$N48/$I48)&amp;"&lt;/setvar&gt;&lt;/respcondition&gt;"))),"")</f>
        <v/>
      </c>
      <c r="AM48" s="2" t="str">
        <f>IF($B48,IF(O48="","",IF($C48="qcu",IF(W48,"      &lt;respcondition continue=""Yes""&gt;&lt;conditionvar&gt;&lt;varequal respident=""RESPONSE""&gt;3&lt;/varequal&gt;&lt;/conditionvar&gt;&lt;setvar action=""Add""&gt;"&amp;$H48&amp;"&lt;/setvar&gt;&lt;/respcondition&gt;",""),IF(W48,"      &lt;respcondition continue=""Yes""&gt;&lt;conditionvar&gt;&lt;varequal respident=""RESPONSE""&gt;3&lt;/varequal&gt;&lt;/conditionvar&gt;&lt;setvar action=""Add""&gt;"&amp;(Saisie_Questions!$N48/$I48)&amp;"&lt;/setvar&gt;&lt;/respcondition&gt;","      &lt;respcondition continue=""Yes""&gt;&lt;conditionvar&gt;&lt;not&gt;&lt;varequal respident=""RESPONSE""&gt;3&lt;/varequal&gt;&lt;/not&gt;&lt;/conditionvar&gt;&lt;setvar action=""Add""&gt;"&amp;(Saisie_Questions!$N48/$I48)&amp;"&lt;/setvar&gt;&lt;/respcondition&gt;"))),"")</f>
        <v/>
      </c>
      <c r="AN48" s="2" t="str">
        <f>IF($B48,IF(P48="","",IF($C48="qcu",IF(X48,"      &lt;respcondition continue=""Yes""&gt;&lt;conditionvar&gt;&lt;varequal respident=""RESPONSE""&gt;4&lt;/varequal&gt;&lt;/conditionvar&gt;&lt;setvar action=""Add""&gt;"&amp;$H48&amp;"&lt;/setvar&gt;&lt;/respcondition&gt;",""),IF(X48,"      &lt;respcondition continue=""Yes""&gt;&lt;conditionvar&gt;&lt;varequal respident=""RESPONSE""&gt;4&lt;/varequal&gt;&lt;/conditionvar&gt;&lt;setvar action=""Add""&gt;"&amp;(Saisie_Questions!$N48/$I48)&amp;"&lt;/setvar&gt;&lt;/respcondition&gt;","      &lt;respcondition continue=""Yes""&gt;&lt;conditionvar&gt;&lt;not&gt;&lt;varequal respident=""RESPONSE""&gt;4&lt;/varequal&gt;&lt;/not&gt;&lt;/conditionvar&gt;&lt;setvar action=""Add""&gt;"&amp;(Saisie_Questions!$N48/$I48)&amp;"&lt;/setvar&gt;&lt;/respcondition&gt;"))),"")</f>
        <v/>
      </c>
      <c r="AO48" s="2" t="str">
        <f>IF($B48,IF(Q48="","",IF($C48="qcu",IF(Y48,"      &lt;respcondition continue=""Yes""&gt;&lt;conditionvar&gt;&lt;varequal respident=""RESPONSE""&gt;5&lt;/varequal&gt;&lt;/conditionvar&gt;&lt;setvar action=""Add""&gt;"&amp;$H48&amp;"&lt;/setvar&gt;&lt;/respcondition&gt;",""),IF(Y48,"      &lt;respcondition continue=""Yes""&gt;&lt;conditionvar&gt;&lt;varequal respident=""RESPONSE""&gt;5&lt;/varequal&gt;&lt;/conditionvar&gt;&lt;setvar action=""Add""&gt;"&amp;(Saisie_Questions!$N48/$I48)&amp;"&lt;/setvar&gt;&lt;/respcondition&gt;","      &lt;respcondition continue=""Yes""&gt;&lt;conditionvar&gt;&lt;not&gt;&lt;varequal respident=""RESPONSE""&gt;5&lt;/varequal&gt;&lt;/not&gt;&lt;/conditionvar&gt;&lt;setvar action=""Add""&gt;"&amp;(Saisie_Questions!$N48/$I48)&amp;"&lt;/setvar&gt;&lt;/respcondition&gt;"))),"")</f>
        <v/>
      </c>
      <c r="AP48" s="2" t="str">
        <f>IF($B48,IF(R48="","",IF($C48="qcu",IF(Z48,"      &lt;respcondition continue=""Yes""&gt;&lt;conditionvar&gt;&lt;varequal respident=""RESPONSE""&gt;6&lt;/varequal&gt;&lt;/conditionvar&gt;&lt;setvar action=""Add""&gt;"&amp;$H48&amp;"&lt;/setvar&gt;&lt;/respcondition&gt;",""),IF(Z48,"      &lt;respcondition continue=""Yes""&gt;&lt;conditionvar&gt;&lt;varequal respident=""RESPONSE""&gt;6&lt;/varequal&gt;&lt;/conditionvar&gt;&lt;setvar action=""Add""&gt;"&amp;(Saisie_Questions!$N48/$I48)&amp;"&lt;/setvar&gt;&lt;/respcondition&gt;","      &lt;respcondition continue=""Yes""&gt;&lt;conditionvar&gt;&lt;not&gt;&lt;varequal respident=""RESPONSE""&gt;6&lt;/varequal&gt;&lt;/not&gt;&lt;/conditionvar&gt;&lt;setvar action=""Add""&gt;"&amp;(Saisie_Questions!$N48/$I48)&amp;"&lt;/setvar&gt;&lt;/respcondition&gt;"))),"")</f>
        <v/>
      </c>
      <c r="AQ48" s="2" t="str">
        <f>IF($B48,IF(S48="","",IF($C48="qcu",IF(AA48,"      &lt;respcondition continue=""Yes""&gt;&lt;conditionvar&gt;&lt;varequal respident=""RESPONSE""&gt;7&lt;/varequal&gt;&lt;/conditionvar&gt;&lt;setvar action=""Add""&gt;"&amp;$H48&amp;"&lt;/setvar&gt;&lt;/respcondition&gt;",""),IF(AA48,"      &lt;respcondition continue=""Yes""&gt;&lt;conditionvar&gt;&lt;varequal respident=""RESPONSE""&gt;7&lt;/varequal&gt;&lt;/conditionvar&gt;&lt;setvar action=""Add""&gt;"&amp;(Saisie_Questions!$N48/$I48)&amp;"&lt;/setvar&gt;&lt;/respcondition&gt;","      &lt;respcondition continue=""Yes""&gt;&lt;conditionvar&gt;&lt;not&gt;&lt;varequal respident=""RESPONSE""&gt;7&lt;/varequal&gt;&lt;/not&gt;&lt;/conditionvar&gt;&lt;setvar action=""Add""&gt;"&amp;(Saisie_Questions!$N48/$I48)&amp;"&lt;/setvar&gt;&lt;/respcondition&gt;"))),"")</f>
        <v/>
      </c>
    </row>
    <row r="49" spans="1:43" ht="18" customHeight="1">
      <c r="A49" s="2" t="str">
        <f>Saisie_Questions!A49</f>
        <v/>
      </c>
      <c r="B49" s="2" t="b">
        <f>Saisie_Questions!O49="OK"</f>
        <v>0</v>
      </c>
      <c r="C49" s="2" t="str">
        <f>LOWER(TRIM(Saisie_Questions!B49))</f>
        <v/>
      </c>
      <c r="D49" s="2" t="str">
        <f t="shared" si="18"/>
        <v>MULTIPLE CHOICE QUESTION</v>
      </c>
      <c r="E49" s="2" t="str">
        <f t="shared" si="19"/>
        <v>Multiple</v>
      </c>
      <c r="F49" s="2" t="str">
        <f>IF(A49="","",SUBSTITUTE(SUBSTITUTE(SUBSTITUTE(SUBSTITUTE(SUBSTITUTE(IF(Saisie_Questions!C49="", "Question "&amp;A49, Saisie_Questions!C49),"&amp;","&amp;amp;"),"&lt;","&amp;lt;"),"&gt;","&amp;gt;"),CHAR(34),"&amp;quot;"),"'","&amp;apos;"))</f>
        <v/>
      </c>
      <c r="G49" s="2" t="str">
        <f>IF(A49="","",SUBSTITUTE(SUBSTITUTE(SUBSTITUTE(SUBSTITUTE(SUBSTITUTE(Saisie_Questions!D49,"&amp;","&amp;amp;"),"&lt;","&amp;lt;"),"&gt;","&amp;gt;"),CHAR(34),"&amp;quot;"),"'","&amp;apos;"))</f>
        <v/>
      </c>
      <c r="H49" s="2">
        <f>Saisie_Questions!N49</f>
        <v>0</v>
      </c>
      <c r="I49" s="2">
        <f>IF(Saisie_Questions!E49="",0,1)+IF(Saisie_Questions!F49="",0,1)+IF(Saisie_Questions!G49="",0,1)+IF(Saisie_Questions!H49="",0,1)+IF(Saisie_Questions!I49="",0,1)+IF(Saisie_Questions!J49="",0,1)+IF(Saisie_Questions!K49="",0,1)+IF(Saisie_Questions!L49="",0,1)</f>
        <v>0</v>
      </c>
      <c r="J49" s="2">
        <f>Saisie_Questions!M49</f>
        <v>0</v>
      </c>
      <c r="K49" s="2" t="str">
        <f>Saisie_Questions!O49</f>
        <v/>
      </c>
      <c r="L49" s="2" t="str">
        <f>IF(Saisie_Questions!E49="","",SUBSTITUTE(SUBSTITUTE(SUBSTITUTE(SUBSTITUTE(SUBSTITUTE(Saisie_Questions!E49,"&amp;","&amp;amp;"),"&lt;","&amp;lt;"),"&gt;","&amp;gt;"),CHAR(34),"&amp;quot;"),"'","&amp;apos;"))</f>
        <v/>
      </c>
      <c r="M49" s="2" t="str">
        <f>IF(Saisie_Questions!F49="","",SUBSTITUTE(SUBSTITUTE(SUBSTITUTE(SUBSTITUTE(SUBSTITUTE(Saisie_Questions!F49,"&amp;","&amp;amp;"),"&lt;","&amp;lt;"),"&gt;","&amp;gt;"),CHAR(34),"&amp;quot;"),"'","&amp;apos;"))</f>
        <v/>
      </c>
      <c r="N49" s="2" t="str">
        <f>IF(Saisie_Questions!G49="","",SUBSTITUTE(SUBSTITUTE(SUBSTITUTE(SUBSTITUTE(SUBSTITUTE(Saisie_Questions!G49,"&amp;","&amp;amp;"),"&lt;","&amp;lt;"),"&gt;","&amp;gt;"),CHAR(34),"&amp;quot;"),"'","&amp;apos;"))</f>
        <v/>
      </c>
      <c r="O49" s="2" t="str">
        <f>IF(Saisie_Questions!H49="","",SUBSTITUTE(SUBSTITUTE(SUBSTITUTE(SUBSTITUTE(SUBSTITUTE(Saisie_Questions!H49,"&amp;","&amp;amp;"),"&lt;","&amp;lt;"),"&gt;","&amp;gt;"),CHAR(34),"&amp;quot;"),"'","&amp;apos;"))</f>
        <v/>
      </c>
      <c r="P49" s="2" t="str">
        <f>IF(Saisie_Questions!I49="","",SUBSTITUTE(SUBSTITUTE(SUBSTITUTE(SUBSTITUTE(SUBSTITUTE(Saisie_Questions!I49,"&amp;","&amp;amp;"),"&lt;","&amp;lt;"),"&gt;","&amp;gt;"),CHAR(34),"&amp;quot;"),"'","&amp;apos;"))</f>
        <v/>
      </c>
      <c r="Q49" s="2" t="str">
        <f>IF(Saisie_Questions!J49="","",SUBSTITUTE(SUBSTITUTE(SUBSTITUTE(SUBSTITUTE(SUBSTITUTE(Saisie_Questions!J49,"&amp;","&amp;amp;"),"&lt;","&amp;lt;"),"&gt;","&amp;gt;"),CHAR(34),"&amp;quot;"),"'","&amp;apos;"))</f>
        <v/>
      </c>
      <c r="R49" s="2" t="str">
        <f>IF(Saisie_Questions!K49="","",SUBSTITUTE(SUBSTITUTE(SUBSTITUTE(SUBSTITUTE(SUBSTITUTE(Saisie_Questions!K49,"&amp;","&amp;amp;"),"&lt;","&amp;lt;"),"&gt;","&amp;gt;"),CHAR(34),"&amp;quot;"),"'","&amp;apos;"))</f>
        <v/>
      </c>
      <c r="S49" s="2" t="str">
        <f>IF(Saisie_Questions!L49="","",SUBSTITUTE(SUBSTITUTE(SUBSTITUTE(SUBSTITUTE(SUBSTITUTE(Saisie_Questions!L49,"&amp;","&amp;amp;"),"&lt;","&amp;lt;"),"&gt;","&amp;gt;"),CHAR(34),"&amp;quot;"),"'","&amp;apos;"))</f>
        <v/>
      </c>
      <c r="T49" s="2" t="b">
        <f t="shared" si="20"/>
        <v>0</v>
      </c>
      <c r="U49" s="2" t="b">
        <f t="shared" si="21"/>
        <v>0</v>
      </c>
      <c r="V49" s="2" t="b">
        <f t="shared" si="22"/>
        <v>0</v>
      </c>
      <c r="W49" s="2" t="b">
        <f t="shared" si="23"/>
        <v>0</v>
      </c>
      <c r="X49" s="2" t="b">
        <f t="shared" si="24"/>
        <v>0</v>
      </c>
      <c r="Y49" s="2" t="b">
        <f t="shared" si="25"/>
        <v>0</v>
      </c>
      <c r="Z49" s="2" t="b">
        <f t="shared" si="26"/>
        <v>0</v>
      </c>
      <c r="AA49" s="2" t="b">
        <f t="shared" si="27"/>
        <v>0</v>
      </c>
      <c r="AB49" s="2" t="str">
        <f t="shared" si="28"/>
        <v/>
      </c>
      <c r="AC49" s="2" t="str">
        <f t="shared" si="29"/>
        <v/>
      </c>
      <c r="AD49" s="2" t="str">
        <f t="shared" si="30"/>
        <v/>
      </c>
      <c r="AE49" s="2" t="str">
        <f t="shared" si="31"/>
        <v/>
      </c>
      <c r="AF49" s="2" t="str">
        <f t="shared" si="32"/>
        <v/>
      </c>
      <c r="AG49" s="2" t="str">
        <f t="shared" si="33"/>
        <v/>
      </c>
      <c r="AH49" s="2" t="str">
        <f t="shared" si="34"/>
        <v/>
      </c>
      <c r="AI49" s="2" t="str">
        <f t="shared" si="35"/>
        <v/>
      </c>
      <c r="AJ49" s="2" t="str">
        <f>IF($B49,IF(L49="","",IF($C49="qcu",IF(T49,"      &lt;respcondition continue=""Yes""&gt;&lt;conditionvar&gt;&lt;varequal respident=""RESPONSE""&gt;0&lt;/varequal&gt;&lt;/conditionvar&gt;&lt;setvar action=""Add""&gt;"&amp;$H49&amp;"&lt;/setvar&gt;&lt;/respcondition&gt;",""),IF(T49,"      &lt;respcondition continue=""Yes""&gt;&lt;conditionvar&gt;&lt;varequal respident=""RESPONSE""&gt;0&lt;/varequal&gt;&lt;/conditionvar&gt;&lt;setvar action=""Add""&gt;"&amp;(Saisie_Questions!$N49/$I49)&amp;"&lt;/setvar&gt;&lt;/respcondition&gt;","      &lt;respcondition continue=""Yes""&gt;&lt;conditionvar&gt;&lt;not&gt;&lt;varequal respident=""RESPONSE""&gt;0&lt;/varequal&gt;&lt;/not&gt;&lt;/conditionvar&gt;&lt;setvar action=""Add""&gt;"&amp;(Saisie_Questions!$N49/$I49)&amp;"&lt;/setvar&gt;&lt;/respcondition&gt;"))),"")</f>
        <v/>
      </c>
      <c r="AK49" s="2" t="str">
        <f>IF($B49,IF(M49="","",IF($C49="qcu",IF(U49,"      &lt;respcondition continue=""Yes""&gt;&lt;conditionvar&gt;&lt;varequal respident=""RESPONSE""&gt;1&lt;/varequal&gt;&lt;/conditionvar&gt;&lt;setvar action=""Add""&gt;"&amp;$H49&amp;"&lt;/setvar&gt;&lt;/respcondition&gt;",""),IF(U49,"      &lt;respcondition continue=""Yes""&gt;&lt;conditionvar&gt;&lt;varequal respident=""RESPONSE""&gt;1&lt;/varequal&gt;&lt;/conditionvar&gt;&lt;setvar action=""Add""&gt;"&amp;(Saisie_Questions!$N49/$I49)&amp;"&lt;/setvar&gt;&lt;/respcondition&gt;","      &lt;respcondition continue=""Yes""&gt;&lt;conditionvar&gt;&lt;not&gt;&lt;varequal respident=""RESPONSE""&gt;1&lt;/varequal&gt;&lt;/not&gt;&lt;/conditionvar&gt;&lt;setvar action=""Add""&gt;"&amp;(Saisie_Questions!$N49/$I49)&amp;"&lt;/setvar&gt;&lt;/respcondition&gt;"))),"")</f>
        <v/>
      </c>
      <c r="AL49" s="2" t="str">
        <f>IF($B49,IF(N49="","",IF($C49="qcu",IF(V49,"      &lt;respcondition continue=""Yes""&gt;&lt;conditionvar&gt;&lt;varequal respident=""RESPONSE""&gt;2&lt;/varequal&gt;&lt;/conditionvar&gt;&lt;setvar action=""Add""&gt;"&amp;$H49&amp;"&lt;/setvar&gt;&lt;/respcondition&gt;",""),IF(V49,"      &lt;respcondition continue=""Yes""&gt;&lt;conditionvar&gt;&lt;varequal respident=""RESPONSE""&gt;2&lt;/varequal&gt;&lt;/conditionvar&gt;&lt;setvar action=""Add""&gt;"&amp;(Saisie_Questions!$N49/$I49)&amp;"&lt;/setvar&gt;&lt;/respcondition&gt;","      &lt;respcondition continue=""Yes""&gt;&lt;conditionvar&gt;&lt;not&gt;&lt;varequal respident=""RESPONSE""&gt;2&lt;/varequal&gt;&lt;/not&gt;&lt;/conditionvar&gt;&lt;setvar action=""Add""&gt;"&amp;(Saisie_Questions!$N49/$I49)&amp;"&lt;/setvar&gt;&lt;/respcondition&gt;"))),"")</f>
        <v/>
      </c>
      <c r="AM49" s="2" t="str">
        <f>IF($B49,IF(O49="","",IF($C49="qcu",IF(W49,"      &lt;respcondition continue=""Yes""&gt;&lt;conditionvar&gt;&lt;varequal respident=""RESPONSE""&gt;3&lt;/varequal&gt;&lt;/conditionvar&gt;&lt;setvar action=""Add""&gt;"&amp;$H49&amp;"&lt;/setvar&gt;&lt;/respcondition&gt;",""),IF(W49,"      &lt;respcondition continue=""Yes""&gt;&lt;conditionvar&gt;&lt;varequal respident=""RESPONSE""&gt;3&lt;/varequal&gt;&lt;/conditionvar&gt;&lt;setvar action=""Add""&gt;"&amp;(Saisie_Questions!$N49/$I49)&amp;"&lt;/setvar&gt;&lt;/respcondition&gt;","      &lt;respcondition continue=""Yes""&gt;&lt;conditionvar&gt;&lt;not&gt;&lt;varequal respident=""RESPONSE""&gt;3&lt;/varequal&gt;&lt;/not&gt;&lt;/conditionvar&gt;&lt;setvar action=""Add""&gt;"&amp;(Saisie_Questions!$N49/$I49)&amp;"&lt;/setvar&gt;&lt;/respcondition&gt;"))),"")</f>
        <v/>
      </c>
      <c r="AN49" s="2" t="str">
        <f>IF($B49,IF(P49="","",IF($C49="qcu",IF(X49,"      &lt;respcondition continue=""Yes""&gt;&lt;conditionvar&gt;&lt;varequal respident=""RESPONSE""&gt;4&lt;/varequal&gt;&lt;/conditionvar&gt;&lt;setvar action=""Add""&gt;"&amp;$H49&amp;"&lt;/setvar&gt;&lt;/respcondition&gt;",""),IF(X49,"      &lt;respcondition continue=""Yes""&gt;&lt;conditionvar&gt;&lt;varequal respident=""RESPONSE""&gt;4&lt;/varequal&gt;&lt;/conditionvar&gt;&lt;setvar action=""Add""&gt;"&amp;(Saisie_Questions!$N49/$I49)&amp;"&lt;/setvar&gt;&lt;/respcondition&gt;","      &lt;respcondition continue=""Yes""&gt;&lt;conditionvar&gt;&lt;not&gt;&lt;varequal respident=""RESPONSE""&gt;4&lt;/varequal&gt;&lt;/not&gt;&lt;/conditionvar&gt;&lt;setvar action=""Add""&gt;"&amp;(Saisie_Questions!$N49/$I49)&amp;"&lt;/setvar&gt;&lt;/respcondition&gt;"))),"")</f>
        <v/>
      </c>
      <c r="AO49" s="2" t="str">
        <f>IF($B49,IF(Q49="","",IF($C49="qcu",IF(Y49,"      &lt;respcondition continue=""Yes""&gt;&lt;conditionvar&gt;&lt;varequal respident=""RESPONSE""&gt;5&lt;/varequal&gt;&lt;/conditionvar&gt;&lt;setvar action=""Add""&gt;"&amp;$H49&amp;"&lt;/setvar&gt;&lt;/respcondition&gt;",""),IF(Y49,"      &lt;respcondition continue=""Yes""&gt;&lt;conditionvar&gt;&lt;varequal respident=""RESPONSE""&gt;5&lt;/varequal&gt;&lt;/conditionvar&gt;&lt;setvar action=""Add""&gt;"&amp;(Saisie_Questions!$N49/$I49)&amp;"&lt;/setvar&gt;&lt;/respcondition&gt;","      &lt;respcondition continue=""Yes""&gt;&lt;conditionvar&gt;&lt;not&gt;&lt;varequal respident=""RESPONSE""&gt;5&lt;/varequal&gt;&lt;/not&gt;&lt;/conditionvar&gt;&lt;setvar action=""Add""&gt;"&amp;(Saisie_Questions!$N49/$I49)&amp;"&lt;/setvar&gt;&lt;/respcondition&gt;"))),"")</f>
        <v/>
      </c>
      <c r="AP49" s="2" t="str">
        <f>IF($B49,IF(R49="","",IF($C49="qcu",IF(Z49,"      &lt;respcondition continue=""Yes""&gt;&lt;conditionvar&gt;&lt;varequal respident=""RESPONSE""&gt;6&lt;/varequal&gt;&lt;/conditionvar&gt;&lt;setvar action=""Add""&gt;"&amp;$H49&amp;"&lt;/setvar&gt;&lt;/respcondition&gt;",""),IF(Z49,"      &lt;respcondition continue=""Yes""&gt;&lt;conditionvar&gt;&lt;varequal respident=""RESPONSE""&gt;6&lt;/varequal&gt;&lt;/conditionvar&gt;&lt;setvar action=""Add""&gt;"&amp;(Saisie_Questions!$N49/$I49)&amp;"&lt;/setvar&gt;&lt;/respcondition&gt;","      &lt;respcondition continue=""Yes""&gt;&lt;conditionvar&gt;&lt;not&gt;&lt;varequal respident=""RESPONSE""&gt;6&lt;/varequal&gt;&lt;/not&gt;&lt;/conditionvar&gt;&lt;setvar action=""Add""&gt;"&amp;(Saisie_Questions!$N49/$I49)&amp;"&lt;/setvar&gt;&lt;/respcondition&gt;"))),"")</f>
        <v/>
      </c>
      <c r="AQ49" s="2" t="str">
        <f>IF($B49,IF(S49="","",IF($C49="qcu",IF(AA49,"      &lt;respcondition continue=""Yes""&gt;&lt;conditionvar&gt;&lt;varequal respident=""RESPONSE""&gt;7&lt;/varequal&gt;&lt;/conditionvar&gt;&lt;setvar action=""Add""&gt;"&amp;$H49&amp;"&lt;/setvar&gt;&lt;/respcondition&gt;",""),IF(AA49,"      &lt;respcondition continue=""Yes""&gt;&lt;conditionvar&gt;&lt;varequal respident=""RESPONSE""&gt;7&lt;/varequal&gt;&lt;/conditionvar&gt;&lt;setvar action=""Add""&gt;"&amp;(Saisie_Questions!$N49/$I49)&amp;"&lt;/setvar&gt;&lt;/respcondition&gt;","      &lt;respcondition continue=""Yes""&gt;&lt;conditionvar&gt;&lt;not&gt;&lt;varequal respident=""RESPONSE""&gt;7&lt;/varequal&gt;&lt;/not&gt;&lt;/conditionvar&gt;&lt;setvar action=""Add""&gt;"&amp;(Saisie_Questions!$N49/$I49)&amp;"&lt;/setvar&gt;&lt;/respcondition&gt;"))),"")</f>
        <v/>
      </c>
    </row>
    <row r="50" spans="1:43" ht="18" customHeight="1">
      <c r="A50" s="2" t="str">
        <f>Saisie_Questions!A50</f>
        <v/>
      </c>
      <c r="B50" s="2" t="b">
        <f>Saisie_Questions!O50="OK"</f>
        <v>0</v>
      </c>
      <c r="C50" s="2" t="str">
        <f>LOWER(TRIM(Saisie_Questions!B50))</f>
        <v/>
      </c>
      <c r="D50" s="2" t="str">
        <f t="shared" si="18"/>
        <v>MULTIPLE CHOICE QUESTION</v>
      </c>
      <c r="E50" s="2" t="str">
        <f t="shared" si="19"/>
        <v>Multiple</v>
      </c>
      <c r="F50" s="2" t="str">
        <f>IF(A50="","",SUBSTITUTE(SUBSTITUTE(SUBSTITUTE(SUBSTITUTE(SUBSTITUTE(IF(Saisie_Questions!C50="", "Question "&amp;A50, Saisie_Questions!C50),"&amp;","&amp;amp;"),"&lt;","&amp;lt;"),"&gt;","&amp;gt;"),CHAR(34),"&amp;quot;"),"'","&amp;apos;"))</f>
        <v/>
      </c>
      <c r="G50" s="2" t="str">
        <f>IF(A50="","",SUBSTITUTE(SUBSTITUTE(SUBSTITUTE(SUBSTITUTE(SUBSTITUTE(Saisie_Questions!D50,"&amp;","&amp;amp;"),"&lt;","&amp;lt;"),"&gt;","&amp;gt;"),CHAR(34),"&amp;quot;"),"'","&amp;apos;"))</f>
        <v/>
      </c>
      <c r="H50" s="2">
        <f>Saisie_Questions!N50</f>
        <v>0</v>
      </c>
      <c r="I50" s="2">
        <f>IF(Saisie_Questions!E50="",0,1)+IF(Saisie_Questions!F50="",0,1)+IF(Saisie_Questions!G50="",0,1)+IF(Saisie_Questions!H50="",0,1)+IF(Saisie_Questions!I50="",0,1)+IF(Saisie_Questions!J50="",0,1)+IF(Saisie_Questions!K50="",0,1)+IF(Saisie_Questions!L50="",0,1)</f>
        <v>0</v>
      </c>
      <c r="J50" s="2">
        <f>Saisie_Questions!M50</f>
        <v>0</v>
      </c>
      <c r="K50" s="2" t="str">
        <f>Saisie_Questions!O50</f>
        <v/>
      </c>
      <c r="L50" s="2" t="str">
        <f>IF(Saisie_Questions!E50="","",SUBSTITUTE(SUBSTITUTE(SUBSTITUTE(SUBSTITUTE(SUBSTITUTE(Saisie_Questions!E50,"&amp;","&amp;amp;"),"&lt;","&amp;lt;"),"&gt;","&amp;gt;"),CHAR(34),"&amp;quot;"),"'","&amp;apos;"))</f>
        <v/>
      </c>
      <c r="M50" s="2" t="str">
        <f>IF(Saisie_Questions!F50="","",SUBSTITUTE(SUBSTITUTE(SUBSTITUTE(SUBSTITUTE(SUBSTITUTE(Saisie_Questions!F50,"&amp;","&amp;amp;"),"&lt;","&amp;lt;"),"&gt;","&amp;gt;"),CHAR(34),"&amp;quot;"),"'","&amp;apos;"))</f>
        <v/>
      </c>
      <c r="N50" s="2" t="str">
        <f>IF(Saisie_Questions!G50="","",SUBSTITUTE(SUBSTITUTE(SUBSTITUTE(SUBSTITUTE(SUBSTITUTE(Saisie_Questions!G50,"&amp;","&amp;amp;"),"&lt;","&amp;lt;"),"&gt;","&amp;gt;"),CHAR(34),"&amp;quot;"),"'","&amp;apos;"))</f>
        <v/>
      </c>
      <c r="O50" s="2" t="str">
        <f>IF(Saisie_Questions!H50="","",SUBSTITUTE(SUBSTITUTE(SUBSTITUTE(SUBSTITUTE(SUBSTITUTE(Saisie_Questions!H50,"&amp;","&amp;amp;"),"&lt;","&amp;lt;"),"&gt;","&amp;gt;"),CHAR(34),"&amp;quot;"),"'","&amp;apos;"))</f>
        <v/>
      </c>
      <c r="P50" s="2" t="str">
        <f>IF(Saisie_Questions!I50="","",SUBSTITUTE(SUBSTITUTE(SUBSTITUTE(SUBSTITUTE(SUBSTITUTE(Saisie_Questions!I50,"&amp;","&amp;amp;"),"&lt;","&amp;lt;"),"&gt;","&amp;gt;"),CHAR(34),"&amp;quot;"),"'","&amp;apos;"))</f>
        <v/>
      </c>
      <c r="Q50" s="2" t="str">
        <f>IF(Saisie_Questions!J50="","",SUBSTITUTE(SUBSTITUTE(SUBSTITUTE(SUBSTITUTE(SUBSTITUTE(Saisie_Questions!J50,"&amp;","&amp;amp;"),"&lt;","&amp;lt;"),"&gt;","&amp;gt;"),CHAR(34),"&amp;quot;"),"'","&amp;apos;"))</f>
        <v/>
      </c>
      <c r="R50" s="2" t="str">
        <f>IF(Saisie_Questions!K50="","",SUBSTITUTE(SUBSTITUTE(SUBSTITUTE(SUBSTITUTE(SUBSTITUTE(Saisie_Questions!K50,"&amp;","&amp;amp;"),"&lt;","&amp;lt;"),"&gt;","&amp;gt;"),CHAR(34),"&amp;quot;"),"'","&amp;apos;"))</f>
        <v/>
      </c>
      <c r="S50" s="2" t="str">
        <f>IF(Saisie_Questions!L50="","",SUBSTITUTE(SUBSTITUTE(SUBSTITUTE(SUBSTITUTE(SUBSTITUTE(Saisie_Questions!L50,"&amp;","&amp;amp;"),"&lt;","&amp;lt;"),"&gt;","&amp;gt;"),CHAR(34),"&amp;quot;"),"'","&amp;apos;"))</f>
        <v/>
      </c>
      <c r="T50" s="2" t="b">
        <f t="shared" si="20"/>
        <v>0</v>
      </c>
      <c r="U50" s="2" t="b">
        <f t="shared" si="21"/>
        <v>0</v>
      </c>
      <c r="V50" s="2" t="b">
        <f t="shared" si="22"/>
        <v>0</v>
      </c>
      <c r="W50" s="2" t="b">
        <f t="shared" si="23"/>
        <v>0</v>
      </c>
      <c r="X50" s="2" t="b">
        <f t="shared" si="24"/>
        <v>0</v>
      </c>
      <c r="Y50" s="2" t="b">
        <f t="shared" si="25"/>
        <v>0</v>
      </c>
      <c r="Z50" s="2" t="b">
        <f t="shared" si="26"/>
        <v>0</v>
      </c>
      <c r="AA50" s="2" t="b">
        <f t="shared" si="27"/>
        <v>0</v>
      </c>
      <c r="AB50" s="2" t="str">
        <f t="shared" si="28"/>
        <v/>
      </c>
      <c r="AC50" s="2" t="str">
        <f t="shared" si="29"/>
        <v/>
      </c>
      <c r="AD50" s="2" t="str">
        <f t="shared" si="30"/>
        <v/>
      </c>
      <c r="AE50" s="2" t="str">
        <f t="shared" si="31"/>
        <v/>
      </c>
      <c r="AF50" s="2" t="str">
        <f t="shared" si="32"/>
        <v/>
      </c>
      <c r="AG50" s="2" t="str">
        <f t="shared" si="33"/>
        <v/>
      </c>
      <c r="AH50" s="2" t="str">
        <f t="shared" si="34"/>
        <v/>
      </c>
      <c r="AI50" s="2" t="str">
        <f t="shared" si="35"/>
        <v/>
      </c>
      <c r="AJ50" s="2" t="str">
        <f>IF($B50,IF(L50="","",IF($C50="qcu",IF(T50,"      &lt;respcondition continue=""Yes""&gt;&lt;conditionvar&gt;&lt;varequal respident=""RESPONSE""&gt;0&lt;/varequal&gt;&lt;/conditionvar&gt;&lt;setvar action=""Add""&gt;"&amp;$H50&amp;"&lt;/setvar&gt;&lt;/respcondition&gt;",""),IF(T50,"      &lt;respcondition continue=""Yes""&gt;&lt;conditionvar&gt;&lt;varequal respident=""RESPONSE""&gt;0&lt;/varequal&gt;&lt;/conditionvar&gt;&lt;setvar action=""Add""&gt;"&amp;(Saisie_Questions!$N50/$I50)&amp;"&lt;/setvar&gt;&lt;/respcondition&gt;","      &lt;respcondition continue=""Yes""&gt;&lt;conditionvar&gt;&lt;not&gt;&lt;varequal respident=""RESPONSE""&gt;0&lt;/varequal&gt;&lt;/not&gt;&lt;/conditionvar&gt;&lt;setvar action=""Add""&gt;"&amp;(Saisie_Questions!$N50/$I50)&amp;"&lt;/setvar&gt;&lt;/respcondition&gt;"))),"")</f>
        <v/>
      </c>
      <c r="AK50" s="2" t="str">
        <f>IF($B50,IF(M50="","",IF($C50="qcu",IF(U50,"      &lt;respcondition continue=""Yes""&gt;&lt;conditionvar&gt;&lt;varequal respident=""RESPONSE""&gt;1&lt;/varequal&gt;&lt;/conditionvar&gt;&lt;setvar action=""Add""&gt;"&amp;$H50&amp;"&lt;/setvar&gt;&lt;/respcondition&gt;",""),IF(U50,"      &lt;respcondition continue=""Yes""&gt;&lt;conditionvar&gt;&lt;varequal respident=""RESPONSE""&gt;1&lt;/varequal&gt;&lt;/conditionvar&gt;&lt;setvar action=""Add""&gt;"&amp;(Saisie_Questions!$N50/$I50)&amp;"&lt;/setvar&gt;&lt;/respcondition&gt;","      &lt;respcondition continue=""Yes""&gt;&lt;conditionvar&gt;&lt;not&gt;&lt;varequal respident=""RESPONSE""&gt;1&lt;/varequal&gt;&lt;/not&gt;&lt;/conditionvar&gt;&lt;setvar action=""Add""&gt;"&amp;(Saisie_Questions!$N50/$I50)&amp;"&lt;/setvar&gt;&lt;/respcondition&gt;"))),"")</f>
        <v/>
      </c>
      <c r="AL50" s="2" t="str">
        <f>IF($B50,IF(N50="","",IF($C50="qcu",IF(V50,"      &lt;respcondition continue=""Yes""&gt;&lt;conditionvar&gt;&lt;varequal respident=""RESPONSE""&gt;2&lt;/varequal&gt;&lt;/conditionvar&gt;&lt;setvar action=""Add""&gt;"&amp;$H50&amp;"&lt;/setvar&gt;&lt;/respcondition&gt;",""),IF(V50,"      &lt;respcondition continue=""Yes""&gt;&lt;conditionvar&gt;&lt;varequal respident=""RESPONSE""&gt;2&lt;/varequal&gt;&lt;/conditionvar&gt;&lt;setvar action=""Add""&gt;"&amp;(Saisie_Questions!$N50/$I50)&amp;"&lt;/setvar&gt;&lt;/respcondition&gt;","      &lt;respcondition continue=""Yes""&gt;&lt;conditionvar&gt;&lt;not&gt;&lt;varequal respident=""RESPONSE""&gt;2&lt;/varequal&gt;&lt;/not&gt;&lt;/conditionvar&gt;&lt;setvar action=""Add""&gt;"&amp;(Saisie_Questions!$N50/$I50)&amp;"&lt;/setvar&gt;&lt;/respcondition&gt;"))),"")</f>
        <v/>
      </c>
      <c r="AM50" s="2" t="str">
        <f>IF($B50,IF(O50="","",IF($C50="qcu",IF(W50,"      &lt;respcondition continue=""Yes""&gt;&lt;conditionvar&gt;&lt;varequal respident=""RESPONSE""&gt;3&lt;/varequal&gt;&lt;/conditionvar&gt;&lt;setvar action=""Add""&gt;"&amp;$H50&amp;"&lt;/setvar&gt;&lt;/respcondition&gt;",""),IF(W50,"      &lt;respcondition continue=""Yes""&gt;&lt;conditionvar&gt;&lt;varequal respident=""RESPONSE""&gt;3&lt;/varequal&gt;&lt;/conditionvar&gt;&lt;setvar action=""Add""&gt;"&amp;(Saisie_Questions!$N50/$I50)&amp;"&lt;/setvar&gt;&lt;/respcondition&gt;","      &lt;respcondition continue=""Yes""&gt;&lt;conditionvar&gt;&lt;not&gt;&lt;varequal respident=""RESPONSE""&gt;3&lt;/varequal&gt;&lt;/not&gt;&lt;/conditionvar&gt;&lt;setvar action=""Add""&gt;"&amp;(Saisie_Questions!$N50/$I50)&amp;"&lt;/setvar&gt;&lt;/respcondition&gt;"))),"")</f>
        <v/>
      </c>
      <c r="AN50" s="2" t="str">
        <f>IF($B50,IF(P50="","",IF($C50="qcu",IF(X50,"      &lt;respcondition continue=""Yes""&gt;&lt;conditionvar&gt;&lt;varequal respident=""RESPONSE""&gt;4&lt;/varequal&gt;&lt;/conditionvar&gt;&lt;setvar action=""Add""&gt;"&amp;$H50&amp;"&lt;/setvar&gt;&lt;/respcondition&gt;",""),IF(X50,"      &lt;respcondition continue=""Yes""&gt;&lt;conditionvar&gt;&lt;varequal respident=""RESPONSE""&gt;4&lt;/varequal&gt;&lt;/conditionvar&gt;&lt;setvar action=""Add""&gt;"&amp;(Saisie_Questions!$N50/$I50)&amp;"&lt;/setvar&gt;&lt;/respcondition&gt;","      &lt;respcondition continue=""Yes""&gt;&lt;conditionvar&gt;&lt;not&gt;&lt;varequal respident=""RESPONSE""&gt;4&lt;/varequal&gt;&lt;/not&gt;&lt;/conditionvar&gt;&lt;setvar action=""Add""&gt;"&amp;(Saisie_Questions!$N50/$I50)&amp;"&lt;/setvar&gt;&lt;/respcondition&gt;"))),"")</f>
        <v/>
      </c>
      <c r="AO50" s="2" t="str">
        <f>IF($B50,IF(Q50="","",IF($C50="qcu",IF(Y50,"      &lt;respcondition continue=""Yes""&gt;&lt;conditionvar&gt;&lt;varequal respident=""RESPONSE""&gt;5&lt;/varequal&gt;&lt;/conditionvar&gt;&lt;setvar action=""Add""&gt;"&amp;$H50&amp;"&lt;/setvar&gt;&lt;/respcondition&gt;",""),IF(Y50,"      &lt;respcondition continue=""Yes""&gt;&lt;conditionvar&gt;&lt;varequal respident=""RESPONSE""&gt;5&lt;/varequal&gt;&lt;/conditionvar&gt;&lt;setvar action=""Add""&gt;"&amp;(Saisie_Questions!$N50/$I50)&amp;"&lt;/setvar&gt;&lt;/respcondition&gt;","      &lt;respcondition continue=""Yes""&gt;&lt;conditionvar&gt;&lt;not&gt;&lt;varequal respident=""RESPONSE""&gt;5&lt;/varequal&gt;&lt;/not&gt;&lt;/conditionvar&gt;&lt;setvar action=""Add""&gt;"&amp;(Saisie_Questions!$N50/$I50)&amp;"&lt;/setvar&gt;&lt;/respcondition&gt;"))),"")</f>
        <v/>
      </c>
      <c r="AP50" s="2" t="str">
        <f>IF($B50,IF(R50="","",IF($C50="qcu",IF(Z50,"      &lt;respcondition continue=""Yes""&gt;&lt;conditionvar&gt;&lt;varequal respident=""RESPONSE""&gt;6&lt;/varequal&gt;&lt;/conditionvar&gt;&lt;setvar action=""Add""&gt;"&amp;$H50&amp;"&lt;/setvar&gt;&lt;/respcondition&gt;",""),IF(Z50,"      &lt;respcondition continue=""Yes""&gt;&lt;conditionvar&gt;&lt;varequal respident=""RESPONSE""&gt;6&lt;/varequal&gt;&lt;/conditionvar&gt;&lt;setvar action=""Add""&gt;"&amp;(Saisie_Questions!$N50/$I50)&amp;"&lt;/setvar&gt;&lt;/respcondition&gt;","      &lt;respcondition continue=""Yes""&gt;&lt;conditionvar&gt;&lt;not&gt;&lt;varequal respident=""RESPONSE""&gt;6&lt;/varequal&gt;&lt;/not&gt;&lt;/conditionvar&gt;&lt;setvar action=""Add""&gt;"&amp;(Saisie_Questions!$N50/$I50)&amp;"&lt;/setvar&gt;&lt;/respcondition&gt;"))),"")</f>
        <v/>
      </c>
      <c r="AQ50" s="2" t="str">
        <f>IF($B50,IF(S50="","",IF($C50="qcu",IF(AA50,"      &lt;respcondition continue=""Yes""&gt;&lt;conditionvar&gt;&lt;varequal respident=""RESPONSE""&gt;7&lt;/varequal&gt;&lt;/conditionvar&gt;&lt;setvar action=""Add""&gt;"&amp;$H50&amp;"&lt;/setvar&gt;&lt;/respcondition&gt;",""),IF(AA50,"      &lt;respcondition continue=""Yes""&gt;&lt;conditionvar&gt;&lt;varequal respident=""RESPONSE""&gt;7&lt;/varequal&gt;&lt;/conditionvar&gt;&lt;setvar action=""Add""&gt;"&amp;(Saisie_Questions!$N50/$I50)&amp;"&lt;/setvar&gt;&lt;/respcondition&gt;","      &lt;respcondition continue=""Yes""&gt;&lt;conditionvar&gt;&lt;not&gt;&lt;varequal respident=""RESPONSE""&gt;7&lt;/varequal&gt;&lt;/not&gt;&lt;/conditionvar&gt;&lt;setvar action=""Add""&gt;"&amp;(Saisie_Questions!$N50/$I50)&amp;"&lt;/setvar&gt;&lt;/respcondition&gt;"))),"")</f>
        <v/>
      </c>
    </row>
    <row r="51" spans="1:43" ht="18" customHeight="1">
      <c r="A51" s="2" t="str">
        <f>Saisie_Questions!A51</f>
        <v/>
      </c>
      <c r="B51" s="2" t="b">
        <f>Saisie_Questions!O51="OK"</f>
        <v>0</v>
      </c>
      <c r="C51" s="2" t="str">
        <f>LOWER(TRIM(Saisie_Questions!B51))</f>
        <v/>
      </c>
      <c r="D51" s="2" t="str">
        <f t="shared" si="18"/>
        <v>MULTIPLE CHOICE QUESTION</v>
      </c>
      <c r="E51" s="2" t="str">
        <f t="shared" si="19"/>
        <v>Multiple</v>
      </c>
      <c r="F51" s="2" t="str">
        <f>IF(A51="","",SUBSTITUTE(SUBSTITUTE(SUBSTITUTE(SUBSTITUTE(SUBSTITUTE(IF(Saisie_Questions!C51="", "Question "&amp;A51, Saisie_Questions!C51),"&amp;","&amp;amp;"),"&lt;","&amp;lt;"),"&gt;","&amp;gt;"),CHAR(34),"&amp;quot;"),"'","&amp;apos;"))</f>
        <v/>
      </c>
      <c r="G51" s="2" t="str">
        <f>IF(A51="","",SUBSTITUTE(SUBSTITUTE(SUBSTITUTE(SUBSTITUTE(SUBSTITUTE(Saisie_Questions!D51,"&amp;","&amp;amp;"),"&lt;","&amp;lt;"),"&gt;","&amp;gt;"),CHAR(34),"&amp;quot;"),"'","&amp;apos;"))</f>
        <v/>
      </c>
      <c r="H51" s="2">
        <f>Saisie_Questions!N51</f>
        <v>0</v>
      </c>
      <c r="I51" s="2">
        <f>IF(Saisie_Questions!E51="",0,1)+IF(Saisie_Questions!F51="",0,1)+IF(Saisie_Questions!G51="",0,1)+IF(Saisie_Questions!H51="",0,1)+IF(Saisie_Questions!I51="",0,1)+IF(Saisie_Questions!J51="",0,1)+IF(Saisie_Questions!K51="",0,1)+IF(Saisie_Questions!L51="",0,1)</f>
        <v>0</v>
      </c>
      <c r="J51" s="2">
        <f>Saisie_Questions!M51</f>
        <v>0</v>
      </c>
      <c r="K51" s="2" t="str">
        <f>Saisie_Questions!O51</f>
        <v/>
      </c>
      <c r="L51" s="2" t="str">
        <f>IF(Saisie_Questions!E51="","",SUBSTITUTE(SUBSTITUTE(SUBSTITUTE(SUBSTITUTE(SUBSTITUTE(Saisie_Questions!E51,"&amp;","&amp;amp;"),"&lt;","&amp;lt;"),"&gt;","&amp;gt;"),CHAR(34),"&amp;quot;"),"'","&amp;apos;"))</f>
        <v/>
      </c>
      <c r="M51" s="2" t="str">
        <f>IF(Saisie_Questions!F51="","",SUBSTITUTE(SUBSTITUTE(SUBSTITUTE(SUBSTITUTE(SUBSTITUTE(Saisie_Questions!F51,"&amp;","&amp;amp;"),"&lt;","&amp;lt;"),"&gt;","&amp;gt;"),CHAR(34),"&amp;quot;"),"'","&amp;apos;"))</f>
        <v/>
      </c>
      <c r="N51" s="2" t="str">
        <f>IF(Saisie_Questions!G51="","",SUBSTITUTE(SUBSTITUTE(SUBSTITUTE(SUBSTITUTE(SUBSTITUTE(Saisie_Questions!G51,"&amp;","&amp;amp;"),"&lt;","&amp;lt;"),"&gt;","&amp;gt;"),CHAR(34),"&amp;quot;"),"'","&amp;apos;"))</f>
        <v/>
      </c>
      <c r="O51" s="2" t="str">
        <f>IF(Saisie_Questions!H51="","",SUBSTITUTE(SUBSTITUTE(SUBSTITUTE(SUBSTITUTE(SUBSTITUTE(Saisie_Questions!H51,"&amp;","&amp;amp;"),"&lt;","&amp;lt;"),"&gt;","&amp;gt;"),CHAR(34),"&amp;quot;"),"'","&amp;apos;"))</f>
        <v/>
      </c>
      <c r="P51" s="2" t="str">
        <f>IF(Saisie_Questions!I51="","",SUBSTITUTE(SUBSTITUTE(SUBSTITUTE(SUBSTITUTE(SUBSTITUTE(Saisie_Questions!I51,"&amp;","&amp;amp;"),"&lt;","&amp;lt;"),"&gt;","&amp;gt;"),CHAR(34),"&amp;quot;"),"'","&amp;apos;"))</f>
        <v/>
      </c>
      <c r="Q51" s="2" t="str">
        <f>IF(Saisie_Questions!J51="","",SUBSTITUTE(SUBSTITUTE(SUBSTITUTE(SUBSTITUTE(SUBSTITUTE(Saisie_Questions!J51,"&amp;","&amp;amp;"),"&lt;","&amp;lt;"),"&gt;","&amp;gt;"),CHAR(34),"&amp;quot;"),"'","&amp;apos;"))</f>
        <v/>
      </c>
      <c r="R51" s="2" t="str">
        <f>IF(Saisie_Questions!K51="","",SUBSTITUTE(SUBSTITUTE(SUBSTITUTE(SUBSTITUTE(SUBSTITUTE(Saisie_Questions!K51,"&amp;","&amp;amp;"),"&lt;","&amp;lt;"),"&gt;","&amp;gt;"),CHAR(34),"&amp;quot;"),"'","&amp;apos;"))</f>
        <v/>
      </c>
      <c r="S51" s="2" t="str">
        <f>IF(Saisie_Questions!L51="","",SUBSTITUTE(SUBSTITUTE(SUBSTITUTE(SUBSTITUTE(SUBSTITUTE(Saisie_Questions!L51,"&amp;","&amp;amp;"),"&lt;","&amp;lt;"),"&gt;","&amp;gt;"),CHAR(34),"&amp;quot;"),"'","&amp;apos;"))</f>
        <v/>
      </c>
      <c r="T51" s="2" t="b">
        <f t="shared" si="20"/>
        <v>0</v>
      </c>
      <c r="U51" s="2" t="b">
        <f t="shared" si="21"/>
        <v>0</v>
      </c>
      <c r="V51" s="2" t="b">
        <f t="shared" si="22"/>
        <v>0</v>
      </c>
      <c r="W51" s="2" t="b">
        <f t="shared" si="23"/>
        <v>0</v>
      </c>
      <c r="X51" s="2" t="b">
        <f t="shared" si="24"/>
        <v>0</v>
      </c>
      <c r="Y51" s="2" t="b">
        <f t="shared" si="25"/>
        <v>0</v>
      </c>
      <c r="Z51" s="2" t="b">
        <f t="shared" si="26"/>
        <v>0</v>
      </c>
      <c r="AA51" s="2" t="b">
        <f t="shared" si="27"/>
        <v>0</v>
      </c>
      <c r="AB51" s="2" t="str">
        <f t="shared" si="28"/>
        <v/>
      </c>
      <c r="AC51" s="2" t="str">
        <f t="shared" si="29"/>
        <v/>
      </c>
      <c r="AD51" s="2" t="str">
        <f t="shared" si="30"/>
        <v/>
      </c>
      <c r="AE51" s="2" t="str">
        <f t="shared" si="31"/>
        <v/>
      </c>
      <c r="AF51" s="2" t="str">
        <f t="shared" si="32"/>
        <v/>
      </c>
      <c r="AG51" s="2" t="str">
        <f t="shared" si="33"/>
        <v/>
      </c>
      <c r="AH51" s="2" t="str">
        <f t="shared" si="34"/>
        <v/>
      </c>
      <c r="AI51" s="2" t="str">
        <f t="shared" si="35"/>
        <v/>
      </c>
      <c r="AJ51" s="2" t="str">
        <f>IF($B51,IF(L51="","",IF($C51="qcu",IF(T51,"      &lt;respcondition continue=""Yes""&gt;&lt;conditionvar&gt;&lt;varequal respident=""RESPONSE""&gt;0&lt;/varequal&gt;&lt;/conditionvar&gt;&lt;setvar action=""Add""&gt;"&amp;$H51&amp;"&lt;/setvar&gt;&lt;/respcondition&gt;",""),IF(T51,"      &lt;respcondition continue=""Yes""&gt;&lt;conditionvar&gt;&lt;varequal respident=""RESPONSE""&gt;0&lt;/varequal&gt;&lt;/conditionvar&gt;&lt;setvar action=""Add""&gt;"&amp;(Saisie_Questions!$N51/$I51)&amp;"&lt;/setvar&gt;&lt;/respcondition&gt;","      &lt;respcondition continue=""Yes""&gt;&lt;conditionvar&gt;&lt;not&gt;&lt;varequal respident=""RESPONSE""&gt;0&lt;/varequal&gt;&lt;/not&gt;&lt;/conditionvar&gt;&lt;setvar action=""Add""&gt;"&amp;(Saisie_Questions!$N51/$I51)&amp;"&lt;/setvar&gt;&lt;/respcondition&gt;"))),"")</f>
        <v/>
      </c>
      <c r="AK51" s="2" t="str">
        <f>IF($B51,IF(M51="","",IF($C51="qcu",IF(U51,"      &lt;respcondition continue=""Yes""&gt;&lt;conditionvar&gt;&lt;varequal respident=""RESPONSE""&gt;1&lt;/varequal&gt;&lt;/conditionvar&gt;&lt;setvar action=""Add""&gt;"&amp;$H51&amp;"&lt;/setvar&gt;&lt;/respcondition&gt;",""),IF(U51,"      &lt;respcondition continue=""Yes""&gt;&lt;conditionvar&gt;&lt;varequal respident=""RESPONSE""&gt;1&lt;/varequal&gt;&lt;/conditionvar&gt;&lt;setvar action=""Add""&gt;"&amp;(Saisie_Questions!$N51/$I51)&amp;"&lt;/setvar&gt;&lt;/respcondition&gt;","      &lt;respcondition continue=""Yes""&gt;&lt;conditionvar&gt;&lt;not&gt;&lt;varequal respident=""RESPONSE""&gt;1&lt;/varequal&gt;&lt;/not&gt;&lt;/conditionvar&gt;&lt;setvar action=""Add""&gt;"&amp;(Saisie_Questions!$N51/$I51)&amp;"&lt;/setvar&gt;&lt;/respcondition&gt;"))),"")</f>
        <v/>
      </c>
      <c r="AL51" s="2" t="str">
        <f>IF($B51,IF(N51="","",IF($C51="qcu",IF(V51,"      &lt;respcondition continue=""Yes""&gt;&lt;conditionvar&gt;&lt;varequal respident=""RESPONSE""&gt;2&lt;/varequal&gt;&lt;/conditionvar&gt;&lt;setvar action=""Add""&gt;"&amp;$H51&amp;"&lt;/setvar&gt;&lt;/respcondition&gt;",""),IF(V51,"      &lt;respcondition continue=""Yes""&gt;&lt;conditionvar&gt;&lt;varequal respident=""RESPONSE""&gt;2&lt;/varequal&gt;&lt;/conditionvar&gt;&lt;setvar action=""Add""&gt;"&amp;(Saisie_Questions!$N51/$I51)&amp;"&lt;/setvar&gt;&lt;/respcondition&gt;","      &lt;respcondition continue=""Yes""&gt;&lt;conditionvar&gt;&lt;not&gt;&lt;varequal respident=""RESPONSE""&gt;2&lt;/varequal&gt;&lt;/not&gt;&lt;/conditionvar&gt;&lt;setvar action=""Add""&gt;"&amp;(Saisie_Questions!$N51/$I51)&amp;"&lt;/setvar&gt;&lt;/respcondition&gt;"))),"")</f>
        <v/>
      </c>
      <c r="AM51" s="2" t="str">
        <f>IF($B51,IF(O51="","",IF($C51="qcu",IF(W51,"      &lt;respcondition continue=""Yes""&gt;&lt;conditionvar&gt;&lt;varequal respident=""RESPONSE""&gt;3&lt;/varequal&gt;&lt;/conditionvar&gt;&lt;setvar action=""Add""&gt;"&amp;$H51&amp;"&lt;/setvar&gt;&lt;/respcondition&gt;",""),IF(W51,"      &lt;respcondition continue=""Yes""&gt;&lt;conditionvar&gt;&lt;varequal respident=""RESPONSE""&gt;3&lt;/varequal&gt;&lt;/conditionvar&gt;&lt;setvar action=""Add""&gt;"&amp;(Saisie_Questions!$N51/$I51)&amp;"&lt;/setvar&gt;&lt;/respcondition&gt;","      &lt;respcondition continue=""Yes""&gt;&lt;conditionvar&gt;&lt;not&gt;&lt;varequal respident=""RESPONSE""&gt;3&lt;/varequal&gt;&lt;/not&gt;&lt;/conditionvar&gt;&lt;setvar action=""Add""&gt;"&amp;(Saisie_Questions!$N51/$I51)&amp;"&lt;/setvar&gt;&lt;/respcondition&gt;"))),"")</f>
        <v/>
      </c>
      <c r="AN51" s="2" t="str">
        <f>IF($B51,IF(P51="","",IF($C51="qcu",IF(X51,"      &lt;respcondition continue=""Yes""&gt;&lt;conditionvar&gt;&lt;varequal respident=""RESPONSE""&gt;4&lt;/varequal&gt;&lt;/conditionvar&gt;&lt;setvar action=""Add""&gt;"&amp;$H51&amp;"&lt;/setvar&gt;&lt;/respcondition&gt;",""),IF(X51,"      &lt;respcondition continue=""Yes""&gt;&lt;conditionvar&gt;&lt;varequal respident=""RESPONSE""&gt;4&lt;/varequal&gt;&lt;/conditionvar&gt;&lt;setvar action=""Add""&gt;"&amp;(Saisie_Questions!$N51/$I51)&amp;"&lt;/setvar&gt;&lt;/respcondition&gt;","      &lt;respcondition continue=""Yes""&gt;&lt;conditionvar&gt;&lt;not&gt;&lt;varequal respident=""RESPONSE""&gt;4&lt;/varequal&gt;&lt;/not&gt;&lt;/conditionvar&gt;&lt;setvar action=""Add""&gt;"&amp;(Saisie_Questions!$N51/$I51)&amp;"&lt;/setvar&gt;&lt;/respcondition&gt;"))),"")</f>
        <v/>
      </c>
      <c r="AO51" s="2" t="str">
        <f>IF($B51,IF(Q51="","",IF($C51="qcu",IF(Y51,"      &lt;respcondition continue=""Yes""&gt;&lt;conditionvar&gt;&lt;varequal respident=""RESPONSE""&gt;5&lt;/varequal&gt;&lt;/conditionvar&gt;&lt;setvar action=""Add""&gt;"&amp;$H51&amp;"&lt;/setvar&gt;&lt;/respcondition&gt;",""),IF(Y51,"      &lt;respcondition continue=""Yes""&gt;&lt;conditionvar&gt;&lt;varequal respident=""RESPONSE""&gt;5&lt;/varequal&gt;&lt;/conditionvar&gt;&lt;setvar action=""Add""&gt;"&amp;(Saisie_Questions!$N51/$I51)&amp;"&lt;/setvar&gt;&lt;/respcondition&gt;","      &lt;respcondition continue=""Yes""&gt;&lt;conditionvar&gt;&lt;not&gt;&lt;varequal respident=""RESPONSE""&gt;5&lt;/varequal&gt;&lt;/not&gt;&lt;/conditionvar&gt;&lt;setvar action=""Add""&gt;"&amp;(Saisie_Questions!$N51/$I51)&amp;"&lt;/setvar&gt;&lt;/respcondition&gt;"))),"")</f>
        <v/>
      </c>
      <c r="AP51" s="2" t="str">
        <f>IF($B51,IF(R51="","",IF($C51="qcu",IF(Z51,"      &lt;respcondition continue=""Yes""&gt;&lt;conditionvar&gt;&lt;varequal respident=""RESPONSE""&gt;6&lt;/varequal&gt;&lt;/conditionvar&gt;&lt;setvar action=""Add""&gt;"&amp;$H51&amp;"&lt;/setvar&gt;&lt;/respcondition&gt;",""),IF(Z51,"      &lt;respcondition continue=""Yes""&gt;&lt;conditionvar&gt;&lt;varequal respident=""RESPONSE""&gt;6&lt;/varequal&gt;&lt;/conditionvar&gt;&lt;setvar action=""Add""&gt;"&amp;(Saisie_Questions!$N51/$I51)&amp;"&lt;/setvar&gt;&lt;/respcondition&gt;","      &lt;respcondition continue=""Yes""&gt;&lt;conditionvar&gt;&lt;not&gt;&lt;varequal respident=""RESPONSE""&gt;6&lt;/varequal&gt;&lt;/not&gt;&lt;/conditionvar&gt;&lt;setvar action=""Add""&gt;"&amp;(Saisie_Questions!$N51/$I51)&amp;"&lt;/setvar&gt;&lt;/respcondition&gt;"))),"")</f>
        <v/>
      </c>
      <c r="AQ51" s="2" t="str">
        <f>IF($B51,IF(S51="","",IF($C51="qcu",IF(AA51,"      &lt;respcondition continue=""Yes""&gt;&lt;conditionvar&gt;&lt;varequal respident=""RESPONSE""&gt;7&lt;/varequal&gt;&lt;/conditionvar&gt;&lt;setvar action=""Add""&gt;"&amp;$H51&amp;"&lt;/setvar&gt;&lt;/respcondition&gt;",""),IF(AA51,"      &lt;respcondition continue=""Yes""&gt;&lt;conditionvar&gt;&lt;varequal respident=""RESPONSE""&gt;7&lt;/varequal&gt;&lt;/conditionvar&gt;&lt;setvar action=""Add""&gt;"&amp;(Saisie_Questions!$N51/$I51)&amp;"&lt;/setvar&gt;&lt;/respcondition&gt;","      &lt;respcondition continue=""Yes""&gt;&lt;conditionvar&gt;&lt;not&gt;&lt;varequal respident=""RESPONSE""&gt;7&lt;/varequal&gt;&lt;/not&gt;&lt;/conditionvar&gt;&lt;setvar action=""Add""&gt;"&amp;(Saisie_Questions!$N51/$I51)&amp;"&lt;/setvar&gt;&lt;/respcondition&gt;"))),"")</f>
        <v/>
      </c>
    </row>
    <row r="52" spans="1:43" ht="18" customHeight="1">
      <c r="A52" s="2" t="str">
        <f>Saisie_Questions!A52</f>
        <v/>
      </c>
      <c r="B52" s="2" t="b">
        <f>Saisie_Questions!O52="OK"</f>
        <v>0</v>
      </c>
      <c r="C52" s="2" t="str">
        <f>LOWER(TRIM(Saisie_Questions!B52))</f>
        <v/>
      </c>
      <c r="D52" s="2" t="str">
        <f t="shared" si="18"/>
        <v>MULTIPLE CHOICE QUESTION</v>
      </c>
      <c r="E52" s="2" t="str">
        <f t="shared" si="19"/>
        <v>Multiple</v>
      </c>
      <c r="F52" s="2" t="str">
        <f>IF(A52="","",SUBSTITUTE(SUBSTITUTE(SUBSTITUTE(SUBSTITUTE(SUBSTITUTE(IF(Saisie_Questions!C52="", "Question "&amp;A52, Saisie_Questions!C52),"&amp;","&amp;amp;"),"&lt;","&amp;lt;"),"&gt;","&amp;gt;"),CHAR(34),"&amp;quot;"),"'","&amp;apos;"))</f>
        <v/>
      </c>
      <c r="G52" s="2" t="str">
        <f>IF(A52="","",SUBSTITUTE(SUBSTITUTE(SUBSTITUTE(SUBSTITUTE(SUBSTITUTE(Saisie_Questions!D52,"&amp;","&amp;amp;"),"&lt;","&amp;lt;"),"&gt;","&amp;gt;"),CHAR(34),"&amp;quot;"),"'","&amp;apos;"))</f>
        <v/>
      </c>
      <c r="H52" s="2">
        <f>Saisie_Questions!N52</f>
        <v>0</v>
      </c>
      <c r="I52" s="2">
        <f>IF(Saisie_Questions!E52="",0,1)+IF(Saisie_Questions!F52="",0,1)+IF(Saisie_Questions!G52="",0,1)+IF(Saisie_Questions!H52="",0,1)+IF(Saisie_Questions!I52="",0,1)+IF(Saisie_Questions!J52="",0,1)+IF(Saisie_Questions!K52="",0,1)+IF(Saisie_Questions!L52="",0,1)</f>
        <v>0</v>
      </c>
      <c r="J52" s="2">
        <f>Saisie_Questions!M52</f>
        <v>0</v>
      </c>
      <c r="K52" s="2" t="str">
        <f>Saisie_Questions!O52</f>
        <v/>
      </c>
      <c r="L52" s="2" t="str">
        <f>IF(Saisie_Questions!E52="","",SUBSTITUTE(SUBSTITUTE(SUBSTITUTE(SUBSTITUTE(SUBSTITUTE(Saisie_Questions!E52,"&amp;","&amp;amp;"),"&lt;","&amp;lt;"),"&gt;","&amp;gt;"),CHAR(34),"&amp;quot;"),"'","&amp;apos;"))</f>
        <v/>
      </c>
      <c r="M52" s="2" t="str">
        <f>IF(Saisie_Questions!F52="","",SUBSTITUTE(SUBSTITUTE(SUBSTITUTE(SUBSTITUTE(SUBSTITUTE(Saisie_Questions!F52,"&amp;","&amp;amp;"),"&lt;","&amp;lt;"),"&gt;","&amp;gt;"),CHAR(34),"&amp;quot;"),"'","&amp;apos;"))</f>
        <v/>
      </c>
      <c r="N52" s="2" t="str">
        <f>IF(Saisie_Questions!G52="","",SUBSTITUTE(SUBSTITUTE(SUBSTITUTE(SUBSTITUTE(SUBSTITUTE(Saisie_Questions!G52,"&amp;","&amp;amp;"),"&lt;","&amp;lt;"),"&gt;","&amp;gt;"),CHAR(34),"&amp;quot;"),"'","&amp;apos;"))</f>
        <v/>
      </c>
      <c r="O52" s="2" t="str">
        <f>IF(Saisie_Questions!H52="","",SUBSTITUTE(SUBSTITUTE(SUBSTITUTE(SUBSTITUTE(SUBSTITUTE(Saisie_Questions!H52,"&amp;","&amp;amp;"),"&lt;","&amp;lt;"),"&gt;","&amp;gt;"),CHAR(34),"&amp;quot;"),"'","&amp;apos;"))</f>
        <v/>
      </c>
      <c r="P52" s="2" t="str">
        <f>IF(Saisie_Questions!I52="","",SUBSTITUTE(SUBSTITUTE(SUBSTITUTE(SUBSTITUTE(SUBSTITUTE(Saisie_Questions!I52,"&amp;","&amp;amp;"),"&lt;","&amp;lt;"),"&gt;","&amp;gt;"),CHAR(34),"&amp;quot;"),"'","&amp;apos;"))</f>
        <v/>
      </c>
      <c r="Q52" s="2" t="str">
        <f>IF(Saisie_Questions!J52="","",SUBSTITUTE(SUBSTITUTE(SUBSTITUTE(SUBSTITUTE(SUBSTITUTE(Saisie_Questions!J52,"&amp;","&amp;amp;"),"&lt;","&amp;lt;"),"&gt;","&amp;gt;"),CHAR(34),"&amp;quot;"),"'","&amp;apos;"))</f>
        <v/>
      </c>
      <c r="R52" s="2" t="str">
        <f>IF(Saisie_Questions!K52="","",SUBSTITUTE(SUBSTITUTE(SUBSTITUTE(SUBSTITUTE(SUBSTITUTE(Saisie_Questions!K52,"&amp;","&amp;amp;"),"&lt;","&amp;lt;"),"&gt;","&amp;gt;"),CHAR(34),"&amp;quot;"),"'","&amp;apos;"))</f>
        <v/>
      </c>
      <c r="S52" s="2" t="str">
        <f>IF(Saisie_Questions!L52="","",SUBSTITUTE(SUBSTITUTE(SUBSTITUTE(SUBSTITUTE(SUBSTITUTE(Saisie_Questions!L52,"&amp;","&amp;amp;"),"&lt;","&amp;lt;"),"&gt;","&amp;gt;"),CHAR(34),"&amp;quot;"),"'","&amp;apos;"))</f>
        <v/>
      </c>
      <c r="T52" s="2" t="b">
        <f t="shared" si="20"/>
        <v>0</v>
      </c>
      <c r="U52" s="2" t="b">
        <f t="shared" si="21"/>
        <v>0</v>
      </c>
      <c r="V52" s="2" t="b">
        <f t="shared" si="22"/>
        <v>0</v>
      </c>
      <c r="W52" s="2" t="b">
        <f t="shared" si="23"/>
        <v>0</v>
      </c>
      <c r="X52" s="2" t="b">
        <f t="shared" si="24"/>
        <v>0</v>
      </c>
      <c r="Y52" s="2" t="b">
        <f t="shared" si="25"/>
        <v>0</v>
      </c>
      <c r="Z52" s="2" t="b">
        <f t="shared" si="26"/>
        <v>0</v>
      </c>
      <c r="AA52" s="2" t="b">
        <f t="shared" si="27"/>
        <v>0</v>
      </c>
      <c r="AB52" s="2" t="str">
        <f t="shared" si="28"/>
        <v/>
      </c>
      <c r="AC52" s="2" t="str">
        <f t="shared" si="29"/>
        <v/>
      </c>
      <c r="AD52" s="2" t="str">
        <f t="shared" si="30"/>
        <v/>
      </c>
      <c r="AE52" s="2" t="str">
        <f t="shared" si="31"/>
        <v/>
      </c>
      <c r="AF52" s="2" t="str">
        <f t="shared" si="32"/>
        <v/>
      </c>
      <c r="AG52" s="2" t="str">
        <f t="shared" si="33"/>
        <v/>
      </c>
      <c r="AH52" s="2" t="str">
        <f t="shared" si="34"/>
        <v/>
      </c>
      <c r="AI52" s="2" t="str">
        <f t="shared" si="35"/>
        <v/>
      </c>
      <c r="AJ52" s="2" t="str">
        <f>IF($B52,IF(L52="","",IF($C52="qcu",IF(T52,"      &lt;respcondition continue=""Yes""&gt;&lt;conditionvar&gt;&lt;varequal respident=""RESPONSE""&gt;0&lt;/varequal&gt;&lt;/conditionvar&gt;&lt;setvar action=""Add""&gt;"&amp;$H52&amp;"&lt;/setvar&gt;&lt;/respcondition&gt;",""),IF(T52,"      &lt;respcondition continue=""Yes""&gt;&lt;conditionvar&gt;&lt;varequal respident=""RESPONSE""&gt;0&lt;/varequal&gt;&lt;/conditionvar&gt;&lt;setvar action=""Add""&gt;"&amp;(Saisie_Questions!$N52/$I52)&amp;"&lt;/setvar&gt;&lt;/respcondition&gt;","      &lt;respcondition continue=""Yes""&gt;&lt;conditionvar&gt;&lt;not&gt;&lt;varequal respident=""RESPONSE""&gt;0&lt;/varequal&gt;&lt;/not&gt;&lt;/conditionvar&gt;&lt;setvar action=""Add""&gt;"&amp;(Saisie_Questions!$N52/$I52)&amp;"&lt;/setvar&gt;&lt;/respcondition&gt;"))),"")</f>
        <v/>
      </c>
      <c r="AK52" s="2" t="str">
        <f>IF($B52,IF(M52="","",IF($C52="qcu",IF(U52,"      &lt;respcondition continue=""Yes""&gt;&lt;conditionvar&gt;&lt;varequal respident=""RESPONSE""&gt;1&lt;/varequal&gt;&lt;/conditionvar&gt;&lt;setvar action=""Add""&gt;"&amp;$H52&amp;"&lt;/setvar&gt;&lt;/respcondition&gt;",""),IF(U52,"      &lt;respcondition continue=""Yes""&gt;&lt;conditionvar&gt;&lt;varequal respident=""RESPONSE""&gt;1&lt;/varequal&gt;&lt;/conditionvar&gt;&lt;setvar action=""Add""&gt;"&amp;(Saisie_Questions!$N52/$I52)&amp;"&lt;/setvar&gt;&lt;/respcondition&gt;","      &lt;respcondition continue=""Yes""&gt;&lt;conditionvar&gt;&lt;not&gt;&lt;varequal respident=""RESPONSE""&gt;1&lt;/varequal&gt;&lt;/not&gt;&lt;/conditionvar&gt;&lt;setvar action=""Add""&gt;"&amp;(Saisie_Questions!$N52/$I52)&amp;"&lt;/setvar&gt;&lt;/respcondition&gt;"))),"")</f>
        <v/>
      </c>
      <c r="AL52" s="2" t="str">
        <f>IF($B52,IF(N52="","",IF($C52="qcu",IF(V52,"      &lt;respcondition continue=""Yes""&gt;&lt;conditionvar&gt;&lt;varequal respident=""RESPONSE""&gt;2&lt;/varequal&gt;&lt;/conditionvar&gt;&lt;setvar action=""Add""&gt;"&amp;$H52&amp;"&lt;/setvar&gt;&lt;/respcondition&gt;",""),IF(V52,"      &lt;respcondition continue=""Yes""&gt;&lt;conditionvar&gt;&lt;varequal respident=""RESPONSE""&gt;2&lt;/varequal&gt;&lt;/conditionvar&gt;&lt;setvar action=""Add""&gt;"&amp;(Saisie_Questions!$N52/$I52)&amp;"&lt;/setvar&gt;&lt;/respcondition&gt;","      &lt;respcondition continue=""Yes""&gt;&lt;conditionvar&gt;&lt;not&gt;&lt;varequal respident=""RESPONSE""&gt;2&lt;/varequal&gt;&lt;/not&gt;&lt;/conditionvar&gt;&lt;setvar action=""Add""&gt;"&amp;(Saisie_Questions!$N52/$I52)&amp;"&lt;/setvar&gt;&lt;/respcondition&gt;"))),"")</f>
        <v/>
      </c>
      <c r="AM52" s="2" t="str">
        <f>IF($B52,IF(O52="","",IF($C52="qcu",IF(W52,"      &lt;respcondition continue=""Yes""&gt;&lt;conditionvar&gt;&lt;varequal respident=""RESPONSE""&gt;3&lt;/varequal&gt;&lt;/conditionvar&gt;&lt;setvar action=""Add""&gt;"&amp;$H52&amp;"&lt;/setvar&gt;&lt;/respcondition&gt;",""),IF(W52,"      &lt;respcondition continue=""Yes""&gt;&lt;conditionvar&gt;&lt;varequal respident=""RESPONSE""&gt;3&lt;/varequal&gt;&lt;/conditionvar&gt;&lt;setvar action=""Add""&gt;"&amp;(Saisie_Questions!$N52/$I52)&amp;"&lt;/setvar&gt;&lt;/respcondition&gt;","      &lt;respcondition continue=""Yes""&gt;&lt;conditionvar&gt;&lt;not&gt;&lt;varequal respident=""RESPONSE""&gt;3&lt;/varequal&gt;&lt;/not&gt;&lt;/conditionvar&gt;&lt;setvar action=""Add""&gt;"&amp;(Saisie_Questions!$N52/$I52)&amp;"&lt;/setvar&gt;&lt;/respcondition&gt;"))),"")</f>
        <v/>
      </c>
      <c r="AN52" s="2" t="str">
        <f>IF($B52,IF(P52="","",IF($C52="qcu",IF(X52,"      &lt;respcondition continue=""Yes""&gt;&lt;conditionvar&gt;&lt;varequal respident=""RESPONSE""&gt;4&lt;/varequal&gt;&lt;/conditionvar&gt;&lt;setvar action=""Add""&gt;"&amp;$H52&amp;"&lt;/setvar&gt;&lt;/respcondition&gt;",""),IF(X52,"      &lt;respcondition continue=""Yes""&gt;&lt;conditionvar&gt;&lt;varequal respident=""RESPONSE""&gt;4&lt;/varequal&gt;&lt;/conditionvar&gt;&lt;setvar action=""Add""&gt;"&amp;(Saisie_Questions!$N52/$I52)&amp;"&lt;/setvar&gt;&lt;/respcondition&gt;","      &lt;respcondition continue=""Yes""&gt;&lt;conditionvar&gt;&lt;not&gt;&lt;varequal respident=""RESPONSE""&gt;4&lt;/varequal&gt;&lt;/not&gt;&lt;/conditionvar&gt;&lt;setvar action=""Add""&gt;"&amp;(Saisie_Questions!$N52/$I52)&amp;"&lt;/setvar&gt;&lt;/respcondition&gt;"))),"")</f>
        <v/>
      </c>
      <c r="AO52" s="2" t="str">
        <f>IF($B52,IF(Q52="","",IF($C52="qcu",IF(Y52,"      &lt;respcondition continue=""Yes""&gt;&lt;conditionvar&gt;&lt;varequal respident=""RESPONSE""&gt;5&lt;/varequal&gt;&lt;/conditionvar&gt;&lt;setvar action=""Add""&gt;"&amp;$H52&amp;"&lt;/setvar&gt;&lt;/respcondition&gt;",""),IF(Y52,"      &lt;respcondition continue=""Yes""&gt;&lt;conditionvar&gt;&lt;varequal respident=""RESPONSE""&gt;5&lt;/varequal&gt;&lt;/conditionvar&gt;&lt;setvar action=""Add""&gt;"&amp;(Saisie_Questions!$N52/$I52)&amp;"&lt;/setvar&gt;&lt;/respcondition&gt;","      &lt;respcondition continue=""Yes""&gt;&lt;conditionvar&gt;&lt;not&gt;&lt;varequal respident=""RESPONSE""&gt;5&lt;/varequal&gt;&lt;/not&gt;&lt;/conditionvar&gt;&lt;setvar action=""Add""&gt;"&amp;(Saisie_Questions!$N52/$I52)&amp;"&lt;/setvar&gt;&lt;/respcondition&gt;"))),"")</f>
        <v/>
      </c>
      <c r="AP52" s="2" t="str">
        <f>IF($B52,IF(R52="","",IF($C52="qcu",IF(Z52,"      &lt;respcondition continue=""Yes""&gt;&lt;conditionvar&gt;&lt;varequal respident=""RESPONSE""&gt;6&lt;/varequal&gt;&lt;/conditionvar&gt;&lt;setvar action=""Add""&gt;"&amp;$H52&amp;"&lt;/setvar&gt;&lt;/respcondition&gt;",""),IF(Z52,"      &lt;respcondition continue=""Yes""&gt;&lt;conditionvar&gt;&lt;varequal respident=""RESPONSE""&gt;6&lt;/varequal&gt;&lt;/conditionvar&gt;&lt;setvar action=""Add""&gt;"&amp;(Saisie_Questions!$N52/$I52)&amp;"&lt;/setvar&gt;&lt;/respcondition&gt;","      &lt;respcondition continue=""Yes""&gt;&lt;conditionvar&gt;&lt;not&gt;&lt;varequal respident=""RESPONSE""&gt;6&lt;/varequal&gt;&lt;/not&gt;&lt;/conditionvar&gt;&lt;setvar action=""Add""&gt;"&amp;(Saisie_Questions!$N52/$I52)&amp;"&lt;/setvar&gt;&lt;/respcondition&gt;"))),"")</f>
        <v/>
      </c>
      <c r="AQ52" s="2" t="str">
        <f>IF($B52,IF(S52="","",IF($C52="qcu",IF(AA52,"      &lt;respcondition continue=""Yes""&gt;&lt;conditionvar&gt;&lt;varequal respident=""RESPONSE""&gt;7&lt;/varequal&gt;&lt;/conditionvar&gt;&lt;setvar action=""Add""&gt;"&amp;$H52&amp;"&lt;/setvar&gt;&lt;/respcondition&gt;",""),IF(AA52,"      &lt;respcondition continue=""Yes""&gt;&lt;conditionvar&gt;&lt;varequal respident=""RESPONSE""&gt;7&lt;/varequal&gt;&lt;/conditionvar&gt;&lt;setvar action=""Add""&gt;"&amp;(Saisie_Questions!$N52/$I52)&amp;"&lt;/setvar&gt;&lt;/respcondition&gt;","      &lt;respcondition continue=""Yes""&gt;&lt;conditionvar&gt;&lt;not&gt;&lt;varequal respident=""RESPONSE""&gt;7&lt;/varequal&gt;&lt;/not&gt;&lt;/conditionvar&gt;&lt;setvar action=""Add""&gt;"&amp;(Saisie_Questions!$N52/$I52)&amp;"&lt;/setvar&gt;&lt;/respcondition&gt;"))),"")</f>
        <v/>
      </c>
    </row>
    <row r="53" spans="1:43" ht="18" customHeight="1">
      <c r="A53" s="2" t="str">
        <f>Saisie_Questions!A53</f>
        <v/>
      </c>
      <c r="B53" s="2" t="b">
        <f>Saisie_Questions!O53="OK"</f>
        <v>0</v>
      </c>
      <c r="C53" s="2" t="str">
        <f>LOWER(TRIM(Saisie_Questions!B53))</f>
        <v/>
      </c>
      <c r="D53" s="2" t="str">
        <f t="shared" si="18"/>
        <v>MULTIPLE CHOICE QUESTION</v>
      </c>
      <c r="E53" s="2" t="str">
        <f t="shared" si="19"/>
        <v>Multiple</v>
      </c>
      <c r="F53" s="2" t="str">
        <f>IF(A53="","",SUBSTITUTE(SUBSTITUTE(SUBSTITUTE(SUBSTITUTE(SUBSTITUTE(IF(Saisie_Questions!C53="", "Question "&amp;A53, Saisie_Questions!C53),"&amp;","&amp;amp;"),"&lt;","&amp;lt;"),"&gt;","&amp;gt;"),CHAR(34),"&amp;quot;"),"'","&amp;apos;"))</f>
        <v/>
      </c>
      <c r="G53" s="2" t="str">
        <f>IF(A53="","",SUBSTITUTE(SUBSTITUTE(SUBSTITUTE(SUBSTITUTE(SUBSTITUTE(Saisie_Questions!D53,"&amp;","&amp;amp;"),"&lt;","&amp;lt;"),"&gt;","&amp;gt;"),CHAR(34),"&amp;quot;"),"'","&amp;apos;"))</f>
        <v/>
      </c>
      <c r="H53" s="2">
        <f>Saisie_Questions!N53</f>
        <v>0</v>
      </c>
      <c r="I53" s="2">
        <f>IF(Saisie_Questions!E53="",0,1)+IF(Saisie_Questions!F53="",0,1)+IF(Saisie_Questions!G53="",0,1)+IF(Saisie_Questions!H53="",0,1)+IF(Saisie_Questions!I53="",0,1)+IF(Saisie_Questions!J53="",0,1)+IF(Saisie_Questions!K53="",0,1)+IF(Saisie_Questions!L53="",0,1)</f>
        <v>0</v>
      </c>
      <c r="J53" s="2">
        <f>Saisie_Questions!M53</f>
        <v>0</v>
      </c>
      <c r="K53" s="2" t="str">
        <f>Saisie_Questions!O53</f>
        <v/>
      </c>
      <c r="L53" s="2" t="str">
        <f>IF(Saisie_Questions!E53="","",SUBSTITUTE(SUBSTITUTE(SUBSTITUTE(SUBSTITUTE(SUBSTITUTE(Saisie_Questions!E53,"&amp;","&amp;amp;"),"&lt;","&amp;lt;"),"&gt;","&amp;gt;"),CHAR(34),"&amp;quot;"),"'","&amp;apos;"))</f>
        <v/>
      </c>
      <c r="M53" s="2" t="str">
        <f>IF(Saisie_Questions!F53="","",SUBSTITUTE(SUBSTITUTE(SUBSTITUTE(SUBSTITUTE(SUBSTITUTE(Saisie_Questions!F53,"&amp;","&amp;amp;"),"&lt;","&amp;lt;"),"&gt;","&amp;gt;"),CHAR(34),"&amp;quot;"),"'","&amp;apos;"))</f>
        <v/>
      </c>
      <c r="N53" s="2" t="str">
        <f>IF(Saisie_Questions!G53="","",SUBSTITUTE(SUBSTITUTE(SUBSTITUTE(SUBSTITUTE(SUBSTITUTE(Saisie_Questions!G53,"&amp;","&amp;amp;"),"&lt;","&amp;lt;"),"&gt;","&amp;gt;"),CHAR(34),"&amp;quot;"),"'","&amp;apos;"))</f>
        <v/>
      </c>
      <c r="O53" s="2" t="str">
        <f>IF(Saisie_Questions!H53="","",SUBSTITUTE(SUBSTITUTE(SUBSTITUTE(SUBSTITUTE(SUBSTITUTE(Saisie_Questions!H53,"&amp;","&amp;amp;"),"&lt;","&amp;lt;"),"&gt;","&amp;gt;"),CHAR(34),"&amp;quot;"),"'","&amp;apos;"))</f>
        <v/>
      </c>
      <c r="P53" s="2" t="str">
        <f>IF(Saisie_Questions!I53="","",SUBSTITUTE(SUBSTITUTE(SUBSTITUTE(SUBSTITUTE(SUBSTITUTE(Saisie_Questions!I53,"&amp;","&amp;amp;"),"&lt;","&amp;lt;"),"&gt;","&amp;gt;"),CHAR(34),"&amp;quot;"),"'","&amp;apos;"))</f>
        <v/>
      </c>
      <c r="Q53" s="2" t="str">
        <f>IF(Saisie_Questions!J53="","",SUBSTITUTE(SUBSTITUTE(SUBSTITUTE(SUBSTITUTE(SUBSTITUTE(Saisie_Questions!J53,"&amp;","&amp;amp;"),"&lt;","&amp;lt;"),"&gt;","&amp;gt;"),CHAR(34),"&amp;quot;"),"'","&amp;apos;"))</f>
        <v/>
      </c>
      <c r="R53" s="2" t="str">
        <f>IF(Saisie_Questions!K53="","",SUBSTITUTE(SUBSTITUTE(SUBSTITUTE(SUBSTITUTE(SUBSTITUTE(Saisie_Questions!K53,"&amp;","&amp;amp;"),"&lt;","&amp;lt;"),"&gt;","&amp;gt;"),CHAR(34),"&amp;quot;"),"'","&amp;apos;"))</f>
        <v/>
      </c>
      <c r="S53" s="2" t="str">
        <f>IF(Saisie_Questions!L53="","",SUBSTITUTE(SUBSTITUTE(SUBSTITUTE(SUBSTITUTE(SUBSTITUTE(Saisie_Questions!L53,"&amp;","&amp;amp;"),"&lt;","&amp;lt;"),"&gt;","&amp;gt;"),CHAR(34),"&amp;quot;"),"'","&amp;apos;"))</f>
        <v/>
      </c>
      <c r="T53" s="2" t="b">
        <f t="shared" si="20"/>
        <v>0</v>
      </c>
      <c r="U53" s="2" t="b">
        <f t="shared" si="21"/>
        <v>0</v>
      </c>
      <c r="V53" s="2" t="b">
        <f t="shared" si="22"/>
        <v>0</v>
      </c>
      <c r="W53" s="2" t="b">
        <f t="shared" si="23"/>
        <v>0</v>
      </c>
      <c r="X53" s="2" t="b">
        <f t="shared" si="24"/>
        <v>0</v>
      </c>
      <c r="Y53" s="2" t="b">
        <f t="shared" si="25"/>
        <v>0</v>
      </c>
      <c r="Z53" s="2" t="b">
        <f t="shared" si="26"/>
        <v>0</v>
      </c>
      <c r="AA53" s="2" t="b">
        <f t="shared" si="27"/>
        <v>0</v>
      </c>
      <c r="AB53" s="2" t="str">
        <f t="shared" si="28"/>
        <v/>
      </c>
      <c r="AC53" s="2" t="str">
        <f t="shared" si="29"/>
        <v/>
      </c>
      <c r="AD53" s="2" t="str">
        <f t="shared" si="30"/>
        <v/>
      </c>
      <c r="AE53" s="2" t="str">
        <f t="shared" si="31"/>
        <v/>
      </c>
      <c r="AF53" s="2" t="str">
        <f t="shared" si="32"/>
        <v/>
      </c>
      <c r="AG53" s="2" t="str">
        <f t="shared" si="33"/>
        <v/>
      </c>
      <c r="AH53" s="2" t="str">
        <f t="shared" si="34"/>
        <v/>
      </c>
      <c r="AI53" s="2" t="str">
        <f t="shared" si="35"/>
        <v/>
      </c>
      <c r="AJ53" s="2" t="str">
        <f>IF($B53,IF(L53="","",IF($C53="qcu",IF(T53,"      &lt;respcondition continue=""Yes""&gt;&lt;conditionvar&gt;&lt;varequal respident=""RESPONSE""&gt;0&lt;/varequal&gt;&lt;/conditionvar&gt;&lt;setvar action=""Add""&gt;"&amp;$H53&amp;"&lt;/setvar&gt;&lt;/respcondition&gt;",""),IF(T53,"      &lt;respcondition continue=""Yes""&gt;&lt;conditionvar&gt;&lt;varequal respident=""RESPONSE""&gt;0&lt;/varequal&gt;&lt;/conditionvar&gt;&lt;setvar action=""Add""&gt;"&amp;(Saisie_Questions!$N53/$I53)&amp;"&lt;/setvar&gt;&lt;/respcondition&gt;","      &lt;respcondition continue=""Yes""&gt;&lt;conditionvar&gt;&lt;not&gt;&lt;varequal respident=""RESPONSE""&gt;0&lt;/varequal&gt;&lt;/not&gt;&lt;/conditionvar&gt;&lt;setvar action=""Add""&gt;"&amp;(Saisie_Questions!$N53/$I53)&amp;"&lt;/setvar&gt;&lt;/respcondition&gt;"))),"")</f>
        <v/>
      </c>
      <c r="AK53" s="2" t="str">
        <f>IF($B53,IF(M53="","",IF($C53="qcu",IF(U53,"      &lt;respcondition continue=""Yes""&gt;&lt;conditionvar&gt;&lt;varequal respident=""RESPONSE""&gt;1&lt;/varequal&gt;&lt;/conditionvar&gt;&lt;setvar action=""Add""&gt;"&amp;$H53&amp;"&lt;/setvar&gt;&lt;/respcondition&gt;",""),IF(U53,"      &lt;respcondition continue=""Yes""&gt;&lt;conditionvar&gt;&lt;varequal respident=""RESPONSE""&gt;1&lt;/varequal&gt;&lt;/conditionvar&gt;&lt;setvar action=""Add""&gt;"&amp;(Saisie_Questions!$N53/$I53)&amp;"&lt;/setvar&gt;&lt;/respcondition&gt;","      &lt;respcondition continue=""Yes""&gt;&lt;conditionvar&gt;&lt;not&gt;&lt;varequal respident=""RESPONSE""&gt;1&lt;/varequal&gt;&lt;/not&gt;&lt;/conditionvar&gt;&lt;setvar action=""Add""&gt;"&amp;(Saisie_Questions!$N53/$I53)&amp;"&lt;/setvar&gt;&lt;/respcondition&gt;"))),"")</f>
        <v/>
      </c>
      <c r="AL53" s="2" t="str">
        <f>IF($B53,IF(N53="","",IF($C53="qcu",IF(V53,"      &lt;respcondition continue=""Yes""&gt;&lt;conditionvar&gt;&lt;varequal respident=""RESPONSE""&gt;2&lt;/varequal&gt;&lt;/conditionvar&gt;&lt;setvar action=""Add""&gt;"&amp;$H53&amp;"&lt;/setvar&gt;&lt;/respcondition&gt;",""),IF(V53,"      &lt;respcondition continue=""Yes""&gt;&lt;conditionvar&gt;&lt;varequal respident=""RESPONSE""&gt;2&lt;/varequal&gt;&lt;/conditionvar&gt;&lt;setvar action=""Add""&gt;"&amp;(Saisie_Questions!$N53/$I53)&amp;"&lt;/setvar&gt;&lt;/respcondition&gt;","      &lt;respcondition continue=""Yes""&gt;&lt;conditionvar&gt;&lt;not&gt;&lt;varequal respident=""RESPONSE""&gt;2&lt;/varequal&gt;&lt;/not&gt;&lt;/conditionvar&gt;&lt;setvar action=""Add""&gt;"&amp;(Saisie_Questions!$N53/$I53)&amp;"&lt;/setvar&gt;&lt;/respcondition&gt;"))),"")</f>
        <v/>
      </c>
      <c r="AM53" s="2" t="str">
        <f>IF($B53,IF(O53="","",IF($C53="qcu",IF(W53,"      &lt;respcondition continue=""Yes""&gt;&lt;conditionvar&gt;&lt;varequal respident=""RESPONSE""&gt;3&lt;/varequal&gt;&lt;/conditionvar&gt;&lt;setvar action=""Add""&gt;"&amp;$H53&amp;"&lt;/setvar&gt;&lt;/respcondition&gt;",""),IF(W53,"      &lt;respcondition continue=""Yes""&gt;&lt;conditionvar&gt;&lt;varequal respident=""RESPONSE""&gt;3&lt;/varequal&gt;&lt;/conditionvar&gt;&lt;setvar action=""Add""&gt;"&amp;(Saisie_Questions!$N53/$I53)&amp;"&lt;/setvar&gt;&lt;/respcondition&gt;","      &lt;respcondition continue=""Yes""&gt;&lt;conditionvar&gt;&lt;not&gt;&lt;varequal respident=""RESPONSE""&gt;3&lt;/varequal&gt;&lt;/not&gt;&lt;/conditionvar&gt;&lt;setvar action=""Add""&gt;"&amp;(Saisie_Questions!$N53/$I53)&amp;"&lt;/setvar&gt;&lt;/respcondition&gt;"))),"")</f>
        <v/>
      </c>
      <c r="AN53" s="2" t="str">
        <f>IF($B53,IF(P53="","",IF($C53="qcu",IF(X53,"      &lt;respcondition continue=""Yes""&gt;&lt;conditionvar&gt;&lt;varequal respident=""RESPONSE""&gt;4&lt;/varequal&gt;&lt;/conditionvar&gt;&lt;setvar action=""Add""&gt;"&amp;$H53&amp;"&lt;/setvar&gt;&lt;/respcondition&gt;",""),IF(X53,"      &lt;respcondition continue=""Yes""&gt;&lt;conditionvar&gt;&lt;varequal respident=""RESPONSE""&gt;4&lt;/varequal&gt;&lt;/conditionvar&gt;&lt;setvar action=""Add""&gt;"&amp;(Saisie_Questions!$N53/$I53)&amp;"&lt;/setvar&gt;&lt;/respcondition&gt;","      &lt;respcondition continue=""Yes""&gt;&lt;conditionvar&gt;&lt;not&gt;&lt;varequal respident=""RESPONSE""&gt;4&lt;/varequal&gt;&lt;/not&gt;&lt;/conditionvar&gt;&lt;setvar action=""Add""&gt;"&amp;(Saisie_Questions!$N53/$I53)&amp;"&lt;/setvar&gt;&lt;/respcondition&gt;"))),"")</f>
        <v/>
      </c>
      <c r="AO53" s="2" t="str">
        <f>IF($B53,IF(Q53="","",IF($C53="qcu",IF(Y53,"      &lt;respcondition continue=""Yes""&gt;&lt;conditionvar&gt;&lt;varequal respident=""RESPONSE""&gt;5&lt;/varequal&gt;&lt;/conditionvar&gt;&lt;setvar action=""Add""&gt;"&amp;$H53&amp;"&lt;/setvar&gt;&lt;/respcondition&gt;",""),IF(Y53,"      &lt;respcondition continue=""Yes""&gt;&lt;conditionvar&gt;&lt;varequal respident=""RESPONSE""&gt;5&lt;/varequal&gt;&lt;/conditionvar&gt;&lt;setvar action=""Add""&gt;"&amp;(Saisie_Questions!$N53/$I53)&amp;"&lt;/setvar&gt;&lt;/respcondition&gt;","      &lt;respcondition continue=""Yes""&gt;&lt;conditionvar&gt;&lt;not&gt;&lt;varequal respident=""RESPONSE""&gt;5&lt;/varequal&gt;&lt;/not&gt;&lt;/conditionvar&gt;&lt;setvar action=""Add""&gt;"&amp;(Saisie_Questions!$N53/$I53)&amp;"&lt;/setvar&gt;&lt;/respcondition&gt;"))),"")</f>
        <v/>
      </c>
      <c r="AP53" s="2" t="str">
        <f>IF($B53,IF(R53="","",IF($C53="qcu",IF(Z53,"      &lt;respcondition continue=""Yes""&gt;&lt;conditionvar&gt;&lt;varequal respident=""RESPONSE""&gt;6&lt;/varequal&gt;&lt;/conditionvar&gt;&lt;setvar action=""Add""&gt;"&amp;$H53&amp;"&lt;/setvar&gt;&lt;/respcondition&gt;",""),IF(Z53,"      &lt;respcondition continue=""Yes""&gt;&lt;conditionvar&gt;&lt;varequal respident=""RESPONSE""&gt;6&lt;/varequal&gt;&lt;/conditionvar&gt;&lt;setvar action=""Add""&gt;"&amp;(Saisie_Questions!$N53/$I53)&amp;"&lt;/setvar&gt;&lt;/respcondition&gt;","      &lt;respcondition continue=""Yes""&gt;&lt;conditionvar&gt;&lt;not&gt;&lt;varequal respident=""RESPONSE""&gt;6&lt;/varequal&gt;&lt;/not&gt;&lt;/conditionvar&gt;&lt;setvar action=""Add""&gt;"&amp;(Saisie_Questions!$N53/$I53)&amp;"&lt;/setvar&gt;&lt;/respcondition&gt;"))),"")</f>
        <v/>
      </c>
      <c r="AQ53" s="2" t="str">
        <f>IF($B53,IF(S53="","",IF($C53="qcu",IF(AA53,"      &lt;respcondition continue=""Yes""&gt;&lt;conditionvar&gt;&lt;varequal respident=""RESPONSE""&gt;7&lt;/varequal&gt;&lt;/conditionvar&gt;&lt;setvar action=""Add""&gt;"&amp;$H53&amp;"&lt;/setvar&gt;&lt;/respcondition&gt;",""),IF(AA53,"      &lt;respcondition continue=""Yes""&gt;&lt;conditionvar&gt;&lt;varequal respident=""RESPONSE""&gt;7&lt;/varequal&gt;&lt;/conditionvar&gt;&lt;setvar action=""Add""&gt;"&amp;(Saisie_Questions!$N53/$I53)&amp;"&lt;/setvar&gt;&lt;/respcondition&gt;","      &lt;respcondition continue=""Yes""&gt;&lt;conditionvar&gt;&lt;not&gt;&lt;varequal respident=""RESPONSE""&gt;7&lt;/varequal&gt;&lt;/not&gt;&lt;/conditionvar&gt;&lt;setvar action=""Add""&gt;"&amp;(Saisie_Questions!$N53/$I53)&amp;"&lt;/setvar&gt;&lt;/respcondition&gt;"))),"")</f>
        <v/>
      </c>
    </row>
    <row r="54" spans="1:43" ht="18" customHeight="1">
      <c r="A54" s="2" t="str">
        <f>Saisie_Questions!A54</f>
        <v/>
      </c>
      <c r="B54" s="2" t="b">
        <f>Saisie_Questions!O54="OK"</f>
        <v>0</v>
      </c>
      <c r="C54" s="2" t="str">
        <f>LOWER(TRIM(Saisie_Questions!B54))</f>
        <v/>
      </c>
      <c r="D54" s="2" t="str">
        <f t="shared" si="18"/>
        <v>MULTIPLE CHOICE QUESTION</v>
      </c>
      <c r="E54" s="2" t="str">
        <f t="shared" si="19"/>
        <v>Multiple</v>
      </c>
      <c r="F54" s="2" t="str">
        <f>IF(A54="","",SUBSTITUTE(SUBSTITUTE(SUBSTITUTE(SUBSTITUTE(SUBSTITUTE(IF(Saisie_Questions!C54="", "Question "&amp;A54, Saisie_Questions!C54),"&amp;","&amp;amp;"),"&lt;","&amp;lt;"),"&gt;","&amp;gt;"),CHAR(34),"&amp;quot;"),"'","&amp;apos;"))</f>
        <v/>
      </c>
      <c r="G54" s="2" t="str">
        <f>IF(A54="","",SUBSTITUTE(SUBSTITUTE(SUBSTITUTE(SUBSTITUTE(SUBSTITUTE(Saisie_Questions!D54,"&amp;","&amp;amp;"),"&lt;","&amp;lt;"),"&gt;","&amp;gt;"),CHAR(34),"&amp;quot;"),"'","&amp;apos;"))</f>
        <v/>
      </c>
      <c r="H54" s="2">
        <f>Saisie_Questions!N54</f>
        <v>0</v>
      </c>
      <c r="I54" s="2">
        <f>IF(Saisie_Questions!E54="",0,1)+IF(Saisie_Questions!F54="",0,1)+IF(Saisie_Questions!G54="",0,1)+IF(Saisie_Questions!H54="",0,1)+IF(Saisie_Questions!I54="",0,1)+IF(Saisie_Questions!J54="",0,1)+IF(Saisie_Questions!K54="",0,1)+IF(Saisie_Questions!L54="",0,1)</f>
        <v>0</v>
      </c>
      <c r="J54" s="2">
        <f>Saisie_Questions!M54</f>
        <v>0</v>
      </c>
      <c r="K54" s="2" t="str">
        <f>Saisie_Questions!O54</f>
        <v/>
      </c>
      <c r="L54" s="2" t="str">
        <f>IF(Saisie_Questions!E54="","",SUBSTITUTE(SUBSTITUTE(SUBSTITUTE(SUBSTITUTE(SUBSTITUTE(Saisie_Questions!E54,"&amp;","&amp;amp;"),"&lt;","&amp;lt;"),"&gt;","&amp;gt;"),CHAR(34),"&amp;quot;"),"'","&amp;apos;"))</f>
        <v/>
      </c>
      <c r="M54" s="2" t="str">
        <f>IF(Saisie_Questions!F54="","",SUBSTITUTE(SUBSTITUTE(SUBSTITUTE(SUBSTITUTE(SUBSTITUTE(Saisie_Questions!F54,"&amp;","&amp;amp;"),"&lt;","&amp;lt;"),"&gt;","&amp;gt;"),CHAR(34),"&amp;quot;"),"'","&amp;apos;"))</f>
        <v/>
      </c>
      <c r="N54" s="2" t="str">
        <f>IF(Saisie_Questions!G54="","",SUBSTITUTE(SUBSTITUTE(SUBSTITUTE(SUBSTITUTE(SUBSTITUTE(Saisie_Questions!G54,"&amp;","&amp;amp;"),"&lt;","&amp;lt;"),"&gt;","&amp;gt;"),CHAR(34),"&amp;quot;"),"'","&amp;apos;"))</f>
        <v/>
      </c>
      <c r="O54" s="2" t="str">
        <f>IF(Saisie_Questions!H54="","",SUBSTITUTE(SUBSTITUTE(SUBSTITUTE(SUBSTITUTE(SUBSTITUTE(Saisie_Questions!H54,"&amp;","&amp;amp;"),"&lt;","&amp;lt;"),"&gt;","&amp;gt;"),CHAR(34),"&amp;quot;"),"'","&amp;apos;"))</f>
        <v/>
      </c>
      <c r="P54" s="2" t="str">
        <f>IF(Saisie_Questions!I54="","",SUBSTITUTE(SUBSTITUTE(SUBSTITUTE(SUBSTITUTE(SUBSTITUTE(Saisie_Questions!I54,"&amp;","&amp;amp;"),"&lt;","&amp;lt;"),"&gt;","&amp;gt;"),CHAR(34),"&amp;quot;"),"'","&amp;apos;"))</f>
        <v/>
      </c>
      <c r="Q54" s="2" t="str">
        <f>IF(Saisie_Questions!J54="","",SUBSTITUTE(SUBSTITUTE(SUBSTITUTE(SUBSTITUTE(SUBSTITUTE(Saisie_Questions!J54,"&amp;","&amp;amp;"),"&lt;","&amp;lt;"),"&gt;","&amp;gt;"),CHAR(34),"&amp;quot;"),"'","&amp;apos;"))</f>
        <v/>
      </c>
      <c r="R54" s="2" t="str">
        <f>IF(Saisie_Questions!K54="","",SUBSTITUTE(SUBSTITUTE(SUBSTITUTE(SUBSTITUTE(SUBSTITUTE(Saisie_Questions!K54,"&amp;","&amp;amp;"),"&lt;","&amp;lt;"),"&gt;","&amp;gt;"),CHAR(34),"&amp;quot;"),"'","&amp;apos;"))</f>
        <v/>
      </c>
      <c r="S54" s="2" t="str">
        <f>IF(Saisie_Questions!L54="","",SUBSTITUTE(SUBSTITUTE(SUBSTITUTE(SUBSTITUTE(SUBSTITUTE(Saisie_Questions!L54,"&amp;","&amp;amp;"),"&lt;","&amp;lt;"),"&gt;","&amp;gt;"),CHAR(34),"&amp;quot;"),"'","&amp;apos;"))</f>
        <v/>
      </c>
      <c r="T54" s="2" t="b">
        <f t="shared" si="20"/>
        <v>0</v>
      </c>
      <c r="U54" s="2" t="b">
        <f t="shared" si="21"/>
        <v>0</v>
      </c>
      <c r="V54" s="2" t="b">
        <f t="shared" si="22"/>
        <v>0</v>
      </c>
      <c r="W54" s="2" t="b">
        <f t="shared" si="23"/>
        <v>0</v>
      </c>
      <c r="X54" s="2" t="b">
        <f t="shared" si="24"/>
        <v>0</v>
      </c>
      <c r="Y54" s="2" t="b">
        <f t="shared" si="25"/>
        <v>0</v>
      </c>
      <c r="Z54" s="2" t="b">
        <f t="shared" si="26"/>
        <v>0</v>
      </c>
      <c r="AA54" s="2" t="b">
        <f t="shared" si="27"/>
        <v>0</v>
      </c>
      <c r="AB54" s="2" t="str">
        <f t="shared" si="28"/>
        <v/>
      </c>
      <c r="AC54" s="2" t="str">
        <f t="shared" si="29"/>
        <v/>
      </c>
      <c r="AD54" s="2" t="str">
        <f t="shared" si="30"/>
        <v/>
      </c>
      <c r="AE54" s="2" t="str">
        <f t="shared" si="31"/>
        <v/>
      </c>
      <c r="AF54" s="2" t="str">
        <f t="shared" si="32"/>
        <v/>
      </c>
      <c r="AG54" s="2" t="str">
        <f t="shared" si="33"/>
        <v/>
      </c>
      <c r="AH54" s="2" t="str">
        <f t="shared" si="34"/>
        <v/>
      </c>
      <c r="AI54" s="2" t="str">
        <f t="shared" si="35"/>
        <v/>
      </c>
      <c r="AJ54" s="2" t="str">
        <f>IF($B54,IF(L54="","",IF($C54="qcu",IF(T54,"      &lt;respcondition continue=""Yes""&gt;&lt;conditionvar&gt;&lt;varequal respident=""RESPONSE""&gt;0&lt;/varequal&gt;&lt;/conditionvar&gt;&lt;setvar action=""Add""&gt;"&amp;$H54&amp;"&lt;/setvar&gt;&lt;/respcondition&gt;",""),IF(T54,"      &lt;respcondition continue=""Yes""&gt;&lt;conditionvar&gt;&lt;varequal respident=""RESPONSE""&gt;0&lt;/varequal&gt;&lt;/conditionvar&gt;&lt;setvar action=""Add""&gt;"&amp;(Saisie_Questions!$N54/$I54)&amp;"&lt;/setvar&gt;&lt;/respcondition&gt;","      &lt;respcondition continue=""Yes""&gt;&lt;conditionvar&gt;&lt;not&gt;&lt;varequal respident=""RESPONSE""&gt;0&lt;/varequal&gt;&lt;/not&gt;&lt;/conditionvar&gt;&lt;setvar action=""Add""&gt;"&amp;(Saisie_Questions!$N54/$I54)&amp;"&lt;/setvar&gt;&lt;/respcondition&gt;"))),"")</f>
        <v/>
      </c>
      <c r="AK54" s="2" t="str">
        <f>IF($B54,IF(M54="","",IF($C54="qcu",IF(U54,"      &lt;respcondition continue=""Yes""&gt;&lt;conditionvar&gt;&lt;varequal respident=""RESPONSE""&gt;1&lt;/varequal&gt;&lt;/conditionvar&gt;&lt;setvar action=""Add""&gt;"&amp;$H54&amp;"&lt;/setvar&gt;&lt;/respcondition&gt;",""),IF(U54,"      &lt;respcondition continue=""Yes""&gt;&lt;conditionvar&gt;&lt;varequal respident=""RESPONSE""&gt;1&lt;/varequal&gt;&lt;/conditionvar&gt;&lt;setvar action=""Add""&gt;"&amp;(Saisie_Questions!$N54/$I54)&amp;"&lt;/setvar&gt;&lt;/respcondition&gt;","      &lt;respcondition continue=""Yes""&gt;&lt;conditionvar&gt;&lt;not&gt;&lt;varequal respident=""RESPONSE""&gt;1&lt;/varequal&gt;&lt;/not&gt;&lt;/conditionvar&gt;&lt;setvar action=""Add""&gt;"&amp;(Saisie_Questions!$N54/$I54)&amp;"&lt;/setvar&gt;&lt;/respcondition&gt;"))),"")</f>
        <v/>
      </c>
      <c r="AL54" s="2" t="str">
        <f>IF($B54,IF(N54="","",IF($C54="qcu",IF(V54,"      &lt;respcondition continue=""Yes""&gt;&lt;conditionvar&gt;&lt;varequal respident=""RESPONSE""&gt;2&lt;/varequal&gt;&lt;/conditionvar&gt;&lt;setvar action=""Add""&gt;"&amp;$H54&amp;"&lt;/setvar&gt;&lt;/respcondition&gt;",""),IF(V54,"      &lt;respcondition continue=""Yes""&gt;&lt;conditionvar&gt;&lt;varequal respident=""RESPONSE""&gt;2&lt;/varequal&gt;&lt;/conditionvar&gt;&lt;setvar action=""Add""&gt;"&amp;(Saisie_Questions!$N54/$I54)&amp;"&lt;/setvar&gt;&lt;/respcondition&gt;","      &lt;respcondition continue=""Yes""&gt;&lt;conditionvar&gt;&lt;not&gt;&lt;varequal respident=""RESPONSE""&gt;2&lt;/varequal&gt;&lt;/not&gt;&lt;/conditionvar&gt;&lt;setvar action=""Add""&gt;"&amp;(Saisie_Questions!$N54/$I54)&amp;"&lt;/setvar&gt;&lt;/respcondition&gt;"))),"")</f>
        <v/>
      </c>
      <c r="AM54" s="2" t="str">
        <f>IF($B54,IF(O54="","",IF($C54="qcu",IF(W54,"      &lt;respcondition continue=""Yes""&gt;&lt;conditionvar&gt;&lt;varequal respident=""RESPONSE""&gt;3&lt;/varequal&gt;&lt;/conditionvar&gt;&lt;setvar action=""Add""&gt;"&amp;$H54&amp;"&lt;/setvar&gt;&lt;/respcondition&gt;",""),IF(W54,"      &lt;respcondition continue=""Yes""&gt;&lt;conditionvar&gt;&lt;varequal respident=""RESPONSE""&gt;3&lt;/varequal&gt;&lt;/conditionvar&gt;&lt;setvar action=""Add""&gt;"&amp;(Saisie_Questions!$N54/$I54)&amp;"&lt;/setvar&gt;&lt;/respcondition&gt;","      &lt;respcondition continue=""Yes""&gt;&lt;conditionvar&gt;&lt;not&gt;&lt;varequal respident=""RESPONSE""&gt;3&lt;/varequal&gt;&lt;/not&gt;&lt;/conditionvar&gt;&lt;setvar action=""Add""&gt;"&amp;(Saisie_Questions!$N54/$I54)&amp;"&lt;/setvar&gt;&lt;/respcondition&gt;"))),"")</f>
        <v/>
      </c>
      <c r="AN54" s="2" t="str">
        <f>IF($B54,IF(P54="","",IF($C54="qcu",IF(X54,"      &lt;respcondition continue=""Yes""&gt;&lt;conditionvar&gt;&lt;varequal respident=""RESPONSE""&gt;4&lt;/varequal&gt;&lt;/conditionvar&gt;&lt;setvar action=""Add""&gt;"&amp;$H54&amp;"&lt;/setvar&gt;&lt;/respcondition&gt;",""),IF(X54,"      &lt;respcondition continue=""Yes""&gt;&lt;conditionvar&gt;&lt;varequal respident=""RESPONSE""&gt;4&lt;/varequal&gt;&lt;/conditionvar&gt;&lt;setvar action=""Add""&gt;"&amp;(Saisie_Questions!$N54/$I54)&amp;"&lt;/setvar&gt;&lt;/respcondition&gt;","      &lt;respcondition continue=""Yes""&gt;&lt;conditionvar&gt;&lt;not&gt;&lt;varequal respident=""RESPONSE""&gt;4&lt;/varequal&gt;&lt;/not&gt;&lt;/conditionvar&gt;&lt;setvar action=""Add""&gt;"&amp;(Saisie_Questions!$N54/$I54)&amp;"&lt;/setvar&gt;&lt;/respcondition&gt;"))),"")</f>
        <v/>
      </c>
      <c r="AO54" s="2" t="str">
        <f>IF($B54,IF(Q54="","",IF($C54="qcu",IF(Y54,"      &lt;respcondition continue=""Yes""&gt;&lt;conditionvar&gt;&lt;varequal respident=""RESPONSE""&gt;5&lt;/varequal&gt;&lt;/conditionvar&gt;&lt;setvar action=""Add""&gt;"&amp;$H54&amp;"&lt;/setvar&gt;&lt;/respcondition&gt;",""),IF(Y54,"      &lt;respcondition continue=""Yes""&gt;&lt;conditionvar&gt;&lt;varequal respident=""RESPONSE""&gt;5&lt;/varequal&gt;&lt;/conditionvar&gt;&lt;setvar action=""Add""&gt;"&amp;(Saisie_Questions!$N54/$I54)&amp;"&lt;/setvar&gt;&lt;/respcondition&gt;","      &lt;respcondition continue=""Yes""&gt;&lt;conditionvar&gt;&lt;not&gt;&lt;varequal respident=""RESPONSE""&gt;5&lt;/varequal&gt;&lt;/not&gt;&lt;/conditionvar&gt;&lt;setvar action=""Add""&gt;"&amp;(Saisie_Questions!$N54/$I54)&amp;"&lt;/setvar&gt;&lt;/respcondition&gt;"))),"")</f>
        <v/>
      </c>
      <c r="AP54" s="2" t="str">
        <f>IF($B54,IF(R54="","",IF($C54="qcu",IF(Z54,"      &lt;respcondition continue=""Yes""&gt;&lt;conditionvar&gt;&lt;varequal respident=""RESPONSE""&gt;6&lt;/varequal&gt;&lt;/conditionvar&gt;&lt;setvar action=""Add""&gt;"&amp;$H54&amp;"&lt;/setvar&gt;&lt;/respcondition&gt;",""),IF(Z54,"      &lt;respcondition continue=""Yes""&gt;&lt;conditionvar&gt;&lt;varequal respident=""RESPONSE""&gt;6&lt;/varequal&gt;&lt;/conditionvar&gt;&lt;setvar action=""Add""&gt;"&amp;(Saisie_Questions!$N54/$I54)&amp;"&lt;/setvar&gt;&lt;/respcondition&gt;","      &lt;respcondition continue=""Yes""&gt;&lt;conditionvar&gt;&lt;not&gt;&lt;varequal respident=""RESPONSE""&gt;6&lt;/varequal&gt;&lt;/not&gt;&lt;/conditionvar&gt;&lt;setvar action=""Add""&gt;"&amp;(Saisie_Questions!$N54/$I54)&amp;"&lt;/setvar&gt;&lt;/respcondition&gt;"))),"")</f>
        <v/>
      </c>
      <c r="AQ54" s="2" t="str">
        <f>IF($B54,IF(S54="","",IF($C54="qcu",IF(AA54,"      &lt;respcondition continue=""Yes""&gt;&lt;conditionvar&gt;&lt;varequal respident=""RESPONSE""&gt;7&lt;/varequal&gt;&lt;/conditionvar&gt;&lt;setvar action=""Add""&gt;"&amp;$H54&amp;"&lt;/setvar&gt;&lt;/respcondition&gt;",""),IF(AA54,"      &lt;respcondition continue=""Yes""&gt;&lt;conditionvar&gt;&lt;varequal respident=""RESPONSE""&gt;7&lt;/varequal&gt;&lt;/conditionvar&gt;&lt;setvar action=""Add""&gt;"&amp;(Saisie_Questions!$N54/$I54)&amp;"&lt;/setvar&gt;&lt;/respcondition&gt;","      &lt;respcondition continue=""Yes""&gt;&lt;conditionvar&gt;&lt;not&gt;&lt;varequal respident=""RESPONSE""&gt;7&lt;/varequal&gt;&lt;/not&gt;&lt;/conditionvar&gt;&lt;setvar action=""Add""&gt;"&amp;(Saisie_Questions!$N54/$I54)&amp;"&lt;/setvar&gt;&lt;/respcondition&gt;"))),"")</f>
        <v/>
      </c>
    </row>
    <row r="55" spans="1:43" ht="18" customHeight="1">
      <c r="A55" s="2" t="str">
        <f>Saisie_Questions!A55</f>
        <v/>
      </c>
      <c r="B55" s="2" t="b">
        <f>Saisie_Questions!O55="OK"</f>
        <v>0</v>
      </c>
      <c r="C55" s="2" t="str">
        <f>LOWER(TRIM(Saisie_Questions!B55))</f>
        <v/>
      </c>
      <c r="D55" s="2" t="str">
        <f t="shared" si="18"/>
        <v>MULTIPLE CHOICE QUESTION</v>
      </c>
      <c r="E55" s="2" t="str">
        <f t="shared" si="19"/>
        <v>Multiple</v>
      </c>
      <c r="F55" s="2" t="str">
        <f>IF(A55="","",SUBSTITUTE(SUBSTITUTE(SUBSTITUTE(SUBSTITUTE(SUBSTITUTE(IF(Saisie_Questions!C55="", "Question "&amp;A55, Saisie_Questions!C55),"&amp;","&amp;amp;"),"&lt;","&amp;lt;"),"&gt;","&amp;gt;"),CHAR(34),"&amp;quot;"),"'","&amp;apos;"))</f>
        <v/>
      </c>
      <c r="G55" s="2" t="str">
        <f>IF(A55="","",SUBSTITUTE(SUBSTITUTE(SUBSTITUTE(SUBSTITUTE(SUBSTITUTE(Saisie_Questions!D55,"&amp;","&amp;amp;"),"&lt;","&amp;lt;"),"&gt;","&amp;gt;"),CHAR(34),"&amp;quot;"),"'","&amp;apos;"))</f>
        <v/>
      </c>
      <c r="H55" s="2">
        <f>Saisie_Questions!N55</f>
        <v>0</v>
      </c>
      <c r="I55" s="2">
        <f>IF(Saisie_Questions!E55="",0,1)+IF(Saisie_Questions!F55="",0,1)+IF(Saisie_Questions!G55="",0,1)+IF(Saisie_Questions!H55="",0,1)+IF(Saisie_Questions!I55="",0,1)+IF(Saisie_Questions!J55="",0,1)+IF(Saisie_Questions!K55="",0,1)+IF(Saisie_Questions!L55="",0,1)</f>
        <v>0</v>
      </c>
      <c r="J55" s="2">
        <f>Saisie_Questions!M55</f>
        <v>0</v>
      </c>
      <c r="K55" s="2" t="str">
        <f>Saisie_Questions!O55</f>
        <v/>
      </c>
      <c r="L55" s="2" t="str">
        <f>IF(Saisie_Questions!E55="","",SUBSTITUTE(SUBSTITUTE(SUBSTITUTE(SUBSTITUTE(SUBSTITUTE(Saisie_Questions!E55,"&amp;","&amp;amp;"),"&lt;","&amp;lt;"),"&gt;","&amp;gt;"),CHAR(34),"&amp;quot;"),"'","&amp;apos;"))</f>
        <v/>
      </c>
      <c r="M55" s="2" t="str">
        <f>IF(Saisie_Questions!F55="","",SUBSTITUTE(SUBSTITUTE(SUBSTITUTE(SUBSTITUTE(SUBSTITUTE(Saisie_Questions!F55,"&amp;","&amp;amp;"),"&lt;","&amp;lt;"),"&gt;","&amp;gt;"),CHAR(34),"&amp;quot;"),"'","&amp;apos;"))</f>
        <v/>
      </c>
      <c r="N55" s="2" t="str">
        <f>IF(Saisie_Questions!G55="","",SUBSTITUTE(SUBSTITUTE(SUBSTITUTE(SUBSTITUTE(SUBSTITUTE(Saisie_Questions!G55,"&amp;","&amp;amp;"),"&lt;","&amp;lt;"),"&gt;","&amp;gt;"),CHAR(34),"&amp;quot;"),"'","&amp;apos;"))</f>
        <v/>
      </c>
      <c r="O55" s="2" t="str">
        <f>IF(Saisie_Questions!H55="","",SUBSTITUTE(SUBSTITUTE(SUBSTITUTE(SUBSTITUTE(SUBSTITUTE(Saisie_Questions!H55,"&amp;","&amp;amp;"),"&lt;","&amp;lt;"),"&gt;","&amp;gt;"),CHAR(34),"&amp;quot;"),"'","&amp;apos;"))</f>
        <v/>
      </c>
      <c r="P55" s="2" t="str">
        <f>IF(Saisie_Questions!I55="","",SUBSTITUTE(SUBSTITUTE(SUBSTITUTE(SUBSTITUTE(SUBSTITUTE(Saisie_Questions!I55,"&amp;","&amp;amp;"),"&lt;","&amp;lt;"),"&gt;","&amp;gt;"),CHAR(34),"&amp;quot;"),"'","&amp;apos;"))</f>
        <v/>
      </c>
      <c r="Q55" s="2" t="str">
        <f>IF(Saisie_Questions!J55="","",SUBSTITUTE(SUBSTITUTE(SUBSTITUTE(SUBSTITUTE(SUBSTITUTE(Saisie_Questions!J55,"&amp;","&amp;amp;"),"&lt;","&amp;lt;"),"&gt;","&amp;gt;"),CHAR(34),"&amp;quot;"),"'","&amp;apos;"))</f>
        <v/>
      </c>
      <c r="R55" s="2" t="str">
        <f>IF(Saisie_Questions!K55="","",SUBSTITUTE(SUBSTITUTE(SUBSTITUTE(SUBSTITUTE(SUBSTITUTE(Saisie_Questions!K55,"&amp;","&amp;amp;"),"&lt;","&amp;lt;"),"&gt;","&amp;gt;"),CHAR(34),"&amp;quot;"),"'","&amp;apos;"))</f>
        <v/>
      </c>
      <c r="S55" s="2" t="str">
        <f>IF(Saisie_Questions!L55="","",SUBSTITUTE(SUBSTITUTE(SUBSTITUTE(SUBSTITUTE(SUBSTITUTE(Saisie_Questions!L55,"&amp;","&amp;amp;"),"&lt;","&amp;lt;"),"&gt;","&amp;gt;"),CHAR(34),"&amp;quot;"),"'","&amp;apos;"))</f>
        <v/>
      </c>
      <c r="T55" s="2" t="b">
        <f t="shared" si="20"/>
        <v>0</v>
      </c>
      <c r="U55" s="2" t="b">
        <f t="shared" si="21"/>
        <v>0</v>
      </c>
      <c r="V55" s="2" t="b">
        <f t="shared" si="22"/>
        <v>0</v>
      </c>
      <c r="W55" s="2" t="b">
        <f t="shared" si="23"/>
        <v>0</v>
      </c>
      <c r="X55" s="2" t="b">
        <f t="shared" si="24"/>
        <v>0</v>
      </c>
      <c r="Y55" s="2" t="b">
        <f t="shared" si="25"/>
        <v>0</v>
      </c>
      <c r="Z55" s="2" t="b">
        <f t="shared" si="26"/>
        <v>0</v>
      </c>
      <c r="AA55" s="2" t="b">
        <f t="shared" si="27"/>
        <v>0</v>
      </c>
      <c r="AB55" s="2" t="str">
        <f t="shared" si="28"/>
        <v/>
      </c>
      <c r="AC55" s="2" t="str">
        <f t="shared" si="29"/>
        <v/>
      </c>
      <c r="AD55" s="2" t="str">
        <f t="shared" si="30"/>
        <v/>
      </c>
      <c r="AE55" s="2" t="str">
        <f t="shared" si="31"/>
        <v/>
      </c>
      <c r="AF55" s="2" t="str">
        <f t="shared" si="32"/>
        <v/>
      </c>
      <c r="AG55" s="2" t="str">
        <f t="shared" si="33"/>
        <v/>
      </c>
      <c r="AH55" s="2" t="str">
        <f t="shared" si="34"/>
        <v/>
      </c>
      <c r="AI55" s="2" t="str">
        <f t="shared" si="35"/>
        <v/>
      </c>
      <c r="AJ55" s="2" t="str">
        <f>IF($B55,IF(L55="","",IF($C55="qcu",IF(T55,"      &lt;respcondition continue=""Yes""&gt;&lt;conditionvar&gt;&lt;varequal respident=""RESPONSE""&gt;0&lt;/varequal&gt;&lt;/conditionvar&gt;&lt;setvar action=""Add""&gt;"&amp;$H55&amp;"&lt;/setvar&gt;&lt;/respcondition&gt;",""),IF(T55,"      &lt;respcondition continue=""Yes""&gt;&lt;conditionvar&gt;&lt;varequal respident=""RESPONSE""&gt;0&lt;/varequal&gt;&lt;/conditionvar&gt;&lt;setvar action=""Add""&gt;"&amp;(Saisie_Questions!$N55/$I55)&amp;"&lt;/setvar&gt;&lt;/respcondition&gt;","      &lt;respcondition continue=""Yes""&gt;&lt;conditionvar&gt;&lt;not&gt;&lt;varequal respident=""RESPONSE""&gt;0&lt;/varequal&gt;&lt;/not&gt;&lt;/conditionvar&gt;&lt;setvar action=""Add""&gt;"&amp;(Saisie_Questions!$N55/$I55)&amp;"&lt;/setvar&gt;&lt;/respcondition&gt;"))),"")</f>
        <v/>
      </c>
      <c r="AK55" s="2" t="str">
        <f>IF($B55,IF(M55="","",IF($C55="qcu",IF(U55,"      &lt;respcondition continue=""Yes""&gt;&lt;conditionvar&gt;&lt;varequal respident=""RESPONSE""&gt;1&lt;/varequal&gt;&lt;/conditionvar&gt;&lt;setvar action=""Add""&gt;"&amp;$H55&amp;"&lt;/setvar&gt;&lt;/respcondition&gt;",""),IF(U55,"      &lt;respcondition continue=""Yes""&gt;&lt;conditionvar&gt;&lt;varequal respident=""RESPONSE""&gt;1&lt;/varequal&gt;&lt;/conditionvar&gt;&lt;setvar action=""Add""&gt;"&amp;(Saisie_Questions!$N55/$I55)&amp;"&lt;/setvar&gt;&lt;/respcondition&gt;","      &lt;respcondition continue=""Yes""&gt;&lt;conditionvar&gt;&lt;not&gt;&lt;varequal respident=""RESPONSE""&gt;1&lt;/varequal&gt;&lt;/not&gt;&lt;/conditionvar&gt;&lt;setvar action=""Add""&gt;"&amp;(Saisie_Questions!$N55/$I55)&amp;"&lt;/setvar&gt;&lt;/respcondition&gt;"))),"")</f>
        <v/>
      </c>
      <c r="AL55" s="2" t="str">
        <f>IF($B55,IF(N55="","",IF($C55="qcu",IF(V55,"      &lt;respcondition continue=""Yes""&gt;&lt;conditionvar&gt;&lt;varequal respident=""RESPONSE""&gt;2&lt;/varequal&gt;&lt;/conditionvar&gt;&lt;setvar action=""Add""&gt;"&amp;$H55&amp;"&lt;/setvar&gt;&lt;/respcondition&gt;",""),IF(V55,"      &lt;respcondition continue=""Yes""&gt;&lt;conditionvar&gt;&lt;varequal respident=""RESPONSE""&gt;2&lt;/varequal&gt;&lt;/conditionvar&gt;&lt;setvar action=""Add""&gt;"&amp;(Saisie_Questions!$N55/$I55)&amp;"&lt;/setvar&gt;&lt;/respcondition&gt;","      &lt;respcondition continue=""Yes""&gt;&lt;conditionvar&gt;&lt;not&gt;&lt;varequal respident=""RESPONSE""&gt;2&lt;/varequal&gt;&lt;/not&gt;&lt;/conditionvar&gt;&lt;setvar action=""Add""&gt;"&amp;(Saisie_Questions!$N55/$I55)&amp;"&lt;/setvar&gt;&lt;/respcondition&gt;"))),"")</f>
        <v/>
      </c>
      <c r="AM55" s="2" t="str">
        <f>IF($B55,IF(O55="","",IF($C55="qcu",IF(W55,"      &lt;respcondition continue=""Yes""&gt;&lt;conditionvar&gt;&lt;varequal respident=""RESPONSE""&gt;3&lt;/varequal&gt;&lt;/conditionvar&gt;&lt;setvar action=""Add""&gt;"&amp;$H55&amp;"&lt;/setvar&gt;&lt;/respcondition&gt;",""),IF(W55,"      &lt;respcondition continue=""Yes""&gt;&lt;conditionvar&gt;&lt;varequal respident=""RESPONSE""&gt;3&lt;/varequal&gt;&lt;/conditionvar&gt;&lt;setvar action=""Add""&gt;"&amp;(Saisie_Questions!$N55/$I55)&amp;"&lt;/setvar&gt;&lt;/respcondition&gt;","      &lt;respcondition continue=""Yes""&gt;&lt;conditionvar&gt;&lt;not&gt;&lt;varequal respident=""RESPONSE""&gt;3&lt;/varequal&gt;&lt;/not&gt;&lt;/conditionvar&gt;&lt;setvar action=""Add""&gt;"&amp;(Saisie_Questions!$N55/$I55)&amp;"&lt;/setvar&gt;&lt;/respcondition&gt;"))),"")</f>
        <v/>
      </c>
      <c r="AN55" s="2" t="str">
        <f>IF($B55,IF(P55="","",IF($C55="qcu",IF(X55,"      &lt;respcondition continue=""Yes""&gt;&lt;conditionvar&gt;&lt;varequal respident=""RESPONSE""&gt;4&lt;/varequal&gt;&lt;/conditionvar&gt;&lt;setvar action=""Add""&gt;"&amp;$H55&amp;"&lt;/setvar&gt;&lt;/respcondition&gt;",""),IF(X55,"      &lt;respcondition continue=""Yes""&gt;&lt;conditionvar&gt;&lt;varequal respident=""RESPONSE""&gt;4&lt;/varequal&gt;&lt;/conditionvar&gt;&lt;setvar action=""Add""&gt;"&amp;(Saisie_Questions!$N55/$I55)&amp;"&lt;/setvar&gt;&lt;/respcondition&gt;","      &lt;respcondition continue=""Yes""&gt;&lt;conditionvar&gt;&lt;not&gt;&lt;varequal respident=""RESPONSE""&gt;4&lt;/varequal&gt;&lt;/not&gt;&lt;/conditionvar&gt;&lt;setvar action=""Add""&gt;"&amp;(Saisie_Questions!$N55/$I55)&amp;"&lt;/setvar&gt;&lt;/respcondition&gt;"))),"")</f>
        <v/>
      </c>
      <c r="AO55" s="2" t="str">
        <f>IF($B55,IF(Q55="","",IF($C55="qcu",IF(Y55,"      &lt;respcondition continue=""Yes""&gt;&lt;conditionvar&gt;&lt;varequal respident=""RESPONSE""&gt;5&lt;/varequal&gt;&lt;/conditionvar&gt;&lt;setvar action=""Add""&gt;"&amp;$H55&amp;"&lt;/setvar&gt;&lt;/respcondition&gt;",""),IF(Y55,"      &lt;respcondition continue=""Yes""&gt;&lt;conditionvar&gt;&lt;varequal respident=""RESPONSE""&gt;5&lt;/varequal&gt;&lt;/conditionvar&gt;&lt;setvar action=""Add""&gt;"&amp;(Saisie_Questions!$N55/$I55)&amp;"&lt;/setvar&gt;&lt;/respcondition&gt;","      &lt;respcondition continue=""Yes""&gt;&lt;conditionvar&gt;&lt;not&gt;&lt;varequal respident=""RESPONSE""&gt;5&lt;/varequal&gt;&lt;/not&gt;&lt;/conditionvar&gt;&lt;setvar action=""Add""&gt;"&amp;(Saisie_Questions!$N55/$I55)&amp;"&lt;/setvar&gt;&lt;/respcondition&gt;"))),"")</f>
        <v/>
      </c>
      <c r="AP55" s="2" t="str">
        <f>IF($B55,IF(R55="","",IF($C55="qcu",IF(Z55,"      &lt;respcondition continue=""Yes""&gt;&lt;conditionvar&gt;&lt;varequal respident=""RESPONSE""&gt;6&lt;/varequal&gt;&lt;/conditionvar&gt;&lt;setvar action=""Add""&gt;"&amp;$H55&amp;"&lt;/setvar&gt;&lt;/respcondition&gt;",""),IF(Z55,"      &lt;respcondition continue=""Yes""&gt;&lt;conditionvar&gt;&lt;varequal respident=""RESPONSE""&gt;6&lt;/varequal&gt;&lt;/conditionvar&gt;&lt;setvar action=""Add""&gt;"&amp;(Saisie_Questions!$N55/$I55)&amp;"&lt;/setvar&gt;&lt;/respcondition&gt;","      &lt;respcondition continue=""Yes""&gt;&lt;conditionvar&gt;&lt;not&gt;&lt;varequal respident=""RESPONSE""&gt;6&lt;/varequal&gt;&lt;/not&gt;&lt;/conditionvar&gt;&lt;setvar action=""Add""&gt;"&amp;(Saisie_Questions!$N55/$I55)&amp;"&lt;/setvar&gt;&lt;/respcondition&gt;"))),"")</f>
        <v/>
      </c>
      <c r="AQ55" s="2" t="str">
        <f>IF($B55,IF(S55="","",IF($C55="qcu",IF(AA55,"      &lt;respcondition continue=""Yes""&gt;&lt;conditionvar&gt;&lt;varequal respident=""RESPONSE""&gt;7&lt;/varequal&gt;&lt;/conditionvar&gt;&lt;setvar action=""Add""&gt;"&amp;$H55&amp;"&lt;/setvar&gt;&lt;/respcondition&gt;",""),IF(AA55,"      &lt;respcondition continue=""Yes""&gt;&lt;conditionvar&gt;&lt;varequal respident=""RESPONSE""&gt;7&lt;/varequal&gt;&lt;/conditionvar&gt;&lt;setvar action=""Add""&gt;"&amp;(Saisie_Questions!$N55/$I55)&amp;"&lt;/setvar&gt;&lt;/respcondition&gt;","      &lt;respcondition continue=""Yes""&gt;&lt;conditionvar&gt;&lt;not&gt;&lt;varequal respident=""RESPONSE""&gt;7&lt;/varequal&gt;&lt;/not&gt;&lt;/conditionvar&gt;&lt;setvar action=""Add""&gt;"&amp;(Saisie_Questions!$N55/$I55)&amp;"&lt;/setvar&gt;&lt;/respcondition&gt;"))),"")</f>
        <v/>
      </c>
    </row>
    <row r="56" spans="1:43" ht="18" customHeight="1">
      <c r="A56" s="2" t="str">
        <f>Saisie_Questions!A56</f>
        <v/>
      </c>
      <c r="B56" s="2" t="b">
        <f>Saisie_Questions!O56="OK"</f>
        <v>0</v>
      </c>
      <c r="C56" s="2" t="str">
        <f>LOWER(TRIM(Saisie_Questions!B56))</f>
        <v/>
      </c>
      <c r="D56" s="2" t="str">
        <f t="shared" si="18"/>
        <v>MULTIPLE CHOICE QUESTION</v>
      </c>
      <c r="E56" s="2" t="str">
        <f t="shared" si="19"/>
        <v>Multiple</v>
      </c>
      <c r="F56" s="2" t="str">
        <f>IF(A56="","",SUBSTITUTE(SUBSTITUTE(SUBSTITUTE(SUBSTITUTE(SUBSTITUTE(IF(Saisie_Questions!C56="", "Question "&amp;A56, Saisie_Questions!C56),"&amp;","&amp;amp;"),"&lt;","&amp;lt;"),"&gt;","&amp;gt;"),CHAR(34),"&amp;quot;"),"'","&amp;apos;"))</f>
        <v/>
      </c>
      <c r="G56" s="2" t="str">
        <f>IF(A56="","",SUBSTITUTE(SUBSTITUTE(SUBSTITUTE(SUBSTITUTE(SUBSTITUTE(Saisie_Questions!D56,"&amp;","&amp;amp;"),"&lt;","&amp;lt;"),"&gt;","&amp;gt;"),CHAR(34),"&amp;quot;"),"'","&amp;apos;"))</f>
        <v/>
      </c>
      <c r="H56" s="2">
        <f>Saisie_Questions!N56</f>
        <v>0</v>
      </c>
      <c r="I56" s="2">
        <f>IF(Saisie_Questions!E56="",0,1)+IF(Saisie_Questions!F56="",0,1)+IF(Saisie_Questions!G56="",0,1)+IF(Saisie_Questions!H56="",0,1)+IF(Saisie_Questions!I56="",0,1)+IF(Saisie_Questions!J56="",0,1)+IF(Saisie_Questions!K56="",0,1)+IF(Saisie_Questions!L56="",0,1)</f>
        <v>0</v>
      </c>
      <c r="J56" s="2">
        <f>Saisie_Questions!M56</f>
        <v>0</v>
      </c>
      <c r="K56" s="2" t="str">
        <f>Saisie_Questions!O56</f>
        <v/>
      </c>
      <c r="L56" s="2" t="str">
        <f>IF(Saisie_Questions!E56="","",SUBSTITUTE(SUBSTITUTE(SUBSTITUTE(SUBSTITUTE(SUBSTITUTE(Saisie_Questions!E56,"&amp;","&amp;amp;"),"&lt;","&amp;lt;"),"&gt;","&amp;gt;"),CHAR(34),"&amp;quot;"),"'","&amp;apos;"))</f>
        <v/>
      </c>
      <c r="M56" s="2" t="str">
        <f>IF(Saisie_Questions!F56="","",SUBSTITUTE(SUBSTITUTE(SUBSTITUTE(SUBSTITUTE(SUBSTITUTE(Saisie_Questions!F56,"&amp;","&amp;amp;"),"&lt;","&amp;lt;"),"&gt;","&amp;gt;"),CHAR(34),"&amp;quot;"),"'","&amp;apos;"))</f>
        <v/>
      </c>
      <c r="N56" s="2" t="str">
        <f>IF(Saisie_Questions!G56="","",SUBSTITUTE(SUBSTITUTE(SUBSTITUTE(SUBSTITUTE(SUBSTITUTE(Saisie_Questions!G56,"&amp;","&amp;amp;"),"&lt;","&amp;lt;"),"&gt;","&amp;gt;"),CHAR(34),"&amp;quot;"),"'","&amp;apos;"))</f>
        <v/>
      </c>
      <c r="O56" s="2" t="str">
        <f>IF(Saisie_Questions!H56="","",SUBSTITUTE(SUBSTITUTE(SUBSTITUTE(SUBSTITUTE(SUBSTITUTE(Saisie_Questions!H56,"&amp;","&amp;amp;"),"&lt;","&amp;lt;"),"&gt;","&amp;gt;"),CHAR(34),"&amp;quot;"),"'","&amp;apos;"))</f>
        <v/>
      </c>
      <c r="P56" s="2" t="str">
        <f>IF(Saisie_Questions!I56="","",SUBSTITUTE(SUBSTITUTE(SUBSTITUTE(SUBSTITUTE(SUBSTITUTE(Saisie_Questions!I56,"&amp;","&amp;amp;"),"&lt;","&amp;lt;"),"&gt;","&amp;gt;"),CHAR(34),"&amp;quot;"),"'","&amp;apos;"))</f>
        <v/>
      </c>
      <c r="Q56" s="2" t="str">
        <f>IF(Saisie_Questions!J56="","",SUBSTITUTE(SUBSTITUTE(SUBSTITUTE(SUBSTITUTE(SUBSTITUTE(Saisie_Questions!J56,"&amp;","&amp;amp;"),"&lt;","&amp;lt;"),"&gt;","&amp;gt;"),CHAR(34),"&amp;quot;"),"'","&amp;apos;"))</f>
        <v/>
      </c>
      <c r="R56" s="2" t="str">
        <f>IF(Saisie_Questions!K56="","",SUBSTITUTE(SUBSTITUTE(SUBSTITUTE(SUBSTITUTE(SUBSTITUTE(Saisie_Questions!K56,"&amp;","&amp;amp;"),"&lt;","&amp;lt;"),"&gt;","&amp;gt;"),CHAR(34),"&amp;quot;"),"'","&amp;apos;"))</f>
        <v/>
      </c>
      <c r="S56" s="2" t="str">
        <f>IF(Saisie_Questions!L56="","",SUBSTITUTE(SUBSTITUTE(SUBSTITUTE(SUBSTITUTE(SUBSTITUTE(Saisie_Questions!L56,"&amp;","&amp;amp;"),"&lt;","&amp;lt;"),"&gt;","&amp;gt;"),CHAR(34),"&amp;quot;"),"'","&amp;apos;"))</f>
        <v/>
      </c>
      <c r="T56" s="2" t="b">
        <f t="shared" si="20"/>
        <v>0</v>
      </c>
      <c r="U56" s="2" t="b">
        <f t="shared" si="21"/>
        <v>0</v>
      </c>
      <c r="V56" s="2" t="b">
        <f t="shared" si="22"/>
        <v>0</v>
      </c>
      <c r="W56" s="2" t="b">
        <f t="shared" si="23"/>
        <v>0</v>
      </c>
      <c r="X56" s="2" t="b">
        <f t="shared" si="24"/>
        <v>0</v>
      </c>
      <c r="Y56" s="2" t="b">
        <f t="shared" si="25"/>
        <v>0</v>
      </c>
      <c r="Z56" s="2" t="b">
        <f t="shared" si="26"/>
        <v>0</v>
      </c>
      <c r="AA56" s="2" t="b">
        <f t="shared" si="27"/>
        <v>0</v>
      </c>
      <c r="AB56" s="2" t="str">
        <f t="shared" si="28"/>
        <v/>
      </c>
      <c r="AC56" s="2" t="str">
        <f t="shared" si="29"/>
        <v/>
      </c>
      <c r="AD56" s="2" t="str">
        <f t="shared" si="30"/>
        <v/>
      </c>
      <c r="AE56" s="2" t="str">
        <f t="shared" si="31"/>
        <v/>
      </c>
      <c r="AF56" s="2" t="str">
        <f t="shared" si="32"/>
        <v/>
      </c>
      <c r="AG56" s="2" t="str">
        <f t="shared" si="33"/>
        <v/>
      </c>
      <c r="AH56" s="2" t="str">
        <f t="shared" si="34"/>
        <v/>
      </c>
      <c r="AI56" s="2" t="str">
        <f t="shared" si="35"/>
        <v/>
      </c>
      <c r="AJ56" s="2" t="str">
        <f>IF($B56,IF(L56="","",IF($C56="qcu",IF(T56,"      &lt;respcondition continue=""Yes""&gt;&lt;conditionvar&gt;&lt;varequal respident=""RESPONSE""&gt;0&lt;/varequal&gt;&lt;/conditionvar&gt;&lt;setvar action=""Add""&gt;"&amp;$H56&amp;"&lt;/setvar&gt;&lt;/respcondition&gt;",""),IF(T56,"      &lt;respcondition continue=""Yes""&gt;&lt;conditionvar&gt;&lt;varequal respident=""RESPONSE""&gt;0&lt;/varequal&gt;&lt;/conditionvar&gt;&lt;setvar action=""Add""&gt;"&amp;(Saisie_Questions!$N56/$I56)&amp;"&lt;/setvar&gt;&lt;/respcondition&gt;","      &lt;respcondition continue=""Yes""&gt;&lt;conditionvar&gt;&lt;not&gt;&lt;varequal respident=""RESPONSE""&gt;0&lt;/varequal&gt;&lt;/not&gt;&lt;/conditionvar&gt;&lt;setvar action=""Add""&gt;"&amp;(Saisie_Questions!$N56/$I56)&amp;"&lt;/setvar&gt;&lt;/respcondition&gt;"))),"")</f>
        <v/>
      </c>
      <c r="AK56" s="2" t="str">
        <f>IF($B56,IF(M56="","",IF($C56="qcu",IF(U56,"      &lt;respcondition continue=""Yes""&gt;&lt;conditionvar&gt;&lt;varequal respident=""RESPONSE""&gt;1&lt;/varequal&gt;&lt;/conditionvar&gt;&lt;setvar action=""Add""&gt;"&amp;$H56&amp;"&lt;/setvar&gt;&lt;/respcondition&gt;",""),IF(U56,"      &lt;respcondition continue=""Yes""&gt;&lt;conditionvar&gt;&lt;varequal respident=""RESPONSE""&gt;1&lt;/varequal&gt;&lt;/conditionvar&gt;&lt;setvar action=""Add""&gt;"&amp;(Saisie_Questions!$N56/$I56)&amp;"&lt;/setvar&gt;&lt;/respcondition&gt;","      &lt;respcondition continue=""Yes""&gt;&lt;conditionvar&gt;&lt;not&gt;&lt;varequal respident=""RESPONSE""&gt;1&lt;/varequal&gt;&lt;/not&gt;&lt;/conditionvar&gt;&lt;setvar action=""Add""&gt;"&amp;(Saisie_Questions!$N56/$I56)&amp;"&lt;/setvar&gt;&lt;/respcondition&gt;"))),"")</f>
        <v/>
      </c>
      <c r="AL56" s="2" t="str">
        <f>IF($B56,IF(N56="","",IF($C56="qcu",IF(V56,"      &lt;respcondition continue=""Yes""&gt;&lt;conditionvar&gt;&lt;varequal respident=""RESPONSE""&gt;2&lt;/varequal&gt;&lt;/conditionvar&gt;&lt;setvar action=""Add""&gt;"&amp;$H56&amp;"&lt;/setvar&gt;&lt;/respcondition&gt;",""),IF(V56,"      &lt;respcondition continue=""Yes""&gt;&lt;conditionvar&gt;&lt;varequal respident=""RESPONSE""&gt;2&lt;/varequal&gt;&lt;/conditionvar&gt;&lt;setvar action=""Add""&gt;"&amp;(Saisie_Questions!$N56/$I56)&amp;"&lt;/setvar&gt;&lt;/respcondition&gt;","      &lt;respcondition continue=""Yes""&gt;&lt;conditionvar&gt;&lt;not&gt;&lt;varequal respident=""RESPONSE""&gt;2&lt;/varequal&gt;&lt;/not&gt;&lt;/conditionvar&gt;&lt;setvar action=""Add""&gt;"&amp;(Saisie_Questions!$N56/$I56)&amp;"&lt;/setvar&gt;&lt;/respcondition&gt;"))),"")</f>
        <v/>
      </c>
      <c r="AM56" s="2" t="str">
        <f>IF($B56,IF(O56="","",IF($C56="qcu",IF(W56,"      &lt;respcondition continue=""Yes""&gt;&lt;conditionvar&gt;&lt;varequal respident=""RESPONSE""&gt;3&lt;/varequal&gt;&lt;/conditionvar&gt;&lt;setvar action=""Add""&gt;"&amp;$H56&amp;"&lt;/setvar&gt;&lt;/respcondition&gt;",""),IF(W56,"      &lt;respcondition continue=""Yes""&gt;&lt;conditionvar&gt;&lt;varequal respident=""RESPONSE""&gt;3&lt;/varequal&gt;&lt;/conditionvar&gt;&lt;setvar action=""Add""&gt;"&amp;(Saisie_Questions!$N56/$I56)&amp;"&lt;/setvar&gt;&lt;/respcondition&gt;","      &lt;respcondition continue=""Yes""&gt;&lt;conditionvar&gt;&lt;not&gt;&lt;varequal respident=""RESPONSE""&gt;3&lt;/varequal&gt;&lt;/not&gt;&lt;/conditionvar&gt;&lt;setvar action=""Add""&gt;"&amp;(Saisie_Questions!$N56/$I56)&amp;"&lt;/setvar&gt;&lt;/respcondition&gt;"))),"")</f>
        <v/>
      </c>
      <c r="AN56" s="2" t="str">
        <f>IF($B56,IF(P56="","",IF($C56="qcu",IF(X56,"      &lt;respcondition continue=""Yes""&gt;&lt;conditionvar&gt;&lt;varequal respident=""RESPONSE""&gt;4&lt;/varequal&gt;&lt;/conditionvar&gt;&lt;setvar action=""Add""&gt;"&amp;$H56&amp;"&lt;/setvar&gt;&lt;/respcondition&gt;",""),IF(X56,"      &lt;respcondition continue=""Yes""&gt;&lt;conditionvar&gt;&lt;varequal respident=""RESPONSE""&gt;4&lt;/varequal&gt;&lt;/conditionvar&gt;&lt;setvar action=""Add""&gt;"&amp;(Saisie_Questions!$N56/$I56)&amp;"&lt;/setvar&gt;&lt;/respcondition&gt;","      &lt;respcondition continue=""Yes""&gt;&lt;conditionvar&gt;&lt;not&gt;&lt;varequal respident=""RESPONSE""&gt;4&lt;/varequal&gt;&lt;/not&gt;&lt;/conditionvar&gt;&lt;setvar action=""Add""&gt;"&amp;(Saisie_Questions!$N56/$I56)&amp;"&lt;/setvar&gt;&lt;/respcondition&gt;"))),"")</f>
        <v/>
      </c>
      <c r="AO56" s="2" t="str">
        <f>IF($B56,IF(Q56="","",IF($C56="qcu",IF(Y56,"      &lt;respcondition continue=""Yes""&gt;&lt;conditionvar&gt;&lt;varequal respident=""RESPONSE""&gt;5&lt;/varequal&gt;&lt;/conditionvar&gt;&lt;setvar action=""Add""&gt;"&amp;$H56&amp;"&lt;/setvar&gt;&lt;/respcondition&gt;",""),IF(Y56,"      &lt;respcondition continue=""Yes""&gt;&lt;conditionvar&gt;&lt;varequal respident=""RESPONSE""&gt;5&lt;/varequal&gt;&lt;/conditionvar&gt;&lt;setvar action=""Add""&gt;"&amp;(Saisie_Questions!$N56/$I56)&amp;"&lt;/setvar&gt;&lt;/respcondition&gt;","      &lt;respcondition continue=""Yes""&gt;&lt;conditionvar&gt;&lt;not&gt;&lt;varequal respident=""RESPONSE""&gt;5&lt;/varequal&gt;&lt;/not&gt;&lt;/conditionvar&gt;&lt;setvar action=""Add""&gt;"&amp;(Saisie_Questions!$N56/$I56)&amp;"&lt;/setvar&gt;&lt;/respcondition&gt;"))),"")</f>
        <v/>
      </c>
      <c r="AP56" s="2" t="str">
        <f>IF($B56,IF(R56="","",IF($C56="qcu",IF(Z56,"      &lt;respcondition continue=""Yes""&gt;&lt;conditionvar&gt;&lt;varequal respident=""RESPONSE""&gt;6&lt;/varequal&gt;&lt;/conditionvar&gt;&lt;setvar action=""Add""&gt;"&amp;$H56&amp;"&lt;/setvar&gt;&lt;/respcondition&gt;",""),IF(Z56,"      &lt;respcondition continue=""Yes""&gt;&lt;conditionvar&gt;&lt;varequal respident=""RESPONSE""&gt;6&lt;/varequal&gt;&lt;/conditionvar&gt;&lt;setvar action=""Add""&gt;"&amp;(Saisie_Questions!$N56/$I56)&amp;"&lt;/setvar&gt;&lt;/respcondition&gt;","      &lt;respcondition continue=""Yes""&gt;&lt;conditionvar&gt;&lt;not&gt;&lt;varequal respident=""RESPONSE""&gt;6&lt;/varequal&gt;&lt;/not&gt;&lt;/conditionvar&gt;&lt;setvar action=""Add""&gt;"&amp;(Saisie_Questions!$N56/$I56)&amp;"&lt;/setvar&gt;&lt;/respcondition&gt;"))),"")</f>
        <v/>
      </c>
      <c r="AQ56" s="2" t="str">
        <f>IF($B56,IF(S56="","",IF($C56="qcu",IF(AA56,"      &lt;respcondition continue=""Yes""&gt;&lt;conditionvar&gt;&lt;varequal respident=""RESPONSE""&gt;7&lt;/varequal&gt;&lt;/conditionvar&gt;&lt;setvar action=""Add""&gt;"&amp;$H56&amp;"&lt;/setvar&gt;&lt;/respcondition&gt;",""),IF(AA56,"      &lt;respcondition continue=""Yes""&gt;&lt;conditionvar&gt;&lt;varequal respident=""RESPONSE""&gt;7&lt;/varequal&gt;&lt;/conditionvar&gt;&lt;setvar action=""Add""&gt;"&amp;(Saisie_Questions!$N56/$I56)&amp;"&lt;/setvar&gt;&lt;/respcondition&gt;","      &lt;respcondition continue=""Yes""&gt;&lt;conditionvar&gt;&lt;not&gt;&lt;varequal respident=""RESPONSE""&gt;7&lt;/varequal&gt;&lt;/not&gt;&lt;/conditionvar&gt;&lt;setvar action=""Add""&gt;"&amp;(Saisie_Questions!$N56/$I56)&amp;"&lt;/setvar&gt;&lt;/respcondition&gt;"))),"")</f>
        <v/>
      </c>
    </row>
    <row r="57" spans="1:43" ht="18" customHeight="1">
      <c r="A57" s="2" t="str">
        <f>Saisie_Questions!A57</f>
        <v/>
      </c>
      <c r="B57" s="2" t="b">
        <f>Saisie_Questions!O57="OK"</f>
        <v>0</v>
      </c>
      <c r="C57" s="2" t="str">
        <f>LOWER(TRIM(Saisie_Questions!B57))</f>
        <v/>
      </c>
      <c r="D57" s="2" t="str">
        <f t="shared" si="18"/>
        <v>MULTIPLE CHOICE QUESTION</v>
      </c>
      <c r="E57" s="2" t="str">
        <f t="shared" si="19"/>
        <v>Multiple</v>
      </c>
      <c r="F57" s="2" t="str">
        <f>IF(A57="","",SUBSTITUTE(SUBSTITUTE(SUBSTITUTE(SUBSTITUTE(SUBSTITUTE(IF(Saisie_Questions!C57="", "Question "&amp;A57, Saisie_Questions!C57),"&amp;","&amp;amp;"),"&lt;","&amp;lt;"),"&gt;","&amp;gt;"),CHAR(34),"&amp;quot;"),"'","&amp;apos;"))</f>
        <v/>
      </c>
      <c r="G57" s="2" t="str">
        <f>IF(A57="","",SUBSTITUTE(SUBSTITUTE(SUBSTITUTE(SUBSTITUTE(SUBSTITUTE(Saisie_Questions!D57,"&amp;","&amp;amp;"),"&lt;","&amp;lt;"),"&gt;","&amp;gt;"),CHAR(34),"&amp;quot;"),"'","&amp;apos;"))</f>
        <v/>
      </c>
      <c r="H57" s="2">
        <f>Saisie_Questions!N57</f>
        <v>0</v>
      </c>
      <c r="I57" s="2">
        <f>IF(Saisie_Questions!E57="",0,1)+IF(Saisie_Questions!F57="",0,1)+IF(Saisie_Questions!G57="",0,1)+IF(Saisie_Questions!H57="",0,1)+IF(Saisie_Questions!I57="",0,1)+IF(Saisie_Questions!J57="",0,1)+IF(Saisie_Questions!K57="",0,1)+IF(Saisie_Questions!L57="",0,1)</f>
        <v>0</v>
      </c>
      <c r="J57" s="2">
        <f>Saisie_Questions!M57</f>
        <v>0</v>
      </c>
      <c r="K57" s="2" t="str">
        <f>Saisie_Questions!O57</f>
        <v/>
      </c>
      <c r="L57" s="2" t="str">
        <f>IF(Saisie_Questions!E57="","",SUBSTITUTE(SUBSTITUTE(SUBSTITUTE(SUBSTITUTE(SUBSTITUTE(Saisie_Questions!E57,"&amp;","&amp;amp;"),"&lt;","&amp;lt;"),"&gt;","&amp;gt;"),CHAR(34),"&amp;quot;"),"'","&amp;apos;"))</f>
        <v/>
      </c>
      <c r="M57" s="2" t="str">
        <f>IF(Saisie_Questions!F57="","",SUBSTITUTE(SUBSTITUTE(SUBSTITUTE(SUBSTITUTE(SUBSTITUTE(Saisie_Questions!F57,"&amp;","&amp;amp;"),"&lt;","&amp;lt;"),"&gt;","&amp;gt;"),CHAR(34),"&amp;quot;"),"'","&amp;apos;"))</f>
        <v/>
      </c>
      <c r="N57" s="2" t="str">
        <f>IF(Saisie_Questions!G57="","",SUBSTITUTE(SUBSTITUTE(SUBSTITUTE(SUBSTITUTE(SUBSTITUTE(Saisie_Questions!G57,"&amp;","&amp;amp;"),"&lt;","&amp;lt;"),"&gt;","&amp;gt;"),CHAR(34),"&amp;quot;"),"'","&amp;apos;"))</f>
        <v/>
      </c>
      <c r="O57" s="2" t="str">
        <f>IF(Saisie_Questions!H57="","",SUBSTITUTE(SUBSTITUTE(SUBSTITUTE(SUBSTITUTE(SUBSTITUTE(Saisie_Questions!H57,"&amp;","&amp;amp;"),"&lt;","&amp;lt;"),"&gt;","&amp;gt;"),CHAR(34),"&amp;quot;"),"'","&amp;apos;"))</f>
        <v/>
      </c>
      <c r="P57" s="2" t="str">
        <f>IF(Saisie_Questions!I57="","",SUBSTITUTE(SUBSTITUTE(SUBSTITUTE(SUBSTITUTE(SUBSTITUTE(Saisie_Questions!I57,"&amp;","&amp;amp;"),"&lt;","&amp;lt;"),"&gt;","&amp;gt;"),CHAR(34),"&amp;quot;"),"'","&amp;apos;"))</f>
        <v/>
      </c>
      <c r="Q57" s="2" t="str">
        <f>IF(Saisie_Questions!J57="","",SUBSTITUTE(SUBSTITUTE(SUBSTITUTE(SUBSTITUTE(SUBSTITUTE(Saisie_Questions!J57,"&amp;","&amp;amp;"),"&lt;","&amp;lt;"),"&gt;","&amp;gt;"),CHAR(34),"&amp;quot;"),"'","&amp;apos;"))</f>
        <v/>
      </c>
      <c r="R57" s="2" t="str">
        <f>IF(Saisie_Questions!K57="","",SUBSTITUTE(SUBSTITUTE(SUBSTITUTE(SUBSTITUTE(SUBSTITUTE(Saisie_Questions!K57,"&amp;","&amp;amp;"),"&lt;","&amp;lt;"),"&gt;","&amp;gt;"),CHAR(34),"&amp;quot;"),"'","&amp;apos;"))</f>
        <v/>
      </c>
      <c r="S57" s="2" t="str">
        <f>IF(Saisie_Questions!L57="","",SUBSTITUTE(SUBSTITUTE(SUBSTITUTE(SUBSTITUTE(SUBSTITUTE(Saisie_Questions!L57,"&amp;","&amp;amp;"),"&lt;","&amp;lt;"),"&gt;","&amp;gt;"),CHAR(34),"&amp;quot;"),"'","&amp;apos;"))</f>
        <v/>
      </c>
      <c r="T57" s="2" t="b">
        <f t="shared" si="20"/>
        <v>0</v>
      </c>
      <c r="U57" s="2" t="b">
        <f t="shared" si="21"/>
        <v>0</v>
      </c>
      <c r="V57" s="2" t="b">
        <f t="shared" si="22"/>
        <v>0</v>
      </c>
      <c r="W57" s="2" t="b">
        <f t="shared" si="23"/>
        <v>0</v>
      </c>
      <c r="X57" s="2" t="b">
        <f t="shared" si="24"/>
        <v>0</v>
      </c>
      <c r="Y57" s="2" t="b">
        <f t="shared" si="25"/>
        <v>0</v>
      </c>
      <c r="Z57" s="2" t="b">
        <f t="shared" si="26"/>
        <v>0</v>
      </c>
      <c r="AA57" s="2" t="b">
        <f t="shared" si="27"/>
        <v>0</v>
      </c>
      <c r="AB57" s="2" t="str">
        <f t="shared" si="28"/>
        <v/>
      </c>
      <c r="AC57" s="2" t="str">
        <f t="shared" si="29"/>
        <v/>
      </c>
      <c r="AD57" s="2" t="str">
        <f t="shared" si="30"/>
        <v/>
      </c>
      <c r="AE57" s="2" t="str">
        <f t="shared" si="31"/>
        <v/>
      </c>
      <c r="AF57" s="2" t="str">
        <f t="shared" si="32"/>
        <v/>
      </c>
      <c r="AG57" s="2" t="str">
        <f t="shared" si="33"/>
        <v/>
      </c>
      <c r="AH57" s="2" t="str">
        <f t="shared" si="34"/>
        <v/>
      </c>
      <c r="AI57" s="2" t="str">
        <f t="shared" si="35"/>
        <v/>
      </c>
      <c r="AJ57" s="2" t="str">
        <f>IF($B57,IF(L57="","",IF($C57="qcu",IF(T57,"      &lt;respcondition continue=""Yes""&gt;&lt;conditionvar&gt;&lt;varequal respident=""RESPONSE""&gt;0&lt;/varequal&gt;&lt;/conditionvar&gt;&lt;setvar action=""Add""&gt;"&amp;$H57&amp;"&lt;/setvar&gt;&lt;/respcondition&gt;",""),IF(T57,"      &lt;respcondition continue=""Yes""&gt;&lt;conditionvar&gt;&lt;varequal respident=""RESPONSE""&gt;0&lt;/varequal&gt;&lt;/conditionvar&gt;&lt;setvar action=""Add""&gt;"&amp;(Saisie_Questions!$N57/$I57)&amp;"&lt;/setvar&gt;&lt;/respcondition&gt;","      &lt;respcondition continue=""Yes""&gt;&lt;conditionvar&gt;&lt;not&gt;&lt;varequal respident=""RESPONSE""&gt;0&lt;/varequal&gt;&lt;/not&gt;&lt;/conditionvar&gt;&lt;setvar action=""Add""&gt;"&amp;(Saisie_Questions!$N57/$I57)&amp;"&lt;/setvar&gt;&lt;/respcondition&gt;"))),"")</f>
        <v/>
      </c>
      <c r="AK57" s="2" t="str">
        <f>IF($B57,IF(M57="","",IF($C57="qcu",IF(U57,"      &lt;respcondition continue=""Yes""&gt;&lt;conditionvar&gt;&lt;varequal respident=""RESPONSE""&gt;1&lt;/varequal&gt;&lt;/conditionvar&gt;&lt;setvar action=""Add""&gt;"&amp;$H57&amp;"&lt;/setvar&gt;&lt;/respcondition&gt;",""),IF(U57,"      &lt;respcondition continue=""Yes""&gt;&lt;conditionvar&gt;&lt;varequal respident=""RESPONSE""&gt;1&lt;/varequal&gt;&lt;/conditionvar&gt;&lt;setvar action=""Add""&gt;"&amp;(Saisie_Questions!$N57/$I57)&amp;"&lt;/setvar&gt;&lt;/respcondition&gt;","      &lt;respcondition continue=""Yes""&gt;&lt;conditionvar&gt;&lt;not&gt;&lt;varequal respident=""RESPONSE""&gt;1&lt;/varequal&gt;&lt;/not&gt;&lt;/conditionvar&gt;&lt;setvar action=""Add""&gt;"&amp;(Saisie_Questions!$N57/$I57)&amp;"&lt;/setvar&gt;&lt;/respcondition&gt;"))),"")</f>
        <v/>
      </c>
      <c r="AL57" s="2" t="str">
        <f>IF($B57,IF(N57="","",IF($C57="qcu",IF(V57,"      &lt;respcondition continue=""Yes""&gt;&lt;conditionvar&gt;&lt;varequal respident=""RESPONSE""&gt;2&lt;/varequal&gt;&lt;/conditionvar&gt;&lt;setvar action=""Add""&gt;"&amp;$H57&amp;"&lt;/setvar&gt;&lt;/respcondition&gt;",""),IF(V57,"      &lt;respcondition continue=""Yes""&gt;&lt;conditionvar&gt;&lt;varequal respident=""RESPONSE""&gt;2&lt;/varequal&gt;&lt;/conditionvar&gt;&lt;setvar action=""Add""&gt;"&amp;(Saisie_Questions!$N57/$I57)&amp;"&lt;/setvar&gt;&lt;/respcondition&gt;","      &lt;respcondition continue=""Yes""&gt;&lt;conditionvar&gt;&lt;not&gt;&lt;varequal respident=""RESPONSE""&gt;2&lt;/varequal&gt;&lt;/not&gt;&lt;/conditionvar&gt;&lt;setvar action=""Add""&gt;"&amp;(Saisie_Questions!$N57/$I57)&amp;"&lt;/setvar&gt;&lt;/respcondition&gt;"))),"")</f>
        <v/>
      </c>
      <c r="AM57" s="2" t="str">
        <f>IF($B57,IF(O57="","",IF($C57="qcu",IF(W57,"      &lt;respcondition continue=""Yes""&gt;&lt;conditionvar&gt;&lt;varequal respident=""RESPONSE""&gt;3&lt;/varequal&gt;&lt;/conditionvar&gt;&lt;setvar action=""Add""&gt;"&amp;$H57&amp;"&lt;/setvar&gt;&lt;/respcondition&gt;",""),IF(W57,"      &lt;respcondition continue=""Yes""&gt;&lt;conditionvar&gt;&lt;varequal respident=""RESPONSE""&gt;3&lt;/varequal&gt;&lt;/conditionvar&gt;&lt;setvar action=""Add""&gt;"&amp;(Saisie_Questions!$N57/$I57)&amp;"&lt;/setvar&gt;&lt;/respcondition&gt;","      &lt;respcondition continue=""Yes""&gt;&lt;conditionvar&gt;&lt;not&gt;&lt;varequal respident=""RESPONSE""&gt;3&lt;/varequal&gt;&lt;/not&gt;&lt;/conditionvar&gt;&lt;setvar action=""Add""&gt;"&amp;(Saisie_Questions!$N57/$I57)&amp;"&lt;/setvar&gt;&lt;/respcondition&gt;"))),"")</f>
        <v/>
      </c>
      <c r="AN57" s="2" t="str">
        <f>IF($B57,IF(P57="","",IF($C57="qcu",IF(X57,"      &lt;respcondition continue=""Yes""&gt;&lt;conditionvar&gt;&lt;varequal respident=""RESPONSE""&gt;4&lt;/varequal&gt;&lt;/conditionvar&gt;&lt;setvar action=""Add""&gt;"&amp;$H57&amp;"&lt;/setvar&gt;&lt;/respcondition&gt;",""),IF(X57,"      &lt;respcondition continue=""Yes""&gt;&lt;conditionvar&gt;&lt;varequal respident=""RESPONSE""&gt;4&lt;/varequal&gt;&lt;/conditionvar&gt;&lt;setvar action=""Add""&gt;"&amp;(Saisie_Questions!$N57/$I57)&amp;"&lt;/setvar&gt;&lt;/respcondition&gt;","      &lt;respcondition continue=""Yes""&gt;&lt;conditionvar&gt;&lt;not&gt;&lt;varequal respident=""RESPONSE""&gt;4&lt;/varequal&gt;&lt;/not&gt;&lt;/conditionvar&gt;&lt;setvar action=""Add""&gt;"&amp;(Saisie_Questions!$N57/$I57)&amp;"&lt;/setvar&gt;&lt;/respcondition&gt;"))),"")</f>
        <v/>
      </c>
      <c r="AO57" s="2" t="str">
        <f>IF($B57,IF(Q57="","",IF($C57="qcu",IF(Y57,"      &lt;respcondition continue=""Yes""&gt;&lt;conditionvar&gt;&lt;varequal respident=""RESPONSE""&gt;5&lt;/varequal&gt;&lt;/conditionvar&gt;&lt;setvar action=""Add""&gt;"&amp;$H57&amp;"&lt;/setvar&gt;&lt;/respcondition&gt;",""),IF(Y57,"      &lt;respcondition continue=""Yes""&gt;&lt;conditionvar&gt;&lt;varequal respident=""RESPONSE""&gt;5&lt;/varequal&gt;&lt;/conditionvar&gt;&lt;setvar action=""Add""&gt;"&amp;(Saisie_Questions!$N57/$I57)&amp;"&lt;/setvar&gt;&lt;/respcondition&gt;","      &lt;respcondition continue=""Yes""&gt;&lt;conditionvar&gt;&lt;not&gt;&lt;varequal respident=""RESPONSE""&gt;5&lt;/varequal&gt;&lt;/not&gt;&lt;/conditionvar&gt;&lt;setvar action=""Add""&gt;"&amp;(Saisie_Questions!$N57/$I57)&amp;"&lt;/setvar&gt;&lt;/respcondition&gt;"))),"")</f>
        <v/>
      </c>
      <c r="AP57" s="2" t="str">
        <f>IF($B57,IF(R57="","",IF($C57="qcu",IF(Z57,"      &lt;respcondition continue=""Yes""&gt;&lt;conditionvar&gt;&lt;varequal respident=""RESPONSE""&gt;6&lt;/varequal&gt;&lt;/conditionvar&gt;&lt;setvar action=""Add""&gt;"&amp;$H57&amp;"&lt;/setvar&gt;&lt;/respcondition&gt;",""),IF(Z57,"      &lt;respcondition continue=""Yes""&gt;&lt;conditionvar&gt;&lt;varequal respident=""RESPONSE""&gt;6&lt;/varequal&gt;&lt;/conditionvar&gt;&lt;setvar action=""Add""&gt;"&amp;(Saisie_Questions!$N57/$I57)&amp;"&lt;/setvar&gt;&lt;/respcondition&gt;","      &lt;respcondition continue=""Yes""&gt;&lt;conditionvar&gt;&lt;not&gt;&lt;varequal respident=""RESPONSE""&gt;6&lt;/varequal&gt;&lt;/not&gt;&lt;/conditionvar&gt;&lt;setvar action=""Add""&gt;"&amp;(Saisie_Questions!$N57/$I57)&amp;"&lt;/setvar&gt;&lt;/respcondition&gt;"))),"")</f>
        <v/>
      </c>
      <c r="AQ57" s="2" t="str">
        <f>IF($B57,IF(S57="","",IF($C57="qcu",IF(AA57,"      &lt;respcondition continue=""Yes""&gt;&lt;conditionvar&gt;&lt;varequal respident=""RESPONSE""&gt;7&lt;/varequal&gt;&lt;/conditionvar&gt;&lt;setvar action=""Add""&gt;"&amp;$H57&amp;"&lt;/setvar&gt;&lt;/respcondition&gt;",""),IF(AA57,"      &lt;respcondition continue=""Yes""&gt;&lt;conditionvar&gt;&lt;varequal respident=""RESPONSE""&gt;7&lt;/varequal&gt;&lt;/conditionvar&gt;&lt;setvar action=""Add""&gt;"&amp;(Saisie_Questions!$N57/$I57)&amp;"&lt;/setvar&gt;&lt;/respcondition&gt;","      &lt;respcondition continue=""Yes""&gt;&lt;conditionvar&gt;&lt;not&gt;&lt;varequal respident=""RESPONSE""&gt;7&lt;/varequal&gt;&lt;/not&gt;&lt;/conditionvar&gt;&lt;setvar action=""Add""&gt;"&amp;(Saisie_Questions!$N57/$I57)&amp;"&lt;/setvar&gt;&lt;/respcondition&gt;"))),"")</f>
        <v/>
      </c>
    </row>
    <row r="58" spans="1:43" ht="18" customHeight="1">
      <c r="A58" s="2" t="str">
        <f>Saisie_Questions!A58</f>
        <v/>
      </c>
      <c r="B58" s="2" t="b">
        <f>Saisie_Questions!O58="OK"</f>
        <v>0</v>
      </c>
      <c r="C58" s="2" t="str">
        <f>LOWER(TRIM(Saisie_Questions!B58))</f>
        <v/>
      </c>
      <c r="D58" s="2" t="str">
        <f t="shared" si="18"/>
        <v>MULTIPLE CHOICE QUESTION</v>
      </c>
      <c r="E58" s="2" t="str">
        <f t="shared" si="19"/>
        <v>Multiple</v>
      </c>
      <c r="F58" s="2" t="str">
        <f>IF(A58="","",SUBSTITUTE(SUBSTITUTE(SUBSTITUTE(SUBSTITUTE(SUBSTITUTE(IF(Saisie_Questions!C58="", "Question "&amp;A58, Saisie_Questions!C58),"&amp;","&amp;amp;"),"&lt;","&amp;lt;"),"&gt;","&amp;gt;"),CHAR(34),"&amp;quot;"),"'","&amp;apos;"))</f>
        <v/>
      </c>
      <c r="G58" s="2" t="str">
        <f>IF(A58="","",SUBSTITUTE(SUBSTITUTE(SUBSTITUTE(SUBSTITUTE(SUBSTITUTE(Saisie_Questions!D58,"&amp;","&amp;amp;"),"&lt;","&amp;lt;"),"&gt;","&amp;gt;"),CHAR(34),"&amp;quot;"),"'","&amp;apos;"))</f>
        <v/>
      </c>
      <c r="H58" s="2">
        <f>Saisie_Questions!N58</f>
        <v>0</v>
      </c>
      <c r="I58" s="2">
        <f>IF(Saisie_Questions!E58="",0,1)+IF(Saisie_Questions!F58="",0,1)+IF(Saisie_Questions!G58="",0,1)+IF(Saisie_Questions!H58="",0,1)+IF(Saisie_Questions!I58="",0,1)+IF(Saisie_Questions!J58="",0,1)+IF(Saisie_Questions!K58="",0,1)+IF(Saisie_Questions!L58="",0,1)</f>
        <v>0</v>
      </c>
      <c r="J58" s="2">
        <f>Saisie_Questions!M58</f>
        <v>0</v>
      </c>
      <c r="K58" s="2" t="str">
        <f>Saisie_Questions!O58</f>
        <v/>
      </c>
      <c r="L58" s="2" t="str">
        <f>IF(Saisie_Questions!E58="","",SUBSTITUTE(SUBSTITUTE(SUBSTITUTE(SUBSTITUTE(SUBSTITUTE(Saisie_Questions!E58,"&amp;","&amp;amp;"),"&lt;","&amp;lt;"),"&gt;","&amp;gt;"),CHAR(34),"&amp;quot;"),"'","&amp;apos;"))</f>
        <v/>
      </c>
      <c r="M58" s="2" t="str">
        <f>IF(Saisie_Questions!F58="","",SUBSTITUTE(SUBSTITUTE(SUBSTITUTE(SUBSTITUTE(SUBSTITUTE(Saisie_Questions!F58,"&amp;","&amp;amp;"),"&lt;","&amp;lt;"),"&gt;","&amp;gt;"),CHAR(34),"&amp;quot;"),"'","&amp;apos;"))</f>
        <v/>
      </c>
      <c r="N58" s="2" t="str">
        <f>IF(Saisie_Questions!G58="","",SUBSTITUTE(SUBSTITUTE(SUBSTITUTE(SUBSTITUTE(SUBSTITUTE(Saisie_Questions!G58,"&amp;","&amp;amp;"),"&lt;","&amp;lt;"),"&gt;","&amp;gt;"),CHAR(34),"&amp;quot;"),"'","&amp;apos;"))</f>
        <v/>
      </c>
      <c r="O58" s="2" t="str">
        <f>IF(Saisie_Questions!H58="","",SUBSTITUTE(SUBSTITUTE(SUBSTITUTE(SUBSTITUTE(SUBSTITUTE(Saisie_Questions!H58,"&amp;","&amp;amp;"),"&lt;","&amp;lt;"),"&gt;","&amp;gt;"),CHAR(34),"&amp;quot;"),"'","&amp;apos;"))</f>
        <v/>
      </c>
      <c r="P58" s="2" t="str">
        <f>IF(Saisie_Questions!I58="","",SUBSTITUTE(SUBSTITUTE(SUBSTITUTE(SUBSTITUTE(SUBSTITUTE(Saisie_Questions!I58,"&amp;","&amp;amp;"),"&lt;","&amp;lt;"),"&gt;","&amp;gt;"),CHAR(34),"&amp;quot;"),"'","&amp;apos;"))</f>
        <v/>
      </c>
      <c r="Q58" s="2" t="str">
        <f>IF(Saisie_Questions!J58="","",SUBSTITUTE(SUBSTITUTE(SUBSTITUTE(SUBSTITUTE(SUBSTITUTE(Saisie_Questions!J58,"&amp;","&amp;amp;"),"&lt;","&amp;lt;"),"&gt;","&amp;gt;"),CHAR(34),"&amp;quot;"),"'","&amp;apos;"))</f>
        <v/>
      </c>
      <c r="R58" s="2" t="str">
        <f>IF(Saisie_Questions!K58="","",SUBSTITUTE(SUBSTITUTE(SUBSTITUTE(SUBSTITUTE(SUBSTITUTE(Saisie_Questions!K58,"&amp;","&amp;amp;"),"&lt;","&amp;lt;"),"&gt;","&amp;gt;"),CHAR(34),"&amp;quot;"),"'","&amp;apos;"))</f>
        <v/>
      </c>
      <c r="S58" s="2" t="str">
        <f>IF(Saisie_Questions!L58="","",SUBSTITUTE(SUBSTITUTE(SUBSTITUTE(SUBSTITUTE(SUBSTITUTE(Saisie_Questions!L58,"&amp;","&amp;amp;"),"&lt;","&amp;lt;"),"&gt;","&amp;gt;"),CHAR(34),"&amp;quot;"),"'","&amp;apos;"))</f>
        <v/>
      </c>
      <c r="T58" s="2" t="b">
        <f t="shared" si="20"/>
        <v>0</v>
      </c>
      <c r="U58" s="2" t="b">
        <f t="shared" si="21"/>
        <v>0</v>
      </c>
      <c r="V58" s="2" t="b">
        <f t="shared" si="22"/>
        <v>0</v>
      </c>
      <c r="W58" s="2" t="b">
        <f t="shared" si="23"/>
        <v>0</v>
      </c>
      <c r="X58" s="2" t="b">
        <f t="shared" si="24"/>
        <v>0</v>
      </c>
      <c r="Y58" s="2" t="b">
        <f t="shared" si="25"/>
        <v>0</v>
      </c>
      <c r="Z58" s="2" t="b">
        <f t="shared" si="26"/>
        <v>0</v>
      </c>
      <c r="AA58" s="2" t="b">
        <f t="shared" si="27"/>
        <v>0</v>
      </c>
      <c r="AB58" s="2" t="str">
        <f t="shared" si="28"/>
        <v/>
      </c>
      <c r="AC58" s="2" t="str">
        <f t="shared" si="29"/>
        <v/>
      </c>
      <c r="AD58" s="2" t="str">
        <f t="shared" si="30"/>
        <v/>
      </c>
      <c r="AE58" s="2" t="str">
        <f t="shared" si="31"/>
        <v/>
      </c>
      <c r="AF58" s="2" t="str">
        <f t="shared" si="32"/>
        <v/>
      </c>
      <c r="AG58" s="2" t="str">
        <f t="shared" si="33"/>
        <v/>
      </c>
      <c r="AH58" s="2" t="str">
        <f t="shared" si="34"/>
        <v/>
      </c>
      <c r="AI58" s="2" t="str">
        <f t="shared" si="35"/>
        <v/>
      </c>
      <c r="AJ58" s="2" t="str">
        <f>IF($B58,IF(L58="","",IF($C58="qcu",IF(T58,"      &lt;respcondition continue=""Yes""&gt;&lt;conditionvar&gt;&lt;varequal respident=""RESPONSE""&gt;0&lt;/varequal&gt;&lt;/conditionvar&gt;&lt;setvar action=""Add""&gt;"&amp;$H58&amp;"&lt;/setvar&gt;&lt;/respcondition&gt;",""),IF(T58,"      &lt;respcondition continue=""Yes""&gt;&lt;conditionvar&gt;&lt;varequal respident=""RESPONSE""&gt;0&lt;/varequal&gt;&lt;/conditionvar&gt;&lt;setvar action=""Add""&gt;"&amp;(Saisie_Questions!$N58/$I58)&amp;"&lt;/setvar&gt;&lt;/respcondition&gt;","      &lt;respcondition continue=""Yes""&gt;&lt;conditionvar&gt;&lt;not&gt;&lt;varequal respident=""RESPONSE""&gt;0&lt;/varequal&gt;&lt;/not&gt;&lt;/conditionvar&gt;&lt;setvar action=""Add""&gt;"&amp;(Saisie_Questions!$N58/$I58)&amp;"&lt;/setvar&gt;&lt;/respcondition&gt;"))),"")</f>
        <v/>
      </c>
      <c r="AK58" s="2" t="str">
        <f>IF($B58,IF(M58="","",IF($C58="qcu",IF(U58,"      &lt;respcondition continue=""Yes""&gt;&lt;conditionvar&gt;&lt;varequal respident=""RESPONSE""&gt;1&lt;/varequal&gt;&lt;/conditionvar&gt;&lt;setvar action=""Add""&gt;"&amp;$H58&amp;"&lt;/setvar&gt;&lt;/respcondition&gt;",""),IF(U58,"      &lt;respcondition continue=""Yes""&gt;&lt;conditionvar&gt;&lt;varequal respident=""RESPONSE""&gt;1&lt;/varequal&gt;&lt;/conditionvar&gt;&lt;setvar action=""Add""&gt;"&amp;(Saisie_Questions!$N58/$I58)&amp;"&lt;/setvar&gt;&lt;/respcondition&gt;","      &lt;respcondition continue=""Yes""&gt;&lt;conditionvar&gt;&lt;not&gt;&lt;varequal respident=""RESPONSE""&gt;1&lt;/varequal&gt;&lt;/not&gt;&lt;/conditionvar&gt;&lt;setvar action=""Add""&gt;"&amp;(Saisie_Questions!$N58/$I58)&amp;"&lt;/setvar&gt;&lt;/respcondition&gt;"))),"")</f>
        <v/>
      </c>
      <c r="AL58" s="2" t="str">
        <f>IF($B58,IF(N58="","",IF($C58="qcu",IF(V58,"      &lt;respcondition continue=""Yes""&gt;&lt;conditionvar&gt;&lt;varequal respident=""RESPONSE""&gt;2&lt;/varequal&gt;&lt;/conditionvar&gt;&lt;setvar action=""Add""&gt;"&amp;$H58&amp;"&lt;/setvar&gt;&lt;/respcondition&gt;",""),IF(V58,"      &lt;respcondition continue=""Yes""&gt;&lt;conditionvar&gt;&lt;varequal respident=""RESPONSE""&gt;2&lt;/varequal&gt;&lt;/conditionvar&gt;&lt;setvar action=""Add""&gt;"&amp;(Saisie_Questions!$N58/$I58)&amp;"&lt;/setvar&gt;&lt;/respcondition&gt;","      &lt;respcondition continue=""Yes""&gt;&lt;conditionvar&gt;&lt;not&gt;&lt;varequal respident=""RESPONSE""&gt;2&lt;/varequal&gt;&lt;/not&gt;&lt;/conditionvar&gt;&lt;setvar action=""Add""&gt;"&amp;(Saisie_Questions!$N58/$I58)&amp;"&lt;/setvar&gt;&lt;/respcondition&gt;"))),"")</f>
        <v/>
      </c>
      <c r="AM58" s="2" t="str">
        <f>IF($B58,IF(O58="","",IF($C58="qcu",IF(W58,"      &lt;respcondition continue=""Yes""&gt;&lt;conditionvar&gt;&lt;varequal respident=""RESPONSE""&gt;3&lt;/varequal&gt;&lt;/conditionvar&gt;&lt;setvar action=""Add""&gt;"&amp;$H58&amp;"&lt;/setvar&gt;&lt;/respcondition&gt;",""),IF(W58,"      &lt;respcondition continue=""Yes""&gt;&lt;conditionvar&gt;&lt;varequal respident=""RESPONSE""&gt;3&lt;/varequal&gt;&lt;/conditionvar&gt;&lt;setvar action=""Add""&gt;"&amp;(Saisie_Questions!$N58/$I58)&amp;"&lt;/setvar&gt;&lt;/respcondition&gt;","      &lt;respcondition continue=""Yes""&gt;&lt;conditionvar&gt;&lt;not&gt;&lt;varequal respident=""RESPONSE""&gt;3&lt;/varequal&gt;&lt;/not&gt;&lt;/conditionvar&gt;&lt;setvar action=""Add""&gt;"&amp;(Saisie_Questions!$N58/$I58)&amp;"&lt;/setvar&gt;&lt;/respcondition&gt;"))),"")</f>
        <v/>
      </c>
      <c r="AN58" s="2" t="str">
        <f>IF($B58,IF(P58="","",IF($C58="qcu",IF(X58,"      &lt;respcondition continue=""Yes""&gt;&lt;conditionvar&gt;&lt;varequal respident=""RESPONSE""&gt;4&lt;/varequal&gt;&lt;/conditionvar&gt;&lt;setvar action=""Add""&gt;"&amp;$H58&amp;"&lt;/setvar&gt;&lt;/respcondition&gt;",""),IF(X58,"      &lt;respcondition continue=""Yes""&gt;&lt;conditionvar&gt;&lt;varequal respident=""RESPONSE""&gt;4&lt;/varequal&gt;&lt;/conditionvar&gt;&lt;setvar action=""Add""&gt;"&amp;(Saisie_Questions!$N58/$I58)&amp;"&lt;/setvar&gt;&lt;/respcondition&gt;","      &lt;respcondition continue=""Yes""&gt;&lt;conditionvar&gt;&lt;not&gt;&lt;varequal respident=""RESPONSE""&gt;4&lt;/varequal&gt;&lt;/not&gt;&lt;/conditionvar&gt;&lt;setvar action=""Add""&gt;"&amp;(Saisie_Questions!$N58/$I58)&amp;"&lt;/setvar&gt;&lt;/respcondition&gt;"))),"")</f>
        <v/>
      </c>
      <c r="AO58" s="2" t="str">
        <f>IF($B58,IF(Q58="","",IF($C58="qcu",IF(Y58,"      &lt;respcondition continue=""Yes""&gt;&lt;conditionvar&gt;&lt;varequal respident=""RESPONSE""&gt;5&lt;/varequal&gt;&lt;/conditionvar&gt;&lt;setvar action=""Add""&gt;"&amp;$H58&amp;"&lt;/setvar&gt;&lt;/respcondition&gt;",""),IF(Y58,"      &lt;respcondition continue=""Yes""&gt;&lt;conditionvar&gt;&lt;varequal respident=""RESPONSE""&gt;5&lt;/varequal&gt;&lt;/conditionvar&gt;&lt;setvar action=""Add""&gt;"&amp;(Saisie_Questions!$N58/$I58)&amp;"&lt;/setvar&gt;&lt;/respcondition&gt;","      &lt;respcondition continue=""Yes""&gt;&lt;conditionvar&gt;&lt;not&gt;&lt;varequal respident=""RESPONSE""&gt;5&lt;/varequal&gt;&lt;/not&gt;&lt;/conditionvar&gt;&lt;setvar action=""Add""&gt;"&amp;(Saisie_Questions!$N58/$I58)&amp;"&lt;/setvar&gt;&lt;/respcondition&gt;"))),"")</f>
        <v/>
      </c>
      <c r="AP58" s="2" t="str">
        <f>IF($B58,IF(R58="","",IF($C58="qcu",IF(Z58,"      &lt;respcondition continue=""Yes""&gt;&lt;conditionvar&gt;&lt;varequal respident=""RESPONSE""&gt;6&lt;/varequal&gt;&lt;/conditionvar&gt;&lt;setvar action=""Add""&gt;"&amp;$H58&amp;"&lt;/setvar&gt;&lt;/respcondition&gt;",""),IF(Z58,"      &lt;respcondition continue=""Yes""&gt;&lt;conditionvar&gt;&lt;varequal respident=""RESPONSE""&gt;6&lt;/varequal&gt;&lt;/conditionvar&gt;&lt;setvar action=""Add""&gt;"&amp;(Saisie_Questions!$N58/$I58)&amp;"&lt;/setvar&gt;&lt;/respcondition&gt;","      &lt;respcondition continue=""Yes""&gt;&lt;conditionvar&gt;&lt;not&gt;&lt;varequal respident=""RESPONSE""&gt;6&lt;/varequal&gt;&lt;/not&gt;&lt;/conditionvar&gt;&lt;setvar action=""Add""&gt;"&amp;(Saisie_Questions!$N58/$I58)&amp;"&lt;/setvar&gt;&lt;/respcondition&gt;"))),"")</f>
        <v/>
      </c>
      <c r="AQ58" s="2" t="str">
        <f>IF($B58,IF(S58="","",IF($C58="qcu",IF(AA58,"      &lt;respcondition continue=""Yes""&gt;&lt;conditionvar&gt;&lt;varequal respident=""RESPONSE""&gt;7&lt;/varequal&gt;&lt;/conditionvar&gt;&lt;setvar action=""Add""&gt;"&amp;$H58&amp;"&lt;/setvar&gt;&lt;/respcondition&gt;",""),IF(AA58,"      &lt;respcondition continue=""Yes""&gt;&lt;conditionvar&gt;&lt;varequal respident=""RESPONSE""&gt;7&lt;/varequal&gt;&lt;/conditionvar&gt;&lt;setvar action=""Add""&gt;"&amp;(Saisie_Questions!$N58/$I58)&amp;"&lt;/setvar&gt;&lt;/respcondition&gt;","      &lt;respcondition continue=""Yes""&gt;&lt;conditionvar&gt;&lt;not&gt;&lt;varequal respident=""RESPONSE""&gt;7&lt;/varequal&gt;&lt;/not&gt;&lt;/conditionvar&gt;&lt;setvar action=""Add""&gt;"&amp;(Saisie_Questions!$N58/$I58)&amp;"&lt;/setvar&gt;&lt;/respcondition&gt;"))),"")</f>
        <v/>
      </c>
    </row>
    <row r="59" spans="1:43" ht="18" customHeight="1">
      <c r="A59" s="2" t="str">
        <f>Saisie_Questions!A59</f>
        <v/>
      </c>
      <c r="B59" s="2" t="b">
        <f>Saisie_Questions!O59="OK"</f>
        <v>0</v>
      </c>
      <c r="C59" s="2" t="str">
        <f>LOWER(TRIM(Saisie_Questions!B59))</f>
        <v/>
      </c>
      <c r="D59" s="2" t="str">
        <f t="shared" si="18"/>
        <v>MULTIPLE CHOICE QUESTION</v>
      </c>
      <c r="E59" s="2" t="str">
        <f t="shared" si="19"/>
        <v>Multiple</v>
      </c>
      <c r="F59" s="2" t="str">
        <f>IF(A59="","",SUBSTITUTE(SUBSTITUTE(SUBSTITUTE(SUBSTITUTE(SUBSTITUTE(IF(Saisie_Questions!C59="", "Question "&amp;A59, Saisie_Questions!C59),"&amp;","&amp;amp;"),"&lt;","&amp;lt;"),"&gt;","&amp;gt;"),CHAR(34),"&amp;quot;"),"'","&amp;apos;"))</f>
        <v/>
      </c>
      <c r="G59" s="2" t="str">
        <f>IF(A59="","",SUBSTITUTE(SUBSTITUTE(SUBSTITUTE(SUBSTITUTE(SUBSTITUTE(Saisie_Questions!D59,"&amp;","&amp;amp;"),"&lt;","&amp;lt;"),"&gt;","&amp;gt;"),CHAR(34),"&amp;quot;"),"'","&amp;apos;"))</f>
        <v/>
      </c>
      <c r="H59" s="2">
        <f>Saisie_Questions!N59</f>
        <v>0</v>
      </c>
      <c r="I59" s="2">
        <f>IF(Saisie_Questions!E59="",0,1)+IF(Saisie_Questions!F59="",0,1)+IF(Saisie_Questions!G59="",0,1)+IF(Saisie_Questions!H59="",0,1)+IF(Saisie_Questions!I59="",0,1)+IF(Saisie_Questions!J59="",0,1)+IF(Saisie_Questions!K59="",0,1)+IF(Saisie_Questions!L59="",0,1)</f>
        <v>0</v>
      </c>
      <c r="J59" s="2">
        <f>Saisie_Questions!M59</f>
        <v>0</v>
      </c>
      <c r="K59" s="2" t="str">
        <f>Saisie_Questions!O59</f>
        <v/>
      </c>
      <c r="L59" s="2" t="str">
        <f>IF(Saisie_Questions!E59="","",SUBSTITUTE(SUBSTITUTE(SUBSTITUTE(SUBSTITUTE(SUBSTITUTE(Saisie_Questions!E59,"&amp;","&amp;amp;"),"&lt;","&amp;lt;"),"&gt;","&amp;gt;"),CHAR(34),"&amp;quot;"),"'","&amp;apos;"))</f>
        <v/>
      </c>
      <c r="M59" s="2" t="str">
        <f>IF(Saisie_Questions!F59="","",SUBSTITUTE(SUBSTITUTE(SUBSTITUTE(SUBSTITUTE(SUBSTITUTE(Saisie_Questions!F59,"&amp;","&amp;amp;"),"&lt;","&amp;lt;"),"&gt;","&amp;gt;"),CHAR(34),"&amp;quot;"),"'","&amp;apos;"))</f>
        <v/>
      </c>
      <c r="N59" s="2" t="str">
        <f>IF(Saisie_Questions!G59="","",SUBSTITUTE(SUBSTITUTE(SUBSTITUTE(SUBSTITUTE(SUBSTITUTE(Saisie_Questions!G59,"&amp;","&amp;amp;"),"&lt;","&amp;lt;"),"&gt;","&amp;gt;"),CHAR(34),"&amp;quot;"),"'","&amp;apos;"))</f>
        <v/>
      </c>
      <c r="O59" s="2" t="str">
        <f>IF(Saisie_Questions!H59="","",SUBSTITUTE(SUBSTITUTE(SUBSTITUTE(SUBSTITUTE(SUBSTITUTE(Saisie_Questions!H59,"&amp;","&amp;amp;"),"&lt;","&amp;lt;"),"&gt;","&amp;gt;"),CHAR(34),"&amp;quot;"),"'","&amp;apos;"))</f>
        <v/>
      </c>
      <c r="P59" s="2" t="str">
        <f>IF(Saisie_Questions!I59="","",SUBSTITUTE(SUBSTITUTE(SUBSTITUTE(SUBSTITUTE(SUBSTITUTE(Saisie_Questions!I59,"&amp;","&amp;amp;"),"&lt;","&amp;lt;"),"&gt;","&amp;gt;"),CHAR(34),"&amp;quot;"),"'","&amp;apos;"))</f>
        <v/>
      </c>
      <c r="Q59" s="2" t="str">
        <f>IF(Saisie_Questions!J59="","",SUBSTITUTE(SUBSTITUTE(SUBSTITUTE(SUBSTITUTE(SUBSTITUTE(Saisie_Questions!J59,"&amp;","&amp;amp;"),"&lt;","&amp;lt;"),"&gt;","&amp;gt;"),CHAR(34),"&amp;quot;"),"'","&amp;apos;"))</f>
        <v/>
      </c>
      <c r="R59" s="2" t="str">
        <f>IF(Saisie_Questions!K59="","",SUBSTITUTE(SUBSTITUTE(SUBSTITUTE(SUBSTITUTE(SUBSTITUTE(Saisie_Questions!K59,"&amp;","&amp;amp;"),"&lt;","&amp;lt;"),"&gt;","&amp;gt;"),CHAR(34),"&amp;quot;"),"'","&amp;apos;"))</f>
        <v/>
      </c>
      <c r="S59" s="2" t="str">
        <f>IF(Saisie_Questions!L59="","",SUBSTITUTE(SUBSTITUTE(SUBSTITUTE(SUBSTITUTE(SUBSTITUTE(Saisie_Questions!L59,"&amp;","&amp;amp;"),"&lt;","&amp;lt;"),"&gt;","&amp;gt;"),CHAR(34),"&amp;quot;"),"'","&amp;apos;"))</f>
        <v/>
      </c>
      <c r="T59" s="2" t="b">
        <f t="shared" si="20"/>
        <v>0</v>
      </c>
      <c r="U59" s="2" t="b">
        <f t="shared" si="21"/>
        <v>0</v>
      </c>
      <c r="V59" s="2" t="b">
        <f t="shared" si="22"/>
        <v>0</v>
      </c>
      <c r="W59" s="2" t="b">
        <f t="shared" si="23"/>
        <v>0</v>
      </c>
      <c r="X59" s="2" t="b">
        <f t="shared" si="24"/>
        <v>0</v>
      </c>
      <c r="Y59" s="2" t="b">
        <f t="shared" si="25"/>
        <v>0</v>
      </c>
      <c r="Z59" s="2" t="b">
        <f t="shared" si="26"/>
        <v>0</v>
      </c>
      <c r="AA59" s="2" t="b">
        <f t="shared" si="27"/>
        <v>0</v>
      </c>
      <c r="AB59" s="2" t="str">
        <f t="shared" si="28"/>
        <v/>
      </c>
      <c r="AC59" s="2" t="str">
        <f t="shared" si="29"/>
        <v/>
      </c>
      <c r="AD59" s="2" t="str">
        <f t="shared" si="30"/>
        <v/>
      </c>
      <c r="AE59" s="2" t="str">
        <f t="shared" si="31"/>
        <v/>
      </c>
      <c r="AF59" s="2" t="str">
        <f t="shared" si="32"/>
        <v/>
      </c>
      <c r="AG59" s="2" t="str">
        <f t="shared" si="33"/>
        <v/>
      </c>
      <c r="AH59" s="2" t="str">
        <f t="shared" si="34"/>
        <v/>
      </c>
      <c r="AI59" s="2" t="str">
        <f t="shared" si="35"/>
        <v/>
      </c>
      <c r="AJ59" s="2" t="str">
        <f>IF($B59,IF(L59="","",IF($C59="qcu",IF(T59,"      &lt;respcondition continue=""Yes""&gt;&lt;conditionvar&gt;&lt;varequal respident=""RESPONSE""&gt;0&lt;/varequal&gt;&lt;/conditionvar&gt;&lt;setvar action=""Add""&gt;"&amp;$H59&amp;"&lt;/setvar&gt;&lt;/respcondition&gt;",""),IF(T59,"      &lt;respcondition continue=""Yes""&gt;&lt;conditionvar&gt;&lt;varequal respident=""RESPONSE""&gt;0&lt;/varequal&gt;&lt;/conditionvar&gt;&lt;setvar action=""Add""&gt;"&amp;(Saisie_Questions!$N59/$I59)&amp;"&lt;/setvar&gt;&lt;/respcondition&gt;","      &lt;respcondition continue=""Yes""&gt;&lt;conditionvar&gt;&lt;not&gt;&lt;varequal respident=""RESPONSE""&gt;0&lt;/varequal&gt;&lt;/not&gt;&lt;/conditionvar&gt;&lt;setvar action=""Add""&gt;"&amp;(Saisie_Questions!$N59/$I59)&amp;"&lt;/setvar&gt;&lt;/respcondition&gt;"))),"")</f>
        <v/>
      </c>
      <c r="AK59" s="2" t="str">
        <f>IF($B59,IF(M59="","",IF($C59="qcu",IF(U59,"      &lt;respcondition continue=""Yes""&gt;&lt;conditionvar&gt;&lt;varequal respident=""RESPONSE""&gt;1&lt;/varequal&gt;&lt;/conditionvar&gt;&lt;setvar action=""Add""&gt;"&amp;$H59&amp;"&lt;/setvar&gt;&lt;/respcondition&gt;",""),IF(U59,"      &lt;respcondition continue=""Yes""&gt;&lt;conditionvar&gt;&lt;varequal respident=""RESPONSE""&gt;1&lt;/varequal&gt;&lt;/conditionvar&gt;&lt;setvar action=""Add""&gt;"&amp;(Saisie_Questions!$N59/$I59)&amp;"&lt;/setvar&gt;&lt;/respcondition&gt;","      &lt;respcondition continue=""Yes""&gt;&lt;conditionvar&gt;&lt;not&gt;&lt;varequal respident=""RESPONSE""&gt;1&lt;/varequal&gt;&lt;/not&gt;&lt;/conditionvar&gt;&lt;setvar action=""Add""&gt;"&amp;(Saisie_Questions!$N59/$I59)&amp;"&lt;/setvar&gt;&lt;/respcondition&gt;"))),"")</f>
        <v/>
      </c>
      <c r="AL59" s="2" t="str">
        <f>IF($B59,IF(N59="","",IF($C59="qcu",IF(V59,"      &lt;respcondition continue=""Yes""&gt;&lt;conditionvar&gt;&lt;varequal respident=""RESPONSE""&gt;2&lt;/varequal&gt;&lt;/conditionvar&gt;&lt;setvar action=""Add""&gt;"&amp;$H59&amp;"&lt;/setvar&gt;&lt;/respcondition&gt;",""),IF(V59,"      &lt;respcondition continue=""Yes""&gt;&lt;conditionvar&gt;&lt;varequal respident=""RESPONSE""&gt;2&lt;/varequal&gt;&lt;/conditionvar&gt;&lt;setvar action=""Add""&gt;"&amp;(Saisie_Questions!$N59/$I59)&amp;"&lt;/setvar&gt;&lt;/respcondition&gt;","      &lt;respcondition continue=""Yes""&gt;&lt;conditionvar&gt;&lt;not&gt;&lt;varequal respident=""RESPONSE""&gt;2&lt;/varequal&gt;&lt;/not&gt;&lt;/conditionvar&gt;&lt;setvar action=""Add""&gt;"&amp;(Saisie_Questions!$N59/$I59)&amp;"&lt;/setvar&gt;&lt;/respcondition&gt;"))),"")</f>
        <v/>
      </c>
      <c r="AM59" s="2" t="str">
        <f>IF($B59,IF(O59="","",IF($C59="qcu",IF(W59,"      &lt;respcondition continue=""Yes""&gt;&lt;conditionvar&gt;&lt;varequal respident=""RESPONSE""&gt;3&lt;/varequal&gt;&lt;/conditionvar&gt;&lt;setvar action=""Add""&gt;"&amp;$H59&amp;"&lt;/setvar&gt;&lt;/respcondition&gt;",""),IF(W59,"      &lt;respcondition continue=""Yes""&gt;&lt;conditionvar&gt;&lt;varequal respident=""RESPONSE""&gt;3&lt;/varequal&gt;&lt;/conditionvar&gt;&lt;setvar action=""Add""&gt;"&amp;(Saisie_Questions!$N59/$I59)&amp;"&lt;/setvar&gt;&lt;/respcondition&gt;","      &lt;respcondition continue=""Yes""&gt;&lt;conditionvar&gt;&lt;not&gt;&lt;varequal respident=""RESPONSE""&gt;3&lt;/varequal&gt;&lt;/not&gt;&lt;/conditionvar&gt;&lt;setvar action=""Add""&gt;"&amp;(Saisie_Questions!$N59/$I59)&amp;"&lt;/setvar&gt;&lt;/respcondition&gt;"))),"")</f>
        <v/>
      </c>
      <c r="AN59" s="2" t="str">
        <f>IF($B59,IF(P59="","",IF($C59="qcu",IF(X59,"      &lt;respcondition continue=""Yes""&gt;&lt;conditionvar&gt;&lt;varequal respident=""RESPONSE""&gt;4&lt;/varequal&gt;&lt;/conditionvar&gt;&lt;setvar action=""Add""&gt;"&amp;$H59&amp;"&lt;/setvar&gt;&lt;/respcondition&gt;",""),IF(X59,"      &lt;respcondition continue=""Yes""&gt;&lt;conditionvar&gt;&lt;varequal respident=""RESPONSE""&gt;4&lt;/varequal&gt;&lt;/conditionvar&gt;&lt;setvar action=""Add""&gt;"&amp;(Saisie_Questions!$N59/$I59)&amp;"&lt;/setvar&gt;&lt;/respcondition&gt;","      &lt;respcondition continue=""Yes""&gt;&lt;conditionvar&gt;&lt;not&gt;&lt;varequal respident=""RESPONSE""&gt;4&lt;/varequal&gt;&lt;/not&gt;&lt;/conditionvar&gt;&lt;setvar action=""Add""&gt;"&amp;(Saisie_Questions!$N59/$I59)&amp;"&lt;/setvar&gt;&lt;/respcondition&gt;"))),"")</f>
        <v/>
      </c>
      <c r="AO59" s="2" t="str">
        <f>IF($B59,IF(Q59="","",IF($C59="qcu",IF(Y59,"      &lt;respcondition continue=""Yes""&gt;&lt;conditionvar&gt;&lt;varequal respident=""RESPONSE""&gt;5&lt;/varequal&gt;&lt;/conditionvar&gt;&lt;setvar action=""Add""&gt;"&amp;$H59&amp;"&lt;/setvar&gt;&lt;/respcondition&gt;",""),IF(Y59,"      &lt;respcondition continue=""Yes""&gt;&lt;conditionvar&gt;&lt;varequal respident=""RESPONSE""&gt;5&lt;/varequal&gt;&lt;/conditionvar&gt;&lt;setvar action=""Add""&gt;"&amp;(Saisie_Questions!$N59/$I59)&amp;"&lt;/setvar&gt;&lt;/respcondition&gt;","      &lt;respcondition continue=""Yes""&gt;&lt;conditionvar&gt;&lt;not&gt;&lt;varequal respident=""RESPONSE""&gt;5&lt;/varequal&gt;&lt;/not&gt;&lt;/conditionvar&gt;&lt;setvar action=""Add""&gt;"&amp;(Saisie_Questions!$N59/$I59)&amp;"&lt;/setvar&gt;&lt;/respcondition&gt;"))),"")</f>
        <v/>
      </c>
      <c r="AP59" s="2" t="str">
        <f>IF($B59,IF(R59="","",IF($C59="qcu",IF(Z59,"      &lt;respcondition continue=""Yes""&gt;&lt;conditionvar&gt;&lt;varequal respident=""RESPONSE""&gt;6&lt;/varequal&gt;&lt;/conditionvar&gt;&lt;setvar action=""Add""&gt;"&amp;$H59&amp;"&lt;/setvar&gt;&lt;/respcondition&gt;",""),IF(Z59,"      &lt;respcondition continue=""Yes""&gt;&lt;conditionvar&gt;&lt;varequal respident=""RESPONSE""&gt;6&lt;/varequal&gt;&lt;/conditionvar&gt;&lt;setvar action=""Add""&gt;"&amp;(Saisie_Questions!$N59/$I59)&amp;"&lt;/setvar&gt;&lt;/respcondition&gt;","      &lt;respcondition continue=""Yes""&gt;&lt;conditionvar&gt;&lt;not&gt;&lt;varequal respident=""RESPONSE""&gt;6&lt;/varequal&gt;&lt;/not&gt;&lt;/conditionvar&gt;&lt;setvar action=""Add""&gt;"&amp;(Saisie_Questions!$N59/$I59)&amp;"&lt;/setvar&gt;&lt;/respcondition&gt;"))),"")</f>
        <v/>
      </c>
      <c r="AQ59" s="2" t="str">
        <f>IF($B59,IF(S59="","",IF($C59="qcu",IF(AA59,"      &lt;respcondition continue=""Yes""&gt;&lt;conditionvar&gt;&lt;varequal respident=""RESPONSE""&gt;7&lt;/varequal&gt;&lt;/conditionvar&gt;&lt;setvar action=""Add""&gt;"&amp;$H59&amp;"&lt;/setvar&gt;&lt;/respcondition&gt;",""),IF(AA59,"      &lt;respcondition continue=""Yes""&gt;&lt;conditionvar&gt;&lt;varequal respident=""RESPONSE""&gt;7&lt;/varequal&gt;&lt;/conditionvar&gt;&lt;setvar action=""Add""&gt;"&amp;(Saisie_Questions!$N59/$I59)&amp;"&lt;/setvar&gt;&lt;/respcondition&gt;","      &lt;respcondition continue=""Yes""&gt;&lt;conditionvar&gt;&lt;not&gt;&lt;varequal respident=""RESPONSE""&gt;7&lt;/varequal&gt;&lt;/not&gt;&lt;/conditionvar&gt;&lt;setvar action=""Add""&gt;"&amp;(Saisie_Questions!$N59/$I59)&amp;"&lt;/setvar&gt;&lt;/respcondition&gt;"))),"")</f>
        <v/>
      </c>
    </row>
    <row r="60" spans="1:43" ht="18" customHeight="1">
      <c r="A60" s="2" t="str">
        <f>Saisie_Questions!A60</f>
        <v/>
      </c>
      <c r="B60" s="2" t="b">
        <f>Saisie_Questions!O60="OK"</f>
        <v>0</v>
      </c>
      <c r="C60" s="2" t="str">
        <f>LOWER(TRIM(Saisie_Questions!B60))</f>
        <v/>
      </c>
      <c r="D60" s="2" t="str">
        <f t="shared" si="18"/>
        <v>MULTIPLE CHOICE QUESTION</v>
      </c>
      <c r="E60" s="2" t="str">
        <f t="shared" si="19"/>
        <v>Multiple</v>
      </c>
      <c r="F60" s="2" t="str">
        <f>IF(A60="","",SUBSTITUTE(SUBSTITUTE(SUBSTITUTE(SUBSTITUTE(SUBSTITUTE(IF(Saisie_Questions!C60="", "Question "&amp;A60, Saisie_Questions!C60),"&amp;","&amp;amp;"),"&lt;","&amp;lt;"),"&gt;","&amp;gt;"),CHAR(34),"&amp;quot;"),"'","&amp;apos;"))</f>
        <v/>
      </c>
      <c r="G60" s="2" t="str">
        <f>IF(A60="","",SUBSTITUTE(SUBSTITUTE(SUBSTITUTE(SUBSTITUTE(SUBSTITUTE(Saisie_Questions!D60,"&amp;","&amp;amp;"),"&lt;","&amp;lt;"),"&gt;","&amp;gt;"),CHAR(34),"&amp;quot;"),"'","&amp;apos;"))</f>
        <v/>
      </c>
      <c r="H60" s="2">
        <f>Saisie_Questions!N60</f>
        <v>0</v>
      </c>
      <c r="I60" s="2">
        <f>IF(Saisie_Questions!E60="",0,1)+IF(Saisie_Questions!F60="",0,1)+IF(Saisie_Questions!G60="",0,1)+IF(Saisie_Questions!H60="",0,1)+IF(Saisie_Questions!I60="",0,1)+IF(Saisie_Questions!J60="",0,1)+IF(Saisie_Questions!K60="",0,1)+IF(Saisie_Questions!L60="",0,1)</f>
        <v>0</v>
      </c>
      <c r="J60" s="2">
        <f>Saisie_Questions!M60</f>
        <v>0</v>
      </c>
      <c r="K60" s="2" t="str">
        <f>Saisie_Questions!O60</f>
        <v/>
      </c>
      <c r="L60" s="2" t="str">
        <f>IF(Saisie_Questions!E60="","",SUBSTITUTE(SUBSTITUTE(SUBSTITUTE(SUBSTITUTE(SUBSTITUTE(Saisie_Questions!E60,"&amp;","&amp;amp;"),"&lt;","&amp;lt;"),"&gt;","&amp;gt;"),CHAR(34),"&amp;quot;"),"'","&amp;apos;"))</f>
        <v/>
      </c>
      <c r="M60" s="2" t="str">
        <f>IF(Saisie_Questions!F60="","",SUBSTITUTE(SUBSTITUTE(SUBSTITUTE(SUBSTITUTE(SUBSTITUTE(Saisie_Questions!F60,"&amp;","&amp;amp;"),"&lt;","&amp;lt;"),"&gt;","&amp;gt;"),CHAR(34),"&amp;quot;"),"'","&amp;apos;"))</f>
        <v/>
      </c>
      <c r="N60" s="2" t="str">
        <f>IF(Saisie_Questions!G60="","",SUBSTITUTE(SUBSTITUTE(SUBSTITUTE(SUBSTITUTE(SUBSTITUTE(Saisie_Questions!G60,"&amp;","&amp;amp;"),"&lt;","&amp;lt;"),"&gt;","&amp;gt;"),CHAR(34),"&amp;quot;"),"'","&amp;apos;"))</f>
        <v/>
      </c>
      <c r="O60" s="2" t="str">
        <f>IF(Saisie_Questions!H60="","",SUBSTITUTE(SUBSTITUTE(SUBSTITUTE(SUBSTITUTE(SUBSTITUTE(Saisie_Questions!H60,"&amp;","&amp;amp;"),"&lt;","&amp;lt;"),"&gt;","&amp;gt;"),CHAR(34),"&amp;quot;"),"'","&amp;apos;"))</f>
        <v/>
      </c>
      <c r="P60" s="2" t="str">
        <f>IF(Saisie_Questions!I60="","",SUBSTITUTE(SUBSTITUTE(SUBSTITUTE(SUBSTITUTE(SUBSTITUTE(Saisie_Questions!I60,"&amp;","&amp;amp;"),"&lt;","&amp;lt;"),"&gt;","&amp;gt;"),CHAR(34),"&amp;quot;"),"'","&amp;apos;"))</f>
        <v/>
      </c>
      <c r="Q60" s="2" t="str">
        <f>IF(Saisie_Questions!J60="","",SUBSTITUTE(SUBSTITUTE(SUBSTITUTE(SUBSTITUTE(SUBSTITUTE(Saisie_Questions!J60,"&amp;","&amp;amp;"),"&lt;","&amp;lt;"),"&gt;","&amp;gt;"),CHAR(34),"&amp;quot;"),"'","&amp;apos;"))</f>
        <v/>
      </c>
      <c r="R60" s="2" t="str">
        <f>IF(Saisie_Questions!K60="","",SUBSTITUTE(SUBSTITUTE(SUBSTITUTE(SUBSTITUTE(SUBSTITUTE(Saisie_Questions!K60,"&amp;","&amp;amp;"),"&lt;","&amp;lt;"),"&gt;","&amp;gt;"),CHAR(34),"&amp;quot;"),"'","&amp;apos;"))</f>
        <v/>
      </c>
      <c r="S60" s="2" t="str">
        <f>IF(Saisie_Questions!L60="","",SUBSTITUTE(SUBSTITUTE(SUBSTITUTE(SUBSTITUTE(SUBSTITUTE(Saisie_Questions!L60,"&amp;","&amp;amp;"),"&lt;","&amp;lt;"),"&gt;","&amp;gt;"),CHAR(34),"&amp;quot;"),"'","&amp;apos;"))</f>
        <v/>
      </c>
      <c r="T60" s="2" t="b">
        <f t="shared" si="20"/>
        <v>0</v>
      </c>
      <c r="U60" s="2" t="b">
        <f t="shared" si="21"/>
        <v>0</v>
      </c>
      <c r="V60" s="2" t="b">
        <f t="shared" si="22"/>
        <v>0</v>
      </c>
      <c r="W60" s="2" t="b">
        <f t="shared" si="23"/>
        <v>0</v>
      </c>
      <c r="X60" s="2" t="b">
        <f t="shared" si="24"/>
        <v>0</v>
      </c>
      <c r="Y60" s="2" t="b">
        <f t="shared" si="25"/>
        <v>0</v>
      </c>
      <c r="Z60" s="2" t="b">
        <f t="shared" si="26"/>
        <v>0</v>
      </c>
      <c r="AA60" s="2" t="b">
        <f t="shared" si="27"/>
        <v>0</v>
      </c>
      <c r="AB60" s="2" t="str">
        <f t="shared" si="28"/>
        <v/>
      </c>
      <c r="AC60" s="2" t="str">
        <f t="shared" si="29"/>
        <v/>
      </c>
      <c r="AD60" s="2" t="str">
        <f t="shared" si="30"/>
        <v/>
      </c>
      <c r="AE60" s="2" t="str">
        <f t="shared" si="31"/>
        <v/>
      </c>
      <c r="AF60" s="2" t="str">
        <f t="shared" si="32"/>
        <v/>
      </c>
      <c r="AG60" s="2" t="str">
        <f t="shared" si="33"/>
        <v/>
      </c>
      <c r="AH60" s="2" t="str">
        <f t="shared" si="34"/>
        <v/>
      </c>
      <c r="AI60" s="2" t="str">
        <f t="shared" si="35"/>
        <v/>
      </c>
      <c r="AJ60" s="2" t="str">
        <f>IF($B60,IF(L60="","",IF($C60="qcu",IF(T60,"      &lt;respcondition continue=""Yes""&gt;&lt;conditionvar&gt;&lt;varequal respident=""RESPONSE""&gt;0&lt;/varequal&gt;&lt;/conditionvar&gt;&lt;setvar action=""Add""&gt;"&amp;$H60&amp;"&lt;/setvar&gt;&lt;/respcondition&gt;",""),IF(T60,"      &lt;respcondition continue=""Yes""&gt;&lt;conditionvar&gt;&lt;varequal respident=""RESPONSE""&gt;0&lt;/varequal&gt;&lt;/conditionvar&gt;&lt;setvar action=""Add""&gt;"&amp;(Saisie_Questions!$N60/$I60)&amp;"&lt;/setvar&gt;&lt;/respcondition&gt;","      &lt;respcondition continue=""Yes""&gt;&lt;conditionvar&gt;&lt;not&gt;&lt;varequal respident=""RESPONSE""&gt;0&lt;/varequal&gt;&lt;/not&gt;&lt;/conditionvar&gt;&lt;setvar action=""Add""&gt;"&amp;(Saisie_Questions!$N60/$I60)&amp;"&lt;/setvar&gt;&lt;/respcondition&gt;"))),"")</f>
        <v/>
      </c>
      <c r="AK60" s="2" t="str">
        <f>IF($B60,IF(M60="","",IF($C60="qcu",IF(U60,"      &lt;respcondition continue=""Yes""&gt;&lt;conditionvar&gt;&lt;varequal respident=""RESPONSE""&gt;1&lt;/varequal&gt;&lt;/conditionvar&gt;&lt;setvar action=""Add""&gt;"&amp;$H60&amp;"&lt;/setvar&gt;&lt;/respcondition&gt;",""),IF(U60,"      &lt;respcondition continue=""Yes""&gt;&lt;conditionvar&gt;&lt;varequal respident=""RESPONSE""&gt;1&lt;/varequal&gt;&lt;/conditionvar&gt;&lt;setvar action=""Add""&gt;"&amp;(Saisie_Questions!$N60/$I60)&amp;"&lt;/setvar&gt;&lt;/respcondition&gt;","      &lt;respcondition continue=""Yes""&gt;&lt;conditionvar&gt;&lt;not&gt;&lt;varequal respident=""RESPONSE""&gt;1&lt;/varequal&gt;&lt;/not&gt;&lt;/conditionvar&gt;&lt;setvar action=""Add""&gt;"&amp;(Saisie_Questions!$N60/$I60)&amp;"&lt;/setvar&gt;&lt;/respcondition&gt;"))),"")</f>
        <v/>
      </c>
      <c r="AL60" s="2" t="str">
        <f>IF($B60,IF(N60="","",IF($C60="qcu",IF(V60,"      &lt;respcondition continue=""Yes""&gt;&lt;conditionvar&gt;&lt;varequal respident=""RESPONSE""&gt;2&lt;/varequal&gt;&lt;/conditionvar&gt;&lt;setvar action=""Add""&gt;"&amp;$H60&amp;"&lt;/setvar&gt;&lt;/respcondition&gt;",""),IF(V60,"      &lt;respcondition continue=""Yes""&gt;&lt;conditionvar&gt;&lt;varequal respident=""RESPONSE""&gt;2&lt;/varequal&gt;&lt;/conditionvar&gt;&lt;setvar action=""Add""&gt;"&amp;(Saisie_Questions!$N60/$I60)&amp;"&lt;/setvar&gt;&lt;/respcondition&gt;","      &lt;respcondition continue=""Yes""&gt;&lt;conditionvar&gt;&lt;not&gt;&lt;varequal respident=""RESPONSE""&gt;2&lt;/varequal&gt;&lt;/not&gt;&lt;/conditionvar&gt;&lt;setvar action=""Add""&gt;"&amp;(Saisie_Questions!$N60/$I60)&amp;"&lt;/setvar&gt;&lt;/respcondition&gt;"))),"")</f>
        <v/>
      </c>
      <c r="AM60" s="2" t="str">
        <f>IF($B60,IF(O60="","",IF($C60="qcu",IF(W60,"      &lt;respcondition continue=""Yes""&gt;&lt;conditionvar&gt;&lt;varequal respident=""RESPONSE""&gt;3&lt;/varequal&gt;&lt;/conditionvar&gt;&lt;setvar action=""Add""&gt;"&amp;$H60&amp;"&lt;/setvar&gt;&lt;/respcondition&gt;",""),IF(W60,"      &lt;respcondition continue=""Yes""&gt;&lt;conditionvar&gt;&lt;varequal respident=""RESPONSE""&gt;3&lt;/varequal&gt;&lt;/conditionvar&gt;&lt;setvar action=""Add""&gt;"&amp;(Saisie_Questions!$N60/$I60)&amp;"&lt;/setvar&gt;&lt;/respcondition&gt;","      &lt;respcondition continue=""Yes""&gt;&lt;conditionvar&gt;&lt;not&gt;&lt;varequal respident=""RESPONSE""&gt;3&lt;/varequal&gt;&lt;/not&gt;&lt;/conditionvar&gt;&lt;setvar action=""Add""&gt;"&amp;(Saisie_Questions!$N60/$I60)&amp;"&lt;/setvar&gt;&lt;/respcondition&gt;"))),"")</f>
        <v/>
      </c>
      <c r="AN60" s="2" t="str">
        <f>IF($B60,IF(P60="","",IF($C60="qcu",IF(X60,"      &lt;respcondition continue=""Yes""&gt;&lt;conditionvar&gt;&lt;varequal respident=""RESPONSE""&gt;4&lt;/varequal&gt;&lt;/conditionvar&gt;&lt;setvar action=""Add""&gt;"&amp;$H60&amp;"&lt;/setvar&gt;&lt;/respcondition&gt;",""),IF(X60,"      &lt;respcondition continue=""Yes""&gt;&lt;conditionvar&gt;&lt;varequal respident=""RESPONSE""&gt;4&lt;/varequal&gt;&lt;/conditionvar&gt;&lt;setvar action=""Add""&gt;"&amp;(Saisie_Questions!$N60/$I60)&amp;"&lt;/setvar&gt;&lt;/respcondition&gt;","      &lt;respcondition continue=""Yes""&gt;&lt;conditionvar&gt;&lt;not&gt;&lt;varequal respident=""RESPONSE""&gt;4&lt;/varequal&gt;&lt;/not&gt;&lt;/conditionvar&gt;&lt;setvar action=""Add""&gt;"&amp;(Saisie_Questions!$N60/$I60)&amp;"&lt;/setvar&gt;&lt;/respcondition&gt;"))),"")</f>
        <v/>
      </c>
      <c r="AO60" s="2" t="str">
        <f>IF($B60,IF(Q60="","",IF($C60="qcu",IF(Y60,"      &lt;respcondition continue=""Yes""&gt;&lt;conditionvar&gt;&lt;varequal respident=""RESPONSE""&gt;5&lt;/varequal&gt;&lt;/conditionvar&gt;&lt;setvar action=""Add""&gt;"&amp;$H60&amp;"&lt;/setvar&gt;&lt;/respcondition&gt;",""),IF(Y60,"      &lt;respcondition continue=""Yes""&gt;&lt;conditionvar&gt;&lt;varequal respident=""RESPONSE""&gt;5&lt;/varequal&gt;&lt;/conditionvar&gt;&lt;setvar action=""Add""&gt;"&amp;(Saisie_Questions!$N60/$I60)&amp;"&lt;/setvar&gt;&lt;/respcondition&gt;","      &lt;respcondition continue=""Yes""&gt;&lt;conditionvar&gt;&lt;not&gt;&lt;varequal respident=""RESPONSE""&gt;5&lt;/varequal&gt;&lt;/not&gt;&lt;/conditionvar&gt;&lt;setvar action=""Add""&gt;"&amp;(Saisie_Questions!$N60/$I60)&amp;"&lt;/setvar&gt;&lt;/respcondition&gt;"))),"")</f>
        <v/>
      </c>
      <c r="AP60" s="2" t="str">
        <f>IF($B60,IF(R60="","",IF($C60="qcu",IF(Z60,"      &lt;respcondition continue=""Yes""&gt;&lt;conditionvar&gt;&lt;varequal respident=""RESPONSE""&gt;6&lt;/varequal&gt;&lt;/conditionvar&gt;&lt;setvar action=""Add""&gt;"&amp;$H60&amp;"&lt;/setvar&gt;&lt;/respcondition&gt;",""),IF(Z60,"      &lt;respcondition continue=""Yes""&gt;&lt;conditionvar&gt;&lt;varequal respident=""RESPONSE""&gt;6&lt;/varequal&gt;&lt;/conditionvar&gt;&lt;setvar action=""Add""&gt;"&amp;(Saisie_Questions!$N60/$I60)&amp;"&lt;/setvar&gt;&lt;/respcondition&gt;","      &lt;respcondition continue=""Yes""&gt;&lt;conditionvar&gt;&lt;not&gt;&lt;varequal respident=""RESPONSE""&gt;6&lt;/varequal&gt;&lt;/not&gt;&lt;/conditionvar&gt;&lt;setvar action=""Add""&gt;"&amp;(Saisie_Questions!$N60/$I60)&amp;"&lt;/setvar&gt;&lt;/respcondition&gt;"))),"")</f>
        <v/>
      </c>
      <c r="AQ60" s="2" t="str">
        <f>IF($B60,IF(S60="","",IF($C60="qcu",IF(AA60,"      &lt;respcondition continue=""Yes""&gt;&lt;conditionvar&gt;&lt;varequal respident=""RESPONSE""&gt;7&lt;/varequal&gt;&lt;/conditionvar&gt;&lt;setvar action=""Add""&gt;"&amp;$H60&amp;"&lt;/setvar&gt;&lt;/respcondition&gt;",""),IF(AA60,"      &lt;respcondition continue=""Yes""&gt;&lt;conditionvar&gt;&lt;varequal respident=""RESPONSE""&gt;7&lt;/varequal&gt;&lt;/conditionvar&gt;&lt;setvar action=""Add""&gt;"&amp;(Saisie_Questions!$N60/$I60)&amp;"&lt;/setvar&gt;&lt;/respcondition&gt;","      &lt;respcondition continue=""Yes""&gt;&lt;conditionvar&gt;&lt;not&gt;&lt;varequal respident=""RESPONSE""&gt;7&lt;/varequal&gt;&lt;/not&gt;&lt;/conditionvar&gt;&lt;setvar action=""Add""&gt;"&amp;(Saisie_Questions!$N60/$I60)&amp;"&lt;/setvar&gt;&lt;/respcondition&gt;"))),"")</f>
        <v/>
      </c>
    </row>
    <row r="61" spans="1:43" ht="18" customHeight="1">
      <c r="A61" s="2" t="str">
        <f>Saisie_Questions!A61</f>
        <v/>
      </c>
      <c r="B61" s="2" t="b">
        <f>Saisie_Questions!O61="OK"</f>
        <v>0</v>
      </c>
      <c r="C61" s="2" t="str">
        <f>LOWER(TRIM(Saisie_Questions!B61))</f>
        <v/>
      </c>
      <c r="D61" s="2" t="str">
        <f t="shared" si="18"/>
        <v>MULTIPLE CHOICE QUESTION</v>
      </c>
      <c r="E61" s="2" t="str">
        <f t="shared" si="19"/>
        <v>Multiple</v>
      </c>
      <c r="F61" s="2" t="str">
        <f>IF(A61="","",SUBSTITUTE(SUBSTITUTE(SUBSTITUTE(SUBSTITUTE(SUBSTITUTE(IF(Saisie_Questions!C61="", "Question "&amp;A61, Saisie_Questions!C61),"&amp;","&amp;amp;"),"&lt;","&amp;lt;"),"&gt;","&amp;gt;"),CHAR(34),"&amp;quot;"),"'","&amp;apos;"))</f>
        <v/>
      </c>
      <c r="G61" s="2" t="str">
        <f>IF(A61="","",SUBSTITUTE(SUBSTITUTE(SUBSTITUTE(SUBSTITUTE(SUBSTITUTE(Saisie_Questions!D61,"&amp;","&amp;amp;"),"&lt;","&amp;lt;"),"&gt;","&amp;gt;"),CHAR(34),"&amp;quot;"),"'","&amp;apos;"))</f>
        <v/>
      </c>
      <c r="H61" s="2">
        <f>Saisie_Questions!N61</f>
        <v>0</v>
      </c>
      <c r="I61" s="2">
        <f>IF(Saisie_Questions!E61="",0,1)+IF(Saisie_Questions!F61="",0,1)+IF(Saisie_Questions!G61="",0,1)+IF(Saisie_Questions!H61="",0,1)+IF(Saisie_Questions!I61="",0,1)+IF(Saisie_Questions!J61="",0,1)+IF(Saisie_Questions!K61="",0,1)+IF(Saisie_Questions!L61="",0,1)</f>
        <v>0</v>
      </c>
      <c r="J61" s="2">
        <f>Saisie_Questions!M61</f>
        <v>0</v>
      </c>
      <c r="K61" s="2" t="str">
        <f>Saisie_Questions!O61</f>
        <v/>
      </c>
      <c r="L61" s="2" t="str">
        <f>IF(Saisie_Questions!E61="","",SUBSTITUTE(SUBSTITUTE(SUBSTITUTE(SUBSTITUTE(SUBSTITUTE(Saisie_Questions!E61,"&amp;","&amp;amp;"),"&lt;","&amp;lt;"),"&gt;","&amp;gt;"),CHAR(34),"&amp;quot;"),"'","&amp;apos;"))</f>
        <v/>
      </c>
      <c r="M61" s="2" t="str">
        <f>IF(Saisie_Questions!F61="","",SUBSTITUTE(SUBSTITUTE(SUBSTITUTE(SUBSTITUTE(SUBSTITUTE(Saisie_Questions!F61,"&amp;","&amp;amp;"),"&lt;","&amp;lt;"),"&gt;","&amp;gt;"),CHAR(34),"&amp;quot;"),"'","&amp;apos;"))</f>
        <v/>
      </c>
      <c r="N61" s="2" t="str">
        <f>IF(Saisie_Questions!G61="","",SUBSTITUTE(SUBSTITUTE(SUBSTITUTE(SUBSTITUTE(SUBSTITUTE(Saisie_Questions!G61,"&amp;","&amp;amp;"),"&lt;","&amp;lt;"),"&gt;","&amp;gt;"),CHAR(34),"&amp;quot;"),"'","&amp;apos;"))</f>
        <v/>
      </c>
      <c r="O61" s="2" t="str">
        <f>IF(Saisie_Questions!H61="","",SUBSTITUTE(SUBSTITUTE(SUBSTITUTE(SUBSTITUTE(SUBSTITUTE(Saisie_Questions!H61,"&amp;","&amp;amp;"),"&lt;","&amp;lt;"),"&gt;","&amp;gt;"),CHAR(34),"&amp;quot;"),"'","&amp;apos;"))</f>
        <v/>
      </c>
      <c r="P61" s="2" t="str">
        <f>IF(Saisie_Questions!I61="","",SUBSTITUTE(SUBSTITUTE(SUBSTITUTE(SUBSTITUTE(SUBSTITUTE(Saisie_Questions!I61,"&amp;","&amp;amp;"),"&lt;","&amp;lt;"),"&gt;","&amp;gt;"),CHAR(34),"&amp;quot;"),"'","&amp;apos;"))</f>
        <v/>
      </c>
      <c r="Q61" s="2" t="str">
        <f>IF(Saisie_Questions!J61="","",SUBSTITUTE(SUBSTITUTE(SUBSTITUTE(SUBSTITUTE(SUBSTITUTE(Saisie_Questions!J61,"&amp;","&amp;amp;"),"&lt;","&amp;lt;"),"&gt;","&amp;gt;"),CHAR(34),"&amp;quot;"),"'","&amp;apos;"))</f>
        <v/>
      </c>
      <c r="R61" s="2" t="str">
        <f>IF(Saisie_Questions!K61="","",SUBSTITUTE(SUBSTITUTE(SUBSTITUTE(SUBSTITUTE(SUBSTITUTE(Saisie_Questions!K61,"&amp;","&amp;amp;"),"&lt;","&amp;lt;"),"&gt;","&amp;gt;"),CHAR(34),"&amp;quot;"),"'","&amp;apos;"))</f>
        <v/>
      </c>
      <c r="S61" s="2" t="str">
        <f>IF(Saisie_Questions!L61="","",SUBSTITUTE(SUBSTITUTE(SUBSTITUTE(SUBSTITUTE(SUBSTITUTE(Saisie_Questions!L61,"&amp;","&amp;amp;"),"&lt;","&amp;lt;"),"&gt;","&amp;gt;"),CHAR(34),"&amp;quot;"),"'","&amp;apos;"))</f>
        <v/>
      </c>
      <c r="T61" s="2" t="b">
        <f t="shared" si="20"/>
        <v>0</v>
      </c>
      <c r="U61" s="2" t="b">
        <f t="shared" si="21"/>
        <v>0</v>
      </c>
      <c r="V61" s="2" t="b">
        <f t="shared" si="22"/>
        <v>0</v>
      </c>
      <c r="W61" s="2" t="b">
        <f t="shared" si="23"/>
        <v>0</v>
      </c>
      <c r="X61" s="2" t="b">
        <f t="shared" si="24"/>
        <v>0</v>
      </c>
      <c r="Y61" s="2" t="b">
        <f t="shared" si="25"/>
        <v>0</v>
      </c>
      <c r="Z61" s="2" t="b">
        <f t="shared" si="26"/>
        <v>0</v>
      </c>
      <c r="AA61" s="2" t="b">
        <f t="shared" si="27"/>
        <v>0</v>
      </c>
      <c r="AB61" s="2" t="str">
        <f t="shared" si="28"/>
        <v/>
      </c>
      <c r="AC61" s="2" t="str">
        <f t="shared" si="29"/>
        <v/>
      </c>
      <c r="AD61" s="2" t="str">
        <f t="shared" si="30"/>
        <v/>
      </c>
      <c r="AE61" s="2" t="str">
        <f t="shared" si="31"/>
        <v/>
      </c>
      <c r="AF61" s="2" t="str">
        <f t="shared" si="32"/>
        <v/>
      </c>
      <c r="AG61" s="2" t="str">
        <f t="shared" si="33"/>
        <v/>
      </c>
      <c r="AH61" s="2" t="str">
        <f t="shared" si="34"/>
        <v/>
      </c>
      <c r="AI61" s="2" t="str">
        <f t="shared" si="35"/>
        <v/>
      </c>
      <c r="AJ61" s="2" t="str">
        <f>IF($B61,IF(L61="","",IF($C61="qcu",IF(T61,"      &lt;respcondition continue=""Yes""&gt;&lt;conditionvar&gt;&lt;varequal respident=""RESPONSE""&gt;0&lt;/varequal&gt;&lt;/conditionvar&gt;&lt;setvar action=""Add""&gt;"&amp;$H61&amp;"&lt;/setvar&gt;&lt;/respcondition&gt;",""),IF(T61,"      &lt;respcondition continue=""Yes""&gt;&lt;conditionvar&gt;&lt;varequal respident=""RESPONSE""&gt;0&lt;/varequal&gt;&lt;/conditionvar&gt;&lt;setvar action=""Add""&gt;"&amp;(Saisie_Questions!$N61/$I61)&amp;"&lt;/setvar&gt;&lt;/respcondition&gt;","      &lt;respcondition continue=""Yes""&gt;&lt;conditionvar&gt;&lt;not&gt;&lt;varequal respident=""RESPONSE""&gt;0&lt;/varequal&gt;&lt;/not&gt;&lt;/conditionvar&gt;&lt;setvar action=""Add""&gt;"&amp;(Saisie_Questions!$N61/$I61)&amp;"&lt;/setvar&gt;&lt;/respcondition&gt;"))),"")</f>
        <v/>
      </c>
      <c r="AK61" s="2" t="str">
        <f>IF($B61,IF(M61="","",IF($C61="qcu",IF(U61,"      &lt;respcondition continue=""Yes""&gt;&lt;conditionvar&gt;&lt;varequal respident=""RESPONSE""&gt;1&lt;/varequal&gt;&lt;/conditionvar&gt;&lt;setvar action=""Add""&gt;"&amp;$H61&amp;"&lt;/setvar&gt;&lt;/respcondition&gt;",""),IF(U61,"      &lt;respcondition continue=""Yes""&gt;&lt;conditionvar&gt;&lt;varequal respident=""RESPONSE""&gt;1&lt;/varequal&gt;&lt;/conditionvar&gt;&lt;setvar action=""Add""&gt;"&amp;(Saisie_Questions!$N61/$I61)&amp;"&lt;/setvar&gt;&lt;/respcondition&gt;","      &lt;respcondition continue=""Yes""&gt;&lt;conditionvar&gt;&lt;not&gt;&lt;varequal respident=""RESPONSE""&gt;1&lt;/varequal&gt;&lt;/not&gt;&lt;/conditionvar&gt;&lt;setvar action=""Add""&gt;"&amp;(Saisie_Questions!$N61/$I61)&amp;"&lt;/setvar&gt;&lt;/respcondition&gt;"))),"")</f>
        <v/>
      </c>
      <c r="AL61" s="2" t="str">
        <f>IF($B61,IF(N61="","",IF($C61="qcu",IF(V61,"      &lt;respcondition continue=""Yes""&gt;&lt;conditionvar&gt;&lt;varequal respident=""RESPONSE""&gt;2&lt;/varequal&gt;&lt;/conditionvar&gt;&lt;setvar action=""Add""&gt;"&amp;$H61&amp;"&lt;/setvar&gt;&lt;/respcondition&gt;",""),IF(V61,"      &lt;respcondition continue=""Yes""&gt;&lt;conditionvar&gt;&lt;varequal respident=""RESPONSE""&gt;2&lt;/varequal&gt;&lt;/conditionvar&gt;&lt;setvar action=""Add""&gt;"&amp;(Saisie_Questions!$N61/$I61)&amp;"&lt;/setvar&gt;&lt;/respcondition&gt;","      &lt;respcondition continue=""Yes""&gt;&lt;conditionvar&gt;&lt;not&gt;&lt;varequal respident=""RESPONSE""&gt;2&lt;/varequal&gt;&lt;/not&gt;&lt;/conditionvar&gt;&lt;setvar action=""Add""&gt;"&amp;(Saisie_Questions!$N61/$I61)&amp;"&lt;/setvar&gt;&lt;/respcondition&gt;"))),"")</f>
        <v/>
      </c>
      <c r="AM61" s="2" t="str">
        <f>IF($B61,IF(O61="","",IF($C61="qcu",IF(W61,"      &lt;respcondition continue=""Yes""&gt;&lt;conditionvar&gt;&lt;varequal respident=""RESPONSE""&gt;3&lt;/varequal&gt;&lt;/conditionvar&gt;&lt;setvar action=""Add""&gt;"&amp;$H61&amp;"&lt;/setvar&gt;&lt;/respcondition&gt;",""),IF(W61,"      &lt;respcondition continue=""Yes""&gt;&lt;conditionvar&gt;&lt;varequal respident=""RESPONSE""&gt;3&lt;/varequal&gt;&lt;/conditionvar&gt;&lt;setvar action=""Add""&gt;"&amp;(Saisie_Questions!$N61/$I61)&amp;"&lt;/setvar&gt;&lt;/respcondition&gt;","      &lt;respcondition continue=""Yes""&gt;&lt;conditionvar&gt;&lt;not&gt;&lt;varequal respident=""RESPONSE""&gt;3&lt;/varequal&gt;&lt;/not&gt;&lt;/conditionvar&gt;&lt;setvar action=""Add""&gt;"&amp;(Saisie_Questions!$N61/$I61)&amp;"&lt;/setvar&gt;&lt;/respcondition&gt;"))),"")</f>
        <v/>
      </c>
      <c r="AN61" s="2" t="str">
        <f>IF($B61,IF(P61="","",IF($C61="qcu",IF(X61,"      &lt;respcondition continue=""Yes""&gt;&lt;conditionvar&gt;&lt;varequal respident=""RESPONSE""&gt;4&lt;/varequal&gt;&lt;/conditionvar&gt;&lt;setvar action=""Add""&gt;"&amp;$H61&amp;"&lt;/setvar&gt;&lt;/respcondition&gt;",""),IF(X61,"      &lt;respcondition continue=""Yes""&gt;&lt;conditionvar&gt;&lt;varequal respident=""RESPONSE""&gt;4&lt;/varequal&gt;&lt;/conditionvar&gt;&lt;setvar action=""Add""&gt;"&amp;(Saisie_Questions!$N61/$I61)&amp;"&lt;/setvar&gt;&lt;/respcondition&gt;","      &lt;respcondition continue=""Yes""&gt;&lt;conditionvar&gt;&lt;not&gt;&lt;varequal respident=""RESPONSE""&gt;4&lt;/varequal&gt;&lt;/not&gt;&lt;/conditionvar&gt;&lt;setvar action=""Add""&gt;"&amp;(Saisie_Questions!$N61/$I61)&amp;"&lt;/setvar&gt;&lt;/respcondition&gt;"))),"")</f>
        <v/>
      </c>
      <c r="AO61" s="2" t="str">
        <f>IF($B61,IF(Q61="","",IF($C61="qcu",IF(Y61,"      &lt;respcondition continue=""Yes""&gt;&lt;conditionvar&gt;&lt;varequal respident=""RESPONSE""&gt;5&lt;/varequal&gt;&lt;/conditionvar&gt;&lt;setvar action=""Add""&gt;"&amp;$H61&amp;"&lt;/setvar&gt;&lt;/respcondition&gt;",""),IF(Y61,"      &lt;respcondition continue=""Yes""&gt;&lt;conditionvar&gt;&lt;varequal respident=""RESPONSE""&gt;5&lt;/varequal&gt;&lt;/conditionvar&gt;&lt;setvar action=""Add""&gt;"&amp;(Saisie_Questions!$N61/$I61)&amp;"&lt;/setvar&gt;&lt;/respcondition&gt;","      &lt;respcondition continue=""Yes""&gt;&lt;conditionvar&gt;&lt;not&gt;&lt;varequal respident=""RESPONSE""&gt;5&lt;/varequal&gt;&lt;/not&gt;&lt;/conditionvar&gt;&lt;setvar action=""Add""&gt;"&amp;(Saisie_Questions!$N61/$I61)&amp;"&lt;/setvar&gt;&lt;/respcondition&gt;"))),"")</f>
        <v/>
      </c>
      <c r="AP61" s="2" t="str">
        <f>IF($B61,IF(R61="","",IF($C61="qcu",IF(Z61,"      &lt;respcondition continue=""Yes""&gt;&lt;conditionvar&gt;&lt;varequal respident=""RESPONSE""&gt;6&lt;/varequal&gt;&lt;/conditionvar&gt;&lt;setvar action=""Add""&gt;"&amp;$H61&amp;"&lt;/setvar&gt;&lt;/respcondition&gt;",""),IF(Z61,"      &lt;respcondition continue=""Yes""&gt;&lt;conditionvar&gt;&lt;varequal respident=""RESPONSE""&gt;6&lt;/varequal&gt;&lt;/conditionvar&gt;&lt;setvar action=""Add""&gt;"&amp;(Saisie_Questions!$N61/$I61)&amp;"&lt;/setvar&gt;&lt;/respcondition&gt;","      &lt;respcondition continue=""Yes""&gt;&lt;conditionvar&gt;&lt;not&gt;&lt;varequal respident=""RESPONSE""&gt;6&lt;/varequal&gt;&lt;/not&gt;&lt;/conditionvar&gt;&lt;setvar action=""Add""&gt;"&amp;(Saisie_Questions!$N61/$I61)&amp;"&lt;/setvar&gt;&lt;/respcondition&gt;"))),"")</f>
        <v/>
      </c>
      <c r="AQ61" s="2" t="str">
        <f>IF($B61,IF(S61="","",IF($C61="qcu",IF(AA61,"      &lt;respcondition continue=""Yes""&gt;&lt;conditionvar&gt;&lt;varequal respident=""RESPONSE""&gt;7&lt;/varequal&gt;&lt;/conditionvar&gt;&lt;setvar action=""Add""&gt;"&amp;$H61&amp;"&lt;/setvar&gt;&lt;/respcondition&gt;",""),IF(AA61,"      &lt;respcondition continue=""Yes""&gt;&lt;conditionvar&gt;&lt;varequal respident=""RESPONSE""&gt;7&lt;/varequal&gt;&lt;/conditionvar&gt;&lt;setvar action=""Add""&gt;"&amp;(Saisie_Questions!$N61/$I61)&amp;"&lt;/setvar&gt;&lt;/respcondition&gt;","      &lt;respcondition continue=""Yes""&gt;&lt;conditionvar&gt;&lt;not&gt;&lt;varequal respident=""RESPONSE""&gt;7&lt;/varequal&gt;&lt;/not&gt;&lt;/conditionvar&gt;&lt;setvar action=""Add""&gt;"&amp;(Saisie_Questions!$N61/$I61)&amp;"&lt;/setvar&gt;&lt;/respcondition&gt;"))),"")</f>
        <v/>
      </c>
    </row>
    <row r="62" spans="1:43" ht="18" customHeight="1">
      <c r="A62" s="2" t="str">
        <f>Saisie_Questions!A62</f>
        <v/>
      </c>
      <c r="B62" s="2" t="b">
        <f>Saisie_Questions!O62="OK"</f>
        <v>0</v>
      </c>
      <c r="C62" s="2" t="str">
        <f>LOWER(TRIM(Saisie_Questions!B62))</f>
        <v/>
      </c>
      <c r="D62" s="2" t="str">
        <f t="shared" si="18"/>
        <v>MULTIPLE CHOICE QUESTION</v>
      </c>
      <c r="E62" s="2" t="str">
        <f t="shared" si="19"/>
        <v>Multiple</v>
      </c>
      <c r="F62" s="2" t="str">
        <f>IF(A62="","",SUBSTITUTE(SUBSTITUTE(SUBSTITUTE(SUBSTITUTE(SUBSTITUTE(IF(Saisie_Questions!C62="", "Question "&amp;A62, Saisie_Questions!C62),"&amp;","&amp;amp;"),"&lt;","&amp;lt;"),"&gt;","&amp;gt;"),CHAR(34),"&amp;quot;"),"'","&amp;apos;"))</f>
        <v/>
      </c>
      <c r="G62" s="2" t="str">
        <f>IF(A62="","",SUBSTITUTE(SUBSTITUTE(SUBSTITUTE(SUBSTITUTE(SUBSTITUTE(Saisie_Questions!D62,"&amp;","&amp;amp;"),"&lt;","&amp;lt;"),"&gt;","&amp;gt;"),CHAR(34),"&amp;quot;"),"'","&amp;apos;"))</f>
        <v/>
      </c>
      <c r="H62" s="2">
        <f>Saisie_Questions!N62</f>
        <v>0</v>
      </c>
      <c r="I62" s="2">
        <f>IF(Saisie_Questions!E62="",0,1)+IF(Saisie_Questions!F62="",0,1)+IF(Saisie_Questions!G62="",0,1)+IF(Saisie_Questions!H62="",0,1)+IF(Saisie_Questions!I62="",0,1)+IF(Saisie_Questions!J62="",0,1)+IF(Saisie_Questions!K62="",0,1)+IF(Saisie_Questions!L62="",0,1)</f>
        <v>0</v>
      </c>
      <c r="J62" s="2">
        <f>Saisie_Questions!M62</f>
        <v>0</v>
      </c>
      <c r="K62" s="2" t="str">
        <f>Saisie_Questions!O62</f>
        <v/>
      </c>
      <c r="L62" s="2" t="str">
        <f>IF(Saisie_Questions!E62="","",SUBSTITUTE(SUBSTITUTE(SUBSTITUTE(SUBSTITUTE(SUBSTITUTE(Saisie_Questions!E62,"&amp;","&amp;amp;"),"&lt;","&amp;lt;"),"&gt;","&amp;gt;"),CHAR(34),"&amp;quot;"),"'","&amp;apos;"))</f>
        <v/>
      </c>
      <c r="M62" s="2" t="str">
        <f>IF(Saisie_Questions!F62="","",SUBSTITUTE(SUBSTITUTE(SUBSTITUTE(SUBSTITUTE(SUBSTITUTE(Saisie_Questions!F62,"&amp;","&amp;amp;"),"&lt;","&amp;lt;"),"&gt;","&amp;gt;"),CHAR(34),"&amp;quot;"),"'","&amp;apos;"))</f>
        <v/>
      </c>
      <c r="N62" s="2" t="str">
        <f>IF(Saisie_Questions!G62="","",SUBSTITUTE(SUBSTITUTE(SUBSTITUTE(SUBSTITUTE(SUBSTITUTE(Saisie_Questions!G62,"&amp;","&amp;amp;"),"&lt;","&amp;lt;"),"&gt;","&amp;gt;"),CHAR(34),"&amp;quot;"),"'","&amp;apos;"))</f>
        <v/>
      </c>
      <c r="O62" s="2" t="str">
        <f>IF(Saisie_Questions!H62="","",SUBSTITUTE(SUBSTITUTE(SUBSTITUTE(SUBSTITUTE(SUBSTITUTE(Saisie_Questions!H62,"&amp;","&amp;amp;"),"&lt;","&amp;lt;"),"&gt;","&amp;gt;"),CHAR(34),"&amp;quot;"),"'","&amp;apos;"))</f>
        <v/>
      </c>
      <c r="P62" s="2" t="str">
        <f>IF(Saisie_Questions!I62="","",SUBSTITUTE(SUBSTITUTE(SUBSTITUTE(SUBSTITUTE(SUBSTITUTE(Saisie_Questions!I62,"&amp;","&amp;amp;"),"&lt;","&amp;lt;"),"&gt;","&amp;gt;"),CHAR(34),"&amp;quot;"),"'","&amp;apos;"))</f>
        <v/>
      </c>
      <c r="Q62" s="2" t="str">
        <f>IF(Saisie_Questions!J62="","",SUBSTITUTE(SUBSTITUTE(SUBSTITUTE(SUBSTITUTE(SUBSTITUTE(Saisie_Questions!J62,"&amp;","&amp;amp;"),"&lt;","&amp;lt;"),"&gt;","&amp;gt;"),CHAR(34),"&amp;quot;"),"'","&amp;apos;"))</f>
        <v/>
      </c>
      <c r="R62" s="2" t="str">
        <f>IF(Saisie_Questions!K62="","",SUBSTITUTE(SUBSTITUTE(SUBSTITUTE(SUBSTITUTE(SUBSTITUTE(Saisie_Questions!K62,"&amp;","&amp;amp;"),"&lt;","&amp;lt;"),"&gt;","&amp;gt;"),CHAR(34),"&amp;quot;"),"'","&amp;apos;"))</f>
        <v/>
      </c>
      <c r="S62" s="2" t="str">
        <f>IF(Saisie_Questions!L62="","",SUBSTITUTE(SUBSTITUTE(SUBSTITUTE(SUBSTITUTE(SUBSTITUTE(Saisie_Questions!L62,"&amp;","&amp;amp;"),"&lt;","&amp;lt;"),"&gt;","&amp;gt;"),CHAR(34),"&amp;quot;"),"'","&amp;apos;"))</f>
        <v/>
      </c>
      <c r="T62" s="2" t="b">
        <f t="shared" si="20"/>
        <v>0</v>
      </c>
      <c r="U62" s="2" t="b">
        <f t="shared" si="21"/>
        <v>0</v>
      </c>
      <c r="V62" s="2" t="b">
        <f t="shared" si="22"/>
        <v>0</v>
      </c>
      <c r="W62" s="2" t="b">
        <f t="shared" si="23"/>
        <v>0</v>
      </c>
      <c r="X62" s="2" t="b">
        <f t="shared" si="24"/>
        <v>0</v>
      </c>
      <c r="Y62" s="2" t="b">
        <f t="shared" si="25"/>
        <v>0</v>
      </c>
      <c r="Z62" s="2" t="b">
        <f t="shared" si="26"/>
        <v>0</v>
      </c>
      <c r="AA62" s="2" t="b">
        <f t="shared" si="27"/>
        <v>0</v>
      </c>
      <c r="AB62" s="2" t="str">
        <f t="shared" si="28"/>
        <v/>
      </c>
      <c r="AC62" s="2" t="str">
        <f t="shared" si="29"/>
        <v/>
      </c>
      <c r="AD62" s="2" t="str">
        <f t="shared" si="30"/>
        <v/>
      </c>
      <c r="AE62" s="2" t="str">
        <f t="shared" si="31"/>
        <v/>
      </c>
      <c r="AF62" s="2" t="str">
        <f t="shared" si="32"/>
        <v/>
      </c>
      <c r="AG62" s="2" t="str">
        <f t="shared" si="33"/>
        <v/>
      </c>
      <c r="AH62" s="2" t="str">
        <f t="shared" si="34"/>
        <v/>
      </c>
      <c r="AI62" s="2" t="str">
        <f t="shared" si="35"/>
        <v/>
      </c>
      <c r="AJ62" s="2" t="str">
        <f>IF($B62,IF(L62="","",IF($C62="qcu",IF(T62,"      &lt;respcondition continue=""Yes""&gt;&lt;conditionvar&gt;&lt;varequal respident=""RESPONSE""&gt;0&lt;/varequal&gt;&lt;/conditionvar&gt;&lt;setvar action=""Add""&gt;"&amp;$H62&amp;"&lt;/setvar&gt;&lt;/respcondition&gt;",""),IF(T62,"      &lt;respcondition continue=""Yes""&gt;&lt;conditionvar&gt;&lt;varequal respident=""RESPONSE""&gt;0&lt;/varequal&gt;&lt;/conditionvar&gt;&lt;setvar action=""Add""&gt;"&amp;(Saisie_Questions!$N62/$I62)&amp;"&lt;/setvar&gt;&lt;/respcondition&gt;","      &lt;respcondition continue=""Yes""&gt;&lt;conditionvar&gt;&lt;not&gt;&lt;varequal respident=""RESPONSE""&gt;0&lt;/varequal&gt;&lt;/not&gt;&lt;/conditionvar&gt;&lt;setvar action=""Add""&gt;"&amp;(Saisie_Questions!$N62/$I62)&amp;"&lt;/setvar&gt;&lt;/respcondition&gt;"))),"")</f>
        <v/>
      </c>
      <c r="AK62" s="2" t="str">
        <f>IF($B62,IF(M62="","",IF($C62="qcu",IF(U62,"      &lt;respcondition continue=""Yes""&gt;&lt;conditionvar&gt;&lt;varequal respident=""RESPONSE""&gt;1&lt;/varequal&gt;&lt;/conditionvar&gt;&lt;setvar action=""Add""&gt;"&amp;$H62&amp;"&lt;/setvar&gt;&lt;/respcondition&gt;",""),IF(U62,"      &lt;respcondition continue=""Yes""&gt;&lt;conditionvar&gt;&lt;varequal respident=""RESPONSE""&gt;1&lt;/varequal&gt;&lt;/conditionvar&gt;&lt;setvar action=""Add""&gt;"&amp;(Saisie_Questions!$N62/$I62)&amp;"&lt;/setvar&gt;&lt;/respcondition&gt;","      &lt;respcondition continue=""Yes""&gt;&lt;conditionvar&gt;&lt;not&gt;&lt;varequal respident=""RESPONSE""&gt;1&lt;/varequal&gt;&lt;/not&gt;&lt;/conditionvar&gt;&lt;setvar action=""Add""&gt;"&amp;(Saisie_Questions!$N62/$I62)&amp;"&lt;/setvar&gt;&lt;/respcondition&gt;"))),"")</f>
        <v/>
      </c>
      <c r="AL62" s="2" t="str">
        <f>IF($B62,IF(N62="","",IF($C62="qcu",IF(V62,"      &lt;respcondition continue=""Yes""&gt;&lt;conditionvar&gt;&lt;varequal respident=""RESPONSE""&gt;2&lt;/varequal&gt;&lt;/conditionvar&gt;&lt;setvar action=""Add""&gt;"&amp;$H62&amp;"&lt;/setvar&gt;&lt;/respcondition&gt;",""),IF(V62,"      &lt;respcondition continue=""Yes""&gt;&lt;conditionvar&gt;&lt;varequal respident=""RESPONSE""&gt;2&lt;/varequal&gt;&lt;/conditionvar&gt;&lt;setvar action=""Add""&gt;"&amp;(Saisie_Questions!$N62/$I62)&amp;"&lt;/setvar&gt;&lt;/respcondition&gt;","      &lt;respcondition continue=""Yes""&gt;&lt;conditionvar&gt;&lt;not&gt;&lt;varequal respident=""RESPONSE""&gt;2&lt;/varequal&gt;&lt;/not&gt;&lt;/conditionvar&gt;&lt;setvar action=""Add""&gt;"&amp;(Saisie_Questions!$N62/$I62)&amp;"&lt;/setvar&gt;&lt;/respcondition&gt;"))),"")</f>
        <v/>
      </c>
      <c r="AM62" s="2" t="str">
        <f>IF($B62,IF(O62="","",IF($C62="qcu",IF(W62,"      &lt;respcondition continue=""Yes""&gt;&lt;conditionvar&gt;&lt;varequal respident=""RESPONSE""&gt;3&lt;/varequal&gt;&lt;/conditionvar&gt;&lt;setvar action=""Add""&gt;"&amp;$H62&amp;"&lt;/setvar&gt;&lt;/respcondition&gt;",""),IF(W62,"      &lt;respcondition continue=""Yes""&gt;&lt;conditionvar&gt;&lt;varequal respident=""RESPONSE""&gt;3&lt;/varequal&gt;&lt;/conditionvar&gt;&lt;setvar action=""Add""&gt;"&amp;(Saisie_Questions!$N62/$I62)&amp;"&lt;/setvar&gt;&lt;/respcondition&gt;","      &lt;respcondition continue=""Yes""&gt;&lt;conditionvar&gt;&lt;not&gt;&lt;varequal respident=""RESPONSE""&gt;3&lt;/varequal&gt;&lt;/not&gt;&lt;/conditionvar&gt;&lt;setvar action=""Add""&gt;"&amp;(Saisie_Questions!$N62/$I62)&amp;"&lt;/setvar&gt;&lt;/respcondition&gt;"))),"")</f>
        <v/>
      </c>
      <c r="AN62" s="2" t="str">
        <f>IF($B62,IF(P62="","",IF($C62="qcu",IF(X62,"      &lt;respcondition continue=""Yes""&gt;&lt;conditionvar&gt;&lt;varequal respident=""RESPONSE""&gt;4&lt;/varequal&gt;&lt;/conditionvar&gt;&lt;setvar action=""Add""&gt;"&amp;$H62&amp;"&lt;/setvar&gt;&lt;/respcondition&gt;",""),IF(X62,"      &lt;respcondition continue=""Yes""&gt;&lt;conditionvar&gt;&lt;varequal respident=""RESPONSE""&gt;4&lt;/varequal&gt;&lt;/conditionvar&gt;&lt;setvar action=""Add""&gt;"&amp;(Saisie_Questions!$N62/$I62)&amp;"&lt;/setvar&gt;&lt;/respcondition&gt;","      &lt;respcondition continue=""Yes""&gt;&lt;conditionvar&gt;&lt;not&gt;&lt;varequal respident=""RESPONSE""&gt;4&lt;/varequal&gt;&lt;/not&gt;&lt;/conditionvar&gt;&lt;setvar action=""Add""&gt;"&amp;(Saisie_Questions!$N62/$I62)&amp;"&lt;/setvar&gt;&lt;/respcondition&gt;"))),"")</f>
        <v/>
      </c>
      <c r="AO62" s="2" t="str">
        <f>IF($B62,IF(Q62="","",IF($C62="qcu",IF(Y62,"      &lt;respcondition continue=""Yes""&gt;&lt;conditionvar&gt;&lt;varequal respident=""RESPONSE""&gt;5&lt;/varequal&gt;&lt;/conditionvar&gt;&lt;setvar action=""Add""&gt;"&amp;$H62&amp;"&lt;/setvar&gt;&lt;/respcondition&gt;",""),IF(Y62,"      &lt;respcondition continue=""Yes""&gt;&lt;conditionvar&gt;&lt;varequal respident=""RESPONSE""&gt;5&lt;/varequal&gt;&lt;/conditionvar&gt;&lt;setvar action=""Add""&gt;"&amp;(Saisie_Questions!$N62/$I62)&amp;"&lt;/setvar&gt;&lt;/respcondition&gt;","      &lt;respcondition continue=""Yes""&gt;&lt;conditionvar&gt;&lt;not&gt;&lt;varequal respident=""RESPONSE""&gt;5&lt;/varequal&gt;&lt;/not&gt;&lt;/conditionvar&gt;&lt;setvar action=""Add""&gt;"&amp;(Saisie_Questions!$N62/$I62)&amp;"&lt;/setvar&gt;&lt;/respcondition&gt;"))),"")</f>
        <v/>
      </c>
      <c r="AP62" s="2" t="str">
        <f>IF($B62,IF(R62="","",IF($C62="qcu",IF(Z62,"      &lt;respcondition continue=""Yes""&gt;&lt;conditionvar&gt;&lt;varequal respident=""RESPONSE""&gt;6&lt;/varequal&gt;&lt;/conditionvar&gt;&lt;setvar action=""Add""&gt;"&amp;$H62&amp;"&lt;/setvar&gt;&lt;/respcondition&gt;",""),IF(Z62,"      &lt;respcondition continue=""Yes""&gt;&lt;conditionvar&gt;&lt;varequal respident=""RESPONSE""&gt;6&lt;/varequal&gt;&lt;/conditionvar&gt;&lt;setvar action=""Add""&gt;"&amp;(Saisie_Questions!$N62/$I62)&amp;"&lt;/setvar&gt;&lt;/respcondition&gt;","      &lt;respcondition continue=""Yes""&gt;&lt;conditionvar&gt;&lt;not&gt;&lt;varequal respident=""RESPONSE""&gt;6&lt;/varequal&gt;&lt;/not&gt;&lt;/conditionvar&gt;&lt;setvar action=""Add""&gt;"&amp;(Saisie_Questions!$N62/$I62)&amp;"&lt;/setvar&gt;&lt;/respcondition&gt;"))),"")</f>
        <v/>
      </c>
      <c r="AQ62" s="2" t="str">
        <f>IF($B62,IF(S62="","",IF($C62="qcu",IF(AA62,"      &lt;respcondition continue=""Yes""&gt;&lt;conditionvar&gt;&lt;varequal respident=""RESPONSE""&gt;7&lt;/varequal&gt;&lt;/conditionvar&gt;&lt;setvar action=""Add""&gt;"&amp;$H62&amp;"&lt;/setvar&gt;&lt;/respcondition&gt;",""),IF(AA62,"      &lt;respcondition continue=""Yes""&gt;&lt;conditionvar&gt;&lt;varequal respident=""RESPONSE""&gt;7&lt;/varequal&gt;&lt;/conditionvar&gt;&lt;setvar action=""Add""&gt;"&amp;(Saisie_Questions!$N62/$I62)&amp;"&lt;/setvar&gt;&lt;/respcondition&gt;","      &lt;respcondition continue=""Yes""&gt;&lt;conditionvar&gt;&lt;not&gt;&lt;varequal respident=""RESPONSE""&gt;7&lt;/varequal&gt;&lt;/not&gt;&lt;/conditionvar&gt;&lt;setvar action=""Add""&gt;"&amp;(Saisie_Questions!$N62/$I62)&amp;"&lt;/setvar&gt;&lt;/respcondition&gt;"))),"")</f>
        <v/>
      </c>
    </row>
    <row r="63" spans="1:43" ht="18" customHeight="1">
      <c r="A63" s="2" t="str">
        <f>Saisie_Questions!A63</f>
        <v/>
      </c>
      <c r="B63" s="2" t="b">
        <f>Saisie_Questions!O63="OK"</f>
        <v>0</v>
      </c>
      <c r="C63" s="2" t="str">
        <f>LOWER(TRIM(Saisie_Questions!B63))</f>
        <v/>
      </c>
      <c r="D63" s="2" t="str">
        <f t="shared" si="18"/>
        <v>MULTIPLE CHOICE QUESTION</v>
      </c>
      <c r="E63" s="2" t="str">
        <f t="shared" si="19"/>
        <v>Multiple</v>
      </c>
      <c r="F63" s="2" t="str">
        <f>IF(A63="","",SUBSTITUTE(SUBSTITUTE(SUBSTITUTE(SUBSTITUTE(SUBSTITUTE(IF(Saisie_Questions!C63="", "Question "&amp;A63, Saisie_Questions!C63),"&amp;","&amp;amp;"),"&lt;","&amp;lt;"),"&gt;","&amp;gt;"),CHAR(34),"&amp;quot;"),"'","&amp;apos;"))</f>
        <v/>
      </c>
      <c r="G63" s="2" t="str">
        <f>IF(A63="","",SUBSTITUTE(SUBSTITUTE(SUBSTITUTE(SUBSTITUTE(SUBSTITUTE(Saisie_Questions!D63,"&amp;","&amp;amp;"),"&lt;","&amp;lt;"),"&gt;","&amp;gt;"),CHAR(34),"&amp;quot;"),"'","&amp;apos;"))</f>
        <v/>
      </c>
      <c r="H63" s="2">
        <f>Saisie_Questions!N63</f>
        <v>0</v>
      </c>
      <c r="I63" s="2">
        <f>IF(Saisie_Questions!E63="",0,1)+IF(Saisie_Questions!F63="",0,1)+IF(Saisie_Questions!G63="",0,1)+IF(Saisie_Questions!H63="",0,1)+IF(Saisie_Questions!I63="",0,1)+IF(Saisie_Questions!J63="",0,1)+IF(Saisie_Questions!K63="",0,1)+IF(Saisie_Questions!L63="",0,1)</f>
        <v>0</v>
      </c>
      <c r="J63" s="2">
        <f>Saisie_Questions!M63</f>
        <v>0</v>
      </c>
      <c r="K63" s="2" t="str">
        <f>Saisie_Questions!O63</f>
        <v/>
      </c>
      <c r="L63" s="2" t="str">
        <f>IF(Saisie_Questions!E63="","",SUBSTITUTE(SUBSTITUTE(SUBSTITUTE(SUBSTITUTE(SUBSTITUTE(Saisie_Questions!E63,"&amp;","&amp;amp;"),"&lt;","&amp;lt;"),"&gt;","&amp;gt;"),CHAR(34),"&amp;quot;"),"'","&amp;apos;"))</f>
        <v/>
      </c>
      <c r="M63" s="2" t="str">
        <f>IF(Saisie_Questions!F63="","",SUBSTITUTE(SUBSTITUTE(SUBSTITUTE(SUBSTITUTE(SUBSTITUTE(Saisie_Questions!F63,"&amp;","&amp;amp;"),"&lt;","&amp;lt;"),"&gt;","&amp;gt;"),CHAR(34),"&amp;quot;"),"'","&amp;apos;"))</f>
        <v/>
      </c>
      <c r="N63" s="2" t="str">
        <f>IF(Saisie_Questions!G63="","",SUBSTITUTE(SUBSTITUTE(SUBSTITUTE(SUBSTITUTE(SUBSTITUTE(Saisie_Questions!G63,"&amp;","&amp;amp;"),"&lt;","&amp;lt;"),"&gt;","&amp;gt;"),CHAR(34),"&amp;quot;"),"'","&amp;apos;"))</f>
        <v/>
      </c>
      <c r="O63" s="2" t="str">
        <f>IF(Saisie_Questions!H63="","",SUBSTITUTE(SUBSTITUTE(SUBSTITUTE(SUBSTITUTE(SUBSTITUTE(Saisie_Questions!H63,"&amp;","&amp;amp;"),"&lt;","&amp;lt;"),"&gt;","&amp;gt;"),CHAR(34),"&amp;quot;"),"'","&amp;apos;"))</f>
        <v/>
      </c>
      <c r="P63" s="2" t="str">
        <f>IF(Saisie_Questions!I63="","",SUBSTITUTE(SUBSTITUTE(SUBSTITUTE(SUBSTITUTE(SUBSTITUTE(Saisie_Questions!I63,"&amp;","&amp;amp;"),"&lt;","&amp;lt;"),"&gt;","&amp;gt;"),CHAR(34),"&amp;quot;"),"'","&amp;apos;"))</f>
        <v/>
      </c>
      <c r="Q63" s="2" t="str">
        <f>IF(Saisie_Questions!J63="","",SUBSTITUTE(SUBSTITUTE(SUBSTITUTE(SUBSTITUTE(SUBSTITUTE(Saisie_Questions!J63,"&amp;","&amp;amp;"),"&lt;","&amp;lt;"),"&gt;","&amp;gt;"),CHAR(34),"&amp;quot;"),"'","&amp;apos;"))</f>
        <v/>
      </c>
      <c r="R63" s="2" t="str">
        <f>IF(Saisie_Questions!K63="","",SUBSTITUTE(SUBSTITUTE(SUBSTITUTE(SUBSTITUTE(SUBSTITUTE(Saisie_Questions!K63,"&amp;","&amp;amp;"),"&lt;","&amp;lt;"),"&gt;","&amp;gt;"),CHAR(34),"&amp;quot;"),"'","&amp;apos;"))</f>
        <v/>
      </c>
      <c r="S63" s="2" t="str">
        <f>IF(Saisie_Questions!L63="","",SUBSTITUTE(SUBSTITUTE(SUBSTITUTE(SUBSTITUTE(SUBSTITUTE(Saisie_Questions!L63,"&amp;","&amp;amp;"),"&lt;","&amp;lt;"),"&gt;","&amp;gt;"),CHAR(34),"&amp;quot;"),"'","&amp;apos;"))</f>
        <v/>
      </c>
      <c r="T63" s="2" t="b">
        <f t="shared" si="20"/>
        <v>0</v>
      </c>
      <c r="U63" s="2" t="b">
        <f t="shared" si="21"/>
        <v>0</v>
      </c>
      <c r="V63" s="2" t="b">
        <f t="shared" si="22"/>
        <v>0</v>
      </c>
      <c r="W63" s="2" t="b">
        <f t="shared" si="23"/>
        <v>0</v>
      </c>
      <c r="X63" s="2" t="b">
        <f t="shared" si="24"/>
        <v>0</v>
      </c>
      <c r="Y63" s="2" t="b">
        <f t="shared" si="25"/>
        <v>0</v>
      </c>
      <c r="Z63" s="2" t="b">
        <f t="shared" si="26"/>
        <v>0</v>
      </c>
      <c r="AA63" s="2" t="b">
        <f t="shared" si="27"/>
        <v>0</v>
      </c>
      <c r="AB63" s="2" t="str">
        <f t="shared" si="28"/>
        <v/>
      </c>
      <c r="AC63" s="2" t="str">
        <f t="shared" si="29"/>
        <v/>
      </c>
      <c r="AD63" s="2" t="str">
        <f t="shared" si="30"/>
        <v/>
      </c>
      <c r="AE63" s="2" t="str">
        <f t="shared" si="31"/>
        <v/>
      </c>
      <c r="AF63" s="2" t="str">
        <f t="shared" si="32"/>
        <v/>
      </c>
      <c r="AG63" s="2" t="str">
        <f t="shared" si="33"/>
        <v/>
      </c>
      <c r="AH63" s="2" t="str">
        <f t="shared" si="34"/>
        <v/>
      </c>
      <c r="AI63" s="2" t="str">
        <f t="shared" si="35"/>
        <v/>
      </c>
      <c r="AJ63" s="2" t="str">
        <f>IF($B63,IF(L63="","",IF($C63="qcu",IF(T63,"      &lt;respcondition continue=""Yes""&gt;&lt;conditionvar&gt;&lt;varequal respident=""RESPONSE""&gt;0&lt;/varequal&gt;&lt;/conditionvar&gt;&lt;setvar action=""Add""&gt;"&amp;$H63&amp;"&lt;/setvar&gt;&lt;/respcondition&gt;",""),IF(T63,"      &lt;respcondition continue=""Yes""&gt;&lt;conditionvar&gt;&lt;varequal respident=""RESPONSE""&gt;0&lt;/varequal&gt;&lt;/conditionvar&gt;&lt;setvar action=""Add""&gt;"&amp;(Saisie_Questions!$N63/$I63)&amp;"&lt;/setvar&gt;&lt;/respcondition&gt;","      &lt;respcondition continue=""Yes""&gt;&lt;conditionvar&gt;&lt;not&gt;&lt;varequal respident=""RESPONSE""&gt;0&lt;/varequal&gt;&lt;/not&gt;&lt;/conditionvar&gt;&lt;setvar action=""Add""&gt;"&amp;(Saisie_Questions!$N63/$I63)&amp;"&lt;/setvar&gt;&lt;/respcondition&gt;"))),"")</f>
        <v/>
      </c>
      <c r="AK63" s="2" t="str">
        <f>IF($B63,IF(M63="","",IF($C63="qcu",IF(U63,"      &lt;respcondition continue=""Yes""&gt;&lt;conditionvar&gt;&lt;varequal respident=""RESPONSE""&gt;1&lt;/varequal&gt;&lt;/conditionvar&gt;&lt;setvar action=""Add""&gt;"&amp;$H63&amp;"&lt;/setvar&gt;&lt;/respcondition&gt;",""),IF(U63,"      &lt;respcondition continue=""Yes""&gt;&lt;conditionvar&gt;&lt;varequal respident=""RESPONSE""&gt;1&lt;/varequal&gt;&lt;/conditionvar&gt;&lt;setvar action=""Add""&gt;"&amp;(Saisie_Questions!$N63/$I63)&amp;"&lt;/setvar&gt;&lt;/respcondition&gt;","      &lt;respcondition continue=""Yes""&gt;&lt;conditionvar&gt;&lt;not&gt;&lt;varequal respident=""RESPONSE""&gt;1&lt;/varequal&gt;&lt;/not&gt;&lt;/conditionvar&gt;&lt;setvar action=""Add""&gt;"&amp;(Saisie_Questions!$N63/$I63)&amp;"&lt;/setvar&gt;&lt;/respcondition&gt;"))),"")</f>
        <v/>
      </c>
      <c r="AL63" s="2" t="str">
        <f>IF($B63,IF(N63="","",IF($C63="qcu",IF(V63,"      &lt;respcondition continue=""Yes""&gt;&lt;conditionvar&gt;&lt;varequal respident=""RESPONSE""&gt;2&lt;/varequal&gt;&lt;/conditionvar&gt;&lt;setvar action=""Add""&gt;"&amp;$H63&amp;"&lt;/setvar&gt;&lt;/respcondition&gt;",""),IF(V63,"      &lt;respcondition continue=""Yes""&gt;&lt;conditionvar&gt;&lt;varequal respident=""RESPONSE""&gt;2&lt;/varequal&gt;&lt;/conditionvar&gt;&lt;setvar action=""Add""&gt;"&amp;(Saisie_Questions!$N63/$I63)&amp;"&lt;/setvar&gt;&lt;/respcondition&gt;","      &lt;respcondition continue=""Yes""&gt;&lt;conditionvar&gt;&lt;not&gt;&lt;varequal respident=""RESPONSE""&gt;2&lt;/varequal&gt;&lt;/not&gt;&lt;/conditionvar&gt;&lt;setvar action=""Add""&gt;"&amp;(Saisie_Questions!$N63/$I63)&amp;"&lt;/setvar&gt;&lt;/respcondition&gt;"))),"")</f>
        <v/>
      </c>
      <c r="AM63" s="2" t="str">
        <f>IF($B63,IF(O63="","",IF($C63="qcu",IF(W63,"      &lt;respcondition continue=""Yes""&gt;&lt;conditionvar&gt;&lt;varequal respident=""RESPONSE""&gt;3&lt;/varequal&gt;&lt;/conditionvar&gt;&lt;setvar action=""Add""&gt;"&amp;$H63&amp;"&lt;/setvar&gt;&lt;/respcondition&gt;",""),IF(W63,"      &lt;respcondition continue=""Yes""&gt;&lt;conditionvar&gt;&lt;varequal respident=""RESPONSE""&gt;3&lt;/varequal&gt;&lt;/conditionvar&gt;&lt;setvar action=""Add""&gt;"&amp;(Saisie_Questions!$N63/$I63)&amp;"&lt;/setvar&gt;&lt;/respcondition&gt;","      &lt;respcondition continue=""Yes""&gt;&lt;conditionvar&gt;&lt;not&gt;&lt;varequal respident=""RESPONSE""&gt;3&lt;/varequal&gt;&lt;/not&gt;&lt;/conditionvar&gt;&lt;setvar action=""Add""&gt;"&amp;(Saisie_Questions!$N63/$I63)&amp;"&lt;/setvar&gt;&lt;/respcondition&gt;"))),"")</f>
        <v/>
      </c>
      <c r="AN63" s="2" t="str">
        <f>IF($B63,IF(P63="","",IF($C63="qcu",IF(X63,"      &lt;respcondition continue=""Yes""&gt;&lt;conditionvar&gt;&lt;varequal respident=""RESPONSE""&gt;4&lt;/varequal&gt;&lt;/conditionvar&gt;&lt;setvar action=""Add""&gt;"&amp;$H63&amp;"&lt;/setvar&gt;&lt;/respcondition&gt;",""),IF(X63,"      &lt;respcondition continue=""Yes""&gt;&lt;conditionvar&gt;&lt;varequal respident=""RESPONSE""&gt;4&lt;/varequal&gt;&lt;/conditionvar&gt;&lt;setvar action=""Add""&gt;"&amp;(Saisie_Questions!$N63/$I63)&amp;"&lt;/setvar&gt;&lt;/respcondition&gt;","      &lt;respcondition continue=""Yes""&gt;&lt;conditionvar&gt;&lt;not&gt;&lt;varequal respident=""RESPONSE""&gt;4&lt;/varequal&gt;&lt;/not&gt;&lt;/conditionvar&gt;&lt;setvar action=""Add""&gt;"&amp;(Saisie_Questions!$N63/$I63)&amp;"&lt;/setvar&gt;&lt;/respcondition&gt;"))),"")</f>
        <v/>
      </c>
      <c r="AO63" s="2" t="str">
        <f>IF($B63,IF(Q63="","",IF($C63="qcu",IF(Y63,"      &lt;respcondition continue=""Yes""&gt;&lt;conditionvar&gt;&lt;varequal respident=""RESPONSE""&gt;5&lt;/varequal&gt;&lt;/conditionvar&gt;&lt;setvar action=""Add""&gt;"&amp;$H63&amp;"&lt;/setvar&gt;&lt;/respcondition&gt;",""),IF(Y63,"      &lt;respcondition continue=""Yes""&gt;&lt;conditionvar&gt;&lt;varequal respident=""RESPONSE""&gt;5&lt;/varequal&gt;&lt;/conditionvar&gt;&lt;setvar action=""Add""&gt;"&amp;(Saisie_Questions!$N63/$I63)&amp;"&lt;/setvar&gt;&lt;/respcondition&gt;","      &lt;respcondition continue=""Yes""&gt;&lt;conditionvar&gt;&lt;not&gt;&lt;varequal respident=""RESPONSE""&gt;5&lt;/varequal&gt;&lt;/not&gt;&lt;/conditionvar&gt;&lt;setvar action=""Add""&gt;"&amp;(Saisie_Questions!$N63/$I63)&amp;"&lt;/setvar&gt;&lt;/respcondition&gt;"))),"")</f>
        <v/>
      </c>
      <c r="AP63" s="2" t="str">
        <f>IF($B63,IF(R63="","",IF($C63="qcu",IF(Z63,"      &lt;respcondition continue=""Yes""&gt;&lt;conditionvar&gt;&lt;varequal respident=""RESPONSE""&gt;6&lt;/varequal&gt;&lt;/conditionvar&gt;&lt;setvar action=""Add""&gt;"&amp;$H63&amp;"&lt;/setvar&gt;&lt;/respcondition&gt;",""),IF(Z63,"      &lt;respcondition continue=""Yes""&gt;&lt;conditionvar&gt;&lt;varequal respident=""RESPONSE""&gt;6&lt;/varequal&gt;&lt;/conditionvar&gt;&lt;setvar action=""Add""&gt;"&amp;(Saisie_Questions!$N63/$I63)&amp;"&lt;/setvar&gt;&lt;/respcondition&gt;","      &lt;respcondition continue=""Yes""&gt;&lt;conditionvar&gt;&lt;not&gt;&lt;varequal respident=""RESPONSE""&gt;6&lt;/varequal&gt;&lt;/not&gt;&lt;/conditionvar&gt;&lt;setvar action=""Add""&gt;"&amp;(Saisie_Questions!$N63/$I63)&amp;"&lt;/setvar&gt;&lt;/respcondition&gt;"))),"")</f>
        <v/>
      </c>
      <c r="AQ63" s="2" t="str">
        <f>IF($B63,IF(S63="","",IF($C63="qcu",IF(AA63,"      &lt;respcondition continue=""Yes""&gt;&lt;conditionvar&gt;&lt;varequal respident=""RESPONSE""&gt;7&lt;/varequal&gt;&lt;/conditionvar&gt;&lt;setvar action=""Add""&gt;"&amp;$H63&amp;"&lt;/setvar&gt;&lt;/respcondition&gt;",""),IF(AA63,"      &lt;respcondition continue=""Yes""&gt;&lt;conditionvar&gt;&lt;varequal respident=""RESPONSE""&gt;7&lt;/varequal&gt;&lt;/conditionvar&gt;&lt;setvar action=""Add""&gt;"&amp;(Saisie_Questions!$N63/$I63)&amp;"&lt;/setvar&gt;&lt;/respcondition&gt;","      &lt;respcondition continue=""Yes""&gt;&lt;conditionvar&gt;&lt;not&gt;&lt;varequal respident=""RESPONSE""&gt;7&lt;/varequal&gt;&lt;/not&gt;&lt;/conditionvar&gt;&lt;setvar action=""Add""&gt;"&amp;(Saisie_Questions!$N63/$I63)&amp;"&lt;/setvar&gt;&lt;/respcondition&gt;"))),"")</f>
        <v/>
      </c>
    </row>
    <row r="64" spans="1:43" ht="18" customHeight="1">
      <c r="A64" s="2" t="str">
        <f>Saisie_Questions!A64</f>
        <v/>
      </c>
      <c r="B64" s="2" t="b">
        <f>Saisie_Questions!O64="OK"</f>
        <v>0</v>
      </c>
      <c r="C64" s="2" t="str">
        <f>LOWER(TRIM(Saisie_Questions!B64))</f>
        <v/>
      </c>
      <c r="D64" s="2" t="str">
        <f t="shared" si="18"/>
        <v>MULTIPLE CHOICE QUESTION</v>
      </c>
      <c r="E64" s="2" t="str">
        <f t="shared" si="19"/>
        <v>Multiple</v>
      </c>
      <c r="F64" s="2" t="str">
        <f>IF(A64="","",SUBSTITUTE(SUBSTITUTE(SUBSTITUTE(SUBSTITUTE(SUBSTITUTE(IF(Saisie_Questions!C64="", "Question "&amp;A64, Saisie_Questions!C64),"&amp;","&amp;amp;"),"&lt;","&amp;lt;"),"&gt;","&amp;gt;"),CHAR(34),"&amp;quot;"),"'","&amp;apos;"))</f>
        <v/>
      </c>
      <c r="G64" s="2" t="str">
        <f>IF(A64="","",SUBSTITUTE(SUBSTITUTE(SUBSTITUTE(SUBSTITUTE(SUBSTITUTE(Saisie_Questions!D64,"&amp;","&amp;amp;"),"&lt;","&amp;lt;"),"&gt;","&amp;gt;"),CHAR(34),"&amp;quot;"),"'","&amp;apos;"))</f>
        <v/>
      </c>
      <c r="H64" s="2">
        <f>Saisie_Questions!N64</f>
        <v>0</v>
      </c>
      <c r="I64" s="2">
        <f>IF(Saisie_Questions!E64="",0,1)+IF(Saisie_Questions!F64="",0,1)+IF(Saisie_Questions!G64="",0,1)+IF(Saisie_Questions!H64="",0,1)+IF(Saisie_Questions!I64="",0,1)+IF(Saisie_Questions!J64="",0,1)+IF(Saisie_Questions!K64="",0,1)+IF(Saisie_Questions!L64="",0,1)</f>
        <v>0</v>
      </c>
      <c r="J64" s="2">
        <f>Saisie_Questions!M64</f>
        <v>0</v>
      </c>
      <c r="K64" s="2" t="str">
        <f>Saisie_Questions!O64</f>
        <v/>
      </c>
      <c r="L64" s="2" t="str">
        <f>IF(Saisie_Questions!E64="","",SUBSTITUTE(SUBSTITUTE(SUBSTITUTE(SUBSTITUTE(SUBSTITUTE(Saisie_Questions!E64,"&amp;","&amp;amp;"),"&lt;","&amp;lt;"),"&gt;","&amp;gt;"),CHAR(34),"&amp;quot;"),"'","&amp;apos;"))</f>
        <v/>
      </c>
      <c r="M64" s="2" t="str">
        <f>IF(Saisie_Questions!F64="","",SUBSTITUTE(SUBSTITUTE(SUBSTITUTE(SUBSTITUTE(SUBSTITUTE(Saisie_Questions!F64,"&amp;","&amp;amp;"),"&lt;","&amp;lt;"),"&gt;","&amp;gt;"),CHAR(34),"&amp;quot;"),"'","&amp;apos;"))</f>
        <v/>
      </c>
      <c r="N64" s="2" t="str">
        <f>IF(Saisie_Questions!G64="","",SUBSTITUTE(SUBSTITUTE(SUBSTITUTE(SUBSTITUTE(SUBSTITUTE(Saisie_Questions!G64,"&amp;","&amp;amp;"),"&lt;","&amp;lt;"),"&gt;","&amp;gt;"),CHAR(34),"&amp;quot;"),"'","&amp;apos;"))</f>
        <v/>
      </c>
      <c r="O64" s="2" t="str">
        <f>IF(Saisie_Questions!H64="","",SUBSTITUTE(SUBSTITUTE(SUBSTITUTE(SUBSTITUTE(SUBSTITUTE(Saisie_Questions!H64,"&amp;","&amp;amp;"),"&lt;","&amp;lt;"),"&gt;","&amp;gt;"),CHAR(34),"&amp;quot;"),"'","&amp;apos;"))</f>
        <v/>
      </c>
      <c r="P64" s="2" t="str">
        <f>IF(Saisie_Questions!I64="","",SUBSTITUTE(SUBSTITUTE(SUBSTITUTE(SUBSTITUTE(SUBSTITUTE(Saisie_Questions!I64,"&amp;","&amp;amp;"),"&lt;","&amp;lt;"),"&gt;","&amp;gt;"),CHAR(34),"&amp;quot;"),"'","&amp;apos;"))</f>
        <v/>
      </c>
      <c r="Q64" s="2" t="str">
        <f>IF(Saisie_Questions!J64="","",SUBSTITUTE(SUBSTITUTE(SUBSTITUTE(SUBSTITUTE(SUBSTITUTE(Saisie_Questions!J64,"&amp;","&amp;amp;"),"&lt;","&amp;lt;"),"&gt;","&amp;gt;"),CHAR(34),"&amp;quot;"),"'","&amp;apos;"))</f>
        <v/>
      </c>
      <c r="R64" s="2" t="str">
        <f>IF(Saisie_Questions!K64="","",SUBSTITUTE(SUBSTITUTE(SUBSTITUTE(SUBSTITUTE(SUBSTITUTE(Saisie_Questions!K64,"&amp;","&amp;amp;"),"&lt;","&amp;lt;"),"&gt;","&amp;gt;"),CHAR(34),"&amp;quot;"),"'","&amp;apos;"))</f>
        <v/>
      </c>
      <c r="S64" s="2" t="str">
        <f>IF(Saisie_Questions!L64="","",SUBSTITUTE(SUBSTITUTE(SUBSTITUTE(SUBSTITUTE(SUBSTITUTE(Saisie_Questions!L64,"&amp;","&amp;amp;"),"&lt;","&amp;lt;"),"&gt;","&amp;gt;"),CHAR(34),"&amp;quot;"),"'","&amp;apos;"))</f>
        <v/>
      </c>
      <c r="T64" s="2" t="b">
        <f t="shared" si="20"/>
        <v>0</v>
      </c>
      <c r="U64" s="2" t="b">
        <f t="shared" si="21"/>
        <v>0</v>
      </c>
      <c r="V64" s="2" t="b">
        <f t="shared" si="22"/>
        <v>0</v>
      </c>
      <c r="W64" s="2" t="b">
        <f t="shared" si="23"/>
        <v>0</v>
      </c>
      <c r="X64" s="2" t="b">
        <f t="shared" si="24"/>
        <v>0</v>
      </c>
      <c r="Y64" s="2" t="b">
        <f t="shared" si="25"/>
        <v>0</v>
      </c>
      <c r="Z64" s="2" t="b">
        <f t="shared" si="26"/>
        <v>0</v>
      </c>
      <c r="AA64" s="2" t="b">
        <f t="shared" si="27"/>
        <v>0</v>
      </c>
      <c r="AB64" s="2" t="str">
        <f t="shared" si="28"/>
        <v/>
      </c>
      <c r="AC64" s="2" t="str">
        <f t="shared" si="29"/>
        <v/>
      </c>
      <c r="AD64" s="2" t="str">
        <f t="shared" si="30"/>
        <v/>
      </c>
      <c r="AE64" s="2" t="str">
        <f t="shared" si="31"/>
        <v/>
      </c>
      <c r="AF64" s="2" t="str">
        <f t="shared" si="32"/>
        <v/>
      </c>
      <c r="AG64" s="2" t="str">
        <f t="shared" si="33"/>
        <v/>
      </c>
      <c r="AH64" s="2" t="str">
        <f t="shared" si="34"/>
        <v/>
      </c>
      <c r="AI64" s="2" t="str">
        <f t="shared" si="35"/>
        <v/>
      </c>
      <c r="AJ64" s="2" t="str">
        <f>IF($B64,IF(L64="","",IF($C64="qcu",IF(T64,"      &lt;respcondition continue=""Yes""&gt;&lt;conditionvar&gt;&lt;varequal respident=""RESPONSE""&gt;0&lt;/varequal&gt;&lt;/conditionvar&gt;&lt;setvar action=""Add""&gt;"&amp;$H64&amp;"&lt;/setvar&gt;&lt;/respcondition&gt;",""),IF(T64,"      &lt;respcondition continue=""Yes""&gt;&lt;conditionvar&gt;&lt;varequal respident=""RESPONSE""&gt;0&lt;/varequal&gt;&lt;/conditionvar&gt;&lt;setvar action=""Add""&gt;"&amp;(Saisie_Questions!$N64/$I64)&amp;"&lt;/setvar&gt;&lt;/respcondition&gt;","      &lt;respcondition continue=""Yes""&gt;&lt;conditionvar&gt;&lt;not&gt;&lt;varequal respident=""RESPONSE""&gt;0&lt;/varequal&gt;&lt;/not&gt;&lt;/conditionvar&gt;&lt;setvar action=""Add""&gt;"&amp;(Saisie_Questions!$N64/$I64)&amp;"&lt;/setvar&gt;&lt;/respcondition&gt;"))),"")</f>
        <v/>
      </c>
      <c r="AK64" s="2" t="str">
        <f>IF($B64,IF(M64="","",IF($C64="qcu",IF(U64,"      &lt;respcondition continue=""Yes""&gt;&lt;conditionvar&gt;&lt;varequal respident=""RESPONSE""&gt;1&lt;/varequal&gt;&lt;/conditionvar&gt;&lt;setvar action=""Add""&gt;"&amp;$H64&amp;"&lt;/setvar&gt;&lt;/respcondition&gt;",""),IF(U64,"      &lt;respcondition continue=""Yes""&gt;&lt;conditionvar&gt;&lt;varequal respident=""RESPONSE""&gt;1&lt;/varequal&gt;&lt;/conditionvar&gt;&lt;setvar action=""Add""&gt;"&amp;(Saisie_Questions!$N64/$I64)&amp;"&lt;/setvar&gt;&lt;/respcondition&gt;","      &lt;respcondition continue=""Yes""&gt;&lt;conditionvar&gt;&lt;not&gt;&lt;varequal respident=""RESPONSE""&gt;1&lt;/varequal&gt;&lt;/not&gt;&lt;/conditionvar&gt;&lt;setvar action=""Add""&gt;"&amp;(Saisie_Questions!$N64/$I64)&amp;"&lt;/setvar&gt;&lt;/respcondition&gt;"))),"")</f>
        <v/>
      </c>
      <c r="AL64" s="2" t="str">
        <f>IF($B64,IF(N64="","",IF($C64="qcu",IF(V64,"      &lt;respcondition continue=""Yes""&gt;&lt;conditionvar&gt;&lt;varequal respident=""RESPONSE""&gt;2&lt;/varequal&gt;&lt;/conditionvar&gt;&lt;setvar action=""Add""&gt;"&amp;$H64&amp;"&lt;/setvar&gt;&lt;/respcondition&gt;",""),IF(V64,"      &lt;respcondition continue=""Yes""&gt;&lt;conditionvar&gt;&lt;varequal respident=""RESPONSE""&gt;2&lt;/varequal&gt;&lt;/conditionvar&gt;&lt;setvar action=""Add""&gt;"&amp;(Saisie_Questions!$N64/$I64)&amp;"&lt;/setvar&gt;&lt;/respcondition&gt;","      &lt;respcondition continue=""Yes""&gt;&lt;conditionvar&gt;&lt;not&gt;&lt;varequal respident=""RESPONSE""&gt;2&lt;/varequal&gt;&lt;/not&gt;&lt;/conditionvar&gt;&lt;setvar action=""Add""&gt;"&amp;(Saisie_Questions!$N64/$I64)&amp;"&lt;/setvar&gt;&lt;/respcondition&gt;"))),"")</f>
        <v/>
      </c>
      <c r="AM64" s="2" t="str">
        <f>IF($B64,IF(O64="","",IF($C64="qcu",IF(W64,"      &lt;respcondition continue=""Yes""&gt;&lt;conditionvar&gt;&lt;varequal respident=""RESPONSE""&gt;3&lt;/varequal&gt;&lt;/conditionvar&gt;&lt;setvar action=""Add""&gt;"&amp;$H64&amp;"&lt;/setvar&gt;&lt;/respcondition&gt;",""),IF(W64,"      &lt;respcondition continue=""Yes""&gt;&lt;conditionvar&gt;&lt;varequal respident=""RESPONSE""&gt;3&lt;/varequal&gt;&lt;/conditionvar&gt;&lt;setvar action=""Add""&gt;"&amp;(Saisie_Questions!$N64/$I64)&amp;"&lt;/setvar&gt;&lt;/respcondition&gt;","      &lt;respcondition continue=""Yes""&gt;&lt;conditionvar&gt;&lt;not&gt;&lt;varequal respident=""RESPONSE""&gt;3&lt;/varequal&gt;&lt;/not&gt;&lt;/conditionvar&gt;&lt;setvar action=""Add""&gt;"&amp;(Saisie_Questions!$N64/$I64)&amp;"&lt;/setvar&gt;&lt;/respcondition&gt;"))),"")</f>
        <v/>
      </c>
      <c r="AN64" s="2" t="str">
        <f>IF($B64,IF(P64="","",IF($C64="qcu",IF(X64,"      &lt;respcondition continue=""Yes""&gt;&lt;conditionvar&gt;&lt;varequal respident=""RESPONSE""&gt;4&lt;/varequal&gt;&lt;/conditionvar&gt;&lt;setvar action=""Add""&gt;"&amp;$H64&amp;"&lt;/setvar&gt;&lt;/respcondition&gt;",""),IF(X64,"      &lt;respcondition continue=""Yes""&gt;&lt;conditionvar&gt;&lt;varequal respident=""RESPONSE""&gt;4&lt;/varequal&gt;&lt;/conditionvar&gt;&lt;setvar action=""Add""&gt;"&amp;(Saisie_Questions!$N64/$I64)&amp;"&lt;/setvar&gt;&lt;/respcondition&gt;","      &lt;respcondition continue=""Yes""&gt;&lt;conditionvar&gt;&lt;not&gt;&lt;varequal respident=""RESPONSE""&gt;4&lt;/varequal&gt;&lt;/not&gt;&lt;/conditionvar&gt;&lt;setvar action=""Add""&gt;"&amp;(Saisie_Questions!$N64/$I64)&amp;"&lt;/setvar&gt;&lt;/respcondition&gt;"))),"")</f>
        <v/>
      </c>
      <c r="AO64" s="2" t="str">
        <f>IF($B64,IF(Q64="","",IF($C64="qcu",IF(Y64,"      &lt;respcondition continue=""Yes""&gt;&lt;conditionvar&gt;&lt;varequal respident=""RESPONSE""&gt;5&lt;/varequal&gt;&lt;/conditionvar&gt;&lt;setvar action=""Add""&gt;"&amp;$H64&amp;"&lt;/setvar&gt;&lt;/respcondition&gt;",""),IF(Y64,"      &lt;respcondition continue=""Yes""&gt;&lt;conditionvar&gt;&lt;varequal respident=""RESPONSE""&gt;5&lt;/varequal&gt;&lt;/conditionvar&gt;&lt;setvar action=""Add""&gt;"&amp;(Saisie_Questions!$N64/$I64)&amp;"&lt;/setvar&gt;&lt;/respcondition&gt;","      &lt;respcondition continue=""Yes""&gt;&lt;conditionvar&gt;&lt;not&gt;&lt;varequal respident=""RESPONSE""&gt;5&lt;/varequal&gt;&lt;/not&gt;&lt;/conditionvar&gt;&lt;setvar action=""Add""&gt;"&amp;(Saisie_Questions!$N64/$I64)&amp;"&lt;/setvar&gt;&lt;/respcondition&gt;"))),"")</f>
        <v/>
      </c>
      <c r="AP64" s="2" t="str">
        <f>IF($B64,IF(R64="","",IF($C64="qcu",IF(Z64,"      &lt;respcondition continue=""Yes""&gt;&lt;conditionvar&gt;&lt;varequal respident=""RESPONSE""&gt;6&lt;/varequal&gt;&lt;/conditionvar&gt;&lt;setvar action=""Add""&gt;"&amp;$H64&amp;"&lt;/setvar&gt;&lt;/respcondition&gt;",""),IF(Z64,"      &lt;respcondition continue=""Yes""&gt;&lt;conditionvar&gt;&lt;varequal respident=""RESPONSE""&gt;6&lt;/varequal&gt;&lt;/conditionvar&gt;&lt;setvar action=""Add""&gt;"&amp;(Saisie_Questions!$N64/$I64)&amp;"&lt;/setvar&gt;&lt;/respcondition&gt;","      &lt;respcondition continue=""Yes""&gt;&lt;conditionvar&gt;&lt;not&gt;&lt;varequal respident=""RESPONSE""&gt;6&lt;/varequal&gt;&lt;/not&gt;&lt;/conditionvar&gt;&lt;setvar action=""Add""&gt;"&amp;(Saisie_Questions!$N64/$I64)&amp;"&lt;/setvar&gt;&lt;/respcondition&gt;"))),"")</f>
        <v/>
      </c>
      <c r="AQ64" s="2" t="str">
        <f>IF($B64,IF(S64="","",IF($C64="qcu",IF(AA64,"      &lt;respcondition continue=""Yes""&gt;&lt;conditionvar&gt;&lt;varequal respident=""RESPONSE""&gt;7&lt;/varequal&gt;&lt;/conditionvar&gt;&lt;setvar action=""Add""&gt;"&amp;$H64&amp;"&lt;/setvar&gt;&lt;/respcondition&gt;",""),IF(AA64,"      &lt;respcondition continue=""Yes""&gt;&lt;conditionvar&gt;&lt;varequal respident=""RESPONSE""&gt;7&lt;/varequal&gt;&lt;/conditionvar&gt;&lt;setvar action=""Add""&gt;"&amp;(Saisie_Questions!$N64/$I64)&amp;"&lt;/setvar&gt;&lt;/respcondition&gt;","      &lt;respcondition continue=""Yes""&gt;&lt;conditionvar&gt;&lt;not&gt;&lt;varequal respident=""RESPONSE""&gt;7&lt;/varequal&gt;&lt;/not&gt;&lt;/conditionvar&gt;&lt;setvar action=""Add""&gt;"&amp;(Saisie_Questions!$N64/$I64)&amp;"&lt;/setvar&gt;&lt;/respcondition&gt;"))),"")</f>
        <v/>
      </c>
    </row>
    <row r="65" spans="1:43" ht="18" customHeight="1">
      <c r="A65" s="2" t="str">
        <f>Saisie_Questions!A65</f>
        <v/>
      </c>
      <c r="B65" s="2" t="b">
        <f>Saisie_Questions!O65="OK"</f>
        <v>0</v>
      </c>
      <c r="C65" s="2" t="str">
        <f>LOWER(TRIM(Saisie_Questions!B65))</f>
        <v/>
      </c>
      <c r="D65" s="2" t="str">
        <f t="shared" si="18"/>
        <v>MULTIPLE CHOICE QUESTION</v>
      </c>
      <c r="E65" s="2" t="str">
        <f t="shared" si="19"/>
        <v>Multiple</v>
      </c>
      <c r="F65" s="2" t="str">
        <f>IF(A65="","",SUBSTITUTE(SUBSTITUTE(SUBSTITUTE(SUBSTITUTE(SUBSTITUTE(IF(Saisie_Questions!C65="", "Question "&amp;A65, Saisie_Questions!C65),"&amp;","&amp;amp;"),"&lt;","&amp;lt;"),"&gt;","&amp;gt;"),CHAR(34),"&amp;quot;"),"'","&amp;apos;"))</f>
        <v/>
      </c>
      <c r="G65" s="2" t="str">
        <f>IF(A65="","",SUBSTITUTE(SUBSTITUTE(SUBSTITUTE(SUBSTITUTE(SUBSTITUTE(Saisie_Questions!D65,"&amp;","&amp;amp;"),"&lt;","&amp;lt;"),"&gt;","&amp;gt;"),CHAR(34),"&amp;quot;"),"'","&amp;apos;"))</f>
        <v/>
      </c>
      <c r="H65" s="2">
        <f>Saisie_Questions!N65</f>
        <v>0</v>
      </c>
      <c r="I65" s="2">
        <f>IF(Saisie_Questions!E65="",0,1)+IF(Saisie_Questions!F65="",0,1)+IF(Saisie_Questions!G65="",0,1)+IF(Saisie_Questions!H65="",0,1)+IF(Saisie_Questions!I65="",0,1)+IF(Saisie_Questions!J65="",0,1)+IF(Saisie_Questions!K65="",0,1)+IF(Saisie_Questions!L65="",0,1)</f>
        <v>0</v>
      </c>
      <c r="J65" s="2">
        <f>Saisie_Questions!M65</f>
        <v>0</v>
      </c>
      <c r="K65" s="2" t="str">
        <f>Saisie_Questions!O65</f>
        <v/>
      </c>
      <c r="L65" s="2" t="str">
        <f>IF(Saisie_Questions!E65="","",SUBSTITUTE(SUBSTITUTE(SUBSTITUTE(SUBSTITUTE(SUBSTITUTE(Saisie_Questions!E65,"&amp;","&amp;amp;"),"&lt;","&amp;lt;"),"&gt;","&amp;gt;"),CHAR(34),"&amp;quot;"),"'","&amp;apos;"))</f>
        <v/>
      </c>
      <c r="M65" s="2" t="str">
        <f>IF(Saisie_Questions!F65="","",SUBSTITUTE(SUBSTITUTE(SUBSTITUTE(SUBSTITUTE(SUBSTITUTE(Saisie_Questions!F65,"&amp;","&amp;amp;"),"&lt;","&amp;lt;"),"&gt;","&amp;gt;"),CHAR(34),"&amp;quot;"),"'","&amp;apos;"))</f>
        <v/>
      </c>
      <c r="N65" s="2" t="str">
        <f>IF(Saisie_Questions!G65="","",SUBSTITUTE(SUBSTITUTE(SUBSTITUTE(SUBSTITUTE(SUBSTITUTE(Saisie_Questions!G65,"&amp;","&amp;amp;"),"&lt;","&amp;lt;"),"&gt;","&amp;gt;"),CHAR(34),"&amp;quot;"),"'","&amp;apos;"))</f>
        <v/>
      </c>
      <c r="O65" s="2" t="str">
        <f>IF(Saisie_Questions!H65="","",SUBSTITUTE(SUBSTITUTE(SUBSTITUTE(SUBSTITUTE(SUBSTITUTE(Saisie_Questions!H65,"&amp;","&amp;amp;"),"&lt;","&amp;lt;"),"&gt;","&amp;gt;"),CHAR(34),"&amp;quot;"),"'","&amp;apos;"))</f>
        <v/>
      </c>
      <c r="P65" s="2" t="str">
        <f>IF(Saisie_Questions!I65="","",SUBSTITUTE(SUBSTITUTE(SUBSTITUTE(SUBSTITUTE(SUBSTITUTE(Saisie_Questions!I65,"&amp;","&amp;amp;"),"&lt;","&amp;lt;"),"&gt;","&amp;gt;"),CHAR(34),"&amp;quot;"),"'","&amp;apos;"))</f>
        <v/>
      </c>
      <c r="Q65" s="2" t="str">
        <f>IF(Saisie_Questions!J65="","",SUBSTITUTE(SUBSTITUTE(SUBSTITUTE(SUBSTITUTE(SUBSTITUTE(Saisie_Questions!J65,"&amp;","&amp;amp;"),"&lt;","&amp;lt;"),"&gt;","&amp;gt;"),CHAR(34),"&amp;quot;"),"'","&amp;apos;"))</f>
        <v/>
      </c>
      <c r="R65" s="2" t="str">
        <f>IF(Saisie_Questions!K65="","",SUBSTITUTE(SUBSTITUTE(SUBSTITUTE(SUBSTITUTE(SUBSTITUTE(Saisie_Questions!K65,"&amp;","&amp;amp;"),"&lt;","&amp;lt;"),"&gt;","&amp;gt;"),CHAR(34),"&amp;quot;"),"'","&amp;apos;"))</f>
        <v/>
      </c>
      <c r="S65" s="2" t="str">
        <f>IF(Saisie_Questions!L65="","",SUBSTITUTE(SUBSTITUTE(SUBSTITUTE(SUBSTITUTE(SUBSTITUTE(Saisie_Questions!L65,"&amp;","&amp;amp;"),"&lt;","&amp;lt;"),"&gt;","&amp;gt;"),CHAR(34),"&amp;quot;"),"'","&amp;apos;"))</f>
        <v/>
      </c>
      <c r="T65" s="2" t="b">
        <f t="shared" si="20"/>
        <v>0</v>
      </c>
      <c r="U65" s="2" t="b">
        <f t="shared" si="21"/>
        <v>0</v>
      </c>
      <c r="V65" s="2" t="b">
        <f t="shared" si="22"/>
        <v>0</v>
      </c>
      <c r="W65" s="2" t="b">
        <f t="shared" si="23"/>
        <v>0</v>
      </c>
      <c r="X65" s="2" t="b">
        <f t="shared" si="24"/>
        <v>0</v>
      </c>
      <c r="Y65" s="2" t="b">
        <f t="shared" si="25"/>
        <v>0</v>
      </c>
      <c r="Z65" s="2" t="b">
        <f t="shared" si="26"/>
        <v>0</v>
      </c>
      <c r="AA65" s="2" t="b">
        <f t="shared" si="27"/>
        <v>0</v>
      </c>
      <c r="AB65" s="2" t="str">
        <f t="shared" si="28"/>
        <v/>
      </c>
      <c r="AC65" s="2" t="str">
        <f t="shared" si="29"/>
        <v/>
      </c>
      <c r="AD65" s="2" t="str">
        <f t="shared" si="30"/>
        <v/>
      </c>
      <c r="AE65" s="2" t="str">
        <f t="shared" si="31"/>
        <v/>
      </c>
      <c r="AF65" s="2" t="str">
        <f t="shared" si="32"/>
        <v/>
      </c>
      <c r="AG65" s="2" t="str">
        <f t="shared" si="33"/>
        <v/>
      </c>
      <c r="AH65" s="2" t="str">
        <f t="shared" si="34"/>
        <v/>
      </c>
      <c r="AI65" s="2" t="str">
        <f t="shared" si="35"/>
        <v/>
      </c>
      <c r="AJ65" s="2" t="str">
        <f>IF($B65,IF(L65="","",IF($C65="qcu",IF(T65,"      &lt;respcondition continue=""Yes""&gt;&lt;conditionvar&gt;&lt;varequal respident=""RESPONSE""&gt;0&lt;/varequal&gt;&lt;/conditionvar&gt;&lt;setvar action=""Add""&gt;"&amp;$H65&amp;"&lt;/setvar&gt;&lt;/respcondition&gt;",""),IF(T65,"      &lt;respcondition continue=""Yes""&gt;&lt;conditionvar&gt;&lt;varequal respident=""RESPONSE""&gt;0&lt;/varequal&gt;&lt;/conditionvar&gt;&lt;setvar action=""Add""&gt;"&amp;(Saisie_Questions!$N65/$I65)&amp;"&lt;/setvar&gt;&lt;/respcondition&gt;","      &lt;respcondition continue=""Yes""&gt;&lt;conditionvar&gt;&lt;not&gt;&lt;varequal respident=""RESPONSE""&gt;0&lt;/varequal&gt;&lt;/not&gt;&lt;/conditionvar&gt;&lt;setvar action=""Add""&gt;"&amp;(Saisie_Questions!$N65/$I65)&amp;"&lt;/setvar&gt;&lt;/respcondition&gt;"))),"")</f>
        <v/>
      </c>
      <c r="AK65" s="2" t="str">
        <f>IF($B65,IF(M65="","",IF($C65="qcu",IF(U65,"      &lt;respcondition continue=""Yes""&gt;&lt;conditionvar&gt;&lt;varequal respident=""RESPONSE""&gt;1&lt;/varequal&gt;&lt;/conditionvar&gt;&lt;setvar action=""Add""&gt;"&amp;$H65&amp;"&lt;/setvar&gt;&lt;/respcondition&gt;",""),IF(U65,"      &lt;respcondition continue=""Yes""&gt;&lt;conditionvar&gt;&lt;varequal respident=""RESPONSE""&gt;1&lt;/varequal&gt;&lt;/conditionvar&gt;&lt;setvar action=""Add""&gt;"&amp;(Saisie_Questions!$N65/$I65)&amp;"&lt;/setvar&gt;&lt;/respcondition&gt;","      &lt;respcondition continue=""Yes""&gt;&lt;conditionvar&gt;&lt;not&gt;&lt;varequal respident=""RESPONSE""&gt;1&lt;/varequal&gt;&lt;/not&gt;&lt;/conditionvar&gt;&lt;setvar action=""Add""&gt;"&amp;(Saisie_Questions!$N65/$I65)&amp;"&lt;/setvar&gt;&lt;/respcondition&gt;"))),"")</f>
        <v/>
      </c>
      <c r="AL65" s="2" t="str">
        <f>IF($B65,IF(N65="","",IF($C65="qcu",IF(V65,"      &lt;respcondition continue=""Yes""&gt;&lt;conditionvar&gt;&lt;varequal respident=""RESPONSE""&gt;2&lt;/varequal&gt;&lt;/conditionvar&gt;&lt;setvar action=""Add""&gt;"&amp;$H65&amp;"&lt;/setvar&gt;&lt;/respcondition&gt;",""),IF(V65,"      &lt;respcondition continue=""Yes""&gt;&lt;conditionvar&gt;&lt;varequal respident=""RESPONSE""&gt;2&lt;/varequal&gt;&lt;/conditionvar&gt;&lt;setvar action=""Add""&gt;"&amp;(Saisie_Questions!$N65/$I65)&amp;"&lt;/setvar&gt;&lt;/respcondition&gt;","      &lt;respcondition continue=""Yes""&gt;&lt;conditionvar&gt;&lt;not&gt;&lt;varequal respident=""RESPONSE""&gt;2&lt;/varequal&gt;&lt;/not&gt;&lt;/conditionvar&gt;&lt;setvar action=""Add""&gt;"&amp;(Saisie_Questions!$N65/$I65)&amp;"&lt;/setvar&gt;&lt;/respcondition&gt;"))),"")</f>
        <v/>
      </c>
      <c r="AM65" s="2" t="str">
        <f>IF($B65,IF(O65="","",IF($C65="qcu",IF(W65,"      &lt;respcondition continue=""Yes""&gt;&lt;conditionvar&gt;&lt;varequal respident=""RESPONSE""&gt;3&lt;/varequal&gt;&lt;/conditionvar&gt;&lt;setvar action=""Add""&gt;"&amp;$H65&amp;"&lt;/setvar&gt;&lt;/respcondition&gt;",""),IF(W65,"      &lt;respcondition continue=""Yes""&gt;&lt;conditionvar&gt;&lt;varequal respident=""RESPONSE""&gt;3&lt;/varequal&gt;&lt;/conditionvar&gt;&lt;setvar action=""Add""&gt;"&amp;(Saisie_Questions!$N65/$I65)&amp;"&lt;/setvar&gt;&lt;/respcondition&gt;","      &lt;respcondition continue=""Yes""&gt;&lt;conditionvar&gt;&lt;not&gt;&lt;varequal respident=""RESPONSE""&gt;3&lt;/varequal&gt;&lt;/not&gt;&lt;/conditionvar&gt;&lt;setvar action=""Add""&gt;"&amp;(Saisie_Questions!$N65/$I65)&amp;"&lt;/setvar&gt;&lt;/respcondition&gt;"))),"")</f>
        <v/>
      </c>
      <c r="AN65" s="2" t="str">
        <f>IF($B65,IF(P65="","",IF($C65="qcu",IF(X65,"      &lt;respcondition continue=""Yes""&gt;&lt;conditionvar&gt;&lt;varequal respident=""RESPONSE""&gt;4&lt;/varequal&gt;&lt;/conditionvar&gt;&lt;setvar action=""Add""&gt;"&amp;$H65&amp;"&lt;/setvar&gt;&lt;/respcondition&gt;",""),IF(X65,"      &lt;respcondition continue=""Yes""&gt;&lt;conditionvar&gt;&lt;varequal respident=""RESPONSE""&gt;4&lt;/varequal&gt;&lt;/conditionvar&gt;&lt;setvar action=""Add""&gt;"&amp;(Saisie_Questions!$N65/$I65)&amp;"&lt;/setvar&gt;&lt;/respcondition&gt;","      &lt;respcondition continue=""Yes""&gt;&lt;conditionvar&gt;&lt;not&gt;&lt;varequal respident=""RESPONSE""&gt;4&lt;/varequal&gt;&lt;/not&gt;&lt;/conditionvar&gt;&lt;setvar action=""Add""&gt;"&amp;(Saisie_Questions!$N65/$I65)&amp;"&lt;/setvar&gt;&lt;/respcondition&gt;"))),"")</f>
        <v/>
      </c>
      <c r="AO65" s="2" t="str">
        <f>IF($B65,IF(Q65="","",IF($C65="qcu",IF(Y65,"      &lt;respcondition continue=""Yes""&gt;&lt;conditionvar&gt;&lt;varequal respident=""RESPONSE""&gt;5&lt;/varequal&gt;&lt;/conditionvar&gt;&lt;setvar action=""Add""&gt;"&amp;$H65&amp;"&lt;/setvar&gt;&lt;/respcondition&gt;",""),IF(Y65,"      &lt;respcondition continue=""Yes""&gt;&lt;conditionvar&gt;&lt;varequal respident=""RESPONSE""&gt;5&lt;/varequal&gt;&lt;/conditionvar&gt;&lt;setvar action=""Add""&gt;"&amp;(Saisie_Questions!$N65/$I65)&amp;"&lt;/setvar&gt;&lt;/respcondition&gt;","      &lt;respcondition continue=""Yes""&gt;&lt;conditionvar&gt;&lt;not&gt;&lt;varequal respident=""RESPONSE""&gt;5&lt;/varequal&gt;&lt;/not&gt;&lt;/conditionvar&gt;&lt;setvar action=""Add""&gt;"&amp;(Saisie_Questions!$N65/$I65)&amp;"&lt;/setvar&gt;&lt;/respcondition&gt;"))),"")</f>
        <v/>
      </c>
      <c r="AP65" s="2" t="str">
        <f>IF($B65,IF(R65="","",IF($C65="qcu",IF(Z65,"      &lt;respcondition continue=""Yes""&gt;&lt;conditionvar&gt;&lt;varequal respident=""RESPONSE""&gt;6&lt;/varequal&gt;&lt;/conditionvar&gt;&lt;setvar action=""Add""&gt;"&amp;$H65&amp;"&lt;/setvar&gt;&lt;/respcondition&gt;",""),IF(Z65,"      &lt;respcondition continue=""Yes""&gt;&lt;conditionvar&gt;&lt;varequal respident=""RESPONSE""&gt;6&lt;/varequal&gt;&lt;/conditionvar&gt;&lt;setvar action=""Add""&gt;"&amp;(Saisie_Questions!$N65/$I65)&amp;"&lt;/setvar&gt;&lt;/respcondition&gt;","      &lt;respcondition continue=""Yes""&gt;&lt;conditionvar&gt;&lt;not&gt;&lt;varequal respident=""RESPONSE""&gt;6&lt;/varequal&gt;&lt;/not&gt;&lt;/conditionvar&gt;&lt;setvar action=""Add""&gt;"&amp;(Saisie_Questions!$N65/$I65)&amp;"&lt;/setvar&gt;&lt;/respcondition&gt;"))),"")</f>
        <v/>
      </c>
      <c r="AQ65" s="2" t="str">
        <f>IF($B65,IF(S65="","",IF($C65="qcu",IF(AA65,"      &lt;respcondition continue=""Yes""&gt;&lt;conditionvar&gt;&lt;varequal respident=""RESPONSE""&gt;7&lt;/varequal&gt;&lt;/conditionvar&gt;&lt;setvar action=""Add""&gt;"&amp;$H65&amp;"&lt;/setvar&gt;&lt;/respcondition&gt;",""),IF(AA65,"      &lt;respcondition continue=""Yes""&gt;&lt;conditionvar&gt;&lt;varequal respident=""RESPONSE""&gt;7&lt;/varequal&gt;&lt;/conditionvar&gt;&lt;setvar action=""Add""&gt;"&amp;(Saisie_Questions!$N65/$I65)&amp;"&lt;/setvar&gt;&lt;/respcondition&gt;","      &lt;respcondition continue=""Yes""&gt;&lt;conditionvar&gt;&lt;not&gt;&lt;varequal respident=""RESPONSE""&gt;7&lt;/varequal&gt;&lt;/not&gt;&lt;/conditionvar&gt;&lt;setvar action=""Add""&gt;"&amp;(Saisie_Questions!$N65/$I65)&amp;"&lt;/setvar&gt;&lt;/respcondition&gt;"))),"")</f>
        <v/>
      </c>
    </row>
    <row r="66" spans="1:43" ht="18" customHeight="1">
      <c r="A66" s="2" t="str">
        <f>Saisie_Questions!A66</f>
        <v/>
      </c>
      <c r="B66" s="2" t="b">
        <f>Saisie_Questions!O66="OK"</f>
        <v>0</v>
      </c>
      <c r="C66" s="2" t="str">
        <f>LOWER(TRIM(Saisie_Questions!B66))</f>
        <v/>
      </c>
      <c r="D66" s="2" t="str">
        <f t="shared" si="18"/>
        <v>MULTIPLE CHOICE QUESTION</v>
      </c>
      <c r="E66" s="2" t="str">
        <f t="shared" si="19"/>
        <v>Multiple</v>
      </c>
      <c r="F66" s="2" t="str">
        <f>IF(A66="","",SUBSTITUTE(SUBSTITUTE(SUBSTITUTE(SUBSTITUTE(SUBSTITUTE(IF(Saisie_Questions!C66="", "Question "&amp;A66, Saisie_Questions!C66),"&amp;","&amp;amp;"),"&lt;","&amp;lt;"),"&gt;","&amp;gt;"),CHAR(34),"&amp;quot;"),"'","&amp;apos;"))</f>
        <v/>
      </c>
      <c r="G66" s="2" t="str">
        <f>IF(A66="","",SUBSTITUTE(SUBSTITUTE(SUBSTITUTE(SUBSTITUTE(SUBSTITUTE(Saisie_Questions!D66,"&amp;","&amp;amp;"),"&lt;","&amp;lt;"),"&gt;","&amp;gt;"),CHAR(34),"&amp;quot;"),"'","&amp;apos;"))</f>
        <v/>
      </c>
      <c r="H66" s="2">
        <f>Saisie_Questions!N66</f>
        <v>0</v>
      </c>
      <c r="I66" s="2">
        <f>IF(Saisie_Questions!E66="",0,1)+IF(Saisie_Questions!F66="",0,1)+IF(Saisie_Questions!G66="",0,1)+IF(Saisie_Questions!H66="",0,1)+IF(Saisie_Questions!I66="",0,1)+IF(Saisie_Questions!J66="",0,1)+IF(Saisie_Questions!K66="",0,1)+IF(Saisie_Questions!L66="",0,1)</f>
        <v>0</v>
      </c>
      <c r="J66" s="2">
        <f>Saisie_Questions!M66</f>
        <v>0</v>
      </c>
      <c r="K66" s="2" t="str">
        <f>Saisie_Questions!O66</f>
        <v/>
      </c>
      <c r="L66" s="2" t="str">
        <f>IF(Saisie_Questions!E66="","",SUBSTITUTE(SUBSTITUTE(SUBSTITUTE(SUBSTITUTE(SUBSTITUTE(Saisie_Questions!E66,"&amp;","&amp;amp;"),"&lt;","&amp;lt;"),"&gt;","&amp;gt;"),CHAR(34),"&amp;quot;"),"'","&amp;apos;"))</f>
        <v/>
      </c>
      <c r="M66" s="2" t="str">
        <f>IF(Saisie_Questions!F66="","",SUBSTITUTE(SUBSTITUTE(SUBSTITUTE(SUBSTITUTE(SUBSTITUTE(Saisie_Questions!F66,"&amp;","&amp;amp;"),"&lt;","&amp;lt;"),"&gt;","&amp;gt;"),CHAR(34),"&amp;quot;"),"'","&amp;apos;"))</f>
        <v/>
      </c>
      <c r="N66" s="2" t="str">
        <f>IF(Saisie_Questions!G66="","",SUBSTITUTE(SUBSTITUTE(SUBSTITUTE(SUBSTITUTE(SUBSTITUTE(Saisie_Questions!G66,"&amp;","&amp;amp;"),"&lt;","&amp;lt;"),"&gt;","&amp;gt;"),CHAR(34),"&amp;quot;"),"'","&amp;apos;"))</f>
        <v/>
      </c>
      <c r="O66" s="2" t="str">
        <f>IF(Saisie_Questions!H66="","",SUBSTITUTE(SUBSTITUTE(SUBSTITUTE(SUBSTITUTE(SUBSTITUTE(Saisie_Questions!H66,"&amp;","&amp;amp;"),"&lt;","&amp;lt;"),"&gt;","&amp;gt;"),CHAR(34),"&amp;quot;"),"'","&amp;apos;"))</f>
        <v/>
      </c>
      <c r="P66" s="2" t="str">
        <f>IF(Saisie_Questions!I66="","",SUBSTITUTE(SUBSTITUTE(SUBSTITUTE(SUBSTITUTE(SUBSTITUTE(Saisie_Questions!I66,"&amp;","&amp;amp;"),"&lt;","&amp;lt;"),"&gt;","&amp;gt;"),CHAR(34),"&amp;quot;"),"'","&amp;apos;"))</f>
        <v/>
      </c>
      <c r="Q66" s="2" t="str">
        <f>IF(Saisie_Questions!J66="","",SUBSTITUTE(SUBSTITUTE(SUBSTITUTE(SUBSTITUTE(SUBSTITUTE(Saisie_Questions!J66,"&amp;","&amp;amp;"),"&lt;","&amp;lt;"),"&gt;","&amp;gt;"),CHAR(34),"&amp;quot;"),"'","&amp;apos;"))</f>
        <v/>
      </c>
      <c r="R66" s="2" t="str">
        <f>IF(Saisie_Questions!K66="","",SUBSTITUTE(SUBSTITUTE(SUBSTITUTE(SUBSTITUTE(SUBSTITUTE(Saisie_Questions!K66,"&amp;","&amp;amp;"),"&lt;","&amp;lt;"),"&gt;","&amp;gt;"),CHAR(34),"&amp;quot;"),"'","&amp;apos;"))</f>
        <v/>
      </c>
      <c r="S66" s="2" t="str">
        <f>IF(Saisie_Questions!L66="","",SUBSTITUTE(SUBSTITUTE(SUBSTITUTE(SUBSTITUTE(SUBSTITUTE(Saisie_Questions!L66,"&amp;","&amp;amp;"),"&lt;","&amp;lt;"),"&gt;","&amp;gt;"),CHAR(34),"&amp;quot;"),"'","&amp;apos;"))</f>
        <v/>
      </c>
      <c r="T66" s="2" t="b">
        <f t="shared" si="20"/>
        <v>0</v>
      </c>
      <c r="U66" s="2" t="b">
        <f t="shared" si="21"/>
        <v>0</v>
      </c>
      <c r="V66" s="2" t="b">
        <f t="shared" si="22"/>
        <v>0</v>
      </c>
      <c r="W66" s="2" t="b">
        <f t="shared" si="23"/>
        <v>0</v>
      </c>
      <c r="X66" s="2" t="b">
        <f t="shared" si="24"/>
        <v>0</v>
      </c>
      <c r="Y66" s="2" t="b">
        <f t="shared" si="25"/>
        <v>0</v>
      </c>
      <c r="Z66" s="2" t="b">
        <f t="shared" si="26"/>
        <v>0</v>
      </c>
      <c r="AA66" s="2" t="b">
        <f t="shared" si="27"/>
        <v>0</v>
      </c>
      <c r="AB66" s="2" t="str">
        <f t="shared" si="28"/>
        <v/>
      </c>
      <c r="AC66" s="2" t="str">
        <f t="shared" si="29"/>
        <v/>
      </c>
      <c r="AD66" s="2" t="str">
        <f t="shared" si="30"/>
        <v/>
      </c>
      <c r="AE66" s="2" t="str">
        <f t="shared" si="31"/>
        <v/>
      </c>
      <c r="AF66" s="2" t="str">
        <f t="shared" si="32"/>
        <v/>
      </c>
      <c r="AG66" s="2" t="str">
        <f t="shared" si="33"/>
        <v/>
      </c>
      <c r="AH66" s="2" t="str">
        <f t="shared" si="34"/>
        <v/>
      </c>
      <c r="AI66" s="2" t="str">
        <f t="shared" si="35"/>
        <v/>
      </c>
      <c r="AJ66" s="2" t="str">
        <f>IF($B66,IF(L66="","",IF($C66="qcu",IF(T66,"      &lt;respcondition continue=""Yes""&gt;&lt;conditionvar&gt;&lt;varequal respident=""RESPONSE""&gt;0&lt;/varequal&gt;&lt;/conditionvar&gt;&lt;setvar action=""Add""&gt;"&amp;$H66&amp;"&lt;/setvar&gt;&lt;/respcondition&gt;",""),IF(T66,"      &lt;respcondition continue=""Yes""&gt;&lt;conditionvar&gt;&lt;varequal respident=""RESPONSE""&gt;0&lt;/varequal&gt;&lt;/conditionvar&gt;&lt;setvar action=""Add""&gt;"&amp;(Saisie_Questions!$N66/$I66)&amp;"&lt;/setvar&gt;&lt;/respcondition&gt;","      &lt;respcondition continue=""Yes""&gt;&lt;conditionvar&gt;&lt;not&gt;&lt;varequal respident=""RESPONSE""&gt;0&lt;/varequal&gt;&lt;/not&gt;&lt;/conditionvar&gt;&lt;setvar action=""Add""&gt;"&amp;(Saisie_Questions!$N66/$I66)&amp;"&lt;/setvar&gt;&lt;/respcondition&gt;"))),"")</f>
        <v/>
      </c>
      <c r="AK66" s="2" t="str">
        <f>IF($B66,IF(M66="","",IF($C66="qcu",IF(U66,"      &lt;respcondition continue=""Yes""&gt;&lt;conditionvar&gt;&lt;varequal respident=""RESPONSE""&gt;1&lt;/varequal&gt;&lt;/conditionvar&gt;&lt;setvar action=""Add""&gt;"&amp;$H66&amp;"&lt;/setvar&gt;&lt;/respcondition&gt;",""),IF(U66,"      &lt;respcondition continue=""Yes""&gt;&lt;conditionvar&gt;&lt;varequal respident=""RESPONSE""&gt;1&lt;/varequal&gt;&lt;/conditionvar&gt;&lt;setvar action=""Add""&gt;"&amp;(Saisie_Questions!$N66/$I66)&amp;"&lt;/setvar&gt;&lt;/respcondition&gt;","      &lt;respcondition continue=""Yes""&gt;&lt;conditionvar&gt;&lt;not&gt;&lt;varequal respident=""RESPONSE""&gt;1&lt;/varequal&gt;&lt;/not&gt;&lt;/conditionvar&gt;&lt;setvar action=""Add""&gt;"&amp;(Saisie_Questions!$N66/$I66)&amp;"&lt;/setvar&gt;&lt;/respcondition&gt;"))),"")</f>
        <v/>
      </c>
      <c r="AL66" s="2" t="str">
        <f>IF($B66,IF(N66="","",IF($C66="qcu",IF(V66,"      &lt;respcondition continue=""Yes""&gt;&lt;conditionvar&gt;&lt;varequal respident=""RESPONSE""&gt;2&lt;/varequal&gt;&lt;/conditionvar&gt;&lt;setvar action=""Add""&gt;"&amp;$H66&amp;"&lt;/setvar&gt;&lt;/respcondition&gt;",""),IF(V66,"      &lt;respcondition continue=""Yes""&gt;&lt;conditionvar&gt;&lt;varequal respident=""RESPONSE""&gt;2&lt;/varequal&gt;&lt;/conditionvar&gt;&lt;setvar action=""Add""&gt;"&amp;(Saisie_Questions!$N66/$I66)&amp;"&lt;/setvar&gt;&lt;/respcondition&gt;","      &lt;respcondition continue=""Yes""&gt;&lt;conditionvar&gt;&lt;not&gt;&lt;varequal respident=""RESPONSE""&gt;2&lt;/varequal&gt;&lt;/not&gt;&lt;/conditionvar&gt;&lt;setvar action=""Add""&gt;"&amp;(Saisie_Questions!$N66/$I66)&amp;"&lt;/setvar&gt;&lt;/respcondition&gt;"))),"")</f>
        <v/>
      </c>
      <c r="AM66" s="2" t="str">
        <f>IF($B66,IF(O66="","",IF($C66="qcu",IF(W66,"      &lt;respcondition continue=""Yes""&gt;&lt;conditionvar&gt;&lt;varequal respident=""RESPONSE""&gt;3&lt;/varequal&gt;&lt;/conditionvar&gt;&lt;setvar action=""Add""&gt;"&amp;$H66&amp;"&lt;/setvar&gt;&lt;/respcondition&gt;",""),IF(W66,"      &lt;respcondition continue=""Yes""&gt;&lt;conditionvar&gt;&lt;varequal respident=""RESPONSE""&gt;3&lt;/varequal&gt;&lt;/conditionvar&gt;&lt;setvar action=""Add""&gt;"&amp;(Saisie_Questions!$N66/$I66)&amp;"&lt;/setvar&gt;&lt;/respcondition&gt;","      &lt;respcondition continue=""Yes""&gt;&lt;conditionvar&gt;&lt;not&gt;&lt;varequal respident=""RESPONSE""&gt;3&lt;/varequal&gt;&lt;/not&gt;&lt;/conditionvar&gt;&lt;setvar action=""Add""&gt;"&amp;(Saisie_Questions!$N66/$I66)&amp;"&lt;/setvar&gt;&lt;/respcondition&gt;"))),"")</f>
        <v/>
      </c>
      <c r="AN66" s="2" t="str">
        <f>IF($B66,IF(P66="","",IF($C66="qcu",IF(X66,"      &lt;respcondition continue=""Yes""&gt;&lt;conditionvar&gt;&lt;varequal respident=""RESPONSE""&gt;4&lt;/varequal&gt;&lt;/conditionvar&gt;&lt;setvar action=""Add""&gt;"&amp;$H66&amp;"&lt;/setvar&gt;&lt;/respcondition&gt;",""),IF(X66,"      &lt;respcondition continue=""Yes""&gt;&lt;conditionvar&gt;&lt;varequal respident=""RESPONSE""&gt;4&lt;/varequal&gt;&lt;/conditionvar&gt;&lt;setvar action=""Add""&gt;"&amp;(Saisie_Questions!$N66/$I66)&amp;"&lt;/setvar&gt;&lt;/respcondition&gt;","      &lt;respcondition continue=""Yes""&gt;&lt;conditionvar&gt;&lt;not&gt;&lt;varequal respident=""RESPONSE""&gt;4&lt;/varequal&gt;&lt;/not&gt;&lt;/conditionvar&gt;&lt;setvar action=""Add""&gt;"&amp;(Saisie_Questions!$N66/$I66)&amp;"&lt;/setvar&gt;&lt;/respcondition&gt;"))),"")</f>
        <v/>
      </c>
      <c r="AO66" s="2" t="str">
        <f>IF($B66,IF(Q66="","",IF($C66="qcu",IF(Y66,"      &lt;respcondition continue=""Yes""&gt;&lt;conditionvar&gt;&lt;varequal respident=""RESPONSE""&gt;5&lt;/varequal&gt;&lt;/conditionvar&gt;&lt;setvar action=""Add""&gt;"&amp;$H66&amp;"&lt;/setvar&gt;&lt;/respcondition&gt;",""),IF(Y66,"      &lt;respcondition continue=""Yes""&gt;&lt;conditionvar&gt;&lt;varequal respident=""RESPONSE""&gt;5&lt;/varequal&gt;&lt;/conditionvar&gt;&lt;setvar action=""Add""&gt;"&amp;(Saisie_Questions!$N66/$I66)&amp;"&lt;/setvar&gt;&lt;/respcondition&gt;","      &lt;respcondition continue=""Yes""&gt;&lt;conditionvar&gt;&lt;not&gt;&lt;varequal respident=""RESPONSE""&gt;5&lt;/varequal&gt;&lt;/not&gt;&lt;/conditionvar&gt;&lt;setvar action=""Add""&gt;"&amp;(Saisie_Questions!$N66/$I66)&amp;"&lt;/setvar&gt;&lt;/respcondition&gt;"))),"")</f>
        <v/>
      </c>
      <c r="AP66" s="2" t="str">
        <f>IF($B66,IF(R66="","",IF($C66="qcu",IF(Z66,"      &lt;respcondition continue=""Yes""&gt;&lt;conditionvar&gt;&lt;varequal respident=""RESPONSE""&gt;6&lt;/varequal&gt;&lt;/conditionvar&gt;&lt;setvar action=""Add""&gt;"&amp;$H66&amp;"&lt;/setvar&gt;&lt;/respcondition&gt;",""),IF(Z66,"      &lt;respcondition continue=""Yes""&gt;&lt;conditionvar&gt;&lt;varequal respident=""RESPONSE""&gt;6&lt;/varequal&gt;&lt;/conditionvar&gt;&lt;setvar action=""Add""&gt;"&amp;(Saisie_Questions!$N66/$I66)&amp;"&lt;/setvar&gt;&lt;/respcondition&gt;","      &lt;respcondition continue=""Yes""&gt;&lt;conditionvar&gt;&lt;not&gt;&lt;varequal respident=""RESPONSE""&gt;6&lt;/varequal&gt;&lt;/not&gt;&lt;/conditionvar&gt;&lt;setvar action=""Add""&gt;"&amp;(Saisie_Questions!$N66/$I66)&amp;"&lt;/setvar&gt;&lt;/respcondition&gt;"))),"")</f>
        <v/>
      </c>
      <c r="AQ66" s="2" t="str">
        <f>IF($B66,IF(S66="","",IF($C66="qcu",IF(AA66,"      &lt;respcondition continue=""Yes""&gt;&lt;conditionvar&gt;&lt;varequal respident=""RESPONSE""&gt;7&lt;/varequal&gt;&lt;/conditionvar&gt;&lt;setvar action=""Add""&gt;"&amp;$H66&amp;"&lt;/setvar&gt;&lt;/respcondition&gt;",""),IF(AA66,"      &lt;respcondition continue=""Yes""&gt;&lt;conditionvar&gt;&lt;varequal respident=""RESPONSE""&gt;7&lt;/varequal&gt;&lt;/conditionvar&gt;&lt;setvar action=""Add""&gt;"&amp;(Saisie_Questions!$N66/$I66)&amp;"&lt;/setvar&gt;&lt;/respcondition&gt;","      &lt;respcondition continue=""Yes""&gt;&lt;conditionvar&gt;&lt;not&gt;&lt;varequal respident=""RESPONSE""&gt;7&lt;/varequal&gt;&lt;/not&gt;&lt;/conditionvar&gt;&lt;setvar action=""Add""&gt;"&amp;(Saisie_Questions!$N66/$I66)&amp;"&lt;/setvar&gt;&lt;/respcondition&gt;"))),"")</f>
        <v/>
      </c>
    </row>
    <row r="67" spans="1:43" ht="18" customHeight="1">
      <c r="A67" s="2" t="str">
        <f>Saisie_Questions!A67</f>
        <v/>
      </c>
      <c r="B67" s="2" t="b">
        <f>Saisie_Questions!O67="OK"</f>
        <v>0</v>
      </c>
      <c r="C67" s="2" t="str">
        <f>LOWER(TRIM(Saisie_Questions!B67))</f>
        <v/>
      </c>
      <c r="D67" s="2" t="str">
        <f t="shared" si="18"/>
        <v>MULTIPLE CHOICE QUESTION</v>
      </c>
      <c r="E67" s="2" t="str">
        <f t="shared" si="19"/>
        <v>Multiple</v>
      </c>
      <c r="F67" s="2" t="str">
        <f>IF(A67="","",SUBSTITUTE(SUBSTITUTE(SUBSTITUTE(SUBSTITUTE(SUBSTITUTE(IF(Saisie_Questions!C67="", "Question "&amp;A67, Saisie_Questions!C67),"&amp;","&amp;amp;"),"&lt;","&amp;lt;"),"&gt;","&amp;gt;"),CHAR(34),"&amp;quot;"),"'","&amp;apos;"))</f>
        <v/>
      </c>
      <c r="G67" s="2" t="str">
        <f>IF(A67="","",SUBSTITUTE(SUBSTITUTE(SUBSTITUTE(SUBSTITUTE(SUBSTITUTE(Saisie_Questions!D67,"&amp;","&amp;amp;"),"&lt;","&amp;lt;"),"&gt;","&amp;gt;"),CHAR(34),"&amp;quot;"),"'","&amp;apos;"))</f>
        <v/>
      </c>
      <c r="H67" s="2">
        <f>Saisie_Questions!N67</f>
        <v>0</v>
      </c>
      <c r="I67" s="2">
        <f>IF(Saisie_Questions!E67="",0,1)+IF(Saisie_Questions!F67="",0,1)+IF(Saisie_Questions!G67="",0,1)+IF(Saisie_Questions!H67="",0,1)+IF(Saisie_Questions!I67="",0,1)+IF(Saisie_Questions!J67="",0,1)+IF(Saisie_Questions!K67="",0,1)+IF(Saisie_Questions!L67="",0,1)</f>
        <v>0</v>
      </c>
      <c r="J67" s="2">
        <f>Saisie_Questions!M67</f>
        <v>0</v>
      </c>
      <c r="K67" s="2" t="str">
        <f>Saisie_Questions!O67</f>
        <v/>
      </c>
      <c r="L67" s="2" t="str">
        <f>IF(Saisie_Questions!E67="","",SUBSTITUTE(SUBSTITUTE(SUBSTITUTE(SUBSTITUTE(SUBSTITUTE(Saisie_Questions!E67,"&amp;","&amp;amp;"),"&lt;","&amp;lt;"),"&gt;","&amp;gt;"),CHAR(34),"&amp;quot;"),"'","&amp;apos;"))</f>
        <v/>
      </c>
      <c r="M67" s="2" t="str">
        <f>IF(Saisie_Questions!F67="","",SUBSTITUTE(SUBSTITUTE(SUBSTITUTE(SUBSTITUTE(SUBSTITUTE(Saisie_Questions!F67,"&amp;","&amp;amp;"),"&lt;","&amp;lt;"),"&gt;","&amp;gt;"),CHAR(34),"&amp;quot;"),"'","&amp;apos;"))</f>
        <v/>
      </c>
      <c r="N67" s="2" t="str">
        <f>IF(Saisie_Questions!G67="","",SUBSTITUTE(SUBSTITUTE(SUBSTITUTE(SUBSTITUTE(SUBSTITUTE(Saisie_Questions!G67,"&amp;","&amp;amp;"),"&lt;","&amp;lt;"),"&gt;","&amp;gt;"),CHAR(34),"&amp;quot;"),"'","&amp;apos;"))</f>
        <v/>
      </c>
      <c r="O67" s="2" t="str">
        <f>IF(Saisie_Questions!H67="","",SUBSTITUTE(SUBSTITUTE(SUBSTITUTE(SUBSTITUTE(SUBSTITUTE(Saisie_Questions!H67,"&amp;","&amp;amp;"),"&lt;","&amp;lt;"),"&gt;","&amp;gt;"),CHAR(34),"&amp;quot;"),"'","&amp;apos;"))</f>
        <v/>
      </c>
      <c r="P67" s="2" t="str">
        <f>IF(Saisie_Questions!I67="","",SUBSTITUTE(SUBSTITUTE(SUBSTITUTE(SUBSTITUTE(SUBSTITUTE(Saisie_Questions!I67,"&amp;","&amp;amp;"),"&lt;","&amp;lt;"),"&gt;","&amp;gt;"),CHAR(34),"&amp;quot;"),"'","&amp;apos;"))</f>
        <v/>
      </c>
      <c r="Q67" s="2" t="str">
        <f>IF(Saisie_Questions!J67="","",SUBSTITUTE(SUBSTITUTE(SUBSTITUTE(SUBSTITUTE(SUBSTITUTE(Saisie_Questions!J67,"&amp;","&amp;amp;"),"&lt;","&amp;lt;"),"&gt;","&amp;gt;"),CHAR(34),"&amp;quot;"),"'","&amp;apos;"))</f>
        <v/>
      </c>
      <c r="R67" s="2" t="str">
        <f>IF(Saisie_Questions!K67="","",SUBSTITUTE(SUBSTITUTE(SUBSTITUTE(SUBSTITUTE(SUBSTITUTE(Saisie_Questions!K67,"&amp;","&amp;amp;"),"&lt;","&amp;lt;"),"&gt;","&amp;gt;"),CHAR(34),"&amp;quot;"),"'","&amp;apos;"))</f>
        <v/>
      </c>
      <c r="S67" s="2" t="str">
        <f>IF(Saisie_Questions!L67="","",SUBSTITUTE(SUBSTITUTE(SUBSTITUTE(SUBSTITUTE(SUBSTITUTE(Saisie_Questions!L67,"&amp;","&amp;amp;"),"&lt;","&amp;lt;"),"&gt;","&amp;gt;"),CHAR(34),"&amp;quot;"),"'","&amp;apos;"))</f>
        <v/>
      </c>
      <c r="T67" s="2" t="b">
        <f t="shared" si="20"/>
        <v>0</v>
      </c>
      <c r="U67" s="2" t="b">
        <f t="shared" si="21"/>
        <v>0</v>
      </c>
      <c r="V67" s="2" t="b">
        <f t="shared" si="22"/>
        <v>0</v>
      </c>
      <c r="W67" s="2" t="b">
        <f t="shared" si="23"/>
        <v>0</v>
      </c>
      <c r="X67" s="2" t="b">
        <f t="shared" si="24"/>
        <v>0</v>
      </c>
      <c r="Y67" s="2" t="b">
        <f t="shared" si="25"/>
        <v>0</v>
      </c>
      <c r="Z67" s="2" t="b">
        <f t="shared" si="26"/>
        <v>0</v>
      </c>
      <c r="AA67" s="2" t="b">
        <f t="shared" si="27"/>
        <v>0</v>
      </c>
      <c r="AB67" s="2" t="str">
        <f t="shared" si="28"/>
        <v/>
      </c>
      <c r="AC67" s="2" t="str">
        <f t="shared" si="29"/>
        <v/>
      </c>
      <c r="AD67" s="2" t="str">
        <f t="shared" si="30"/>
        <v/>
      </c>
      <c r="AE67" s="2" t="str">
        <f t="shared" si="31"/>
        <v/>
      </c>
      <c r="AF67" s="2" t="str">
        <f t="shared" si="32"/>
        <v/>
      </c>
      <c r="AG67" s="2" t="str">
        <f t="shared" si="33"/>
        <v/>
      </c>
      <c r="AH67" s="2" t="str">
        <f t="shared" si="34"/>
        <v/>
      </c>
      <c r="AI67" s="2" t="str">
        <f t="shared" si="35"/>
        <v/>
      </c>
      <c r="AJ67" s="2" t="str">
        <f>IF($B67,IF(L67="","",IF($C67="qcu",IF(T67,"      &lt;respcondition continue=""Yes""&gt;&lt;conditionvar&gt;&lt;varequal respident=""RESPONSE""&gt;0&lt;/varequal&gt;&lt;/conditionvar&gt;&lt;setvar action=""Add""&gt;"&amp;$H67&amp;"&lt;/setvar&gt;&lt;/respcondition&gt;",""),IF(T67,"      &lt;respcondition continue=""Yes""&gt;&lt;conditionvar&gt;&lt;varequal respident=""RESPONSE""&gt;0&lt;/varequal&gt;&lt;/conditionvar&gt;&lt;setvar action=""Add""&gt;"&amp;(Saisie_Questions!$N67/$I67)&amp;"&lt;/setvar&gt;&lt;/respcondition&gt;","      &lt;respcondition continue=""Yes""&gt;&lt;conditionvar&gt;&lt;not&gt;&lt;varequal respident=""RESPONSE""&gt;0&lt;/varequal&gt;&lt;/not&gt;&lt;/conditionvar&gt;&lt;setvar action=""Add""&gt;"&amp;(Saisie_Questions!$N67/$I67)&amp;"&lt;/setvar&gt;&lt;/respcondition&gt;"))),"")</f>
        <v/>
      </c>
      <c r="AK67" s="2" t="str">
        <f>IF($B67,IF(M67="","",IF($C67="qcu",IF(U67,"      &lt;respcondition continue=""Yes""&gt;&lt;conditionvar&gt;&lt;varequal respident=""RESPONSE""&gt;1&lt;/varequal&gt;&lt;/conditionvar&gt;&lt;setvar action=""Add""&gt;"&amp;$H67&amp;"&lt;/setvar&gt;&lt;/respcondition&gt;",""),IF(U67,"      &lt;respcondition continue=""Yes""&gt;&lt;conditionvar&gt;&lt;varequal respident=""RESPONSE""&gt;1&lt;/varequal&gt;&lt;/conditionvar&gt;&lt;setvar action=""Add""&gt;"&amp;(Saisie_Questions!$N67/$I67)&amp;"&lt;/setvar&gt;&lt;/respcondition&gt;","      &lt;respcondition continue=""Yes""&gt;&lt;conditionvar&gt;&lt;not&gt;&lt;varequal respident=""RESPONSE""&gt;1&lt;/varequal&gt;&lt;/not&gt;&lt;/conditionvar&gt;&lt;setvar action=""Add""&gt;"&amp;(Saisie_Questions!$N67/$I67)&amp;"&lt;/setvar&gt;&lt;/respcondition&gt;"))),"")</f>
        <v/>
      </c>
      <c r="AL67" s="2" t="str">
        <f>IF($B67,IF(N67="","",IF($C67="qcu",IF(V67,"      &lt;respcondition continue=""Yes""&gt;&lt;conditionvar&gt;&lt;varequal respident=""RESPONSE""&gt;2&lt;/varequal&gt;&lt;/conditionvar&gt;&lt;setvar action=""Add""&gt;"&amp;$H67&amp;"&lt;/setvar&gt;&lt;/respcondition&gt;",""),IF(V67,"      &lt;respcondition continue=""Yes""&gt;&lt;conditionvar&gt;&lt;varequal respident=""RESPONSE""&gt;2&lt;/varequal&gt;&lt;/conditionvar&gt;&lt;setvar action=""Add""&gt;"&amp;(Saisie_Questions!$N67/$I67)&amp;"&lt;/setvar&gt;&lt;/respcondition&gt;","      &lt;respcondition continue=""Yes""&gt;&lt;conditionvar&gt;&lt;not&gt;&lt;varequal respident=""RESPONSE""&gt;2&lt;/varequal&gt;&lt;/not&gt;&lt;/conditionvar&gt;&lt;setvar action=""Add""&gt;"&amp;(Saisie_Questions!$N67/$I67)&amp;"&lt;/setvar&gt;&lt;/respcondition&gt;"))),"")</f>
        <v/>
      </c>
      <c r="AM67" s="2" t="str">
        <f>IF($B67,IF(O67="","",IF($C67="qcu",IF(W67,"      &lt;respcondition continue=""Yes""&gt;&lt;conditionvar&gt;&lt;varequal respident=""RESPONSE""&gt;3&lt;/varequal&gt;&lt;/conditionvar&gt;&lt;setvar action=""Add""&gt;"&amp;$H67&amp;"&lt;/setvar&gt;&lt;/respcondition&gt;",""),IF(W67,"      &lt;respcondition continue=""Yes""&gt;&lt;conditionvar&gt;&lt;varequal respident=""RESPONSE""&gt;3&lt;/varequal&gt;&lt;/conditionvar&gt;&lt;setvar action=""Add""&gt;"&amp;(Saisie_Questions!$N67/$I67)&amp;"&lt;/setvar&gt;&lt;/respcondition&gt;","      &lt;respcondition continue=""Yes""&gt;&lt;conditionvar&gt;&lt;not&gt;&lt;varequal respident=""RESPONSE""&gt;3&lt;/varequal&gt;&lt;/not&gt;&lt;/conditionvar&gt;&lt;setvar action=""Add""&gt;"&amp;(Saisie_Questions!$N67/$I67)&amp;"&lt;/setvar&gt;&lt;/respcondition&gt;"))),"")</f>
        <v/>
      </c>
      <c r="AN67" s="2" t="str">
        <f>IF($B67,IF(P67="","",IF($C67="qcu",IF(X67,"      &lt;respcondition continue=""Yes""&gt;&lt;conditionvar&gt;&lt;varequal respident=""RESPONSE""&gt;4&lt;/varequal&gt;&lt;/conditionvar&gt;&lt;setvar action=""Add""&gt;"&amp;$H67&amp;"&lt;/setvar&gt;&lt;/respcondition&gt;",""),IF(X67,"      &lt;respcondition continue=""Yes""&gt;&lt;conditionvar&gt;&lt;varequal respident=""RESPONSE""&gt;4&lt;/varequal&gt;&lt;/conditionvar&gt;&lt;setvar action=""Add""&gt;"&amp;(Saisie_Questions!$N67/$I67)&amp;"&lt;/setvar&gt;&lt;/respcondition&gt;","      &lt;respcondition continue=""Yes""&gt;&lt;conditionvar&gt;&lt;not&gt;&lt;varequal respident=""RESPONSE""&gt;4&lt;/varequal&gt;&lt;/not&gt;&lt;/conditionvar&gt;&lt;setvar action=""Add""&gt;"&amp;(Saisie_Questions!$N67/$I67)&amp;"&lt;/setvar&gt;&lt;/respcondition&gt;"))),"")</f>
        <v/>
      </c>
      <c r="AO67" s="2" t="str">
        <f>IF($B67,IF(Q67="","",IF($C67="qcu",IF(Y67,"      &lt;respcondition continue=""Yes""&gt;&lt;conditionvar&gt;&lt;varequal respident=""RESPONSE""&gt;5&lt;/varequal&gt;&lt;/conditionvar&gt;&lt;setvar action=""Add""&gt;"&amp;$H67&amp;"&lt;/setvar&gt;&lt;/respcondition&gt;",""),IF(Y67,"      &lt;respcondition continue=""Yes""&gt;&lt;conditionvar&gt;&lt;varequal respident=""RESPONSE""&gt;5&lt;/varequal&gt;&lt;/conditionvar&gt;&lt;setvar action=""Add""&gt;"&amp;(Saisie_Questions!$N67/$I67)&amp;"&lt;/setvar&gt;&lt;/respcondition&gt;","      &lt;respcondition continue=""Yes""&gt;&lt;conditionvar&gt;&lt;not&gt;&lt;varequal respident=""RESPONSE""&gt;5&lt;/varequal&gt;&lt;/not&gt;&lt;/conditionvar&gt;&lt;setvar action=""Add""&gt;"&amp;(Saisie_Questions!$N67/$I67)&amp;"&lt;/setvar&gt;&lt;/respcondition&gt;"))),"")</f>
        <v/>
      </c>
      <c r="AP67" s="2" t="str">
        <f>IF($B67,IF(R67="","",IF($C67="qcu",IF(Z67,"      &lt;respcondition continue=""Yes""&gt;&lt;conditionvar&gt;&lt;varequal respident=""RESPONSE""&gt;6&lt;/varequal&gt;&lt;/conditionvar&gt;&lt;setvar action=""Add""&gt;"&amp;$H67&amp;"&lt;/setvar&gt;&lt;/respcondition&gt;",""),IF(Z67,"      &lt;respcondition continue=""Yes""&gt;&lt;conditionvar&gt;&lt;varequal respident=""RESPONSE""&gt;6&lt;/varequal&gt;&lt;/conditionvar&gt;&lt;setvar action=""Add""&gt;"&amp;(Saisie_Questions!$N67/$I67)&amp;"&lt;/setvar&gt;&lt;/respcondition&gt;","      &lt;respcondition continue=""Yes""&gt;&lt;conditionvar&gt;&lt;not&gt;&lt;varequal respident=""RESPONSE""&gt;6&lt;/varequal&gt;&lt;/not&gt;&lt;/conditionvar&gt;&lt;setvar action=""Add""&gt;"&amp;(Saisie_Questions!$N67/$I67)&amp;"&lt;/setvar&gt;&lt;/respcondition&gt;"))),"")</f>
        <v/>
      </c>
      <c r="AQ67" s="2" t="str">
        <f>IF($B67,IF(S67="","",IF($C67="qcu",IF(AA67,"      &lt;respcondition continue=""Yes""&gt;&lt;conditionvar&gt;&lt;varequal respident=""RESPONSE""&gt;7&lt;/varequal&gt;&lt;/conditionvar&gt;&lt;setvar action=""Add""&gt;"&amp;$H67&amp;"&lt;/setvar&gt;&lt;/respcondition&gt;",""),IF(AA67,"      &lt;respcondition continue=""Yes""&gt;&lt;conditionvar&gt;&lt;varequal respident=""RESPONSE""&gt;7&lt;/varequal&gt;&lt;/conditionvar&gt;&lt;setvar action=""Add""&gt;"&amp;(Saisie_Questions!$N67/$I67)&amp;"&lt;/setvar&gt;&lt;/respcondition&gt;","      &lt;respcondition continue=""Yes""&gt;&lt;conditionvar&gt;&lt;not&gt;&lt;varequal respident=""RESPONSE""&gt;7&lt;/varequal&gt;&lt;/not&gt;&lt;/conditionvar&gt;&lt;setvar action=""Add""&gt;"&amp;(Saisie_Questions!$N67/$I67)&amp;"&lt;/setvar&gt;&lt;/respcondition&gt;"))),"")</f>
        <v/>
      </c>
    </row>
    <row r="68" spans="1:43" ht="18" customHeight="1">
      <c r="A68" s="2" t="str">
        <f>Saisie_Questions!A68</f>
        <v/>
      </c>
      <c r="B68" s="2" t="b">
        <f>Saisie_Questions!O68="OK"</f>
        <v>0</v>
      </c>
      <c r="C68" s="2" t="str">
        <f>LOWER(TRIM(Saisie_Questions!B68))</f>
        <v/>
      </c>
      <c r="D68" s="2" t="str">
        <f t="shared" si="18"/>
        <v>MULTIPLE CHOICE QUESTION</v>
      </c>
      <c r="E68" s="2" t="str">
        <f t="shared" si="19"/>
        <v>Multiple</v>
      </c>
      <c r="F68" s="2" t="str">
        <f>IF(A68="","",SUBSTITUTE(SUBSTITUTE(SUBSTITUTE(SUBSTITUTE(SUBSTITUTE(IF(Saisie_Questions!C68="", "Question "&amp;A68, Saisie_Questions!C68),"&amp;","&amp;amp;"),"&lt;","&amp;lt;"),"&gt;","&amp;gt;"),CHAR(34),"&amp;quot;"),"'","&amp;apos;"))</f>
        <v/>
      </c>
      <c r="G68" s="2" t="str">
        <f>IF(A68="","",SUBSTITUTE(SUBSTITUTE(SUBSTITUTE(SUBSTITUTE(SUBSTITUTE(Saisie_Questions!D68,"&amp;","&amp;amp;"),"&lt;","&amp;lt;"),"&gt;","&amp;gt;"),CHAR(34),"&amp;quot;"),"'","&amp;apos;"))</f>
        <v/>
      </c>
      <c r="H68" s="2">
        <f>Saisie_Questions!N68</f>
        <v>0</v>
      </c>
      <c r="I68" s="2">
        <f>IF(Saisie_Questions!E68="",0,1)+IF(Saisie_Questions!F68="",0,1)+IF(Saisie_Questions!G68="",0,1)+IF(Saisie_Questions!H68="",0,1)+IF(Saisie_Questions!I68="",0,1)+IF(Saisie_Questions!J68="",0,1)+IF(Saisie_Questions!K68="",0,1)+IF(Saisie_Questions!L68="",0,1)</f>
        <v>0</v>
      </c>
      <c r="J68" s="2">
        <f>Saisie_Questions!M68</f>
        <v>0</v>
      </c>
      <c r="K68" s="2" t="str">
        <f>Saisie_Questions!O68</f>
        <v/>
      </c>
      <c r="L68" s="2" t="str">
        <f>IF(Saisie_Questions!E68="","",SUBSTITUTE(SUBSTITUTE(SUBSTITUTE(SUBSTITUTE(SUBSTITUTE(Saisie_Questions!E68,"&amp;","&amp;amp;"),"&lt;","&amp;lt;"),"&gt;","&amp;gt;"),CHAR(34),"&amp;quot;"),"'","&amp;apos;"))</f>
        <v/>
      </c>
      <c r="M68" s="2" t="str">
        <f>IF(Saisie_Questions!F68="","",SUBSTITUTE(SUBSTITUTE(SUBSTITUTE(SUBSTITUTE(SUBSTITUTE(Saisie_Questions!F68,"&amp;","&amp;amp;"),"&lt;","&amp;lt;"),"&gt;","&amp;gt;"),CHAR(34),"&amp;quot;"),"'","&amp;apos;"))</f>
        <v/>
      </c>
      <c r="N68" s="2" t="str">
        <f>IF(Saisie_Questions!G68="","",SUBSTITUTE(SUBSTITUTE(SUBSTITUTE(SUBSTITUTE(SUBSTITUTE(Saisie_Questions!G68,"&amp;","&amp;amp;"),"&lt;","&amp;lt;"),"&gt;","&amp;gt;"),CHAR(34),"&amp;quot;"),"'","&amp;apos;"))</f>
        <v/>
      </c>
      <c r="O68" s="2" t="str">
        <f>IF(Saisie_Questions!H68="","",SUBSTITUTE(SUBSTITUTE(SUBSTITUTE(SUBSTITUTE(SUBSTITUTE(Saisie_Questions!H68,"&amp;","&amp;amp;"),"&lt;","&amp;lt;"),"&gt;","&amp;gt;"),CHAR(34),"&amp;quot;"),"'","&amp;apos;"))</f>
        <v/>
      </c>
      <c r="P68" s="2" t="str">
        <f>IF(Saisie_Questions!I68="","",SUBSTITUTE(SUBSTITUTE(SUBSTITUTE(SUBSTITUTE(SUBSTITUTE(Saisie_Questions!I68,"&amp;","&amp;amp;"),"&lt;","&amp;lt;"),"&gt;","&amp;gt;"),CHAR(34),"&amp;quot;"),"'","&amp;apos;"))</f>
        <v/>
      </c>
      <c r="Q68" s="2" t="str">
        <f>IF(Saisie_Questions!J68="","",SUBSTITUTE(SUBSTITUTE(SUBSTITUTE(SUBSTITUTE(SUBSTITUTE(Saisie_Questions!J68,"&amp;","&amp;amp;"),"&lt;","&amp;lt;"),"&gt;","&amp;gt;"),CHAR(34),"&amp;quot;"),"'","&amp;apos;"))</f>
        <v/>
      </c>
      <c r="R68" s="2" t="str">
        <f>IF(Saisie_Questions!K68="","",SUBSTITUTE(SUBSTITUTE(SUBSTITUTE(SUBSTITUTE(SUBSTITUTE(Saisie_Questions!K68,"&amp;","&amp;amp;"),"&lt;","&amp;lt;"),"&gt;","&amp;gt;"),CHAR(34),"&amp;quot;"),"'","&amp;apos;"))</f>
        <v/>
      </c>
      <c r="S68" s="2" t="str">
        <f>IF(Saisie_Questions!L68="","",SUBSTITUTE(SUBSTITUTE(SUBSTITUTE(SUBSTITUTE(SUBSTITUTE(Saisie_Questions!L68,"&amp;","&amp;amp;"),"&lt;","&amp;lt;"),"&gt;","&amp;gt;"),CHAR(34),"&amp;quot;"),"'","&amp;apos;"))</f>
        <v/>
      </c>
      <c r="T68" s="2" t="b">
        <f t="shared" si="20"/>
        <v>0</v>
      </c>
      <c r="U68" s="2" t="b">
        <f t="shared" si="21"/>
        <v>0</v>
      </c>
      <c r="V68" s="2" t="b">
        <f t="shared" si="22"/>
        <v>0</v>
      </c>
      <c r="W68" s="2" t="b">
        <f t="shared" si="23"/>
        <v>0</v>
      </c>
      <c r="X68" s="2" t="b">
        <f t="shared" si="24"/>
        <v>0</v>
      </c>
      <c r="Y68" s="2" t="b">
        <f t="shared" si="25"/>
        <v>0</v>
      </c>
      <c r="Z68" s="2" t="b">
        <f t="shared" si="26"/>
        <v>0</v>
      </c>
      <c r="AA68" s="2" t="b">
        <f t="shared" si="27"/>
        <v>0</v>
      </c>
      <c r="AB68" s="2" t="str">
        <f t="shared" si="28"/>
        <v/>
      </c>
      <c r="AC68" s="2" t="str">
        <f t="shared" si="29"/>
        <v/>
      </c>
      <c r="AD68" s="2" t="str">
        <f t="shared" si="30"/>
        <v/>
      </c>
      <c r="AE68" s="2" t="str">
        <f t="shared" si="31"/>
        <v/>
      </c>
      <c r="AF68" s="2" t="str">
        <f t="shared" si="32"/>
        <v/>
      </c>
      <c r="AG68" s="2" t="str">
        <f t="shared" si="33"/>
        <v/>
      </c>
      <c r="AH68" s="2" t="str">
        <f t="shared" si="34"/>
        <v/>
      </c>
      <c r="AI68" s="2" t="str">
        <f t="shared" si="35"/>
        <v/>
      </c>
      <c r="AJ68" s="2" t="str">
        <f>IF($B68,IF(L68="","",IF($C68="qcu",IF(T68,"      &lt;respcondition continue=""Yes""&gt;&lt;conditionvar&gt;&lt;varequal respident=""RESPONSE""&gt;0&lt;/varequal&gt;&lt;/conditionvar&gt;&lt;setvar action=""Add""&gt;"&amp;$H68&amp;"&lt;/setvar&gt;&lt;/respcondition&gt;",""),IF(T68,"      &lt;respcondition continue=""Yes""&gt;&lt;conditionvar&gt;&lt;varequal respident=""RESPONSE""&gt;0&lt;/varequal&gt;&lt;/conditionvar&gt;&lt;setvar action=""Add""&gt;"&amp;(Saisie_Questions!$N68/$I68)&amp;"&lt;/setvar&gt;&lt;/respcondition&gt;","      &lt;respcondition continue=""Yes""&gt;&lt;conditionvar&gt;&lt;not&gt;&lt;varequal respident=""RESPONSE""&gt;0&lt;/varequal&gt;&lt;/not&gt;&lt;/conditionvar&gt;&lt;setvar action=""Add""&gt;"&amp;(Saisie_Questions!$N68/$I68)&amp;"&lt;/setvar&gt;&lt;/respcondition&gt;"))),"")</f>
        <v/>
      </c>
      <c r="AK68" s="2" t="str">
        <f>IF($B68,IF(M68="","",IF($C68="qcu",IF(U68,"      &lt;respcondition continue=""Yes""&gt;&lt;conditionvar&gt;&lt;varequal respident=""RESPONSE""&gt;1&lt;/varequal&gt;&lt;/conditionvar&gt;&lt;setvar action=""Add""&gt;"&amp;$H68&amp;"&lt;/setvar&gt;&lt;/respcondition&gt;",""),IF(U68,"      &lt;respcondition continue=""Yes""&gt;&lt;conditionvar&gt;&lt;varequal respident=""RESPONSE""&gt;1&lt;/varequal&gt;&lt;/conditionvar&gt;&lt;setvar action=""Add""&gt;"&amp;(Saisie_Questions!$N68/$I68)&amp;"&lt;/setvar&gt;&lt;/respcondition&gt;","      &lt;respcondition continue=""Yes""&gt;&lt;conditionvar&gt;&lt;not&gt;&lt;varequal respident=""RESPONSE""&gt;1&lt;/varequal&gt;&lt;/not&gt;&lt;/conditionvar&gt;&lt;setvar action=""Add""&gt;"&amp;(Saisie_Questions!$N68/$I68)&amp;"&lt;/setvar&gt;&lt;/respcondition&gt;"))),"")</f>
        <v/>
      </c>
      <c r="AL68" s="2" t="str">
        <f>IF($B68,IF(N68="","",IF($C68="qcu",IF(V68,"      &lt;respcondition continue=""Yes""&gt;&lt;conditionvar&gt;&lt;varequal respident=""RESPONSE""&gt;2&lt;/varequal&gt;&lt;/conditionvar&gt;&lt;setvar action=""Add""&gt;"&amp;$H68&amp;"&lt;/setvar&gt;&lt;/respcondition&gt;",""),IF(V68,"      &lt;respcondition continue=""Yes""&gt;&lt;conditionvar&gt;&lt;varequal respident=""RESPONSE""&gt;2&lt;/varequal&gt;&lt;/conditionvar&gt;&lt;setvar action=""Add""&gt;"&amp;(Saisie_Questions!$N68/$I68)&amp;"&lt;/setvar&gt;&lt;/respcondition&gt;","      &lt;respcondition continue=""Yes""&gt;&lt;conditionvar&gt;&lt;not&gt;&lt;varequal respident=""RESPONSE""&gt;2&lt;/varequal&gt;&lt;/not&gt;&lt;/conditionvar&gt;&lt;setvar action=""Add""&gt;"&amp;(Saisie_Questions!$N68/$I68)&amp;"&lt;/setvar&gt;&lt;/respcondition&gt;"))),"")</f>
        <v/>
      </c>
      <c r="AM68" s="2" t="str">
        <f>IF($B68,IF(O68="","",IF($C68="qcu",IF(W68,"      &lt;respcondition continue=""Yes""&gt;&lt;conditionvar&gt;&lt;varequal respident=""RESPONSE""&gt;3&lt;/varequal&gt;&lt;/conditionvar&gt;&lt;setvar action=""Add""&gt;"&amp;$H68&amp;"&lt;/setvar&gt;&lt;/respcondition&gt;",""),IF(W68,"      &lt;respcondition continue=""Yes""&gt;&lt;conditionvar&gt;&lt;varequal respident=""RESPONSE""&gt;3&lt;/varequal&gt;&lt;/conditionvar&gt;&lt;setvar action=""Add""&gt;"&amp;(Saisie_Questions!$N68/$I68)&amp;"&lt;/setvar&gt;&lt;/respcondition&gt;","      &lt;respcondition continue=""Yes""&gt;&lt;conditionvar&gt;&lt;not&gt;&lt;varequal respident=""RESPONSE""&gt;3&lt;/varequal&gt;&lt;/not&gt;&lt;/conditionvar&gt;&lt;setvar action=""Add""&gt;"&amp;(Saisie_Questions!$N68/$I68)&amp;"&lt;/setvar&gt;&lt;/respcondition&gt;"))),"")</f>
        <v/>
      </c>
      <c r="AN68" s="2" t="str">
        <f>IF($B68,IF(P68="","",IF($C68="qcu",IF(X68,"      &lt;respcondition continue=""Yes""&gt;&lt;conditionvar&gt;&lt;varequal respident=""RESPONSE""&gt;4&lt;/varequal&gt;&lt;/conditionvar&gt;&lt;setvar action=""Add""&gt;"&amp;$H68&amp;"&lt;/setvar&gt;&lt;/respcondition&gt;",""),IF(X68,"      &lt;respcondition continue=""Yes""&gt;&lt;conditionvar&gt;&lt;varequal respident=""RESPONSE""&gt;4&lt;/varequal&gt;&lt;/conditionvar&gt;&lt;setvar action=""Add""&gt;"&amp;(Saisie_Questions!$N68/$I68)&amp;"&lt;/setvar&gt;&lt;/respcondition&gt;","      &lt;respcondition continue=""Yes""&gt;&lt;conditionvar&gt;&lt;not&gt;&lt;varequal respident=""RESPONSE""&gt;4&lt;/varequal&gt;&lt;/not&gt;&lt;/conditionvar&gt;&lt;setvar action=""Add""&gt;"&amp;(Saisie_Questions!$N68/$I68)&amp;"&lt;/setvar&gt;&lt;/respcondition&gt;"))),"")</f>
        <v/>
      </c>
      <c r="AO68" s="2" t="str">
        <f>IF($B68,IF(Q68="","",IF($C68="qcu",IF(Y68,"      &lt;respcondition continue=""Yes""&gt;&lt;conditionvar&gt;&lt;varequal respident=""RESPONSE""&gt;5&lt;/varequal&gt;&lt;/conditionvar&gt;&lt;setvar action=""Add""&gt;"&amp;$H68&amp;"&lt;/setvar&gt;&lt;/respcondition&gt;",""),IF(Y68,"      &lt;respcondition continue=""Yes""&gt;&lt;conditionvar&gt;&lt;varequal respident=""RESPONSE""&gt;5&lt;/varequal&gt;&lt;/conditionvar&gt;&lt;setvar action=""Add""&gt;"&amp;(Saisie_Questions!$N68/$I68)&amp;"&lt;/setvar&gt;&lt;/respcondition&gt;","      &lt;respcondition continue=""Yes""&gt;&lt;conditionvar&gt;&lt;not&gt;&lt;varequal respident=""RESPONSE""&gt;5&lt;/varequal&gt;&lt;/not&gt;&lt;/conditionvar&gt;&lt;setvar action=""Add""&gt;"&amp;(Saisie_Questions!$N68/$I68)&amp;"&lt;/setvar&gt;&lt;/respcondition&gt;"))),"")</f>
        <v/>
      </c>
      <c r="AP68" s="2" t="str">
        <f>IF($B68,IF(R68="","",IF($C68="qcu",IF(Z68,"      &lt;respcondition continue=""Yes""&gt;&lt;conditionvar&gt;&lt;varequal respident=""RESPONSE""&gt;6&lt;/varequal&gt;&lt;/conditionvar&gt;&lt;setvar action=""Add""&gt;"&amp;$H68&amp;"&lt;/setvar&gt;&lt;/respcondition&gt;",""),IF(Z68,"      &lt;respcondition continue=""Yes""&gt;&lt;conditionvar&gt;&lt;varequal respident=""RESPONSE""&gt;6&lt;/varequal&gt;&lt;/conditionvar&gt;&lt;setvar action=""Add""&gt;"&amp;(Saisie_Questions!$N68/$I68)&amp;"&lt;/setvar&gt;&lt;/respcondition&gt;","      &lt;respcondition continue=""Yes""&gt;&lt;conditionvar&gt;&lt;not&gt;&lt;varequal respident=""RESPONSE""&gt;6&lt;/varequal&gt;&lt;/not&gt;&lt;/conditionvar&gt;&lt;setvar action=""Add""&gt;"&amp;(Saisie_Questions!$N68/$I68)&amp;"&lt;/setvar&gt;&lt;/respcondition&gt;"))),"")</f>
        <v/>
      </c>
      <c r="AQ68" s="2" t="str">
        <f>IF($B68,IF(S68="","",IF($C68="qcu",IF(AA68,"      &lt;respcondition continue=""Yes""&gt;&lt;conditionvar&gt;&lt;varequal respident=""RESPONSE""&gt;7&lt;/varequal&gt;&lt;/conditionvar&gt;&lt;setvar action=""Add""&gt;"&amp;$H68&amp;"&lt;/setvar&gt;&lt;/respcondition&gt;",""),IF(AA68,"      &lt;respcondition continue=""Yes""&gt;&lt;conditionvar&gt;&lt;varequal respident=""RESPONSE""&gt;7&lt;/varequal&gt;&lt;/conditionvar&gt;&lt;setvar action=""Add""&gt;"&amp;(Saisie_Questions!$N68/$I68)&amp;"&lt;/setvar&gt;&lt;/respcondition&gt;","      &lt;respcondition continue=""Yes""&gt;&lt;conditionvar&gt;&lt;not&gt;&lt;varequal respident=""RESPONSE""&gt;7&lt;/varequal&gt;&lt;/not&gt;&lt;/conditionvar&gt;&lt;setvar action=""Add""&gt;"&amp;(Saisie_Questions!$N68/$I68)&amp;"&lt;/setvar&gt;&lt;/respcondition&gt;"))),"")</f>
        <v/>
      </c>
    </row>
    <row r="69" spans="1:43" ht="18" customHeight="1">
      <c r="A69" s="2" t="str">
        <f>Saisie_Questions!A69</f>
        <v/>
      </c>
      <c r="B69" s="2" t="b">
        <f>Saisie_Questions!O69="OK"</f>
        <v>0</v>
      </c>
      <c r="C69" s="2" t="str">
        <f>LOWER(TRIM(Saisie_Questions!B69))</f>
        <v/>
      </c>
      <c r="D69" s="2" t="str">
        <f t="shared" ref="D69:D100" si="36">IF(C69="qcu","SINGLE CHOICE QUESTION","MULTIPLE CHOICE QUESTION")</f>
        <v>MULTIPLE CHOICE QUESTION</v>
      </c>
      <c r="E69" s="2" t="str">
        <f t="shared" ref="E69:E104" si="37">IF(C69="qcu","Single","Multiple")</f>
        <v>Multiple</v>
      </c>
      <c r="F69" s="2" t="str">
        <f>IF(A69="","",SUBSTITUTE(SUBSTITUTE(SUBSTITUTE(SUBSTITUTE(SUBSTITUTE(IF(Saisie_Questions!C69="", "Question "&amp;A69, Saisie_Questions!C69),"&amp;","&amp;amp;"),"&lt;","&amp;lt;"),"&gt;","&amp;gt;"),CHAR(34),"&amp;quot;"),"'","&amp;apos;"))</f>
        <v/>
      </c>
      <c r="G69" s="2" t="str">
        <f>IF(A69="","",SUBSTITUTE(SUBSTITUTE(SUBSTITUTE(SUBSTITUTE(SUBSTITUTE(Saisie_Questions!D69,"&amp;","&amp;amp;"),"&lt;","&amp;lt;"),"&gt;","&amp;gt;"),CHAR(34),"&amp;quot;"),"'","&amp;apos;"))</f>
        <v/>
      </c>
      <c r="H69" s="2">
        <f>Saisie_Questions!N69</f>
        <v>0</v>
      </c>
      <c r="I69" s="2">
        <f>IF(Saisie_Questions!E69="",0,1)+IF(Saisie_Questions!F69="",0,1)+IF(Saisie_Questions!G69="",0,1)+IF(Saisie_Questions!H69="",0,1)+IF(Saisie_Questions!I69="",0,1)+IF(Saisie_Questions!J69="",0,1)+IF(Saisie_Questions!K69="",0,1)+IF(Saisie_Questions!L69="",0,1)</f>
        <v>0</v>
      </c>
      <c r="J69" s="2">
        <f>Saisie_Questions!M69</f>
        <v>0</v>
      </c>
      <c r="K69" s="2" t="str">
        <f>Saisie_Questions!O69</f>
        <v/>
      </c>
      <c r="L69" s="2" t="str">
        <f>IF(Saisie_Questions!E69="","",SUBSTITUTE(SUBSTITUTE(SUBSTITUTE(SUBSTITUTE(SUBSTITUTE(Saisie_Questions!E69,"&amp;","&amp;amp;"),"&lt;","&amp;lt;"),"&gt;","&amp;gt;"),CHAR(34),"&amp;quot;"),"'","&amp;apos;"))</f>
        <v/>
      </c>
      <c r="M69" s="2" t="str">
        <f>IF(Saisie_Questions!F69="","",SUBSTITUTE(SUBSTITUTE(SUBSTITUTE(SUBSTITUTE(SUBSTITUTE(Saisie_Questions!F69,"&amp;","&amp;amp;"),"&lt;","&amp;lt;"),"&gt;","&amp;gt;"),CHAR(34),"&amp;quot;"),"'","&amp;apos;"))</f>
        <v/>
      </c>
      <c r="N69" s="2" t="str">
        <f>IF(Saisie_Questions!G69="","",SUBSTITUTE(SUBSTITUTE(SUBSTITUTE(SUBSTITUTE(SUBSTITUTE(Saisie_Questions!G69,"&amp;","&amp;amp;"),"&lt;","&amp;lt;"),"&gt;","&amp;gt;"),CHAR(34),"&amp;quot;"),"'","&amp;apos;"))</f>
        <v/>
      </c>
      <c r="O69" s="2" t="str">
        <f>IF(Saisie_Questions!H69="","",SUBSTITUTE(SUBSTITUTE(SUBSTITUTE(SUBSTITUTE(SUBSTITUTE(Saisie_Questions!H69,"&amp;","&amp;amp;"),"&lt;","&amp;lt;"),"&gt;","&amp;gt;"),CHAR(34),"&amp;quot;"),"'","&amp;apos;"))</f>
        <v/>
      </c>
      <c r="P69" s="2" t="str">
        <f>IF(Saisie_Questions!I69="","",SUBSTITUTE(SUBSTITUTE(SUBSTITUTE(SUBSTITUTE(SUBSTITUTE(Saisie_Questions!I69,"&amp;","&amp;amp;"),"&lt;","&amp;lt;"),"&gt;","&amp;gt;"),CHAR(34),"&amp;quot;"),"'","&amp;apos;"))</f>
        <v/>
      </c>
      <c r="Q69" s="2" t="str">
        <f>IF(Saisie_Questions!J69="","",SUBSTITUTE(SUBSTITUTE(SUBSTITUTE(SUBSTITUTE(SUBSTITUTE(Saisie_Questions!J69,"&amp;","&amp;amp;"),"&lt;","&amp;lt;"),"&gt;","&amp;gt;"),CHAR(34),"&amp;quot;"),"'","&amp;apos;"))</f>
        <v/>
      </c>
      <c r="R69" s="2" t="str">
        <f>IF(Saisie_Questions!K69="","",SUBSTITUTE(SUBSTITUTE(SUBSTITUTE(SUBSTITUTE(SUBSTITUTE(Saisie_Questions!K69,"&amp;","&amp;amp;"),"&lt;","&amp;lt;"),"&gt;","&amp;gt;"),CHAR(34),"&amp;quot;"),"'","&amp;apos;"))</f>
        <v/>
      </c>
      <c r="S69" s="2" t="str">
        <f>IF(Saisie_Questions!L69="","",SUBSTITUTE(SUBSTITUTE(SUBSTITUTE(SUBSTITUTE(SUBSTITUTE(Saisie_Questions!L69,"&amp;","&amp;amp;"),"&lt;","&amp;lt;"),"&gt;","&amp;gt;"),CHAR(34),"&amp;quot;"),"'","&amp;apos;"))</f>
        <v/>
      </c>
      <c r="T69" s="2" t="b">
        <f t="shared" ref="T69:T104" si="38">ISNUMBER(SEARCH(";"&amp;1&amp;";",";"&amp;$J69&amp;";"))</f>
        <v>0</v>
      </c>
      <c r="U69" s="2" t="b">
        <f t="shared" ref="U69:U104" si="39">ISNUMBER(SEARCH(";"&amp;2&amp;";",";"&amp;$J69&amp;";"))</f>
        <v>0</v>
      </c>
      <c r="V69" s="2" t="b">
        <f t="shared" ref="V69:V104" si="40">ISNUMBER(SEARCH(";"&amp;3&amp;";",";"&amp;$J69&amp;";"))</f>
        <v>0</v>
      </c>
      <c r="W69" s="2" t="b">
        <f t="shared" ref="W69:W104" si="41">ISNUMBER(SEARCH(";"&amp;4&amp;";",";"&amp;$J69&amp;";"))</f>
        <v>0</v>
      </c>
      <c r="X69" s="2" t="b">
        <f t="shared" ref="X69:X104" si="42">ISNUMBER(SEARCH(";"&amp;5&amp;";",";"&amp;$J69&amp;";"))</f>
        <v>0</v>
      </c>
      <c r="Y69" s="2" t="b">
        <f t="shared" ref="Y69:Y104" si="43">ISNUMBER(SEARCH(";"&amp;6&amp;";",";"&amp;$J69&amp;";"))</f>
        <v>0</v>
      </c>
      <c r="Z69" s="2" t="b">
        <f t="shared" ref="Z69:Z104" si="44">ISNUMBER(SEARCH(";"&amp;7&amp;";",";"&amp;$J69&amp;";"))</f>
        <v>0</v>
      </c>
      <c r="AA69" s="2" t="b">
        <f t="shared" ref="AA69:AA104" si="45">ISNUMBER(SEARCH(";"&amp;8&amp;";",";"&amp;$J69&amp;";"))</f>
        <v>0</v>
      </c>
      <c r="AB69" s="2" t="str">
        <f t="shared" ref="AB69:AB104" si="46">IF($B69,IF(L69="","","        &lt;response_label ident=""0""&gt;&lt;material&gt;&lt;mattext texttype=""text/html""&gt;"&amp;L69&amp;"&lt;/mattext&gt;&lt;/material&gt;&lt;/response_label&gt;"),"")</f>
        <v/>
      </c>
      <c r="AC69" s="2" t="str">
        <f t="shared" ref="AC69:AC104" si="47">IF($B69,IF(M69="","","        &lt;response_label ident=""1""&gt;&lt;material&gt;&lt;mattext texttype=""text/html""&gt;"&amp;M69&amp;"&lt;/mattext&gt;&lt;/material&gt;&lt;/response_label&gt;"),"")</f>
        <v/>
      </c>
      <c r="AD69" s="2" t="str">
        <f t="shared" ref="AD69:AD104" si="48">IF($B69,IF(N69="","","        &lt;response_label ident=""2""&gt;&lt;material&gt;&lt;mattext texttype=""text/html""&gt;"&amp;N69&amp;"&lt;/mattext&gt;&lt;/material&gt;&lt;/response_label&gt;"),"")</f>
        <v/>
      </c>
      <c r="AE69" s="2" t="str">
        <f t="shared" ref="AE69:AE104" si="49">IF($B69,IF(O69="","","        &lt;response_label ident=""3""&gt;&lt;material&gt;&lt;mattext texttype=""text/html""&gt;"&amp;O69&amp;"&lt;/mattext&gt;&lt;/material&gt;&lt;/response_label&gt;"),"")</f>
        <v/>
      </c>
      <c r="AF69" s="2" t="str">
        <f t="shared" ref="AF69:AF104" si="50">IF($B69,IF(P69="","","        &lt;response_label ident=""4""&gt;&lt;material&gt;&lt;mattext texttype=""text/html""&gt;"&amp;P69&amp;"&lt;/mattext&gt;&lt;/material&gt;&lt;/response_label&gt;"),"")</f>
        <v/>
      </c>
      <c r="AG69" s="2" t="str">
        <f t="shared" ref="AG69:AG104" si="51">IF($B69,IF(Q69="","","        &lt;response_label ident=""5""&gt;&lt;material&gt;&lt;mattext texttype=""text/html""&gt;"&amp;Q69&amp;"&lt;/mattext&gt;&lt;/material&gt;&lt;/response_label&gt;"),"")</f>
        <v/>
      </c>
      <c r="AH69" s="2" t="str">
        <f t="shared" ref="AH69:AH104" si="52">IF($B69,IF(R69="","","        &lt;response_label ident=""6""&gt;&lt;material&gt;&lt;mattext texttype=""text/html""&gt;"&amp;R69&amp;"&lt;/mattext&gt;&lt;/material&gt;&lt;/response_label&gt;"),"")</f>
        <v/>
      </c>
      <c r="AI69" s="2" t="str">
        <f t="shared" ref="AI69:AI104" si="53">IF($B69,IF(S69="","","        &lt;response_label ident=""7""&gt;&lt;material&gt;&lt;mattext texttype=""text/html""&gt;"&amp;S69&amp;"&lt;/mattext&gt;&lt;/material&gt;&lt;/response_label&gt;"),"")</f>
        <v/>
      </c>
      <c r="AJ69" s="2" t="str">
        <f>IF($B69,IF(L69="","",IF($C69="qcu",IF(T69,"      &lt;respcondition continue=""Yes""&gt;&lt;conditionvar&gt;&lt;varequal respident=""RESPONSE""&gt;0&lt;/varequal&gt;&lt;/conditionvar&gt;&lt;setvar action=""Add""&gt;"&amp;$H69&amp;"&lt;/setvar&gt;&lt;/respcondition&gt;",""),IF(T69,"      &lt;respcondition continue=""Yes""&gt;&lt;conditionvar&gt;&lt;varequal respident=""RESPONSE""&gt;0&lt;/varequal&gt;&lt;/conditionvar&gt;&lt;setvar action=""Add""&gt;"&amp;(Saisie_Questions!$N69/$I69)&amp;"&lt;/setvar&gt;&lt;/respcondition&gt;","      &lt;respcondition continue=""Yes""&gt;&lt;conditionvar&gt;&lt;not&gt;&lt;varequal respident=""RESPONSE""&gt;0&lt;/varequal&gt;&lt;/not&gt;&lt;/conditionvar&gt;&lt;setvar action=""Add""&gt;"&amp;(Saisie_Questions!$N69/$I69)&amp;"&lt;/setvar&gt;&lt;/respcondition&gt;"))),"")</f>
        <v/>
      </c>
      <c r="AK69" s="2" t="str">
        <f>IF($B69,IF(M69="","",IF($C69="qcu",IF(U69,"      &lt;respcondition continue=""Yes""&gt;&lt;conditionvar&gt;&lt;varequal respident=""RESPONSE""&gt;1&lt;/varequal&gt;&lt;/conditionvar&gt;&lt;setvar action=""Add""&gt;"&amp;$H69&amp;"&lt;/setvar&gt;&lt;/respcondition&gt;",""),IF(U69,"      &lt;respcondition continue=""Yes""&gt;&lt;conditionvar&gt;&lt;varequal respident=""RESPONSE""&gt;1&lt;/varequal&gt;&lt;/conditionvar&gt;&lt;setvar action=""Add""&gt;"&amp;(Saisie_Questions!$N69/$I69)&amp;"&lt;/setvar&gt;&lt;/respcondition&gt;","      &lt;respcondition continue=""Yes""&gt;&lt;conditionvar&gt;&lt;not&gt;&lt;varequal respident=""RESPONSE""&gt;1&lt;/varequal&gt;&lt;/not&gt;&lt;/conditionvar&gt;&lt;setvar action=""Add""&gt;"&amp;(Saisie_Questions!$N69/$I69)&amp;"&lt;/setvar&gt;&lt;/respcondition&gt;"))),"")</f>
        <v/>
      </c>
      <c r="AL69" s="2" t="str">
        <f>IF($B69,IF(N69="","",IF($C69="qcu",IF(V69,"      &lt;respcondition continue=""Yes""&gt;&lt;conditionvar&gt;&lt;varequal respident=""RESPONSE""&gt;2&lt;/varequal&gt;&lt;/conditionvar&gt;&lt;setvar action=""Add""&gt;"&amp;$H69&amp;"&lt;/setvar&gt;&lt;/respcondition&gt;",""),IF(V69,"      &lt;respcondition continue=""Yes""&gt;&lt;conditionvar&gt;&lt;varequal respident=""RESPONSE""&gt;2&lt;/varequal&gt;&lt;/conditionvar&gt;&lt;setvar action=""Add""&gt;"&amp;(Saisie_Questions!$N69/$I69)&amp;"&lt;/setvar&gt;&lt;/respcondition&gt;","      &lt;respcondition continue=""Yes""&gt;&lt;conditionvar&gt;&lt;not&gt;&lt;varequal respident=""RESPONSE""&gt;2&lt;/varequal&gt;&lt;/not&gt;&lt;/conditionvar&gt;&lt;setvar action=""Add""&gt;"&amp;(Saisie_Questions!$N69/$I69)&amp;"&lt;/setvar&gt;&lt;/respcondition&gt;"))),"")</f>
        <v/>
      </c>
      <c r="AM69" s="2" t="str">
        <f>IF($B69,IF(O69="","",IF($C69="qcu",IF(W69,"      &lt;respcondition continue=""Yes""&gt;&lt;conditionvar&gt;&lt;varequal respident=""RESPONSE""&gt;3&lt;/varequal&gt;&lt;/conditionvar&gt;&lt;setvar action=""Add""&gt;"&amp;$H69&amp;"&lt;/setvar&gt;&lt;/respcondition&gt;",""),IF(W69,"      &lt;respcondition continue=""Yes""&gt;&lt;conditionvar&gt;&lt;varequal respident=""RESPONSE""&gt;3&lt;/varequal&gt;&lt;/conditionvar&gt;&lt;setvar action=""Add""&gt;"&amp;(Saisie_Questions!$N69/$I69)&amp;"&lt;/setvar&gt;&lt;/respcondition&gt;","      &lt;respcondition continue=""Yes""&gt;&lt;conditionvar&gt;&lt;not&gt;&lt;varequal respident=""RESPONSE""&gt;3&lt;/varequal&gt;&lt;/not&gt;&lt;/conditionvar&gt;&lt;setvar action=""Add""&gt;"&amp;(Saisie_Questions!$N69/$I69)&amp;"&lt;/setvar&gt;&lt;/respcondition&gt;"))),"")</f>
        <v/>
      </c>
      <c r="AN69" s="2" t="str">
        <f>IF($B69,IF(P69="","",IF($C69="qcu",IF(X69,"      &lt;respcondition continue=""Yes""&gt;&lt;conditionvar&gt;&lt;varequal respident=""RESPONSE""&gt;4&lt;/varequal&gt;&lt;/conditionvar&gt;&lt;setvar action=""Add""&gt;"&amp;$H69&amp;"&lt;/setvar&gt;&lt;/respcondition&gt;",""),IF(X69,"      &lt;respcondition continue=""Yes""&gt;&lt;conditionvar&gt;&lt;varequal respident=""RESPONSE""&gt;4&lt;/varequal&gt;&lt;/conditionvar&gt;&lt;setvar action=""Add""&gt;"&amp;(Saisie_Questions!$N69/$I69)&amp;"&lt;/setvar&gt;&lt;/respcondition&gt;","      &lt;respcondition continue=""Yes""&gt;&lt;conditionvar&gt;&lt;not&gt;&lt;varequal respident=""RESPONSE""&gt;4&lt;/varequal&gt;&lt;/not&gt;&lt;/conditionvar&gt;&lt;setvar action=""Add""&gt;"&amp;(Saisie_Questions!$N69/$I69)&amp;"&lt;/setvar&gt;&lt;/respcondition&gt;"))),"")</f>
        <v/>
      </c>
      <c r="AO69" s="2" t="str">
        <f>IF($B69,IF(Q69="","",IF($C69="qcu",IF(Y69,"      &lt;respcondition continue=""Yes""&gt;&lt;conditionvar&gt;&lt;varequal respident=""RESPONSE""&gt;5&lt;/varequal&gt;&lt;/conditionvar&gt;&lt;setvar action=""Add""&gt;"&amp;$H69&amp;"&lt;/setvar&gt;&lt;/respcondition&gt;",""),IF(Y69,"      &lt;respcondition continue=""Yes""&gt;&lt;conditionvar&gt;&lt;varequal respident=""RESPONSE""&gt;5&lt;/varequal&gt;&lt;/conditionvar&gt;&lt;setvar action=""Add""&gt;"&amp;(Saisie_Questions!$N69/$I69)&amp;"&lt;/setvar&gt;&lt;/respcondition&gt;","      &lt;respcondition continue=""Yes""&gt;&lt;conditionvar&gt;&lt;not&gt;&lt;varequal respident=""RESPONSE""&gt;5&lt;/varequal&gt;&lt;/not&gt;&lt;/conditionvar&gt;&lt;setvar action=""Add""&gt;"&amp;(Saisie_Questions!$N69/$I69)&amp;"&lt;/setvar&gt;&lt;/respcondition&gt;"))),"")</f>
        <v/>
      </c>
      <c r="AP69" s="2" t="str">
        <f>IF($B69,IF(R69="","",IF($C69="qcu",IF(Z69,"      &lt;respcondition continue=""Yes""&gt;&lt;conditionvar&gt;&lt;varequal respident=""RESPONSE""&gt;6&lt;/varequal&gt;&lt;/conditionvar&gt;&lt;setvar action=""Add""&gt;"&amp;$H69&amp;"&lt;/setvar&gt;&lt;/respcondition&gt;",""),IF(Z69,"      &lt;respcondition continue=""Yes""&gt;&lt;conditionvar&gt;&lt;varequal respident=""RESPONSE""&gt;6&lt;/varequal&gt;&lt;/conditionvar&gt;&lt;setvar action=""Add""&gt;"&amp;(Saisie_Questions!$N69/$I69)&amp;"&lt;/setvar&gt;&lt;/respcondition&gt;","      &lt;respcondition continue=""Yes""&gt;&lt;conditionvar&gt;&lt;not&gt;&lt;varequal respident=""RESPONSE""&gt;6&lt;/varequal&gt;&lt;/not&gt;&lt;/conditionvar&gt;&lt;setvar action=""Add""&gt;"&amp;(Saisie_Questions!$N69/$I69)&amp;"&lt;/setvar&gt;&lt;/respcondition&gt;"))),"")</f>
        <v/>
      </c>
      <c r="AQ69" s="2" t="str">
        <f>IF($B69,IF(S69="","",IF($C69="qcu",IF(AA69,"      &lt;respcondition continue=""Yes""&gt;&lt;conditionvar&gt;&lt;varequal respident=""RESPONSE""&gt;7&lt;/varequal&gt;&lt;/conditionvar&gt;&lt;setvar action=""Add""&gt;"&amp;$H69&amp;"&lt;/setvar&gt;&lt;/respcondition&gt;",""),IF(AA69,"      &lt;respcondition continue=""Yes""&gt;&lt;conditionvar&gt;&lt;varequal respident=""RESPONSE""&gt;7&lt;/varequal&gt;&lt;/conditionvar&gt;&lt;setvar action=""Add""&gt;"&amp;(Saisie_Questions!$N69/$I69)&amp;"&lt;/setvar&gt;&lt;/respcondition&gt;","      &lt;respcondition continue=""Yes""&gt;&lt;conditionvar&gt;&lt;not&gt;&lt;varequal respident=""RESPONSE""&gt;7&lt;/varequal&gt;&lt;/not&gt;&lt;/conditionvar&gt;&lt;setvar action=""Add""&gt;"&amp;(Saisie_Questions!$N69/$I69)&amp;"&lt;/setvar&gt;&lt;/respcondition&gt;"))),"")</f>
        <v/>
      </c>
    </row>
    <row r="70" spans="1:43" ht="18" customHeight="1">
      <c r="A70" s="2" t="str">
        <f>Saisie_Questions!A70</f>
        <v/>
      </c>
      <c r="B70" s="2" t="b">
        <f>Saisie_Questions!O70="OK"</f>
        <v>0</v>
      </c>
      <c r="C70" s="2" t="str">
        <f>LOWER(TRIM(Saisie_Questions!B70))</f>
        <v/>
      </c>
      <c r="D70" s="2" t="str">
        <f t="shared" si="36"/>
        <v>MULTIPLE CHOICE QUESTION</v>
      </c>
      <c r="E70" s="2" t="str">
        <f t="shared" si="37"/>
        <v>Multiple</v>
      </c>
      <c r="F70" s="2" t="str">
        <f>IF(A70="","",SUBSTITUTE(SUBSTITUTE(SUBSTITUTE(SUBSTITUTE(SUBSTITUTE(IF(Saisie_Questions!C70="", "Question "&amp;A70, Saisie_Questions!C70),"&amp;","&amp;amp;"),"&lt;","&amp;lt;"),"&gt;","&amp;gt;"),CHAR(34),"&amp;quot;"),"'","&amp;apos;"))</f>
        <v/>
      </c>
      <c r="G70" s="2" t="str">
        <f>IF(A70="","",SUBSTITUTE(SUBSTITUTE(SUBSTITUTE(SUBSTITUTE(SUBSTITUTE(Saisie_Questions!D70,"&amp;","&amp;amp;"),"&lt;","&amp;lt;"),"&gt;","&amp;gt;"),CHAR(34),"&amp;quot;"),"'","&amp;apos;"))</f>
        <v/>
      </c>
      <c r="H70" s="2">
        <f>Saisie_Questions!N70</f>
        <v>0</v>
      </c>
      <c r="I70" s="2">
        <f>IF(Saisie_Questions!E70="",0,1)+IF(Saisie_Questions!F70="",0,1)+IF(Saisie_Questions!G70="",0,1)+IF(Saisie_Questions!H70="",0,1)+IF(Saisie_Questions!I70="",0,1)+IF(Saisie_Questions!J70="",0,1)+IF(Saisie_Questions!K70="",0,1)+IF(Saisie_Questions!L70="",0,1)</f>
        <v>0</v>
      </c>
      <c r="J70" s="2">
        <f>Saisie_Questions!M70</f>
        <v>0</v>
      </c>
      <c r="K70" s="2" t="str">
        <f>Saisie_Questions!O70</f>
        <v/>
      </c>
      <c r="L70" s="2" t="str">
        <f>IF(Saisie_Questions!E70="","",SUBSTITUTE(SUBSTITUTE(SUBSTITUTE(SUBSTITUTE(SUBSTITUTE(Saisie_Questions!E70,"&amp;","&amp;amp;"),"&lt;","&amp;lt;"),"&gt;","&amp;gt;"),CHAR(34),"&amp;quot;"),"'","&amp;apos;"))</f>
        <v/>
      </c>
      <c r="M70" s="2" t="str">
        <f>IF(Saisie_Questions!F70="","",SUBSTITUTE(SUBSTITUTE(SUBSTITUTE(SUBSTITUTE(SUBSTITUTE(Saisie_Questions!F70,"&amp;","&amp;amp;"),"&lt;","&amp;lt;"),"&gt;","&amp;gt;"),CHAR(34),"&amp;quot;"),"'","&amp;apos;"))</f>
        <v/>
      </c>
      <c r="N70" s="2" t="str">
        <f>IF(Saisie_Questions!G70="","",SUBSTITUTE(SUBSTITUTE(SUBSTITUTE(SUBSTITUTE(SUBSTITUTE(Saisie_Questions!G70,"&amp;","&amp;amp;"),"&lt;","&amp;lt;"),"&gt;","&amp;gt;"),CHAR(34),"&amp;quot;"),"'","&amp;apos;"))</f>
        <v/>
      </c>
      <c r="O70" s="2" t="str">
        <f>IF(Saisie_Questions!H70="","",SUBSTITUTE(SUBSTITUTE(SUBSTITUTE(SUBSTITUTE(SUBSTITUTE(Saisie_Questions!H70,"&amp;","&amp;amp;"),"&lt;","&amp;lt;"),"&gt;","&amp;gt;"),CHAR(34),"&amp;quot;"),"'","&amp;apos;"))</f>
        <v/>
      </c>
      <c r="P70" s="2" t="str">
        <f>IF(Saisie_Questions!I70="","",SUBSTITUTE(SUBSTITUTE(SUBSTITUTE(SUBSTITUTE(SUBSTITUTE(Saisie_Questions!I70,"&amp;","&amp;amp;"),"&lt;","&amp;lt;"),"&gt;","&amp;gt;"),CHAR(34),"&amp;quot;"),"'","&amp;apos;"))</f>
        <v/>
      </c>
      <c r="Q70" s="2" t="str">
        <f>IF(Saisie_Questions!J70="","",SUBSTITUTE(SUBSTITUTE(SUBSTITUTE(SUBSTITUTE(SUBSTITUTE(Saisie_Questions!J70,"&amp;","&amp;amp;"),"&lt;","&amp;lt;"),"&gt;","&amp;gt;"),CHAR(34),"&amp;quot;"),"'","&amp;apos;"))</f>
        <v/>
      </c>
      <c r="R70" s="2" t="str">
        <f>IF(Saisie_Questions!K70="","",SUBSTITUTE(SUBSTITUTE(SUBSTITUTE(SUBSTITUTE(SUBSTITUTE(Saisie_Questions!K70,"&amp;","&amp;amp;"),"&lt;","&amp;lt;"),"&gt;","&amp;gt;"),CHAR(34),"&amp;quot;"),"'","&amp;apos;"))</f>
        <v/>
      </c>
      <c r="S70" s="2" t="str">
        <f>IF(Saisie_Questions!L70="","",SUBSTITUTE(SUBSTITUTE(SUBSTITUTE(SUBSTITUTE(SUBSTITUTE(Saisie_Questions!L70,"&amp;","&amp;amp;"),"&lt;","&amp;lt;"),"&gt;","&amp;gt;"),CHAR(34),"&amp;quot;"),"'","&amp;apos;"))</f>
        <v/>
      </c>
      <c r="T70" s="2" t="b">
        <f t="shared" si="38"/>
        <v>0</v>
      </c>
      <c r="U70" s="2" t="b">
        <f t="shared" si="39"/>
        <v>0</v>
      </c>
      <c r="V70" s="2" t="b">
        <f t="shared" si="40"/>
        <v>0</v>
      </c>
      <c r="W70" s="2" t="b">
        <f t="shared" si="41"/>
        <v>0</v>
      </c>
      <c r="X70" s="2" t="b">
        <f t="shared" si="42"/>
        <v>0</v>
      </c>
      <c r="Y70" s="2" t="b">
        <f t="shared" si="43"/>
        <v>0</v>
      </c>
      <c r="Z70" s="2" t="b">
        <f t="shared" si="44"/>
        <v>0</v>
      </c>
      <c r="AA70" s="2" t="b">
        <f t="shared" si="45"/>
        <v>0</v>
      </c>
      <c r="AB70" s="2" t="str">
        <f t="shared" si="46"/>
        <v/>
      </c>
      <c r="AC70" s="2" t="str">
        <f t="shared" si="47"/>
        <v/>
      </c>
      <c r="AD70" s="2" t="str">
        <f t="shared" si="48"/>
        <v/>
      </c>
      <c r="AE70" s="2" t="str">
        <f t="shared" si="49"/>
        <v/>
      </c>
      <c r="AF70" s="2" t="str">
        <f t="shared" si="50"/>
        <v/>
      </c>
      <c r="AG70" s="2" t="str">
        <f t="shared" si="51"/>
        <v/>
      </c>
      <c r="AH70" s="2" t="str">
        <f t="shared" si="52"/>
        <v/>
      </c>
      <c r="AI70" s="2" t="str">
        <f t="shared" si="53"/>
        <v/>
      </c>
      <c r="AJ70" s="2" t="str">
        <f>IF($B70,IF(L70="","",IF($C70="qcu",IF(T70,"      &lt;respcondition continue=""Yes""&gt;&lt;conditionvar&gt;&lt;varequal respident=""RESPONSE""&gt;0&lt;/varequal&gt;&lt;/conditionvar&gt;&lt;setvar action=""Add""&gt;"&amp;$H70&amp;"&lt;/setvar&gt;&lt;/respcondition&gt;",""),IF(T70,"      &lt;respcondition continue=""Yes""&gt;&lt;conditionvar&gt;&lt;varequal respident=""RESPONSE""&gt;0&lt;/varequal&gt;&lt;/conditionvar&gt;&lt;setvar action=""Add""&gt;"&amp;(Saisie_Questions!$N70/$I70)&amp;"&lt;/setvar&gt;&lt;/respcondition&gt;","      &lt;respcondition continue=""Yes""&gt;&lt;conditionvar&gt;&lt;not&gt;&lt;varequal respident=""RESPONSE""&gt;0&lt;/varequal&gt;&lt;/not&gt;&lt;/conditionvar&gt;&lt;setvar action=""Add""&gt;"&amp;(Saisie_Questions!$N70/$I70)&amp;"&lt;/setvar&gt;&lt;/respcondition&gt;"))),"")</f>
        <v/>
      </c>
      <c r="AK70" s="2" t="str">
        <f>IF($B70,IF(M70="","",IF($C70="qcu",IF(U70,"      &lt;respcondition continue=""Yes""&gt;&lt;conditionvar&gt;&lt;varequal respident=""RESPONSE""&gt;1&lt;/varequal&gt;&lt;/conditionvar&gt;&lt;setvar action=""Add""&gt;"&amp;$H70&amp;"&lt;/setvar&gt;&lt;/respcondition&gt;",""),IF(U70,"      &lt;respcondition continue=""Yes""&gt;&lt;conditionvar&gt;&lt;varequal respident=""RESPONSE""&gt;1&lt;/varequal&gt;&lt;/conditionvar&gt;&lt;setvar action=""Add""&gt;"&amp;(Saisie_Questions!$N70/$I70)&amp;"&lt;/setvar&gt;&lt;/respcondition&gt;","      &lt;respcondition continue=""Yes""&gt;&lt;conditionvar&gt;&lt;not&gt;&lt;varequal respident=""RESPONSE""&gt;1&lt;/varequal&gt;&lt;/not&gt;&lt;/conditionvar&gt;&lt;setvar action=""Add""&gt;"&amp;(Saisie_Questions!$N70/$I70)&amp;"&lt;/setvar&gt;&lt;/respcondition&gt;"))),"")</f>
        <v/>
      </c>
      <c r="AL70" s="2" t="str">
        <f>IF($B70,IF(N70="","",IF($C70="qcu",IF(V70,"      &lt;respcondition continue=""Yes""&gt;&lt;conditionvar&gt;&lt;varequal respident=""RESPONSE""&gt;2&lt;/varequal&gt;&lt;/conditionvar&gt;&lt;setvar action=""Add""&gt;"&amp;$H70&amp;"&lt;/setvar&gt;&lt;/respcondition&gt;",""),IF(V70,"      &lt;respcondition continue=""Yes""&gt;&lt;conditionvar&gt;&lt;varequal respident=""RESPONSE""&gt;2&lt;/varequal&gt;&lt;/conditionvar&gt;&lt;setvar action=""Add""&gt;"&amp;(Saisie_Questions!$N70/$I70)&amp;"&lt;/setvar&gt;&lt;/respcondition&gt;","      &lt;respcondition continue=""Yes""&gt;&lt;conditionvar&gt;&lt;not&gt;&lt;varequal respident=""RESPONSE""&gt;2&lt;/varequal&gt;&lt;/not&gt;&lt;/conditionvar&gt;&lt;setvar action=""Add""&gt;"&amp;(Saisie_Questions!$N70/$I70)&amp;"&lt;/setvar&gt;&lt;/respcondition&gt;"))),"")</f>
        <v/>
      </c>
      <c r="AM70" s="2" t="str">
        <f>IF($B70,IF(O70="","",IF($C70="qcu",IF(W70,"      &lt;respcondition continue=""Yes""&gt;&lt;conditionvar&gt;&lt;varequal respident=""RESPONSE""&gt;3&lt;/varequal&gt;&lt;/conditionvar&gt;&lt;setvar action=""Add""&gt;"&amp;$H70&amp;"&lt;/setvar&gt;&lt;/respcondition&gt;",""),IF(W70,"      &lt;respcondition continue=""Yes""&gt;&lt;conditionvar&gt;&lt;varequal respident=""RESPONSE""&gt;3&lt;/varequal&gt;&lt;/conditionvar&gt;&lt;setvar action=""Add""&gt;"&amp;(Saisie_Questions!$N70/$I70)&amp;"&lt;/setvar&gt;&lt;/respcondition&gt;","      &lt;respcondition continue=""Yes""&gt;&lt;conditionvar&gt;&lt;not&gt;&lt;varequal respident=""RESPONSE""&gt;3&lt;/varequal&gt;&lt;/not&gt;&lt;/conditionvar&gt;&lt;setvar action=""Add""&gt;"&amp;(Saisie_Questions!$N70/$I70)&amp;"&lt;/setvar&gt;&lt;/respcondition&gt;"))),"")</f>
        <v/>
      </c>
      <c r="AN70" s="2" t="str">
        <f>IF($B70,IF(P70="","",IF($C70="qcu",IF(X70,"      &lt;respcondition continue=""Yes""&gt;&lt;conditionvar&gt;&lt;varequal respident=""RESPONSE""&gt;4&lt;/varequal&gt;&lt;/conditionvar&gt;&lt;setvar action=""Add""&gt;"&amp;$H70&amp;"&lt;/setvar&gt;&lt;/respcondition&gt;",""),IF(X70,"      &lt;respcondition continue=""Yes""&gt;&lt;conditionvar&gt;&lt;varequal respident=""RESPONSE""&gt;4&lt;/varequal&gt;&lt;/conditionvar&gt;&lt;setvar action=""Add""&gt;"&amp;(Saisie_Questions!$N70/$I70)&amp;"&lt;/setvar&gt;&lt;/respcondition&gt;","      &lt;respcondition continue=""Yes""&gt;&lt;conditionvar&gt;&lt;not&gt;&lt;varequal respident=""RESPONSE""&gt;4&lt;/varequal&gt;&lt;/not&gt;&lt;/conditionvar&gt;&lt;setvar action=""Add""&gt;"&amp;(Saisie_Questions!$N70/$I70)&amp;"&lt;/setvar&gt;&lt;/respcondition&gt;"))),"")</f>
        <v/>
      </c>
      <c r="AO70" s="2" t="str">
        <f>IF($B70,IF(Q70="","",IF($C70="qcu",IF(Y70,"      &lt;respcondition continue=""Yes""&gt;&lt;conditionvar&gt;&lt;varequal respident=""RESPONSE""&gt;5&lt;/varequal&gt;&lt;/conditionvar&gt;&lt;setvar action=""Add""&gt;"&amp;$H70&amp;"&lt;/setvar&gt;&lt;/respcondition&gt;",""),IF(Y70,"      &lt;respcondition continue=""Yes""&gt;&lt;conditionvar&gt;&lt;varequal respident=""RESPONSE""&gt;5&lt;/varequal&gt;&lt;/conditionvar&gt;&lt;setvar action=""Add""&gt;"&amp;(Saisie_Questions!$N70/$I70)&amp;"&lt;/setvar&gt;&lt;/respcondition&gt;","      &lt;respcondition continue=""Yes""&gt;&lt;conditionvar&gt;&lt;not&gt;&lt;varequal respident=""RESPONSE""&gt;5&lt;/varequal&gt;&lt;/not&gt;&lt;/conditionvar&gt;&lt;setvar action=""Add""&gt;"&amp;(Saisie_Questions!$N70/$I70)&amp;"&lt;/setvar&gt;&lt;/respcondition&gt;"))),"")</f>
        <v/>
      </c>
      <c r="AP70" s="2" t="str">
        <f>IF($B70,IF(R70="","",IF($C70="qcu",IF(Z70,"      &lt;respcondition continue=""Yes""&gt;&lt;conditionvar&gt;&lt;varequal respident=""RESPONSE""&gt;6&lt;/varequal&gt;&lt;/conditionvar&gt;&lt;setvar action=""Add""&gt;"&amp;$H70&amp;"&lt;/setvar&gt;&lt;/respcondition&gt;",""),IF(Z70,"      &lt;respcondition continue=""Yes""&gt;&lt;conditionvar&gt;&lt;varequal respident=""RESPONSE""&gt;6&lt;/varequal&gt;&lt;/conditionvar&gt;&lt;setvar action=""Add""&gt;"&amp;(Saisie_Questions!$N70/$I70)&amp;"&lt;/setvar&gt;&lt;/respcondition&gt;","      &lt;respcondition continue=""Yes""&gt;&lt;conditionvar&gt;&lt;not&gt;&lt;varequal respident=""RESPONSE""&gt;6&lt;/varequal&gt;&lt;/not&gt;&lt;/conditionvar&gt;&lt;setvar action=""Add""&gt;"&amp;(Saisie_Questions!$N70/$I70)&amp;"&lt;/setvar&gt;&lt;/respcondition&gt;"))),"")</f>
        <v/>
      </c>
      <c r="AQ70" s="2" t="str">
        <f>IF($B70,IF(S70="","",IF($C70="qcu",IF(AA70,"      &lt;respcondition continue=""Yes""&gt;&lt;conditionvar&gt;&lt;varequal respident=""RESPONSE""&gt;7&lt;/varequal&gt;&lt;/conditionvar&gt;&lt;setvar action=""Add""&gt;"&amp;$H70&amp;"&lt;/setvar&gt;&lt;/respcondition&gt;",""),IF(AA70,"      &lt;respcondition continue=""Yes""&gt;&lt;conditionvar&gt;&lt;varequal respident=""RESPONSE""&gt;7&lt;/varequal&gt;&lt;/conditionvar&gt;&lt;setvar action=""Add""&gt;"&amp;(Saisie_Questions!$N70/$I70)&amp;"&lt;/setvar&gt;&lt;/respcondition&gt;","      &lt;respcondition continue=""Yes""&gt;&lt;conditionvar&gt;&lt;not&gt;&lt;varequal respident=""RESPONSE""&gt;7&lt;/varequal&gt;&lt;/not&gt;&lt;/conditionvar&gt;&lt;setvar action=""Add""&gt;"&amp;(Saisie_Questions!$N70/$I70)&amp;"&lt;/setvar&gt;&lt;/respcondition&gt;"))),"")</f>
        <v/>
      </c>
    </row>
    <row r="71" spans="1:43" ht="18" customHeight="1">
      <c r="A71" s="2" t="str">
        <f>Saisie_Questions!A71</f>
        <v/>
      </c>
      <c r="B71" s="2" t="b">
        <f>Saisie_Questions!O71="OK"</f>
        <v>0</v>
      </c>
      <c r="C71" s="2" t="str">
        <f>LOWER(TRIM(Saisie_Questions!B71))</f>
        <v/>
      </c>
      <c r="D71" s="2" t="str">
        <f t="shared" si="36"/>
        <v>MULTIPLE CHOICE QUESTION</v>
      </c>
      <c r="E71" s="2" t="str">
        <f t="shared" si="37"/>
        <v>Multiple</v>
      </c>
      <c r="F71" s="2" t="str">
        <f>IF(A71="","",SUBSTITUTE(SUBSTITUTE(SUBSTITUTE(SUBSTITUTE(SUBSTITUTE(IF(Saisie_Questions!C71="", "Question "&amp;A71, Saisie_Questions!C71),"&amp;","&amp;amp;"),"&lt;","&amp;lt;"),"&gt;","&amp;gt;"),CHAR(34),"&amp;quot;"),"'","&amp;apos;"))</f>
        <v/>
      </c>
      <c r="G71" s="2" t="str">
        <f>IF(A71="","",SUBSTITUTE(SUBSTITUTE(SUBSTITUTE(SUBSTITUTE(SUBSTITUTE(Saisie_Questions!D71,"&amp;","&amp;amp;"),"&lt;","&amp;lt;"),"&gt;","&amp;gt;"),CHAR(34),"&amp;quot;"),"'","&amp;apos;"))</f>
        <v/>
      </c>
      <c r="H71" s="2">
        <f>Saisie_Questions!N71</f>
        <v>0</v>
      </c>
      <c r="I71" s="2">
        <f>IF(Saisie_Questions!E71="",0,1)+IF(Saisie_Questions!F71="",0,1)+IF(Saisie_Questions!G71="",0,1)+IF(Saisie_Questions!H71="",0,1)+IF(Saisie_Questions!I71="",0,1)+IF(Saisie_Questions!J71="",0,1)+IF(Saisie_Questions!K71="",0,1)+IF(Saisie_Questions!L71="",0,1)</f>
        <v>0</v>
      </c>
      <c r="J71" s="2">
        <f>Saisie_Questions!M71</f>
        <v>0</v>
      </c>
      <c r="K71" s="2" t="str">
        <f>Saisie_Questions!O71</f>
        <v/>
      </c>
      <c r="L71" s="2" t="str">
        <f>IF(Saisie_Questions!E71="","",SUBSTITUTE(SUBSTITUTE(SUBSTITUTE(SUBSTITUTE(SUBSTITUTE(Saisie_Questions!E71,"&amp;","&amp;amp;"),"&lt;","&amp;lt;"),"&gt;","&amp;gt;"),CHAR(34),"&amp;quot;"),"'","&amp;apos;"))</f>
        <v/>
      </c>
      <c r="M71" s="2" t="str">
        <f>IF(Saisie_Questions!F71="","",SUBSTITUTE(SUBSTITUTE(SUBSTITUTE(SUBSTITUTE(SUBSTITUTE(Saisie_Questions!F71,"&amp;","&amp;amp;"),"&lt;","&amp;lt;"),"&gt;","&amp;gt;"),CHAR(34),"&amp;quot;"),"'","&amp;apos;"))</f>
        <v/>
      </c>
      <c r="N71" s="2" t="str">
        <f>IF(Saisie_Questions!G71="","",SUBSTITUTE(SUBSTITUTE(SUBSTITUTE(SUBSTITUTE(SUBSTITUTE(Saisie_Questions!G71,"&amp;","&amp;amp;"),"&lt;","&amp;lt;"),"&gt;","&amp;gt;"),CHAR(34),"&amp;quot;"),"'","&amp;apos;"))</f>
        <v/>
      </c>
      <c r="O71" s="2" t="str">
        <f>IF(Saisie_Questions!H71="","",SUBSTITUTE(SUBSTITUTE(SUBSTITUTE(SUBSTITUTE(SUBSTITUTE(Saisie_Questions!H71,"&amp;","&amp;amp;"),"&lt;","&amp;lt;"),"&gt;","&amp;gt;"),CHAR(34),"&amp;quot;"),"'","&amp;apos;"))</f>
        <v/>
      </c>
      <c r="P71" s="2" t="str">
        <f>IF(Saisie_Questions!I71="","",SUBSTITUTE(SUBSTITUTE(SUBSTITUTE(SUBSTITUTE(SUBSTITUTE(Saisie_Questions!I71,"&amp;","&amp;amp;"),"&lt;","&amp;lt;"),"&gt;","&amp;gt;"),CHAR(34),"&amp;quot;"),"'","&amp;apos;"))</f>
        <v/>
      </c>
      <c r="Q71" s="2" t="str">
        <f>IF(Saisie_Questions!J71="","",SUBSTITUTE(SUBSTITUTE(SUBSTITUTE(SUBSTITUTE(SUBSTITUTE(Saisie_Questions!J71,"&amp;","&amp;amp;"),"&lt;","&amp;lt;"),"&gt;","&amp;gt;"),CHAR(34),"&amp;quot;"),"'","&amp;apos;"))</f>
        <v/>
      </c>
      <c r="R71" s="2" t="str">
        <f>IF(Saisie_Questions!K71="","",SUBSTITUTE(SUBSTITUTE(SUBSTITUTE(SUBSTITUTE(SUBSTITUTE(Saisie_Questions!K71,"&amp;","&amp;amp;"),"&lt;","&amp;lt;"),"&gt;","&amp;gt;"),CHAR(34),"&amp;quot;"),"'","&amp;apos;"))</f>
        <v/>
      </c>
      <c r="S71" s="2" t="str">
        <f>IF(Saisie_Questions!L71="","",SUBSTITUTE(SUBSTITUTE(SUBSTITUTE(SUBSTITUTE(SUBSTITUTE(Saisie_Questions!L71,"&amp;","&amp;amp;"),"&lt;","&amp;lt;"),"&gt;","&amp;gt;"),CHAR(34),"&amp;quot;"),"'","&amp;apos;"))</f>
        <v/>
      </c>
      <c r="T71" s="2" t="b">
        <f t="shared" si="38"/>
        <v>0</v>
      </c>
      <c r="U71" s="2" t="b">
        <f t="shared" si="39"/>
        <v>0</v>
      </c>
      <c r="V71" s="2" t="b">
        <f t="shared" si="40"/>
        <v>0</v>
      </c>
      <c r="W71" s="2" t="b">
        <f t="shared" si="41"/>
        <v>0</v>
      </c>
      <c r="X71" s="2" t="b">
        <f t="shared" si="42"/>
        <v>0</v>
      </c>
      <c r="Y71" s="2" t="b">
        <f t="shared" si="43"/>
        <v>0</v>
      </c>
      <c r="Z71" s="2" t="b">
        <f t="shared" si="44"/>
        <v>0</v>
      </c>
      <c r="AA71" s="2" t="b">
        <f t="shared" si="45"/>
        <v>0</v>
      </c>
      <c r="AB71" s="2" t="str">
        <f t="shared" si="46"/>
        <v/>
      </c>
      <c r="AC71" s="2" t="str">
        <f t="shared" si="47"/>
        <v/>
      </c>
      <c r="AD71" s="2" t="str">
        <f t="shared" si="48"/>
        <v/>
      </c>
      <c r="AE71" s="2" t="str">
        <f t="shared" si="49"/>
        <v/>
      </c>
      <c r="AF71" s="2" t="str">
        <f t="shared" si="50"/>
        <v/>
      </c>
      <c r="AG71" s="2" t="str">
        <f t="shared" si="51"/>
        <v/>
      </c>
      <c r="AH71" s="2" t="str">
        <f t="shared" si="52"/>
        <v/>
      </c>
      <c r="AI71" s="2" t="str">
        <f t="shared" si="53"/>
        <v/>
      </c>
      <c r="AJ71" s="2" t="str">
        <f>IF($B71,IF(L71="","",IF($C71="qcu",IF(T71,"      &lt;respcondition continue=""Yes""&gt;&lt;conditionvar&gt;&lt;varequal respident=""RESPONSE""&gt;0&lt;/varequal&gt;&lt;/conditionvar&gt;&lt;setvar action=""Add""&gt;"&amp;$H71&amp;"&lt;/setvar&gt;&lt;/respcondition&gt;",""),IF(T71,"      &lt;respcondition continue=""Yes""&gt;&lt;conditionvar&gt;&lt;varequal respident=""RESPONSE""&gt;0&lt;/varequal&gt;&lt;/conditionvar&gt;&lt;setvar action=""Add""&gt;"&amp;(Saisie_Questions!$N71/$I71)&amp;"&lt;/setvar&gt;&lt;/respcondition&gt;","      &lt;respcondition continue=""Yes""&gt;&lt;conditionvar&gt;&lt;not&gt;&lt;varequal respident=""RESPONSE""&gt;0&lt;/varequal&gt;&lt;/not&gt;&lt;/conditionvar&gt;&lt;setvar action=""Add""&gt;"&amp;(Saisie_Questions!$N71/$I71)&amp;"&lt;/setvar&gt;&lt;/respcondition&gt;"))),"")</f>
        <v/>
      </c>
      <c r="AK71" s="2" t="str">
        <f>IF($B71,IF(M71="","",IF($C71="qcu",IF(U71,"      &lt;respcondition continue=""Yes""&gt;&lt;conditionvar&gt;&lt;varequal respident=""RESPONSE""&gt;1&lt;/varequal&gt;&lt;/conditionvar&gt;&lt;setvar action=""Add""&gt;"&amp;$H71&amp;"&lt;/setvar&gt;&lt;/respcondition&gt;",""),IF(U71,"      &lt;respcondition continue=""Yes""&gt;&lt;conditionvar&gt;&lt;varequal respident=""RESPONSE""&gt;1&lt;/varequal&gt;&lt;/conditionvar&gt;&lt;setvar action=""Add""&gt;"&amp;(Saisie_Questions!$N71/$I71)&amp;"&lt;/setvar&gt;&lt;/respcondition&gt;","      &lt;respcondition continue=""Yes""&gt;&lt;conditionvar&gt;&lt;not&gt;&lt;varequal respident=""RESPONSE""&gt;1&lt;/varequal&gt;&lt;/not&gt;&lt;/conditionvar&gt;&lt;setvar action=""Add""&gt;"&amp;(Saisie_Questions!$N71/$I71)&amp;"&lt;/setvar&gt;&lt;/respcondition&gt;"))),"")</f>
        <v/>
      </c>
      <c r="AL71" s="2" t="str">
        <f>IF($B71,IF(N71="","",IF($C71="qcu",IF(V71,"      &lt;respcondition continue=""Yes""&gt;&lt;conditionvar&gt;&lt;varequal respident=""RESPONSE""&gt;2&lt;/varequal&gt;&lt;/conditionvar&gt;&lt;setvar action=""Add""&gt;"&amp;$H71&amp;"&lt;/setvar&gt;&lt;/respcondition&gt;",""),IF(V71,"      &lt;respcondition continue=""Yes""&gt;&lt;conditionvar&gt;&lt;varequal respident=""RESPONSE""&gt;2&lt;/varequal&gt;&lt;/conditionvar&gt;&lt;setvar action=""Add""&gt;"&amp;(Saisie_Questions!$N71/$I71)&amp;"&lt;/setvar&gt;&lt;/respcondition&gt;","      &lt;respcondition continue=""Yes""&gt;&lt;conditionvar&gt;&lt;not&gt;&lt;varequal respident=""RESPONSE""&gt;2&lt;/varequal&gt;&lt;/not&gt;&lt;/conditionvar&gt;&lt;setvar action=""Add""&gt;"&amp;(Saisie_Questions!$N71/$I71)&amp;"&lt;/setvar&gt;&lt;/respcondition&gt;"))),"")</f>
        <v/>
      </c>
      <c r="AM71" s="2" t="str">
        <f>IF($B71,IF(O71="","",IF($C71="qcu",IF(W71,"      &lt;respcondition continue=""Yes""&gt;&lt;conditionvar&gt;&lt;varequal respident=""RESPONSE""&gt;3&lt;/varequal&gt;&lt;/conditionvar&gt;&lt;setvar action=""Add""&gt;"&amp;$H71&amp;"&lt;/setvar&gt;&lt;/respcondition&gt;",""),IF(W71,"      &lt;respcondition continue=""Yes""&gt;&lt;conditionvar&gt;&lt;varequal respident=""RESPONSE""&gt;3&lt;/varequal&gt;&lt;/conditionvar&gt;&lt;setvar action=""Add""&gt;"&amp;(Saisie_Questions!$N71/$I71)&amp;"&lt;/setvar&gt;&lt;/respcondition&gt;","      &lt;respcondition continue=""Yes""&gt;&lt;conditionvar&gt;&lt;not&gt;&lt;varequal respident=""RESPONSE""&gt;3&lt;/varequal&gt;&lt;/not&gt;&lt;/conditionvar&gt;&lt;setvar action=""Add""&gt;"&amp;(Saisie_Questions!$N71/$I71)&amp;"&lt;/setvar&gt;&lt;/respcondition&gt;"))),"")</f>
        <v/>
      </c>
      <c r="AN71" s="2" t="str">
        <f>IF($B71,IF(P71="","",IF($C71="qcu",IF(X71,"      &lt;respcondition continue=""Yes""&gt;&lt;conditionvar&gt;&lt;varequal respident=""RESPONSE""&gt;4&lt;/varequal&gt;&lt;/conditionvar&gt;&lt;setvar action=""Add""&gt;"&amp;$H71&amp;"&lt;/setvar&gt;&lt;/respcondition&gt;",""),IF(X71,"      &lt;respcondition continue=""Yes""&gt;&lt;conditionvar&gt;&lt;varequal respident=""RESPONSE""&gt;4&lt;/varequal&gt;&lt;/conditionvar&gt;&lt;setvar action=""Add""&gt;"&amp;(Saisie_Questions!$N71/$I71)&amp;"&lt;/setvar&gt;&lt;/respcondition&gt;","      &lt;respcondition continue=""Yes""&gt;&lt;conditionvar&gt;&lt;not&gt;&lt;varequal respident=""RESPONSE""&gt;4&lt;/varequal&gt;&lt;/not&gt;&lt;/conditionvar&gt;&lt;setvar action=""Add""&gt;"&amp;(Saisie_Questions!$N71/$I71)&amp;"&lt;/setvar&gt;&lt;/respcondition&gt;"))),"")</f>
        <v/>
      </c>
      <c r="AO71" s="2" t="str">
        <f>IF($B71,IF(Q71="","",IF($C71="qcu",IF(Y71,"      &lt;respcondition continue=""Yes""&gt;&lt;conditionvar&gt;&lt;varequal respident=""RESPONSE""&gt;5&lt;/varequal&gt;&lt;/conditionvar&gt;&lt;setvar action=""Add""&gt;"&amp;$H71&amp;"&lt;/setvar&gt;&lt;/respcondition&gt;",""),IF(Y71,"      &lt;respcondition continue=""Yes""&gt;&lt;conditionvar&gt;&lt;varequal respident=""RESPONSE""&gt;5&lt;/varequal&gt;&lt;/conditionvar&gt;&lt;setvar action=""Add""&gt;"&amp;(Saisie_Questions!$N71/$I71)&amp;"&lt;/setvar&gt;&lt;/respcondition&gt;","      &lt;respcondition continue=""Yes""&gt;&lt;conditionvar&gt;&lt;not&gt;&lt;varequal respident=""RESPONSE""&gt;5&lt;/varequal&gt;&lt;/not&gt;&lt;/conditionvar&gt;&lt;setvar action=""Add""&gt;"&amp;(Saisie_Questions!$N71/$I71)&amp;"&lt;/setvar&gt;&lt;/respcondition&gt;"))),"")</f>
        <v/>
      </c>
      <c r="AP71" s="2" t="str">
        <f>IF($B71,IF(R71="","",IF($C71="qcu",IF(Z71,"      &lt;respcondition continue=""Yes""&gt;&lt;conditionvar&gt;&lt;varequal respident=""RESPONSE""&gt;6&lt;/varequal&gt;&lt;/conditionvar&gt;&lt;setvar action=""Add""&gt;"&amp;$H71&amp;"&lt;/setvar&gt;&lt;/respcondition&gt;",""),IF(Z71,"      &lt;respcondition continue=""Yes""&gt;&lt;conditionvar&gt;&lt;varequal respident=""RESPONSE""&gt;6&lt;/varequal&gt;&lt;/conditionvar&gt;&lt;setvar action=""Add""&gt;"&amp;(Saisie_Questions!$N71/$I71)&amp;"&lt;/setvar&gt;&lt;/respcondition&gt;","      &lt;respcondition continue=""Yes""&gt;&lt;conditionvar&gt;&lt;not&gt;&lt;varequal respident=""RESPONSE""&gt;6&lt;/varequal&gt;&lt;/not&gt;&lt;/conditionvar&gt;&lt;setvar action=""Add""&gt;"&amp;(Saisie_Questions!$N71/$I71)&amp;"&lt;/setvar&gt;&lt;/respcondition&gt;"))),"")</f>
        <v/>
      </c>
      <c r="AQ71" s="2" t="str">
        <f>IF($B71,IF(S71="","",IF($C71="qcu",IF(AA71,"      &lt;respcondition continue=""Yes""&gt;&lt;conditionvar&gt;&lt;varequal respident=""RESPONSE""&gt;7&lt;/varequal&gt;&lt;/conditionvar&gt;&lt;setvar action=""Add""&gt;"&amp;$H71&amp;"&lt;/setvar&gt;&lt;/respcondition&gt;",""),IF(AA71,"      &lt;respcondition continue=""Yes""&gt;&lt;conditionvar&gt;&lt;varequal respident=""RESPONSE""&gt;7&lt;/varequal&gt;&lt;/conditionvar&gt;&lt;setvar action=""Add""&gt;"&amp;(Saisie_Questions!$N71/$I71)&amp;"&lt;/setvar&gt;&lt;/respcondition&gt;","      &lt;respcondition continue=""Yes""&gt;&lt;conditionvar&gt;&lt;not&gt;&lt;varequal respident=""RESPONSE""&gt;7&lt;/varequal&gt;&lt;/not&gt;&lt;/conditionvar&gt;&lt;setvar action=""Add""&gt;"&amp;(Saisie_Questions!$N71/$I71)&amp;"&lt;/setvar&gt;&lt;/respcondition&gt;"))),"")</f>
        <v/>
      </c>
    </row>
    <row r="72" spans="1:43" ht="18" customHeight="1">
      <c r="A72" s="2" t="str">
        <f>Saisie_Questions!A72</f>
        <v/>
      </c>
      <c r="B72" s="2" t="b">
        <f>Saisie_Questions!O72="OK"</f>
        <v>0</v>
      </c>
      <c r="C72" s="2" t="str">
        <f>LOWER(TRIM(Saisie_Questions!B72))</f>
        <v/>
      </c>
      <c r="D72" s="2" t="str">
        <f t="shared" si="36"/>
        <v>MULTIPLE CHOICE QUESTION</v>
      </c>
      <c r="E72" s="2" t="str">
        <f t="shared" si="37"/>
        <v>Multiple</v>
      </c>
      <c r="F72" s="2" t="str">
        <f>IF(A72="","",SUBSTITUTE(SUBSTITUTE(SUBSTITUTE(SUBSTITUTE(SUBSTITUTE(IF(Saisie_Questions!C72="", "Question "&amp;A72, Saisie_Questions!C72),"&amp;","&amp;amp;"),"&lt;","&amp;lt;"),"&gt;","&amp;gt;"),CHAR(34),"&amp;quot;"),"'","&amp;apos;"))</f>
        <v/>
      </c>
      <c r="G72" s="2" t="str">
        <f>IF(A72="","",SUBSTITUTE(SUBSTITUTE(SUBSTITUTE(SUBSTITUTE(SUBSTITUTE(Saisie_Questions!D72,"&amp;","&amp;amp;"),"&lt;","&amp;lt;"),"&gt;","&amp;gt;"),CHAR(34),"&amp;quot;"),"'","&amp;apos;"))</f>
        <v/>
      </c>
      <c r="H72" s="2">
        <f>Saisie_Questions!N72</f>
        <v>0</v>
      </c>
      <c r="I72" s="2">
        <f>IF(Saisie_Questions!E72="",0,1)+IF(Saisie_Questions!F72="",0,1)+IF(Saisie_Questions!G72="",0,1)+IF(Saisie_Questions!H72="",0,1)+IF(Saisie_Questions!I72="",0,1)+IF(Saisie_Questions!J72="",0,1)+IF(Saisie_Questions!K72="",0,1)+IF(Saisie_Questions!L72="",0,1)</f>
        <v>0</v>
      </c>
      <c r="J72" s="2">
        <f>Saisie_Questions!M72</f>
        <v>0</v>
      </c>
      <c r="K72" s="2" t="str">
        <f>Saisie_Questions!O72</f>
        <v/>
      </c>
      <c r="L72" s="2" t="str">
        <f>IF(Saisie_Questions!E72="","",SUBSTITUTE(SUBSTITUTE(SUBSTITUTE(SUBSTITUTE(SUBSTITUTE(Saisie_Questions!E72,"&amp;","&amp;amp;"),"&lt;","&amp;lt;"),"&gt;","&amp;gt;"),CHAR(34),"&amp;quot;"),"'","&amp;apos;"))</f>
        <v/>
      </c>
      <c r="M72" s="2" t="str">
        <f>IF(Saisie_Questions!F72="","",SUBSTITUTE(SUBSTITUTE(SUBSTITUTE(SUBSTITUTE(SUBSTITUTE(Saisie_Questions!F72,"&amp;","&amp;amp;"),"&lt;","&amp;lt;"),"&gt;","&amp;gt;"),CHAR(34),"&amp;quot;"),"'","&amp;apos;"))</f>
        <v/>
      </c>
      <c r="N72" s="2" t="str">
        <f>IF(Saisie_Questions!G72="","",SUBSTITUTE(SUBSTITUTE(SUBSTITUTE(SUBSTITUTE(SUBSTITUTE(Saisie_Questions!G72,"&amp;","&amp;amp;"),"&lt;","&amp;lt;"),"&gt;","&amp;gt;"),CHAR(34),"&amp;quot;"),"'","&amp;apos;"))</f>
        <v/>
      </c>
      <c r="O72" s="2" t="str">
        <f>IF(Saisie_Questions!H72="","",SUBSTITUTE(SUBSTITUTE(SUBSTITUTE(SUBSTITUTE(SUBSTITUTE(Saisie_Questions!H72,"&amp;","&amp;amp;"),"&lt;","&amp;lt;"),"&gt;","&amp;gt;"),CHAR(34),"&amp;quot;"),"'","&amp;apos;"))</f>
        <v/>
      </c>
      <c r="P72" s="2" t="str">
        <f>IF(Saisie_Questions!I72="","",SUBSTITUTE(SUBSTITUTE(SUBSTITUTE(SUBSTITUTE(SUBSTITUTE(Saisie_Questions!I72,"&amp;","&amp;amp;"),"&lt;","&amp;lt;"),"&gt;","&amp;gt;"),CHAR(34),"&amp;quot;"),"'","&amp;apos;"))</f>
        <v/>
      </c>
      <c r="Q72" s="2" t="str">
        <f>IF(Saisie_Questions!J72="","",SUBSTITUTE(SUBSTITUTE(SUBSTITUTE(SUBSTITUTE(SUBSTITUTE(Saisie_Questions!J72,"&amp;","&amp;amp;"),"&lt;","&amp;lt;"),"&gt;","&amp;gt;"),CHAR(34),"&amp;quot;"),"'","&amp;apos;"))</f>
        <v/>
      </c>
      <c r="R72" s="2" t="str">
        <f>IF(Saisie_Questions!K72="","",SUBSTITUTE(SUBSTITUTE(SUBSTITUTE(SUBSTITUTE(SUBSTITUTE(Saisie_Questions!K72,"&amp;","&amp;amp;"),"&lt;","&amp;lt;"),"&gt;","&amp;gt;"),CHAR(34),"&amp;quot;"),"'","&amp;apos;"))</f>
        <v/>
      </c>
      <c r="S72" s="2" t="str">
        <f>IF(Saisie_Questions!L72="","",SUBSTITUTE(SUBSTITUTE(SUBSTITUTE(SUBSTITUTE(SUBSTITUTE(Saisie_Questions!L72,"&amp;","&amp;amp;"),"&lt;","&amp;lt;"),"&gt;","&amp;gt;"),CHAR(34),"&amp;quot;"),"'","&amp;apos;"))</f>
        <v/>
      </c>
      <c r="T72" s="2" t="b">
        <f t="shared" si="38"/>
        <v>0</v>
      </c>
      <c r="U72" s="2" t="b">
        <f t="shared" si="39"/>
        <v>0</v>
      </c>
      <c r="V72" s="2" t="b">
        <f t="shared" si="40"/>
        <v>0</v>
      </c>
      <c r="W72" s="2" t="b">
        <f t="shared" si="41"/>
        <v>0</v>
      </c>
      <c r="X72" s="2" t="b">
        <f t="shared" si="42"/>
        <v>0</v>
      </c>
      <c r="Y72" s="2" t="b">
        <f t="shared" si="43"/>
        <v>0</v>
      </c>
      <c r="Z72" s="2" t="b">
        <f t="shared" si="44"/>
        <v>0</v>
      </c>
      <c r="AA72" s="2" t="b">
        <f t="shared" si="45"/>
        <v>0</v>
      </c>
      <c r="AB72" s="2" t="str">
        <f t="shared" si="46"/>
        <v/>
      </c>
      <c r="AC72" s="2" t="str">
        <f t="shared" si="47"/>
        <v/>
      </c>
      <c r="AD72" s="2" t="str">
        <f t="shared" si="48"/>
        <v/>
      </c>
      <c r="AE72" s="2" t="str">
        <f t="shared" si="49"/>
        <v/>
      </c>
      <c r="AF72" s="2" t="str">
        <f t="shared" si="50"/>
        <v/>
      </c>
      <c r="AG72" s="2" t="str">
        <f t="shared" si="51"/>
        <v/>
      </c>
      <c r="AH72" s="2" t="str">
        <f t="shared" si="52"/>
        <v/>
      </c>
      <c r="AI72" s="2" t="str">
        <f t="shared" si="53"/>
        <v/>
      </c>
      <c r="AJ72" s="2" t="str">
        <f>IF($B72,IF(L72="","",IF($C72="qcu",IF(T72,"      &lt;respcondition continue=""Yes""&gt;&lt;conditionvar&gt;&lt;varequal respident=""RESPONSE""&gt;0&lt;/varequal&gt;&lt;/conditionvar&gt;&lt;setvar action=""Add""&gt;"&amp;$H72&amp;"&lt;/setvar&gt;&lt;/respcondition&gt;",""),IF(T72,"      &lt;respcondition continue=""Yes""&gt;&lt;conditionvar&gt;&lt;varequal respident=""RESPONSE""&gt;0&lt;/varequal&gt;&lt;/conditionvar&gt;&lt;setvar action=""Add""&gt;"&amp;(Saisie_Questions!$N72/$I72)&amp;"&lt;/setvar&gt;&lt;/respcondition&gt;","      &lt;respcondition continue=""Yes""&gt;&lt;conditionvar&gt;&lt;not&gt;&lt;varequal respident=""RESPONSE""&gt;0&lt;/varequal&gt;&lt;/not&gt;&lt;/conditionvar&gt;&lt;setvar action=""Add""&gt;"&amp;(Saisie_Questions!$N72/$I72)&amp;"&lt;/setvar&gt;&lt;/respcondition&gt;"))),"")</f>
        <v/>
      </c>
      <c r="AK72" s="2" t="str">
        <f>IF($B72,IF(M72="","",IF($C72="qcu",IF(U72,"      &lt;respcondition continue=""Yes""&gt;&lt;conditionvar&gt;&lt;varequal respident=""RESPONSE""&gt;1&lt;/varequal&gt;&lt;/conditionvar&gt;&lt;setvar action=""Add""&gt;"&amp;$H72&amp;"&lt;/setvar&gt;&lt;/respcondition&gt;",""),IF(U72,"      &lt;respcondition continue=""Yes""&gt;&lt;conditionvar&gt;&lt;varequal respident=""RESPONSE""&gt;1&lt;/varequal&gt;&lt;/conditionvar&gt;&lt;setvar action=""Add""&gt;"&amp;(Saisie_Questions!$N72/$I72)&amp;"&lt;/setvar&gt;&lt;/respcondition&gt;","      &lt;respcondition continue=""Yes""&gt;&lt;conditionvar&gt;&lt;not&gt;&lt;varequal respident=""RESPONSE""&gt;1&lt;/varequal&gt;&lt;/not&gt;&lt;/conditionvar&gt;&lt;setvar action=""Add""&gt;"&amp;(Saisie_Questions!$N72/$I72)&amp;"&lt;/setvar&gt;&lt;/respcondition&gt;"))),"")</f>
        <v/>
      </c>
      <c r="AL72" s="2" t="str">
        <f>IF($B72,IF(N72="","",IF($C72="qcu",IF(V72,"      &lt;respcondition continue=""Yes""&gt;&lt;conditionvar&gt;&lt;varequal respident=""RESPONSE""&gt;2&lt;/varequal&gt;&lt;/conditionvar&gt;&lt;setvar action=""Add""&gt;"&amp;$H72&amp;"&lt;/setvar&gt;&lt;/respcondition&gt;",""),IF(V72,"      &lt;respcondition continue=""Yes""&gt;&lt;conditionvar&gt;&lt;varequal respident=""RESPONSE""&gt;2&lt;/varequal&gt;&lt;/conditionvar&gt;&lt;setvar action=""Add""&gt;"&amp;(Saisie_Questions!$N72/$I72)&amp;"&lt;/setvar&gt;&lt;/respcondition&gt;","      &lt;respcondition continue=""Yes""&gt;&lt;conditionvar&gt;&lt;not&gt;&lt;varequal respident=""RESPONSE""&gt;2&lt;/varequal&gt;&lt;/not&gt;&lt;/conditionvar&gt;&lt;setvar action=""Add""&gt;"&amp;(Saisie_Questions!$N72/$I72)&amp;"&lt;/setvar&gt;&lt;/respcondition&gt;"))),"")</f>
        <v/>
      </c>
      <c r="AM72" s="2" t="str">
        <f>IF($B72,IF(O72="","",IF($C72="qcu",IF(W72,"      &lt;respcondition continue=""Yes""&gt;&lt;conditionvar&gt;&lt;varequal respident=""RESPONSE""&gt;3&lt;/varequal&gt;&lt;/conditionvar&gt;&lt;setvar action=""Add""&gt;"&amp;$H72&amp;"&lt;/setvar&gt;&lt;/respcondition&gt;",""),IF(W72,"      &lt;respcondition continue=""Yes""&gt;&lt;conditionvar&gt;&lt;varequal respident=""RESPONSE""&gt;3&lt;/varequal&gt;&lt;/conditionvar&gt;&lt;setvar action=""Add""&gt;"&amp;(Saisie_Questions!$N72/$I72)&amp;"&lt;/setvar&gt;&lt;/respcondition&gt;","      &lt;respcondition continue=""Yes""&gt;&lt;conditionvar&gt;&lt;not&gt;&lt;varequal respident=""RESPONSE""&gt;3&lt;/varequal&gt;&lt;/not&gt;&lt;/conditionvar&gt;&lt;setvar action=""Add""&gt;"&amp;(Saisie_Questions!$N72/$I72)&amp;"&lt;/setvar&gt;&lt;/respcondition&gt;"))),"")</f>
        <v/>
      </c>
      <c r="AN72" s="2" t="str">
        <f>IF($B72,IF(P72="","",IF($C72="qcu",IF(X72,"      &lt;respcondition continue=""Yes""&gt;&lt;conditionvar&gt;&lt;varequal respident=""RESPONSE""&gt;4&lt;/varequal&gt;&lt;/conditionvar&gt;&lt;setvar action=""Add""&gt;"&amp;$H72&amp;"&lt;/setvar&gt;&lt;/respcondition&gt;",""),IF(X72,"      &lt;respcondition continue=""Yes""&gt;&lt;conditionvar&gt;&lt;varequal respident=""RESPONSE""&gt;4&lt;/varequal&gt;&lt;/conditionvar&gt;&lt;setvar action=""Add""&gt;"&amp;(Saisie_Questions!$N72/$I72)&amp;"&lt;/setvar&gt;&lt;/respcondition&gt;","      &lt;respcondition continue=""Yes""&gt;&lt;conditionvar&gt;&lt;not&gt;&lt;varequal respident=""RESPONSE""&gt;4&lt;/varequal&gt;&lt;/not&gt;&lt;/conditionvar&gt;&lt;setvar action=""Add""&gt;"&amp;(Saisie_Questions!$N72/$I72)&amp;"&lt;/setvar&gt;&lt;/respcondition&gt;"))),"")</f>
        <v/>
      </c>
      <c r="AO72" s="2" t="str">
        <f>IF($B72,IF(Q72="","",IF($C72="qcu",IF(Y72,"      &lt;respcondition continue=""Yes""&gt;&lt;conditionvar&gt;&lt;varequal respident=""RESPONSE""&gt;5&lt;/varequal&gt;&lt;/conditionvar&gt;&lt;setvar action=""Add""&gt;"&amp;$H72&amp;"&lt;/setvar&gt;&lt;/respcondition&gt;",""),IF(Y72,"      &lt;respcondition continue=""Yes""&gt;&lt;conditionvar&gt;&lt;varequal respident=""RESPONSE""&gt;5&lt;/varequal&gt;&lt;/conditionvar&gt;&lt;setvar action=""Add""&gt;"&amp;(Saisie_Questions!$N72/$I72)&amp;"&lt;/setvar&gt;&lt;/respcondition&gt;","      &lt;respcondition continue=""Yes""&gt;&lt;conditionvar&gt;&lt;not&gt;&lt;varequal respident=""RESPONSE""&gt;5&lt;/varequal&gt;&lt;/not&gt;&lt;/conditionvar&gt;&lt;setvar action=""Add""&gt;"&amp;(Saisie_Questions!$N72/$I72)&amp;"&lt;/setvar&gt;&lt;/respcondition&gt;"))),"")</f>
        <v/>
      </c>
      <c r="AP72" s="2" t="str">
        <f>IF($B72,IF(R72="","",IF($C72="qcu",IF(Z72,"      &lt;respcondition continue=""Yes""&gt;&lt;conditionvar&gt;&lt;varequal respident=""RESPONSE""&gt;6&lt;/varequal&gt;&lt;/conditionvar&gt;&lt;setvar action=""Add""&gt;"&amp;$H72&amp;"&lt;/setvar&gt;&lt;/respcondition&gt;",""),IF(Z72,"      &lt;respcondition continue=""Yes""&gt;&lt;conditionvar&gt;&lt;varequal respident=""RESPONSE""&gt;6&lt;/varequal&gt;&lt;/conditionvar&gt;&lt;setvar action=""Add""&gt;"&amp;(Saisie_Questions!$N72/$I72)&amp;"&lt;/setvar&gt;&lt;/respcondition&gt;","      &lt;respcondition continue=""Yes""&gt;&lt;conditionvar&gt;&lt;not&gt;&lt;varequal respident=""RESPONSE""&gt;6&lt;/varequal&gt;&lt;/not&gt;&lt;/conditionvar&gt;&lt;setvar action=""Add""&gt;"&amp;(Saisie_Questions!$N72/$I72)&amp;"&lt;/setvar&gt;&lt;/respcondition&gt;"))),"")</f>
        <v/>
      </c>
      <c r="AQ72" s="2" t="str">
        <f>IF($B72,IF(S72="","",IF($C72="qcu",IF(AA72,"      &lt;respcondition continue=""Yes""&gt;&lt;conditionvar&gt;&lt;varequal respident=""RESPONSE""&gt;7&lt;/varequal&gt;&lt;/conditionvar&gt;&lt;setvar action=""Add""&gt;"&amp;$H72&amp;"&lt;/setvar&gt;&lt;/respcondition&gt;",""),IF(AA72,"      &lt;respcondition continue=""Yes""&gt;&lt;conditionvar&gt;&lt;varequal respident=""RESPONSE""&gt;7&lt;/varequal&gt;&lt;/conditionvar&gt;&lt;setvar action=""Add""&gt;"&amp;(Saisie_Questions!$N72/$I72)&amp;"&lt;/setvar&gt;&lt;/respcondition&gt;","      &lt;respcondition continue=""Yes""&gt;&lt;conditionvar&gt;&lt;not&gt;&lt;varequal respident=""RESPONSE""&gt;7&lt;/varequal&gt;&lt;/not&gt;&lt;/conditionvar&gt;&lt;setvar action=""Add""&gt;"&amp;(Saisie_Questions!$N72/$I72)&amp;"&lt;/setvar&gt;&lt;/respcondition&gt;"))),"")</f>
        <v/>
      </c>
    </row>
    <row r="73" spans="1:43" ht="18" customHeight="1">
      <c r="A73" s="2" t="str">
        <f>Saisie_Questions!A73</f>
        <v/>
      </c>
      <c r="B73" s="2" t="b">
        <f>Saisie_Questions!O73="OK"</f>
        <v>0</v>
      </c>
      <c r="C73" s="2" t="str">
        <f>LOWER(TRIM(Saisie_Questions!B73))</f>
        <v/>
      </c>
      <c r="D73" s="2" t="str">
        <f t="shared" si="36"/>
        <v>MULTIPLE CHOICE QUESTION</v>
      </c>
      <c r="E73" s="2" t="str">
        <f t="shared" si="37"/>
        <v>Multiple</v>
      </c>
      <c r="F73" s="2" t="str">
        <f>IF(A73="","",SUBSTITUTE(SUBSTITUTE(SUBSTITUTE(SUBSTITUTE(SUBSTITUTE(IF(Saisie_Questions!C73="", "Question "&amp;A73, Saisie_Questions!C73),"&amp;","&amp;amp;"),"&lt;","&amp;lt;"),"&gt;","&amp;gt;"),CHAR(34),"&amp;quot;"),"'","&amp;apos;"))</f>
        <v/>
      </c>
      <c r="G73" s="2" t="str">
        <f>IF(A73="","",SUBSTITUTE(SUBSTITUTE(SUBSTITUTE(SUBSTITUTE(SUBSTITUTE(Saisie_Questions!D73,"&amp;","&amp;amp;"),"&lt;","&amp;lt;"),"&gt;","&amp;gt;"),CHAR(34),"&amp;quot;"),"'","&amp;apos;"))</f>
        <v/>
      </c>
      <c r="H73" s="2">
        <f>Saisie_Questions!N73</f>
        <v>0</v>
      </c>
      <c r="I73" s="2">
        <f>IF(Saisie_Questions!E73="",0,1)+IF(Saisie_Questions!F73="",0,1)+IF(Saisie_Questions!G73="",0,1)+IF(Saisie_Questions!H73="",0,1)+IF(Saisie_Questions!I73="",0,1)+IF(Saisie_Questions!J73="",0,1)+IF(Saisie_Questions!K73="",0,1)+IF(Saisie_Questions!L73="",0,1)</f>
        <v>0</v>
      </c>
      <c r="J73" s="2">
        <f>Saisie_Questions!M73</f>
        <v>0</v>
      </c>
      <c r="K73" s="2" t="str">
        <f>Saisie_Questions!O73</f>
        <v/>
      </c>
      <c r="L73" s="2" t="str">
        <f>IF(Saisie_Questions!E73="","",SUBSTITUTE(SUBSTITUTE(SUBSTITUTE(SUBSTITUTE(SUBSTITUTE(Saisie_Questions!E73,"&amp;","&amp;amp;"),"&lt;","&amp;lt;"),"&gt;","&amp;gt;"),CHAR(34),"&amp;quot;"),"'","&amp;apos;"))</f>
        <v/>
      </c>
      <c r="M73" s="2" t="str">
        <f>IF(Saisie_Questions!F73="","",SUBSTITUTE(SUBSTITUTE(SUBSTITUTE(SUBSTITUTE(SUBSTITUTE(Saisie_Questions!F73,"&amp;","&amp;amp;"),"&lt;","&amp;lt;"),"&gt;","&amp;gt;"),CHAR(34),"&amp;quot;"),"'","&amp;apos;"))</f>
        <v/>
      </c>
      <c r="N73" s="2" t="str">
        <f>IF(Saisie_Questions!G73="","",SUBSTITUTE(SUBSTITUTE(SUBSTITUTE(SUBSTITUTE(SUBSTITUTE(Saisie_Questions!G73,"&amp;","&amp;amp;"),"&lt;","&amp;lt;"),"&gt;","&amp;gt;"),CHAR(34),"&amp;quot;"),"'","&amp;apos;"))</f>
        <v/>
      </c>
      <c r="O73" s="2" t="str">
        <f>IF(Saisie_Questions!H73="","",SUBSTITUTE(SUBSTITUTE(SUBSTITUTE(SUBSTITUTE(SUBSTITUTE(Saisie_Questions!H73,"&amp;","&amp;amp;"),"&lt;","&amp;lt;"),"&gt;","&amp;gt;"),CHAR(34),"&amp;quot;"),"'","&amp;apos;"))</f>
        <v/>
      </c>
      <c r="P73" s="2" t="str">
        <f>IF(Saisie_Questions!I73="","",SUBSTITUTE(SUBSTITUTE(SUBSTITUTE(SUBSTITUTE(SUBSTITUTE(Saisie_Questions!I73,"&amp;","&amp;amp;"),"&lt;","&amp;lt;"),"&gt;","&amp;gt;"),CHAR(34),"&amp;quot;"),"'","&amp;apos;"))</f>
        <v/>
      </c>
      <c r="Q73" s="2" t="str">
        <f>IF(Saisie_Questions!J73="","",SUBSTITUTE(SUBSTITUTE(SUBSTITUTE(SUBSTITUTE(SUBSTITUTE(Saisie_Questions!J73,"&amp;","&amp;amp;"),"&lt;","&amp;lt;"),"&gt;","&amp;gt;"),CHAR(34),"&amp;quot;"),"'","&amp;apos;"))</f>
        <v/>
      </c>
      <c r="R73" s="2" t="str">
        <f>IF(Saisie_Questions!K73="","",SUBSTITUTE(SUBSTITUTE(SUBSTITUTE(SUBSTITUTE(SUBSTITUTE(Saisie_Questions!K73,"&amp;","&amp;amp;"),"&lt;","&amp;lt;"),"&gt;","&amp;gt;"),CHAR(34),"&amp;quot;"),"'","&amp;apos;"))</f>
        <v/>
      </c>
      <c r="S73" s="2" t="str">
        <f>IF(Saisie_Questions!L73="","",SUBSTITUTE(SUBSTITUTE(SUBSTITUTE(SUBSTITUTE(SUBSTITUTE(Saisie_Questions!L73,"&amp;","&amp;amp;"),"&lt;","&amp;lt;"),"&gt;","&amp;gt;"),CHAR(34),"&amp;quot;"),"'","&amp;apos;"))</f>
        <v/>
      </c>
      <c r="T73" s="2" t="b">
        <f t="shared" si="38"/>
        <v>0</v>
      </c>
      <c r="U73" s="2" t="b">
        <f t="shared" si="39"/>
        <v>0</v>
      </c>
      <c r="V73" s="2" t="b">
        <f t="shared" si="40"/>
        <v>0</v>
      </c>
      <c r="W73" s="2" t="b">
        <f t="shared" si="41"/>
        <v>0</v>
      </c>
      <c r="X73" s="2" t="b">
        <f t="shared" si="42"/>
        <v>0</v>
      </c>
      <c r="Y73" s="2" t="b">
        <f t="shared" si="43"/>
        <v>0</v>
      </c>
      <c r="Z73" s="2" t="b">
        <f t="shared" si="44"/>
        <v>0</v>
      </c>
      <c r="AA73" s="2" t="b">
        <f t="shared" si="45"/>
        <v>0</v>
      </c>
      <c r="AB73" s="2" t="str">
        <f t="shared" si="46"/>
        <v/>
      </c>
      <c r="AC73" s="2" t="str">
        <f t="shared" si="47"/>
        <v/>
      </c>
      <c r="AD73" s="2" t="str">
        <f t="shared" si="48"/>
        <v/>
      </c>
      <c r="AE73" s="2" t="str">
        <f t="shared" si="49"/>
        <v/>
      </c>
      <c r="AF73" s="2" t="str">
        <f t="shared" si="50"/>
        <v/>
      </c>
      <c r="AG73" s="2" t="str">
        <f t="shared" si="51"/>
        <v/>
      </c>
      <c r="AH73" s="2" t="str">
        <f t="shared" si="52"/>
        <v/>
      </c>
      <c r="AI73" s="2" t="str">
        <f t="shared" si="53"/>
        <v/>
      </c>
      <c r="AJ73" s="2" t="str">
        <f>IF($B73,IF(L73="","",IF($C73="qcu",IF(T73,"      &lt;respcondition continue=""Yes""&gt;&lt;conditionvar&gt;&lt;varequal respident=""RESPONSE""&gt;0&lt;/varequal&gt;&lt;/conditionvar&gt;&lt;setvar action=""Add""&gt;"&amp;$H73&amp;"&lt;/setvar&gt;&lt;/respcondition&gt;",""),IF(T73,"      &lt;respcondition continue=""Yes""&gt;&lt;conditionvar&gt;&lt;varequal respident=""RESPONSE""&gt;0&lt;/varequal&gt;&lt;/conditionvar&gt;&lt;setvar action=""Add""&gt;"&amp;(Saisie_Questions!$N73/$I73)&amp;"&lt;/setvar&gt;&lt;/respcondition&gt;","      &lt;respcondition continue=""Yes""&gt;&lt;conditionvar&gt;&lt;not&gt;&lt;varequal respident=""RESPONSE""&gt;0&lt;/varequal&gt;&lt;/not&gt;&lt;/conditionvar&gt;&lt;setvar action=""Add""&gt;"&amp;(Saisie_Questions!$N73/$I73)&amp;"&lt;/setvar&gt;&lt;/respcondition&gt;"))),"")</f>
        <v/>
      </c>
      <c r="AK73" s="2" t="str">
        <f>IF($B73,IF(M73="","",IF($C73="qcu",IF(U73,"      &lt;respcondition continue=""Yes""&gt;&lt;conditionvar&gt;&lt;varequal respident=""RESPONSE""&gt;1&lt;/varequal&gt;&lt;/conditionvar&gt;&lt;setvar action=""Add""&gt;"&amp;$H73&amp;"&lt;/setvar&gt;&lt;/respcondition&gt;",""),IF(U73,"      &lt;respcondition continue=""Yes""&gt;&lt;conditionvar&gt;&lt;varequal respident=""RESPONSE""&gt;1&lt;/varequal&gt;&lt;/conditionvar&gt;&lt;setvar action=""Add""&gt;"&amp;(Saisie_Questions!$N73/$I73)&amp;"&lt;/setvar&gt;&lt;/respcondition&gt;","      &lt;respcondition continue=""Yes""&gt;&lt;conditionvar&gt;&lt;not&gt;&lt;varequal respident=""RESPONSE""&gt;1&lt;/varequal&gt;&lt;/not&gt;&lt;/conditionvar&gt;&lt;setvar action=""Add""&gt;"&amp;(Saisie_Questions!$N73/$I73)&amp;"&lt;/setvar&gt;&lt;/respcondition&gt;"))),"")</f>
        <v/>
      </c>
      <c r="AL73" s="2" t="str">
        <f>IF($B73,IF(N73="","",IF($C73="qcu",IF(V73,"      &lt;respcondition continue=""Yes""&gt;&lt;conditionvar&gt;&lt;varequal respident=""RESPONSE""&gt;2&lt;/varequal&gt;&lt;/conditionvar&gt;&lt;setvar action=""Add""&gt;"&amp;$H73&amp;"&lt;/setvar&gt;&lt;/respcondition&gt;",""),IF(V73,"      &lt;respcondition continue=""Yes""&gt;&lt;conditionvar&gt;&lt;varequal respident=""RESPONSE""&gt;2&lt;/varequal&gt;&lt;/conditionvar&gt;&lt;setvar action=""Add""&gt;"&amp;(Saisie_Questions!$N73/$I73)&amp;"&lt;/setvar&gt;&lt;/respcondition&gt;","      &lt;respcondition continue=""Yes""&gt;&lt;conditionvar&gt;&lt;not&gt;&lt;varequal respident=""RESPONSE""&gt;2&lt;/varequal&gt;&lt;/not&gt;&lt;/conditionvar&gt;&lt;setvar action=""Add""&gt;"&amp;(Saisie_Questions!$N73/$I73)&amp;"&lt;/setvar&gt;&lt;/respcondition&gt;"))),"")</f>
        <v/>
      </c>
      <c r="AM73" s="2" t="str">
        <f>IF($B73,IF(O73="","",IF($C73="qcu",IF(W73,"      &lt;respcondition continue=""Yes""&gt;&lt;conditionvar&gt;&lt;varequal respident=""RESPONSE""&gt;3&lt;/varequal&gt;&lt;/conditionvar&gt;&lt;setvar action=""Add""&gt;"&amp;$H73&amp;"&lt;/setvar&gt;&lt;/respcondition&gt;",""),IF(W73,"      &lt;respcondition continue=""Yes""&gt;&lt;conditionvar&gt;&lt;varequal respident=""RESPONSE""&gt;3&lt;/varequal&gt;&lt;/conditionvar&gt;&lt;setvar action=""Add""&gt;"&amp;(Saisie_Questions!$N73/$I73)&amp;"&lt;/setvar&gt;&lt;/respcondition&gt;","      &lt;respcondition continue=""Yes""&gt;&lt;conditionvar&gt;&lt;not&gt;&lt;varequal respident=""RESPONSE""&gt;3&lt;/varequal&gt;&lt;/not&gt;&lt;/conditionvar&gt;&lt;setvar action=""Add""&gt;"&amp;(Saisie_Questions!$N73/$I73)&amp;"&lt;/setvar&gt;&lt;/respcondition&gt;"))),"")</f>
        <v/>
      </c>
      <c r="AN73" s="2" t="str">
        <f>IF($B73,IF(P73="","",IF($C73="qcu",IF(X73,"      &lt;respcondition continue=""Yes""&gt;&lt;conditionvar&gt;&lt;varequal respident=""RESPONSE""&gt;4&lt;/varequal&gt;&lt;/conditionvar&gt;&lt;setvar action=""Add""&gt;"&amp;$H73&amp;"&lt;/setvar&gt;&lt;/respcondition&gt;",""),IF(X73,"      &lt;respcondition continue=""Yes""&gt;&lt;conditionvar&gt;&lt;varequal respident=""RESPONSE""&gt;4&lt;/varequal&gt;&lt;/conditionvar&gt;&lt;setvar action=""Add""&gt;"&amp;(Saisie_Questions!$N73/$I73)&amp;"&lt;/setvar&gt;&lt;/respcondition&gt;","      &lt;respcondition continue=""Yes""&gt;&lt;conditionvar&gt;&lt;not&gt;&lt;varequal respident=""RESPONSE""&gt;4&lt;/varequal&gt;&lt;/not&gt;&lt;/conditionvar&gt;&lt;setvar action=""Add""&gt;"&amp;(Saisie_Questions!$N73/$I73)&amp;"&lt;/setvar&gt;&lt;/respcondition&gt;"))),"")</f>
        <v/>
      </c>
      <c r="AO73" s="2" t="str">
        <f>IF($B73,IF(Q73="","",IF($C73="qcu",IF(Y73,"      &lt;respcondition continue=""Yes""&gt;&lt;conditionvar&gt;&lt;varequal respident=""RESPONSE""&gt;5&lt;/varequal&gt;&lt;/conditionvar&gt;&lt;setvar action=""Add""&gt;"&amp;$H73&amp;"&lt;/setvar&gt;&lt;/respcondition&gt;",""),IF(Y73,"      &lt;respcondition continue=""Yes""&gt;&lt;conditionvar&gt;&lt;varequal respident=""RESPONSE""&gt;5&lt;/varequal&gt;&lt;/conditionvar&gt;&lt;setvar action=""Add""&gt;"&amp;(Saisie_Questions!$N73/$I73)&amp;"&lt;/setvar&gt;&lt;/respcondition&gt;","      &lt;respcondition continue=""Yes""&gt;&lt;conditionvar&gt;&lt;not&gt;&lt;varequal respident=""RESPONSE""&gt;5&lt;/varequal&gt;&lt;/not&gt;&lt;/conditionvar&gt;&lt;setvar action=""Add""&gt;"&amp;(Saisie_Questions!$N73/$I73)&amp;"&lt;/setvar&gt;&lt;/respcondition&gt;"))),"")</f>
        <v/>
      </c>
      <c r="AP73" s="2" t="str">
        <f>IF($B73,IF(R73="","",IF($C73="qcu",IF(Z73,"      &lt;respcondition continue=""Yes""&gt;&lt;conditionvar&gt;&lt;varequal respident=""RESPONSE""&gt;6&lt;/varequal&gt;&lt;/conditionvar&gt;&lt;setvar action=""Add""&gt;"&amp;$H73&amp;"&lt;/setvar&gt;&lt;/respcondition&gt;",""),IF(Z73,"      &lt;respcondition continue=""Yes""&gt;&lt;conditionvar&gt;&lt;varequal respident=""RESPONSE""&gt;6&lt;/varequal&gt;&lt;/conditionvar&gt;&lt;setvar action=""Add""&gt;"&amp;(Saisie_Questions!$N73/$I73)&amp;"&lt;/setvar&gt;&lt;/respcondition&gt;","      &lt;respcondition continue=""Yes""&gt;&lt;conditionvar&gt;&lt;not&gt;&lt;varequal respident=""RESPONSE""&gt;6&lt;/varequal&gt;&lt;/not&gt;&lt;/conditionvar&gt;&lt;setvar action=""Add""&gt;"&amp;(Saisie_Questions!$N73/$I73)&amp;"&lt;/setvar&gt;&lt;/respcondition&gt;"))),"")</f>
        <v/>
      </c>
      <c r="AQ73" s="2" t="str">
        <f>IF($B73,IF(S73="","",IF($C73="qcu",IF(AA73,"      &lt;respcondition continue=""Yes""&gt;&lt;conditionvar&gt;&lt;varequal respident=""RESPONSE""&gt;7&lt;/varequal&gt;&lt;/conditionvar&gt;&lt;setvar action=""Add""&gt;"&amp;$H73&amp;"&lt;/setvar&gt;&lt;/respcondition&gt;",""),IF(AA73,"      &lt;respcondition continue=""Yes""&gt;&lt;conditionvar&gt;&lt;varequal respident=""RESPONSE""&gt;7&lt;/varequal&gt;&lt;/conditionvar&gt;&lt;setvar action=""Add""&gt;"&amp;(Saisie_Questions!$N73/$I73)&amp;"&lt;/setvar&gt;&lt;/respcondition&gt;","      &lt;respcondition continue=""Yes""&gt;&lt;conditionvar&gt;&lt;not&gt;&lt;varequal respident=""RESPONSE""&gt;7&lt;/varequal&gt;&lt;/not&gt;&lt;/conditionvar&gt;&lt;setvar action=""Add""&gt;"&amp;(Saisie_Questions!$N73/$I73)&amp;"&lt;/setvar&gt;&lt;/respcondition&gt;"))),"")</f>
        <v/>
      </c>
    </row>
    <row r="74" spans="1:43" ht="18" customHeight="1">
      <c r="A74" s="2" t="str">
        <f>Saisie_Questions!A74</f>
        <v/>
      </c>
      <c r="B74" s="2" t="b">
        <f>Saisie_Questions!O74="OK"</f>
        <v>0</v>
      </c>
      <c r="C74" s="2" t="str">
        <f>LOWER(TRIM(Saisie_Questions!B74))</f>
        <v/>
      </c>
      <c r="D74" s="2" t="str">
        <f t="shared" si="36"/>
        <v>MULTIPLE CHOICE QUESTION</v>
      </c>
      <c r="E74" s="2" t="str">
        <f t="shared" si="37"/>
        <v>Multiple</v>
      </c>
      <c r="F74" s="2" t="str">
        <f>IF(A74="","",SUBSTITUTE(SUBSTITUTE(SUBSTITUTE(SUBSTITUTE(SUBSTITUTE(IF(Saisie_Questions!C74="", "Question "&amp;A74, Saisie_Questions!C74),"&amp;","&amp;amp;"),"&lt;","&amp;lt;"),"&gt;","&amp;gt;"),CHAR(34),"&amp;quot;"),"'","&amp;apos;"))</f>
        <v/>
      </c>
      <c r="G74" s="2" t="str">
        <f>IF(A74="","",SUBSTITUTE(SUBSTITUTE(SUBSTITUTE(SUBSTITUTE(SUBSTITUTE(Saisie_Questions!D74,"&amp;","&amp;amp;"),"&lt;","&amp;lt;"),"&gt;","&amp;gt;"),CHAR(34),"&amp;quot;"),"'","&amp;apos;"))</f>
        <v/>
      </c>
      <c r="H74" s="2">
        <f>Saisie_Questions!N74</f>
        <v>0</v>
      </c>
      <c r="I74" s="2">
        <f>IF(Saisie_Questions!E74="",0,1)+IF(Saisie_Questions!F74="",0,1)+IF(Saisie_Questions!G74="",0,1)+IF(Saisie_Questions!H74="",0,1)+IF(Saisie_Questions!I74="",0,1)+IF(Saisie_Questions!J74="",0,1)+IF(Saisie_Questions!K74="",0,1)+IF(Saisie_Questions!L74="",0,1)</f>
        <v>0</v>
      </c>
      <c r="J74" s="2">
        <f>Saisie_Questions!M74</f>
        <v>0</v>
      </c>
      <c r="K74" s="2" t="str">
        <f>Saisie_Questions!O74</f>
        <v/>
      </c>
      <c r="L74" s="2" t="str">
        <f>IF(Saisie_Questions!E74="","",SUBSTITUTE(SUBSTITUTE(SUBSTITUTE(SUBSTITUTE(SUBSTITUTE(Saisie_Questions!E74,"&amp;","&amp;amp;"),"&lt;","&amp;lt;"),"&gt;","&amp;gt;"),CHAR(34),"&amp;quot;"),"'","&amp;apos;"))</f>
        <v/>
      </c>
      <c r="M74" s="2" t="str">
        <f>IF(Saisie_Questions!F74="","",SUBSTITUTE(SUBSTITUTE(SUBSTITUTE(SUBSTITUTE(SUBSTITUTE(Saisie_Questions!F74,"&amp;","&amp;amp;"),"&lt;","&amp;lt;"),"&gt;","&amp;gt;"),CHAR(34),"&amp;quot;"),"'","&amp;apos;"))</f>
        <v/>
      </c>
      <c r="N74" s="2" t="str">
        <f>IF(Saisie_Questions!G74="","",SUBSTITUTE(SUBSTITUTE(SUBSTITUTE(SUBSTITUTE(SUBSTITUTE(Saisie_Questions!G74,"&amp;","&amp;amp;"),"&lt;","&amp;lt;"),"&gt;","&amp;gt;"),CHAR(34),"&amp;quot;"),"'","&amp;apos;"))</f>
        <v/>
      </c>
      <c r="O74" s="2" t="str">
        <f>IF(Saisie_Questions!H74="","",SUBSTITUTE(SUBSTITUTE(SUBSTITUTE(SUBSTITUTE(SUBSTITUTE(Saisie_Questions!H74,"&amp;","&amp;amp;"),"&lt;","&amp;lt;"),"&gt;","&amp;gt;"),CHAR(34),"&amp;quot;"),"'","&amp;apos;"))</f>
        <v/>
      </c>
      <c r="P74" s="2" t="str">
        <f>IF(Saisie_Questions!I74="","",SUBSTITUTE(SUBSTITUTE(SUBSTITUTE(SUBSTITUTE(SUBSTITUTE(Saisie_Questions!I74,"&amp;","&amp;amp;"),"&lt;","&amp;lt;"),"&gt;","&amp;gt;"),CHAR(34),"&amp;quot;"),"'","&amp;apos;"))</f>
        <v/>
      </c>
      <c r="Q74" s="2" t="str">
        <f>IF(Saisie_Questions!J74="","",SUBSTITUTE(SUBSTITUTE(SUBSTITUTE(SUBSTITUTE(SUBSTITUTE(Saisie_Questions!J74,"&amp;","&amp;amp;"),"&lt;","&amp;lt;"),"&gt;","&amp;gt;"),CHAR(34),"&amp;quot;"),"'","&amp;apos;"))</f>
        <v/>
      </c>
      <c r="R74" s="2" t="str">
        <f>IF(Saisie_Questions!K74="","",SUBSTITUTE(SUBSTITUTE(SUBSTITUTE(SUBSTITUTE(SUBSTITUTE(Saisie_Questions!K74,"&amp;","&amp;amp;"),"&lt;","&amp;lt;"),"&gt;","&amp;gt;"),CHAR(34),"&amp;quot;"),"'","&amp;apos;"))</f>
        <v/>
      </c>
      <c r="S74" s="2" t="str">
        <f>IF(Saisie_Questions!L74="","",SUBSTITUTE(SUBSTITUTE(SUBSTITUTE(SUBSTITUTE(SUBSTITUTE(Saisie_Questions!L74,"&amp;","&amp;amp;"),"&lt;","&amp;lt;"),"&gt;","&amp;gt;"),CHAR(34),"&amp;quot;"),"'","&amp;apos;"))</f>
        <v/>
      </c>
      <c r="T74" s="2" t="b">
        <f t="shared" si="38"/>
        <v>0</v>
      </c>
      <c r="U74" s="2" t="b">
        <f t="shared" si="39"/>
        <v>0</v>
      </c>
      <c r="V74" s="2" t="b">
        <f t="shared" si="40"/>
        <v>0</v>
      </c>
      <c r="W74" s="2" t="b">
        <f t="shared" si="41"/>
        <v>0</v>
      </c>
      <c r="X74" s="2" t="b">
        <f t="shared" si="42"/>
        <v>0</v>
      </c>
      <c r="Y74" s="2" t="b">
        <f t="shared" si="43"/>
        <v>0</v>
      </c>
      <c r="Z74" s="2" t="b">
        <f t="shared" si="44"/>
        <v>0</v>
      </c>
      <c r="AA74" s="2" t="b">
        <f t="shared" si="45"/>
        <v>0</v>
      </c>
      <c r="AB74" s="2" t="str">
        <f t="shared" si="46"/>
        <v/>
      </c>
      <c r="AC74" s="2" t="str">
        <f t="shared" si="47"/>
        <v/>
      </c>
      <c r="AD74" s="2" t="str">
        <f t="shared" si="48"/>
        <v/>
      </c>
      <c r="AE74" s="2" t="str">
        <f t="shared" si="49"/>
        <v/>
      </c>
      <c r="AF74" s="2" t="str">
        <f t="shared" si="50"/>
        <v/>
      </c>
      <c r="AG74" s="2" t="str">
        <f t="shared" si="51"/>
        <v/>
      </c>
      <c r="AH74" s="2" t="str">
        <f t="shared" si="52"/>
        <v/>
      </c>
      <c r="AI74" s="2" t="str">
        <f t="shared" si="53"/>
        <v/>
      </c>
      <c r="AJ74" s="2" t="str">
        <f>IF($B74,IF(L74="","",IF($C74="qcu",IF(T74,"      &lt;respcondition continue=""Yes""&gt;&lt;conditionvar&gt;&lt;varequal respident=""RESPONSE""&gt;0&lt;/varequal&gt;&lt;/conditionvar&gt;&lt;setvar action=""Add""&gt;"&amp;$H74&amp;"&lt;/setvar&gt;&lt;/respcondition&gt;",""),IF(T74,"      &lt;respcondition continue=""Yes""&gt;&lt;conditionvar&gt;&lt;varequal respident=""RESPONSE""&gt;0&lt;/varequal&gt;&lt;/conditionvar&gt;&lt;setvar action=""Add""&gt;"&amp;(Saisie_Questions!$N74/$I74)&amp;"&lt;/setvar&gt;&lt;/respcondition&gt;","      &lt;respcondition continue=""Yes""&gt;&lt;conditionvar&gt;&lt;not&gt;&lt;varequal respident=""RESPONSE""&gt;0&lt;/varequal&gt;&lt;/not&gt;&lt;/conditionvar&gt;&lt;setvar action=""Add""&gt;"&amp;(Saisie_Questions!$N74/$I74)&amp;"&lt;/setvar&gt;&lt;/respcondition&gt;"))),"")</f>
        <v/>
      </c>
      <c r="AK74" s="2" t="str">
        <f>IF($B74,IF(M74="","",IF($C74="qcu",IF(U74,"      &lt;respcondition continue=""Yes""&gt;&lt;conditionvar&gt;&lt;varequal respident=""RESPONSE""&gt;1&lt;/varequal&gt;&lt;/conditionvar&gt;&lt;setvar action=""Add""&gt;"&amp;$H74&amp;"&lt;/setvar&gt;&lt;/respcondition&gt;",""),IF(U74,"      &lt;respcondition continue=""Yes""&gt;&lt;conditionvar&gt;&lt;varequal respident=""RESPONSE""&gt;1&lt;/varequal&gt;&lt;/conditionvar&gt;&lt;setvar action=""Add""&gt;"&amp;(Saisie_Questions!$N74/$I74)&amp;"&lt;/setvar&gt;&lt;/respcondition&gt;","      &lt;respcondition continue=""Yes""&gt;&lt;conditionvar&gt;&lt;not&gt;&lt;varequal respident=""RESPONSE""&gt;1&lt;/varequal&gt;&lt;/not&gt;&lt;/conditionvar&gt;&lt;setvar action=""Add""&gt;"&amp;(Saisie_Questions!$N74/$I74)&amp;"&lt;/setvar&gt;&lt;/respcondition&gt;"))),"")</f>
        <v/>
      </c>
      <c r="AL74" s="2" t="str">
        <f>IF($B74,IF(N74="","",IF($C74="qcu",IF(V74,"      &lt;respcondition continue=""Yes""&gt;&lt;conditionvar&gt;&lt;varequal respident=""RESPONSE""&gt;2&lt;/varequal&gt;&lt;/conditionvar&gt;&lt;setvar action=""Add""&gt;"&amp;$H74&amp;"&lt;/setvar&gt;&lt;/respcondition&gt;",""),IF(V74,"      &lt;respcondition continue=""Yes""&gt;&lt;conditionvar&gt;&lt;varequal respident=""RESPONSE""&gt;2&lt;/varequal&gt;&lt;/conditionvar&gt;&lt;setvar action=""Add""&gt;"&amp;(Saisie_Questions!$N74/$I74)&amp;"&lt;/setvar&gt;&lt;/respcondition&gt;","      &lt;respcondition continue=""Yes""&gt;&lt;conditionvar&gt;&lt;not&gt;&lt;varequal respident=""RESPONSE""&gt;2&lt;/varequal&gt;&lt;/not&gt;&lt;/conditionvar&gt;&lt;setvar action=""Add""&gt;"&amp;(Saisie_Questions!$N74/$I74)&amp;"&lt;/setvar&gt;&lt;/respcondition&gt;"))),"")</f>
        <v/>
      </c>
      <c r="AM74" s="2" t="str">
        <f>IF($B74,IF(O74="","",IF($C74="qcu",IF(W74,"      &lt;respcondition continue=""Yes""&gt;&lt;conditionvar&gt;&lt;varequal respident=""RESPONSE""&gt;3&lt;/varequal&gt;&lt;/conditionvar&gt;&lt;setvar action=""Add""&gt;"&amp;$H74&amp;"&lt;/setvar&gt;&lt;/respcondition&gt;",""),IF(W74,"      &lt;respcondition continue=""Yes""&gt;&lt;conditionvar&gt;&lt;varequal respident=""RESPONSE""&gt;3&lt;/varequal&gt;&lt;/conditionvar&gt;&lt;setvar action=""Add""&gt;"&amp;(Saisie_Questions!$N74/$I74)&amp;"&lt;/setvar&gt;&lt;/respcondition&gt;","      &lt;respcondition continue=""Yes""&gt;&lt;conditionvar&gt;&lt;not&gt;&lt;varequal respident=""RESPONSE""&gt;3&lt;/varequal&gt;&lt;/not&gt;&lt;/conditionvar&gt;&lt;setvar action=""Add""&gt;"&amp;(Saisie_Questions!$N74/$I74)&amp;"&lt;/setvar&gt;&lt;/respcondition&gt;"))),"")</f>
        <v/>
      </c>
      <c r="AN74" s="2" t="str">
        <f>IF($B74,IF(P74="","",IF($C74="qcu",IF(X74,"      &lt;respcondition continue=""Yes""&gt;&lt;conditionvar&gt;&lt;varequal respident=""RESPONSE""&gt;4&lt;/varequal&gt;&lt;/conditionvar&gt;&lt;setvar action=""Add""&gt;"&amp;$H74&amp;"&lt;/setvar&gt;&lt;/respcondition&gt;",""),IF(X74,"      &lt;respcondition continue=""Yes""&gt;&lt;conditionvar&gt;&lt;varequal respident=""RESPONSE""&gt;4&lt;/varequal&gt;&lt;/conditionvar&gt;&lt;setvar action=""Add""&gt;"&amp;(Saisie_Questions!$N74/$I74)&amp;"&lt;/setvar&gt;&lt;/respcondition&gt;","      &lt;respcondition continue=""Yes""&gt;&lt;conditionvar&gt;&lt;not&gt;&lt;varequal respident=""RESPONSE""&gt;4&lt;/varequal&gt;&lt;/not&gt;&lt;/conditionvar&gt;&lt;setvar action=""Add""&gt;"&amp;(Saisie_Questions!$N74/$I74)&amp;"&lt;/setvar&gt;&lt;/respcondition&gt;"))),"")</f>
        <v/>
      </c>
      <c r="AO74" s="2" t="str">
        <f>IF($B74,IF(Q74="","",IF($C74="qcu",IF(Y74,"      &lt;respcondition continue=""Yes""&gt;&lt;conditionvar&gt;&lt;varequal respident=""RESPONSE""&gt;5&lt;/varequal&gt;&lt;/conditionvar&gt;&lt;setvar action=""Add""&gt;"&amp;$H74&amp;"&lt;/setvar&gt;&lt;/respcondition&gt;",""),IF(Y74,"      &lt;respcondition continue=""Yes""&gt;&lt;conditionvar&gt;&lt;varequal respident=""RESPONSE""&gt;5&lt;/varequal&gt;&lt;/conditionvar&gt;&lt;setvar action=""Add""&gt;"&amp;(Saisie_Questions!$N74/$I74)&amp;"&lt;/setvar&gt;&lt;/respcondition&gt;","      &lt;respcondition continue=""Yes""&gt;&lt;conditionvar&gt;&lt;not&gt;&lt;varequal respident=""RESPONSE""&gt;5&lt;/varequal&gt;&lt;/not&gt;&lt;/conditionvar&gt;&lt;setvar action=""Add""&gt;"&amp;(Saisie_Questions!$N74/$I74)&amp;"&lt;/setvar&gt;&lt;/respcondition&gt;"))),"")</f>
        <v/>
      </c>
      <c r="AP74" s="2" t="str">
        <f>IF($B74,IF(R74="","",IF($C74="qcu",IF(Z74,"      &lt;respcondition continue=""Yes""&gt;&lt;conditionvar&gt;&lt;varequal respident=""RESPONSE""&gt;6&lt;/varequal&gt;&lt;/conditionvar&gt;&lt;setvar action=""Add""&gt;"&amp;$H74&amp;"&lt;/setvar&gt;&lt;/respcondition&gt;",""),IF(Z74,"      &lt;respcondition continue=""Yes""&gt;&lt;conditionvar&gt;&lt;varequal respident=""RESPONSE""&gt;6&lt;/varequal&gt;&lt;/conditionvar&gt;&lt;setvar action=""Add""&gt;"&amp;(Saisie_Questions!$N74/$I74)&amp;"&lt;/setvar&gt;&lt;/respcondition&gt;","      &lt;respcondition continue=""Yes""&gt;&lt;conditionvar&gt;&lt;not&gt;&lt;varequal respident=""RESPONSE""&gt;6&lt;/varequal&gt;&lt;/not&gt;&lt;/conditionvar&gt;&lt;setvar action=""Add""&gt;"&amp;(Saisie_Questions!$N74/$I74)&amp;"&lt;/setvar&gt;&lt;/respcondition&gt;"))),"")</f>
        <v/>
      </c>
      <c r="AQ74" s="2" t="str">
        <f>IF($B74,IF(S74="","",IF($C74="qcu",IF(AA74,"      &lt;respcondition continue=""Yes""&gt;&lt;conditionvar&gt;&lt;varequal respident=""RESPONSE""&gt;7&lt;/varequal&gt;&lt;/conditionvar&gt;&lt;setvar action=""Add""&gt;"&amp;$H74&amp;"&lt;/setvar&gt;&lt;/respcondition&gt;",""),IF(AA74,"      &lt;respcondition continue=""Yes""&gt;&lt;conditionvar&gt;&lt;varequal respident=""RESPONSE""&gt;7&lt;/varequal&gt;&lt;/conditionvar&gt;&lt;setvar action=""Add""&gt;"&amp;(Saisie_Questions!$N74/$I74)&amp;"&lt;/setvar&gt;&lt;/respcondition&gt;","      &lt;respcondition continue=""Yes""&gt;&lt;conditionvar&gt;&lt;not&gt;&lt;varequal respident=""RESPONSE""&gt;7&lt;/varequal&gt;&lt;/not&gt;&lt;/conditionvar&gt;&lt;setvar action=""Add""&gt;"&amp;(Saisie_Questions!$N74/$I74)&amp;"&lt;/setvar&gt;&lt;/respcondition&gt;"))),"")</f>
        <v/>
      </c>
    </row>
    <row r="75" spans="1:43" ht="18" customHeight="1">
      <c r="A75" s="2" t="str">
        <f>Saisie_Questions!A75</f>
        <v/>
      </c>
      <c r="B75" s="2" t="b">
        <f>Saisie_Questions!O75="OK"</f>
        <v>0</v>
      </c>
      <c r="C75" s="2" t="str">
        <f>LOWER(TRIM(Saisie_Questions!B75))</f>
        <v/>
      </c>
      <c r="D75" s="2" t="str">
        <f t="shared" si="36"/>
        <v>MULTIPLE CHOICE QUESTION</v>
      </c>
      <c r="E75" s="2" t="str">
        <f t="shared" si="37"/>
        <v>Multiple</v>
      </c>
      <c r="F75" s="2" t="str">
        <f>IF(A75="","",SUBSTITUTE(SUBSTITUTE(SUBSTITUTE(SUBSTITUTE(SUBSTITUTE(IF(Saisie_Questions!C75="", "Question "&amp;A75, Saisie_Questions!C75),"&amp;","&amp;amp;"),"&lt;","&amp;lt;"),"&gt;","&amp;gt;"),CHAR(34),"&amp;quot;"),"'","&amp;apos;"))</f>
        <v/>
      </c>
      <c r="G75" s="2" t="str">
        <f>IF(A75="","",SUBSTITUTE(SUBSTITUTE(SUBSTITUTE(SUBSTITUTE(SUBSTITUTE(Saisie_Questions!D75,"&amp;","&amp;amp;"),"&lt;","&amp;lt;"),"&gt;","&amp;gt;"),CHAR(34),"&amp;quot;"),"'","&amp;apos;"))</f>
        <v/>
      </c>
      <c r="H75" s="2">
        <f>Saisie_Questions!N75</f>
        <v>0</v>
      </c>
      <c r="I75" s="2">
        <f>IF(Saisie_Questions!E75="",0,1)+IF(Saisie_Questions!F75="",0,1)+IF(Saisie_Questions!G75="",0,1)+IF(Saisie_Questions!H75="",0,1)+IF(Saisie_Questions!I75="",0,1)+IF(Saisie_Questions!J75="",0,1)+IF(Saisie_Questions!K75="",0,1)+IF(Saisie_Questions!L75="",0,1)</f>
        <v>0</v>
      </c>
      <c r="J75" s="2">
        <f>Saisie_Questions!M75</f>
        <v>0</v>
      </c>
      <c r="K75" s="2" t="str">
        <f>Saisie_Questions!O75</f>
        <v/>
      </c>
      <c r="L75" s="2" t="str">
        <f>IF(Saisie_Questions!E75="","",SUBSTITUTE(SUBSTITUTE(SUBSTITUTE(SUBSTITUTE(SUBSTITUTE(Saisie_Questions!E75,"&amp;","&amp;amp;"),"&lt;","&amp;lt;"),"&gt;","&amp;gt;"),CHAR(34),"&amp;quot;"),"'","&amp;apos;"))</f>
        <v/>
      </c>
      <c r="M75" s="2" t="str">
        <f>IF(Saisie_Questions!F75="","",SUBSTITUTE(SUBSTITUTE(SUBSTITUTE(SUBSTITUTE(SUBSTITUTE(Saisie_Questions!F75,"&amp;","&amp;amp;"),"&lt;","&amp;lt;"),"&gt;","&amp;gt;"),CHAR(34),"&amp;quot;"),"'","&amp;apos;"))</f>
        <v/>
      </c>
      <c r="N75" s="2" t="str">
        <f>IF(Saisie_Questions!G75="","",SUBSTITUTE(SUBSTITUTE(SUBSTITUTE(SUBSTITUTE(SUBSTITUTE(Saisie_Questions!G75,"&amp;","&amp;amp;"),"&lt;","&amp;lt;"),"&gt;","&amp;gt;"),CHAR(34),"&amp;quot;"),"'","&amp;apos;"))</f>
        <v/>
      </c>
      <c r="O75" s="2" t="str">
        <f>IF(Saisie_Questions!H75="","",SUBSTITUTE(SUBSTITUTE(SUBSTITUTE(SUBSTITUTE(SUBSTITUTE(Saisie_Questions!H75,"&amp;","&amp;amp;"),"&lt;","&amp;lt;"),"&gt;","&amp;gt;"),CHAR(34),"&amp;quot;"),"'","&amp;apos;"))</f>
        <v/>
      </c>
      <c r="P75" s="2" t="str">
        <f>IF(Saisie_Questions!I75="","",SUBSTITUTE(SUBSTITUTE(SUBSTITUTE(SUBSTITUTE(SUBSTITUTE(Saisie_Questions!I75,"&amp;","&amp;amp;"),"&lt;","&amp;lt;"),"&gt;","&amp;gt;"),CHAR(34),"&amp;quot;"),"'","&amp;apos;"))</f>
        <v/>
      </c>
      <c r="Q75" s="2" t="str">
        <f>IF(Saisie_Questions!J75="","",SUBSTITUTE(SUBSTITUTE(SUBSTITUTE(SUBSTITUTE(SUBSTITUTE(Saisie_Questions!J75,"&amp;","&amp;amp;"),"&lt;","&amp;lt;"),"&gt;","&amp;gt;"),CHAR(34),"&amp;quot;"),"'","&amp;apos;"))</f>
        <v/>
      </c>
      <c r="R75" s="2" t="str">
        <f>IF(Saisie_Questions!K75="","",SUBSTITUTE(SUBSTITUTE(SUBSTITUTE(SUBSTITUTE(SUBSTITUTE(Saisie_Questions!K75,"&amp;","&amp;amp;"),"&lt;","&amp;lt;"),"&gt;","&amp;gt;"),CHAR(34),"&amp;quot;"),"'","&amp;apos;"))</f>
        <v/>
      </c>
      <c r="S75" s="2" t="str">
        <f>IF(Saisie_Questions!L75="","",SUBSTITUTE(SUBSTITUTE(SUBSTITUTE(SUBSTITUTE(SUBSTITUTE(Saisie_Questions!L75,"&amp;","&amp;amp;"),"&lt;","&amp;lt;"),"&gt;","&amp;gt;"),CHAR(34),"&amp;quot;"),"'","&amp;apos;"))</f>
        <v/>
      </c>
      <c r="T75" s="2" t="b">
        <f t="shared" si="38"/>
        <v>0</v>
      </c>
      <c r="U75" s="2" t="b">
        <f t="shared" si="39"/>
        <v>0</v>
      </c>
      <c r="V75" s="2" t="b">
        <f t="shared" si="40"/>
        <v>0</v>
      </c>
      <c r="W75" s="2" t="b">
        <f t="shared" si="41"/>
        <v>0</v>
      </c>
      <c r="X75" s="2" t="b">
        <f t="shared" si="42"/>
        <v>0</v>
      </c>
      <c r="Y75" s="2" t="b">
        <f t="shared" si="43"/>
        <v>0</v>
      </c>
      <c r="Z75" s="2" t="b">
        <f t="shared" si="44"/>
        <v>0</v>
      </c>
      <c r="AA75" s="2" t="b">
        <f t="shared" si="45"/>
        <v>0</v>
      </c>
      <c r="AB75" s="2" t="str">
        <f t="shared" si="46"/>
        <v/>
      </c>
      <c r="AC75" s="2" t="str">
        <f t="shared" si="47"/>
        <v/>
      </c>
      <c r="AD75" s="2" t="str">
        <f t="shared" si="48"/>
        <v/>
      </c>
      <c r="AE75" s="2" t="str">
        <f t="shared" si="49"/>
        <v/>
      </c>
      <c r="AF75" s="2" t="str">
        <f t="shared" si="50"/>
        <v/>
      </c>
      <c r="AG75" s="2" t="str">
        <f t="shared" si="51"/>
        <v/>
      </c>
      <c r="AH75" s="2" t="str">
        <f t="shared" si="52"/>
        <v/>
      </c>
      <c r="AI75" s="2" t="str">
        <f t="shared" si="53"/>
        <v/>
      </c>
      <c r="AJ75" s="2" t="str">
        <f>IF($B75,IF(L75="","",IF($C75="qcu",IF(T75,"      &lt;respcondition continue=""Yes""&gt;&lt;conditionvar&gt;&lt;varequal respident=""RESPONSE""&gt;0&lt;/varequal&gt;&lt;/conditionvar&gt;&lt;setvar action=""Add""&gt;"&amp;$H75&amp;"&lt;/setvar&gt;&lt;/respcondition&gt;",""),IF(T75,"      &lt;respcondition continue=""Yes""&gt;&lt;conditionvar&gt;&lt;varequal respident=""RESPONSE""&gt;0&lt;/varequal&gt;&lt;/conditionvar&gt;&lt;setvar action=""Add""&gt;"&amp;(Saisie_Questions!$N75/$I75)&amp;"&lt;/setvar&gt;&lt;/respcondition&gt;","      &lt;respcondition continue=""Yes""&gt;&lt;conditionvar&gt;&lt;not&gt;&lt;varequal respident=""RESPONSE""&gt;0&lt;/varequal&gt;&lt;/not&gt;&lt;/conditionvar&gt;&lt;setvar action=""Add""&gt;"&amp;(Saisie_Questions!$N75/$I75)&amp;"&lt;/setvar&gt;&lt;/respcondition&gt;"))),"")</f>
        <v/>
      </c>
      <c r="AK75" s="2" t="str">
        <f>IF($B75,IF(M75="","",IF($C75="qcu",IF(U75,"      &lt;respcondition continue=""Yes""&gt;&lt;conditionvar&gt;&lt;varequal respident=""RESPONSE""&gt;1&lt;/varequal&gt;&lt;/conditionvar&gt;&lt;setvar action=""Add""&gt;"&amp;$H75&amp;"&lt;/setvar&gt;&lt;/respcondition&gt;",""),IF(U75,"      &lt;respcondition continue=""Yes""&gt;&lt;conditionvar&gt;&lt;varequal respident=""RESPONSE""&gt;1&lt;/varequal&gt;&lt;/conditionvar&gt;&lt;setvar action=""Add""&gt;"&amp;(Saisie_Questions!$N75/$I75)&amp;"&lt;/setvar&gt;&lt;/respcondition&gt;","      &lt;respcondition continue=""Yes""&gt;&lt;conditionvar&gt;&lt;not&gt;&lt;varequal respident=""RESPONSE""&gt;1&lt;/varequal&gt;&lt;/not&gt;&lt;/conditionvar&gt;&lt;setvar action=""Add""&gt;"&amp;(Saisie_Questions!$N75/$I75)&amp;"&lt;/setvar&gt;&lt;/respcondition&gt;"))),"")</f>
        <v/>
      </c>
      <c r="AL75" s="2" t="str">
        <f>IF($B75,IF(N75="","",IF($C75="qcu",IF(V75,"      &lt;respcondition continue=""Yes""&gt;&lt;conditionvar&gt;&lt;varequal respident=""RESPONSE""&gt;2&lt;/varequal&gt;&lt;/conditionvar&gt;&lt;setvar action=""Add""&gt;"&amp;$H75&amp;"&lt;/setvar&gt;&lt;/respcondition&gt;",""),IF(V75,"      &lt;respcondition continue=""Yes""&gt;&lt;conditionvar&gt;&lt;varequal respident=""RESPONSE""&gt;2&lt;/varequal&gt;&lt;/conditionvar&gt;&lt;setvar action=""Add""&gt;"&amp;(Saisie_Questions!$N75/$I75)&amp;"&lt;/setvar&gt;&lt;/respcondition&gt;","      &lt;respcondition continue=""Yes""&gt;&lt;conditionvar&gt;&lt;not&gt;&lt;varequal respident=""RESPONSE""&gt;2&lt;/varequal&gt;&lt;/not&gt;&lt;/conditionvar&gt;&lt;setvar action=""Add""&gt;"&amp;(Saisie_Questions!$N75/$I75)&amp;"&lt;/setvar&gt;&lt;/respcondition&gt;"))),"")</f>
        <v/>
      </c>
      <c r="AM75" s="2" t="str">
        <f>IF($B75,IF(O75="","",IF($C75="qcu",IF(W75,"      &lt;respcondition continue=""Yes""&gt;&lt;conditionvar&gt;&lt;varequal respident=""RESPONSE""&gt;3&lt;/varequal&gt;&lt;/conditionvar&gt;&lt;setvar action=""Add""&gt;"&amp;$H75&amp;"&lt;/setvar&gt;&lt;/respcondition&gt;",""),IF(W75,"      &lt;respcondition continue=""Yes""&gt;&lt;conditionvar&gt;&lt;varequal respident=""RESPONSE""&gt;3&lt;/varequal&gt;&lt;/conditionvar&gt;&lt;setvar action=""Add""&gt;"&amp;(Saisie_Questions!$N75/$I75)&amp;"&lt;/setvar&gt;&lt;/respcondition&gt;","      &lt;respcondition continue=""Yes""&gt;&lt;conditionvar&gt;&lt;not&gt;&lt;varequal respident=""RESPONSE""&gt;3&lt;/varequal&gt;&lt;/not&gt;&lt;/conditionvar&gt;&lt;setvar action=""Add""&gt;"&amp;(Saisie_Questions!$N75/$I75)&amp;"&lt;/setvar&gt;&lt;/respcondition&gt;"))),"")</f>
        <v/>
      </c>
      <c r="AN75" s="2" t="str">
        <f>IF($B75,IF(P75="","",IF($C75="qcu",IF(X75,"      &lt;respcondition continue=""Yes""&gt;&lt;conditionvar&gt;&lt;varequal respident=""RESPONSE""&gt;4&lt;/varequal&gt;&lt;/conditionvar&gt;&lt;setvar action=""Add""&gt;"&amp;$H75&amp;"&lt;/setvar&gt;&lt;/respcondition&gt;",""),IF(X75,"      &lt;respcondition continue=""Yes""&gt;&lt;conditionvar&gt;&lt;varequal respident=""RESPONSE""&gt;4&lt;/varequal&gt;&lt;/conditionvar&gt;&lt;setvar action=""Add""&gt;"&amp;(Saisie_Questions!$N75/$I75)&amp;"&lt;/setvar&gt;&lt;/respcondition&gt;","      &lt;respcondition continue=""Yes""&gt;&lt;conditionvar&gt;&lt;not&gt;&lt;varequal respident=""RESPONSE""&gt;4&lt;/varequal&gt;&lt;/not&gt;&lt;/conditionvar&gt;&lt;setvar action=""Add""&gt;"&amp;(Saisie_Questions!$N75/$I75)&amp;"&lt;/setvar&gt;&lt;/respcondition&gt;"))),"")</f>
        <v/>
      </c>
      <c r="AO75" s="2" t="str">
        <f>IF($B75,IF(Q75="","",IF($C75="qcu",IF(Y75,"      &lt;respcondition continue=""Yes""&gt;&lt;conditionvar&gt;&lt;varequal respident=""RESPONSE""&gt;5&lt;/varequal&gt;&lt;/conditionvar&gt;&lt;setvar action=""Add""&gt;"&amp;$H75&amp;"&lt;/setvar&gt;&lt;/respcondition&gt;",""),IF(Y75,"      &lt;respcondition continue=""Yes""&gt;&lt;conditionvar&gt;&lt;varequal respident=""RESPONSE""&gt;5&lt;/varequal&gt;&lt;/conditionvar&gt;&lt;setvar action=""Add""&gt;"&amp;(Saisie_Questions!$N75/$I75)&amp;"&lt;/setvar&gt;&lt;/respcondition&gt;","      &lt;respcondition continue=""Yes""&gt;&lt;conditionvar&gt;&lt;not&gt;&lt;varequal respident=""RESPONSE""&gt;5&lt;/varequal&gt;&lt;/not&gt;&lt;/conditionvar&gt;&lt;setvar action=""Add""&gt;"&amp;(Saisie_Questions!$N75/$I75)&amp;"&lt;/setvar&gt;&lt;/respcondition&gt;"))),"")</f>
        <v/>
      </c>
      <c r="AP75" s="2" t="str">
        <f>IF($B75,IF(R75="","",IF($C75="qcu",IF(Z75,"      &lt;respcondition continue=""Yes""&gt;&lt;conditionvar&gt;&lt;varequal respident=""RESPONSE""&gt;6&lt;/varequal&gt;&lt;/conditionvar&gt;&lt;setvar action=""Add""&gt;"&amp;$H75&amp;"&lt;/setvar&gt;&lt;/respcondition&gt;",""),IF(Z75,"      &lt;respcondition continue=""Yes""&gt;&lt;conditionvar&gt;&lt;varequal respident=""RESPONSE""&gt;6&lt;/varequal&gt;&lt;/conditionvar&gt;&lt;setvar action=""Add""&gt;"&amp;(Saisie_Questions!$N75/$I75)&amp;"&lt;/setvar&gt;&lt;/respcondition&gt;","      &lt;respcondition continue=""Yes""&gt;&lt;conditionvar&gt;&lt;not&gt;&lt;varequal respident=""RESPONSE""&gt;6&lt;/varequal&gt;&lt;/not&gt;&lt;/conditionvar&gt;&lt;setvar action=""Add""&gt;"&amp;(Saisie_Questions!$N75/$I75)&amp;"&lt;/setvar&gt;&lt;/respcondition&gt;"))),"")</f>
        <v/>
      </c>
      <c r="AQ75" s="2" t="str">
        <f>IF($B75,IF(S75="","",IF($C75="qcu",IF(AA75,"      &lt;respcondition continue=""Yes""&gt;&lt;conditionvar&gt;&lt;varequal respident=""RESPONSE""&gt;7&lt;/varequal&gt;&lt;/conditionvar&gt;&lt;setvar action=""Add""&gt;"&amp;$H75&amp;"&lt;/setvar&gt;&lt;/respcondition&gt;",""),IF(AA75,"      &lt;respcondition continue=""Yes""&gt;&lt;conditionvar&gt;&lt;varequal respident=""RESPONSE""&gt;7&lt;/varequal&gt;&lt;/conditionvar&gt;&lt;setvar action=""Add""&gt;"&amp;(Saisie_Questions!$N75/$I75)&amp;"&lt;/setvar&gt;&lt;/respcondition&gt;","      &lt;respcondition continue=""Yes""&gt;&lt;conditionvar&gt;&lt;not&gt;&lt;varequal respident=""RESPONSE""&gt;7&lt;/varequal&gt;&lt;/not&gt;&lt;/conditionvar&gt;&lt;setvar action=""Add""&gt;"&amp;(Saisie_Questions!$N75/$I75)&amp;"&lt;/setvar&gt;&lt;/respcondition&gt;"))),"")</f>
        <v/>
      </c>
    </row>
    <row r="76" spans="1:43" ht="18" customHeight="1">
      <c r="A76" s="2" t="str">
        <f>Saisie_Questions!A76</f>
        <v/>
      </c>
      <c r="B76" s="2" t="b">
        <f>Saisie_Questions!O76="OK"</f>
        <v>0</v>
      </c>
      <c r="C76" s="2" t="str">
        <f>LOWER(TRIM(Saisie_Questions!B76))</f>
        <v/>
      </c>
      <c r="D76" s="2" t="str">
        <f t="shared" si="36"/>
        <v>MULTIPLE CHOICE QUESTION</v>
      </c>
      <c r="E76" s="2" t="str">
        <f t="shared" si="37"/>
        <v>Multiple</v>
      </c>
      <c r="F76" s="2" t="str">
        <f>IF(A76="","",SUBSTITUTE(SUBSTITUTE(SUBSTITUTE(SUBSTITUTE(SUBSTITUTE(IF(Saisie_Questions!C76="", "Question "&amp;A76, Saisie_Questions!C76),"&amp;","&amp;amp;"),"&lt;","&amp;lt;"),"&gt;","&amp;gt;"),CHAR(34),"&amp;quot;"),"'","&amp;apos;"))</f>
        <v/>
      </c>
      <c r="G76" s="2" t="str">
        <f>IF(A76="","",SUBSTITUTE(SUBSTITUTE(SUBSTITUTE(SUBSTITUTE(SUBSTITUTE(Saisie_Questions!D76,"&amp;","&amp;amp;"),"&lt;","&amp;lt;"),"&gt;","&amp;gt;"),CHAR(34),"&amp;quot;"),"'","&amp;apos;"))</f>
        <v/>
      </c>
      <c r="H76" s="2">
        <f>Saisie_Questions!N76</f>
        <v>0</v>
      </c>
      <c r="I76" s="2">
        <f>IF(Saisie_Questions!E76="",0,1)+IF(Saisie_Questions!F76="",0,1)+IF(Saisie_Questions!G76="",0,1)+IF(Saisie_Questions!H76="",0,1)+IF(Saisie_Questions!I76="",0,1)+IF(Saisie_Questions!J76="",0,1)+IF(Saisie_Questions!K76="",0,1)+IF(Saisie_Questions!L76="",0,1)</f>
        <v>0</v>
      </c>
      <c r="J76" s="2">
        <f>Saisie_Questions!M76</f>
        <v>0</v>
      </c>
      <c r="K76" s="2" t="str">
        <f>Saisie_Questions!O76</f>
        <v/>
      </c>
      <c r="L76" s="2" t="str">
        <f>IF(Saisie_Questions!E76="","",SUBSTITUTE(SUBSTITUTE(SUBSTITUTE(SUBSTITUTE(SUBSTITUTE(Saisie_Questions!E76,"&amp;","&amp;amp;"),"&lt;","&amp;lt;"),"&gt;","&amp;gt;"),CHAR(34),"&amp;quot;"),"'","&amp;apos;"))</f>
        <v/>
      </c>
      <c r="M76" s="2" t="str">
        <f>IF(Saisie_Questions!F76="","",SUBSTITUTE(SUBSTITUTE(SUBSTITUTE(SUBSTITUTE(SUBSTITUTE(Saisie_Questions!F76,"&amp;","&amp;amp;"),"&lt;","&amp;lt;"),"&gt;","&amp;gt;"),CHAR(34),"&amp;quot;"),"'","&amp;apos;"))</f>
        <v/>
      </c>
      <c r="N76" s="2" t="str">
        <f>IF(Saisie_Questions!G76="","",SUBSTITUTE(SUBSTITUTE(SUBSTITUTE(SUBSTITUTE(SUBSTITUTE(Saisie_Questions!G76,"&amp;","&amp;amp;"),"&lt;","&amp;lt;"),"&gt;","&amp;gt;"),CHAR(34),"&amp;quot;"),"'","&amp;apos;"))</f>
        <v/>
      </c>
      <c r="O76" s="2" t="str">
        <f>IF(Saisie_Questions!H76="","",SUBSTITUTE(SUBSTITUTE(SUBSTITUTE(SUBSTITUTE(SUBSTITUTE(Saisie_Questions!H76,"&amp;","&amp;amp;"),"&lt;","&amp;lt;"),"&gt;","&amp;gt;"),CHAR(34),"&amp;quot;"),"'","&amp;apos;"))</f>
        <v/>
      </c>
      <c r="P76" s="2" t="str">
        <f>IF(Saisie_Questions!I76="","",SUBSTITUTE(SUBSTITUTE(SUBSTITUTE(SUBSTITUTE(SUBSTITUTE(Saisie_Questions!I76,"&amp;","&amp;amp;"),"&lt;","&amp;lt;"),"&gt;","&amp;gt;"),CHAR(34),"&amp;quot;"),"'","&amp;apos;"))</f>
        <v/>
      </c>
      <c r="Q76" s="2" t="str">
        <f>IF(Saisie_Questions!J76="","",SUBSTITUTE(SUBSTITUTE(SUBSTITUTE(SUBSTITUTE(SUBSTITUTE(Saisie_Questions!J76,"&amp;","&amp;amp;"),"&lt;","&amp;lt;"),"&gt;","&amp;gt;"),CHAR(34),"&amp;quot;"),"'","&amp;apos;"))</f>
        <v/>
      </c>
      <c r="R76" s="2" t="str">
        <f>IF(Saisie_Questions!K76="","",SUBSTITUTE(SUBSTITUTE(SUBSTITUTE(SUBSTITUTE(SUBSTITUTE(Saisie_Questions!K76,"&amp;","&amp;amp;"),"&lt;","&amp;lt;"),"&gt;","&amp;gt;"),CHAR(34),"&amp;quot;"),"'","&amp;apos;"))</f>
        <v/>
      </c>
      <c r="S76" s="2" t="str">
        <f>IF(Saisie_Questions!L76="","",SUBSTITUTE(SUBSTITUTE(SUBSTITUTE(SUBSTITUTE(SUBSTITUTE(Saisie_Questions!L76,"&amp;","&amp;amp;"),"&lt;","&amp;lt;"),"&gt;","&amp;gt;"),CHAR(34),"&amp;quot;"),"'","&amp;apos;"))</f>
        <v/>
      </c>
      <c r="T76" s="2" t="b">
        <f t="shared" si="38"/>
        <v>0</v>
      </c>
      <c r="U76" s="2" t="b">
        <f t="shared" si="39"/>
        <v>0</v>
      </c>
      <c r="V76" s="2" t="b">
        <f t="shared" si="40"/>
        <v>0</v>
      </c>
      <c r="W76" s="2" t="b">
        <f t="shared" si="41"/>
        <v>0</v>
      </c>
      <c r="X76" s="2" t="b">
        <f t="shared" si="42"/>
        <v>0</v>
      </c>
      <c r="Y76" s="2" t="b">
        <f t="shared" si="43"/>
        <v>0</v>
      </c>
      <c r="Z76" s="2" t="b">
        <f t="shared" si="44"/>
        <v>0</v>
      </c>
      <c r="AA76" s="2" t="b">
        <f t="shared" si="45"/>
        <v>0</v>
      </c>
      <c r="AB76" s="2" t="str">
        <f t="shared" si="46"/>
        <v/>
      </c>
      <c r="AC76" s="2" t="str">
        <f t="shared" si="47"/>
        <v/>
      </c>
      <c r="AD76" s="2" t="str">
        <f t="shared" si="48"/>
        <v/>
      </c>
      <c r="AE76" s="2" t="str">
        <f t="shared" si="49"/>
        <v/>
      </c>
      <c r="AF76" s="2" t="str">
        <f t="shared" si="50"/>
        <v/>
      </c>
      <c r="AG76" s="2" t="str">
        <f t="shared" si="51"/>
        <v/>
      </c>
      <c r="AH76" s="2" t="str">
        <f t="shared" si="52"/>
        <v/>
      </c>
      <c r="AI76" s="2" t="str">
        <f t="shared" si="53"/>
        <v/>
      </c>
      <c r="AJ76" s="2" t="str">
        <f>IF($B76,IF(L76="","",IF($C76="qcu",IF(T76,"      &lt;respcondition continue=""Yes""&gt;&lt;conditionvar&gt;&lt;varequal respident=""RESPONSE""&gt;0&lt;/varequal&gt;&lt;/conditionvar&gt;&lt;setvar action=""Add""&gt;"&amp;$H76&amp;"&lt;/setvar&gt;&lt;/respcondition&gt;",""),IF(T76,"      &lt;respcondition continue=""Yes""&gt;&lt;conditionvar&gt;&lt;varequal respident=""RESPONSE""&gt;0&lt;/varequal&gt;&lt;/conditionvar&gt;&lt;setvar action=""Add""&gt;"&amp;(Saisie_Questions!$N76/$I76)&amp;"&lt;/setvar&gt;&lt;/respcondition&gt;","      &lt;respcondition continue=""Yes""&gt;&lt;conditionvar&gt;&lt;not&gt;&lt;varequal respident=""RESPONSE""&gt;0&lt;/varequal&gt;&lt;/not&gt;&lt;/conditionvar&gt;&lt;setvar action=""Add""&gt;"&amp;(Saisie_Questions!$N76/$I76)&amp;"&lt;/setvar&gt;&lt;/respcondition&gt;"))),"")</f>
        <v/>
      </c>
      <c r="AK76" s="2" t="str">
        <f>IF($B76,IF(M76="","",IF($C76="qcu",IF(U76,"      &lt;respcondition continue=""Yes""&gt;&lt;conditionvar&gt;&lt;varequal respident=""RESPONSE""&gt;1&lt;/varequal&gt;&lt;/conditionvar&gt;&lt;setvar action=""Add""&gt;"&amp;$H76&amp;"&lt;/setvar&gt;&lt;/respcondition&gt;",""),IF(U76,"      &lt;respcondition continue=""Yes""&gt;&lt;conditionvar&gt;&lt;varequal respident=""RESPONSE""&gt;1&lt;/varequal&gt;&lt;/conditionvar&gt;&lt;setvar action=""Add""&gt;"&amp;(Saisie_Questions!$N76/$I76)&amp;"&lt;/setvar&gt;&lt;/respcondition&gt;","      &lt;respcondition continue=""Yes""&gt;&lt;conditionvar&gt;&lt;not&gt;&lt;varequal respident=""RESPONSE""&gt;1&lt;/varequal&gt;&lt;/not&gt;&lt;/conditionvar&gt;&lt;setvar action=""Add""&gt;"&amp;(Saisie_Questions!$N76/$I76)&amp;"&lt;/setvar&gt;&lt;/respcondition&gt;"))),"")</f>
        <v/>
      </c>
      <c r="AL76" s="2" t="str">
        <f>IF($B76,IF(N76="","",IF($C76="qcu",IF(V76,"      &lt;respcondition continue=""Yes""&gt;&lt;conditionvar&gt;&lt;varequal respident=""RESPONSE""&gt;2&lt;/varequal&gt;&lt;/conditionvar&gt;&lt;setvar action=""Add""&gt;"&amp;$H76&amp;"&lt;/setvar&gt;&lt;/respcondition&gt;",""),IF(V76,"      &lt;respcondition continue=""Yes""&gt;&lt;conditionvar&gt;&lt;varequal respident=""RESPONSE""&gt;2&lt;/varequal&gt;&lt;/conditionvar&gt;&lt;setvar action=""Add""&gt;"&amp;(Saisie_Questions!$N76/$I76)&amp;"&lt;/setvar&gt;&lt;/respcondition&gt;","      &lt;respcondition continue=""Yes""&gt;&lt;conditionvar&gt;&lt;not&gt;&lt;varequal respident=""RESPONSE""&gt;2&lt;/varequal&gt;&lt;/not&gt;&lt;/conditionvar&gt;&lt;setvar action=""Add""&gt;"&amp;(Saisie_Questions!$N76/$I76)&amp;"&lt;/setvar&gt;&lt;/respcondition&gt;"))),"")</f>
        <v/>
      </c>
      <c r="AM76" s="2" t="str">
        <f>IF($B76,IF(O76="","",IF($C76="qcu",IF(W76,"      &lt;respcondition continue=""Yes""&gt;&lt;conditionvar&gt;&lt;varequal respident=""RESPONSE""&gt;3&lt;/varequal&gt;&lt;/conditionvar&gt;&lt;setvar action=""Add""&gt;"&amp;$H76&amp;"&lt;/setvar&gt;&lt;/respcondition&gt;",""),IF(W76,"      &lt;respcondition continue=""Yes""&gt;&lt;conditionvar&gt;&lt;varequal respident=""RESPONSE""&gt;3&lt;/varequal&gt;&lt;/conditionvar&gt;&lt;setvar action=""Add""&gt;"&amp;(Saisie_Questions!$N76/$I76)&amp;"&lt;/setvar&gt;&lt;/respcondition&gt;","      &lt;respcondition continue=""Yes""&gt;&lt;conditionvar&gt;&lt;not&gt;&lt;varequal respident=""RESPONSE""&gt;3&lt;/varequal&gt;&lt;/not&gt;&lt;/conditionvar&gt;&lt;setvar action=""Add""&gt;"&amp;(Saisie_Questions!$N76/$I76)&amp;"&lt;/setvar&gt;&lt;/respcondition&gt;"))),"")</f>
        <v/>
      </c>
      <c r="AN76" s="2" t="str">
        <f>IF($B76,IF(P76="","",IF($C76="qcu",IF(X76,"      &lt;respcondition continue=""Yes""&gt;&lt;conditionvar&gt;&lt;varequal respident=""RESPONSE""&gt;4&lt;/varequal&gt;&lt;/conditionvar&gt;&lt;setvar action=""Add""&gt;"&amp;$H76&amp;"&lt;/setvar&gt;&lt;/respcondition&gt;",""),IF(X76,"      &lt;respcondition continue=""Yes""&gt;&lt;conditionvar&gt;&lt;varequal respident=""RESPONSE""&gt;4&lt;/varequal&gt;&lt;/conditionvar&gt;&lt;setvar action=""Add""&gt;"&amp;(Saisie_Questions!$N76/$I76)&amp;"&lt;/setvar&gt;&lt;/respcondition&gt;","      &lt;respcondition continue=""Yes""&gt;&lt;conditionvar&gt;&lt;not&gt;&lt;varequal respident=""RESPONSE""&gt;4&lt;/varequal&gt;&lt;/not&gt;&lt;/conditionvar&gt;&lt;setvar action=""Add""&gt;"&amp;(Saisie_Questions!$N76/$I76)&amp;"&lt;/setvar&gt;&lt;/respcondition&gt;"))),"")</f>
        <v/>
      </c>
      <c r="AO76" s="2" t="str">
        <f>IF($B76,IF(Q76="","",IF($C76="qcu",IF(Y76,"      &lt;respcondition continue=""Yes""&gt;&lt;conditionvar&gt;&lt;varequal respident=""RESPONSE""&gt;5&lt;/varequal&gt;&lt;/conditionvar&gt;&lt;setvar action=""Add""&gt;"&amp;$H76&amp;"&lt;/setvar&gt;&lt;/respcondition&gt;",""),IF(Y76,"      &lt;respcondition continue=""Yes""&gt;&lt;conditionvar&gt;&lt;varequal respident=""RESPONSE""&gt;5&lt;/varequal&gt;&lt;/conditionvar&gt;&lt;setvar action=""Add""&gt;"&amp;(Saisie_Questions!$N76/$I76)&amp;"&lt;/setvar&gt;&lt;/respcondition&gt;","      &lt;respcondition continue=""Yes""&gt;&lt;conditionvar&gt;&lt;not&gt;&lt;varequal respident=""RESPONSE""&gt;5&lt;/varequal&gt;&lt;/not&gt;&lt;/conditionvar&gt;&lt;setvar action=""Add""&gt;"&amp;(Saisie_Questions!$N76/$I76)&amp;"&lt;/setvar&gt;&lt;/respcondition&gt;"))),"")</f>
        <v/>
      </c>
      <c r="AP76" s="2" t="str">
        <f>IF($B76,IF(R76="","",IF($C76="qcu",IF(Z76,"      &lt;respcondition continue=""Yes""&gt;&lt;conditionvar&gt;&lt;varequal respident=""RESPONSE""&gt;6&lt;/varequal&gt;&lt;/conditionvar&gt;&lt;setvar action=""Add""&gt;"&amp;$H76&amp;"&lt;/setvar&gt;&lt;/respcondition&gt;",""),IF(Z76,"      &lt;respcondition continue=""Yes""&gt;&lt;conditionvar&gt;&lt;varequal respident=""RESPONSE""&gt;6&lt;/varequal&gt;&lt;/conditionvar&gt;&lt;setvar action=""Add""&gt;"&amp;(Saisie_Questions!$N76/$I76)&amp;"&lt;/setvar&gt;&lt;/respcondition&gt;","      &lt;respcondition continue=""Yes""&gt;&lt;conditionvar&gt;&lt;not&gt;&lt;varequal respident=""RESPONSE""&gt;6&lt;/varequal&gt;&lt;/not&gt;&lt;/conditionvar&gt;&lt;setvar action=""Add""&gt;"&amp;(Saisie_Questions!$N76/$I76)&amp;"&lt;/setvar&gt;&lt;/respcondition&gt;"))),"")</f>
        <v/>
      </c>
      <c r="AQ76" s="2" t="str">
        <f>IF($B76,IF(S76="","",IF($C76="qcu",IF(AA76,"      &lt;respcondition continue=""Yes""&gt;&lt;conditionvar&gt;&lt;varequal respident=""RESPONSE""&gt;7&lt;/varequal&gt;&lt;/conditionvar&gt;&lt;setvar action=""Add""&gt;"&amp;$H76&amp;"&lt;/setvar&gt;&lt;/respcondition&gt;",""),IF(AA76,"      &lt;respcondition continue=""Yes""&gt;&lt;conditionvar&gt;&lt;varequal respident=""RESPONSE""&gt;7&lt;/varequal&gt;&lt;/conditionvar&gt;&lt;setvar action=""Add""&gt;"&amp;(Saisie_Questions!$N76/$I76)&amp;"&lt;/setvar&gt;&lt;/respcondition&gt;","      &lt;respcondition continue=""Yes""&gt;&lt;conditionvar&gt;&lt;not&gt;&lt;varequal respident=""RESPONSE""&gt;7&lt;/varequal&gt;&lt;/not&gt;&lt;/conditionvar&gt;&lt;setvar action=""Add""&gt;"&amp;(Saisie_Questions!$N76/$I76)&amp;"&lt;/setvar&gt;&lt;/respcondition&gt;"))),"")</f>
        <v/>
      </c>
    </row>
    <row r="77" spans="1:43" ht="18" customHeight="1">
      <c r="A77" s="2" t="str">
        <f>Saisie_Questions!A77</f>
        <v/>
      </c>
      <c r="B77" s="2" t="b">
        <f>Saisie_Questions!O77="OK"</f>
        <v>0</v>
      </c>
      <c r="C77" s="2" t="str">
        <f>LOWER(TRIM(Saisie_Questions!B77))</f>
        <v/>
      </c>
      <c r="D77" s="2" t="str">
        <f t="shared" si="36"/>
        <v>MULTIPLE CHOICE QUESTION</v>
      </c>
      <c r="E77" s="2" t="str">
        <f t="shared" si="37"/>
        <v>Multiple</v>
      </c>
      <c r="F77" s="2" t="str">
        <f>IF(A77="","",SUBSTITUTE(SUBSTITUTE(SUBSTITUTE(SUBSTITUTE(SUBSTITUTE(IF(Saisie_Questions!C77="", "Question "&amp;A77, Saisie_Questions!C77),"&amp;","&amp;amp;"),"&lt;","&amp;lt;"),"&gt;","&amp;gt;"),CHAR(34),"&amp;quot;"),"'","&amp;apos;"))</f>
        <v/>
      </c>
      <c r="G77" s="2" t="str">
        <f>IF(A77="","",SUBSTITUTE(SUBSTITUTE(SUBSTITUTE(SUBSTITUTE(SUBSTITUTE(Saisie_Questions!D77,"&amp;","&amp;amp;"),"&lt;","&amp;lt;"),"&gt;","&amp;gt;"),CHAR(34),"&amp;quot;"),"'","&amp;apos;"))</f>
        <v/>
      </c>
      <c r="H77" s="2">
        <f>Saisie_Questions!N77</f>
        <v>0</v>
      </c>
      <c r="I77" s="2">
        <f>IF(Saisie_Questions!E77="",0,1)+IF(Saisie_Questions!F77="",0,1)+IF(Saisie_Questions!G77="",0,1)+IF(Saisie_Questions!H77="",0,1)+IF(Saisie_Questions!I77="",0,1)+IF(Saisie_Questions!J77="",0,1)+IF(Saisie_Questions!K77="",0,1)+IF(Saisie_Questions!L77="",0,1)</f>
        <v>0</v>
      </c>
      <c r="J77" s="2">
        <f>Saisie_Questions!M77</f>
        <v>0</v>
      </c>
      <c r="K77" s="2" t="str">
        <f>Saisie_Questions!O77</f>
        <v/>
      </c>
      <c r="L77" s="2" t="str">
        <f>IF(Saisie_Questions!E77="","",SUBSTITUTE(SUBSTITUTE(SUBSTITUTE(SUBSTITUTE(SUBSTITUTE(Saisie_Questions!E77,"&amp;","&amp;amp;"),"&lt;","&amp;lt;"),"&gt;","&amp;gt;"),CHAR(34),"&amp;quot;"),"'","&amp;apos;"))</f>
        <v/>
      </c>
      <c r="M77" s="2" t="str">
        <f>IF(Saisie_Questions!F77="","",SUBSTITUTE(SUBSTITUTE(SUBSTITUTE(SUBSTITUTE(SUBSTITUTE(Saisie_Questions!F77,"&amp;","&amp;amp;"),"&lt;","&amp;lt;"),"&gt;","&amp;gt;"),CHAR(34),"&amp;quot;"),"'","&amp;apos;"))</f>
        <v/>
      </c>
      <c r="N77" s="2" t="str">
        <f>IF(Saisie_Questions!G77="","",SUBSTITUTE(SUBSTITUTE(SUBSTITUTE(SUBSTITUTE(SUBSTITUTE(Saisie_Questions!G77,"&amp;","&amp;amp;"),"&lt;","&amp;lt;"),"&gt;","&amp;gt;"),CHAR(34),"&amp;quot;"),"'","&amp;apos;"))</f>
        <v/>
      </c>
      <c r="O77" s="2" t="str">
        <f>IF(Saisie_Questions!H77="","",SUBSTITUTE(SUBSTITUTE(SUBSTITUTE(SUBSTITUTE(SUBSTITUTE(Saisie_Questions!H77,"&amp;","&amp;amp;"),"&lt;","&amp;lt;"),"&gt;","&amp;gt;"),CHAR(34),"&amp;quot;"),"'","&amp;apos;"))</f>
        <v/>
      </c>
      <c r="P77" s="2" t="str">
        <f>IF(Saisie_Questions!I77="","",SUBSTITUTE(SUBSTITUTE(SUBSTITUTE(SUBSTITUTE(SUBSTITUTE(Saisie_Questions!I77,"&amp;","&amp;amp;"),"&lt;","&amp;lt;"),"&gt;","&amp;gt;"),CHAR(34),"&amp;quot;"),"'","&amp;apos;"))</f>
        <v/>
      </c>
      <c r="Q77" s="2" t="str">
        <f>IF(Saisie_Questions!J77="","",SUBSTITUTE(SUBSTITUTE(SUBSTITUTE(SUBSTITUTE(SUBSTITUTE(Saisie_Questions!J77,"&amp;","&amp;amp;"),"&lt;","&amp;lt;"),"&gt;","&amp;gt;"),CHAR(34),"&amp;quot;"),"'","&amp;apos;"))</f>
        <v/>
      </c>
      <c r="R77" s="2" t="str">
        <f>IF(Saisie_Questions!K77="","",SUBSTITUTE(SUBSTITUTE(SUBSTITUTE(SUBSTITUTE(SUBSTITUTE(Saisie_Questions!K77,"&amp;","&amp;amp;"),"&lt;","&amp;lt;"),"&gt;","&amp;gt;"),CHAR(34),"&amp;quot;"),"'","&amp;apos;"))</f>
        <v/>
      </c>
      <c r="S77" s="2" t="str">
        <f>IF(Saisie_Questions!L77="","",SUBSTITUTE(SUBSTITUTE(SUBSTITUTE(SUBSTITUTE(SUBSTITUTE(Saisie_Questions!L77,"&amp;","&amp;amp;"),"&lt;","&amp;lt;"),"&gt;","&amp;gt;"),CHAR(34),"&amp;quot;"),"'","&amp;apos;"))</f>
        <v/>
      </c>
      <c r="T77" s="2" t="b">
        <f t="shared" si="38"/>
        <v>0</v>
      </c>
      <c r="U77" s="2" t="b">
        <f t="shared" si="39"/>
        <v>0</v>
      </c>
      <c r="V77" s="2" t="b">
        <f t="shared" si="40"/>
        <v>0</v>
      </c>
      <c r="W77" s="2" t="b">
        <f t="shared" si="41"/>
        <v>0</v>
      </c>
      <c r="X77" s="2" t="b">
        <f t="shared" si="42"/>
        <v>0</v>
      </c>
      <c r="Y77" s="2" t="b">
        <f t="shared" si="43"/>
        <v>0</v>
      </c>
      <c r="Z77" s="2" t="b">
        <f t="shared" si="44"/>
        <v>0</v>
      </c>
      <c r="AA77" s="2" t="b">
        <f t="shared" si="45"/>
        <v>0</v>
      </c>
      <c r="AB77" s="2" t="str">
        <f t="shared" si="46"/>
        <v/>
      </c>
      <c r="AC77" s="2" t="str">
        <f t="shared" si="47"/>
        <v/>
      </c>
      <c r="AD77" s="2" t="str">
        <f t="shared" si="48"/>
        <v/>
      </c>
      <c r="AE77" s="2" t="str">
        <f t="shared" si="49"/>
        <v/>
      </c>
      <c r="AF77" s="2" t="str">
        <f t="shared" si="50"/>
        <v/>
      </c>
      <c r="AG77" s="2" t="str">
        <f t="shared" si="51"/>
        <v/>
      </c>
      <c r="AH77" s="2" t="str">
        <f t="shared" si="52"/>
        <v/>
      </c>
      <c r="AI77" s="2" t="str">
        <f t="shared" si="53"/>
        <v/>
      </c>
      <c r="AJ77" s="2" t="str">
        <f>IF($B77,IF(L77="","",IF($C77="qcu",IF(T77,"      &lt;respcondition continue=""Yes""&gt;&lt;conditionvar&gt;&lt;varequal respident=""RESPONSE""&gt;0&lt;/varequal&gt;&lt;/conditionvar&gt;&lt;setvar action=""Add""&gt;"&amp;$H77&amp;"&lt;/setvar&gt;&lt;/respcondition&gt;",""),IF(T77,"      &lt;respcondition continue=""Yes""&gt;&lt;conditionvar&gt;&lt;varequal respident=""RESPONSE""&gt;0&lt;/varequal&gt;&lt;/conditionvar&gt;&lt;setvar action=""Add""&gt;"&amp;(Saisie_Questions!$N77/$I77)&amp;"&lt;/setvar&gt;&lt;/respcondition&gt;","      &lt;respcondition continue=""Yes""&gt;&lt;conditionvar&gt;&lt;not&gt;&lt;varequal respident=""RESPONSE""&gt;0&lt;/varequal&gt;&lt;/not&gt;&lt;/conditionvar&gt;&lt;setvar action=""Add""&gt;"&amp;(Saisie_Questions!$N77/$I77)&amp;"&lt;/setvar&gt;&lt;/respcondition&gt;"))),"")</f>
        <v/>
      </c>
      <c r="AK77" s="2" t="str">
        <f>IF($B77,IF(M77="","",IF($C77="qcu",IF(U77,"      &lt;respcondition continue=""Yes""&gt;&lt;conditionvar&gt;&lt;varequal respident=""RESPONSE""&gt;1&lt;/varequal&gt;&lt;/conditionvar&gt;&lt;setvar action=""Add""&gt;"&amp;$H77&amp;"&lt;/setvar&gt;&lt;/respcondition&gt;",""),IF(U77,"      &lt;respcondition continue=""Yes""&gt;&lt;conditionvar&gt;&lt;varequal respident=""RESPONSE""&gt;1&lt;/varequal&gt;&lt;/conditionvar&gt;&lt;setvar action=""Add""&gt;"&amp;(Saisie_Questions!$N77/$I77)&amp;"&lt;/setvar&gt;&lt;/respcondition&gt;","      &lt;respcondition continue=""Yes""&gt;&lt;conditionvar&gt;&lt;not&gt;&lt;varequal respident=""RESPONSE""&gt;1&lt;/varequal&gt;&lt;/not&gt;&lt;/conditionvar&gt;&lt;setvar action=""Add""&gt;"&amp;(Saisie_Questions!$N77/$I77)&amp;"&lt;/setvar&gt;&lt;/respcondition&gt;"))),"")</f>
        <v/>
      </c>
      <c r="AL77" s="2" t="str">
        <f>IF($B77,IF(N77="","",IF($C77="qcu",IF(V77,"      &lt;respcondition continue=""Yes""&gt;&lt;conditionvar&gt;&lt;varequal respident=""RESPONSE""&gt;2&lt;/varequal&gt;&lt;/conditionvar&gt;&lt;setvar action=""Add""&gt;"&amp;$H77&amp;"&lt;/setvar&gt;&lt;/respcondition&gt;",""),IF(V77,"      &lt;respcondition continue=""Yes""&gt;&lt;conditionvar&gt;&lt;varequal respident=""RESPONSE""&gt;2&lt;/varequal&gt;&lt;/conditionvar&gt;&lt;setvar action=""Add""&gt;"&amp;(Saisie_Questions!$N77/$I77)&amp;"&lt;/setvar&gt;&lt;/respcondition&gt;","      &lt;respcondition continue=""Yes""&gt;&lt;conditionvar&gt;&lt;not&gt;&lt;varequal respident=""RESPONSE""&gt;2&lt;/varequal&gt;&lt;/not&gt;&lt;/conditionvar&gt;&lt;setvar action=""Add""&gt;"&amp;(Saisie_Questions!$N77/$I77)&amp;"&lt;/setvar&gt;&lt;/respcondition&gt;"))),"")</f>
        <v/>
      </c>
      <c r="AM77" s="2" t="str">
        <f>IF($B77,IF(O77="","",IF($C77="qcu",IF(W77,"      &lt;respcondition continue=""Yes""&gt;&lt;conditionvar&gt;&lt;varequal respident=""RESPONSE""&gt;3&lt;/varequal&gt;&lt;/conditionvar&gt;&lt;setvar action=""Add""&gt;"&amp;$H77&amp;"&lt;/setvar&gt;&lt;/respcondition&gt;",""),IF(W77,"      &lt;respcondition continue=""Yes""&gt;&lt;conditionvar&gt;&lt;varequal respident=""RESPONSE""&gt;3&lt;/varequal&gt;&lt;/conditionvar&gt;&lt;setvar action=""Add""&gt;"&amp;(Saisie_Questions!$N77/$I77)&amp;"&lt;/setvar&gt;&lt;/respcondition&gt;","      &lt;respcondition continue=""Yes""&gt;&lt;conditionvar&gt;&lt;not&gt;&lt;varequal respident=""RESPONSE""&gt;3&lt;/varequal&gt;&lt;/not&gt;&lt;/conditionvar&gt;&lt;setvar action=""Add""&gt;"&amp;(Saisie_Questions!$N77/$I77)&amp;"&lt;/setvar&gt;&lt;/respcondition&gt;"))),"")</f>
        <v/>
      </c>
      <c r="AN77" s="2" t="str">
        <f>IF($B77,IF(P77="","",IF($C77="qcu",IF(X77,"      &lt;respcondition continue=""Yes""&gt;&lt;conditionvar&gt;&lt;varequal respident=""RESPONSE""&gt;4&lt;/varequal&gt;&lt;/conditionvar&gt;&lt;setvar action=""Add""&gt;"&amp;$H77&amp;"&lt;/setvar&gt;&lt;/respcondition&gt;",""),IF(X77,"      &lt;respcondition continue=""Yes""&gt;&lt;conditionvar&gt;&lt;varequal respident=""RESPONSE""&gt;4&lt;/varequal&gt;&lt;/conditionvar&gt;&lt;setvar action=""Add""&gt;"&amp;(Saisie_Questions!$N77/$I77)&amp;"&lt;/setvar&gt;&lt;/respcondition&gt;","      &lt;respcondition continue=""Yes""&gt;&lt;conditionvar&gt;&lt;not&gt;&lt;varequal respident=""RESPONSE""&gt;4&lt;/varequal&gt;&lt;/not&gt;&lt;/conditionvar&gt;&lt;setvar action=""Add""&gt;"&amp;(Saisie_Questions!$N77/$I77)&amp;"&lt;/setvar&gt;&lt;/respcondition&gt;"))),"")</f>
        <v/>
      </c>
      <c r="AO77" s="2" t="str">
        <f>IF($B77,IF(Q77="","",IF($C77="qcu",IF(Y77,"      &lt;respcondition continue=""Yes""&gt;&lt;conditionvar&gt;&lt;varequal respident=""RESPONSE""&gt;5&lt;/varequal&gt;&lt;/conditionvar&gt;&lt;setvar action=""Add""&gt;"&amp;$H77&amp;"&lt;/setvar&gt;&lt;/respcondition&gt;",""),IF(Y77,"      &lt;respcondition continue=""Yes""&gt;&lt;conditionvar&gt;&lt;varequal respident=""RESPONSE""&gt;5&lt;/varequal&gt;&lt;/conditionvar&gt;&lt;setvar action=""Add""&gt;"&amp;(Saisie_Questions!$N77/$I77)&amp;"&lt;/setvar&gt;&lt;/respcondition&gt;","      &lt;respcondition continue=""Yes""&gt;&lt;conditionvar&gt;&lt;not&gt;&lt;varequal respident=""RESPONSE""&gt;5&lt;/varequal&gt;&lt;/not&gt;&lt;/conditionvar&gt;&lt;setvar action=""Add""&gt;"&amp;(Saisie_Questions!$N77/$I77)&amp;"&lt;/setvar&gt;&lt;/respcondition&gt;"))),"")</f>
        <v/>
      </c>
      <c r="AP77" s="2" t="str">
        <f>IF($B77,IF(R77="","",IF($C77="qcu",IF(Z77,"      &lt;respcondition continue=""Yes""&gt;&lt;conditionvar&gt;&lt;varequal respident=""RESPONSE""&gt;6&lt;/varequal&gt;&lt;/conditionvar&gt;&lt;setvar action=""Add""&gt;"&amp;$H77&amp;"&lt;/setvar&gt;&lt;/respcondition&gt;",""),IF(Z77,"      &lt;respcondition continue=""Yes""&gt;&lt;conditionvar&gt;&lt;varequal respident=""RESPONSE""&gt;6&lt;/varequal&gt;&lt;/conditionvar&gt;&lt;setvar action=""Add""&gt;"&amp;(Saisie_Questions!$N77/$I77)&amp;"&lt;/setvar&gt;&lt;/respcondition&gt;","      &lt;respcondition continue=""Yes""&gt;&lt;conditionvar&gt;&lt;not&gt;&lt;varequal respident=""RESPONSE""&gt;6&lt;/varequal&gt;&lt;/not&gt;&lt;/conditionvar&gt;&lt;setvar action=""Add""&gt;"&amp;(Saisie_Questions!$N77/$I77)&amp;"&lt;/setvar&gt;&lt;/respcondition&gt;"))),"")</f>
        <v/>
      </c>
      <c r="AQ77" s="2" t="str">
        <f>IF($B77,IF(S77="","",IF($C77="qcu",IF(AA77,"      &lt;respcondition continue=""Yes""&gt;&lt;conditionvar&gt;&lt;varequal respident=""RESPONSE""&gt;7&lt;/varequal&gt;&lt;/conditionvar&gt;&lt;setvar action=""Add""&gt;"&amp;$H77&amp;"&lt;/setvar&gt;&lt;/respcondition&gt;",""),IF(AA77,"      &lt;respcondition continue=""Yes""&gt;&lt;conditionvar&gt;&lt;varequal respident=""RESPONSE""&gt;7&lt;/varequal&gt;&lt;/conditionvar&gt;&lt;setvar action=""Add""&gt;"&amp;(Saisie_Questions!$N77/$I77)&amp;"&lt;/setvar&gt;&lt;/respcondition&gt;","      &lt;respcondition continue=""Yes""&gt;&lt;conditionvar&gt;&lt;not&gt;&lt;varequal respident=""RESPONSE""&gt;7&lt;/varequal&gt;&lt;/not&gt;&lt;/conditionvar&gt;&lt;setvar action=""Add""&gt;"&amp;(Saisie_Questions!$N77/$I77)&amp;"&lt;/setvar&gt;&lt;/respcondition&gt;"))),"")</f>
        <v/>
      </c>
    </row>
    <row r="78" spans="1:43" ht="18" customHeight="1">
      <c r="A78" s="2" t="str">
        <f>Saisie_Questions!A78</f>
        <v/>
      </c>
      <c r="B78" s="2" t="b">
        <f>Saisie_Questions!O78="OK"</f>
        <v>0</v>
      </c>
      <c r="C78" s="2" t="str">
        <f>LOWER(TRIM(Saisie_Questions!B78))</f>
        <v/>
      </c>
      <c r="D78" s="2" t="str">
        <f t="shared" si="36"/>
        <v>MULTIPLE CHOICE QUESTION</v>
      </c>
      <c r="E78" s="2" t="str">
        <f t="shared" si="37"/>
        <v>Multiple</v>
      </c>
      <c r="F78" s="2" t="str">
        <f>IF(A78="","",SUBSTITUTE(SUBSTITUTE(SUBSTITUTE(SUBSTITUTE(SUBSTITUTE(IF(Saisie_Questions!C78="", "Question "&amp;A78, Saisie_Questions!C78),"&amp;","&amp;amp;"),"&lt;","&amp;lt;"),"&gt;","&amp;gt;"),CHAR(34),"&amp;quot;"),"'","&amp;apos;"))</f>
        <v/>
      </c>
      <c r="G78" s="2" t="str">
        <f>IF(A78="","",SUBSTITUTE(SUBSTITUTE(SUBSTITUTE(SUBSTITUTE(SUBSTITUTE(Saisie_Questions!D78,"&amp;","&amp;amp;"),"&lt;","&amp;lt;"),"&gt;","&amp;gt;"),CHAR(34),"&amp;quot;"),"'","&amp;apos;"))</f>
        <v/>
      </c>
      <c r="H78" s="2">
        <f>Saisie_Questions!N78</f>
        <v>0</v>
      </c>
      <c r="I78" s="2">
        <f>IF(Saisie_Questions!E78="",0,1)+IF(Saisie_Questions!F78="",0,1)+IF(Saisie_Questions!G78="",0,1)+IF(Saisie_Questions!H78="",0,1)+IF(Saisie_Questions!I78="",0,1)+IF(Saisie_Questions!J78="",0,1)+IF(Saisie_Questions!K78="",0,1)+IF(Saisie_Questions!L78="",0,1)</f>
        <v>0</v>
      </c>
      <c r="J78" s="2">
        <f>Saisie_Questions!M78</f>
        <v>0</v>
      </c>
      <c r="K78" s="2" t="str">
        <f>Saisie_Questions!O78</f>
        <v/>
      </c>
      <c r="L78" s="2" t="str">
        <f>IF(Saisie_Questions!E78="","",SUBSTITUTE(SUBSTITUTE(SUBSTITUTE(SUBSTITUTE(SUBSTITUTE(Saisie_Questions!E78,"&amp;","&amp;amp;"),"&lt;","&amp;lt;"),"&gt;","&amp;gt;"),CHAR(34),"&amp;quot;"),"'","&amp;apos;"))</f>
        <v/>
      </c>
      <c r="M78" s="2" t="str">
        <f>IF(Saisie_Questions!F78="","",SUBSTITUTE(SUBSTITUTE(SUBSTITUTE(SUBSTITUTE(SUBSTITUTE(Saisie_Questions!F78,"&amp;","&amp;amp;"),"&lt;","&amp;lt;"),"&gt;","&amp;gt;"),CHAR(34),"&amp;quot;"),"'","&amp;apos;"))</f>
        <v/>
      </c>
      <c r="N78" s="2" t="str">
        <f>IF(Saisie_Questions!G78="","",SUBSTITUTE(SUBSTITUTE(SUBSTITUTE(SUBSTITUTE(SUBSTITUTE(Saisie_Questions!G78,"&amp;","&amp;amp;"),"&lt;","&amp;lt;"),"&gt;","&amp;gt;"),CHAR(34),"&amp;quot;"),"'","&amp;apos;"))</f>
        <v/>
      </c>
      <c r="O78" s="2" t="str">
        <f>IF(Saisie_Questions!H78="","",SUBSTITUTE(SUBSTITUTE(SUBSTITUTE(SUBSTITUTE(SUBSTITUTE(Saisie_Questions!H78,"&amp;","&amp;amp;"),"&lt;","&amp;lt;"),"&gt;","&amp;gt;"),CHAR(34),"&amp;quot;"),"'","&amp;apos;"))</f>
        <v/>
      </c>
      <c r="P78" s="2" t="str">
        <f>IF(Saisie_Questions!I78="","",SUBSTITUTE(SUBSTITUTE(SUBSTITUTE(SUBSTITUTE(SUBSTITUTE(Saisie_Questions!I78,"&amp;","&amp;amp;"),"&lt;","&amp;lt;"),"&gt;","&amp;gt;"),CHAR(34),"&amp;quot;"),"'","&amp;apos;"))</f>
        <v/>
      </c>
      <c r="Q78" s="2" t="str">
        <f>IF(Saisie_Questions!J78="","",SUBSTITUTE(SUBSTITUTE(SUBSTITUTE(SUBSTITUTE(SUBSTITUTE(Saisie_Questions!J78,"&amp;","&amp;amp;"),"&lt;","&amp;lt;"),"&gt;","&amp;gt;"),CHAR(34),"&amp;quot;"),"'","&amp;apos;"))</f>
        <v/>
      </c>
      <c r="R78" s="2" t="str">
        <f>IF(Saisie_Questions!K78="","",SUBSTITUTE(SUBSTITUTE(SUBSTITUTE(SUBSTITUTE(SUBSTITUTE(Saisie_Questions!K78,"&amp;","&amp;amp;"),"&lt;","&amp;lt;"),"&gt;","&amp;gt;"),CHAR(34),"&amp;quot;"),"'","&amp;apos;"))</f>
        <v/>
      </c>
      <c r="S78" s="2" t="str">
        <f>IF(Saisie_Questions!L78="","",SUBSTITUTE(SUBSTITUTE(SUBSTITUTE(SUBSTITUTE(SUBSTITUTE(Saisie_Questions!L78,"&amp;","&amp;amp;"),"&lt;","&amp;lt;"),"&gt;","&amp;gt;"),CHAR(34),"&amp;quot;"),"'","&amp;apos;"))</f>
        <v/>
      </c>
      <c r="T78" s="2" t="b">
        <f t="shared" si="38"/>
        <v>0</v>
      </c>
      <c r="U78" s="2" t="b">
        <f t="shared" si="39"/>
        <v>0</v>
      </c>
      <c r="V78" s="2" t="b">
        <f t="shared" si="40"/>
        <v>0</v>
      </c>
      <c r="W78" s="2" t="b">
        <f t="shared" si="41"/>
        <v>0</v>
      </c>
      <c r="X78" s="2" t="b">
        <f t="shared" si="42"/>
        <v>0</v>
      </c>
      <c r="Y78" s="2" t="b">
        <f t="shared" si="43"/>
        <v>0</v>
      </c>
      <c r="Z78" s="2" t="b">
        <f t="shared" si="44"/>
        <v>0</v>
      </c>
      <c r="AA78" s="2" t="b">
        <f t="shared" si="45"/>
        <v>0</v>
      </c>
      <c r="AB78" s="2" t="str">
        <f t="shared" si="46"/>
        <v/>
      </c>
      <c r="AC78" s="2" t="str">
        <f t="shared" si="47"/>
        <v/>
      </c>
      <c r="AD78" s="2" t="str">
        <f t="shared" si="48"/>
        <v/>
      </c>
      <c r="AE78" s="2" t="str">
        <f t="shared" si="49"/>
        <v/>
      </c>
      <c r="AF78" s="2" t="str">
        <f t="shared" si="50"/>
        <v/>
      </c>
      <c r="AG78" s="2" t="str">
        <f t="shared" si="51"/>
        <v/>
      </c>
      <c r="AH78" s="2" t="str">
        <f t="shared" si="52"/>
        <v/>
      </c>
      <c r="AI78" s="2" t="str">
        <f t="shared" si="53"/>
        <v/>
      </c>
      <c r="AJ78" s="2" t="str">
        <f>IF($B78,IF(L78="","",IF($C78="qcu",IF(T78,"      &lt;respcondition continue=""Yes""&gt;&lt;conditionvar&gt;&lt;varequal respident=""RESPONSE""&gt;0&lt;/varequal&gt;&lt;/conditionvar&gt;&lt;setvar action=""Add""&gt;"&amp;$H78&amp;"&lt;/setvar&gt;&lt;/respcondition&gt;",""),IF(T78,"      &lt;respcondition continue=""Yes""&gt;&lt;conditionvar&gt;&lt;varequal respident=""RESPONSE""&gt;0&lt;/varequal&gt;&lt;/conditionvar&gt;&lt;setvar action=""Add""&gt;"&amp;(Saisie_Questions!$N78/$I78)&amp;"&lt;/setvar&gt;&lt;/respcondition&gt;","      &lt;respcondition continue=""Yes""&gt;&lt;conditionvar&gt;&lt;not&gt;&lt;varequal respident=""RESPONSE""&gt;0&lt;/varequal&gt;&lt;/not&gt;&lt;/conditionvar&gt;&lt;setvar action=""Add""&gt;"&amp;(Saisie_Questions!$N78/$I78)&amp;"&lt;/setvar&gt;&lt;/respcondition&gt;"))),"")</f>
        <v/>
      </c>
      <c r="AK78" s="2" t="str">
        <f>IF($B78,IF(M78="","",IF($C78="qcu",IF(U78,"      &lt;respcondition continue=""Yes""&gt;&lt;conditionvar&gt;&lt;varequal respident=""RESPONSE""&gt;1&lt;/varequal&gt;&lt;/conditionvar&gt;&lt;setvar action=""Add""&gt;"&amp;$H78&amp;"&lt;/setvar&gt;&lt;/respcondition&gt;",""),IF(U78,"      &lt;respcondition continue=""Yes""&gt;&lt;conditionvar&gt;&lt;varequal respident=""RESPONSE""&gt;1&lt;/varequal&gt;&lt;/conditionvar&gt;&lt;setvar action=""Add""&gt;"&amp;(Saisie_Questions!$N78/$I78)&amp;"&lt;/setvar&gt;&lt;/respcondition&gt;","      &lt;respcondition continue=""Yes""&gt;&lt;conditionvar&gt;&lt;not&gt;&lt;varequal respident=""RESPONSE""&gt;1&lt;/varequal&gt;&lt;/not&gt;&lt;/conditionvar&gt;&lt;setvar action=""Add""&gt;"&amp;(Saisie_Questions!$N78/$I78)&amp;"&lt;/setvar&gt;&lt;/respcondition&gt;"))),"")</f>
        <v/>
      </c>
      <c r="AL78" s="2" t="str">
        <f>IF($B78,IF(N78="","",IF($C78="qcu",IF(V78,"      &lt;respcondition continue=""Yes""&gt;&lt;conditionvar&gt;&lt;varequal respident=""RESPONSE""&gt;2&lt;/varequal&gt;&lt;/conditionvar&gt;&lt;setvar action=""Add""&gt;"&amp;$H78&amp;"&lt;/setvar&gt;&lt;/respcondition&gt;",""),IF(V78,"      &lt;respcondition continue=""Yes""&gt;&lt;conditionvar&gt;&lt;varequal respident=""RESPONSE""&gt;2&lt;/varequal&gt;&lt;/conditionvar&gt;&lt;setvar action=""Add""&gt;"&amp;(Saisie_Questions!$N78/$I78)&amp;"&lt;/setvar&gt;&lt;/respcondition&gt;","      &lt;respcondition continue=""Yes""&gt;&lt;conditionvar&gt;&lt;not&gt;&lt;varequal respident=""RESPONSE""&gt;2&lt;/varequal&gt;&lt;/not&gt;&lt;/conditionvar&gt;&lt;setvar action=""Add""&gt;"&amp;(Saisie_Questions!$N78/$I78)&amp;"&lt;/setvar&gt;&lt;/respcondition&gt;"))),"")</f>
        <v/>
      </c>
      <c r="AM78" s="2" t="str">
        <f>IF($B78,IF(O78="","",IF($C78="qcu",IF(W78,"      &lt;respcondition continue=""Yes""&gt;&lt;conditionvar&gt;&lt;varequal respident=""RESPONSE""&gt;3&lt;/varequal&gt;&lt;/conditionvar&gt;&lt;setvar action=""Add""&gt;"&amp;$H78&amp;"&lt;/setvar&gt;&lt;/respcondition&gt;",""),IF(W78,"      &lt;respcondition continue=""Yes""&gt;&lt;conditionvar&gt;&lt;varequal respident=""RESPONSE""&gt;3&lt;/varequal&gt;&lt;/conditionvar&gt;&lt;setvar action=""Add""&gt;"&amp;(Saisie_Questions!$N78/$I78)&amp;"&lt;/setvar&gt;&lt;/respcondition&gt;","      &lt;respcondition continue=""Yes""&gt;&lt;conditionvar&gt;&lt;not&gt;&lt;varequal respident=""RESPONSE""&gt;3&lt;/varequal&gt;&lt;/not&gt;&lt;/conditionvar&gt;&lt;setvar action=""Add""&gt;"&amp;(Saisie_Questions!$N78/$I78)&amp;"&lt;/setvar&gt;&lt;/respcondition&gt;"))),"")</f>
        <v/>
      </c>
      <c r="AN78" s="2" t="str">
        <f>IF($B78,IF(P78="","",IF($C78="qcu",IF(X78,"      &lt;respcondition continue=""Yes""&gt;&lt;conditionvar&gt;&lt;varequal respident=""RESPONSE""&gt;4&lt;/varequal&gt;&lt;/conditionvar&gt;&lt;setvar action=""Add""&gt;"&amp;$H78&amp;"&lt;/setvar&gt;&lt;/respcondition&gt;",""),IF(X78,"      &lt;respcondition continue=""Yes""&gt;&lt;conditionvar&gt;&lt;varequal respident=""RESPONSE""&gt;4&lt;/varequal&gt;&lt;/conditionvar&gt;&lt;setvar action=""Add""&gt;"&amp;(Saisie_Questions!$N78/$I78)&amp;"&lt;/setvar&gt;&lt;/respcondition&gt;","      &lt;respcondition continue=""Yes""&gt;&lt;conditionvar&gt;&lt;not&gt;&lt;varequal respident=""RESPONSE""&gt;4&lt;/varequal&gt;&lt;/not&gt;&lt;/conditionvar&gt;&lt;setvar action=""Add""&gt;"&amp;(Saisie_Questions!$N78/$I78)&amp;"&lt;/setvar&gt;&lt;/respcondition&gt;"))),"")</f>
        <v/>
      </c>
      <c r="AO78" s="2" t="str">
        <f>IF($B78,IF(Q78="","",IF($C78="qcu",IF(Y78,"      &lt;respcondition continue=""Yes""&gt;&lt;conditionvar&gt;&lt;varequal respident=""RESPONSE""&gt;5&lt;/varequal&gt;&lt;/conditionvar&gt;&lt;setvar action=""Add""&gt;"&amp;$H78&amp;"&lt;/setvar&gt;&lt;/respcondition&gt;",""),IF(Y78,"      &lt;respcondition continue=""Yes""&gt;&lt;conditionvar&gt;&lt;varequal respident=""RESPONSE""&gt;5&lt;/varequal&gt;&lt;/conditionvar&gt;&lt;setvar action=""Add""&gt;"&amp;(Saisie_Questions!$N78/$I78)&amp;"&lt;/setvar&gt;&lt;/respcondition&gt;","      &lt;respcondition continue=""Yes""&gt;&lt;conditionvar&gt;&lt;not&gt;&lt;varequal respident=""RESPONSE""&gt;5&lt;/varequal&gt;&lt;/not&gt;&lt;/conditionvar&gt;&lt;setvar action=""Add""&gt;"&amp;(Saisie_Questions!$N78/$I78)&amp;"&lt;/setvar&gt;&lt;/respcondition&gt;"))),"")</f>
        <v/>
      </c>
      <c r="AP78" s="2" t="str">
        <f>IF($B78,IF(R78="","",IF($C78="qcu",IF(Z78,"      &lt;respcondition continue=""Yes""&gt;&lt;conditionvar&gt;&lt;varequal respident=""RESPONSE""&gt;6&lt;/varequal&gt;&lt;/conditionvar&gt;&lt;setvar action=""Add""&gt;"&amp;$H78&amp;"&lt;/setvar&gt;&lt;/respcondition&gt;",""),IF(Z78,"      &lt;respcondition continue=""Yes""&gt;&lt;conditionvar&gt;&lt;varequal respident=""RESPONSE""&gt;6&lt;/varequal&gt;&lt;/conditionvar&gt;&lt;setvar action=""Add""&gt;"&amp;(Saisie_Questions!$N78/$I78)&amp;"&lt;/setvar&gt;&lt;/respcondition&gt;","      &lt;respcondition continue=""Yes""&gt;&lt;conditionvar&gt;&lt;not&gt;&lt;varequal respident=""RESPONSE""&gt;6&lt;/varequal&gt;&lt;/not&gt;&lt;/conditionvar&gt;&lt;setvar action=""Add""&gt;"&amp;(Saisie_Questions!$N78/$I78)&amp;"&lt;/setvar&gt;&lt;/respcondition&gt;"))),"")</f>
        <v/>
      </c>
      <c r="AQ78" s="2" t="str">
        <f>IF($B78,IF(S78="","",IF($C78="qcu",IF(AA78,"      &lt;respcondition continue=""Yes""&gt;&lt;conditionvar&gt;&lt;varequal respident=""RESPONSE""&gt;7&lt;/varequal&gt;&lt;/conditionvar&gt;&lt;setvar action=""Add""&gt;"&amp;$H78&amp;"&lt;/setvar&gt;&lt;/respcondition&gt;",""),IF(AA78,"      &lt;respcondition continue=""Yes""&gt;&lt;conditionvar&gt;&lt;varequal respident=""RESPONSE""&gt;7&lt;/varequal&gt;&lt;/conditionvar&gt;&lt;setvar action=""Add""&gt;"&amp;(Saisie_Questions!$N78/$I78)&amp;"&lt;/setvar&gt;&lt;/respcondition&gt;","      &lt;respcondition continue=""Yes""&gt;&lt;conditionvar&gt;&lt;not&gt;&lt;varequal respident=""RESPONSE""&gt;7&lt;/varequal&gt;&lt;/not&gt;&lt;/conditionvar&gt;&lt;setvar action=""Add""&gt;"&amp;(Saisie_Questions!$N78/$I78)&amp;"&lt;/setvar&gt;&lt;/respcondition&gt;"))),"")</f>
        <v/>
      </c>
    </row>
    <row r="79" spans="1:43" ht="18" customHeight="1">
      <c r="A79" s="2" t="str">
        <f>Saisie_Questions!A79</f>
        <v/>
      </c>
      <c r="B79" s="2" t="b">
        <f>Saisie_Questions!O79="OK"</f>
        <v>0</v>
      </c>
      <c r="C79" s="2" t="str">
        <f>LOWER(TRIM(Saisie_Questions!B79))</f>
        <v/>
      </c>
      <c r="D79" s="2" t="str">
        <f t="shared" si="36"/>
        <v>MULTIPLE CHOICE QUESTION</v>
      </c>
      <c r="E79" s="2" t="str">
        <f t="shared" si="37"/>
        <v>Multiple</v>
      </c>
      <c r="F79" s="2" t="str">
        <f>IF(A79="","",SUBSTITUTE(SUBSTITUTE(SUBSTITUTE(SUBSTITUTE(SUBSTITUTE(IF(Saisie_Questions!C79="", "Question "&amp;A79, Saisie_Questions!C79),"&amp;","&amp;amp;"),"&lt;","&amp;lt;"),"&gt;","&amp;gt;"),CHAR(34),"&amp;quot;"),"'","&amp;apos;"))</f>
        <v/>
      </c>
      <c r="G79" s="2" t="str">
        <f>IF(A79="","",SUBSTITUTE(SUBSTITUTE(SUBSTITUTE(SUBSTITUTE(SUBSTITUTE(Saisie_Questions!D79,"&amp;","&amp;amp;"),"&lt;","&amp;lt;"),"&gt;","&amp;gt;"),CHAR(34),"&amp;quot;"),"'","&amp;apos;"))</f>
        <v/>
      </c>
      <c r="H79" s="2">
        <f>Saisie_Questions!N79</f>
        <v>0</v>
      </c>
      <c r="I79" s="2">
        <f>IF(Saisie_Questions!E79="",0,1)+IF(Saisie_Questions!F79="",0,1)+IF(Saisie_Questions!G79="",0,1)+IF(Saisie_Questions!H79="",0,1)+IF(Saisie_Questions!I79="",0,1)+IF(Saisie_Questions!J79="",0,1)+IF(Saisie_Questions!K79="",0,1)+IF(Saisie_Questions!L79="",0,1)</f>
        <v>0</v>
      </c>
      <c r="J79" s="2">
        <f>Saisie_Questions!M79</f>
        <v>0</v>
      </c>
      <c r="K79" s="2" t="str">
        <f>Saisie_Questions!O79</f>
        <v/>
      </c>
      <c r="L79" s="2" t="str">
        <f>IF(Saisie_Questions!E79="","",SUBSTITUTE(SUBSTITUTE(SUBSTITUTE(SUBSTITUTE(SUBSTITUTE(Saisie_Questions!E79,"&amp;","&amp;amp;"),"&lt;","&amp;lt;"),"&gt;","&amp;gt;"),CHAR(34),"&amp;quot;"),"'","&amp;apos;"))</f>
        <v/>
      </c>
      <c r="M79" s="2" t="str">
        <f>IF(Saisie_Questions!F79="","",SUBSTITUTE(SUBSTITUTE(SUBSTITUTE(SUBSTITUTE(SUBSTITUTE(Saisie_Questions!F79,"&amp;","&amp;amp;"),"&lt;","&amp;lt;"),"&gt;","&amp;gt;"),CHAR(34),"&amp;quot;"),"'","&amp;apos;"))</f>
        <v/>
      </c>
      <c r="N79" s="2" t="str">
        <f>IF(Saisie_Questions!G79="","",SUBSTITUTE(SUBSTITUTE(SUBSTITUTE(SUBSTITUTE(SUBSTITUTE(Saisie_Questions!G79,"&amp;","&amp;amp;"),"&lt;","&amp;lt;"),"&gt;","&amp;gt;"),CHAR(34),"&amp;quot;"),"'","&amp;apos;"))</f>
        <v/>
      </c>
      <c r="O79" s="2" t="str">
        <f>IF(Saisie_Questions!H79="","",SUBSTITUTE(SUBSTITUTE(SUBSTITUTE(SUBSTITUTE(SUBSTITUTE(Saisie_Questions!H79,"&amp;","&amp;amp;"),"&lt;","&amp;lt;"),"&gt;","&amp;gt;"),CHAR(34),"&amp;quot;"),"'","&amp;apos;"))</f>
        <v/>
      </c>
      <c r="P79" s="2" t="str">
        <f>IF(Saisie_Questions!I79="","",SUBSTITUTE(SUBSTITUTE(SUBSTITUTE(SUBSTITUTE(SUBSTITUTE(Saisie_Questions!I79,"&amp;","&amp;amp;"),"&lt;","&amp;lt;"),"&gt;","&amp;gt;"),CHAR(34),"&amp;quot;"),"'","&amp;apos;"))</f>
        <v/>
      </c>
      <c r="Q79" s="2" t="str">
        <f>IF(Saisie_Questions!J79="","",SUBSTITUTE(SUBSTITUTE(SUBSTITUTE(SUBSTITUTE(SUBSTITUTE(Saisie_Questions!J79,"&amp;","&amp;amp;"),"&lt;","&amp;lt;"),"&gt;","&amp;gt;"),CHAR(34),"&amp;quot;"),"'","&amp;apos;"))</f>
        <v/>
      </c>
      <c r="R79" s="2" t="str">
        <f>IF(Saisie_Questions!K79="","",SUBSTITUTE(SUBSTITUTE(SUBSTITUTE(SUBSTITUTE(SUBSTITUTE(Saisie_Questions!K79,"&amp;","&amp;amp;"),"&lt;","&amp;lt;"),"&gt;","&amp;gt;"),CHAR(34),"&amp;quot;"),"'","&amp;apos;"))</f>
        <v/>
      </c>
      <c r="S79" s="2" t="str">
        <f>IF(Saisie_Questions!L79="","",SUBSTITUTE(SUBSTITUTE(SUBSTITUTE(SUBSTITUTE(SUBSTITUTE(Saisie_Questions!L79,"&amp;","&amp;amp;"),"&lt;","&amp;lt;"),"&gt;","&amp;gt;"),CHAR(34),"&amp;quot;"),"'","&amp;apos;"))</f>
        <v/>
      </c>
      <c r="T79" s="2" t="b">
        <f t="shared" si="38"/>
        <v>0</v>
      </c>
      <c r="U79" s="2" t="b">
        <f t="shared" si="39"/>
        <v>0</v>
      </c>
      <c r="V79" s="2" t="b">
        <f t="shared" si="40"/>
        <v>0</v>
      </c>
      <c r="W79" s="2" t="b">
        <f t="shared" si="41"/>
        <v>0</v>
      </c>
      <c r="X79" s="2" t="b">
        <f t="shared" si="42"/>
        <v>0</v>
      </c>
      <c r="Y79" s="2" t="b">
        <f t="shared" si="43"/>
        <v>0</v>
      </c>
      <c r="Z79" s="2" t="b">
        <f t="shared" si="44"/>
        <v>0</v>
      </c>
      <c r="AA79" s="2" t="b">
        <f t="shared" si="45"/>
        <v>0</v>
      </c>
      <c r="AB79" s="2" t="str">
        <f t="shared" si="46"/>
        <v/>
      </c>
      <c r="AC79" s="2" t="str">
        <f t="shared" si="47"/>
        <v/>
      </c>
      <c r="AD79" s="2" t="str">
        <f t="shared" si="48"/>
        <v/>
      </c>
      <c r="AE79" s="2" t="str">
        <f t="shared" si="49"/>
        <v/>
      </c>
      <c r="AF79" s="2" t="str">
        <f t="shared" si="50"/>
        <v/>
      </c>
      <c r="AG79" s="2" t="str">
        <f t="shared" si="51"/>
        <v/>
      </c>
      <c r="AH79" s="2" t="str">
        <f t="shared" si="52"/>
        <v/>
      </c>
      <c r="AI79" s="2" t="str">
        <f t="shared" si="53"/>
        <v/>
      </c>
      <c r="AJ79" s="2" t="str">
        <f>IF($B79,IF(L79="","",IF($C79="qcu",IF(T79,"      &lt;respcondition continue=""Yes""&gt;&lt;conditionvar&gt;&lt;varequal respident=""RESPONSE""&gt;0&lt;/varequal&gt;&lt;/conditionvar&gt;&lt;setvar action=""Add""&gt;"&amp;$H79&amp;"&lt;/setvar&gt;&lt;/respcondition&gt;",""),IF(T79,"      &lt;respcondition continue=""Yes""&gt;&lt;conditionvar&gt;&lt;varequal respident=""RESPONSE""&gt;0&lt;/varequal&gt;&lt;/conditionvar&gt;&lt;setvar action=""Add""&gt;"&amp;(Saisie_Questions!$N79/$I79)&amp;"&lt;/setvar&gt;&lt;/respcondition&gt;","      &lt;respcondition continue=""Yes""&gt;&lt;conditionvar&gt;&lt;not&gt;&lt;varequal respident=""RESPONSE""&gt;0&lt;/varequal&gt;&lt;/not&gt;&lt;/conditionvar&gt;&lt;setvar action=""Add""&gt;"&amp;(Saisie_Questions!$N79/$I79)&amp;"&lt;/setvar&gt;&lt;/respcondition&gt;"))),"")</f>
        <v/>
      </c>
      <c r="AK79" s="2" t="str">
        <f>IF($B79,IF(M79="","",IF($C79="qcu",IF(U79,"      &lt;respcondition continue=""Yes""&gt;&lt;conditionvar&gt;&lt;varequal respident=""RESPONSE""&gt;1&lt;/varequal&gt;&lt;/conditionvar&gt;&lt;setvar action=""Add""&gt;"&amp;$H79&amp;"&lt;/setvar&gt;&lt;/respcondition&gt;",""),IF(U79,"      &lt;respcondition continue=""Yes""&gt;&lt;conditionvar&gt;&lt;varequal respident=""RESPONSE""&gt;1&lt;/varequal&gt;&lt;/conditionvar&gt;&lt;setvar action=""Add""&gt;"&amp;(Saisie_Questions!$N79/$I79)&amp;"&lt;/setvar&gt;&lt;/respcondition&gt;","      &lt;respcondition continue=""Yes""&gt;&lt;conditionvar&gt;&lt;not&gt;&lt;varequal respident=""RESPONSE""&gt;1&lt;/varequal&gt;&lt;/not&gt;&lt;/conditionvar&gt;&lt;setvar action=""Add""&gt;"&amp;(Saisie_Questions!$N79/$I79)&amp;"&lt;/setvar&gt;&lt;/respcondition&gt;"))),"")</f>
        <v/>
      </c>
      <c r="AL79" s="2" t="str">
        <f>IF($B79,IF(N79="","",IF($C79="qcu",IF(V79,"      &lt;respcondition continue=""Yes""&gt;&lt;conditionvar&gt;&lt;varequal respident=""RESPONSE""&gt;2&lt;/varequal&gt;&lt;/conditionvar&gt;&lt;setvar action=""Add""&gt;"&amp;$H79&amp;"&lt;/setvar&gt;&lt;/respcondition&gt;",""),IF(V79,"      &lt;respcondition continue=""Yes""&gt;&lt;conditionvar&gt;&lt;varequal respident=""RESPONSE""&gt;2&lt;/varequal&gt;&lt;/conditionvar&gt;&lt;setvar action=""Add""&gt;"&amp;(Saisie_Questions!$N79/$I79)&amp;"&lt;/setvar&gt;&lt;/respcondition&gt;","      &lt;respcondition continue=""Yes""&gt;&lt;conditionvar&gt;&lt;not&gt;&lt;varequal respident=""RESPONSE""&gt;2&lt;/varequal&gt;&lt;/not&gt;&lt;/conditionvar&gt;&lt;setvar action=""Add""&gt;"&amp;(Saisie_Questions!$N79/$I79)&amp;"&lt;/setvar&gt;&lt;/respcondition&gt;"))),"")</f>
        <v/>
      </c>
      <c r="AM79" s="2" t="str">
        <f>IF($B79,IF(O79="","",IF($C79="qcu",IF(W79,"      &lt;respcondition continue=""Yes""&gt;&lt;conditionvar&gt;&lt;varequal respident=""RESPONSE""&gt;3&lt;/varequal&gt;&lt;/conditionvar&gt;&lt;setvar action=""Add""&gt;"&amp;$H79&amp;"&lt;/setvar&gt;&lt;/respcondition&gt;",""),IF(W79,"      &lt;respcondition continue=""Yes""&gt;&lt;conditionvar&gt;&lt;varequal respident=""RESPONSE""&gt;3&lt;/varequal&gt;&lt;/conditionvar&gt;&lt;setvar action=""Add""&gt;"&amp;(Saisie_Questions!$N79/$I79)&amp;"&lt;/setvar&gt;&lt;/respcondition&gt;","      &lt;respcondition continue=""Yes""&gt;&lt;conditionvar&gt;&lt;not&gt;&lt;varequal respident=""RESPONSE""&gt;3&lt;/varequal&gt;&lt;/not&gt;&lt;/conditionvar&gt;&lt;setvar action=""Add""&gt;"&amp;(Saisie_Questions!$N79/$I79)&amp;"&lt;/setvar&gt;&lt;/respcondition&gt;"))),"")</f>
        <v/>
      </c>
      <c r="AN79" s="2" t="str">
        <f>IF($B79,IF(P79="","",IF($C79="qcu",IF(X79,"      &lt;respcondition continue=""Yes""&gt;&lt;conditionvar&gt;&lt;varequal respident=""RESPONSE""&gt;4&lt;/varequal&gt;&lt;/conditionvar&gt;&lt;setvar action=""Add""&gt;"&amp;$H79&amp;"&lt;/setvar&gt;&lt;/respcondition&gt;",""),IF(X79,"      &lt;respcondition continue=""Yes""&gt;&lt;conditionvar&gt;&lt;varequal respident=""RESPONSE""&gt;4&lt;/varequal&gt;&lt;/conditionvar&gt;&lt;setvar action=""Add""&gt;"&amp;(Saisie_Questions!$N79/$I79)&amp;"&lt;/setvar&gt;&lt;/respcondition&gt;","      &lt;respcondition continue=""Yes""&gt;&lt;conditionvar&gt;&lt;not&gt;&lt;varequal respident=""RESPONSE""&gt;4&lt;/varequal&gt;&lt;/not&gt;&lt;/conditionvar&gt;&lt;setvar action=""Add""&gt;"&amp;(Saisie_Questions!$N79/$I79)&amp;"&lt;/setvar&gt;&lt;/respcondition&gt;"))),"")</f>
        <v/>
      </c>
      <c r="AO79" s="2" t="str">
        <f>IF($B79,IF(Q79="","",IF($C79="qcu",IF(Y79,"      &lt;respcondition continue=""Yes""&gt;&lt;conditionvar&gt;&lt;varequal respident=""RESPONSE""&gt;5&lt;/varequal&gt;&lt;/conditionvar&gt;&lt;setvar action=""Add""&gt;"&amp;$H79&amp;"&lt;/setvar&gt;&lt;/respcondition&gt;",""),IF(Y79,"      &lt;respcondition continue=""Yes""&gt;&lt;conditionvar&gt;&lt;varequal respident=""RESPONSE""&gt;5&lt;/varequal&gt;&lt;/conditionvar&gt;&lt;setvar action=""Add""&gt;"&amp;(Saisie_Questions!$N79/$I79)&amp;"&lt;/setvar&gt;&lt;/respcondition&gt;","      &lt;respcondition continue=""Yes""&gt;&lt;conditionvar&gt;&lt;not&gt;&lt;varequal respident=""RESPONSE""&gt;5&lt;/varequal&gt;&lt;/not&gt;&lt;/conditionvar&gt;&lt;setvar action=""Add""&gt;"&amp;(Saisie_Questions!$N79/$I79)&amp;"&lt;/setvar&gt;&lt;/respcondition&gt;"))),"")</f>
        <v/>
      </c>
      <c r="AP79" s="2" t="str">
        <f>IF($B79,IF(R79="","",IF($C79="qcu",IF(Z79,"      &lt;respcondition continue=""Yes""&gt;&lt;conditionvar&gt;&lt;varequal respident=""RESPONSE""&gt;6&lt;/varequal&gt;&lt;/conditionvar&gt;&lt;setvar action=""Add""&gt;"&amp;$H79&amp;"&lt;/setvar&gt;&lt;/respcondition&gt;",""),IF(Z79,"      &lt;respcondition continue=""Yes""&gt;&lt;conditionvar&gt;&lt;varequal respident=""RESPONSE""&gt;6&lt;/varequal&gt;&lt;/conditionvar&gt;&lt;setvar action=""Add""&gt;"&amp;(Saisie_Questions!$N79/$I79)&amp;"&lt;/setvar&gt;&lt;/respcondition&gt;","      &lt;respcondition continue=""Yes""&gt;&lt;conditionvar&gt;&lt;not&gt;&lt;varequal respident=""RESPONSE""&gt;6&lt;/varequal&gt;&lt;/not&gt;&lt;/conditionvar&gt;&lt;setvar action=""Add""&gt;"&amp;(Saisie_Questions!$N79/$I79)&amp;"&lt;/setvar&gt;&lt;/respcondition&gt;"))),"")</f>
        <v/>
      </c>
      <c r="AQ79" s="2" t="str">
        <f>IF($B79,IF(S79="","",IF($C79="qcu",IF(AA79,"      &lt;respcondition continue=""Yes""&gt;&lt;conditionvar&gt;&lt;varequal respident=""RESPONSE""&gt;7&lt;/varequal&gt;&lt;/conditionvar&gt;&lt;setvar action=""Add""&gt;"&amp;$H79&amp;"&lt;/setvar&gt;&lt;/respcondition&gt;",""),IF(AA79,"      &lt;respcondition continue=""Yes""&gt;&lt;conditionvar&gt;&lt;varequal respident=""RESPONSE""&gt;7&lt;/varequal&gt;&lt;/conditionvar&gt;&lt;setvar action=""Add""&gt;"&amp;(Saisie_Questions!$N79/$I79)&amp;"&lt;/setvar&gt;&lt;/respcondition&gt;","      &lt;respcondition continue=""Yes""&gt;&lt;conditionvar&gt;&lt;not&gt;&lt;varequal respident=""RESPONSE""&gt;7&lt;/varequal&gt;&lt;/not&gt;&lt;/conditionvar&gt;&lt;setvar action=""Add""&gt;"&amp;(Saisie_Questions!$N79/$I79)&amp;"&lt;/setvar&gt;&lt;/respcondition&gt;"))),"")</f>
        <v/>
      </c>
    </row>
    <row r="80" spans="1:43" ht="18" customHeight="1">
      <c r="A80" s="2" t="str">
        <f>Saisie_Questions!A80</f>
        <v/>
      </c>
      <c r="B80" s="2" t="b">
        <f>Saisie_Questions!O80="OK"</f>
        <v>0</v>
      </c>
      <c r="C80" s="2" t="str">
        <f>LOWER(TRIM(Saisie_Questions!B80))</f>
        <v/>
      </c>
      <c r="D80" s="2" t="str">
        <f t="shared" si="36"/>
        <v>MULTIPLE CHOICE QUESTION</v>
      </c>
      <c r="E80" s="2" t="str">
        <f t="shared" si="37"/>
        <v>Multiple</v>
      </c>
      <c r="F80" s="2" t="str">
        <f>IF(A80="","",SUBSTITUTE(SUBSTITUTE(SUBSTITUTE(SUBSTITUTE(SUBSTITUTE(IF(Saisie_Questions!C80="", "Question "&amp;A80, Saisie_Questions!C80),"&amp;","&amp;amp;"),"&lt;","&amp;lt;"),"&gt;","&amp;gt;"),CHAR(34),"&amp;quot;"),"'","&amp;apos;"))</f>
        <v/>
      </c>
      <c r="G80" s="2" t="str">
        <f>IF(A80="","",SUBSTITUTE(SUBSTITUTE(SUBSTITUTE(SUBSTITUTE(SUBSTITUTE(Saisie_Questions!D80,"&amp;","&amp;amp;"),"&lt;","&amp;lt;"),"&gt;","&amp;gt;"),CHAR(34),"&amp;quot;"),"'","&amp;apos;"))</f>
        <v/>
      </c>
      <c r="H80" s="2">
        <f>Saisie_Questions!N80</f>
        <v>0</v>
      </c>
      <c r="I80" s="2">
        <f>IF(Saisie_Questions!E80="",0,1)+IF(Saisie_Questions!F80="",0,1)+IF(Saisie_Questions!G80="",0,1)+IF(Saisie_Questions!H80="",0,1)+IF(Saisie_Questions!I80="",0,1)+IF(Saisie_Questions!J80="",0,1)+IF(Saisie_Questions!K80="",0,1)+IF(Saisie_Questions!L80="",0,1)</f>
        <v>0</v>
      </c>
      <c r="J80" s="2">
        <f>Saisie_Questions!M80</f>
        <v>0</v>
      </c>
      <c r="K80" s="2" t="str">
        <f>Saisie_Questions!O80</f>
        <v/>
      </c>
      <c r="L80" s="2" t="str">
        <f>IF(Saisie_Questions!E80="","",SUBSTITUTE(SUBSTITUTE(SUBSTITUTE(SUBSTITUTE(SUBSTITUTE(Saisie_Questions!E80,"&amp;","&amp;amp;"),"&lt;","&amp;lt;"),"&gt;","&amp;gt;"),CHAR(34),"&amp;quot;"),"'","&amp;apos;"))</f>
        <v/>
      </c>
      <c r="M80" s="2" t="str">
        <f>IF(Saisie_Questions!F80="","",SUBSTITUTE(SUBSTITUTE(SUBSTITUTE(SUBSTITUTE(SUBSTITUTE(Saisie_Questions!F80,"&amp;","&amp;amp;"),"&lt;","&amp;lt;"),"&gt;","&amp;gt;"),CHAR(34),"&amp;quot;"),"'","&amp;apos;"))</f>
        <v/>
      </c>
      <c r="N80" s="2" t="str">
        <f>IF(Saisie_Questions!G80="","",SUBSTITUTE(SUBSTITUTE(SUBSTITUTE(SUBSTITUTE(SUBSTITUTE(Saisie_Questions!G80,"&amp;","&amp;amp;"),"&lt;","&amp;lt;"),"&gt;","&amp;gt;"),CHAR(34),"&amp;quot;"),"'","&amp;apos;"))</f>
        <v/>
      </c>
      <c r="O80" s="2" t="str">
        <f>IF(Saisie_Questions!H80="","",SUBSTITUTE(SUBSTITUTE(SUBSTITUTE(SUBSTITUTE(SUBSTITUTE(Saisie_Questions!H80,"&amp;","&amp;amp;"),"&lt;","&amp;lt;"),"&gt;","&amp;gt;"),CHAR(34),"&amp;quot;"),"'","&amp;apos;"))</f>
        <v/>
      </c>
      <c r="P80" s="2" t="str">
        <f>IF(Saisie_Questions!I80="","",SUBSTITUTE(SUBSTITUTE(SUBSTITUTE(SUBSTITUTE(SUBSTITUTE(Saisie_Questions!I80,"&amp;","&amp;amp;"),"&lt;","&amp;lt;"),"&gt;","&amp;gt;"),CHAR(34),"&amp;quot;"),"'","&amp;apos;"))</f>
        <v/>
      </c>
      <c r="Q80" s="2" t="str">
        <f>IF(Saisie_Questions!J80="","",SUBSTITUTE(SUBSTITUTE(SUBSTITUTE(SUBSTITUTE(SUBSTITUTE(Saisie_Questions!J80,"&amp;","&amp;amp;"),"&lt;","&amp;lt;"),"&gt;","&amp;gt;"),CHAR(34),"&amp;quot;"),"'","&amp;apos;"))</f>
        <v/>
      </c>
      <c r="R80" s="2" t="str">
        <f>IF(Saisie_Questions!K80="","",SUBSTITUTE(SUBSTITUTE(SUBSTITUTE(SUBSTITUTE(SUBSTITUTE(Saisie_Questions!K80,"&amp;","&amp;amp;"),"&lt;","&amp;lt;"),"&gt;","&amp;gt;"),CHAR(34),"&amp;quot;"),"'","&amp;apos;"))</f>
        <v/>
      </c>
      <c r="S80" s="2" t="str">
        <f>IF(Saisie_Questions!L80="","",SUBSTITUTE(SUBSTITUTE(SUBSTITUTE(SUBSTITUTE(SUBSTITUTE(Saisie_Questions!L80,"&amp;","&amp;amp;"),"&lt;","&amp;lt;"),"&gt;","&amp;gt;"),CHAR(34),"&amp;quot;"),"'","&amp;apos;"))</f>
        <v/>
      </c>
      <c r="T80" s="2" t="b">
        <f t="shared" si="38"/>
        <v>0</v>
      </c>
      <c r="U80" s="2" t="b">
        <f t="shared" si="39"/>
        <v>0</v>
      </c>
      <c r="V80" s="2" t="b">
        <f t="shared" si="40"/>
        <v>0</v>
      </c>
      <c r="W80" s="2" t="b">
        <f t="shared" si="41"/>
        <v>0</v>
      </c>
      <c r="X80" s="2" t="b">
        <f t="shared" si="42"/>
        <v>0</v>
      </c>
      <c r="Y80" s="2" t="b">
        <f t="shared" si="43"/>
        <v>0</v>
      </c>
      <c r="Z80" s="2" t="b">
        <f t="shared" si="44"/>
        <v>0</v>
      </c>
      <c r="AA80" s="2" t="b">
        <f t="shared" si="45"/>
        <v>0</v>
      </c>
      <c r="AB80" s="2" t="str">
        <f t="shared" si="46"/>
        <v/>
      </c>
      <c r="AC80" s="2" t="str">
        <f t="shared" si="47"/>
        <v/>
      </c>
      <c r="AD80" s="2" t="str">
        <f t="shared" si="48"/>
        <v/>
      </c>
      <c r="AE80" s="2" t="str">
        <f t="shared" si="49"/>
        <v/>
      </c>
      <c r="AF80" s="2" t="str">
        <f t="shared" si="50"/>
        <v/>
      </c>
      <c r="AG80" s="2" t="str">
        <f t="shared" si="51"/>
        <v/>
      </c>
      <c r="AH80" s="2" t="str">
        <f t="shared" si="52"/>
        <v/>
      </c>
      <c r="AI80" s="2" t="str">
        <f t="shared" si="53"/>
        <v/>
      </c>
      <c r="AJ80" s="2" t="str">
        <f>IF($B80,IF(L80="","",IF($C80="qcu",IF(T80,"      &lt;respcondition continue=""Yes""&gt;&lt;conditionvar&gt;&lt;varequal respident=""RESPONSE""&gt;0&lt;/varequal&gt;&lt;/conditionvar&gt;&lt;setvar action=""Add""&gt;"&amp;$H80&amp;"&lt;/setvar&gt;&lt;/respcondition&gt;",""),IF(T80,"      &lt;respcondition continue=""Yes""&gt;&lt;conditionvar&gt;&lt;varequal respident=""RESPONSE""&gt;0&lt;/varequal&gt;&lt;/conditionvar&gt;&lt;setvar action=""Add""&gt;"&amp;(Saisie_Questions!$N80/$I80)&amp;"&lt;/setvar&gt;&lt;/respcondition&gt;","      &lt;respcondition continue=""Yes""&gt;&lt;conditionvar&gt;&lt;not&gt;&lt;varequal respident=""RESPONSE""&gt;0&lt;/varequal&gt;&lt;/not&gt;&lt;/conditionvar&gt;&lt;setvar action=""Add""&gt;"&amp;(Saisie_Questions!$N80/$I80)&amp;"&lt;/setvar&gt;&lt;/respcondition&gt;"))),"")</f>
        <v/>
      </c>
      <c r="AK80" s="2" t="str">
        <f>IF($B80,IF(M80="","",IF($C80="qcu",IF(U80,"      &lt;respcondition continue=""Yes""&gt;&lt;conditionvar&gt;&lt;varequal respident=""RESPONSE""&gt;1&lt;/varequal&gt;&lt;/conditionvar&gt;&lt;setvar action=""Add""&gt;"&amp;$H80&amp;"&lt;/setvar&gt;&lt;/respcondition&gt;",""),IF(U80,"      &lt;respcondition continue=""Yes""&gt;&lt;conditionvar&gt;&lt;varequal respident=""RESPONSE""&gt;1&lt;/varequal&gt;&lt;/conditionvar&gt;&lt;setvar action=""Add""&gt;"&amp;(Saisie_Questions!$N80/$I80)&amp;"&lt;/setvar&gt;&lt;/respcondition&gt;","      &lt;respcondition continue=""Yes""&gt;&lt;conditionvar&gt;&lt;not&gt;&lt;varequal respident=""RESPONSE""&gt;1&lt;/varequal&gt;&lt;/not&gt;&lt;/conditionvar&gt;&lt;setvar action=""Add""&gt;"&amp;(Saisie_Questions!$N80/$I80)&amp;"&lt;/setvar&gt;&lt;/respcondition&gt;"))),"")</f>
        <v/>
      </c>
      <c r="AL80" s="2" t="str">
        <f>IF($B80,IF(N80="","",IF($C80="qcu",IF(V80,"      &lt;respcondition continue=""Yes""&gt;&lt;conditionvar&gt;&lt;varequal respident=""RESPONSE""&gt;2&lt;/varequal&gt;&lt;/conditionvar&gt;&lt;setvar action=""Add""&gt;"&amp;$H80&amp;"&lt;/setvar&gt;&lt;/respcondition&gt;",""),IF(V80,"      &lt;respcondition continue=""Yes""&gt;&lt;conditionvar&gt;&lt;varequal respident=""RESPONSE""&gt;2&lt;/varequal&gt;&lt;/conditionvar&gt;&lt;setvar action=""Add""&gt;"&amp;(Saisie_Questions!$N80/$I80)&amp;"&lt;/setvar&gt;&lt;/respcondition&gt;","      &lt;respcondition continue=""Yes""&gt;&lt;conditionvar&gt;&lt;not&gt;&lt;varequal respident=""RESPONSE""&gt;2&lt;/varequal&gt;&lt;/not&gt;&lt;/conditionvar&gt;&lt;setvar action=""Add""&gt;"&amp;(Saisie_Questions!$N80/$I80)&amp;"&lt;/setvar&gt;&lt;/respcondition&gt;"))),"")</f>
        <v/>
      </c>
      <c r="AM80" s="2" t="str">
        <f>IF($B80,IF(O80="","",IF($C80="qcu",IF(W80,"      &lt;respcondition continue=""Yes""&gt;&lt;conditionvar&gt;&lt;varequal respident=""RESPONSE""&gt;3&lt;/varequal&gt;&lt;/conditionvar&gt;&lt;setvar action=""Add""&gt;"&amp;$H80&amp;"&lt;/setvar&gt;&lt;/respcondition&gt;",""),IF(W80,"      &lt;respcondition continue=""Yes""&gt;&lt;conditionvar&gt;&lt;varequal respident=""RESPONSE""&gt;3&lt;/varequal&gt;&lt;/conditionvar&gt;&lt;setvar action=""Add""&gt;"&amp;(Saisie_Questions!$N80/$I80)&amp;"&lt;/setvar&gt;&lt;/respcondition&gt;","      &lt;respcondition continue=""Yes""&gt;&lt;conditionvar&gt;&lt;not&gt;&lt;varequal respident=""RESPONSE""&gt;3&lt;/varequal&gt;&lt;/not&gt;&lt;/conditionvar&gt;&lt;setvar action=""Add""&gt;"&amp;(Saisie_Questions!$N80/$I80)&amp;"&lt;/setvar&gt;&lt;/respcondition&gt;"))),"")</f>
        <v/>
      </c>
      <c r="AN80" s="2" t="str">
        <f>IF($B80,IF(P80="","",IF($C80="qcu",IF(X80,"      &lt;respcondition continue=""Yes""&gt;&lt;conditionvar&gt;&lt;varequal respident=""RESPONSE""&gt;4&lt;/varequal&gt;&lt;/conditionvar&gt;&lt;setvar action=""Add""&gt;"&amp;$H80&amp;"&lt;/setvar&gt;&lt;/respcondition&gt;",""),IF(X80,"      &lt;respcondition continue=""Yes""&gt;&lt;conditionvar&gt;&lt;varequal respident=""RESPONSE""&gt;4&lt;/varequal&gt;&lt;/conditionvar&gt;&lt;setvar action=""Add""&gt;"&amp;(Saisie_Questions!$N80/$I80)&amp;"&lt;/setvar&gt;&lt;/respcondition&gt;","      &lt;respcondition continue=""Yes""&gt;&lt;conditionvar&gt;&lt;not&gt;&lt;varequal respident=""RESPONSE""&gt;4&lt;/varequal&gt;&lt;/not&gt;&lt;/conditionvar&gt;&lt;setvar action=""Add""&gt;"&amp;(Saisie_Questions!$N80/$I80)&amp;"&lt;/setvar&gt;&lt;/respcondition&gt;"))),"")</f>
        <v/>
      </c>
      <c r="AO80" s="2" t="str">
        <f>IF($B80,IF(Q80="","",IF($C80="qcu",IF(Y80,"      &lt;respcondition continue=""Yes""&gt;&lt;conditionvar&gt;&lt;varequal respident=""RESPONSE""&gt;5&lt;/varequal&gt;&lt;/conditionvar&gt;&lt;setvar action=""Add""&gt;"&amp;$H80&amp;"&lt;/setvar&gt;&lt;/respcondition&gt;",""),IF(Y80,"      &lt;respcondition continue=""Yes""&gt;&lt;conditionvar&gt;&lt;varequal respident=""RESPONSE""&gt;5&lt;/varequal&gt;&lt;/conditionvar&gt;&lt;setvar action=""Add""&gt;"&amp;(Saisie_Questions!$N80/$I80)&amp;"&lt;/setvar&gt;&lt;/respcondition&gt;","      &lt;respcondition continue=""Yes""&gt;&lt;conditionvar&gt;&lt;not&gt;&lt;varequal respident=""RESPONSE""&gt;5&lt;/varequal&gt;&lt;/not&gt;&lt;/conditionvar&gt;&lt;setvar action=""Add""&gt;"&amp;(Saisie_Questions!$N80/$I80)&amp;"&lt;/setvar&gt;&lt;/respcondition&gt;"))),"")</f>
        <v/>
      </c>
      <c r="AP80" s="2" t="str">
        <f>IF($B80,IF(R80="","",IF($C80="qcu",IF(Z80,"      &lt;respcondition continue=""Yes""&gt;&lt;conditionvar&gt;&lt;varequal respident=""RESPONSE""&gt;6&lt;/varequal&gt;&lt;/conditionvar&gt;&lt;setvar action=""Add""&gt;"&amp;$H80&amp;"&lt;/setvar&gt;&lt;/respcondition&gt;",""),IF(Z80,"      &lt;respcondition continue=""Yes""&gt;&lt;conditionvar&gt;&lt;varequal respident=""RESPONSE""&gt;6&lt;/varequal&gt;&lt;/conditionvar&gt;&lt;setvar action=""Add""&gt;"&amp;(Saisie_Questions!$N80/$I80)&amp;"&lt;/setvar&gt;&lt;/respcondition&gt;","      &lt;respcondition continue=""Yes""&gt;&lt;conditionvar&gt;&lt;not&gt;&lt;varequal respident=""RESPONSE""&gt;6&lt;/varequal&gt;&lt;/not&gt;&lt;/conditionvar&gt;&lt;setvar action=""Add""&gt;"&amp;(Saisie_Questions!$N80/$I80)&amp;"&lt;/setvar&gt;&lt;/respcondition&gt;"))),"")</f>
        <v/>
      </c>
      <c r="AQ80" s="2" t="str">
        <f>IF($B80,IF(S80="","",IF($C80="qcu",IF(AA80,"      &lt;respcondition continue=""Yes""&gt;&lt;conditionvar&gt;&lt;varequal respident=""RESPONSE""&gt;7&lt;/varequal&gt;&lt;/conditionvar&gt;&lt;setvar action=""Add""&gt;"&amp;$H80&amp;"&lt;/setvar&gt;&lt;/respcondition&gt;",""),IF(AA80,"      &lt;respcondition continue=""Yes""&gt;&lt;conditionvar&gt;&lt;varequal respident=""RESPONSE""&gt;7&lt;/varequal&gt;&lt;/conditionvar&gt;&lt;setvar action=""Add""&gt;"&amp;(Saisie_Questions!$N80/$I80)&amp;"&lt;/setvar&gt;&lt;/respcondition&gt;","      &lt;respcondition continue=""Yes""&gt;&lt;conditionvar&gt;&lt;not&gt;&lt;varequal respident=""RESPONSE""&gt;7&lt;/varequal&gt;&lt;/not&gt;&lt;/conditionvar&gt;&lt;setvar action=""Add""&gt;"&amp;(Saisie_Questions!$N80/$I80)&amp;"&lt;/setvar&gt;&lt;/respcondition&gt;"))),"")</f>
        <v/>
      </c>
    </row>
    <row r="81" spans="1:43" ht="18" customHeight="1">
      <c r="A81" s="2" t="str">
        <f>Saisie_Questions!A81</f>
        <v/>
      </c>
      <c r="B81" s="2" t="b">
        <f>Saisie_Questions!O81="OK"</f>
        <v>0</v>
      </c>
      <c r="C81" s="2" t="str">
        <f>LOWER(TRIM(Saisie_Questions!B81))</f>
        <v/>
      </c>
      <c r="D81" s="2" t="str">
        <f t="shared" si="36"/>
        <v>MULTIPLE CHOICE QUESTION</v>
      </c>
      <c r="E81" s="2" t="str">
        <f t="shared" si="37"/>
        <v>Multiple</v>
      </c>
      <c r="F81" s="2" t="str">
        <f>IF(A81="","",SUBSTITUTE(SUBSTITUTE(SUBSTITUTE(SUBSTITUTE(SUBSTITUTE(IF(Saisie_Questions!C81="", "Question "&amp;A81, Saisie_Questions!C81),"&amp;","&amp;amp;"),"&lt;","&amp;lt;"),"&gt;","&amp;gt;"),CHAR(34),"&amp;quot;"),"'","&amp;apos;"))</f>
        <v/>
      </c>
      <c r="G81" s="2" t="str">
        <f>IF(A81="","",SUBSTITUTE(SUBSTITUTE(SUBSTITUTE(SUBSTITUTE(SUBSTITUTE(Saisie_Questions!D81,"&amp;","&amp;amp;"),"&lt;","&amp;lt;"),"&gt;","&amp;gt;"),CHAR(34),"&amp;quot;"),"'","&amp;apos;"))</f>
        <v/>
      </c>
      <c r="H81" s="2">
        <f>Saisie_Questions!N81</f>
        <v>0</v>
      </c>
      <c r="I81" s="2">
        <f>IF(Saisie_Questions!E81="",0,1)+IF(Saisie_Questions!F81="",0,1)+IF(Saisie_Questions!G81="",0,1)+IF(Saisie_Questions!H81="",0,1)+IF(Saisie_Questions!I81="",0,1)+IF(Saisie_Questions!J81="",0,1)+IF(Saisie_Questions!K81="",0,1)+IF(Saisie_Questions!L81="",0,1)</f>
        <v>0</v>
      </c>
      <c r="J81" s="2">
        <f>Saisie_Questions!M81</f>
        <v>0</v>
      </c>
      <c r="K81" s="2" t="str">
        <f>Saisie_Questions!O81</f>
        <v/>
      </c>
      <c r="L81" s="2" t="str">
        <f>IF(Saisie_Questions!E81="","",SUBSTITUTE(SUBSTITUTE(SUBSTITUTE(SUBSTITUTE(SUBSTITUTE(Saisie_Questions!E81,"&amp;","&amp;amp;"),"&lt;","&amp;lt;"),"&gt;","&amp;gt;"),CHAR(34),"&amp;quot;"),"'","&amp;apos;"))</f>
        <v/>
      </c>
      <c r="M81" s="2" t="str">
        <f>IF(Saisie_Questions!F81="","",SUBSTITUTE(SUBSTITUTE(SUBSTITUTE(SUBSTITUTE(SUBSTITUTE(Saisie_Questions!F81,"&amp;","&amp;amp;"),"&lt;","&amp;lt;"),"&gt;","&amp;gt;"),CHAR(34),"&amp;quot;"),"'","&amp;apos;"))</f>
        <v/>
      </c>
      <c r="N81" s="2" t="str">
        <f>IF(Saisie_Questions!G81="","",SUBSTITUTE(SUBSTITUTE(SUBSTITUTE(SUBSTITUTE(SUBSTITUTE(Saisie_Questions!G81,"&amp;","&amp;amp;"),"&lt;","&amp;lt;"),"&gt;","&amp;gt;"),CHAR(34),"&amp;quot;"),"'","&amp;apos;"))</f>
        <v/>
      </c>
      <c r="O81" s="2" t="str">
        <f>IF(Saisie_Questions!H81="","",SUBSTITUTE(SUBSTITUTE(SUBSTITUTE(SUBSTITUTE(SUBSTITUTE(Saisie_Questions!H81,"&amp;","&amp;amp;"),"&lt;","&amp;lt;"),"&gt;","&amp;gt;"),CHAR(34),"&amp;quot;"),"'","&amp;apos;"))</f>
        <v/>
      </c>
      <c r="P81" s="2" t="str">
        <f>IF(Saisie_Questions!I81="","",SUBSTITUTE(SUBSTITUTE(SUBSTITUTE(SUBSTITUTE(SUBSTITUTE(Saisie_Questions!I81,"&amp;","&amp;amp;"),"&lt;","&amp;lt;"),"&gt;","&amp;gt;"),CHAR(34),"&amp;quot;"),"'","&amp;apos;"))</f>
        <v/>
      </c>
      <c r="Q81" s="2" t="str">
        <f>IF(Saisie_Questions!J81="","",SUBSTITUTE(SUBSTITUTE(SUBSTITUTE(SUBSTITUTE(SUBSTITUTE(Saisie_Questions!J81,"&amp;","&amp;amp;"),"&lt;","&amp;lt;"),"&gt;","&amp;gt;"),CHAR(34),"&amp;quot;"),"'","&amp;apos;"))</f>
        <v/>
      </c>
      <c r="R81" s="2" t="str">
        <f>IF(Saisie_Questions!K81="","",SUBSTITUTE(SUBSTITUTE(SUBSTITUTE(SUBSTITUTE(SUBSTITUTE(Saisie_Questions!K81,"&amp;","&amp;amp;"),"&lt;","&amp;lt;"),"&gt;","&amp;gt;"),CHAR(34),"&amp;quot;"),"'","&amp;apos;"))</f>
        <v/>
      </c>
      <c r="S81" s="2" t="str">
        <f>IF(Saisie_Questions!L81="","",SUBSTITUTE(SUBSTITUTE(SUBSTITUTE(SUBSTITUTE(SUBSTITUTE(Saisie_Questions!L81,"&amp;","&amp;amp;"),"&lt;","&amp;lt;"),"&gt;","&amp;gt;"),CHAR(34),"&amp;quot;"),"'","&amp;apos;"))</f>
        <v/>
      </c>
      <c r="T81" s="2" t="b">
        <f t="shared" si="38"/>
        <v>0</v>
      </c>
      <c r="U81" s="2" t="b">
        <f t="shared" si="39"/>
        <v>0</v>
      </c>
      <c r="V81" s="2" t="b">
        <f t="shared" si="40"/>
        <v>0</v>
      </c>
      <c r="W81" s="2" t="b">
        <f t="shared" si="41"/>
        <v>0</v>
      </c>
      <c r="X81" s="2" t="b">
        <f t="shared" si="42"/>
        <v>0</v>
      </c>
      <c r="Y81" s="2" t="b">
        <f t="shared" si="43"/>
        <v>0</v>
      </c>
      <c r="Z81" s="2" t="b">
        <f t="shared" si="44"/>
        <v>0</v>
      </c>
      <c r="AA81" s="2" t="b">
        <f t="shared" si="45"/>
        <v>0</v>
      </c>
      <c r="AB81" s="2" t="str">
        <f t="shared" si="46"/>
        <v/>
      </c>
      <c r="AC81" s="2" t="str">
        <f t="shared" si="47"/>
        <v/>
      </c>
      <c r="AD81" s="2" t="str">
        <f t="shared" si="48"/>
        <v/>
      </c>
      <c r="AE81" s="2" t="str">
        <f t="shared" si="49"/>
        <v/>
      </c>
      <c r="AF81" s="2" t="str">
        <f t="shared" si="50"/>
        <v/>
      </c>
      <c r="AG81" s="2" t="str">
        <f t="shared" si="51"/>
        <v/>
      </c>
      <c r="AH81" s="2" t="str">
        <f t="shared" si="52"/>
        <v/>
      </c>
      <c r="AI81" s="2" t="str">
        <f t="shared" si="53"/>
        <v/>
      </c>
      <c r="AJ81" s="2" t="str">
        <f>IF($B81,IF(L81="","",IF($C81="qcu",IF(T81,"      &lt;respcondition continue=""Yes""&gt;&lt;conditionvar&gt;&lt;varequal respident=""RESPONSE""&gt;0&lt;/varequal&gt;&lt;/conditionvar&gt;&lt;setvar action=""Add""&gt;"&amp;$H81&amp;"&lt;/setvar&gt;&lt;/respcondition&gt;",""),IF(T81,"      &lt;respcondition continue=""Yes""&gt;&lt;conditionvar&gt;&lt;varequal respident=""RESPONSE""&gt;0&lt;/varequal&gt;&lt;/conditionvar&gt;&lt;setvar action=""Add""&gt;"&amp;(Saisie_Questions!$N81/$I81)&amp;"&lt;/setvar&gt;&lt;/respcondition&gt;","      &lt;respcondition continue=""Yes""&gt;&lt;conditionvar&gt;&lt;not&gt;&lt;varequal respident=""RESPONSE""&gt;0&lt;/varequal&gt;&lt;/not&gt;&lt;/conditionvar&gt;&lt;setvar action=""Add""&gt;"&amp;(Saisie_Questions!$N81/$I81)&amp;"&lt;/setvar&gt;&lt;/respcondition&gt;"))),"")</f>
        <v/>
      </c>
      <c r="AK81" s="2" t="str">
        <f>IF($B81,IF(M81="","",IF($C81="qcu",IF(U81,"      &lt;respcondition continue=""Yes""&gt;&lt;conditionvar&gt;&lt;varequal respident=""RESPONSE""&gt;1&lt;/varequal&gt;&lt;/conditionvar&gt;&lt;setvar action=""Add""&gt;"&amp;$H81&amp;"&lt;/setvar&gt;&lt;/respcondition&gt;",""),IF(U81,"      &lt;respcondition continue=""Yes""&gt;&lt;conditionvar&gt;&lt;varequal respident=""RESPONSE""&gt;1&lt;/varequal&gt;&lt;/conditionvar&gt;&lt;setvar action=""Add""&gt;"&amp;(Saisie_Questions!$N81/$I81)&amp;"&lt;/setvar&gt;&lt;/respcondition&gt;","      &lt;respcondition continue=""Yes""&gt;&lt;conditionvar&gt;&lt;not&gt;&lt;varequal respident=""RESPONSE""&gt;1&lt;/varequal&gt;&lt;/not&gt;&lt;/conditionvar&gt;&lt;setvar action=""Add""&gt;"&amp;(Saisie_Questions!$N81/$I81)&amp;"&lt;/setvar&gt;&lt;/respcondition&gt;"))),"")</f>
        <v/>
      </c>
      <c r="AL81" s="2" t="str">
        <f>IF($B81,IF(N81="","",IF($C81="qcu",IF(V81,"      &lt;respcondition continue=""Yes""&gt;&lt;conditionvar&gt;&lt;varequal respident=""RESPONSE""&gt;2&lt;/varequal&gt;&lt;/conditionvar&gt;&lt;setvar action=""Add""&gt;"&amp;$H81&amp;"&lt;/setvar&gt;&lt;/respcondition&gt;",""),IF(V81,"      &lt;respcondition continue=""Yes""&gt;&lt;conditionvar&gt;&lt;varequal respident=""RESPONSE""&gt;2&lt;/varequal&gt;&lt;/conditionvar&gt;&lt;setvar action=""Add""&gt;"&amp;(Saisie_Questions!$N81/$I81)&amp;"&lt;/setvar&gt;&lt;/respcondition&gt;","      &lt;respcondition continue=""Yes""&gt;&lt;conditionvar&gt;&lt;not&gt;&lt;varequal respident=""RESPONSE""&gt;2&lt;/varequal&gt;&lt;/not&gt;&lt;/conditionvar&gt;&lt;setvar action=""Add""&gt;"&amp;(Saisie_Questions!$N81/$I81)&amp;"&lt;/setvar&gt;&lt;/respcondition&gt;"))),"")</f>
        <v/>
      </c>
      <c r="AM81" s="2" t="str">
        <f>IF($B81,IF(O81="","",IF($C81="qcu",IF(W81,"      &lt;respcondition continue=""Yes""&gt;&lt;conditionvar&gt;&lt;varequal respident=""RESPONSE""&gt;3&lt;/varequal&gt;&lt;/conditionvar&gt;&lt;setvar action=""Add""&gt;"&amp;$H81&amp;"&lt;/setvar&gt;&lt;/respcondition&gt;",""),IF(W81,"      &lt;respcondition continue=""Yes""&gt;&lt;conditionvar&gt;&lt;varequal respident=""RESPONSE""&gt;3&lt;/varequal&gt;&lt;/conditionvar&gt;&lt;setvar action=""Add""&gt;"&amp;(Saisie_Questions!$N81/$I81)&amp;"&lt;/setvar&gt;&lt;/respcondition&gt;","      &lt;respcondition continue=""Yes""&gt;&lt;conditionvar&gt;&lt;not&gt;&lt;varequal respident=""RESPONSE""&gt;3&lt;/varequal&gt;&lt;/not&gt;&lt;/conditionvar&gt;&lt;setvar action=""Add""&gt;"&amp;(Saisie_Questions!$N81/$I81)&amp;"&lt;/setvar&gt;&lt;/respcondition&gt;"))),"")</f>
        <v/>
      </c>
      <c r="AN81" s="2" t="str">
        <f>IF($B81,IF(P81="","",IF($C81="qcu",IF(X81,"      &lt;respcondition continue=""Yes""&gt;&lt;conditionvar&gt;&lt;varequal respident=""RESPONSE""&gt;4&lt;/varequal&gt;&lt;/conditionvar&gt;&lt;setvar action=""Add""&gt;"&amp;$H81&amp;"&lt;/setvar&gt;&lt;/respcondition&gt;",""),IF(X81,"      &lt;respcondition continue=""Yes""&gt;&lt;conditionvar&gt;&lt;varequal respident=""RESPONSE""&gt;4&lt;/varequal&gt;&lt;/conditionvar&gt;&lt;setvar action=""Add""&gt;"&amp;(Saisie_Questions!$N81/$I81)&amp;"&lt;/setvar&gt;&lt;/respcondition&gt;","      &lt;respcondition continue=""Yes""&gt;&lt;conditionvar&gt;&lt;not&gt;&lt;varequal respident=""RESPONSE""&gt;4&lt;/varequal&gt;&lt;/not&gt;&lt;/conditionvar&gt;&lt;setvar action=""Add""&gt;"&amp;(Saisie_Questions!$N81/$I81)&amp;"&lt;/setvar&gt;&lt;/respcondition&gt;"))),"")</f>
        <v/>
      </c>
      <c r="AO81" s="2" t="str">
        <f>IF($B81,IF(Q81="","",IF($C81="qcu",IF(Y81,"      &lt;respcondition continue=""Yes""&gt;&lt;conditionvar&gt;&lt;varequal respident=""RESPONSE""&gt;5&lt;/varequal&gt;&lt;/conditionvar&gt;&lt;setvar action=""Add""&gt;"&amp;$H81&amp;"&lt;/setvar&gt;&lt;/respcondition&gt;",""),IF(Y81,"      &lt;respcondition continue=""Yes""&gt;&lt;conditionvar&gt;&lt;varequal respident=""RESPONSE""&gt;5&lt;/varequal&gt;&lt;/conditionvar&gt;&lt;setvar action=""Add""&gt;"&amp;(Saisie_Questions!$N81/$I81)&amp;"&lt;/setvar&gt;&lt;/respcondition&gt;","      &lt;respcondition continue=""Yes""&gt;&lt;conditionvar&gt;&lt;not&gt;&lt;varequal respident=""RESPONSE""&gt;5&lt;/varequal&gt;&lt;/not&gt;&lt;/conditionvar&gt;&lt;setvar action=""Add""&gt;"&amp;(Saisie_Questions!$N81/$I81)&amp;"&lt;/setvar&gt;&lt;/respcondition&gt;"))),"")</f>
        <v/>
      </c>
      <c r="AP81" s="2" t="str">
        <f>IF($B81,IF(R81="","",IF($C81="qcu",IF(Z81,"      &lt;respcondition continue=""Yes""&gt;&lt;conditionvar&gt;&lt;varequal respident=""RESPONSE""&gt;6&lt;/varequal&gt;&lt;/conditionvar&gt;&lt;setvar action=""Add""&gt;"&amp;$H81&amp;"&lt;/setvar&gt;&lt;/respcondition&gt;",""),IF(Z81,"      &lt;respcondition continue=""Yes""&gt;&lt;conditionvar&gt;&lt;varequal respident=""RESPONSE""&gt;6&lt;/varequal&gt;&lt;/conditionvar&gt;&lt;setvar action=""Add""&gt;"&amp;(Saisie_Questions!$N81/$I81)&amp;"&lt;/setvar&gt;&lt;/respcondition&gt;","      &lt;respcondition continue=""Yes""&gt;&lt;conditionvar&gt;&lt;not&gt;&lt;varequal respident=""RESPONSE""&gt;6&lt;/varequal&gt;&lt;/not&gt;&lt;/conditionvar&gt;&lt;setvar action=""Add""&gt;"&amp;(Saisie_Questions!$N81/$I81)&amp;"&lt;/setvar&gt;&lt;/respcondition&gt;"))),"")</f>
        <v/>
      </c>
      <c r="AQ81" s="2" t="str">
        <f>IF($B81,IF(S81="","",IF($C81="qcu",IF(AA81,"      &lt;respcondition continue=""Yes""&gt;&lt;conditionvar&gt;&lt;varequal respident=""RESPONSE""&gt;7&lt;/varequal&gt;&lt;/conditionvar&gt;&lt;setvar action=""Add""&gt;"&amp;$H81&amp;"&lt;/setvar&gt;&lt;/respcondition&gt;",""),IF(AA81,"      &lt;respcondition continue=""Yes""&gt;&lt;conditionvar&gt;&lt;varequal respident=""RESPONSE""&gt;7&lt;/varequal&gt;&lt;/conditionvar&gt;&lt;setvar action=""Add""&gt;"&amp;(Saisie_Questions!$N81/$I81)&amp;"&lt;/setvar&gt;&lt;/respcondition&gt;","      &lt;respcondition continue=""Yes""&gt;&lt;conditionvar&gt;&lt;not&gt;&lt;varequal respident=""RESPONSE""&gt;7&lt;/varequal&gt;&lt;/not&gt;&lt;/conditionvar&gt;&lt;setvar action=""Add""&gt;"&amp;(Saisie_Questions!$N81/$I81)&amp;"&lt;/setvar&gt;&lt;/respcondition&gt;"))),"")</f>
        <v/>
      </c>
    </row>
    <row r="82" spans="1:43" ht="18" customHeight="1">
      <c r="A82" s="2" t="str">
        <f>Saisie_Questions!A82</f>
        <v/>
      </c>
      <c r="B82" s="2" t="b">
        <f>Saisie_Questions!O82="OK"</f>
        <v>0</v>
      </c>
      <c r="C82" s="2" t="str">
        <f>LOWER(TRIM(Saisie_Questions!B82))</f>
        <v/>
      </c>
      <c r="D82" s="2" t="str">
        <f t="shared" si="36"/>
        <v>MULTIPLE CHOICE QUESTION</v>
      </c>
      <c r="E82" s="2" t="str">
        <f t="shared" si="37"/>
        <v>Multiple</v>
      </c>
      <c r="F82" s="2" t="str">
        <f>IF(A82="","",SUBSTITUTE(SUBSTITUTE(SUBSTITUTE(SUBSTITUTE(SUBSTITUTE(IF(Saisie_Questions!C82="", "Question "&amp;A82, Saisie_Questions!C82),"&amp;","&amp;amp;"),"&lt;","&amp;lt;"),"&gt;","&amp;gt;"),CHAR(34),"&amp;quot;"),"'","&amp;apos;"))</f>
        <v/>
      </c>
      <c r="G82" s="2" t="str">
        <f>IF(A82="","",SUBSTITUTE(SUBSTITUTE(SUBSTITUTE(SUBSTITUTE(SUBSTITUTE(Saisie_Questions!D82,"&amp;","&amp;amp;"),"&lt;","&amp;lt;"),"&gt;","&amp;gt;"),CHAR(34),"&amp;quot;"),"'","&amp;apos;"))</f>
        <v/>
      </c>
      <c r="H82" s="2">
        <f>Saisie_Questions!N82</f>
        <v>0</v>
      </c>
      <c r="I82" s="2">
        <f>IF(Saisie_Questions!E82="",0,1)+IF(Saisie_Questions!F82="",0,1)+IF(Saisie_Questions!G82="",0,1)+IF(Saisie_Questions!H82="",0,1)+IF(Saisie_Questions!I82="",0,1)+IF(Saisie_Questions!J82="",0,1)+IF(Saisie_Questions!K82="",0,1)+IF(Saisie_Questions!L82="",0,1)</f>
        <v>0</v>
      </c>
      <c r="J82" s="2">
        <f>Saisie_Questions!M82</f>
        <v>0</v>
      </c>
      <c r="K82" s="2" t="str">
        <f>Saisie_Questions!O82</f>
        <v/>
      </c>
      <c r="L82" s="2" t="str">
        <f>IF(Saisie_Questions!E82="","",SUBSTITUTE(SUBSTITUTE(SUBSTITUTE(SUBSTITUTE(SUBSTITUTE(Saisie_Questions!E82,"&amp;","&amp;amp;"),"&lt;","&amp;lt;"),"&gt;","&amp;gt;"),CHAR(34),"&amp;quot;"),"'","&amp;apos;"))</f>
        <v/>
      </c>
      <c r="M82" s="2" t="str">
        <f>IF(Saisie_Questions!F82="","",SUBSTITUTE(SUBSTITUTE(SUBSTITUTE(SUBSTITUTE(SUBSTITUTE(Saisie_Questions!F82,"&amp;","&amp;amp;"),"&lt;","&amp;lt;"),"&gt;","&amp;gt;"),CHAR(34),"&amp;quot;"),"'","&amp;apos;"))</f>
        <v/>
      </c>
      <c r="N82" s="2" t="str">
        <f>IF(Saisie_Questions!G82="","",SUBSTITUTE(SUBSTITUTE(SUBSTITUTE(SUBSTITUTE(SUBSTITUTE(Saisie_Questions!G82,"&amp;","&amp;amp;"),"&lt;","&amp;lt;"),"&gt;","&amp;gt;"),CHAR(34),"&amp;quot;"),"'","&amp;apos;"))</f>
        <v/>
      </c>
      <c r="O82" s="2" t="str">
        <f>IF(Saisie_Questions!H82="","",SUBSTITUTE(SUBSTITUTE(SUBSTITUTE(SUBSTITUTE(SUBSTITUTE(Saisie_Questions!H82,"&amp;","&amp;amp;"),"&lt;","&amp;lt;"),"&gt;","&amp;gt;"),CHAR(34),"&amp;quot;"),"'","&amp;apos;"))</f>
        <v/>
      </c>
      <c r="P82" s="2" t="str">
        <f>IF(Saisie_Questions!I82="","",SUBSTITUTE(SUBSTITUTE(SUBSTITUTE(SUBSTITUTE(SUBSTITUTE(Saisie_Questions!I82,"&amp;","&amp;amp;"),"&lt;","&amp;lt;"),"&gt;","&amp;gt;"),CHAR(34),"&amp;quot;"),"'","&amp;apos;"))</f>
        <v/>
      </c>
      <c r="Q82" s="2" t="str">
        <f>IF(Saisie_Questions!J82="","",SUBSTITUTE(SUBSTITUTE(SUBSTITUTE(SUBSTITUTE(SUBSTITUTE(Saisie_Questions!J82,"&amp;","&amp;amp;"),"&lt;","&amp;lt;"),"&gt;","&amp;gt;"),CHAR(34),"&amp;quot;"),"'","&amp;apos;"))</f>
        <v/>
      </c>
      <c r="R82" s="2" t="str">
        <f>IF(Saisie_Questions!K82="","",SUBSTITUTE(SUBSTITUTE(SUBSTITUTE(SUBSTITUTE(SUBSTITUTE(Saisie_Questions!K82,"&amp;","&amp;amp;"),"&lt;","&amp;lt;"),"&gt;","&amp;gt;"),CHAR(34),"&amp;quot;"),"'","&amp;apos;"))</f>
        <v/>
      </c>
      <c r="S82" s="2" t="str">
        <f>IF(Saisie_Questions!L82="","",SUBSTITUTE(SUBSTITUTE(SUBSTITUTE(SUBSTITUTE(SUBSTITUTE(Saisie_Questions!L82,"&amp;","&amp;amp;"),"&lt;","&amp;lt;"),"&gt;","&amp;gt;"),CHAR(34),"&amp;quot;"),"'","&amp;apos;"))</f>
        <v/>
      </c>
      <c r="T82" s="2" t="b">
        <f t="shared" si="38"/>
        <v>0</v>
      </c>
      <c r="U82" s="2" t="b">
        <f t="shared" si="39"/>
        <v>0</v>
      </c>
      <c r="V82" s="2" t="b">
        <f t="shared" si="40"/>
        <v>0</v>
      </c>
      <c r="W82" s="2" t="b">
        <f t="shared" si="41"/>
        <v>0</v>
      </c>
      <c r="X82" s="2" t="b">
        <f t="shared" si="42"/>
        <v>0</v>
      </c>
      <c r="Y82" s="2" t="b">
        <f t="shared" si="43"/>
        <v>0</v>
      </c>
      <c r="Z82" s="2" t="b">
        <f t="shared" si="44"/>
        <v>0</v>
      </c>
      <c r="AA82" s="2" t="b">
        <f t="shared" si="45"/>
        <v>0</v>
      </c>
      <c r="AB82" s="2" t="str">
        <f t="shared" si="46"/>
        <v/>
      </c>
      <c r="AC82" s="2" t="str">
        <f t="shared" si="47"/>
        <v/>
      </c>
      <c r="AD82" s="2" t="str">
        <f t="shared" si="48"/>
        <v/>
      </c>
      <c r="AE82" s="2" t="str">
        <f t="shared" si="49"/>
        <v/>
      </c>
      <c r="AF82" s="2" t="str">
        <f t="shared" si="50"/>
        <v/>
      </c>
      <c r="AG82" s="2" t="str">
        <f t="shared" si="51"/>
        <v/>
      </c>
      <c r="AH82" s="2" t="str">
        <f t="shared" si="52"/>
        <v/>
      </c>
      <c r="AI82" s="2" t="str">
        <f t="shared" si="53"/>
        <v/>
      </c>
      <c r="AJ82" s="2" t="str">
        <f>IF($B82,IF(L82="","",IF($C82="qcu",IF(T82,"      &lt;respcondition continue=""Yes""&gt;&lt;conditionvar&gt;&lt;varequal respident=""RESPONSE""&gt;0&lt;/varequal&gt;&lt;/conditionvar&gt;&lt;setvar action=""Add""&gt;"&amp;$H82&amp;"&lt;/setvar&gt;&lt;/respcondition&gt;",""),IF(T82,"      &lt;respcondition continue=""Yes""&gt;&lt;conditionvar&gt;&lt;varequal respident=""RESPONSE""&gt;0&lt;/varequal&gt;&lt;/conditionvar&gt;&lt;setvar action=""Add""&gt;"&amp;(Saisie_Questions!$N82/$I82)&amp;"&lt;/setvar&gt;&lt;/respcondition&gt;","      &lt;respcondition continue=""Yes""&gt;&lt;conditionvar&gt;&lt;not&gt;&lt;varequal respident=""RESPONSE""&gt;0&lt;/varequal&gt;&lt;/not&gt;&lt;/conditionvar&gt;&lt;setvar action=""Add""&gt;"&amp;(Saisie_Questions!$N82/$I82)&amp;"&lt;/setvar&gt;&lt;/respcondition&gt;"))),"")</f>
        <v/>
      </c>
      <c r="AK82" s="2" t="str">
        <f>IF($B82,IF(M82="","",IF($C82="qcu",IF(U82,"      &lt;respcondition continue=""Yes""&gt;&lt;conditionvar&gt;&lt;varequal respident=""RESPONSE""&gt;1&lt;/varequal&gt;&lt;/conditionvar&gt;&lt;setvar action=""Add""&gt;"&amp;$H82&amp;"&lt;/setvar&gt;&lt;/respcondition&gt;",""),IF(U82,"      &lt;respcondition continue=""Yes""&gt;&lt;conditionvar&gt;&lt;varequal respident=""RESPONSE""&gt;1&lt;/varequal&gt;&lt;/conditionvar&gt;&lt;setvar action=""Add""&gt;"&amp;(Saisie_Questions!$N82/$I82)&amp;"&lt;/setvar&gt;&lt;/respcondition&gt;","      &lt;respcondition continue=""Yes""&gt;&lt;conditionvar&gt;&lt;not&gt;&lt;varequal respident=""RESPONSE""&gt;1&lt;/varequal&gt;&lt;/not&gt;&lt;/conditionvar&gt;&lt;setvar action=""Add""&gt;"&amp;(Saisie_Questions!$N82/$I82)&amp;"&lt;/setvar&gt;&lt;/respcondition&gt;"))),"")</f>
        <v/>
      </c>
      <c r="AL82" s="2" t="str">
        <f>IF($B82,IF(N82="","",IF($C82="qcu",IF(V82,"      &lt;respcondition continue=""Yes""&gt;&lt;conditionvar&gt;&lt;varequal respident=""RESPONSE""&gt;2&lt;/varequal&gt;&lt;/conditionvar&gt;&lt;setvar action=""Add""&gt;"&amp;$H82&amp;"&lt;/setvar&gt;&lt;/respcondition&gt;",""),IF(V82,"      &lt;respcondition continue=""Yes""&gt;&lt;conditionvar&gt;&lt;varequal respident=""RESPONSE""&gt;2&lt;/varequal&gt;&lt;/conditionvar&gt;&lt;setvar action=""Add""&gt;"&amp;(Saisie_Questions!$N82/$I82)&amp;"&lt;/setvar&gt;&lt;/respcondition&gt;","      &lt;respcondition continue=""Yes""&gt;&lt;conditionvar&gt;&lt;not&gt;&lt;varequal respident=""RESPONSE""&gt;2&lt;/varequal&gt;&lt;/not&gt;&lt;/conditionvar&gt;&lt;setvar action=""Add""&gt;"&amp;(Saisie_Questions!$N82/$I82)&amp;"&lt;/setvar&gt;&lt;/respcondition&gt;"))),"")</f>
        <v/>
      </c>
      <c r="AM82" s="2" t="str">
        <f>IF($B82,IF(O82="","",IF($C82="qcu",IF(W82,"      &lt;respcondition continue=""Yes""&gt;&lt;conditionvar&gt;&lt;varequal respident=""RESPONSE""&gt;3&lt;/varequal&gt;&lt;/conditionvar&gt;&lt;setvar action=""Add""&gt;"&amp;$H82&amp;"&lt;/setvar&gt;&lt;/respcondition&gt;",""),IF(W82,"      &lt;respcondition continue=""Yes""&gt;&lt;conditionvar&gt;&lt;varequal respident=""RESPONSE""&gt;3&lt;/varequal&gt;&lt;/conditionvar&gt;&lt;setvar action=""Add""&gt;"&amp;(Saisie_Questions!$N82/$I82)&amp;"&lt;/setvar&gt;&lt;/respcondition&gt;","      &lt;respcondition continue=""Yes""&gt;&lt;conditionvar&gt;&lt;not&gt;&lt;varequal respident=""RESPONSE""&gt;3&lt;/varequal&gt;&lt;/not&gt;&lt;/conditionvar&gt;&lt;setvar action=""Add""&gt;"&amp;(Saisie_Questions!$N82/$I82)&amp;"&lt;/setvar&gt;&lt;/respcondition&gt;"))),"")</f>
        <v/>
      </c>
      <c r="AN82" s="2" t="str">
        <f>IF($B82,IF(P82="","",IF($C82="qcu",IF(X82,"      &lt;respcondition continue=""Yes""&gt;&lt;conditionvar&gt;&lt;varequal respident=""RESPONSE""&gt;4&lt;/varequal&gt;&lt;/conditionvar&gt;&lt;setvar action=""Add""&gt;"&amp;$H82&amp;"&lt;/setvar&gt;&lt;/respcondition&gt;",""),IF(X82,"      &lt;respcondition continue=""Yes""&gt;&lt;conditionvar&gt;&lt;varequal respident=""RESPONSE""&gt;4&lt;/varequal&gt;&lt;/conditionvar&gt;&lt;setvar action=""Add""&gt;"&amp;(Saisie_Questions!$N82/$I82)&amp;"&lt;/setvar&gt;&lt;/respcondition&gt;","      &lt;respcondition continue=""Yes""&gt;&lt;conditionvar&gt;&lt;not&gt;&lt;varequal respident=""RESPONSE""&gt;4&lt;/varequal&gt;&lt;/not&gt;&lt;/conditionvar&gt;&lt;setvar action=""Add""&gt;"&amp;(Saisie_Questions!$N82/$I82)&amp;"&lt;/setvar&gt;&lt;/respcondition&gt;"))),"")</f>
        <v/>
      </c>
      <c r="AO82" s="2" t="str">
        <f>IF($B82,IF(Q82="","",IF($C82="qcu",IF(Y82,"      &lt;respcondition continue=""Yes""&gt;&lt;conditionvar&gt;&lt;varequal respident=""RESPONSE""&gt;5&lt;/varequal&gt;&lt;/conditionvar&gt;&lt;setvar action=""Add""&gt;"&amp;$H82&amp;"&lt;/setvar&gt;&lt;/respcondition&gt;",""),IF(Y82,"      &lt;respcondition continue=""Yes""&gt;&lt;conditionvar&gt;&lt;varequal respident=""RESPONSE""&gt;5&lt;/varequal&gt;&lt;/conditionvar&gt;&lt;setvar action=""Add""&gt;"&amp;(Saisie_Questions!$N82/$I82)&amp;"&lt;/setvar&gt;&lt;/respcondition&gt;","      &lt;respcondition continue=""Yes""&gt;&lt;conditionvar&gt;&lt;not&gt;&lt;varequal respident=""RESPONSE""&gt;5&lt;/varequal&gt;&lt;/not&gt;&lt;/conditionvar&gt;&lt;setvar action=""Add""&gt;"&amp;(Saisie_Questions!$N82/$I82)&amp;"&lt;/setvar&gt;&lt;/respcondition&gt;"))),"")</f>
        <v/>
      </c>
      <c r="AP82" s="2" t="str">
        <f>IF($B82,IF(R82="","",IF($C82="qcu",IF(Z82,"      &lt;respcondition continue=""Yes""&gt;&lt;conditionvar&gt;&lt;varequal respident=""RESPONSE""&gt;6&lt;/varequal&gt;&lt;/conditionvar&gt;&lt;setvar action=""Add""&gt;"&amp;$H82&amp;"&lt;/setvar&gt;&lt;/respcondition&gt;",""),IF(Z82,"      &lt;respcondition continue=""Yes""&gt;&lt;conditionvar&gt;&lt;varequal respident=""RESPONSE""&gt;6&lt;/varequal&gt;&lt;/conditionvar&gt;&lt;setvar action=""Add""&gt;"&amp;(Saisie_Questions!$N82/$I82)&amp;"&lt;/setvar&gt;&lt;/respcondition&gt;","      &lt;respcondition continue=""Yes""&gt;&lt;conditionvar&gt;&lt;not&gt;&lt;varequal respident=""RESPONSE""&gt;6&lt;/varequal&gt;&lt;/not&gt;&lt;/conditionvar&gt;&lt;setvar action=""Add""&gt;"&amp;(Saisie_Questions!$N82/$I82)&amp;"&lt;/setvar&gt;&lt;/respcondition&gt;"))),"")</f>
        <v/>
      </c>
      <c r="AQ82" s="2" t="str">
        <f>IF($B82,IF(S82="","",IF($C82="qcu",IF(AA82,"      &lt;respcondition continue=""Yes""&gt;&lt;conditionvar&gt;&lt;varequal respident=""RESPONSE""&gt;7&lt;/varequal&gt;&lt;/conditionvar&gt;&lt;setvar action=""Add""&gt;"&amp;$H82&amp;"&lt;/setvar&gt;&lt;/respcondition&gt;",""),IF(AA82,"      &lt;respcondition continue=""Yes""&gt;&lt;conditionvar&gt;&lt;varequal respident=""RESPONSE""&gt;7&lt;/varequal&gt;&lt;/conditionvar&gt;&lt;setvar action=""Add""&gt;"&amp;(Saisie_Questions!$N82/$I82)&amp;"&lt;/setvar&gt;&lt;/respcondition&gt;","      &lt;respcondition continue=""Yes""&gt;&lt;conditionvar&gt;&lt;not&gt;&lt;varequal respident=""RESPONSE""&gt;7&lt;/varequal&gt;&lt;/not&gt;&lt;/conditionvar&gt;&lt;setvar action=""Add""&gt;"&amp;(Saisie_Questions!$N82/$I82)&amp;"&lt;/setvar&gt;&lt;/respcondition&gt;"))),"")</f>
        <v/>
      </c>
    </row>
    <row r="83" spans="1:43" ht="18" customHeight="1">
      <c r="A83" s="2" t="str">
        <f>Saisie_Questions!A83</f>
        <v/>
      </c>
      <c r="B83" s="2" t="b">
        <f>Saisie_Questions!O83="OK"</f>
        <v>0</v>
      </c>
      <c r="C83" s="2" t="str">
        <f>LOWER(TRIM(Saisie_Questions!B83))</f>
        <v/>
      </c>
      <c r="D83" s="2" t="str">
        <f t="shared" si="36"/>
        <v>MULTIPLE CHOICE QUESTION</v>
      </c>
      <c r="E83" s="2" t="str">
        <f t="shared" si="37"/>
        <v>Multiple</v>
      </c>
      <c r="F83" s="2" t="str">
        <f>IF(A83="","",SUBSTITUTE(SUBSTITUTE(SUBSTITUTE(SUBSTITUTE(SUBSTITUTE(IF(Saisie_Questions!C83="", "Question "&amp;A83, Saisie_Questions!C83),"&amp;","&amp;amp;"),"&lt;","&amp;lt;"),"&gt;","&amp;gt;"),CHAR(34),"&amp;quot;"),"'","&amp;apos;"))</f>
        <v/>
      </c>
      <c r="G83" s="2" t="str">
        <f>IF(A83="","",SUBSTITUTE(SUBSTITUTE(SUBSTITUTE(SUBSTITUTE(SUBSTITUTE(Saisie_Questions!D83,"&amp;","&amp;amp;"),"&lt;","&amp;lt;"),"&gt;","&amp;gt;"),CHAR(34),"&amp;quot;"),"'","&amp;apos;"))</f>
        <v/>
      </c>
      <c r="H83" s="2">
        <f>Saisie_Questions!N83</f>
        <v>0</v>
      </c>
      <c r="I83" s="2">
        <f>IF(Saisie_Questions!E83="",0,1)+IF(Saisie_Questions!F83="",0,1)+IF(Saisie_Questions!G83="",0,1)+IF(Saisie_Questions!H83="",0,1)+IF(Saisie_Questions!I83="",0,1)+IF(Saisie_Questions!J83="",0,1)+IF(Saisie_Questions!K83="",0,1)+IF(Saisie_Questions!L83="",0,1)</f>
        <v>0</v>
      </c>
      <c r="J83" s="2">
        <f>Saisie_Questions!M83</f>
        <v>0</v>
      </c>
      <c r="K83" s="2" t="str">
        <f>Saisie_Questions!O83</f>
        <v/>
      </c>
      <c r="L83" s="2" t="str">
        <f>IF(Saisie_Questions!E83="","",SUBSTITUTE(SUBSTITUTE(SUBSTITUTE(SUBSTITUTE(SUBSTITUTE(Saisie_Questions!E83,"&amp;","&amp;amp;"),"&lt;","&amp;lt;"),"&gt;","&amp;gt;"),CHAR(34),"&amp;quot;"),"'","&amp;apos;"))</f>
        <v/>
      </c>
      <c r="M83" s="2" t="str">
        <f>IF(Saisie_Questions!F83="","",SUBSTITUTE(SUBSTITUTE(SUBSTITUTE(SUBSTITUTE(SUBSTITUTE(Saisie_Questions!F83,"&amp;","&amp;amp;"),"&lt;","&amp;lt;"),"&gt;","&amp;gt;"),CHAR(34),"&amp;quot;"),"'","&amp;apos;"))</f>
        <v/>
      </c>
      <c r="N83" s="2" t="str">
        <f>IF(Saisie_Questions!G83="","",SUBSTITUTE(SUBSTITUTE(SUBSTITUTE(SUBSTITUTE(SUBSTITUTE(Saisie_Questions!G83,"&amp;","&amp;amp;"),"&lt;","&amp;lt;"),"&gt;","&amp;gt;"),CHAR(34),"&amp;quot;"),"'","&amp;apos;"))</f>
        <v/>
      </c>
      <c r="O83" s="2" t="str">
        <f>IF(Saisie_Questions!H83="","",SUBSTITUTE(SUBSTITUTE(SUBSTITUTE(SUBSTITUTE(SUBSTITUTE(Saisie_Questions!H83,"&amp;","&amp;amp;"),"&lt;","&amp;lt;"),"&gt;","&amp;gt;"),CHAR(34),"&amp;quot;"),"'","&amp;apos;"))</f>
        <v/>
      </c>
      <c r="P83" s="2" t="str">
        <f>IF(Saisie_Questions!I83="","",SUBSTITUTE(SUBSTITUTE(SUBSTITUTE(SUBSTITUTE(SUBSTITUTE(Saisie_Questions!I83,"&amp;","&amp;amp;"),"&lt;","&amp;lt;"),"&gt;","&amp;gt;"),CHAR(34),"&amp;quot;"),"'","&amp;apos;"))</f>
        <v/>
      </c>
      <c r="Q83" s="2" t="str">
        <f>IF(Saisie_Questions!J83="","",SUBSTITUTE(SUBSTITUTE(SUBSTITUTE(SUBSTITUTE(SUBSTITUTE(Saisie_Questions!J83,"&amp;","&amp;amp;"),"&lt;","&amp;lt;"),"&gt;","&amp;gt;"),CHAR(34),"&amp;quot;"),"'","&amp;apos;"))</f>
        <v/>
      </c>
      <c r="R83" s="2" t="str">
        <f>IF(Saisie_Questions!K83="","",SUBSTITUTE(SUBSTITUTE(SUBSTITUTE(SUBSTITUTE(SUBSTITUTE(Saisie_Questions!K83,"&amp;","&amp;amp;"),"&lt;","&amp;lt;"),"&gt;","&amp;gt;"),CHAR(34),"&amp;quot;"),"'","&amp;apos;"))</f>
        <v/>
      </c>
      <c r="S83" s="2" t="str">
        <f>IF(Saisie_Questions!L83="","",SUBSTITUTE(SUBSTITUTE(SUBSTITUTE(SUBSTITUTE(SUBSTITUTE(Saisie_Questions!L83,"&amp;","&amp;amp;"),"&lt;","&amp;lt;"),"&gt;","&amp;gt;"),CHAR(34),"&amp;quot;"),"'","&amp;apos;"))</f>
        <v/>
      </c>
      <c r="T83" s="2" t="b">
        <f t="shared" si="38"/>
        <v>0</v>
      </c>
      <c r="U83" s="2" t="b">
        <f t="shared" si="39"/>
        <v>0</v>
      </c>
      <c r="V83" s="2" t="b">
        <f t="shared" si="40"/>
        <v>0</v>
      </c>
      <c r="W83" s="2" t="b">
        <f t="shared" si="41"/>
        <v>0</v>
      </c>
      <c r="X83" s="2" t="b">
        <f t="shared" si="42"/>
        <v>0</v>
      </c>
      <c r="Y83" s="2" t="b">
        <f t="shared" si="43"/>
        <v>0</v>
      </c>
      <c r="Z83" s="2" t="b">
        <f t="shared" si="44"/>
        <v>0</v>
      </c>
      <c r="AA83" s="2" t="b">
        <f t="shared" si="45"/>
        <v>0</v>
      </c>
      <c r="AB83" s="2" t="str">
        <f t="shared" si="46"/>
        <v/>
      </c>
      <c r="AC83" s="2" t="str">
        <f t="shared" si="47"/>
        <v/>
      </c>
      <c r="AD83" s="2" t="str">
        <f t="shared" si="48"/>
        <v/>
      </c>
      <c r="AE83" s="2" t="str">
        <f t="shared" si="49"/>
        <v/>
      </c>
      <c r="AF83" s="2" t="str">
        <f t="shared" si="50"/>
        <v/>
      </c>
      <c r="AG83" s="2" t="str">
        <f t="shared" si="51"/>
        <v/>
      </c>
      <c r="AH83" s="2" t="str">
        <f t="shared" si="52"/>
        <v/>
      </c>
      <c r="AI83" s="2" t="str">
        <f t="shared" si="53"/>
        <v/>
      </c>
      <c r="AJ83" s="2" t="str">
        <f>IF($B83,IF(L83="","",IF($C83="qcu",IF(T83,"      &lt;respcondition continue=""Yes""&gt;&lt;conditionvar&gt;&lt;varequal respident=""RESPONSE""&gt;0&lt;/varequal&gt;&lt;/conditionvar&gt;&lt;setvar action=""Add""&gt;"&amp;$H83&amp;"&lt;/setvar&gt;&lt;/respcondition&gt;",""),IF(T83,"      &lt;respcondition continue=""Yes""&gt;&lt;conditionvar&gt;&lt;varequal respident=""RESPONSE""&gt;0&lt;/varequal&gt;&lt;/conditionvar&gt;&lt;setvar action=""Add""&gt;"&amp;(Saisie_Questions!$N83/$I83)&amp;"&lt;/setvar&gt;&lt;/respcondition&gt;","      &lt;respcondition continue=""Yes""&gt;&lt;conditionvar&gt;&lt;not&gt;&lt;varequal respident=""RESPONSE""&gt;0&lt;/varequal&gt;&lt;/not&gt;&lt;/conditionvar&gt;&lt;setvar action=""Add""&gt;"&amp;(Saisie_Questions!$N83/$I83)&amp;"&lt;/setvar&gt;&lt;/respcondition&gt;"))),"")</f>
        <v/>
      </c>
      <c r="AK83" s="2" t="str">
        <f>IF($B83,IF(M83="","",IF($C83="qcu",IF(U83,"      &lt;respcondition continue=""Yes""&gt;&lt;conditionvar&gt;&lt;varequal respident=""RESPONSE""&gt;1&lt;/varequal&gt;&lt;/conditionvar&gt;&lt;setvar action=""Add""&gt;"&amp;$H83&amp;"&lt;/setvar&gt;&lt;/respcondition&gt;",""),IF(U83,"      &lt;respcondition continue=""Yes""&gt;&lt;conditionvar&gt;&lt;varequal respident=""RESPONSE""&gt;1&lt;/varequal&gt;&lt;/conditionvar&gt;&lt;setvar action=""Add""&gt;"&amp;(Saisie_Questions!$N83/$I83)&amp;"&lt;/setvar&gt;&lt;/respcondition&gt;","      &lt;respcondition continue=""Yes""&gt;&lt;conditionvar&gt;&lt;not&gt;&lt;varequal respident=""RESPONSE""&gt;1&lt;/varequal&gt;&lt;/not&gt;&lt;/conditionvar&gt;&lt;setvar action=""Add""&gt;"&amp;(Saisie_Questions!$N83/$I83)&amp;"&lt;/setvar&gt;&lt;/respcondition&gt;"))),"")</f>
        <v/>
      </c>
      <c r="AL83" s="2" t="str">
        <f>IF($B83,IF(N83="","",IF($C83="qcu",IF(V83,"      &lt;respcondition continue=""Yes""&gt;&lt;conditionvar&gt;&lt;varequal respident=""RESPONSE""&gt;2&lt;/varequal&gt;&lt;/conditionvar&gt;&lt;setvar action=""Add""&gt;"&amp;$H83&amp;"&lt;/setvar&gt;&lt;/respcondition&gt;",""),IF(V83,"      &lt;respcondition continue=""Yes""&gt;&lt;conditionvar&gt;&lt;varequal respident=""RESPONSE""&gt;2&lt;/varequal&gt;&lt;/conditionvar&gt;&lt;setvar action=""Add""&gt;"&amp;(Saisie_Questions!$N83/$I83)&amp;"&lt;/setvar&gt;&lt;/respcondition&gt;","      &lt;respcondition continue=""Yes""&gt;&lt;conditionvar&gt;&lt;not&gt;&lt;varequal respident=""RESPONSE""&gt;2&lt;/varequal&gt;&lt;/not&gt;&lt;/conditionvar&gt;&lt;setvar action=""Add""&gt;"&amp;(Saisie_Questions!$N83/$I83)&amp;"&lt;/setvar&gt;&lt;/respcondition&gt;"))),"")</f>
        <v/>
      </c>
      <c r="AM83" s="2" t="str">
        <f>IF($B83,IF(O83="","",IF($C83="qcu",IF(W83,"      &lt;respcondition continue=""Yes""&gt;&lt;conditionvar&gt;&lt;varequal respident=""RESPONSE""&gt;3&lt;/varequal&gt;&lt;/conditionvar&gt;&lt;setvar action=""Add""&gt;"&amp;$H83&amp;"&lt;/setvar&gt;&lt;/respcondition&gt;",""),IF(W83,"      &lt;respcondition continue=""Yes""&gt;&lt;conditionvar&gt;&lt;varequal respident=""RESPONSE""&gt;3&lt;/varequal&gt;&lt;/conditionvar&gt;&lt;setvar action=""Add""&gt;"&amp;(Saisie_Questions!$N83/$I83)&amp;"&lt;/setvar&gt;&lt;/respcondition&gt;","      &lt;respcondition continue=""Yes""&gt;&lt;conditionvar&gt;&lt;not&gt;&lt;varequal respident=""RESPONSE""&gt;3&lt;/varequal&gt;&lt;/not&gt;&lt;/conditionvar&gt;&lt;setvar action=""Add""&gt;"&amp;(Saisie_Questions!$N83/$I83)&amp;"&lt;/setvar&gt;&lt;/respcondition&gt;"))),"")</f>
        <v/>
      </c>
      <c r="AN83" s="2" t="str">
        <f>IF($B83,IF(P83="","",IF($C83="qcu",IF(X83,"      &lt;respcondition continue=""Yes""&gt;&lt;conditionvar&gt;&lt;varequal respident=""RESPONSE""&gt;4&lt;/varequal&gt;&lt;/conditionvar&gt;&lt;setvar action=""Add""&gt;"&amp;$H83&amp;"&lt;/setvar&gt;&lt;/respcondition&gt;",""),IF(X83,"      &lt;respcondition continue=""Yes""&gt;&lt;conditionvar&gt;&lt;varequal respident=""RESPONSE""&gt;4&lt;/varequal&gt;&lt;/conditionvar&gt;&lt;setvar action=""Add""&gt;"&amp;(Saisie_Questions!$N83/$I83)&amp;"&lt;/setvar&gt;&lt;/respcondition&gt;","      &lt;respcondition continue=""Yes""&gt;&lt;conditionvar&gt;&lt;not&gt;&lt;varequal respident=""RESPONSE""&gt;4&lt;/varequal&gt;&lt;/not&gt;&lt;/conditionvar&gt;&lt;setvar action=""Add""&gt;"&amp;(Saisie_Questions!$N83/$I83)&amp;"&lt;/setvar&gt;&lt;/respcondition&gt;"))),"")</f>
        <v/>
      </c>
      <c r="AO83" s="2" t="str">
        <f>IF($B83,IF(Q83="","",IF($C83="qcu",IF(Y83,"      &lt;respcondition continue=""Yes""&gt;&lt;conditionvar&gt;&lt;varequal respident=""RESPONSE""&gt;5&lt;/varequal&gt;&lt;/conditionvar&gt;&lt;setvar action=""Add""&gt;"&amp;$H83&amp;"&lt;/setvar&gt;&lt;/respcondition&gt;",""),IF(Y83,"      &lt;respcondition continue=""Yes""&gt;&lt;conditionvar&gt;&lt;varequal respident=""RESPONSE""&gt;5&lt;/varequal&gt;&lt;/conditionvar&gt;&lt;setvar action=""Add""&gt;"&amp;(Saisie_Questions!$N83/$I83)&amp;"&lt;/setvar&gt;&lt;/respcondition&gt;","      &lt;respcondition continue=""Yes""&gt;&lt;conditionvar&gt;&lt;not&gt;&lt;varequal respident=""RESPONSE""&gt;5&lt;/varequal&gt;&lt;/not&gt;&lt;/conditionvar&gt;&lt;setvar action=""Add""&gt;"&amp;(Saisie_Questions!$N83/$I83)&amp;"&lt;/setvar&gt;&lt;/respcondition&gt;"))),"")</f>
        <v/>
      </c>
      <c r="AP83" s="2" t="str">
        <f>IF($B83,IF(R83="","",IF($C83="qcu",IF(Z83,"      &lt;respcondition continue=""Yes""&gt;&lt;conditionvar&gt;&lt;varequal respident=""RESPONSE""&gt;6&lt;/varequal&gt;&lt;/conditionvar&gt;&lt;setvar action=""Add""&gt;"&amp;$H83&amp;"&lt;/setvar&gt;&lt;/respcondition&gt;",""),IF(Z83,"      &lt;respcondition continue=""Yes""&gt;&lt;conditionvar&gt;&lt;varequal respident=""RESPONSE""&gt;6&lt;/varequal&gt;&lt;/conditionvar&gt;&lt;setvar action=""Add""&gt;"&amp;(Saisie_Questions!$N83/$I83)&amp;"&lt;/setvar&gt;&lt;/respcondition&gt;","      &lt;respcondition continue=""Yes""&gt;&lt;conditionvar&gt;&lt;not&gt;&lt;varequal respident=""RESPONSE""&gt;6&lt;/varequal&gt;&lt;/not&gt;&lt;/conditionvar&gt;&lt;setvar action=""Add""&gt;"&amp;(Saisie_Questions!$N83/$I83)&amp;"&lt;/setvar&gt;&lt;/respcondition&gt;"))),"")</f>
        <v/>
      </c>
      <c r="AQ83" s="2" t="str">
        <f>IF($B83,IF(S83="","",IF($C83="qcu",IF(AA83,"      &lt;respcondition continue=""Yes""&gt;&lt;conditionvar&gt;&lt;varequal respident=""RESPONSE""&gt;7&lt;/varequal&gt;&lt;/conditionvar&gt;&lt;setvar action=""Add""&gt;"&amp;$H83&amp;"&lt;/setvar&gt;&lt;/respcondition&gt;",""),IF(AA83,"      &lt;respcondition continue=""Yes""&gt;&lt;conditionvar&gt;&lt;varequal respident=""RESPONSE""&gt;7&lt;/varequal&gt;&lt;/conditionvar&gt;&lt;setvar action=""Add""&gt;"&amp;(Saisie_Questions!$N83/$I83)&amp;"&lt;/setvar&gt;&lt;/respcondition&gt;","      &lt;respcondition continue=""Yes""&gt;&lt;conditionvar&gt;&lt;not&gt;&lt;varequal respident=""RESPONSE""&gt;7&lt;/varequal&gt;&lt;/not&gt;&lt;/conditionvar&gt;&lt;setvar action=""Add""&gt;"&amp;(Saisie_Questions!$N83/$I83)&amp;"&lt;/setvar&gt;&lt;/respcondition&gt;"))),"")</f>
        <v/>
      </c>
    </row>
    <row r="84" spans="1:43" ht="18" customHeight="1">
      <c r="A84" s="2" t="str">
        <f>Saisie_Questions!A84</f>
        <v/>
      </c>
      <c r="B84" s="2" t="b">
        <f>Saisie_Questions!O84="OK"</f>
        <v>0</v>
      </c>
      <c r="C84" s="2" t="str">
        <f>LOWER(TRIM(Saisie_Questions!B84))</f>
        <v/>
      </c>
      <c r="D84" s="2" t="str">
        <f t="shared" si="36"/>
        <v>MULTIPLE CHOICE QUESTION</v>
      </c>
      <c r="E84" s="2" t="str">
        <f t="shared" si="37"/>
        <v>Multiple</v>
      </c>
      <c r="F84" s="2" t="str">
        <f>IF(A84="","",SUBSTITUTE(SUBSTITUTE(SUBSTITUTE(SUBSTITUTE(SUBSTITUTE(IF(Saisie_Questions!C84="", "Question "&amp;A84, Saisie_Questions!C84),"&amp;","&amp;amp;"),"&lt;","&amp;lt;"),"&gt;","&amp;gt;"),CHAR(34),"&amp;quot;"),"'","&amp;apos;"))</f>
        <v/>
      </c>
      <c r="G84" s="2" t="str">
        <f>IF(A84="","",SUBSTITUTE(SUBSTITUTE(SUBSTITUTE(SUBSTITUTE(SUBSTITUTE(Saisie_Questions!D84,"&amp;","&amp;amp;"),"&lt;","&amp;lt;"),"&gt;","&amp;gt;"),CHAR(34),"&amp;quot;"),"'","&amp;apos;"))</f>
        <v/>
      </c>
      <c r="H84" s="2">
        <f>Saisie_Questions!N84</f>
        <v>0</v>
      </c>
      <c r="I84" s="2">
        <f>IF(Saisie_Questions!E84="",0,1)+IF(Saisie_Questions!F84="",0,1)+IF(Saisie_Questions!G84="",0,1)+IF(Saisie_Questions!H84="",0,1)+IF(Saisie_Questions!I84="",0,1)+IF(Saisie_Questions!J84="",0,1)+IF(Saisie_Questions!K84="",0,1)+IF(Saisie_Questions!L84="",0,1)</f>
        <v>0</v>
      </c>
      <c r="J84" s="2">
        <f>Saisie_Questions!M84</f>
        <v>0</v>
      </c>
      <c r="K84" s="2" t="str">
        <f>Saisie_Questions!O84</f>
        <v/>
      </c>
      <c r="L84" s="2" t="str">
        <f>IF(Saisie_Questions!E84="","",SUBSTITUTE(SUBSTITUTE(SUBSTITUTE(SUBSTITUTE(SUBSTITUTE(Saisie_Questions!E84,"&amp;","&amp;amp;"),"&lt;","&amp;lt;"),"&gt;","&amp;gt;"),CHAR(34),"&amp;quot;"),"'","&amp;apos;"))</f>
        <v/>
      </c>
      <c r="M84" s="2" t="str">
        <f>IF(Saisie_Questions!F84="","",SUBSTITUTE(SUBSTITUTE(SUBSTITUTE(SUBSTITUTE(SUBSTITUTE(Saisie_Questions!F84,"&amp;","&amp;amp;"),"&lt;","&amp;lt;"),"&gt;","&amp;gt;"),CHAR(34),"&amp;quot;"),"'","&amp;apos;"))</f>
        <v/>
      </c>
      <c r="N84" s="2" t="str">
        <f>IF(Saisie_Questions!G84="","",SUBSTITUTE(SUBSTITUTE(SUBSTITUTE(SUBSTITUTE(SUBSTITUTE(Saisie_Questions!G84,"&amp;","&amp;amp;"),"&lt;","&amp;lt;"),"&gt;","&amp;gt;"),CHAR(34),"&amp;quot;"),"'","&amp;apos;"))</f>
        <v/>
      </c>
      <c r="O84" s="2" t="str">
        <f>IF(Saisie_Questions!H84="","",SUBSTITUTE(SUBSTITUTE(SUBSTITUTE(SUBSTITUTE(SUBSTITUTE(Saisie_Questions!H84,"&amp;","&amp;amp;"),"&lt;","&amp;lt;"),"&gt;","&amp;gt;"),CHAR(34),"&amp;quot;"),"'","&amp;apos;"))</f>
        <v/>
      </c>
      <c r="P84" s="2" t="str">
        <f>IF(Saisie_Questions!I84="","",SUBSTITUTE(SUBSTITUTE(SUBSTITUTE(SUBSTITUTE(SUBSTITUTE(Saisie_Questions!I84,"&amp;","&amp;amp;"),"&lt;","&amp;lt;"),"&gt;","&amp;gt;"),CHAR(34),"&amp;quot;"),"'","&amp;apos;"))</f>
        <v/>
      </c>
      <c r="Q84" s="2" t="str">
        <f>IF(Saisie_Questions!J84="","",SUBSTITUTE(SUBSTITUTE(SUBSTITUTE(SUBSTITUTE(SUBSTITUTE(Saisie_Questions!J84,"&amp;","&amp;amp;"),"&lt;","&amp;lt;"),"&gt;","&amp;gt;"),CHAR(34),"&amp;quot;"),"'","&amp;apos;"))</f>
        <v/>
      </c>
      <c r="R84" s="2" t="str">
        <f>IF(Saisie_Questions!K84="","",SUBSTITUTE(SUBSTITUTE(SUBSTITUTE(SUBSTITUTE(SUBSTITUTE(Saisie_Questions!K84,"&amp;","&amp;amp;"),"&lt;","&amp;lt;"),"&gt;","&amp;gt;"),CHAR(34),"&amp;quot;"),"'","&amp;apos;"))</f>
        <v/>
      </c>
      <c r="S84" s="2" t="str">
        <f>IF(Saisie_Questions!L84="","",SUBSTITUTE(SUBSTITUTE(SUBSTITUTE(SUBSTITUTE(SUBSTITUTE(Saisie_Questions!L84,"&amp;","&amp;amp;"),"&lt;","&amp;lt;"),"&gt;","&amp;gt;"),CHAR(34),"&amp;quot;"),"'","&amp;apos;"))</f>
        <v/>
      </c>
      <c r="T84" s="2" t="b">
        <f t="shared" si="38"/>
        <v>0</v>
      </c>
      <c r="U84" s="2" t="b">
        <f t="shared" si="39"/>
        <v>0</v>
      </c>
      <c r="V84" s="2" t="b">
        <f t="shared" si="40"/>
        <v>0</v>
      </c>
      <c r="W84" s="2" t="b">
        <f t="shared" si="41"/>
        <v>0</v>
      </c>
      <c r="X84" s="2" t="b">
        <f t="shared" si="42"/>
        <v>0</v>
      </c>
      <c r="Y84" s="2" t="b">
        <f t="shared" si="43"/>
        <v>0</v>
      </c>
      <c r="Z84" s="2" t="b">
        <f t="shared" si="44"/>
        <v>0</v>
      </c>
      <c r="AA84" s="2" t="b">
        <f t="shared" si="45"/>
        <v>0</v>
      </c>
      <c r="AB84" s="2" t="str">
        <f t="shared" si="46"/>
        <v/>
      </c>
      <c r="AC84" s="2" t="str">
        <f t="shared" si="47"/>
        <v/>
      </c>
      <c r="AD84" s="2" t="str">
        <f t="shared" si="48"/>
        <v/>
      </c>
      <c r="AE84" s="2" t="str">
        <f t="shared" si="49"/>
        <v/>
      </c>
      <c r="AF84" s="2" t="str">
        <f t="shared" si="50"/>
        <v/>
      </c>
      <c r="AG84" s="2" t="str">
        <f t="shared" si="51"/>
        <v/>
      </c>
      <c r="AH84" s="2" t="str">
        <f t="shared" si="52"/>
        <v/>
      </c>
      <c r="AI84" s="2" t="str">
        <f t="shared" si="53"/>
        <v/>
      </c>
      <c r="AJ84" s="2" t="str">
        <f>IF($B84,IF(L84="","",IF($C84="qcu",IF(T84,"      &lt;respcondition continue=""Yes""&gt;&lt;conditionvar&gt;&lt;varequal respident=""RESPONSE""&gt;0&lt;/varequal&gt;&lt;/conditionvar&gt;&lt;setvar action=""Add""&gt;"&amp;$H84&amp;"&lt;/setvar&gt;&lt;/respcondition&gt;",""),IF(T84,"      &lt;respcondition continue=""Yes""&gt;&lt;conditionvar&gt;&lt;varequal respident=""RESPONSE""&gt;0&lt;/varequal&gt;&lt;/conditionvar&gt;&lt;setvar action=""Add""&gt;"&amp;(Saisie_Questions!$N84/$I84)&amp;"&lt;/setvar&gt;&lt;/respcondition&gt;","      &lt;respcondition continue=""Yes""&gt;&lt;conditionvar&gt;&lt;not&gt;&lt;varequal respident=""RESPONSE""&gt;0&lt;/varequal&gt;&lt;/not&gt;&lt;/conditionvar&gt;&lt;setvar action=""Add""&gt;"&amp;(Saisie_Questions!$N84/$I84)&amp;"&lt;/setvar&gt;&lt;/respcondition&gt;"))),"")</f>
        <v/>
      </c>
      <c r="AK84" s="2" t="str">
        <f>IF($B84,IF(M84="","",IF($C84="qcu",IF(U84,"      &lt;respcondition continue=""Yes""&gt;&lt;conditionvar&gt;&lt;varequal respident=""RESPONSE""&gt;1&lt;/varequal&gt;&lt;/conditionvar&gt;&lt;setvar action=""Add""&gt;"&amp;$H84&amp;"&lt;/setvar&gt;&lt;/respcondition&gt;",""),IF(U84,"      &lt;respcondition continue=""Yes""&gt;&lt;conditionvar&gt;&lt;varequal respident=""RESPONSE""&gt;1&lt;/varequal&gt;&lt;/conditionvar&gt;&lt;setvar action=""Add""&gt;"&amp;(Saisie_Questions!$N84/$I84)&amp;"&lt;/setvar&gt;&lt;/respcondition&gt;","      &lt;respcondition continue=""Yes""&gt;&lt;conditionvar&gt;&lt;not&gt;&lt;varequal respident=""RESPONSE""&gt;1&lt;/varequal&gt;&lt;/not&gt;&lt;/conditionvar&gt;&lt;setvar action=""Add""&gt;"&amp;(Saisie_Questions!$N84/$I84)&amp;"&lt;/setvar&gt;&lt;/respcondition&gt;"))),"")</f>
        <v/>
      </c>
      <c r="AL84" s="2" t="str">
        <f>IF($B84,IF(N84="","",IF($C84="qcu",IF(V84,"      &lt;respcondition continue=""Yes""&gt;&lt;conditionvar&gt;&lt;varequal respident=""RESPONSE""&gt;2&lt;/varequal&gt;&lt;/conditionvar&gt;&lt;setvar action=""Add""&gt;"&amp;$H84&amp;"&lt;/setvar&gt;&lt;/respcondition&gt;",""),IF(V84,"      &lt;respcondition continue=""Yes""&gt;&lt;conditionvar&gt;&lt;varequal respident=""RESPONSE""&gt;2&lt;/varequal&gt;&lt;/conditionvar&gt;&lt;setvar action=""Add""&gt;"&amp;(Saisie_Questions!$N84/$I84)&amp;"&lt;/setvar&gt;&lt;/respcondition&gt;","      &lt;respcondition continue=""Yes""&gt;&lt;conditionvar&gt;&lt;not&gt;&lt;varequal respident=""RESPONSE""&gt;2&lt;/varequal&gt;&lt;/not&gt;&lt;/conditionvar&gt;&lt;setvar action=""Add""&gt;"&amp;(Saisie_Questions!$N84/$I84)&amp;"&lt;/setvar&gt;&lt;/respcondition&gt;"))),"")</f>
        <v/>
      </c>
      <c r="AM84" s="2" t="str">
        <f>IF($B84,IF(O84="","",IF($C84="qcu",IF(W84,"      &lt;respcondition continue=""Yes""&gt;&lt;conditionvar&gt;&lt;varequal respident=""RESPONSE""&gt;3&lt;/varequal&gt;&lt;/conditionvar&gt;&lt;setvar action=""Add""&gt;"&amp;$H84&amp;"&lt;/setvar&gt;&lt;/respcondition&gt;",""),IF(W84,"      &lt;respcondition continue=""Yes""&gt;&lt;conditionvar&gt;&lt;varequal respident=""RESPONSE""&gt;3&lt;/varequal&gt;&lt;/conditionvar&gt;&lt;setvar action=""Add""&gt;"&amp;(Saisie_Questions!$N84/$I84)&amp;"&lt;/setvar&gt;&lt;/respcondition&gt;","      &lt;respcondition continue=""Yes""&gt;&lt;conditionvar&gt;&lt;not&gt;&lt;varequal respident=""RESPONSE""&gt;3&lt;/varequal&gt;&lt;/not&gt;&lt;/conditionvar&gt;&lt;setvar action=""Add""&gt;"&amp;(Saisie_Questions!$N84/$I84)&amp;"&lt;/setvar&gt;&lt;/respcondition&gt;"))),"")</f>
        <v/>
      </c>
      <c r="AN84" s="2" t="str">
        <f>IF($B84,IF(P84="","",IF($C84="qcu",IF(X84,"      &lt;respcondition continue=""Yes""&gt;&lt;conditionvar&gt;&lt;varequal respident=""RESPONSE""&gt;4&lt;/varequal&gt;&lt;/conditionvar&gt;&lt;setvar action=""Add""&gt;"&amp;$H84&amp;"&lt;/setvar&gt;&lt;/respcondition&gt;",""),IF(X84,"      &lt;respcondition continue=""Yes""&gt;&lt;conditionvar&gt;&lt;varequal respident=""RESPONSE""&gt;4&lt;/varequal&gt;&lt;/conditionvar&gt;&lt;setvar action=""Add""&gt;"&amp;(Saisie_Questions!$N84/$I84)&amp;"&lt;/setvar&gt;&lt;/respcondition&gt;","      &lt;respcondition continue=""Yes""&gt;&lt;conditionvar&gt;&lt;not&gt;&lt;varequal respident=""RESPONSE""&gt;4&lt;/varequal&gt;&lt;/not&gt;&lt;/conditionvar&gt;&lt;setvar action=""Add""&gt;"&amp;(Saisie_Questions!$N84/$I84)&amp;"&lt;/setvar&gt;&lt;/respcondition&gt;"))),"")</f>
        <v/>
      </c>
      <c r="AO84" s="2" t="str">
        <f>IF($B84,IF(Q84="","",IF($C84="qcu",IF(Y84,"      &lt;respcondition continue=""Yes""&gt;&lt;conditionvar&gt;&lt;varequal respident=""RESPONSE""&gt;5&lt;/varequal&gt;&lt;/conditionvar&gt;&lt;setvar action=""Add""&gt;"&amp;$H84&amp;"&lt;/setvar&gt;&lt;/respcondition&gt;",""),IF(Y84,"      &lt;respcondition continue=""Yes""&gt;&lt;conditionvar&gt;&lt;varequal respident=""RESPONSE""&gt;5&lt;/varequal&gt;&lt;/conditionvar&gt;&lt;setvar action=""Add""&gt;"&amp;(Saisie_Questions!$N84/$I84)&amp;"&lt;/setvar&gt;&lt;/respcondition&gt;","      &lt;respcondition continue=""Yes""&gt;&lt;conditionvar&gt;&lt;not&gt;&lt;varequal respident=""RESPONSE""&gt;5&lt;/varequal&gt;&lt;/not&gt;&lt;/conditionvar&gt;&lt;setvar action=""Add""&gt;"&amp;(Saisie_Questions!$N84/$I84)&amp;"&lt;/setvar&gt;&lt;/respcondition&gt;"))),"")</f>
        <v/>
      </c>
      <c r="AP84" s="2" t="str">
        <f>IF($B84,IF(R84="","",IF($C84="qcu",IF(Z84,"      &lt;respcondition continue=""Yes""&gt;&lt;conditionvar&gt;&lt;varequal respident=""RESPONSE""&gt;6&lt;/varequal&gt;&lt;/conditionvar&gt;&lt;setvar action=""Add""&gt;"&amp;$H84&amp;"&lt;/setvar&gt;&lt;/respcondition&gt;",""),IF(Z84,"      &lt;respcondition continue=""Yes""&gt;&lt;conditionvar&gt;&lt;varequal respident=""RESPONSE""&gt;6&lt;/varequal&gt;&lt;/conditionvar&gt;&lt;setvar action=""Add""&gt;"&amp;(Saisie_Questions!$N84/$I84)&amp;"&lt;/setvar&gt;&lt;/respcondition&gt;","      &lt;respcondition continue=""Yes""&gt;&lt;conditionvar&gt;&lt;not&gt;&lt;varequal respident=""RESPONSE""&gt;6&lt;/varequal&gt;&lt;/not&gt;&lt;/conditionvar&gt;&lt;setvar action=""Add""&gt;"&amp;(Saisie_Questions!$N84/$I84)&amp;"&lt;/setvar&gt;&lt;/respcondition&gt;"))),"")</f>
        <v/>
      </c>
      <c r="AQ84" s="2" t="str">
        <f>IF($B84,IF(S84="","",IF($C84="qcu",IF(AA84,"      &lt;respcondition continue=""Yes""&gt;&lt;conditionvar&gt;&lt;varequal respident=""RESPONSE""&gt;7&lt;/varequal&gt;&lt;/conditionvar&gt;&lt;setvar action=""Add""&gt;"&amp;$H84&amp;"&lt;/setvar&gt;&lt;/respcondition&gt;",""),IF(AA84,"      &lt;respcondition continue=""Yes""&gt;&lt;conditionvar&gt;&lt;varequal respident=""RESPONSE""&gt;7&lt;/varequal&gt;&lt;/conditionvar&gt;&lt;setvar action=""Add""&gt;"&amp;(Saisie_Questions!$N84/$I84)&amp;"&lt;/setvar&gt;&lt;/respcondition&gt;","      &lt;respcondition continue=""Yes""&gt;&lt;conditionvar&gt;&lt;not&gt;&lt;varequal respident=""RESPONSE""&gt;7&lt;/varequal&gt;&lt;/not&gt;&lt;/conditionvar&gt;&lt;setvar action=""Add""&gt;"&amp;(Saisie_Questions!$N84/$I84)&amp;"&lt;/setvar&gt;&lt;/respcondition&gt;"))),"")</f>
        <v/>
      </c>
    </row>
    <row r="85" spans="1:43" ht="18" customHeight="1">
      <c r="A85" s="2" t="str">
        <f>Saisie_Questions!A85</f>
        <v/>
      </c>
      <c r="B85" s="2" t="b">
        <f>Saisie_Questions!O85="OK"</f>
        <v>0</v>
      </c>
      <c r="C85" s="2" t="str">
        <f>LOWER(TRIM(Saisie_Questions!B85))</f>
        <v/>
      </c>
      <c r="D85" s="2" t="str">
        <f t="shared" si="36"/>
        <v>MULTIPLE CHOICE QUESTION</v>
      </c>
      <c r="E85" s="2" t="str">
        <f t="shared" si="37"/>
        <v>Multiple</v>
      </c>
      <c r="F85" s="2" t="str">
        <f>IF(A85="","",SUBSTITUTE(SUBSTITUTE(SUBSTITUTE(SUBSTITUTE(SUBSTITUTE(IF(Saisie_Questions!C85="", "Question "&amp;A85, Saisie_Questions!C85),"&amp;","&amp;amp;"),"&lt;","&amp;lt;"),"&gt;","&amp;gt;"),CHAR(34),"&amp;quot;"),"'","&amp;apos;"))</f>
        <v/>
      </c>
      <c r="G85" s="2" t="str">
        <f>IF(A85="","",SUBSTITUTE(SUBSTITUTE(SUBSTITUTE(SUBSTITUTE(SUBSTITUTE(Saisie_Questions!D85,"&amp;","&amp;amp;"),"&lt;","&amp;lt;"),"&gt;","&amp;gt;"),CHAR(34),"&amp;quot;"),"'","&amp;apos;"))</f>
        <v/>
      </c>
      <c r="H85" s="2">
        <f>Saisie_Questions!N85</f>
        <v>0</v>
      </c>
      <c r="I85" s="2">
        <f>IF(Saisie_Questions!E85="",0,1)+IF(Saisie_Questions!F85="",0,1)+IF(Saisie_Questions!G85="",0,1)+IF(Saisie_Questions!H85="",0,1)+IF(Saisie_Questions!I85="",0,1)+IF(Saisie_Questions!J85="",0,1)+IF(Saisie_Questions!K85="",0,1)+IF(Saisie_Questions!L85="",0,1)</f>
        <v>0</v>
      </c>
      <c r="J85" s="2">
        <f>Saisie_Questions!M85</f>
        <v>0</v>
      </c>
      <c r="K85" s="2" t="str">
        <f>Saisie_Questions!O85</f>
        <v/>
      </c>
      <c r="L85" s="2" t="str">
        <f>IF(Saisie_Questions!E85="","",SUBSTITUTE(SUBSTITUTE(SUBSTITUTE(SUBSTITUTE(SUBSTITUTE(Saisie_Questions!E85,"&amp;","&amp;amp;"),"&lt;","&amp;lt;"),"&gt;","&amp;gt;"),CHAR(34),"&amp;quot;"),"'","&amp;apos;"))</f>
        <v/>
      </c>
      <c r="M85" s="2" t="str">
        <f>IF(Saisie_Questions!F85="","",SUBSTITUTE(SUBSTITUTE(SUBSTITUTE(SUBSTITUTE(SUBSTITUTE(Saisie_Questions!F85,"&amp;","&amp;amp;"),"&lt;","&amp;lt;"),"&gt;","&amp;gt;"),CHAR(34),"&amp;quot;"),"'","&amp;apos;"))</f>
        <v/>
      </c>
      <c r="N85" s="2" t="str">
        <f>IF(Saisie_Questions!G85="","",SUBSTITUTE(SUBSTITUTE(SUBSTITUTE(SUBSTITUTE(SUBSTITUTE(Saisie_Questions!G85,"&amp;","&amp;amp;"),"&lt;","&amp;lt;"),"&gt;","&amp;gt;"),CHAR(34),"&amp;quot;"),"'","&amp;apos;"))</f>
        <v/>
      </c>
      <c r="O85" s="2" t="str">
        <f>IF(Saisie_Questions!H85="","",SUBSTITUTE(SUBSTITUTE(SUBSTITUTE(SUBSTITUTE(SUBSTITUTE(Saisie_Questions!H85,"&amp;","&amp;amp;"),"&lt;","&amp;lt;"),"&gt;","&amp;gt;"),CHAR(34),"&amp;quot;"),"'","&amp;apos;"))</f>
        <v/>
      </c>
      <c r="P85" s="2" t="str">
        <f>IF(Saisie_Questions!I85="","",SUBSTITUTE(SUBSTITUTE(SUBSTITUTE(SUBSTITUTE(SUBSTITUTE(Saisie_Questions!I85,"&amp;","&amp;amp;"),"&lt;","&amp;lt;"),"&gt;","&amp;gt;"),CHAR(34),"&amp;quot;"),"'","&amp;apos;"))</f>
        <v/>
      </c>
      <c r="Q85" s="2" t="str">
        <f>IF(Saisie_Questions!J85="","",SUBSTITUTE(SUBSTITUTE(SUBSTITUTE(SUBSTITUTE(SUBSTITUTE(Saisie_Questions!J85,"&amp;","&amp;amp;"),"&lt;","&amp;lt;"),"&gt;","&amp;gt;"),CHAR(34),"&amp;quot;"),"'","&amp;apos;"))</f>
        <v/>
      </c>
      <c r="R85" s="2" t="str">
        <f>IF(Saisie_Questions!K85="","",SUBSTITUTE(SUBSTITUTE(SUBSTITUTE(SUBSTITUTE(SUBSTITUTE(Saisie_Questions!K85,"&amp;","&amp;amp;"),"&lt;","&amp;lt;"),"&gt;","&amp;gt;"),CHAR(34),"&amp;quot;"),"'","&amp;apos;"))</f>
        <v/>
      </c>
      <c r="S85" s="2" t="str">
        <f>IF(Saisie_Questions!L85="","",SUBSTITUTE(SUBSTITUTE(SUBSTITUTE(SUBSTITUTE(SUBSTITUTE(Saisie_Questions!L85,"&amp;","&amp;amp;"),"&lt;","&amp;lt;"),"&gt;","&amp;gt;"),CHAR(34),"&amp;quot;"),"'","&amp;apos;"))</f>
        <v/>
      </c>
      <c r="T85" s="2" t="b">
        <f t="shared" si="38"/>
        <v>0</v>
      </c>
      <c r="U85" s="2" t="b">
        <f t="shared" si="39"/>
        <v>0</v>
      </c>
      <c r="V85" s="2" t="b">
        <f t="shared" si="40"/>
        <v>0</v>
      </c>
      <c r="W85" s="2" t="b">
        <f t="shared" si="41"/>
        <v>0</v>
      </c>
      <c r="X85" s="2" t="b">
        <f t="shared" si="42"/>
        <v>0</v>
      </c>
      <c r="Y85" s="2" t="b">
        <f t="shared" si="43"/>
        <v>0</v>
      </c>
      <c r="Z85" s="2" t="b">
        <f t="shared" si="44"/>
        <v>0</v>
      </c>
      <c r="AA85" s="2" t="b">
        <f t="shared" si="45"/>
        <v>0</v>
      </c>
      <c r="AB85" s="2" t="str">
        <f t="shared" si="46"/>
        <v/>
      </c>
      <c r="AC85" s="2" t="str">
        <f t="shared" si="47"/>
        <v/>
      </c>
      <c r="AD85" s="2" t="str">
        <f t="shared" si="48"/>
        <v/>
      </c>
      <c r="AE85" s="2" t="str">
        <f t="shared" si="49"/>
        <v/>
      </c>
      <c r="AF85" s="2" t="str">
        <f t="shared" si="50"/>
        <v/>
      </c>
      <c r="AG85" s="2" t="str">
        <f t="shared" si="51"/>
        <v/>
      </c>
      <c r="AH85" s="2" t="str">
        <f t="shared" si="52"/>
        <v/>
      </c>
      <c r="AI85" s="2" t="str">
        <f t="shared" si="53"/>
        <v/>
      </c>
      <c r="AJ85" s="2" t="str">
        <f>IF($B85,IF(L85="","",IF($C85="qcu",IF(T85,"      &lt;respcondition continue=""Yes""&gt;&lt;conditionvar&gt;&lt;varequal respident=""RESPONSE""&gt;0&lt;/varequal&gt;&lt;/conditionvar&gt;&lt;setvar action=""Add""&gt;"&amp;$H85&amp;"&lt;/setvar&gt;&lt;/respcondition&gt;",""),IF(T85,"      &lt;respcondition continue=""Yes""&gt;&lt;conditionvar&gt;&lt;varequal respident=""RESPONSE""&gt;0&lt;/varequal&gt;&lt;/conditionvar&gt;&lt;setvar action=""Add""&gt;"&amp;(Saisie_Questions!$N85/$I85)&amp;"&lt;/setvar&gt;&lt;/respcondition&gt;","      &lt;respcondition continue=""Yes""&gt;&lt;conditionvar&gt;&lt;not&gt;&lt;varequal respident=""RESPONSE""&gt;0&lt;/varequal&gt;&lt;/not&gt;&lt;/conditionvar&gt;&lt;setvar action=""Add""&gt;"&amp;(Saisie_Questions!$N85/$I85)&amp;"&lt;/setvar&gt;&lt;/respcondition&gt;"))),"")</f>
        <v/>
      </c>
      <c r="AK85" s="2" t="str">
        <f>IF($B85,IF(M85="","",IF($C85="qcu",IF(U85,"      &lt;respcondition continue=""Yes""&gt;&lt;conditionvar&gt;&lt;varequal respident=""RESPONSE""&gt;1&lt;/varequal&gt;&lt;/conditionvar&gt;&lt;setvar action=""Add""&gt;"&amp;$H85&amp;"&lt;/setvar&gt;&lt;/respcondition&gt;",""),IF(U85,"      &lt;respcondition continue=""Yes""&gt;&lt;conditionvar&gt;&lt;varequal respident=""RESPONSE""&gt;1&lt;/varequal&gt;&lt;/conditionvar&gt;&lt;setvar action=""Add""&gt;"&amp;(Saisie_Questions!$N85/$I85)&amp;"&lt;/setvar&gt;&lt;/respcondition&gt;","      &lt;respcondition continue=""Yes""&gt;&lt;conditionvar&gt;&lt;not&gt;&lt;varequal respident=""RESPONSE""&gt;1&lt;/varequal&gt;&lt;/not&gt;&lt;/conditionvar&gt;&lt;setvar action=""Add""&gt;"&amp;(Saisie_Questions!$N85/$I85)&amp;"&lt;/setvar&gt;&lt;/respcondition&gt;"))),"")</f>
        <v/>
      </c>
      <c r="AL85" s="2" t="str">
        <f>IF($B85,IF(N85="","",IF($C85="qcu",IF(V85,"      &lt;respcondition continue=""Yes""&gt;&lt;conditionvar&gt;&lt;varequal respident=""RESPONSE""&gt;2&lt;/varequal&gt;&lt;/conditionvar&gt;&lt;setvar action=""Add""&gt;"&amp;$H85&amp;"&lt;/setvar&gt;&lt;/respcondition&gt;",""),IF(V85,"      &lt;respcondition continue=""Yes""&gt;&lt;conditionvar&gt;&lt;varequal respident=""RESPONSE""&gt;2&lt;/varequal&gt;&lt;/conditionvar&gt;&lt;setvar action=""Add""&gt;"&amp;(Saisie_Questions!$N85/$I85)&amp;"&lt;/setvar&gt;&lt;/respcondition&gt;","      &lt;respcondition continue=""Yes""&gt;&lt;conditionvar&gt;&lt;not&gt;&lt;varequal respident=""RESPONSE""&gt;2&lt;/varequal&gt;&lt;/not&gt;&lt;/conditionvar&gt;&lt;setvar action=""Add""&gt;"&amp;(Saisie_Questions!$N85/$I85)&amp;"&lt;/setvar&gt;&lt;/respcondition&gt;"))),"")</f>
        <v/>
      </c>
      <c r="AM85" s="2" t="str">
        <f>IF($B85,IF(O85="","",IF($C85="qcu",IF(W85,"      &lt;respcondition continue=""Yes""&gt;&lt;conditionvar&gt;&lt;varequal respident=""RESPONSE""&gt;3&lt;/varequal&gt;&lt;/conditionvar&gt;&lt;setvar action=""Add""&gt;"&amp;$H85&amp;"&lt;/setvar&gt;&lt;/respcondition&gt;",""),IF(W85,"      &lt;respcondition continue=""Yes""&gt;&lt;conditionvar&gt;&lt;varequal respident=""RESPONSE""&gt;3&lt;/varequal&gt;&lt;/conditionvar&gt;&lt;setvar action=""Add""&gt;"&amp;(Saisie_Questions!$N85/$I85)&amp;"&lt;/setvar&gt;&lt;/respcondition&gt;","      &lt;respcondition continue=""Yes""&gt;&lt;conditionvar&gt;&lt;not&gt;&lt;varequal respident=""RESPONSE""&gt;3&lt;/varequal&gt;&lt;/not&gt;&lt;/conditionvar&gt;&lt;setvar action=""Add""&gt;"&amp;(Saisie_Questions!$N85/$I85)&amp;"&lt;/setvar&gt;&lt;/respcondition&gt;"))),"")</f>
        <v/>
      </c>
      <c r="AN85" s="2" t="str">
        <f>IF($B85,IF(P85="","",IF($C85="qcu",IF(X85,"      &lt;respcondition continue=""Yes""&gt;&lt;conditionvar&gt;&lt;varequal respident=""RESPONSE""&gt;4&lt;/varequal&gt;&lt;/conditionvar&gt;&lt;setvar action=""Add""&gt;"&amp;$H85&amp;"&lt;/setvar&gt;&lt;/respcondition&gt;",""),IF(X85,"      &lt;respcondition continue=""Yes""&gt;&lt;conditionvar&gt;&lt;varequal respident=""RESPONSE""&gt;4&lt;/varequal&gt;&lt;/conditionvar&gt;&lt;setvar action=""Add""&gt;"&amp;(Saisie_Questions!$N85/$I85)&amp;"&lt;/setvar&gt;&lt;/respcondition&gt;","      &lt;respcondition continue=""Yes""&gt;&lt;conditionvar&gt;&lt;not&gt;&lt;varequal respident=""RESPONSE""&gt;4&lt;/varequal&gt;&lt;/not&gt;&lt;/conditionvar&gt;&lt;setvar action=""Add""&gt;"&amp;(Saisie_Questions!$N85/$I85)&amp;"&lt;/setvar&gt;&lt;/respcondition&gt;"))),"")</f>
        <v/>
      </c>
      <c r="AO85" s="2" t="str">
        <f>IF($B85,IF(Q85="","",IF($C85="qcu",IF(Y85,"      &lt;respcondition continue=""Yes""&gt;&lt;conditionvar&gt;&lt;varequal respident=""RESPONSE""&gt;5&lt;/varequal&gt;&lt;/conditionvar&gt;&lt;setvar action=""Add""&gt;"&amp;$H85&amp;"&lt;/setvar&gt;&lt;/respcondition&gt;",""),IF(Y85,"      &lt;respcondition continue=""Yes""&gt;&lt;conditionvar&gt;&lt;varequal respident=""RESPONSE""&gt;5&lt;/varequal&gt;&lt;/conditionvar&gt;&lt;setvar action=""Add""&gt;"&amp;(Saisie_Questions!$N85/$I85)&amp;"&lt;/setvar&gt;&lt;/respcondition&gt;","      &lt;respcondition continue=""Yes""&gt;&lt;conditionvar&gt;&lt;not&gt;&lt;varequal respident=""RESPONSE""&gt;5&lt;/varequal&gt;&lt;/not&gt;&lt;/conditionvar&gt;&lt;setvar action=""Add""&gt;"&amp;(Saisie_Questions!$N85/$I85)&amp;"&lt;/setvar&gt;&lt;/respcondition&gt;"))),"")</f>
        <v/>
      </c>
      <c r="AP85" s="2" t="str">
        <f>IF($B85,IF(R85="","",IF($C85="qcu",IF(Z85,"      &lt;respcondition continue=""Yes""&gt;&lt;conditionvar&gt;&lt;varequal respident=""RESPONSE""&gt;6&lt;/varequal&gt;&lt;/conditionvar&gt;&lt;setvar action=""Add""&gt;"&amp;$H85&amp;"&lt;/setvar&gt;&lt;/respcondition&gt;",""),IF(Z85,"      &lt;respcondition continue=""Yes""&gt;&lt;conditionvar&gt;&lt;varequal respident=""RESPONSE""&gt;6&lt;/varequal&gt;&lt;/conditionvar&gt;&lt;setvar action=""Add""&gt;"&amp;(Saisie_Questions!$N85/$I85)&amp;"&lt;/setvar&gt;&lt;/respcondition&gt;","      &lt;respcondition continue=""Yes""&gt;&lt;conditionvar&gt;&lt;not&gt;&lt;varequal respident=""RESPONSE""&gt;6&lt;/varequal&gt;&lt;/not&gt;&lt;/conditionvar&gt;&lt;setvar action=""Add""&gt;"&amp;(Saisie_Questions!$N85/$I85)&amp;"&lt;/setvar&gt;&lt;/respcondition&gt;"))),"")</f>
        <v/>
      </c>
      <c r="AQ85" s="2" t="str">
        <f>IF($B85,IF(S85="","",IF($C85="qcu",IF(AA85,"      &lt;respcondition continue=""Yes""&gt;&lt;conditionvar&gt;&lt;varequal respident=""RESPONSE""&gt;7&lt;/varequal&gt;&lt;/conditionvar&gt;&lt;setvar action=""Add""&gt;"&amp;$H85&amp;"&lt;/setvar&gt;&lt;/respcondition&gt;",""),IF(AA85,"      &lt;respcondition continue=""Yes""&gt;&lt;conditionvar&gt;&lt;varequal respident=""RESPONSE""&gt;7&lt;/varequal&gt;&lt;/conditionvar&gt;&lt;setvar action=""Add""&gt;"&amp;(Saisie_Questions!$N85/$I85)&amp;"&lt;/setvar&gt;&lt;/respcondition&gt;","      &lt;respcondition continue=""Yes""&gt;&lt;conditionvar&gt;&lt;not&gt;&lt;varequal respident=""RESPONSE""&gt;7&lt;/varequal&gt;&lt;/not&gt;&lt;/conditionvar&gt;&lt;setvar action=""Add""&gt;"&amp;(Saisie_Questions!$N85/$I85)&amp;"&lt;/setvar&gt;&lt;/respcondition&gt;"))),"")</f>
        <v/>
      </c>
    </row>
    <row r="86" spans="1:43" ht="18" customHeight="1">
      <c r="A86" s="2" t="str">
        <f>Saisie_Questions!A86</f>
        <v/>
      </c>
      <c r="B86" s="2" t="b">
        <f>Saisie_Questions!O86="OK"</f>
        <v>0</v>
      </c>
      <c r="C86" s="2" t="str">
        <f>LOWER(TRIM(Saisie_Questions!B86))</f>
        <v/>
      </c>
      <c r="D86" s="2" t="str">
        <f t="shared" si="36"/>
        <v>MULTIPLE CHOICE QUESTION</v>
      </c>
      <c r="E86" s="2" t="str">
        <f t="shared" si="37"/>
        <v>Multiple</v>
      </c>
      <c r="F86" s="2" t="str">
        <f>IF(A86="","",SUBSTITUTE(SUBSTITUTE(SUBSTITUTE(SUBSTITUTE(SUBSTITUTE(IF(Saisie_Questions!C86="", "Question "&amp;A86, Saisie_Questions!C86),"&amp;","&amp;amp;"),"&lt;","&amp;lt;"),"&gt;","&amp;gt;"),CHAR(34),"&amp;quot;"),"'","&amp;apos;"))</f>
        <v/>
      </c>
      <c r="G86" s="2" t="str">
        <f>IF(A86="","",SUBSTITUTE(SUBSTITUTE(SUBSTITUTE(SUBSTITUTE(SUBSTITUTE(Saisie_Questions!D86,"&amp;","&amp;amp;"),"&lt;","&amp;lt;"),"&gt;","&amp;gt;"),CHAR(34),"&amp;quot;"),"'","&amp;apos;"))</f>
        <v/>
      </c>
      <c r="H86" s="2">
        <f>Saisie_Questions!N86</f>
        <v>0</v>
      </c>
      <c r="I86" s="2">
        <f>IF(Saisie_Questions!E86="",0,1)+IF(Saisie_Questions!F86="",0,1)+IF(Saisie_Questions!G86="",0,1)+IF(Saisie_Questions!H86="",0,1)+IF(Saisie_Questions!I86="",0,1)+IF(Saisie_Questions!J86="",0,1)+IF(Saisie_Questions!K86="",0,1)+IF(Saisie_Questions!L86="",0,1)</f>
        <v>0</v>
      </c>
      <c r="J86" s="2">
        <f>Saisie_Questions!M86</f>
        <v>0</v>
      </c>
      <c r="K86" s="2" t="str">
        <f>Saisie_Questions!O86</f>
        <v/>
      </c>
      <c r="L86" s="2" t="str">
        <f>IF(Saisie_Questions!E86="","",SUBSTITUTE(SUBSTITUTE(SUBSTITUTE(SUBSTITUTE(SUBSTITUTE(Saisie_Questions!E86,"&amp;","&amp;amp;"),"&lt;","&amp;lt;"),"&gt;","&amp;gt;"),CHAR(34),"&amp;quot;"),"'","&amp;apos;"))</f>
        <v/>
      </c>
      <c r="M86" s="2" t="str">
        <f>IF(Saisie_Questions!F86="","",SUBSTITUTE(SUBSTITUTE(SUBSTITUTE(SUBSTITUTE(SUBSTITUTE(Saisie_Questions!F86,"&amp;","&amp;amp;"),"&lt;","&amp;lt;"),"&gt;","&amp;gt;"),CHAR(34),"&amp;quot;"),"'","&amp;apos;"))</f>
        <v/>
      </c>
      <c r="N86" s="2" t="str">
        <f>IF(Saisie_Questions!G86="","",SUBSTITUTE(SUBSTITUTE(SUBSTITUTE(SUBSTITUTE(SUBSTITUTE(Saisie_Questions!G86,"&amp;","&amp;amp;"),"&lt;","&amp;lt;"),"&gt;","&amp;gt;"),CHAR(34),"&amp;quot;"),"'","&amp;apos;"))</f>
        <v/>
      </c>
      <c r="O86" s="2" t="str">
        <f>IF(Saisie_Questions!H86="","",SUBSTITUTE(SUBSTITUTE(SUBSTITUTE(SUBSTITUTE(SUBSTITUTE(Saisie_Questions!H86,"&amp;","&amp;amp;"),"&lt;","&amp;lt;"),"&gt;","&amp;gt;"),CHAR(34),"&amp;quot;"),"'","&amp;apos;"))</f>
        <v/>
      </c>
      <c r="P86" s="2" t="str">
        <f>IF(Saisie_Questions!I86="","",SUBSTITUTE(SUBSTITUTE(SUBSTITUTE(SUBSTITUTE(SUBSTITUTE(Saisie_Questions!I86,"&amp;","&amp;amp;"),"&lt;","&amp;lt;"),"&gt;","&amp;gt;"),CHAR(34),"&amp;quot;"),"'","&amp;apos;"))</f>
        <v/>
      </c>
      <c r="Q86" s="2" t="str">
        <f>IF(Saisie_Questions!J86="","",SUBSTITUTE(SUBSTITUTE(SUBSTITUTE(SUBSTITUTE(SUBSTITUTE(Saisie_Questions!J86,"&amp;","&amp;amp;"),"&lt;","&amp;lt;"),"&gt;","&amp;gt;"),CHAR(34),"&amp;quot;"),"'","&amp;apos;"))</f>
        <v/>
      </c>
      <c r="R86" s="2" t="str">
        <f>IF(Saisie_Questions!K86="","",SUBSTITUTE(SUBSTITUTE(SUBSTITUTE(SUBSTITUTE(SUBSTITUTE(Saisie_Questions!K86,"&amp;","&amp;amp;"),"&lt;","&amp;lt;"),"&gt;","&amp;gt;"),CHAR(34),"&amp;quot;"),"'","&amp;apos;"))</f>
        <v/>
      </c>
      <c r="S86" s="2" t="str">
        <f>IF(Saisie_Questions!L86="","",SUBSTITUTE(SUBSTITUTE(SUBSTITUTE(SUBSTITUTE(SUBSTITUTE(Saisie_Questions!L86,"&amp;","&amp;amp;"),"&lt;","&amp;lt;"),"&gt;","&amp;gt;"),CHAR(34),"&amp;quot;"),"'","&amp;apos;"))</f>
        <v/>
      </c>
      <c r="T86" s="2" t="b">
        <f t="shared" si="38"/>
        <v>0</v>
      </c>
      <c r="U86" s="2" t="b">
        <f t="shared" si="39"/>
        <v>0</v>
      </c>
      <c r="V86" s="2" t="b">
        <f t="shared" si="40"/>
        <v>0</v>
      </c>
      <c r="W86" s="2" t="b">
        <f t="shared" si="41"/>
        <v>0</v>
      </c>
      <c r="X86" s="2" t="b">
        <f t="shared" si="42"/>
        <v>0</v>
      </c>
      <c r="Y86" s="2" t="b">
        <f t="shared" si="43"/>
        <v>0</v>
      </c>
      <c r="Z86" s="2" t="b">
        <f t="shared" si="44"/>
        <v>0</v>
      </c>
      <c r="AA86" s="2" t="b">
        <f t="shared" si="45"/>
        <v>0</v>
      </c>
      <c r="AB86" s="2" t="str">
        <f t="shared" si="46"/>
        <v/>
      </c>
      <c r="AC86" s="2" t="str">
        <f t="shared" si="47"/>
        <v/>
      </c>
      <c r="AD86" s="2" t="str">
        <f t="shared" si="48"/>
        <v/>
      </c>
      <c r="AE86" s="2" t="str">
        <f t="shared" si="49"/>
        <v/>
      </c>
      <c r="AF86" s="2" t="str">
        <f t="shared" si="50"/>
        <v/>
      </c>
      <c r="AG86" s="2" t="str">
        <f t="shared" si="51"/>
        <v/>
      </c>
      <c r="AH86" s="2" t="str">
        <f t="shared" si="52"/>
        <v/>
      </c>
      <c r="AI86" s="2" t="str">
        <f t="shared" si="53"/>
        <v/>
      </c>
      <c r="AJ86" s="2" t="str">
        <f>IF($B86,IF(L86="","",IF($C86="qcu",IF(T86,"      &lt;respcondition continue=""Yes""&gt;&lt;conditionvar&gt;&lt;varequal respident=""RESPONSE""&gt;0&lt;/varequal&gt;&lt;/conditionvar&gt;&lt;setvar action=""Add""&gt;"&amp;$H86&amp;"&lt;/setvar&gt;&lt;/respcondition&gt;",""),IF(T86,"      &lt;respcondition continue=""Yes""&gt;&lt;conditionvar&gt;&lt;varequal respident=""RESPONSE""&gt;0&lt;/varequal&gt;&lt;/conditionvar&gt;&lt;setvar action=""Add""&gt;"&amp;(Saisie_Questions!$N86/$I86)&amp;"&lt;/setvar&gt;&lt;/respcondition&gt;","      &lt;respcondition continue=""Yes""&gt;&lt;conditionvar&gt;&lt;not&gt;&lt;varequal respident=""RESPONSE""&gt;0&lt;/varequal&gt;&lt;/not&gt;&lt;/conditionvar&gt;&lt;setvar action=""Add""&gt;"&amp;(Saisie_Questions!$N86/$I86)&amp;"&lt;/setvar&gt;&lt;/respcondition&gt;"))),"")</f>
        <v/>
      </c>
      <c r="AK86" s="2" t="str">
        <f>IF($B86,IF(M86="","",IF($C86="qcu",IF(U86,"      &lt;respcondition continue=""Yes""&gt;&lt;conditionvar&gt;&lt;varequal respident=""RESPONSE""&gt;1&lt;/varequal&gt;&lt;/conditionvar&gt;&lt;setvar action=""Add""&gt;"&amp;$H86&amp;"&lt;/setvar&gt;&lt;/respcondition&gt;",""),IF(U86,"      &lt;respcondition continue=""Yes""&gt;&lt;conditionvar&gt;&lt;varequal respident=""RESPONSE""&gt;1&lt;/varequal&gt;&lt;/conditionvar&gt;&lt;setvar action=""Add""&gt;"&amp;(Saisie_Questions!$N86/$I86)&amp;"&lt;/setvar&gt;&lt;/respcondition&gt;","      &lt;respcondition continue=""Yes""&gt;&lt;conditionvar&gt;&lt;not&gt;&lt;varequal respident=""RESPONSE""&gt;1&lt;/varequal&gt;&lt;/not&gt;&lt;/conditionvar&gt;&lt;setvar action=""Add""&gt;"&amp;(Saisie_Questions!$N86/$I86)&amp;"&lt;/setvar&gt;&lt;/respcondition&gt;"))),"")</f>
        <v/>
      </c>
      <c r="AL86" s="2" t="str">
        <f>IF($B86,IF(N86="","",IF($C86="qcu",IF(V86,"      &lt;respcondition continue=""Yes""&gt;&lt;conditionvar&gt;&lt;varequal respident=""RESPONSE""&gt;2&lt;/varequal&gt;&lt;/conditionvar&gt;&lt;setvar action=""Add""&gt;"&amp;$H86&amp;"&lt;/setvar&gt;&lt;/respcondition&gt;",""),IF(V86,"      &lt;respcondition continue=""Yes""&gt;&lt;conditionvar&gt;&lt;varequal respident=""RESPONSE""&gt;2&lt;/varequal&gt;&lt;/conditionvar&gt;&lt;setvar action=""Add""&gt;"&amp;(Saisie_Questions!$N86/$I86)&amp;"&lt;/setvar&gt;&lt;/respcondition&gt;","      &lt;respcondition continue=""Yes""&gt;&lt;conditionvar&gt;&lt;not&gt;&lt;varequal respident=""RESPONSE""&gt;2&lt;/varequal&gt;&lt;/not&gt;&lt;/conditionvar&gt;&lt;setvar action=""Add""&gt;"&amp;(Saisie_Questions!$N86/$I86)&amp;"&lt;/setvar&gt;&lt;/respcondition&gt;"))),"")</f>
        <v/>
      </c>
      <c r="AM86" s="2" t="str">
        <f>IF($B86,IF(O86="","",IF($C86="qcu",IF(W86,"      &lt;respcondition continue=""Yes""&gt;&lt;conditionvar&gt;&lt;varequal respident=""RESPONSE""&gt;3&lt;/varequal&gt;&lt;/conditionvar&gt;&lt;setvar action=""Add""&gt;"&amp;$H86&amp;"&lt;/setvar&gt;&lt;/respcondition&gt;",""),IF(W86,"      &lt;respcondition continue=""Yes""&gt;&lt;conditionvar&gt;&lt;varequal respident=""RESPONSE""&gt;3&lt;/varequal&gt;&lt;/conditionvar&gt;&lt;setvar action=""Add""&gt;"&amp;(Saisie_Questions!$N86/$I86)&amp;"&lt;/setvar&gt;&lt;/respcondition&gt;","      &lt;respcondition continue=""Yes""&gt;&lt;conditionvar&gt;&lt;not&gt;&lt;varequal respident=""RESPONSE""&gt;3&lt;/varequal&gt;&lt;/not&gt;&lt;/conditionvar&gt;&lt;setvar action=""Add""&gt;"&amp;(Saisie_Questions!$N86/$I86)&amp;"&lt;/setvar&gt;&lt;/respcondition&gt;"))),"")</f>
        <v/>
      </c>
      <c r="AN86" s="2" t="str">
        <f>IF($B86,IF(P86="","",IF($C86="qcu",IF(X86,"      &lt;respcondition continue=""Yes""&gt;&lt;conditionvar&gt;&lt;varequal respident=""RESPONSE""&gt;4&lt;/varequal&gt;&lt;/conditionvar&gt;&lt;setvar action=""Add""&gt;"&amp;$H86&amp;"&lt;/setvar&gt;&lt;/respcondition&gt;",""),IF(X86,"      &lt;respcondition continue=""Yes""&gt;&lt;conditionvar&gt;&lt;varequal respident=""RESPONSE""&gt;4&lt;/varequal&gt;&lt;/conditionvar&gt;&lt;setvar action=""Add""&gt;"&amp;(Saisie_Questions!$N86/$I86)&amp;"&lt;/setvar&gt;&lt;/respcondition&gt;","      &lt;respcondition continue=""Yes""&gt;&lt;conditionvar&gt;&lt;not&gt;&lt;varequal respident=""RESPONSE""&gt;4&lt;/varequal&gt;&lt;/not&gt;&lt;/conditionvar&gt;&lt;setvar action=""Add""&gt;"&amp;(Saisie_Questions!$N86/$I86)&amp;"&lt;/setvar&gt;&lt;/respcondition&gt;"))),"")</f>
        <v/>
      </c>
      <c r="AO86" s="2" t="str">
        <f>IF($B86,IF(Q86="","",IF($C86="qcu",IF(Y86,"      &lt;respcondition continue=""Yes""&gt;&lt;conditionvar&gt;&lt;varequal respident=""RESPONSE""&gt;5&lt;/varequal&gt;&lt;/conditionvar&gt;&lt;setvar action=""Add""&gt;"&amp;$H86&amp;"&lt;/setvar&gt;&lt;/respcondition&gt;",""),IF(Y86,"      &lt;respcondition continue=""Yes""&gt;&lt;conditionvar&gt;&lt;varequal respident=""RESPONSE""&gt;5&lt;/varequal&gt;&lt;/conditionvar&gt;&lt;setvar action=""Add""&gt;"&amp;(Saisie_Questions!$N86/$I86)&amp;"&lt;/setvar&gt;&lt;/respcondition&gt;","      &lt;respcondition continue=""Yes""&gt;&lt;conditionvar&gt;&lt;not&gt;&lt;varequal respident=""RESPONSE""&gt;5&lt;/varequal&gt;&lt;/not&gt;&lt;/conditionvar&gt;&lt;setvar action=""Add""&gt;"&amp;(Saisie_Questions!$N86/$I86)&amp;"&lt;/setvar&gt;&lt;/respcondition&gt;"))),"")</f>
        <v/>
      </c>
      <c r="AP86" s="2" t="str">
        <f>IF($B86,IF(R86="","",IF($C86="qcu",IF(Z86,"      &lt;respcondition continue=""Yes""&gt;&lt;conditionvar&gt;&lt;varequal respident=""RESPONSE""&gt;6&lt;/varequal&gt;&lt;/conditionvar&gt;&lt;setvar action=""Add""&gt;"&amp;$H86&amp;"&lt;/setvar&gt;&lt;/respcondition&gt;",""),IF(Z86,"      &lt;respcondition continue=""Yes""&gt;&lt;conditionvar&gt;&lt;varequal respident=""RESPONSE""&gt;6&lt;/varequal&gt;&lt;/conditionvar&gt;&lt;setvar action=""Add""&gt;"&amp;(Saisie_Questions!$N86/$I86)&amp;"&lt;/setvar&gt;&lt;/respcondition&gt;","      &lt;respcondition continue=""Yes""&gt;&lt;conditionvar&gt;&lt;not&gt;&lt;varequal respident=""RESPONSE""&gt;6&lt;/varequal&gt;&lt;/not&gt;&lt;/conditionvar&gt;&lt;setvar action=""Add""&gt;"&amp;(Saisie_Questions!$N86/$I86)&amp;"&lt;/setvar&gt;&lt;/respcondition&gt;"))),"")</f>
        <v/>
      </c>
      <c r="AQ86" s="2" t="str">
        <f>IF($B86,IF(S86="","",IF($C86="qcu",IF(AA86,"      &lt;respcondition continue=""Yes""&gt;&lt;conditionvar&gt;&lt;varequal respident=""RESPONSE""&gt;7&lt;/varequal&gt;&lt;/conditionvar&gt;&lt;setvar action=""Add""&gt;"&amp;$H86&amp;"&lt;/setvar&gt;&lt;/respcondition&gt;",""),IF(AA86,"      &lt;respcondition continue=""Yes""&gt;&lt;conditionvar&gt;&lt;varequal respident=""RESPONSE""&gt;7&lt;/varequal&gt;&lt;/conditionvar&gt;&lt;setvar action=""Add""&gt;"&amp;(Saisie_Questions!$N86/$I86)&amp;"&lt;/setvar&gt;&lt;/respcondition&gt;","      &lt;respcondition continue=""Yes""&gt;&lt;conditionvar&gt;&lt;not&gt;&lt;varequal respident=""RESPONSE""&gt;7&lt;/varequal&gt;&lt;/not&gt;&lt;/conditionvar&gt;&lt;setvar action=""Add""&gt;"&amp;(Saisie_Questions!$N86/$I86)&amp;"&lt;/setvar&gt;&lt;/respcondition&gt;"))),"")</f>
        <v/>
      </c>
    </row>
    <row r="87" spans="1:43" ht="18" customHeight="1">
      <c r="A87" s="2" t="str">
        <f>Saisie_Questions!A87</f>
        <v/>
      </c>
      <c r="B87" s="2" t="b">
        <f>Saisie_Questions!O87="OK"</f>
        <v>0</v>
      </c>
      <c r="C87" s="2" t="str">
        <f>LOWER(TRIM(Saisie_Questions!B87))</f>
        <v/>
      </c>
      <c r="D87" s="2" t="str">
        <f t="shared" si="36"/>
        <v>MULTIPLE CHOICE QUESTION</v>
      </c>
      <c r="E87" s="2" t="str">
        <f t="shared" si="37"/>
        <v>Multiple</v>
      </c>
      <c r="F87" s="2" t="str">
        <f>IF(A87="","",SUBSTITUTE(SUBSTITUTE(SUBSTITUTE(SUBSTITUTE(SUBSTITUTE(IF(Saisie_Questions!C87="", "Question "&amp;A87, Saisie_Questions!C87),"&amp;","&amp;amp;"),"&lt;","&amp;lt;"),"&gt;","&amp;gt;"),CHAR(34),"&amp;quot;"),"'","&amp;apos;"))</f>
        <v/>
      </c>
      <c r="G87" s="2" t="str">
        <f>IF(A87="","",SUBSTITUTE(SUBSTITUTE(SUBSTITUTE(SUBSTITUTE(SUBSTITUTE(Saisie_Questions!D87,"&amp;","&amp;amp;"),"&lt;","&amp;lt;"),"&gt;","&amp;gt;"),CHAR(34),"&amp;quot;"),"'","&amp;apos;"))</f>
        <v/>
      </c>
      <c r="H87" s="2">
        <f>Saisie_Questions!N87</f>
        <v>0</v>
      </c>
      <c r="I87" s="2">
        <f>IF(Saisie_Questions!E87="",0,1)+IF(Saisie_Questions!F87="",0,1)+IF(Saisie_Questions!G87="",0,1)+IF(Saisie_Questions!H87="",0,1)+IF(Saisie_Questions!I87="",0,1)+IF(Saisie_Questions!J87="",0,1)+IF(Saisie_Questions!K87="",0,1)+IF(Saisie_Questions!L87="",0,1)</f>
        <v>0</v>
      </c>
      <c r="J87" s="2">
        <f>Saisie_Questions!M87</f>
        <v>0</v>
      </c>
      <c r="K87" s="2" t="str">
        <f>Saisie_Questions!O87</f>
        <v/>
      </c>
      <c r="L87" s="2" t="str">
        <f>IF(Saisie_Questions!E87="","",SUBSTITUTE(SUBSTITUTE(SUBSTITUTE(SUBSTITUTE(SUBSTITUTE(Saisie_Questions!E87,"&amp;","&amp;amp;"),"&lt;","&amp;lt;"),"&gt;","&amp;gt;"),CHAR(34),"&amp;quot;"),"'","&amp;apos;"))</f>
        <v/>
      </c>
      <c r="M87" s="2" t="str">
        <f>IF(Saisie_Questions!F87="","",SUBSTITUTE(SUBSTITUTE(SUBSTITUTE(SUBSTITUTE(SUBSTITUTE(Saisie_Questions!F87,"&amp;","&amp;amp;"),"&lt;","&amp;lt;"),"&gt;","&amp;gt;"),CHAR(34),"&amp;quot;"),"'","&amp;apos;"))</f>
        <v/>
      </c>
      <c r="N87" s="2" t="str">
        <f>IF(Saisie_Questions!G87="","",SUBSTITUTE(SUBSTITUTE(SUBSTITUTE(SUBSTITUTE(SUBSTITUTE(Saisie_Questions!G87,"&amp;","&amp;amp;"),"&lt;","&amp;lt;"),"&gt;","&amp;gt;"),CHAR(34),"&amp;quot;"),"'","&amp;apos;"))</f>
        <v/>
      </c>
      <c r="O87" s="2" t="str">
        <f>IF(Saisie_Questions!H87="","",SUBSTITUTE(SUBSTITUTE(SUBSTITUTE(SUBSTITUTE(SUBSTITUTE(Saisie_Questions!H87,"&amp;","&amp;amp;"),"&lt;","&amp;lt;"),"&gt;","&amp;gt;"),CHAR(34),"&amp;quot;"),"'","&amp;apos;"))</f>
        <v/>
      </c>
      <c r="P87" s="2" t="str">
        <f>IF(Saisie_Questions!I87="","",SUBSTITUTE(SUBSTITUTE(SUBSTITUTE(SUBSTITUTE(SUBSTITUTE(Saisie_Questions!I87,"&amp;","&amp;amp;"),"&lt;","&amp;lt;"),"&gt;","&amp;gt;"),CHAR(34),"&amp;quot;"),"'","&amp;apos;"))</f>
        <v/>
      </c>
      <c r="Q87" s="2" t="str">
        <f>IF(Saisie_Questions!J87="","",SUBSTITUTE(SUBSTITUTE(SUBSTITUTE(SUBSTITUTE(SUBSTITUTE(Saisie_Questions!J87,"&amp;","&amp;amp;"),"&lt;","&amp;lt;"),"&gt;","&amp;gt;"),CHAR(34),"&amp;quot;"),"'","&amp;apos;"))</f>
        <v/>
      </c>
      <c r="R87" s="2" t="str">
        <f>IF(Saisie_Questions!K87="","",SUBSTITUTE(SUBSTITUTE(SUBSTITUTE(SUBSTITUTE(SUBSTITUTE(Saisie_Questions!K87,"&amp;","&amp;amp;"),"&lt;","&amp;lt;"),"&gt;","&amp;gt;"),CHAR(34),"&amp;quot;"),"'","&amp;apos;"))</f>
        <v/>
      </c>
      <c r="S87" s="2" t="str">
        <f>IF(Saisie_Questions!L87="","",SUBSTITUTE(SUBSTITUTE(SUBSTITUTE(SUBSTITUTE(SUBSTITUTE(Saisie_Questions!L87,"&amp;","&amp;amp;"),"&lt;","&amp;lt;"),"&gt;","&amp;gt;"),CHAR(34),"&amp;quot;"),"'","&amp;apos;"))</f>
        <v/>
      </c>
      <c r="T87" s="2" t="b">
        <f t="shared" si="38"/>
        <v>0</v>
      </c>
      <c r="U87" s="2" t="b">
        <f t="shared" si="39"/>
        <v>0</v>
      </c>
      <c r="V87" s="2" t="b">
        <f t="shared" si="40"/>
        <v>0</v>
      </c>
      <c r="W87" s="2" t="b">
        <f t="shared" si="41"/>
        <v>0</v>
      </c>
      <c r="X87" s="2" t="b">
        <f t="shared" si="42"/>
        <v>0</v>
      </c>
      <c r="Y87" s="2" t="b">
        <f t="shared" si="43"/>
        <v>0</v>
      </c>
      <c r="Z87" s="2" t="b">
        <f t="shared" si="44"/>
        <v>0</v>
      </c>
      <c r="AA87" s="2" t="b">
        <f t="shared" si="45"/>
        <v>0</v>
      </c>
      <c r="AB87" s="2" t="str">
        <f t="shared" si="46"/>
        <v/>
      </c>
      <c r="AC87" s="2" t="str">
        <f t="shared" si="47"/>
        <v/>
      </c>
      <c r="AD87" s="2" t="str">
        <f t="shared" si="48"/>
        <v/>
      </c>
      <c r="AE87" s="2" t="str">
        <f t="shared" si="49"/>
        <v/>
      </c>
      <c r="AF87" s="2" t="str">
        <f t="shared" si="50"/>
        <v/>
      </c>
      <c r="AG87" s="2" t="str">
        <f t="shared" si="51"/>
        <v/>
      </c>
      <c r="AH87" s="2" t="str">
        <f t="shared" si="52"/>
        <v/>
      </c>
      <c r="AI87" s="2" t="str">
        <f t="shared" si="53"/>
        <v/>
      </c>
      <c r="AJ87" s="2" t="str">
        <f>IF($B87,IF(L87="","",IF($C87="qcu",IF(T87,"      &lt;respcondition continue=""Yes""&gt;&lt;conditionvar&gt;&lt;varequal respident=""RESPONSE""&gt;0&lt;/varequal&gt;&lt;/conditionvar&gt;&lt;setvar action=""Add""&gt;"&amp;$H87&amp;"&lt;/setvar&gt;&lt;/respcondition&gt;",""),IF(T87,"      &lt;respcondition continue=""Yes""&gt;&lt;conditionvar&gt;&lt;varequal respident=""RESPONSE""&gt;0&lt;/varequal&gt;&lt;/conditionvar&gt;&lt;setvar action=""Add""&gt;"&amp;(Saisie_Questions!$N87/$I87)&amp;"&lt;/setvar&gt;&lt;/respcondition&gt;","      &lt;respcondition continue=""Yes""&gt;&lt;conditionvar&gt;&lt;not&gt;&lt;varequal respident=""RESPONSE""&gt;0&lt;/varequal&gt;&lt;/not&gt;&lt;/conditionvar&gt;&lt;setvar action=""Add""&gt;"&amp;(Saisie_Questions!$N87/$I87)&amp;"&lt;/setvar&gt;&lt;/respcondition&gt;"))),"")</f>
        <v/>
      </c>
      <c r="AK87" s="2" t="str">
        <f>IF($B87,IF(M87="","",IF($C87="qcu",IF(U87,"      &lt;respcondition continue=""Yes""&gt;&lt;conditionvar&gt;&lt;varequal respident=""RESPONSE""&gt;1&lt;/varequal&gt;&lt;/conditionvar&gt;&lt;setvar action=""Add""&gt;"&amp;$H87&amp;"&lt;/setvar&gt;&lt;/respcondition&gt;",""),IF(U87,"      &lt;respcondition continue=""Yes""&gt;&lt;conditionvar&gt;&lt;varequal respident=""RESPONSE""&gt;1&lt;/varequal&gt;&lt;/conditionvar&gt;&lt;setvar action=""Add""&gt;"&amp;(Saisie_Questions!$N87/$I87)&amp;"&lt;/setvar&gt;&lt;/respcondition&gt;","      &lt;respcondition continue=""Yes""&gt;&lt;conditionvar&gt;&lt;not&gt;&lt;varequal respident=""RESPONSE""&gt;1&lt;/varequal&gt;&lt;/not&gt;&lt;/conditionvar&gt;&lt;setvar action=""Add""&gt;"&amp;(Saisie_Questions!$N87/$I87)&amp;"&lt;/setvar&gt;&lt;/respcondition&gt;"))),"")</f>
        <v/>
      </c>
      <c r="AL87" s="2" t="str">
        <f>IF($B87,IF(N87="","",IF($C87="qcu",IF(V87,"      &lt;respcondition continue=""Yes""&gt;&lt;conditionvar&gt;&lt;varequal respident=""RESPONSE""&gt;2&lt;/varequal&gt;&lt;/conditionvar&gt;&lt;setvar action=""Add""&gt;"&amp;$H87&amp;"&lt;/setvar&gt;&lt;/respcondition&gt;",""),IF(V87,"      &lt;respcondition continue=""Yes""&gt;&lt;conditionvar&gt;&lt;varequal respident=""RESPONSE""&gt;2&lt;/varequal&gt;&lt;/conditionvar&gt;&lt;setvar action=""Add""&gt;"&amp;(Saisie_Questions!$N87/$I87)&amp;"&lt;/setvar&gt;&lt;/respcondition&gt;","      &lt;respcondition continue=""Yes""&gt;&lt;conditionvar&gt;&lt;not&gt;&lt;varequal respident=""RESPONSE""&gt;2&lt;/varequal&gt;&lt;/not&gt;&lt;/conditionvar&gt;&lt;setvar action=""Add""&gt;"&amp;(Saisie_Questions!$N87/$I87)&amp;"&lt;/setvar&gt;&lt;/respcondition&gt;"))),"")</f>
        <v/>
      </c>
      <c r="AM87" s="2" t="str">
        <f>IF($B87,IF(O87="","",IF($C87="qcu",IF(W87,"      &lt;respcondition continue=""Yes""&gt;&lt;conditionvar&gt;&lt;varequal respident=""RESPONSE""&gt;3&lt;/varequal&gt;&lt;/conditionvar&gt;&lt;setvar action=""Add""&gt;"&amp;$H87&amp;"&lt;/setvar&gt;&lt;/respcondition&gt;",""),IF(W87,"      &lt;respcondition continue=""Yes""&gt;&lt;conditionvar&gt;&lt;varequal respident=""RESPONSE""&gt;3&lt;/varequal&gt;&lt;/conditionvar&gt;&lt;setvar action=""Add""&gt;"&amp;(Saisie_Questions!$N87/$I87)&amp;"&lt;/setvar&gt;&lt;/respcondition&gt;","      &lt;respcondition continue=""Yes""&gt;&lt;conditionvar&gt;&lt;not&gt;&lt;varequal respident=""RESPONSE""&gt;3&lt;/varequal&gt;&lt;/not&gt;&lt;/conditionvar&gt;&lt;setvar action=""Add""&gt;"&amp;(Saisie_Questions!$N87/$I87)&amp;"&lt;/setvar&gt;&lt;/respcondition&gt;"))),"")</f>
        <v/>
      </c>
      <c r="AN87" s="2" t="str">
        <f>IF($B87,IF(P87="","",IF($C87="qcu",IF(X87,"      &lt;respcondition continue=""Yes""&gt;&lt;conditionvar&gt;&lt;varequal respident=""RESPONSE""&gt;4&lt;/varequal&gt;&lt;/conditionvar&gt;&lt;setvar action=""Add""&gt;"&amp;$H87&amp;"&lt;/setvar&gt;&lt;/respcondition&gt;",""),IF(X87,"      &lt;respcondition continue=""Yes""&gt;&lt;conditionvar&gt;&lt;varequal respident=""RESPONSE""&gt;4&lt;/varequal&gt;&lt;/conditionvar&gt;&lt;setvar action=""Add""&gt;"&amp;(Saisie_Questions!$N87/$I87)&amp;"&lt;/setvar&gt;&lt;/respcondition&gt;","      &lt;respcondition continue=""Yes""&gt;&lt;conditionvar&gt;&lt;not&gt;&lt;varequal respident=""RESPONSE""&gt;4&lt;/varequal&gt;&lt;/not&gt;&lt;/conditionvar&gt;&lt;setvar action=""Add""&gt;"&amp;(Saisie_Questions!$N87/$I87)&amp;"&lt;/setvar&gt;&lt;/respcondition&gt;"))),"")</f>
        <v/>
      </c>
      <c r="AO87" s="2" t="str">
        <f>IF($B87,IF(Q87="","",IF($C87="qcu",IF(Y87,"      &lt;respcondition continue=""Yes""&gt;&lt;conditionvar&gt;&lt;varequal respident=""RESPONSE""&gt;5&lt;/varequal&gt;&lt;/conditionvar&gt;&lt;setvar action=""Add""&gt;"&amp;$H87&amp;"&lt;/setvar&gt;&lt;/respcondition&gt;",""),IF(Y87,"      &lt;respcondition continue=""Yes""&gt;&lt;conditionvar&gt;&lt;varequal respident=""RESPONSE""&gt;5&lt;/varequal&gt;&lt;/conditionvar&gt;&lt;setvar action=""Add""&gt;"&amp;(Saisie_Questions!$N87/$I87)&amp;"&lt;/setvar&gt;&lt;/respcondition&gt;","      &lt;respcondition continue=""Yes""&gt;&lt;conditionvar&gt;&lt;not&gt;&lt;varequal respident=""RESPONSE""&gt;5&lt;/varequal&gt;&lt;/not&gt;&lt;/conditionvar&gt;&lt;setvar action=""Add""&gt;"&amp;(Saisie_Questions!$N87/$I87)&amp;"&lt;/setvar&gt;&lt;/respcondition&gt;"))),"")</f>
        <v/>
      </c>
      <c r="AP87" s="2" t="str">
        <f>IF($B87,IF(R87="","",IF($C87="qcu",IF(Z87,"      &lt;respcondition continue=""Yes""&gt;&lt;conditionvar&gt;&lt;varequal respident=""RESPONSE""&gt;6&lt;/varequal&gt;&lt;/conditionvar&gt;&lt;setvar action=""Add""&gt;"&amp;$H87&amp;"&lt;/setvar&gt;&lt;/respcondition&gt;",""),IF(Z87,"      &lt;respcondition continue=""Yes""&gt;&lt;conditionvar&gt;&lt;varequal respident=""RESPONSE""&gt;6&lt;/varequal&gt;&lt;/conditionvar&gt;&lt;setvar action=""Add""&gt;"&amp;(Saisie_Questions!$N87/$I87)&amp;"&lt;/setvar&gt;&lt;/respcondition&gt;","      &lt;respcondition continue=""Yes""&gt;&lt;conditionvar&gt;&lt;not&gt;&lt;varequal respident=""RESPONSE""&gt;6&lt;/varequal&gt;&lt;/not&gt;&lt;/conditionvar&gt;&lt;setvar action=""Add""&gt;"&amp;(Saisie_Questions!$N87/$I87)&amp;"&lt;/setvar&gt;&lt;/respcondition&gt;"))),"")</f>
        <v/>
      </c>
      <c r="AQ87" s="2" t="str">
        <f>IF($B87,IF(S87="","",IF($C87="qcu",IF(AA87,"      &lt;respcondition continue=""Yes""&gt;&lt;conditionvar&gt;&lt;varequal respident=""RESPONSE""&gt;7&lt;/varequal&gt;&lt;/conditionvar&gt;&lt;setvar action=""Add""&gt;"&amp;$H87&amp;"&lt;/setvar&gt;&lt;/respcondition&gt;",""),IF(AA87,"      &lt;respcondition continue=""Yes""&gt;&lt;conditionvar&gt;&lt;varequal respident=""RESPONSE""&gt;7&lt;/varequal&gt;&lt;/conditionvar&gt;&lt;setvar action=""Add""&gt;"&amp;(Saisie_Questions!$N87/$I87)&amp;"&lt;/setvar&gt;&lt;/respcondition&gt;","      &lt;respcondition continue=""Yes""&gt;&lt;conditionvar&gt;&lt;not&gt;&lt;varequal respident=""RESPONSE""&gt;7&lt;/varequal&gt;&lt;/not&gt;&lt;/conditionvar&gt;&lt;setvar action=""Add""&gt;"&amp;(Saisie_Questions!$N87/$I87)&amp;"&lt;/setvar&gt;&lt;/respcondition&gt;"))),"")</f>
        <v/>
      </c>
    </row>
    <row r="88" spans="1:43" ht="18" customHeight="1">
      <c r="A88" s="2" t="str">
        <f>Saisie_Questions!A88</f>
        <v/>
      </c>
      <c r="B88" s="2" t="b">
        <f>Saisie_Questions!O88="OK"</f>
        <v>0</v>
      </c>
      <c r="C88" s="2" t="str">
        <f>LOWER(TRIM(Saisie_Questions!B88))</f>
        <v/>
      </c>
      <c r="D88" s="2" t="str">
        <f t="shared" si="36"/>
        <v>MULTIPLE CHOICE QUESTION</v>
      </c>
      <c r="E88" s="2" t="str">
        <f t="shared" si="37"/>
        <v>Multiple</v>
      </c>
      <c r="F88" s="2" t="str">
        <f>IF(A88="","",SUBSTITUTE(SUBSTITUTE(SUBSTITUTE(SUBSTITUTE(SUBSTITUTE(IF(Saisie_Questions!C88="", "Question "&amp;A88, Saisie_Questions!C88),"&amp;","&amp;amp;"),"&lt;","&amp;lt;"),"&gt;","&amp;gt;"),CHAR(34),"&amp;quot;"),"'","&amp;apos;"))</f>
        <v/>
      </c>
      <c r="G88" s="2" t="str">
        <f>IF(A88="","",SUBSTITUTE(SUBSTITUTE(SUBSTITUTE(SUBSTITUTE(SUBSTITUTE(Saisie_Questions!D88,"&amp;","&amp;amp;"),"&lt;","&amp;lt;"),"&gt;","&amp;gt;"),CHAR(34),"&amp;quot;"),"'","&amp;apos;"))</f>
        <v/>
      </c>
      <c r="H88" s="2">
        <f>Saisie_Questions!N88</f>
        <v>0</v>
      </c>
      <c r="I88" s="2">
        <f>IF(Saisie_Questions!E88="",0,1)+IF(Saisie_Questions!F88="",0,1)+IF(Saisie_Questions!G88="",0,1)+IF(Saisie_Questions!H88="",0,1)+IF(Saisie_Questions!I88="",0,1)+IF(Saisie_Questions!J88="",0,1)+IF(Saisie_Questions!K88="",0,1)+IF(Saisie_Questions!L88="",0,1)</f>
        <v>0</v>
      </c>
      <c r="J88" s="2">
        <f>Saisie_Questions!M88</f>
        <v>0</v>
      </c>
      <c r="K88" s="2" t="str">
        <f>Saisie_Questions!O88</f>
        <v/>
      </c>
      <c r="L88" s="2" t="str">
        <f>IF(Saisie_Questions!E88="","",SUBSTITUTE(SUBSTITUTE(SUBSTITUTE(SUBSTITUTE(SUBSTITUTE(Saisie_Questions!E88,"&amp;","&amp;amp;"),"&lt;","&amp;lt;"),"&gt;","&amp;gt;"),CHAR(34),"&amp;quot;"),"'","&amp;apos;"))</f>
        <v/>
      </c>
      <c r="M88" s="2" t="str">
        <f>IF(Saisie_Questions!F88="","",SUBSTITUTE(SUBSTITUTE(SUBSTITUTE(SUBSTITUTE(SUBSTITUTE(Saisie_Questions!F88,"&amp;","&amp;amp;"),"&lt;","&amp;lt;"),"&gt;","&amp;gt;"),CHAR(34),"&amp;quot;"),"'","&amp;apos;"))</f>
        <v/>
      </c>
      <c r="N88" s="2" t="str">
        <f>IF(Saisie_Questions!G88="","",SUBSTITUTE(SUBSTITUTE(SUBSTITUTE(SUBSTITUTE(SUBSTITUTE(Saisie_Questions!G88,"&amp;","&amp;amp;"),"&lt;","&amp;lt;"),"&gt;","&amp;gt;"),CHAR(34),"&amp;quot;"),"'","&amp;apos;"))</f>
        <v/>
      </c>
      <c r="O88" s="2" t="str">
        <f>IF(Saisie_Questions!H88="","",SUBSTITUTE(SUBSTITUTE(SUBSTITUTE(SUBSTITUTE(SUBSTITUTE(Saisie_Questions!H88,"&amp;","&amp;amp;"),"&lt;","&amp;lt;"),"&gt;","&amp;gt;"),CHAR(34),"&amp;quot;"),"'","&amp;apos;"))</f>
        <v/>
      </c>
      <c r="P88" s="2" t="str">
        <f>IF(Saisie_Questions!I88="","",SUBSTITUTE(SUBSTITUTE(SUBSTITUTE(SUBSTITUTE(SUBSTITUTE(Saisie_Questions!I88,"&amp;","&amp;amp;"),"&lt;","&amp;lt;"),"&gt;","&amp;gt;"),CHAR(34),"&amp;quot;"),"'","&amp;apos;"))</f>
        <v/>
      </c>
      <c r="Q88" s="2" t="str">
        <f>IF(Saisie_Questions!J88="","",SUBSTITUTE(SUBSTITUTE(SUBSTITUTE(SUBSTITUTE(SUBSTITUTE(Saisie_Questions!J88,"&amp;","&amp;amp;"),"&lt;","&amp;lt;"),"&gt;","&amp;gt;"),CHAR(34),"&amp;quot;"),"'","&amp;apos;"))</f>
        <v/>
      </c>
      <c r="R88" s="2" t="str">
        <f>IF(Saisie_Questions!K88="","",SUBSTITUTE(SUBSTITUTE(SUBSTITUTE(SUBSTITUTE(SUBSTITUTE(Saisie_Questions!K88,"&amp;","&amp;amp;"),"&lt;","&amp;lt;"),"&gt;","&amp;gt;"),CHAR(34),"&amp;quot;"),"'","&amp;apos;"))</f>
        <v/>
      </c>
      <c r="S88" s="2" t="str">
        <f>IF(Saisie_Questions!L88="","",SUBSTITUTE(SUBSTITUTE(SUBSTITUTE(SUBSTITUTE(SUBSTITUTE(Saisie_Questions!L88,"&amp;","&amp;amp;"),"&lt;","&amp;lt;"),"&gt;","&amp;gt;"),CHAR(34),"&amp;quot;"),"'","&amp;apos;"))</f>
        <v/>
      </c>
      <c r="T88" s="2" t="b">
        <f t="shared" si="38"/>
        <v>0</v>
      </c>
      <c r="U88" s="2" t="b">
        <f t="shared" si="39"/>
        <v>0</v>
      </c>
      <c r="V88" s="2" t="b">
        <f t="shared" si="40"/>
        <v>0</v>
      </c>
      <c r="W88" s="2" t="b">
        <f t="shared" si="41"/>
        <v>0</v>
      </c>
      <c r="X88" s="2" t="b">
        <f t="shared" si="42"/>
        <v>0</v>
      </c>
      <c r="Y88" s="2" t="b">
        <f t="shared" si="43"/>
        <v>0</v>
      </c>
      <c r="Z88" s="2" t="b">
        <f t="shared" si="44"/>
        <v>0</v>
      </c>
      <c r="AA88" s="2" t="b">
        <f t="shared" si="45"/>
        <v>0</v>
      </c>
      <c r="AB88" s="2" t="str">
        <f t="shared" si="46"/>
        <v/>
      </c>
      <c r="AC88" s="2" t="str">
        <f t="shared" si="47"/>
        <v/>
      </c>
      <c r="AD88" s="2" t="str">
        <f t="shared" si="48"/>
        <v/>
      </c>
      <c r="AE88" s="2" t="str">
        <f t="shared" si="49"/>
        <v/>
      </c>
      <c r="AF88" s="2" t="str">
        <f t="shared" si="50"/>
        <v/>
      </c>
      <c r="AG88" s="2" t="str">
        <f t="shared" si="51"/>
        <v/>
      </c>
      <c r="AH88" s="2" t="str">
        <f t="shared" si="52"/>
        <v/>
      </c>
      <c r="AI88" s="2" t="str">
        <f t="shared" si="53"/>
        <v/>
      </c>
      <c r="AJ88" s="2" t="str">
        <f>IF($B88,IF(L88="","",IF($C88="qcu",IF(T88,"      &lt;respcondition continue=""Yes""&gt;&lt;conditionvar&gt;&lt;varequal respident=""RESPONSE""&gt;0&lt;/varequal&gt;&lt;/conditionvar&gt;&lt;setvar action=""Add""&gt;"&amp;$H88&amp;"&lt;/setvar&gt;&lt;/respcondition&gt;",""),IF(T88,"      &lt;respcondition continue=""Yes""&gt;&lt;conditionvar&gt;&lt;varequal respident=""RESPONSE""&gt;0&lt;/varequal&gt;&lt;/conditionvar&gt;&lt;setvar action=""Add""&gt;"&amp;(Saisie_Questions!$N88/$I88)&amp;"&lt;/setvar&gt;&lt;/respcondition&gt;","      &lt;respcondition continue=""Yes""&gt;&lt;conditionvar&gt;&lt;not&gt;&lt;varequal respident=""RESPONSE""&gt;0&lt;/varequal&gt;&lt;/not&gt;&lt;/conditionvar&gt;&lt;setvar action=""Add""&gt;"&amp;(Saisie_Questions!$N88/$I88)&amp;"&lt;/setvar&gt;&lt;/respcondition&gt;"))),"")</f>
        <v/>
      </c>
      <c r="AK88" s="2" t="str">
        <f>IF($B88,IF(M88="","",IF($C88="qcu",IF(U88,"      &lt;respcondition continue=""Yes""&gt;&lt;conditionvar&gt;&lt;varequal respident=""RESPONSE""&gt;1&lt;/varequal&gt;&lt;/conditionvar&gt;&lt;setvar action=""Add""&gt;"&amp;$H88&amp;"&lt;/setvar&gt;&lt;/respcondition&gt;",""),IF(U88,"      &lt;respcondition continue=""Yes""&gt;&lt;conditionvar&gt;&lt;varequal respident=""RESPONSE""&gt;1&lt;/varequal&gt;&lt;/conditionvar&gt;&lt;setvar action=""Add""&gt;"&amp;(Saisie_Questions!$N88/$I88)&amp;"&lt;/setvar&gt;&lt;/respcondition&gt;","      &lt;respcondition continue=""Yes""&gt;&lt;conditionvar&gt;&lt;not&gt;&lt;varequal respident=""RESPONSE""&gt;1&lt;/varequal&gt;&lt;/not&gt;&lt;/conditionvar&gt;&lt;setvar action=""Add""&gt;"&amp;(Saisie_Questions!$N88/$I88)&amp;"&lt;/setvar&gt;&lt;/respcondition&gt;"))),"")</f>
        <v/>
      </c>
      <c r="AL88" s="2" t="str">
        <f>IF($B88,IF(N88="","",IF($C88="qcu",IF(V88,"      &lt;respcondition continue=""Yes""&gt;&lt;conditionvar&gt;&lt;varequal respident=""RESPONSE""&gt;2&lt;/varequal&gt;&lt;/conditionvar&gt;&lt;setvar action=""Add""&gt;"&amp;$H88&amp;"&lt;/setvar&gt;&lt;/respcondition&gt;",""),IF(V88,"      &lt;respcondition continue=""Yes""&gt;&lt;conditionvar&gt;&lt;varequal respident=""RESPONSE""&gt;2&lt;/varequal&gt;&lt;/conditionvar&gt;&lt;setvar action=""Add""&gt;"&amp;(Saisie_Questions!$N88/$I88)&amp;"&lt;/setvar&gt;&lt;/respcondition&gt;","      &lt;respcondition continue=""Yes""&gt;&lt;conditionvar&gt;&lt;not&gt;&lt;varequal respident=""RESPONSE""&gt;2&lt;/varequal&gt;&lt;/not&gt;&lt;/conditionvar&gt;&lt;setvar action=""Add""&gt;"&amp;(Saisie_Questions!$N88/$I88)&amp;"&lt;/setvar&gt;&lt;/respcondition&gt;"))),"")</f>
        <v/>
      </c>
      <c r="AM88" s="2" t="str">
        <f>IF($B88,IF(O88="","",IF($C88="qcu",IF(W88,"      &lt;respcondition continue=""Yes""&gt;&lt;conditionvar&gt;&lt;varequal respident=""RESPONSE""&gt;3&lt;/varequal&gt;&lt;/conditionvar&gt;&lt;setvar action=""Add""&gt;"&amp;$H88&amp;"&lt;/setvar&gt;&lt;/respcondition&gt;",""),IF(W88,"      &lt;respcondition continue=""Yes""&gt;&lt;conditionvar&gt;&lt;varequal respident=""RESPONSE""&gt;3&lt;/varequal&gt;&lt;/conditionvar&gt;&lt;setvar action=""Add""&gt;"&amp;(Saisie_Questions!$N88/$I88)&amp;"&lt;/setvar&gt;&lt;/respcondition&gt;","      &lt;respcondition continue=""Yes""&gt;&lt;conditionvar&gt;&lt;not&gt;&lt;varequal respident=""RESPONSE""&gt;3&lt;/varequal&gt;&lt;/not&gt;&lt;/conditionvar&gt;&lt;setvar action=""Add""&gt;"&amp;(Saisie_Questions!$N88/$I88)&amp;"&lt;/setvar&gt;&lt;/respcondition&gt;"))),"")</f>
        <v/>
      </c>
      <c r="AN88" s="2" t="str">
        <f>IF($B88,IF(P88="","",IF($C88="qcu",IF(X88,"      &lt;respcondition continue=""Yes""&gt;&lt;conditionvar&gt;&lt;varequal respident=""RESPONSE""&gt;4&lt;/varequal&gt;&lt;/conditionvar&gt;&lt;setvar action=""Add""&gt;"&amp;$H88&amp;"&lt;/setvar&gt;&lt;/respcondition&gt;",""),IF(X88,"      &lt;respcondition continue=""Yes""&gt;&lt;conditionvar&gt;&lt;varequal respident=""RESPONSE""&gt;4&lt;/varequal&gt;&lt;/conditionvar&gt;&lt;setvar action=""Add""&gt;"&amp;(Saisie_Questions!$N88/$I88)&amp;"&lt;/setvar&gt;&lt;/respcondition&gt;","      &lt;respcondition continue=""Yes""&gt;&lt;conditionvar&gt;&lt;not&gt;&lt;varequal respident=""RESPONSE""&gt;4&lt;/varequal&gt;&lt;/not&gt;&lt;/conditionvar&gt;&lt;setvar action=""Add""&gt;"&amp;(Saisie_Questions!$N88/$I88)&amp;"&lt;/setvar&gt;&lt;/respcondition&gt;"))),"")</f>
        <v/>
      </c>
      <c r="AO88" s="2" t="str">
        <f>IF($B88,IF(Q88="","",IF($C88="qcu",IF(Y88,"      &lt;respcondition continue=""Yes""&gt;&lt;conditionvar&gt;&lt;varequal respident=""RESPONSE""&gt;5&lt;/varequal&gt;&lt;/conditionvar&gt;&lt;setvar action=""Add""&gt;"&amp;$H88&amp;"&lt;/setvar&gt;&lt;/respcondition&gt;",""),IF(Y88,"      &lt;respcondition continue=""Yes""&gt;&lt;conditionvar&gt;&lt;varequal respident=""RESPONSE""&gt;5&lt;/varequal&gt;&lt;/conditionvar&gt;&lt;setvar action=""Add""&gt;"&amp;(Saisie_Questions!$N88/$I88)&amp;"&lt;/setvar&gt;&lt;/respcondition&gt;","      &lt;respcondition continue=""Yes""&gt;&lt;conditionvar&gt;&lt;not&gt;&lt;varequal respident=""RESPONSE""&gt;5&lt;/varequal&gt;&lt;/not&gt;&lt;/conditionvar&gt;&lt;setvar action=""Add""&gt;"&amp;(Saisie_Questions!$N88/$I88)&amp;"&lt;/setvar&gt;&lt;/respcondition&gt;"))),"")</f>
        <v/>
      </c>
      <c r="AP88" s="2" t="str">
        <f>IF($B88,IF(R88="","",IF($C88="qcu",IF(Z88,"      &lt;respcondition continue=""Yes""&gt;&lt;conditionvar&gt;&lt;varequal respident=""RESPONSE""&gt;6&lt;/varequal&gt;&lt;/conditionvar&gt;&lt;setvar action=""Add""&gt;"&amp;$H88&amp;"&lt;/setvar&gt;&lt;/respcondition&gt;",""),IF(Z88,"      &lt;respcondition continue=""Yes""&gt;&lt;conditionvar&gt;&lt;varequal respident=""RESPONSE""&gt;6&lt;/varequal&gt;&lt;/conditionvar&gt;&lt;setvar action=""Add""&gt;"&amp;(Saisie_Questions!$N88/$I88)&amp;"&lt;/setvar&gt;&lt;/respcondition&gt;","      &lt;respcondition continue=""Yes""&gt;&lt;conditionvar&gt;&lt;not&gt;&lt;varequal respident=""RESPONSE""&gt;6&lt;/varequal&gt;&lt;/not&gt;&lt;/conditionvar&gt;&lt;setvar action=""Add""&gt;"&amp;(Saisie_Questions!$N88/$I88)&amp;"&lt;/setvar&gt;&lt;/respcondition&gt;"))),"")</f>
        <v/>
      </c>
      <c r="AQ88" s="2" t="str">
        <f>IF($B88,IF(S88="","",IF($C88="qcu",IF(AA88,"      &lt;respcondition continue=""Yes""&gt;&lt;conditionvar&gt;&lt;varequal respident=""RESPONSE""&gt;7&lt;/varequal&gt;&lt;/conditionvar&gt;&lt;setvar action=""Add""&gt;"&amp;$H88&amp;"&lt;/setvar&gt;&lt;/respcondition&gt;",""),IF(AA88,"      &lt;respcondition continue=""Yes""&gt;&lt;conditionvar&gt;&lt;varequal respident=""RESPONSE""&gt;7&lt;/varequal&gt;&lt;/conditionvar&gt;&lt;setvar action=""Add""&gt;"&amp;(Saisie_Questions!$N88/$I88)&amp;"&lt;/setvar&gt;&lt;/respcondition&gt;","      &lt;respcondition continue=""Yes""&gt;&lt;conditionvar&gt;&lt;not&gt;&lt;varequal respident=""RESPONSE""&gt;7&lt;/varequal&gt;&lt;/not&gt;&lt;/conditionvar&gt;&lt;setvar action=""Add""&gt;"&amp;(Saisie_Questions!$N88/$I88)&amp;"&lt;/setvar&gt;&lt;/respcondition&gt;"))),"")</f>
        <v/>
      </c>
    </row>
    <row r="89" spans="1:43" ht="18" customHeight="1">
      <c r="A89" s="2" t="str">
        <f>Saisie_Questions!A89</f>
        <v/>
      </c>
      <c r="B89" s="2" t="b">
        <f>Saisie_Questions!O89="OK"</f>
        <v>0</v>
      </c>
      <c r="C89" s="2" t="str">
        <f>LOWER(TRIM(Saisie_Questions!B89))</f>
        <v/>
      </c>
      <c r="D89" s="2" t="str">
        <f t="shared" si="36"/>
        <v>MULTIPLE CHOICE QUESTION</v>
      </c>
      <c r="E89" s="2" t="str">
        <f t="shared" si="37"/>
        <v>Multiple</v>
      </c>
      <c r="F89" s="2" t="str">
        <f>IF(A89="","",SUBSTITUTE(SUBSTITUTE(SUBSTITUTE(SUBSTITUTE(SUBSTITUTE(IF(Saisie_Questions!C89="", "Question "&amp;A89, Saisie_Questions!C89),"&amp;","&amp;amp;"),"&lt;","&amp;lt;"),"&gt;","&amp;gt;"),CHAR(34),"&amp;quot;"),"'","&amp;apos;"))</f>
        <v/>
      </c>
      <c r="G89" s="2" t="str">
        <f>IF(A89="","",SUBSTITUTE(SUBSTITUTE(SUBSTITUTE(SUBSTITUTE(SUBSTITUTE(Saisie_Questions!D89,"&amp;","&amp;amp;"),"&lt;","&amp;lt;"),"&gt;","&amp;gt;"),CHAR(34),"&amp;quot;"),"'","&amp;apos;"))</f>
        <v/>
      </c>
      <c r="H89" s="2">
        <f>Saisie_Questions!N89</f>
        <v>0</v>
      </c>
      <c r="I89" s="2">
        <f>IF(Saisie_Questions!E89="",0,1)+IF(Saisie_Questions!F89="",0,1)+IF(Saisie_Questions!G89="",0,1)+IF(Saisie_Questions!H89="",0,1)+IF(Saisie_Questions!I89="",0,1)+IF(Saisie_Questions!J89="",0,1)+IF(Saisie_Questions!K89="",0,1)+IF(Saisie_Questions!L89="",0,1)</f>
        <v>0</v>
      </c>
      <c r="J89" s="2">
        <f>Saisie_Questions!M89</f>
        <v>0</v>
      </c>
      <c r="K89" s="2" t="str">
        <f>Saisie_Questions!O89</f>
        <v/>
      </c>
      <c r="L89" s="2" t="str">
        <f>IF(Saisie_Questions!E89="","",SUBSTITUTE(SUBSTITUTE(SUBSTITUTE(SUBSTITUTE(SUBSTITUTE(Saisie_Questions!E89,"&amp;","&amp;amp;"),"&lt;","&amp;lt;"),"&gt;","&amp;gt;"),CHAR(34),"&amp;quot;"),"'","&amp;apos;"))</f>
        <v/>
      </c>
      <c r="M89" s="2" t="str">
        <f>IF(Saisie_Questions!F89="","",SUBSTITUTE(SUBSTITUTE(SUBSTITUTE(SUBSTITUTE(SUBSTITUTE(Saisie_Questions!F89,"&amp;","&amp;amp;"),"&lt;","&amp;lt;"),"&gt;","&amp;gt;"),CHAR(34),"&amp;quot;"),"'","&amp;apos;"))</f>
        <v/>
      </c>
      <c r="N89" s="2" t="str">
        <f>IF(Saisie_Questions!G89="","",SUBSTITUTE(SUBSTITUTE(SUBSTITUTE(SUBSTITUTE(SUBSTITUTE(Saisie_Questions!G89,"&amp;","&amp;amp;"),"&lt;","&amp;lt;"),"&gt;","&amp;gt;"),CHAR(34),"&amp;quot;"),"'","&amp;apos;"))</f>
        <v/>
      </c>
      <c r="O89" s="2" t="str">
        <f>IF(Saisie_Questions!H89="","",SUBSTITUTE(SUBSTITUTE(SUBSTITUTE(SUBSTITUTE(SUBSTITUTE(Saisie_Questions!H89,"&amp;","&amp;amp;"),"&lt;","&amp;lt;"),"&gt;","&amp;gt;"),CHAR(34),"&amp;quot;"),"'","&amp;apos;"))</f>
        <v/>
      </c>
      <c r="P89" s="2" t="str">
        <f>IF(Saisie_Questions!I89="","",SUBSTITUTE(SUBSTITUTE(SUBSTITUTE(SUBSTITUTE(SUBSTITUTE(Saisie_Questions!I89,"&amp;","&amp;amp;"),"&lt;","&amp;lt;"),"&gt;","&amp;gt;"),CHAR(34),"&amp;quot;"),"'","&amp;apos;"))</f>
        <v/>
      </c>
      <c r="Q89" s="2" t="str">
        <f>IF(Saisie_Questions!J89="","",SUBSTITUTE(SUBSTITUTE(SUBSTITUTE(SUBSTITUTE(SUBSTITUTE(Saisie_Questions!J89,"&amp;","&amp;amp;"),"&lt;","&amp;lt;"),"&gt;","&amp;gt;"),CHAR(34),"&amp;quot;"),"'","&amp;apos;"))</f>
        <v/>
      </c>
      <c r="R89" s="2" t="str">
        <f>IF(Saisie_Questions!K89="","",SUBSTITUTE(SUBSTITUTE(SUBSTITUTE(SUBSTITUTE(SUBSTITUTE(Saisie_Questions!K89,"&amp;","&amp;amp;"),"&lt;","&amp;lt;"),"&gt;","&amp;gt;"),CHAR(34),"&amp;quot;"),"'","&amp;apos;"))</f>
        <v/>
      </c>
      <c r="S89" s="2" t="str">
        <f>IF(Saisie_Questions!L89="","",SUBSTITUTE(SUBSTITUTE(SUBSTITUTE(SUBSTITUTE(SUBSTITUTE(Saisie_Questions!L89,"&amp;","&amp;amp;"),"&lt;","&amp;lt;"),"&gt;","&amp;gt;"),CHAR(34),"&amp;quot;"),"'","&amp;apos;"))</f>
        <v/>
      </c>
      <c r="T89" s="2" t="b">
        <f t="shared" si="38"/>
        <v>0</v>
      </c>
      <c r="U89" s="2" t="b">
        <f t="shared" si="39"/>
        <v>0</v>
      </c>
      <c r="V89" s="2" t="b">
        <f t="shared" si="40"/>
        <v>0</v>
      </c>
      <c r="W89" s="2" t="b">
        <f t="shared" si="41"/>
        <v>0</v>
      </c>
      <c r="X89" s="2" t="b">
        <f t="shared" si="42"/>
        <v>0</v>
      </c>
      <c r="Y89" s="2" t="b">
        <f t="shared" si="43"/>
        <v>0</v>
      </c>
      <c r="Z89" s="2" t="b">
        <f t="shared" si="44"/>
        <v>0</v>
      </c>
      <c r="AA89" s="2" t="b">
        <f t="shared" si="45"/>
        <v>0</v>
      </c>
      <c r="AB89" s="2" t="str">
        <f t="shared" si="46"/>
        <v/>
      </c>
      <c r="AC89" s="2" t="str">
        <f t="shared" si="47"/>
        <v/>
      </c>
      <c r="AD89" s="2" t="str">
        <f t="shared" si="48"/>
        <v/>
      </c>
      <c r="AE89" s="2" t="str">
        <f t="shared" si="49"/>
        <v/>
      </c>
      <c r="AF89" s="2" t="str">
        <f t="shared" si="50"/>
        <v/>
      </c>
      <c r="AG89" s="2" t="str">
        <f t="shared" si="51"/>
        <v/>
      </c>
      <c r="AH89" s="2" t="str">
        <f t="shared" si="52"/>
        <v/>
      </c>
      <c r="AI89" s="2" t="str">
        <f t="shared" si="53"/>
        <v/>
      </c>
      <c r="AJ89" s="2" t="str">
        <f>IF($B89,IF(L89="","",IF($C89="qcu",IF(T89,"      &lt;respcondition continue=""Yes""&gt;&lt;conditionvar&gt;&lt;varequal respident=""RESPONSE""&gt;0&lt;/varequal&gt;&lt;/conditionvar&gt;&lt;setvar action=""Add""&gt;"&amp;$H89&amp;"&lt;/setvar&gt;&lt;/respcondition&gt;",""),IF(T89,"      &lt;respcondition continue=""Yes""&gt;&lt;conditionvar&gt;&lt;varequal respident=""RESPONSE""&gt;0&lt;/varequal&gt;&lt;/conditionvar&gt;&lt;setvar action=""Add""&gt;"&amp;(Saisie_Questions!$N89/$I89)&amp;"&lt;/setvar&gt;&lt;/respcondition&gt;","      &lt;respcondition continue=""Yes""&gt;&lt;conditionvar&gt;&lt;not&gt;&lt;varequal respident=""RESPONSE""&gt;0&lt;/varequal&gt;&lt;/not&gt;&lt;/conditionvar&gt;&lt;setvar action=""Add""&gt;"&amp;(Saisie_Questions!$N89/$I89)&amp;"&lt;/setvar&gt;&lt;/respcondition&gt;"))),"")</f>
        <v/>
      </c>
      <c r="AK89" s="2" t="str">
        <f>IF($B89,IF(M89="","",IF($C89="qcu",IF(U89,"      &lt;respcondition continue=""Yes""&gt;&lt;conditionvar&gt;&lt;varequal respident=""RESPONSE""&gt;1&lt;/varequal&gt;&lt;/conditionvar&gt;&lt;setvar action=""Add""&gt;"&amp;$H89&amp;"&lt;/setvar&gt;&lt;/respcondition&gt;",""),IF(U89,"      &lt;respcondition continue=""Yes""&gt;&lt;conditionvar&gt;&lt;varequal respident=""RESPONSE""&gt;1&lt;/varequal&gt;&lt;/conditionvar&gt;&lt;setvar action=""Add""&gt;"&amp;(Saisie_Questions!$N89/$I89)&amp;"&lt;/setvar&gt;&lt;/respcondition&gt;","      &lt;respcondition continue=""Yes""&gt;&lt;conditionvar&gt;&lt;not&gt;&lt;varequal respident=""RESPONSE""&gt;1&lt;/varequal&gt;&lt;/not&gt;&lt;/conditionvar&gt;&lt;setvar action=""Add""&gt;"&amp;(Saisie_Questions!$N89/$I89)&amp;"&lt;/setvar&gt;&lt;/respcondition&gt;"))),"")</f>
        <v/>
      </c>
      <c r="AL89" s="2" t="str">
        <f>IF($B89,IF(N89="","",IF($C89="qcu",IF(V89,"      &lt;respcondition continue=""Yes""&gt;&lt;conditionvar&gt;&lt;varequal respident=""RESPONSE""&gt;2&lt;/varequal&gt;&lt;/conditionvar&gt;&lt;setvar action=""Add""&gt;"&amp;$H89&amp;"&lt;/setvar&gt;&lt;/respcondition&gt;",""),IF(V89,"      &lt;respcondition continue=""Yes""&gt;&lt;conditionvar&gt;&lt;varequal respident=""RESPONSE""&gt;2&lt;/varequal&gt;&lt;/conditionvar&gt;&lt;setvar action=""Add""&gt;"&amp;(Saisie_Questions!$N89/$I89)&amp;"&lt;/setvar&gt;&lt;/respcondition&gt;","      &lt;respcondition continue=""Yes""&gt;&lt;conditionvar&gt;&lt;not&gt;&lt;varequal respident=""RESPONSE""&gt;2&lt;/varequal&gt;&lt;/not&gt;&lt;/conditionvar&gt;&lt;setvar action=""Add""&gt;"&amp;(Saisie_Questions!$N89/$I89)&amp;"&lt;/setvar&gt;&lt;/respcondition&gt;"))),"")</f>
        <v/>
      </c>
      <c r="AM89" s="2" t="str">
        <f>IF($B89,IF(O89="","",IF($C89="qcu",IF(W89,"      &lt;respcondition continue=""Yes""&gt;&lt;conditionvar&gt;&lt;varequal respident=""RESPONSE""&gt;3&lt;/varequal&gt;&lt;/conditionvar&gt;&lt;setvar action=""Add""&gt;"&amp;$H89&amp;"&lt;/setvar&gt;&lt;/respcondition&gt;",""),IF(W89,"      &lt;respcondition continue=""Yes""&gt;&lt;conditionvar&gt;&lt;varequal respident=""RESPONSE""&gt;3&lt;/varequal&gt;&lt;/conditionvar&gt;&lt;setvar action=""Add""&gt;"&amp;(Saisie_Questions!$N89/$I89)&amp;"&lt;/setvar&gt;&lt;/respcondition&gt;","      &lt;respcondition continue=""Yes""&gt;&lt;conditionvar&gt;&lt;not&gt;&lt;varequal respident=""RESPONSE""&gt;3&lt;/varequal&gt;&lt;/not&gt;&lt;/conditionvar&gt;&lt;setvar action=""Add""&gt;"&amp;(Saisie_Questions!$N89/$I89)&amp;"&lt;/setvar&gt;&lt;/respcondition&gt;"))),"")</f>
        <v/>
      </c>
      <c r="AN89" s="2" t="str">
        <f>IF($B89,IF(P89="","",IF($C89="qcu",IF(X89,"      &lt;respcondition continue=""Yes""&gt;&lt;conditionvar&gt;&lt;varequal respident=""RESPONSE""&gt;4&lt;/varequal&gt;&lt;/conditionvar&gt;&lt;setvar action=""Add""&gt;"&amp;$H89&amp;"&lt;/setvar&gt;&lt;/respcondition&gt;",""),IF(X89,"      &lt;respcondition continue=""Yes""&gt;&lt;conditionvar&gt;&lt;varequal respident=""RESPONSE""&gt;4&lt;/varequal&gt;&lt;/conditionvar&gt;&lt;setvar action=""Add""&gt;"&amp;(Saisie_Questions!$N89/$I89)&amp;"&lt;/setvar&gt;&lt;/respcondition&gt;","      &lt;respcondition continue=""Yes""&gt;&lt;conditionvar&gt;&lt;not&gt;&lt;varequal respident=""RESPONSE""&gt;4&lt;/varequal&gt;&lt;/not&gt;&lt;/conditionvar&gt;&lt;setvar action=""Add""&gt;"&amp;(Saisie_Questions!$N89/$I89)&amp;"&lt;/setvar&gt;&lt;/respcondition&gt;"))),"")</f>
        <v/>
      </c>
      <c r="AO89" s="2" t="str">
        <f>IF($B89,IF(Q89="","",IF($C89="qcu",IF(Y89,"      &lt;respcondition continue=""Yes""&gt;&lt;conditionvar&gt;&lt;varequal respident=""RESPONSE""&gt;5&lt;/varequal&gt;&lt;/conditionvar&gt;&lt;setvar action=""Add""&gt;"&amp;$H89&amp;"&lt;/setvar&gt;&lt;/respcondition&gt;",""),IF(Y89,"      &lt;respcondition continue=""Yes""&gt;&lt;conditionvar&gt;&lt;varequal respident=""RESPONSE""&gt;5&lt;/varequal&gt;&lt;/conditionvar&gt;&lt;setvar action=""Add""&gt;"&amp;(Saisie_Questions!$N89/$I89)&amp;"&lt;/setvar&gt;&lt;/respcondition&gt;","      &lt;respcondition continue=""Yes""&gt;&lt;conditionvar&gt;&lt;not&gt;&lt;varequal respident=""RESPONSE""&gt;5&lt;/varequal&gt;&lt;/not&gt;&lt;/conditionvar&gt;&lt;setvar action=""Add""&gt;"&amp;(Saisie_Questions!$N89/$I89)&amp;"&lt;/setvar&gt;&lt;/respcondition&gt;"))),"")</f>
        <v/>
      </c>
      <c r="AP89" s="2" t="str">
        <f>IF($B89,IF(R89="","",IF($C89="qcu",IF(Z89,"      &lt;respcondition continue=""Yes""&gt;&lt;conditionvar&gt;&lt;varequal respident=""RESPONSE""&gt;6&lt;/varequal&gt;&lt;/conditionvar&gt;&lt;setvar action=""Add""&gt;"&amp;$H89&amp;"&lt;/setvar&gt;&lt;/respcondition&gt;",""),IF(Z89,"      &lt;respcondition continue=""Yes""&gt;&lt;conditionvar&gt;&lt;varequal respident=""RESPONSE""&gt;6&lt;/varequal&gt;&lt;/conditionvar&gt;&lt;setvar action=""Add""&gt;"&amp;(Saisie_Questions!$N89/$I89)&amp;"&lt;/setvar&gt;&lt;/respcondition&gt;","      &lt;respcondition continue=""Yes""&gt;&lt;conditionvar&gt;&lt;not&gt;&lt;varequal respident=""RESPONSE""&gt;6&lt;/varequal&gt;&lt;/not&gt;&lt;/conditionvar&gt;&lt;setvar action=""Add""&gt;"&amp;(Saisie_Questions!$N89/$I89)&amp;"&lt;/setvar&gt;&lt;/respcondition&gt;"))),"")</f>
        <v/>
      </c>
      <c r="AQ89" s="2" t="str">
        <f>IF($B89,IF(S89="","",IF($C89="qcu",IF(AA89,"      &lt;respcondition continue=""Yes""&gt;&lt;conditionvar&gt;&lt;varequal respident=""RESPONSE""&gt;7&lt;/varequal&gt;&lt;/conditionvar&gt;&lt;setvar action=""Add""&gt;"&amp;$H89&amp;"&lt;/setvar&gt;&lt;/respcondition&gt;",""),IF(AA89,"      &lt;respcondition continue=""Yes""&gt;&lt;conditionvar&gt;&lt;varequal respident=""RESPONSE""&gt;7&lt;/varequal&gt;&lt;/conditionvar&gt;&lt;setvar action=""Add""&gt;"&amp;(Saisie_Questions!$N89/$I89)&amp;"&lt;/setvar&gt;&lt;/respcondition&gt;","      &lt;respcondition continue=""Yes""&gt;&lt;conditionvar&gt;&lt;not&gt;&lt;varequal respident=""RESPONSE""&gt;7&lt;/varequal&gt;&lt;/not&gt;&lt;/conditionvar&gt;&lt;setvar action=""Add""&gt;"&amp;(Saisie_Questions!$N89/$I89)&amp;"&lt;/setvar&gt;&lt;/respcondition&gt;"))),"")</f>
        <v/>
      </c>
    </row>
    <row r="90" spans="1:43" ht="18" customHeight="1">
      <c r="A90" s="2" t="str">
        <f>Saisie_Questions!A90</f>
        <v/>
      </c>
      <c r="B90" s="2" t="b">
        <f>Saisie_Questions!O90="OK"</f>
        <v>0</v>
      </c>
      <c r="C90" s="2" t="str">
        <f>LOWER(TRIM(Saisie_Questions!B90))</f>
        <v/>
      </c>
      <c r="D90" s="2" t="str">
        <f t="shared" si="36"/>
        <v>MULTIPLE CHOICE QUESTION</v>
      </c>
      <c r="E90" s="2" t="str">
        <f t="shared" si="37"/>
        <v>Multiple</v>
      </c>
      <c r="F90" s="2" t="str">
        <f>IF(A90="","",SUBSTITUTE(SUBSTITUTE(SUBSTITUTE(SUBSTITUTE(SUBSTITUTE(IF(Saisie_Questions!C90="", "Question "&amp;A90, Saisie_Questions!C90),"&amp;","&amp;amp;"),"&lt;","&amp;lt;"),"&gt;","&amp;gt;"),CHAR(34),"&amp;quot;"),"'","&amp;apos;"))</f>
        <v/>
      </c>
      <c r="G90" s="2" t="str">
        <f>IF(A90="","",SUBSTITUTE(SUBSTITUTE(SUBSTITUTE(SUBSTITUTE(SUBSTITUTE(Saisie_Questions!D90,"&amp;","&amp;amp;"),"&lt;","&amp;lt;"),"&gt;","&amp;gt;"),CHAR(34),"&amp;quot;"),"'","&amp;apos;"))</f>
        <v/>
      </c>
      <c r="H90" s="2">
        <f>Saisie_Questions!N90</f>
        <v>0</v>
      </c>
      <c r="I90" s="2">
        <f>IF(Saisie_Questions!E90="",0,1)+IF(Saisie_Questions!F90="",0,1)+IF(Saisie_Questions!G90="",0,1)+IF(Saisie_Questions!H90="",0,1)+IF(Saisie_Questions!I90="",0,1)+IF(Saisie_Questions!J90="",0,1)+IF(Saisie_Questions!K90="",0,1)+IF(Saisie_Questions!L90="",0,1)</f>
        <v>0</v>
      </c>
      <c r="J90" s="2">
        <f>Saisie_Questions!M90</f>
        <v>0</v>
      </c>
      <c r="K90" s="2" t="str">
        <f>Saisie_Questions!O90</f>
        <v/>
      </c>
      <c r="L90" s="2" t="str">
        <f>IF(Saisie_Questions!E90="","",SUBSTITUTE(SUBSTITUTE(SUBSTITUTE(SUBSTITUTE(SUBSTITUTE(Saisie_Questions!E90,"&amp;","&amp;amp;"),"&lt;","&amp;lt;"),"&gt;","&amp;gt;"),CHAR(34),"&amp;quot;"),"'","&amp;apos;"))</f>
        <v/>
      </c>
      <c r="M90" s="2" t="str">
        <f>IF(Saisie_Questions!F90="","",SUBSTITUTE(SUBSTITUTE(SUBSTITUTE(SUBSTITUTE(SUBSTITUTE(Saisie_Questions!F90,"&amp;","&amp;amp;"),"&lt;","&amp;lt;"),"&gt;","&amp;gt;"),CHAR(34),"&amp;quot;"),"'","&amp;apos;"))</f>
        <v/>
      </c>
      <c r="N90" s="2" t="str">
        <f>IF(Saisie_Questions!G90="","",SUBSTITUTE(SUBSTITUTE(SUBSTITUTE(SUBSTITUTE(SUBSTITUTE(Saisie_Questions!G90,"&amp;","&amp;amp;"),"&lt;","&amp;lt;"),"&gt;","&amp;gt;"),CHAR(34),"&amp;quot;"),"'","&amp;apos;"))</f>
        <v/>
      </c>
      <c r="O90" s="2" t="str">
        <f>IF(Saisie_Questions!H90="","",SUBSTITUTE(SUBSTITUTE(SUBSTITUTE(SUBSTITUTE(SUBSTITUTE(Saisie_Questions!H90,"&amp;","&amp;amp;"),"&lt;","&amp;lt;"),"&gt;","&amp;gt;"),CHAR(34),"&amp;quot;"),"'","&amp;apos;"))</f>
        <v/>
      </c>
      <c r="P90" s="2" t="str">
        <f>IF(Saisie_Questions!I90="","",SUBSTITUTE(SUBSTITUTE(SUBSTITUTE(SUBSTITUTE(SUBSTITUTE(Saisie_Questions!I90,"&amp;","&amp;amp;"),"&lt;","&amp;lt;"),"&gt;","&amp;gt;"),CHAR(34),"&amp;quot;"),"'","&amp;apos;"))</f>
        <v/>
      </c>
      <c r="Q90" s="2" t="str">
        <f>IF(Saisie_Questions!J90="","",SUBSTITUTE(SUBSTITUTE(SUBSTITUTE(SUBSTITUTE(SUBSTITUTE(Saisie_Questions!J90,"&amp;","&amp;amp;"),"&lt;","&amp;lt;"),"&gt;","&amp;gt;"),CHAR(34),"&amp;quot;"),"'","&amp;apos;"))</f>
        <v/>
      </c>
      <c r="R90" s="2" t="str">
        <f>IF(Saisie_Questions!K90="","",SUBSTITUTE(SUBSTITUTE(SUBSTITUTE(SUBSTITUTE(SUBSTITUTE(Saisie_Questions!K90,"&amp;","&amp;amp;"),"&lt;","&amp;lt;"),"&gt;","&amp;gt;"),CHAR(34),"&amp;quot;"),"'","&amp;apos;"))</f>
        <v/>
      </c>
      <c r="S90" s="2" t="str">
        <f>IF(Saisie_Questions!L90="","",SUBSTITUTE(SUBSTITUTE(SUBSTITUTE(SUBSTITUTE(SUBSTITUTE(Saisie_Questions!L90,"&amp;","&amp;amp;"),"&lt;","&amp;lt;"),"&gt;","&amp;gt;"),CHAR(34),"&amp;quot;"),"'","&amp;apos;"))</f>
        <v/>
      </c>
      <c r="T90" s="2" t="b">
        <f t="shared" si="38"/>
        <v>0</v>
      </c>
      <c r="U90" s="2" t="b">
        <f t="shared" si="39"/>
        <v>0</v>
      </c>
      <c r="V90" s="2" t="b">
        <f t="shared" si="40"/>
        <v>0</v>
      </c>
      <c r="W90" s="2" t="b">
        <f t="shared" si="41"/>
        <v>0</v>
      </c>
      <c r="X90" s="2" t="b">
        <f t="shared" si="42"/>
        <v>0</v>
      </c>
      <c r="Y90" s="2" t="b">
        <f t="shared" si="43"/>
        <v>0</v>
      </c>
      <c r="Z90" s="2" t="b">
        <f t="shared" si="44"/>
        <v>0</v>
      </c>
      <c r="AA90" s="2" t="b">
        <f t="shared" si="45"/>
        <v>0</v>
      </c>
      <c r="AB90" s="2" t="str">
        <f t="shared" si="46"/>
        <v/>
      </c>
      <c r="AC90" s="2" t="str">
        <f t="shared" si="47"/>
        <v/>
      </c>
      <c r="AD90" s="2" t="str">
        <f t="shared" si="48"/>
        <v/>
      </c>
      <c r="AE90" s="2" t="str">
        <f t="shared" si="49"/>
        <v/>
      </c>
      <c r="AF90" s="2" t="str">
        <f t="shared" si="50"/>
        <v/>
      </c>
      <c r="AG90" s="2" t="str">
        <f t="shared" si="51"/>
        <v/>
      </c>
      <c r="AH90" s="2" t="str">
        <f t="shared" si="52"/>
        <v/>
      </c>
      <c r="AI90" s="2" t="str">
        <f t="shared" si="53"/>
        <v/>
      </c>
      <c r="AJ90" s="2" t="str">
        <f>IF($B90,IF(L90="","",IF($C90="qcu",IF(T90,"      &lt;respcondition continue=""Yes""&gt;&lt;conditionvar&gt;&lt;varequal respident=""RESPONSE""&gt;0&lt;/varequal&gt;&lt;/conditionvar&gt;&lt;setvar action=""Add""&gt;"&amp;$H90&amp;"&lt;/setvar&gt;&lt;/respcondition&gt;",""),IF(T90,"      &lt;respcondition continue=""Yes""&gt;&lt;conditionvar&gt;&lt;varequal respident=""RESPONSE""&gt;0&lt;/varequal&gt;&lt;/conditionvar&gt;&lt;setvar action=""Add""&gt;"&amp;(Saisie_Questions!$N90/$I90)&amp;"&lt;/setvar&gt;&lt;/respcondition&gt;","      &lt;respcondition continue=""Yes""&gt;&lt;conditionvar&gt;&lt;not&gt;&lt;varequal respident=""RESPONSE""&gt;0&lt;/varequal&gt;&lt;/not&gt;&lt;/conditionvar&gt;&lt;setvar action=""Add""&gt;"&amp;(Saisie_Questions!$N90/$I90)&amp;"&lt;/setvar&gt;&lt;/respcondition&gt;"))),"")</f>
        <v/>
      </c>
      <c r="AK90" s="2" t="str">
        <f>IF($B90,IF(M90="","",IF($C90="qcu",IF(U90,"      &lt;respcondition continue=""Yes""&gt;&lt;conditionvar&gt;&lt;varequal respident=""RESPONSE""&gt;1&lt;/varequal&gt;&lt;/conditionvar&gt;&lt;setvar action=""Add""&gt;"&amp;$H90&amp;"&lt;/setvar&gt;&lt;/respcondition&gt;",""),IF(U90,"      &lt;respcondition continue=""Yes""&gt;&lt;conditionvar&gt;&lt;varequal respident=""RESPONSE""&gt;1&lt;/varequal&gt;&lt;/conditionvar&gt;&lt;setvar action=""Add""&gt;"&amp;(Saisie_Questions!$N90/$I90)&amp;"&lt;/setvar&gt;&lt;/respcondition&gt;","      &lt;respcondition continue=""Yes""&gt;&lt;conditionvar&gt;&lt;not&gt;&lt;varequal respident=""RESPONSE""&gt;1&lt;/varequal&gt;&lt;/not&gt;&lt;/conditionvar&gt;&lt;setvar action=""Add""&gt;"&amp;(Saisie_Questions!$N90/$I90)&amp;"&lt;/setvar&gt;&lt;/respcondition&gt;"))),"")</f>
        <v/>
      </c>
      <c r="AL90" s="2" t="str">
        <f>IF($B90,IF(N90="","",IF($C90="qcu",IF(V90,"      &lt;respcondition continue=""Yes""&gt;&lt;conditionvar&gt;&lt;varequal respident=""RESPONSE""&gt;2&lt;/varequal&gt;&lt;/conditionvar&gt;&lt;setvar action=""Add""&gt;"&amp;$H90&amp;"&lt;/setvar&gt;&lt;/respcondition&gt;",""),IF(V90,"      &lt;respcondition continue=""Yes""&gt;&lt;conditionvar&gt;&lt;varequal respident=""RESPONSE""&gt;2&lt;/varequal&gt;&lt;/conditionvar&gt;&lt;setvar action=""Add""&gt;"&amp;(Saisie_Questions!$N90/$I90)&amp;"&lt;/setvar&gt;&lt;/respcondition&gt;","      &lt;respcondition continue=""Yes""&gt;&lt;conditionvar&gt;&lt;not&gt;&lt;varequal respident=""RESPONSE""&gt;2&lt;/varequal&gt;&lt;/not&gt;&lt;/conditionvar&gt;&lt;setvar action=""Add""&gt;"&amp;(Saisie_Questions!$N90/$I90)&amp;"&lt;/setvar&gt;&lt;/respcondition&gt;"))),"")</f>
        <v/>
      </c>
      <c r="AM90" s="2" t="str">
        <f>IF($B90,IF(O90="","",IF($C90="qcu",IF(W90,"      &lt;respcondition continue=""Yes""&gt;&lt;conditionvar&gt;&lt;varequal respident=""RESPONSE""&gt;3&lt;/varequal&gt;&lt;/conditionvar&gt;&lt;setvar action=""Add""&gt;"&amp;$H90&amp;"&lt;/setvar&gt;&lt;/respcondition&gt;",""),IF(W90,"      &lt;respcondition continue=""Yes""&gt;&lt;conditionvar&gt;&lt;varequal respident=""RESPONSE""&gt;3&lt;/varequal&gt;&lt;/conditionvar&gt;&lt;setvar action=""Add""&gt;"&amp;(Saisie_Questions!$N90/$I90)&amp;"&lt;/setvar&gt;&lt;/respcondition&gt;","      &lt;respcondition continue=""Yes""&gt;&lt;conditionvar&gt;&lt;not&gt;&lt;varequal respident=""RESPONSE""&gt;3&lt;/varequal&gt;&lt;/not&gt;&lt;/conditionvar&gt;&lt;setvar action=""Add""&gt;"&amp;(Saisie_Questions!$N90/$I90)&amp;"&lt;/setvar&gt;&lt;/respcondition&gt;"))),"")</f>
        <v/>
      </c>
      <c r="AN90" s="2" t="str">
        <f>IF($B90,IF(P90="","",IF($C90="qcu",IF(X90,"      &lt;respcondition continue=""Yes""&gt;&lt;conditionvar&gt;&lt;varequal respident=""RESPONSE""&gt;4&lt;/varequal&gt;&lt;/conditionvar&gt;&lt;setvar action=""Add""&gt;"&amp;$H90&amp;"&lt;/setvar&gt;&lt;/respcondition&gt;",""),IF(X90,"      &lt;respcondition continue=""Yes""&gt;&lt;conditionvar&gt;&lt;varequal respident=""RESPONSE""&gt;4&lt;/varequal&gt;&lt;/conditionvar&gt;&lt;setvar action=""Add""&gt;"&amp;(Saisie_Questions!$N90/$I90)&amp;"&lt;/setvar&gt;&lt;/respcondition&gt;","      &lt;respcondition continue=""Yes""&gt;&lt;conditionvar&gt;&lt;not&gt;&lt;varequal respident=""RESPONSE""&gt;4&lt;/varequal&gt;&lt;/not&gt;&lt;/conditionvar&gt;&lt;setvar action=""Add""&gt;"&amp;(Saisie_Questions!$N90/$I90)&amp;"&lt;/setvar&gt;&lt;/respcondition&gt;"))),"")</f>
        <v/>
      </c>
      <c r="AO90" s="2" t="str">
        <f>IF($B90,IF(Q90="","",IF($C90="qcu",IF(Y90,"      &lt;respcondition continue=""Yes""&gt;&lt;conditionvar&gt;&lt;varequal respident=""RESPONSE""&gt;5&lt;/varequal&gt;&lt;/conditionvar&gt;&lt;setvar action=""Add""&gt;"&amp;$H90&amp;"&lt;/setvar&gt;&lt;/respcondition&gt;",""),IF(Y90,"      &lt;respcondition continue=""Yes""&gt;&lt;conditionvar&gt;&lt;varequal respident=""RESPONSE""&gt;5&lt;/varequal&gt;&lt;/conditionvar&gt;&lt;setvar action=""Add""&gt;"&amp;(Saisie_Questions!$N90/$I90)&amp;"&lt;/setvar&gt;&lt;/respcondition&gt;","      &lt;respcondition continue=""Yes""&gt;&lt;conditionvar&gt;&lt;not&gt;&lt;varequal respident=""RESPONSE""&gt;5&lt;/varequal&gt;&lt;/not&gt;&lt;/conditionvar&gt;&lt;setvar action=""Add""&gt;"&amp;(Saisie_Questions!$N90/$I90)&amp;"&lt;/setvar&gt;&lt;/respcondition&gt;"))),"")</f>
        <v/>
      </c>
      <c r="AP90" s="2" t="str">
        <f>IF($B90,IF(R90="","",IF($C90="qcu",IF(Z90,"      &lt;respcondition continue=""Yes""&gt;&lt;conditionvar&gt;&lt;varequal respident=""RESPONSE""&gt;6&lt;/varequal&gt;&lt;/conditionvar&gt;&lt;setvar action=""Add""&gt;"&amp;$H90&amp;"&lt;/setvar&gt;&lt;/respcondition&gt;",""),IF(Z90,"      &lt;respcondition continue=""Yes""&gt;&lt;conditionvar&gt;&lt;varequal respident=""RESPONSE""&gt;6&lt;/varequal&gt;&lt;/conditionvar&gt;&lt;setvar action=""Add""&gt;"&amp;(Saisie_Questions!$N90/$I90)&amp;"&lt;/setvar&gt;&lt;/respcondition&gt;","      &lt;respcondition continue=""Yes""&gt;&lt;conditionvar&gt;&lt;not&gt;&lt;varequal respident=""RESPONSE""&gt;6&lt;/varequal&gt;&lt;/not&gt;&lt;/conditionvar&gt;&lt;setvar action=""Add""&gt;"&amp;(Saisie_Questions!$N90/$I90)&amp;"&lt;/setvar&gt;&lt;/respcondition&gt;"))),"")</f>
        <v/>
      </c>
      <c r="AQ90" s="2" t="str">
        <f>IF($B90,IF(S90="","",IF($C90="qcu",IF(AA90,"      &lt;respcondition continue=""Yes""&gt;&lt;conditionvar&gt;&lt;varequal respident=""RESPONSE""&gt;7&lt;/varequal&gt;&lt;/conditionvar&gt;&lt;setvar action=""Add""&gt;"&amp;$H90&amp;"&lt;/setvar&gt;&lt;/respcondition&gt;",""),IF(AA90,"      &lt;respcondition continue=""Yes""&gt;&lt;conditionvar&gt;&lt;varequal respident=""RESPONSE""&gt;7&lt;/varequal&gt;&lt;/conditionvar&gt;&lt;setvar action=""Add""&gt;"&amp;(Saisie_Questions!$N90/$I90)&amp;"&lt;/setvar&gt;&lt;/respcondition&gt;","      &lt;respcondition continue=""Yes""&gt;&lt;conditionvar&gt;&lt;not&gt;&lt;varequal respident=""RESPONSE""&gt;7&lt;/varequal&gt;&lt;/not&gt;&lt;/conditionvar&gt;&lt;setvar action=""Add""&gt;"&amp;(Saisie_Questions!$N90/$I90)&amp;"&lt;/setvar&gt;&lt;/respcondition&gt;"))),"")</f>
        <v/>
      </c>
    </row>
    <row r="91" spans="1:43" ht="18" customHeight="1">
      <c r="A91" s="2" t="str">
        <f>Saisie_Questions!A91</f>
        <v/>
      </c>
      <c r="B91" s="2" t="b">
        <f>Saisie_Questions!O91="OK"</f>
        <v>0</v>
      </c>
      <c r="C91" s="2" t="str">
        <f>LOWER(TRIM(Saisie_Questions!B91))</f>
        <v/>
      </c>
      <c r="D91" s="2" t="str">
        <f t="shared" si="36"/>
        <v>MULTIPLE CHOICE QUESTION</v>
      </c>
      <c r="E91" s="2" t="str">
        <f t="shared" si="37"/>
        <v>Multiple</v>
      </c>
      <c r="F91" s="2" t="str">
        <f>IF(A91="","",SUBSTITUTE(SUBSTITUTE(SUBSTITUTE(SUBSTITUTE(SUBSTITUTE(IF(Saisie_Questions!C91="", "Question "&amp;A91, Saisie_Questions!C91),"&amp;","&amp;amp;"),"&lt;","&amp;lt;"),"&gt;","&amp;gt;"),CHAR(34),"&amp;quot;"),"'","&amp;apos;"))</f>
        <v/>
      </c>
      <c r="G91" s="2" t="str">
        <f>IF(A91="","",SUBSTITUTE(SUBSTITUTE(SUBSTITUTE(SUBSTITUTE(SUBSTITUTE(Saisie_Questions!D91,"&amp;","&amp;amp;"),"&lt;","&amp;lt;"),"&gt;","&amp;gt;"),CHAR(34),"&amp;quot;"),"'","&amp;apos;"))</f>
        <v/>
      </c>
      <c r="H91" s="2">
        <f>Saisie_Questions!N91</f>
        <v>0</v>
      </c>
      <c r="I91" s="2">
        <f>IF(Saisie_Questions!E91="",0,1)+IF(Saisie_Questions!F91="",0,1)+IF(Saisie_Questions!G91="",0,1)+IF(Saisie_Questions!H91="",0,1)+IF(Saisie_Questions!I91="",0,1)+IF(Saisie_Questions!J91="",0,1)+IF(Saisie_Questions!K91="",0,1)+IF(Saisie_Questions!L91="",0,1)</f>
        <v>0</v>
      </c>
      <c r="J91" s="2">
        <f>Saisie_Questions!M91</f>
        <v>0</v>
      </c>
      <c r="K91" s="2" t="str">
        <f>Saisie_Questions!O91</f>
        <v/>
      </c>
      <c r="L91" s="2" t="str">
        <f>IF(Saisie_Questions!E91="","",SUBSTITUTE(SUBSTITUTE(SUBSTITUTE(SUBSTITUTE(SUBSTITUTE(Saisie_Questions!E91,"&amp;","&amp;amp;"),"&lt;","&amp;lt;"),"&gt;","&amp;gt;"),CHAR(34),"&amp;quot;"),"'","&amp;apos;"))</f>
        <v/>
      </c>
      <c r="M91" s="2" t="str">
        <f>IF(Saisie_Questions!F91="","",SUBSTITUTE(SUBSTITUTE(SUBSTITUTE(SUBSTITUTE(SUBSTITUTE(Saisie_Questions!F91,"&amp;","&amp;amp;"),"&lt;","&amp;lt;"),"&gt;","&amp;gt;"),CHAR(34),"&amp;quot;"),"'","&amp;apos;"))</f>
        <v/>
      </c>
      <c r="N91" s="2" t="str">
        <f>IF(Saisie_Questions!G91="","",SUBSTITUTE(SUBSTITUTE(SUBSTITUTE(SUBSTITUTE(SUBSTITUTE(Saisie_Questions!G91,"&amp;","&amp;amp;"),"&lt;","&amp;lt;"),"&gt;","&amp;gt;"),CHAR(34),"&amp;quot;"),"'","&amp;apos;"))</f>
        <v/>
      </c>
      <c r="O91" s="2" t="str">
        <f>IF(Saisie_Questions!H91="","",SUBSTITUTE(SUBSTITUTE(SUBSTITUTE(SUBSTITUTE(SUBSTITUTE(Saisie_Questions!H91,"&amp;","&amp;amp;"),"&lt;","&amp;lt;"),"&gt;","&amp;gt;"),CHAR(34),"&amp;quot;"),"'","&amp;apos;"))</f>
        <v/>
      </c>
      <c r="P91" s="2" t="str">
        <f>IF(Saisie_Questions!I91="","",SUBSTITUTE(SUBSTITUTE(SUBSTITUTE(SUBSTITUTE(SUBSTITUTE(Saisie_Questions!I91,"&amp;","&amp;amp;"),"&lt;","&amp;lt;"),"&gt;","&amp;gt;"),CHAR(34),"&amp;quot;"),"'","&amp;apos;"))</f>
        <v/>
      </c>
      <c r="Q91" s="2" t="str">
        <f>IF(Saisie_Questions!J91="","",SUBSTITUTE(SUBSTITUTE(SUBSTITUTE(SUBSTITUTE(SUBSTITUTE(Saisie_Questions!J91,"&amp;","&amp;amp;"),"&lt;","&amp;lt;"),"&gt;","&amp;gt;"),CHAR(34),"&amp;quot;"),"'","&amp;apos;"))</f>
        <v/>
      </c>
      <c r="R91" s="2" t="str">
        <f>IF(Saisie_Questions!K91="","",SUBSTITUTE(SUBSTITUTE(SUBSTITUTE(SUBSTITUTE(SUBSTITUTE(Saisie_Questions!K91,"&amp;","&amp;amp;"),"&lt;","&amp;lt;"),"&gt;","&amp;gt;"),CHAR(34),"&amp;quot;"),"'","&amp;apos;"))</f>
        <v/>
      </c>
      <c r="S91" s="2" t="str">
        <f>IF(Saisie_Questions!L91="","",SUBSTITUTE(SUBSTITUTE(SUBSTITUTE(SUBSTITUTE(SUBSTITUTE(Saisie_Questions!L91,"&amp;","&amp;amp;"),"&lt;","&amp;lt;"),"&gt;","&amp;gt;"),CHAR(34),"&amp;quot;"),"'","&amp;apos;"))</f>
        <v/>
      </c>
      <c r="T91" s="2" t="b">
        <f t="shared" si="38"/>
        <v>0</v>
      </c>
      <c r="U91" s="2" t="b">
        <f t="shared" si="39"/>
        <v>0</v>
      </c>
      <c r="V91" s="2" t="b">
        <f t="shared" si="40"/>
        <v>0</v>
      </c>
      <c r="W91" s="2" t="b">
        <f t="shared" si="41"/>
        <v>0</v>
      </c>
      <c r="X91" s="2" t="b">
        <f t="shared" si="42"/>
        <v>0</v>
      </c>
      <c r="Y91" s="2" t="b">
        <f t="shared" si="43"/>
        <v>0</v>
      </c>
      <c r="Z91" s="2" t="b">
        <f t="shared" si="44"/>
        <v>0</v>
      </c>
      <c r="AA91" s="2" t="b">
        <f t="shared" si="45"/>
        <v>0</v>
      </c>
      <c r="AB91" s="2" t="str">
        <f t="shared" si="46"/>
        <v/>
      </c>
      <c r="AC91" s="2" t="str">
        <f t="shared" si="47"/>
        <v/>
      </c>
      <c r="AD91" s="2" t="str">
        <f t="shared" si="48"/>
        <v/>
      </c>
      <c r="AE91" s="2" t="str">
        <f t="shared" si="49"/>
        <v/>
      </c>
      <c r="AF91" s="2" t="str">
        <f t="shared" si="50"/>
        <v/>
      </c>
      <c r="AG91" s="2" t="str">
        <f t="shared" si="51"/>
        <v/>
      </c>
      <c r="AH91" s="2" t="str">
        <f t="shared" si="52"/>
        <v/>
      </c>
      <c r="AI91" s="2" t="str">
        <f t="shared" si="53"/>
        <v/>
      </c>
      <c r="AJ91" s="2" t="str">
        <f>IF($B91,IF(L91="","",IF($C91="qcu",IF(T91,"      &lt;respcondition continue=""Yes""&gt;&lt;conditionvar&gt;&lt;varequal respident=""RESPONSE""&gt;0&lt;/varequal&gt;&lt;/conditionvar&gt;&lt;setvar action=""Add""&gt;"&amp;$H91&amp;"&lt;/setvar&gt;&lt;/respcondition&gt;",""),IF(T91,"      &lt;respcondition continue=""Yes""&gt;&lt;conditionvar&gt;&lt;varequal respident=""RESPONSE""&gt;0&lt;/varequal&gt;&lt;/conditionvar&gt;&lt;setvar action=""Add""&gt;"&amp;(Saisie_Questions!$N91/$I91)&amp;"&lt;/setvar&gt;&lt;/respcondition&gt;","      &lt;respcondition continue=""Yes""&gt;&lt;conditionvar&gt;&lt;not&gt;&lt;varequal respident=""RESPONSE""&gt;0&lt;/varequal&gt;&lt;/not&gt;&lt;/conditionvar&gt;&lt;setvar action=""Add""&gt;"&amp;(Saisie_Questions!$N91/$I91)&amp;"&lt;/setvar&gt;&lt;/respcondition&gt;"))),"")</f>
        <v/>
      </c>
      <c r="AK91" s="2" t="str">
        <f>IF($B91,IF(M91="","",IF($C91="qcu",IF(U91,"      &lt;respcondition continue=""Yes""&gt;&lt;conditionvar&gt;&lt;varequal respident=""RESPONSE""&gt;1&lt;/varequal&gt;&lt;/conditionvar&gt;&lt;setvar action=""Add""&gt;"&amp;$H91&amp;"&lt;/setvar&gt;&lt;/respcondition&gt;",""),IF(U91,"      &lt;respcondition continue=""Yes""&gt;&lt;conditionvar&gt;&lt;varequal respident=""RESPONSE""&gt;1&lt;/varequal&gt;&lt;/conditionvar&gt;&lt;setvar action=""Add""&gt;"&amp;(Saisie_Questions!$N91/$I91)&amp;"&lt;/setvar&gt;&lt;/respcondition&gt;","      &lt;respcondition continue=""Yes""&gt;&lt;conditionvar&gt;&lt;not&gt;&lt;varequal respident=""RESPONSE""&gt;1&lt;/varequal&gt;&lt;/not&gt;&lt;/conditionvar&gt;&lt;setvar action=""Add""&gt;"&amp;(Saisie_Questions!$N91/$I91)&amp;"&lt;/setvar&gt;&lt;/respcondition&gt;"))),"")</f>
        <v/>
      </c>
      <c r="AL91" s="2" t="str">
        <f>IF($B91,IF(N91="","",IF($C91="qcu",IF(V91,"      &lt;respcondition continue=""Yes""&gt;&lt;conditionvar&gt;&lt;varequal respident=""RESPONSE""&gt;2&lt;/varequal&gt;&lt;/conditionvar&gt;&lt;setvar action=""Add""&gt;"&amp;$H91&amp;"&lt;/setvar&gt;&lt;/respcondition&gt;",""),IF(V91,"      &lt;respcondition continue=""Yes""&gt;&lt;conditionvar&gt;&lt;varequal respident=""RESPONSE""&gt;2&lt;/varequal&gt;&lt;/conditionvar&gt;&lt;setvar action=""Add""&gt;"&amp;(Saisie_Questions!$N91/$I91)&amp;"&lt;/setvar&gt;&lt;/respcondition&gt;","      &lt;respcondition continue=""Yes""&gt;&lt;conditionvar&gt;&lt;not&gt;&lt;varequal respident=""RESPONSE""&gt;2&lt;/varequal&gt;&lt;/not&gt;&lt;/conditionvar&gt;&lt;setvar action=""Add""&gt;"&amp;(Saisie_Questions!$N91/$I91)&amp;"&lt;/setvar&gt;&lt;/respcondition&gt;"))),"")</f>
        <v/>
      </c>
      <c r="AM91" s="2" t="str">
        <f>IF($B91,IF(O91="","",IF($C91="qcu",IF(W91,"      &lt;respcondition continue=""Yes""&gt;&lt;conditionvar&gt;&lt;varequal respident=""RESPONSE""&gt;3&lt;/varequal&gt;&lt;/conditionvar&gt;&lt;setvar action=""Add""&gt;"&amp;$H91&amp;"&lt;/setvar&gt;&lt;/respcondition&gt;",""),IF(W91,"      &lt;respcondition continue=""Yes""&gt;&lt;conditionvar&gt;&lt;varequal respident=""RESPONSE""&gt;3&lt;/varequal&gt;&lt;/conditionvar&gt;&lt;setvar action=""Add""&gt;"&amp;(Saisie_Questions!$N91/$I91)&amp;"&lt;/setvar&gt;&lt;/respcondition&gt;","      &lt;respcondition continue=""Yes""&gt;&lt;conditionvar&gt;&lt;not&gt;&lt;varequal respident=""RESPONSE""&gt;3&lt;/varequal&gt;&lt;/not&gt;&lt;/conditionvar&gt;&lt;setvar action=""Add""&gt;"&amp;(Saisie_Questions!$N91/$I91)&amp;"&lt;/setvar&gt;&lt;/respcondition&gt;"))),"")</f>
        <v/>
      </c>
      <c r="AN91" s="2" t="str">
        <f>IF($B91,IF(P91="","",IF($C91="qcu",IF(X91,"      &lt;respcondition continue=""Yes""&gt;&lt;conditionvar&gt;&lt;varequal respident=""RESPONSE""&gt;4&lt;/varequal&gt;&lt;/conditionvar&gt;&lt;setvar action=""Add""&gt;"&amp;$H91&amp;"&lt;/setvar&gt;&lt;/respcondition&gt;",""),IF(X91,"      &lt;respcondition continue=""Yes""&gt;&lt;conditionvar&gt;&lt;varequal respident=""RESPONSE""&gt;4&lt;/varequal&gt;&lt;/conditionvar&gt;&lt;setvar action=""Add""&gt;"&amp;(Saisie_Questions!$N91/$I91)&amp;"&lt;/setvar&gt;&lt;/respcondition&gt;","      &lt;respcondition continue=""Yes""&gt;&lt;conditionvar&gt;&lt;not&gt;&lt;varequal respident=""RESPONSE""&gt;4&lt;/varequal&gt;&lt;/not&gt;&lt;/conditionvar&gt;&lt;setvar action=""Add""&gt;"&amp;(Saisie_Questions!$N91/$I91)&amp;"&lt;/setvar&gt;&lt;/respcondition&gt;"))),"")</f>
        <v/>
      </c>
      <c r="AO91" s="2" t="str">
        <f>IF($B91,IF(Q91="","",IF($C91="qcu",IF(Y91,"      &lt;respcondition continue=""Yes""&gt;&lt;conditionvar&gt;&lt;varequal respident=""RESPONSE""&gt;5&lt;/varequal&gt;&lt;/conditionvar&gt;&lt;setvar action=""Add""&gt;"&amp;$H91&amp;"&lt;/setvar&gt;&lt;/respcondition&gt;",""),IF(Y91,"      &lt;respcondition continue=""Yes""&gt;&lt;conditionvar&gt;&lt;varequal respident=""RESPONSE""&gt;5&lt;/varequal&gt;&lt;/conditionvar&gt;&lt;setvar action=""Add""&gt;"&amp;(Saisie_Questions!$N91/$I91)&amp;"&lt;/setvar&gt;&lt;/respcondition&gt;","      &lt;respcondition continue=""Yes""&gt;&lt;conditionvar&gt;&lt;not&gt;&lt;varequal respident=""RESPONSE""&gt;5&lt;/varequal&gt;&lt;/not&gt;&lt;/conditionvar&gt;&lt;setvar action=""Add""&gt;"&amp;(Saisie_Questions!$N91/$I91)&amp;"&lt;/setvar&gt;&lt;/respcondition&gt;"))),"")</f>
        <v/>
      </c>
      <c r="AP91" s="2" t="str">
        <f>IF($B91,IF(R91="","",IF($C91="qcu",IF(Z91,"      &lt;respcondition continue=""Yes""&gt;&lt;conditionvar&gt;&lt;varequal respident=""RESPONSE""&gt;6&lt;/varequal&gt;&lt;/conditionvar&gt;&lt;setvar action=""Add""&gt;"&amp;$H91&amp;"&lt;/setvar&gt;&lt;/respcondition&gt;",""),IF(Z91,"      &lt;respcondition continue=""Yes""&gt;&lt;conditionvar&gt;&lt;varequal respident=""RESPONSE""&gt;6&lt;/varequal&gt;&lt;/conditionvar&gt;&lt;setvar action=""Add""&gt;"&amp;(Saisie_Questions!$N91/$I91)&amp;"&lt;/setvar&gt;&lt;/respcondition&gt;","      &lt;respcondition continue=""Yes""&gt;&lt;conditionvar&gt;&lt;not&gt;&lt;varequal respident=""RESPONSE""&gt;6&lt;/varequal&gt;&lt;/not&gt;&lt;/conditionvar&gt;&lt;setvar action=""Add""&gt;"&amp;(Saisie_Questions!$N91/$I91)&amp;"&lt;/setvar&gt;&lt;/respcondition&gt;"))),"")</f>
        <v/>
      </c>
      <c r="AQ91" s="2" t="str">
        <f>IF($B91,IF(S91="","",IF($C91="qcu",IF(AA91,"      &lt;respcondition continue=""Yes""&gt;&lt;conditionvar&gt;&lt;varequal respident=""RESPONSE""&gt;7&lt;/varequal&gt;&lt;/conditionvar&gt;&lt;setvar action=""Add""&gt;"&amp;$H91&amp;"&lt;/setvar&gt;&lt;/respcondition&gt;",""),IF(AA91,"      &lt;respcondition continue=""Yes""&gt;&lt;conditionvar&gt;&lt;varequal respident=""RESPONSE""&gt;7&lt;/varequal&gt;&lt;/conditionvar&gt;&lt;setvar action=""Add""&gt;"&amp;(Saisie_Questions!$N91/$I91)&amp;"&lt;/setvar&gt;&lt;/respcondition&gt;","      &lt;respcondition continue=""Yes""&gt;&lt;conditionvar&gt;&lt;not&gt;&lt;varequal respident=""RESPONSE""&gt;7&lt;/varequal&gt;&lt;/not&gt;&lt;/conditionvar&gt;&lt;setvar action=""Add""&gt;"&amp;(Saisie_Questions!$N91/$I91)&amp;"&lt;/setvar&gt;&lt;/respcondition&gt;"))),"")</f>
        <v/>
      </c>
    </row>
    <row r="92" spans="1:43" ht="18" customHeight="1">
      <c r="A92" s="2" t="str">
        <f>Saisie_Questions!A92</f>
        <v/>
      </c>
      <c r="B92" s="2" t="b">
        <f>Saisie_Questions!O92="OK"</f>
        <v>0</v>
      </c>
      <c r="C92" s="2" t="str">
        <f>LOWER(TRIM(Saisie_Questions!B92))</f>
        <v/>
      </c>
      <c r="D92" s="2" t="str">
        <f t="shared" si="36"/>
        <v>MULTIPLE CHOICE QUESTION</v>
      </c>
      <c r="E92" s="2" t="str">
        <f t="shared" si="37"/>
        <v>Multiple</v>
      </c>
      <c r="F92" s="2" t="str">
        <f>IF(A92="","",SUBSTITUTE(SUBSTITUTE(SUBSTITUTE(SUBSTITUTE(SUBSTITUTE(IF(Saisie_Questions!C92="", "Question "&amp;A92, Saisie_Questions!C92),"&amp;","&amp;amp;"),"&lt;","&amp;lt;"),"&gt;","&amp;gt;"),CHAR(34),"&amp;quot;"),"'","&amp;apos;"))</f>
        <v/>
      </c>
      <c r="G92" s="2" t="str">
        <f>IF(A92="","",SUBSTITUTE(SUBSTITUTE(SUBSTITUTE(SUBSTITUTE(SUBSTITUTE(Saisie_Questions!D92,"&amp;","&amp;amp;"),"&lt;","&amp;lt;"),"&gt;","&amp;gt;"),CHAR(34),"&amp;quot;"),"'","&amp;apos;"))</f>
        <v/>
      </c>
      <c r="H92" s="2">
        <f>Saisie_Questions!N92</f>
        <v>0</v>
      </c>
      <c r="I92" s="2">
        <f>IF(Saisie_Questions!E92="",0,1)+IF(Saisie_Questions!F92="",0,1)+IF(Saisie_Questions!G92="",0,1)+IF(Saisie_Questions!H92="",0,1)+IF(Saisie_Questions!I92="",0,1)+IF(Saisie_Questions!J92="",0,1)+IF(Saisie_Questions!K92="",0,1)+IF(Saisie_Questions!L92="",0,1)</f>
        <v>0</v>
      </c>
      <c r="J92" s="2">
        <f>Saisie_Questions!M92</f>
        <v>0</v>
      </c>
      <c r="K92" s="2" t="str">
        <f>Saisie_Questions!O92</f>
        <v/>
      </c>
      <c r="L92" s="2" t="str">
        <f>IF(Saisie_Questions!E92="","",SUBSTITUTE(SUBSTITUTE(SUBSTITUTE(SUBSTITUTE(SUBSTITUTE(Saisie_Questions!E92,"&amp;","&amp;amp;"),"&lt;","&amp;lt;"),"&gt;","&amp;gt;"),CHAR(34),"&amp;quot;"),"'","&amp;apos;"))</f>
        <v/>
      </c>
      <c r="M92" s="2" t="str">
        <f>IF(Saisie_Questions!F92="","",SUBSTITUTE(SUBSTITUTE(SUBSTITUTE(SUBSTITUTE(SUBSTITUTE(Saisie_Questions!F92,"&amp;","&amp;amp;"),"&lt;","&amp;lt;"),"&gt;","&amp;gt;"),CHAR(34),"&amp;quot;"),"'","&amp;apos;"))</f>
        <v/>
      </c>
      <c r="N92" s="2" t="str">
        <f>IF(Saisie_Questions!G92="","",SUBSTITUTE(SUBSTITUTE(SUBSTITUTE(SUBSTITUTE(SUBSTITUTE(Saisie_Questions!G92,"&amp;","&amp;amp;"),"&lt;","&amp;lt;"),"&gt;","&amp;gt;"),CHAR(34),"&amp;quot;"),"'","&amp;apos;"))</f>
        <v/>
      </c>
      <c r="O92" s="2" t="str">
        <f>IF(Saisie_Questions!H92="","",SUBSTITUTE(SUBSTITUTE(SUBSTITUTE(SUBSTITUTE(SUBSTITUTE(Saisie_Questions!H92,"&amp;","&amp;amp;"),"&lt;","&amp;lt;"),"&gt;","&amp;gt;"),CHAR(34),"&amp;quot;"),"'","&amp;apos;"))</f>
        <v/>
      </c>
      <c r="P92" s="2" t="str">
        <f>IF(Saisie_Questions!I92="","",SUBSTITUTE(SUBSTITUTE(SUBSTITUTE(SUBSTITUTE(SUBSTITUTE(Saisie_Questions!I92,"&amp;","&amp;amp;"),"&lt;","&amp;lt;"),"&gt;","&amp;gt;"),CHAR(34),"&amp;quot;"),"'","&amp;apos;"))</f>
        <v/>
      </c>
      <c r="Q92" s="2" t="str">
        <f>IF(Saisie_Questions!J92="","",SUBSTITUTE(SUBSTITUTE(SUBSTITUTE(SUBSTITUTE(SUBSTITUTE(Saisie_Questions!J92,"&amp;","&amp;amp;"),"&lt;","&amp;lt;"),"&gt;","&amp;gt;"),CHAR(34),"&amp;quot;"),"'","&amp;apos;"))</f>
        <v/>
      </c>
      <c r="R92" s="2" t="str">
        <f>IF(Saisie_Questions!K92="","",SUBSTITUTE(SUBSTITUTE(SUBSTITUTE(SUBSTITUTE(SUBSTITUTE(Saisie_Questions!K92,"&amp;","&amp;amp;"),"&lt;","&amp;lt;"),"&gt;","&amp;gt;"),CHAR(34),"&amp;quot;"),"'","&amp;apos;"))</f>
        <v/>
      </c>
      <c r="S92" s="2" t="str">
        <f>IF(Saisie_Questions!L92="","",SUBSTITUTE(SUBSTITUTE(SUBSTITUTE(SUBSTITUTE(SUBSTITUTE(Saisie_Questions!L92,"&amp;","&amp;amp;"),"&lt;","&amp;lt;"),"&gt;","&amp;gt;"),CHAR(34),"&amp;quot;"),"'","&amp;apos;"))</f>
        <v/>
      </c>
      <c r="T92" s="2" t="b">
        <f t="shared" si="38"/>
        <v>0</v>
      </c>
      <c r="U92" s="2" t="b">
        <f t="shared" si="39"/>
        <v>0</v>
      </c>
      <c r="V92" s="2" t="b">
        <f t="shared" si="40"/>
        <v>0</v>
      </c>
      <c r="W92" s="2" t="b">
        <f t="shared" si="41"/>
        <v>0</v>
      </c>
      <c r="X92" s="2" t="b">
        <f t="shared" si="42"/>
        <v>0</v>
      </c>
      <c r="Y92" s="2" t="b">
        <f t="shared" si="43"/>
        <v>0</v>
      </c>
      <c r="Z92" s="2" t="b">
        <f t="shared" si="44"/>
        <v>0</v>
      </c>
      <c r="AA92" s="2" t="b">
        <f t="shared" si="45"/>
        <v>0</v>
      </c>
      <c r="AB92" s="2" t="str">
        <f t="shared" si="46"/>
        <v/>
      </c>
      <c r="AC92" s="2" t="str">
        <f t="shared" si="47"/>
        <v/>
      </c>
      <c r="AD92" s="2" t="str">
        <f t="shared" si="48"/>
        <v/>
      </c>
      <c r="AE92" s="2" t="str">
        <f t="shared" si="49"/>
        <v/>
      </c>
      <c r="AF92" s="2" t="str">
        <f t="shared" si="50"/>
        <v/>
      </c>
      <c r="AG92" s="2" t="str">
        <f t="shared" si="51"/>
        <v/>
      </c>
      <c r="AH92" s="2" t="str">
        <f t="shared" si="52"/>
        <v/>
      </c>
      <c r="AI92" s="2" t="str">
        <f t="shared" si="53"/>
        <v/>
      </c>
      <c r="AJ92" s="2" t="str">
        <f>IF($B92,IF(L92="","",IF($C92="qcu",IF(T92,"      &lt;respcondition continue=""Yes""&gt;&lt;conditionvar&gt;&lt;varequal respident=""RESPONSE""&gt;0&lt;/varequal&gt;&lt;/conditionvar&gt;&lt;setvar action=""Add""&gt;"&amp;$H92&amp;"&lt;/setvar&gt;&lt;/respcondition&gt;",""),IF(T92,"      &lt;respcondition continue=""Yes""&gt;&lt;conditionvar&gt;&lt;varequal respident=""RESPONSE""&gt;0&lt;/varequal&gt;&lt;/conditionvar&gt;&lt;setvar action=""Add""&gt;"&amp;(Saisie_Questions!$N92/$I92)&amp;"&lt;/setvar&gt;&lt;/respcondition&gt;","      &lt;respcondition continue=""Yes""&gt;&lt;conditionvar&gt;&lt;not&gt;&lt;varequal respident=""RESPONSE""&gt;0&lt;/varequal&gt;&lt;/not&gt;&lt;/conditionvar&gt;&lt;setvar action=""Add""&gt;"&amp;(Saisie_Questions!$N92/$I92)&amp;"&lt;/setvar&gt;&lt;/respcondition&gt;"))),"")</f>
        <v/>
      </c>
      <c r="AK92" s="2" t="str">
        <f>IF($B92,IF(M92="","",IF($C92="qcu",IF(U92,"      &lt;respcondition continue=""Yes""&gt;&lt;conditionvar&gt;&lt;varequal respident=""RESPONSE""&gt;1&lt;/varequal&gt;&lt;/conditionvar&gt;&lt;setvar action=""Add""&gt;"&amp;$H92&amp;"&lt;/setvar&gt;&lt;/respcondition&gt;",""),IF(U92,"      &lt;respcondition continue=""Yes""&gt;&lt;conditionvar&gt;&lt;varequal respident=""RESPONSE""&gt;1&lt;/varequal&gt;&lt;/conditionvar&gt;&lt;setvar action=""Add""&gt;"&amp;(Saisie_Questions!$N92/$I92)&amp;"&lt;/setvar&gt;&lt;/respcondition&gt;","      &lt;respcondition continue=""Yes""&gt;&lt;conditionvar&gt;&lt;not&gt;&lt;varequal respident=""RESPONSE""&gt;1&lt;/varequal&gt;&lt;/not&gt;&lt;/conditionvar&gt;&lt;setvar action=""Add""&gt;"&amp;(Saisie_Questions!$N92/$I92)&amp;"&lt;/setvar&gt;&lt;/respcondition&gt;"))),"")</f>
        <v/>
      </c>
      <c r="AL92" s="2" t="str">
        <f>IF($B92,IF(N92="","",IF($C92="qcu",IF(V92,"      &lt;respcondition continue=""Yes""&gt;&lt;conditionvar&gt;&lt;varequal respident=""RESPONSE""&gt;2&lt;/varequal&gt;&lt;/conditionvar&gt;&lt;setvar action=""Add""&gt;"&amp;$H92&amp;"&lt;/setvar&gt;&lt;/respcondition&gt;",""),IF(V92,"      &lt;respcondition continue=""Yes""&gt;&lt;conditionvar&gt;&lt;varequal respident=""RESPONSE""&gt;2&lt;/varequal&gt;&lt;/conditionvar&gt;&lt;setvar action=""Add""&gt;"&amp;(Saisie_Questions!$N92/$I92)&amp;"&lt;/setvar&gt;&lt;/respcondition&gt;","      &lt;respcondition continue=""Yes""&gt;&lt;conditionvar&gt;&lt;not&gt;&lt;varequal respident=""RESPONSE""&gt;2&lt;/varequal&gt;&lt;/not&gt;&lt;/conditionvar&gt;&lt;setvar action=""Add""&gt;"&amp;(Saisie_Questions!$N92/$I92)&amp;"&lt;/setvar&gt;&lt;/respcondition&gt;"))),"")</f>
        <v/>
      </c>
      <c r="AM92" s="2" t="str">
        <f>IF($B92,IF(O92="","",IF($C92="qcu",IF(W92,"      &lt;respcondition continue=""Yes""&gt;&lt;conditionvar&gt;&lt;varequal respident=""RESPONSE""&gt;3&lt;/varequal&gt;&lt;/conditionvar&gt;&lt;setvar action=""Add""&gt;"&amp;$H92&amp;"&lt;/setvar&gt;&lt;/respcondition&gt;",""),IF(W92,"      &lt;respcondition continue=""Yes""&gt;&lt;conditionvar&gt;&lt;varequal respident=""RESPONSE""&gt;3&lt;/varequal&gt;&lt;/conditionvar&gt;&lt;setvar action=""Add""&gt;"&amp;(Saisie_Questions!$N92/$I92)&amp;"&lt;/setvar&gt;&lt;/respcondition&gt;","      &lt;respcondition continue=""Yes""&gt;&lt;conditionvar&gt;&lt;not&gt;&lt;varequal respident=""RESPONSE""&gt;3&lt;/varequal&gt;&lt;/not&gt;&lt;/conditionvar&gt;&lt;setvar action=""Add""&gt;"&amp;(Saisie_Questions!$N92/$I92)&amp;"&lt;/setvar&gt;&lt;/respcondition&gt;"))),"")</f>
        <v/>
      </c>
      <c r="AN92" s="2" t="str">
        <f>IF($B92,IF(P92="","",IF($C92="qcu",IF(X92,"      &lt;respcondition continue=""Yes""&gt;&lt;conditionvar&gt;&lt;varequal respident=""RESPONSE""&gt;4&lt;/varequal&gt;&lt;/conditionvar&gt;&lt;setvar action=""Add""&gt;"&amp;$H92&amp;"&lt;/setvar&gt;&lt;/respcondition&gt;",""),IF(X92,"      &lt;respcondition continue=""Yes""&gt;&lt;conditionvar&gt;&lt;varequal respident=""RESPONSE""&gt;4&lt;/varequal&gt;&lt;/conditionvar&gt;&lt;setvar action=""Add""&gt;"&amp;(Saisie_Questions!$N92/$I92)&amp;"&lt;/setvar&gt;&lt;/respcondition&gt;","      &lt;respcondition continue=""Yes""&gt;&lt;conditionvar&gt;&lt;not&gt;&lt;varequal respident=""RESPONSE""&gt;4&lt;/varequal&gt;&lt;/not&gt;&lt;/conditionvar&gt;&lt;setvar action=""Add""&gt;"&amp;(Saisie_Questions!$N92/$I92)&amp;"&lt;/setvar&gt;&lt;/respcondition&gt;"))),"")</f>
        <v/>
      </c>
      <c r="AO92" s="2" t="str">
        <f>IF($B92,IF(Q92="","",IF($C92="qcu",IF(Y92,"      &lt;respcondition continue=""Yes""&gt;&lt;conditionvar&gt;&lt;varequal respident=""RESPONSE""&gt;5&lt;/varequal&gt;&lt;/conditionvar&gt;&lt;setvar action=""Add""&gt;"&amp;$H92&amp;"&lt;/setvar&gt;&lt;/respcondition&gt;",""),IF(Y92,"      &lt;respcondition continue=""Yes""&gt;&lt;conditionvar&gt;&lt;varequal respident=""RESPONSE""&gt;5&lt;/varequal&gt;&lt;/conditionvar&gt;&lt;setvar action=""Add""&gt;"&amp;(Saisie_Questions!$N92/$I92)&amp;"&lt;/setvar&gt;&lt;/respcondition&gt;","      &lt;respcondition continue=""Yes""&gt;&lt;conditionvar&gt;&lt;not&gt;&lt;varequal respident=""RESPONSE""&gt;5&lt;/varequal&gt;&lt;/not&gt;&lt;/conditionvar&gt;&lt;setvar action=""Add""&gt;"&amp;(Saisie_Questions!$N92/$I92)&amp;"&lt;/setvar&gt;&lt;/respcondition&gt;"))),"")</f>
        <v/>
      </c>
      <c r="AP92" s="2" t="str">
        <f>IF($B92,IF(R92="","",IF($C92="qcu",IF(Z92,"      &lt;respcondition continue=""Yes""&gt;&lt;conditionvar&gt;&lt;varequal respident=""RESPONSE""&gt;6&lt;/varequal&gt;&lt;/conditionvar&gt;&lt;setvar action=""Add""&gt;"&amp;$H92&amp;"&lt;/setvar&gt;&lt;/respcondition&gt;",""),IF(Z92,"      &lt;respcondition continue=""Yes""&gt;&lt;conditionvar&gt;&lt;varequal respident=""RESPONSE""&gt;6&lt;/varequal&gt;&lt;/conditionvar&gt;&lt;setvar action=""Add""&gt;"&amp;(Saisie_Questions!$N92/$I92)&amp;"&lt;/setvar&gt;&lt;/respcondition&gt;","      &lt;respcondition continue=""Yes""&gt;&lt;conditionvar&gt;&lt;not&gt;&lt;varequal respident=""RESPONSE""&gt;6&lt;/varequal&gt;&lt;/not&gt;&lt;/conditionvar&gt;&lt;setvar action=""Add""&gt;"&amp;(Saisie_Questions!$N92/$I92)&amp;"&lt;/setvar&gt;&lt;/respcondition&gt;"))),"")</f>
        <v/>
      </c>
      <c r="AQ92" s="2" t="str">
        <f>IF($B92,IF(S92="","",IF($C92="qcu",IF(AA92,"      &lt;respcondition continue=""Yes""&gt;&lt;conditionvar&gt;&lt;varequal respident=""RESPONSE""&gt;7&lt;/varequal&gt;&lt;/conditionvar&gt;&lt;setvar action=""Add""&gt;"&amp;$H92&amp;"&lt;/setvar&gt;&lt;/respcondition&gt;",""),IF(AA92,"      &lt;respcondition continue=""Yes""&gt;&lt;conditionvar&gt;&lt;varequal respident=""RESPONSE""&gt;7&lt;/varequal&gt;&lt;/conditionvar&gt;&lt;setvar action=""Add""&gt;"&amp;(Saisie_Questions!$N92/$I92)&amp;"&lt;/setvar&gt;&lt;/respcondition&gt;","      &lt;respcondition continue=""Yes""&gt;&lt;conditionvar&gt;&lt;not&gt;&lt;varequal respident=""RESPONSE""&gt;7&lt;/varequal&gt;&lt;/not&gt;&lt;/conditionvar&gt;&lt;setvar action=""Add""&gt;"&amp;(Saisie_Questions!$N92/$I92)&amp;"&lt;/setvar&gt;&lt;/respcondition&gt;"))),"")</f>
        <v/>
      </c>
    </row>
    <row r="93" spans="1:43" ht="18" customHeight="1">
      <c r="A93" s="2" t="str">
        <f>Saisie_Questions!A93</f>
        <v/>
      </c>
      <c r="B93" s="2" t="b">
        <f>Saisie_Questions!O93="OK"</f>
        <v>0</v>
      </c>
      <c r="C93" s="2" t="str">
        <f>LOWER(TRIM(Saisie_Questions!B93))</f>
        <v/>
      </c>
      <c r="D93" s="2" t="str">
        <f t="shared" si="36"/>
        <v>MULTIPLE CHOICE QUESTION</v>
      </c>
      <c r="E93" s="2" t="str">
        <f t="shared" si="37"/>
        <v>Multiple</v>
      </c>
      <c r="F93" s="2" t="str">
        <f>IF(A93="","",SUBSTITUTE(SUBSTITUTE(SUBSTITUTE(SUBSTITUTE(SUBSTITUTE(IF(Saisie_Questions!C93="", "Question "&amp;A93, Saisie_Questions!C93),"&amp;","&amp;amp;"),"&lt;","&amp;lt;"),"&gt;","&amp;gt;"),CHAR(34),"&amp;quot;"),"'","&amp;apos;"))</f>
        <v/>
      </c>
      <c r="G93" s="2" t="str">
        <f>IF(A93="","",SUBSTITUTE(SUBSTITUTE(SUBSTITUTE(SUBSTITUTE(SUBSTITUTE(Saisie_Questions!D93,"&amp;","&amp;amp;"),"&lt;","&amp;lt;"),"&gt;","&amp;gt;"),CHAR(34),"&amp;quot;"),"'","&amp;apos;"))</f>
        <v/>
      </c>
      <c r="H93" s="2">
        <f>Saisie_Questions!N93</f>
        <v>0</v>
      </c>
      <c r="I93" s="2">
        <f>IF(Saisie_Questions!E93="",0,1)+IF(Saisie_Questions!F93="",0,1)+IF(Saisie_Questions!G93="",0,1)+IF(Saisie_Questions!H93="",0,1)+IF(Saisie_Questions!I93="",0,1)+IF(Saisie_Questions!J93="",0,1)+IF(Saisie_Questions!K93="",0,1)+IF(Saisie_Questions!L93="",0,1)</f>
        <v>0</v>
      </c>
      <c r="J93" s="2">
        <f>Saisie_Questions!M93</f>
        <v>0</v>
      </c>
      <c r="K93" s="2" t="str">
        <f>Saisie_Questions!O93</f>
        <v/>
      </c>
      <c r="L93" s="2" t="str">
        <f>IF(Saisie_Questions!E93="","",SUBSTITUTE(SUBSTITUTE(SUBSTITUTE(SUBSTITUTE(SUBSTITUTE(Saisie_Questions!E93,"&amp;","&amp;amp;"),"&lt;","&amp;lt;"),"&gt;","&amp;gt;"),CHAR(34),"&amp;quot;"),"'","&amp;apos;"))</f>
        <v/>
      </c>
      <c r="M93" s="2" t="str">
        <f>IF(Saisie_Questions!F93="","",SUBSTITUTE(SUBSTITUTE(SUBSTITUTE(SUBSTITUTE(SUBSTITUTE(Saisie_Questions!F93,"&amp;","&amp;amp;"),"&lt;","&amp;lt;"),"&gt;","&amp;gt;"),CHAR(34),"&amp;quot;"),"'","&amp;apos;"))</f>
        <v/>
      </c>
      <c r="N93" s="2" t="str">
        <f>IF(Saisie_Questions!G93="","",SUBSTITUTE(SUBSTITUTE(SUBSTITUTE(SUBSTITUTE(SUBSTITUTE(Saisie_Questions!G93,"&amp;","&amp;amp;"),"&lt;","&amp;lt;"),"&gt;","&amp;gt;"),CHAR(34),"&amp;quot;"),"'","&amp;apos;"))</f>
        <v/>
      </c>
      <c r="O93" s="2" t="str">
        <f>IF(Saisie_Questions!H93="","",SUBSTITUTE(SUBSTITUTE(SUBSTITUTE(SUBSTITUTE(SUBSTITUTE(Saisie_Questions!H93,"&amp;","&amp;amp;"),"&lt;","&amp;lt;"),"&gt;","&amp;gt;"),CHAR(34),"&amp;quot;"),"'","&amp;apos;"))</f>
        <v/>
      </c>
      <c r="P93" s="2" t="str">
        <f>IF(Saisie_Questions!I93="","",SUBSTITUTE(SUBSTITUTE(SUBSTITUTE(SUBSTITUTE(SUBSTITUTE(Saisie_Questions!I93,"&amp;","&amp;amp;"),"&lt;","&amp;lt;"),"&gt;","&amp;gt;"),CHAR(34),"&amp;quot;"),"'","&amp;apos;"))</f>
        <v/>
      </c>
      <c r="Q93" s="2" t="str">
        <f>IF(Saisie_Questions!J93="","",SUBSTITUTE(SUBSTITUTE(SUBSTITUTE(SUBSTITUTE(SUBSTITUTE(Saisie_Questions!J93,"&amp;","&amp;amp;"),"&lt;","&amp;lt;"),"&gt;","&amp;gt;"),CHAR(34),"&amp;quot;"),"'","&amp;apos;"))</f>
        <v/>
      </c>
      <c r="R93" s="2" t="str">
        <f>IF(Saisie_Questions!K93="","",SUBSTITUTE(SUBSTITUTE(SUBSTITUTE(SUBSTITUTE(SUBSTITUTE(Saisie_Questions!K93,"&amp;","&amp;amp;"),"&lt;","&amp;lt;"),"&gt;","&amp;gt;"),CHAR(34),"&amp;quot;"),"'","&amp;apos;"))</f>
        <v/>
      </c>
      <c r="S93" s="2" t="str">
        <f>IF(Saisie_Questions!L93="","",SUBSTITUTE(SUBSTITUTE(SUBSTITUTE(SUBSTITUTE(SUBSTITUTE(Saisie_Questions!L93,"&amp;","&amp;amp;"),"&lt;","&amp;lt;"),"&gt;","&amp;gt;"),CHAR(34),"&amp;quot;"),"'","&amp;apos;"))</f>
        <v/>
      </c>
      <c r="T93" s="2" t="b">
        <f t="shared" si="38"/>
        <v>0</v>
      </c>
      <c r="U93" s="2" t="b">
        <f t="shared" si="39"/>
        <v>0</v>
      </c>
      <c r="V93" s="2" t="b">
        <f t="shared" si="40"/>
        <v>0</v>
      </c>
      <c r="W93" s="2" t="b">
        <f t="shared" si="41"/>
        <v>0</v>
      </c>
      <c r="X93" s="2" t="b">
        <f t="shared" si="42"/>
        <v>0</v>
      </c>
      <c r="Y93" s="2" t="b">
        <f t="shared" si="43"/>
        <v>0</v>
      </c>
      <c r="Z93" s="2" t="b">
        <f t="shared" si="44"/>
        <v>0</v>
      </c>
      <c r="AA93" s="2" t="b">
        <f t="shared" si="45"/>
        <v>0</v>
      </c>
      <c r="AB93" s="2" t="str">
        <f t="shared" si="46"/>
        <v/>
      </c>
      <c r="AC93" s="2" t="str">
        <f t="shared" si="47"/>
        <v/>
      </c>
      <c r="AD93" s="2" t="str">
        <f t="shared" si="48"/>
        <v/>
      </c>
      <c r="AE93" s="2" t="str">
        <f t="shared" si="49"/>
        <v/>
      </c>
      <c r="AF93" s="2" t="str">
        <f t="shared" si="50"/>
        <v/>
      </c>
      <c r="AG93" s="2" t="str">
        <f t="shared" si="51"/>
        <v/>
      </c>
      <c r="AH93" s="2" t="str">
        <f t="shared" si="52"/>
        <v/>
      </c>
      <c r="AI93" s="2" t="str">
        <f t="shared" si="53"/>
        <v/>
      </c>
      <c r="AJ93" s="2" t="str">
        <f>IF($B93,IF(L93="","",IF($C93="qcu",IF(T93,"      &lt;respcondition continue=""Yes""&gt;&lt;conditionvar&gt;&lt;varequal respident=""RESPONSE""&gt;0&lt;/varequal&gt;&lt;/conditionvar&gt;&lt;setvar action=""Add""&gt;"&amp;$H93&amp;"&lt;/setvar&gt;&lt;/respcondition&gt;",""),IF(T93,"      &lt;respcondition continue=""Yes""&gt;&lt;conditionvar&gt;&lt;varequal respident=""RESPONSE""&gt;0&lt;/varequal&gt;&lt;/conditionvar&gt;&lt;setvar action=""Add""&gt;"&amp;(Saisie_Questions!$N93/$I93)&amp;"&lt;/setvar&gt;&lt;/respcondition&gt;","      &lt;respcondition continue=""Yes""&gt;&lt;conditionvar&gt;&lt;not&gt;&lt;varequal respident=""RESPONSE""&gt;0&lt;/varequal&gt;&lt;/not&gt;&lt;/conditionvar&gt;&lt;setvar action=""Add""&gt;"&amp;(Saisie_Questions!$N93/$I93)&amp;"&lt;/setvar&gt;&lt;/respcondition&gt;"))),"")</f>
        <v/>
      </c>
      <c r="AK93" s="2" t="str">
        <f>IF($B93,IF(M93="","",IF($C93="qcu",IF(U93,"      &lt;respcondition continue=""Yes""&gt;&lt;conditionvar&gt;&lt;varequal respident=""RESPONSE""&gt;1&lt;/varequal&gt;&lt;/conditionvar&gt;&lt;setvar action=""Add""&gt;"&amp;$H93&amp;"&lt;/setvar&gt;&lt;/respcondition&gt;",""),IF(U93,"      &lt;respcondition continue=""Yes""&gt;&lt;conditionvar&gt;&lt;varequal respident=""RESPONSE""&gt;1&lt;/varequal&gt;&lt;/conditionvar&gt;&lt;setvar action=""Add""&gt;"&amp;(Saisie_Questions!$N93/$I93)&amp;"&lt;/setvar&gt;&lt;/respcondition&gt;","      &lt;respcondition continue=""Yes""&gt;&lt;conditionvar&gt;&lt;not&gt;&lt;varequal respident=""RESPONSE""&gt;1&lt;/varequal&gt;&lt;/not&gt;&lt;/conditionvar&gt;&lt;setvar action=""Add""&gt;"&amp;(Saisie_Questions!$N93/$I93)&amp;"&lt;/setvar&gt;&lt;/respcondition&gt;"))),"")</f>
        <v/>
      </c>
      <c r="AL93" s="2" t="str">
        <f>IF($B93,IF(N93="","",IF($C93="qcu",IF(V93,"      &lt;respcondition continue=""Yes""&gt;&lt;conditionvar&gt;&lt;varequal respident=""RESPONSE""&gt;2&lt;/varequal&gt;&lt;/conditionvar&gt;&lt;setvar action=""Add""&gt;"&amp;$H93&amp;"&lt;/setvar&gt;&lt;/respcondition&gt;",""),IF(V93,"      &lt;respcondition continue=""Yes""&gt;&lt;conditionvar&gt;&lt;varequal respident=""RESPONSE""&gt;2&lt;/varequal&gt;&lt;/conditionvar&gt;&lt;setvar action=""Add""&gt;"&amp;(Saisie_Questions!$N93/$I93)&amp;"&lt;/setvar&gt;&lt;/respcondition&gt;","      &lt;respcondition continue=""Yes""&gt;&lt;conditionvar&gt;&lt;not&gt;&lt;varequal respident=""RESPONSE""&gt;2&lt;/varequal&gt;&lt;/not&gt;&lt;/conditionvar&gt;&lt;setvar action=""Add""&gt;"&amp;(Saisie_Questions!$N93/$I93)&amp;"&lt;/setvar&gt;&lt;/respcondition&gt;"))),"")</f>
        <v/>
      </c>
      <c r="AM93" s="2" t="str">
        <f>IF($B93,IF(O93="","",IF($C93="qcu",IF(W93,"      &lt;respcondition continue=""Yes""&gt;&lt;conditionvar&gt;&lt;varequal respident=""RESPONSE""&gt;3&lt;/varequal&gt;&lt;/conditionvar&gt;&lt;setvar action=""Add""&gt;"&amp;$H93&amp;"&lt;/setvar&gt;&lt;/respcondition&gt;",""),IF(W93,"      &lt;respcondition continue=""Yes""&gt;&lt;conditionvar&gt;&lt;varequal respident=""RESPONSE""&gt;3&lt;/varequal&gt;&lt;/conditionvar&gt;&lt;setvar action=""Add""&gt;"&amp;(Saisie_Questions!$N93/$I93)&amp;"&lt;/setvar&gt;&lt;/respcondition&gt;","      &lt;respcondition continue=""Yes""&gt;&lt;conditionvar&gt;&lt;not&gt;&lt;varequal respident=""RESPONSE""&gt;3&lt;/varequal&gt;&lt;/not&gt;&lt;/conditionvar&gt;&lt;setvar action=""Add""&gt;"&amp;(Saisie_Questions!$N93/$I93)&amp;"&lt;/setvar&gt;&lt;/respcondition&gt;"))),"")</f>
        <v/>
      </c>
      <c r="AN93" s="2" t="str">
        <f>IF($B93,IF(P93="","",IF($C93="qcu",IF(X93,"      &lt;respcondition continue=""Yes""&gt;&lt;conditionvar&gt;&lt;varequal respident=""RESPONSE""&gt;4&lt;/varequal&gt;&lt;/conditionvar&gt;&lt;setvar action=""Add""&gt;"&amp;$H93&amp;"&lt;/setvar&gt;&lt;/respcondition&gt;",""),IF(X93,"      &lt;respcondition continue=""Yes""&gt;&lt;conditionvar&gt;&lt;varequal respident=""RESPONSE""&gt;4&lt;/varequal&gt;&lt;/conditionvar&gt;&lt;setvar action=""Add""&gt;"&amp;(Saisie_Questions!$N93/$I93)&amp;"&lt;/setvar&gt;&lt;/respcondition&gt;","      &lt;respcondition continue=""Yes""&gt;&lt;conditionvar&gt;&lt;not&gt;&lt;varequal respident=""RESPONSE""&gt;4&lt;/varequal&gt;&lt;/not&gt;&lt;/conditionvar&gt;&lt;setvar action=""Add""&gt;"&amp;(Saisie_Questions!$N93/$I93)&amp;"&lt;/setvar&gt;&lt;/respcondition&gt;"))),"")</f>
        <v/>
      </c>
      <c r="AO93" s="2" t="str">
        <f>IF($B93,IF(Q93="","",IF($C93="qcu",IF(Y93,"      &lt;respcondition continue=""Yes""&gt;&lt;conditionvar&gt;&lt;varequal respident=""RESPONSE""&gt;5&lt;/varequal&gt;&lt;/conditionvar&gt;&lt;setvar action=""Add""&gt;"&amp;$H93&amp;"&lt;/setvar&gt;&lt;/respcondition&gt;",""),IF(Y93,"      &lt;respcondition continue=""Yes""&gt;&lt;conditionvar&gt;&lt;varequal respident=""RESPONSE""&gt;5&lt;/varequal&gt;&lt;/conditionvar&gt;&lt;setvar action=""Add""&gt;"&amp;(Saisie_Questions!$N93/$I93)&amp;"&lt;/setvar&gt;&lt;/respcondition&gt;","      &lt;respcondition continue=""Yes""&gt;&lt;conditionvar&gt;&lt;not&gt;&lt;varequal respident=""RESPONSE""&gt;5&lt;/varequal&gt;&lt;/not&gt;&lt;/conditionvar&gt;&lt;setvar action=""Add""&gt;"&amp;(Saisie_Questions!$N93/$I93)&amp;"&lt;/setvar&gt;&lt;/respcondition&gt;"))),"")</f>
        <v/>
      </c>
      <c r="AP93" s="2" t="str">
        <f>IF($B93,IF(R93="","",IF($C93="qcu",IF(Z93,"      &lt;respcondition continue=""Yes""&gt;&lt;conditionvar&gt;&lt;varequal respident=""RESPONSE""&gt;6&lt;/varequal&gt;&lt;/conditionvar&gt;&lt;setvar action=""Add""&gt;"&amp;$H93&amp;"&lt;/setvar&gt;&lt;/respcondition&gt;",""),IF(Z93,"      &lt;respcondition continue=""Yes""&gt;&lt;conditionvar&gt;&lt;varequal respident=""RESPONSE""&gt;6&lt;/varequal&gt;&lt;/conditionvar&gt;&lt;setvar action=""Add""&gt;"&amp;(Saisie_Questions!$N93/$I93)&amp;"&lt;/setvar&gt;&lt;/respcondition&gt;","      &lt;respcondition continue=""Yes""&gt;&lt;conditionvar&gt;&lt;not&gt;&lt;varequal respident=""RESPONSE""&gt;6&lt;/varequal&gt;&lt;/not&gt;&lt;/conditionvar&gt;&lt;setvar action=""Add""&gt;"&amp;(Saisie_Questions!$N93/$I93)&amp;"&lt;/setvar&gt;&lt;/respcondition&gt;"))),"")</f>
        <v/>
      </c>
      <c r="AQ93" s="2" t="str">
        <f>IF($B93,IF(S93="","",IF($C93="qcu",IF(AA93,"      &lt;respcondition continue=""Yes""&gt;&lt;conditionvar&gt;&lt;varequal respident=""RESPONSE""&gt;7&lt;/varequal&gt;&lt;/conditionvar&gt;&lt;setvar action=""Add""&gt;"&amp;$H93&amp;"&lt;/setvar&gt;&lt;/respcondition&gt;",""),IF(AA93,"      &lt;respcondition continue=""Yes""&gt;&lt;conditionvar&gt;&lt;varequal respident=""RESPONSE""&gt;7&lt;/varequal&gt;&lt;/conditionvar&gt;&lt;setvar action=""Add""&gt;"&amp;(Saisie_Questions!$N93/$I93)&amp;"&lt;/setvar&gt;&lt;/respcondition&gt;","      &lt;respcondition continue=""Yes""&gt;&lt;conditionvar&gt;&lt;not&gt;&lt;varequal respident=""RESPONSE""&gt;7&lt;/varequal&gt;&lt;/not&gt;&lt;/conditionvar&gt;&lt;setvar action=""Add""&gt;"&amp;(Saisie_Questions!$N93/$I93)&amp;"&lt;/setvar&gt;&lt;/respcondition&gt;"))),"")</f>
        <v/>
      </c>
    </row>
    <row r="94" spans="1:43" ht="18" customHeight="1">
      <c r="A94" s="2" t="str">
        <f>Saisie_Questions!A94</f>
        <v/>
      </c>
      <c r="B94" s="2" t="b">
        <f>Saisie_Questions!O94="OK"</f>
        <v>0</v>
      </c>
      <c r="C94" s="2" t="str">
        <f>LOWER(TRIM(Saisie_Questions!B94))</f>
        <v/>
      </c>
      <c r="D94" s="2" t="str">
        <f t="shared" si="36"/>
        <v>MULTIPLE CHOICE QUESTION</v>
      </c>
      <c r="E94" s="2" t="str">
        <f t="shared" si="37"/>
        <v>Multiple</v>
      </c>
      <c r="F94" s="2" t="str">
        <f>IF(A94="","",SUBSTITUTE(SUBSTITUTE(SUBSTITUTE(SUBSTITUTE(SUBSTITUTE(IF(Saisie_Questions!C94="", "Question "&amp;A94, Saisie_Questions!C94),"&amp;","&amp;amp;"),"&lt;","&amp;lt;"),"&gt;","&amp;gt;"),CHAR(34),"&amp;quot;"),"'","&amp;apos;"))</f>
        <v/>
      </c>
      <c r="G94" s="2" t="str">
        <f>IF(A94="","",SUBSTITUTE(SUBSTITUTE(SUBSTITUTE(SUBSTITUTE(SUBSTITUTE(Saisie_Questions!D94,"&amp;","&amp;amp;"),"&lt;","&amp;lt;"),"&gt;","&amp;gt;"),CHAR(34),"&amp;quot;"),"'","&amp;apos;"))</f>
        <v/>
      </c>
      <c r="H94" s="2">
        <f>Saisie_Questions!N94</f>
        <v>0</v>
      </c>
      <c r="I94" s="2">
        <f>IF(Saisie_Questions!E94="",0,1)+IF(Saisie_Questions!F94="",0,1)+IF(Saisie_Questions!G94="",0,1)+IF(Saisie_Questions!H94="",0,1)+IF(Saisie_Questions!I94="",0,1)+IF(Saisie_Questions!J94="",0,1)+IF(Saisie_Questions!K94="",0,1)+IF(Saisie_Questions!L94="",0,1)</f>
        <v>0</v>
      </c>
      <c r="J94" s="2">
        <f>Saisie_Questions!M94</f>
        <v>0</v>
      </c>
      <c r="K94" s="2" t="str">
        <f>Saisie_Questions!O94</f>
        <v/>
      </c>
      <c r="L94" s="2" t="str">
        <f>IF(Saisie_Questions!E94="","",SUBSTITUTE(SUBSTITUTE(SUBSTITUTE(SUBSTITUTE(SUBSTITUTE(Saisie_Questions!E94,"&amp;","&amp;amp;"),"&lt;","&amp;lt;"),"&gt;","&amp;gt;"),CHAR(34),"&amp;quot;"),"'","&amp;apos;"))</f>
        <v/>
      </c>
      <c r="M94" s="2" t="str">
        <f>IF(Saisie_Questions!F94="","",SUBSTITUTE(SUBSTITUTE(SUBSTITUTE(SUBSTITUTE(SUBSTITUTE(Saisie_Questions!F94,"&amp;","&amp;amp;"),"&lt;","&amp;lt;"),"&gt;","&amp;gt;"),CHAR(34),"&amp;quot;"),"'","&amp;apos;"))</f>
        <v/>
      </c>
      <c r="N94" s="2" t="str">
        <f>IF(Saisie_Questions!G94="","",SUBSTITUTE(SUBSTITUTE(SUBSTITUTE(SUBSTITUTE(SUBSTITUTE(Saisie_Questions!G94,"&amp;","&amp;amp;"),"&lt;","&amp;lt;"),"&gt;","&amp;gt;"),CHAR(34),"&amp;quot;"),"'","&amp;apos;"))</f>
        <v/>
      </c>
      <c r="O94" s="2" t="str">
        <f>IF(Saisie_Questions!H94="","",SUBSTITUTE(SUBSTITUTE(SUBSTITUTE(SUBSTITUTE(SUBSTITUTE(Saisie_Questions!H94,"&amp;","&amp;amp;"),"&lt;","&amp;lt;"),"&gt;","&amp;gt;"),CHAR(34),"&amp;quot;"),"'","&amp;apos;"))</f>
        <v/>
      </c>
      <c r="P94" s="2" t="str">
        <f>IF(Saisie_Questions!I94="","",SUBSTITUTE(SUBSTITUTE(SUBSTITUTE(SUBSTITUTE(SUBSTITUTE(Saisie_Questions!I94,"&amp;","&amp;amp;"),"&lt;","&amp;lt;"),"&gt;","&amp;gt;"),CHAR(34),"&amp;quot;"),"'","&amp;apos;"))</f>
        <v/>
      </c>
      <c r="Q94" s="2" t="str">
        <f>IF(Saisie_Questions!J94="","",SUBSTITUTE(SUBSTITUTE(SUBSTITUTE(SUBSTITUTE(SUBSTITUTE(Saisie_Questions!J94,"&amp;","&amp;amp;"),"&lt;","&amp;lt;"),"&gt;","&amp;gt;"),CHAR(34),"&amp;quot;"),"'","&amp;apos;"))</f>
        <v/>
      </c>
      <c r="R94" s="2" t="str">
        <f>IF(Saisie_Questions!K94="","",SUBSTITUTE(SUBSTITUTE(SUBSTITUTE(SUBSTITUTE(SUBSTITUTE(Saisie_Questions!K94,"&amp;","&amp;amp;"),"&lt;","&amp;lt;"),"&gt;","&amp;gt;"),CHAR(34),"&amp;quot;"),"'","&amp;apos;"))</f>
        <v/>
      </c>
      <c r="S94" s="2" t="str">
        <f>IF(Saisie_Questions!L94="","",SUBSTITUTE(SUBSTITUTE(SUBSTITUTE(SUBSTITUTE(SUBSTITUTE(Saisie_Questions!L94,"&amp;","&amp;amp;"),"&lt;","&amp;lt;"),"&gt;","&amp;gt;"),CHAR(34),"&amp;quot;"),"'","&amp;apos;"))</f>
        <v/>
      </c>
      <c r="T94" s="2" t="b">
        <f t="shared" si="38"/>
        <v>0</v>
      </c>
      <c r="U94" s="2" t="b">
        <f t="shared" si="39"/>
        <v>0</v>
      </c>
      <c r="V94" s="2" t="b">
        <f t="shared" si="40"/>
        <v>0</v>
      </c>
      <c r="W94" s="2" t="b">
        <f t="shared" si="41"/>
        <v>0</v>
      </c>
      <c r="X94" s="2" t="b">
        <f t="shared" si="42"/>
        <v>0</v>
      </c>
      <c r="Y94" s="2" t="b">
        <f t="shared" si="43"/>
        <v>0</v>
      </c>
      <c r="Z94" s="2" t="b">
        <f t="shared" si="44"/>
        <v>0</v>
      </c>
      <c r="AA94" s="2" t="b">
        <f t="shared" si="45"/>
        <v>0</v>
      </c>
      <c r="AB94" s="2" t="str">
        <f t="shared" si="46"/>
        <v/>
      </c>
      <c r="AC94" s="2" t="str">
        <f t="shared" si="47"/>
        <v/>
      </c>
      <c r="AD94" s="2" t="str">
        <f t="shared" si="48"/>
        <v/>
      </c>
      <c r="AE94" s="2" t="str">
        <f t="shared" si="49"/>
        <v/>
      </c>
      <c r="AF94" s="2" t="str">
        <f t="shared" si="50"/>
        <v/>
      </c>
      <c r="AG94" s="2" t="str">
        <f t="shared" si="51"/>
        <v/>
      </c>
      <c r="AH94" s="2" t="str">
        <f t="shared" si="52"/>
        <v/>
      </c>
      <c r="AI94" s="2" t="str">
        <f t="shared" si="53"/>
        <v/>
      </c>
      <c r="AJ94" s="2" t="str">
        <f>IF($B94,IF(L94="","",IF($C94="qcu",IF(T94,"      &lt;respcondition continue=""Yes""&gt;&lt;conditionvar&gt;&lt;varequal respident=""RESPONSE""&gt;0&lt;/varequal&gt;&lt;/conditionvar&gt;&lt;setvar action=""Add""&gt;"&amp;$H94&amp;"&lt;/setvar&gt;&lt;/respcondition&gt;",""),IF(T94,"      &lt;respcondition continue=""Yes""&gt;&lt;conditionvar&gt;&lt;varequal respident=""RESPONSE""&gt;0&lt;/varequal&gt;&lt;/conditionvar&gt;&lt;setvar action=""Add""&gt;"&amp;(Saisie_Questions!$N94/$I94)&amp;"&lt;/setvar&gt;&lt;/respcondition&gt;","      &lt;respcondition continue=""Yes""&gt;&lt;conditionvar&gt;&lt;not&gt;&lt;varequal respident=""RESPONSE""&gt;0&lt;/varequal&gt;&lt;/not&gt;&lt;/conditionvar&gt;&lt;setvar action=""Add""&gt;"&amp;(Saisie_Questions!$N94/$I94)&amp;"&lt;/setvar&gt;&lt;/respcondition&gt;"))),"")</f>
        <v/>
      </c>
      <c r="AK94" s="2" t="str">
        <f>IF($B94,IF(M94="","",IF($C94="qcu",IF(U94,"      &lt;respcondition continue=""Yes""&gt;&lt;conditionvar&gt;&lt;varequal respident=""RESPONSE""&gt;1&lt;/varequal&gt;&lt;/conditionvar&gt;&lt;setvar action=""Add""&gt;"&amp;$H94&amp;"&lt;/setvar&gt;&lt;/respcondition&gt;",""),IF(U94,"      &lt;respcondition continue=""Yes""&gt;&lt;conditionvar&gt;&lt;varequal respident=""RESPONSE""&gt;1&lt;/varequal&gt;&lt;/conditionvar&gt;&lt;setvar action=""Add""&gt;"&amp;(Saisie_Questions!$N94/$I94)&amp;"&lt;/setvar&gt;&lt;/respcondition&gt;","      &lt;respcondition continue=""Yes""&gt;&lt;conditionvar&gt;&lt;not&gt;&lt;varequal respident=""RESPONSE""&gt;1&lt;/varequal&gt;&lt;/not&gt;&lt;/conditionvar&gt;&lt;setvar action=""Add""&gt;"&amp;(Saisie_Questions!$N94/$I94)&amp;"&lt;/setvar&gt;&lt;/respcondition&gt;"))),"")</f>
        <v/>
      </c>
      <c r="AL94" s="2" t="str">
        <f>IF($B94,IF(N94="","",IF($C94="qcu",IF(V94,"      &lt;respcondition continue=""Yes""&gt;&lt;conditionvar&gt;&lt;varequal respident=""RESPONSE""&gt;2&lt;/varequal&gt;&lt;/conditionvar&gt;&lt;setvar action=""Add""&gt;"&amp;$H94&amp;"&lt;/setvar&gt;&lt;/respcondition&gt;",""),IF(V94,"      &lt;respcondition continue=""Yes""&gt;&lt;conditionvar&gt;&lt;varequal respident=""RESPONSE""&gt;2&lt;/varequal&gt;&lt;/conditionvar&gt;&lt;setvar action=""Add""&gt;"&amp;(Saisie_Questions!$N94/$I94)&amp;"&lt;/setvar&gt;&lt;/respcondition&gt;","      &lt;respcondition continue=""Yes""&gt;&lt;conditionvar&gt;&lt;not&gt;&lt;varequal respident=""RESPONSE""&gt;2&lt;/varequal&gt;&lt;/not&gt;&lt;/conditionvar&gt;&lt;setvar action=""Add""&gt;"&amp;(Saisie_Questions!$N94/$I94)&amp;"&lt;/setvar&gt;&lt;/respcondition&gt;"))),"")</f>
        <v/>
      </c>
      <c r="AM94" s="2" t="str">
        <f>IF($B94,IF(O94="","",IF($C94="qcu",IF(W94,"      &lt;respcondition continue=""Yes""&gt;&lt;conditionvar&gt;&lt;varequal respident=""RESPONSE""&gt;3&lt;/varequal&gt;&lt;/conditionvar&gt;&lt;setvar action=""Add""&gt;"&amp;$H94&amp;"&lt;/setvar&gt;&lt;/respcondition&gt;",""),IF(W94,"      &lt;respcondition continue=""Yes""&gt;&lt;conditionvar&gt;&lt;varequal respident=""RESPONSE""&gt;3&lt;/varequal&gt;&lt;/conditionvar&gt;&lt;setvar action=""Add""&gt;"&amp;(Saisie_Questions!$N94/$I94)&amp;"&lt;/setvar&gt;&lt;/respcondition&gt;","      &lt;respcondition continue=""Yes""&gt;&lt;conditionvar&gt;&lt;not&gt;&lt;varequal respident=""RESPONSE""&gt;3&lt;/varequal&gt;&lt;/not&gt;&lt;/conditionvar&gt;&lt;setvar action=""Add""&gt;"&amp;(Saisie_Questions!$N94/$I94)&amp;"&lt;/setvar&gt;&lt;/respcondition&gt;"))),"")</f>
        <v/>
      </c>
      <c r="AN94" s="2" t="str">
        <f>IF($B94,IF(P94="","",IF($C94="qcu",IF(X94,"      &lt;respcondition continue=""Yes""&gt;&lt;conditionvar&gt;&lt;varequal respident=""RESPONSE""&gt;4&lt;/varequal&gt;&lt;/conditionvar&gt;&lt;setvar action=""Add""&gt;"&amp;$H94&amp;"&lt;/setvar&gt;&lt;/respcondition&gt;",""),IF(X94,"      &lt;respcondition continue=""Yes""&gt;&lt;conditionvar&gt;&lt;varequal respident=""RESPONSE""&gt;4&lt;/varequal&gt;&lt;/conditionvar&gt;&lt;setvar action=""Add""&gt;"&amp;(Saisie_Questions!$N94/$I94)&amp;"&lt;/setvar&gt;&lt;/respcondition&gt;","      &lt;respcondition continue=""Yes""&gt;&lt;conditionvar&gt;&lt;not&gt;&lt;varequal respident=""RESPONSE""&gt;4&lt;/varequal&gt;&lt;/not&gt;&lt;/conditionvar&gt;&lt;setvar action=""Add""&gt;"&amp;(Saisie_Questions!$N94/$I94)&amp;"&lt;/setvar&gt;&lt;/respcondition&gt;"))),"")</f>
        <v/>
      </c>
      <c r="AO94" s="2" t="str">
        <f>IF($B94,IF(Q94="","",IF($C94="qcu",IF(Y94,"      &lt;respcondition continue=""Yes""&gt;&lt;conditionvar&gt;&lt;varequal respident=""RESPONSE""&gt;5&lt;/varequal&gt;&lt;/conditionvar&gt;&lt;setvar action=""Add""&gt;"&amp;$H94&amp;"&lt;/setvar&gt;&lt;/respcondition&gt;",""),IF(Y94,"      &lt;respcondition continue=""Yes""&gt;&lt;conditionvar&gt;&lt;varequal respident=""RESPONSE""&gt;5&lt;/varequal&gt;&lt;/conditionvar&gt;&lt;setvar action=""Add""&gt;"&amp;(Saisie_Questions!$N94/$I94)&amp;"&lt;/setvar&gt;&lt;/respcondition&gt;","      &lt;respcondition continue=""Yes""&gt;&lt;conditionvar&gt;&lt;not&gt;&lt;varequal respident=""RESPONSE""&gt;5&lt;/varequal&gt;&lt;/not&gt;&lt;/conditionvar&gt;&lt;setvar action=""Add""&gt;"&amp;(Saisie_Questions!$N94/$I94)&amp;"&lt;/setvar&gt;&lt;/respcondition&gt;"))),"")</f>
        <v/>
      </c>
      <c r="AP94" s="2" t="str">
        <f>IF($B94,IF(R94="","",IF($C94="qcu",IF(Z94,"      &lt;respcondition continue=""Yes""&gt;&lt;conditionvar&gt;&lt;varequal respident=""RESPONSE""&gt;6&lt;/varequal&gt;&lt;/conditionvar&gt;&lt;setvar action=""Add""&gt;"&amp;$H94&amp;"&lt;/setvar&gt;&lt;/respcondition&gt;",""),IF(Z94,"      &lt;respcondition continue=""Yes""&gt;&lt;conditionvar&gt;&lt;varequal respident=""RESPONSE""&gt;6&lt;/varequal&gt;&lt;/conditionvar&gt;&lt;setvar action=""Add""&gt;"&amp;(Saisie_Questions!$N94/$I94)&amp;"&lt;/setvar&gt;&lt;/respcondition&gt;","      &lt;respcondition continue=""Yes""&gt;&lt;conditionvar&gt;&lt;not&gt;&lt;varequal respident=""RESPONSE""&gt;6&lt;/varequal&gt;&lt;/not&gt;&lt;/conditionvar&gt;&lt;setvar action=""Add""&gt;"&amp;(Saisie_Questions!$N94/$I94)&amp;"&lt;/setvar&gt;&lt;/respcondition&gt;"))),"")</f>
        <v/>
      </c>
      <c r="AQ94" s="2" t="str">
        <f>IF($B94,IF(S94="","",IF($C94="qcu",IF(AA94,"      &lt;respcondition continue=""Yes""&gt;&lt;conditionvar&gt;&lt;varequal respident=""RESPONSE""&gt;7&lt;/varequal&gt;&lt;/conditionvar&gt;&lt;setvar action=""Add""&gt;"&amp;$H94&amp;"&lt;/setvar&gt;&lt;/respcondition&gt;",""),IF(AA94,"      &lt;respcondition continue=""Yes""&gt;&lt;conditionvar&gt;&lt;varequal respident=""RESPONSE""&gt;7&lt;/varequal&gt;&lt;/conditionvar&gt;&lt;setvar action=""Add""&gt;"&amp;(Saisie_Questions!$N94/$I94)&amp;"&lt;/setvar&gt;&lt;/respcondition&gt;","      &lt;respcondition continue=""Yes""&gt;&lt;conditionvar&gt;&lt;not&gt;&lt;varequal respident=""RESPONSE""&gt;7&lt;/varequal&gt;&lt;/not&gt;&lt;/conditionvar&gt;&lt;setvar action=""Add""&gt;"&amp;(Saisie_Questions!$N94/$I94)&amp;"&lt;/setvar&gt;&lt;/respcondition&gt;"))),"")</f>
        <v/>
      </c>
    </row>
    <row r="95" spans="1:43" ht="18" customHeight="1">
      <c r="A95" s="2" t="str">
        <f>Saisie_Questions!A95</f>
        <v/>
      </c>
      <c r="B95" s="2" t="b">
        <f>Saisie_Questions!O95="OK"</f>
        <v>0</v>
      </c>
      <c r="C95" s="2" t="str">
        <f>LOWER(TRIM(Saisie_Questions!B95))</f>
        <v/>
      </c>
      <c r="D95" s="2" t="str">
        <f t="shared" si="36"/>
        <v>MULTIPLE CHOICE QUESTION</v>
      </c>
      <c r="E95" s="2" t="str">
        <f t="shared" si="37"/>
        <v>Multiple</v>
      </c>
      <c r="F95" s="2" t="str">
        <f>IF(A95="","",SUBSTITUTE(SUBSTITUTE(SUBSTITUTE(SUBSTITUTE(SUBSTITUTE(IF(Saisie_Questions!C95="", "Question "&amp;A95, Saisie_Questions!C95),"&amp;","&amp;amp;"),"&lt;","&amp;lt;"),"&gt;","&amp;gt;"),CHAR(34),"&amp;quot;"),"'","&amp;apos;"))</f>
        <v/>
      </c>
      <c r="G95" s="2" t="str">
        <f>IF(A95="","",SUBSTITUTE(SUBSTITUTE(SUBSTITUTE(SUBSTITUTE(SUBSTITUTE(Saisie_Questions!D95,"&amp;","&amp;amp;"),"&lt;","&amp;lt;"),"&gt;","&amp;gt;"),CHAR(34),"&amp;quot;"),"'","&amp;apos;"))</f>
        <v/>
      </c>
      <c r="H95" s="2">
        <f>Saisie_Questions!N95</f>
        <v>0</v>
      </c>
      <c r="I95" s="2">
        <f>IF(Saisie_Questions!E95="",0,1)+IF(Saisie_Questions!F95="",0,1)+IF(Saisie_Questions!G95="",0,1)+IF(Saisie_Questions!H95="",0,1)+IF(Saisie_Questions!I95="",0,1)+IF(Saisie_Questions!J95="",0,1)+IF(Saisie_Questions!K95="",0,1)+IF(Saisie_Questions!L95="",0,1)</f>
        <v>0</v>
      </c>
      <c r="J95" s="2">
        <f>Saisie_Questions!M95</f>
        <v>0</v>
      </c>
      <c r="K95" s="2" t="str">
        <f>Saisie_Questions!O95</f>
        <v/>
      </c>
      <c r="L95" s="2" t="str">
        <f>IF(Saisie_Questions!E95="","",SUBSTITUTE(SUBSTITUTE(SUBSTITUTE(SUBSTITUTE(SUBSTITUTE(Saisie_Questions!E95,"&amp;","&amp;amp;"),"&lt;","&amp;lt;"),"&gt;","&amp;gt;"),CHAR(34),"&amp;quot;"),"'","&amp;apos;"))</f>
        <v/>
      </c>
      <c r="M95" s="2" t="str">
        <f>IF(Saisie_Questions!F95="","",SUBSTITUTE(SUBSTITUTE(SUBSTITUTE(SUBSTITUTE(SUBSTITUTE(Saisie_Questions!F95,"&amp;","&amp;amp;"),"&lt;","&amp;lt;"),"&gt;","&amp;gt;"),CHAR(34),"&amp;quot;"),"'","&amp;apos;"))</f>
        <v/>
      </c>
      <c r="N95" s="2" t="str">
        <f>IF(Saisie_Questions!G95="","",SUBSTITUTE(SUBSTITUTE(SUBSTITUTE(SUBSTITUTE(SUBSTITUTE(Saisie_Questions!G95,"&amp;","&amp;amp;"),"&lt;","&amp;lt;"),"&gt;","&amp;gt;"),CHAR(34),"&amp;quot;"),"'","&amp;apos;"))</f>
        <v/>
      </c>
      <c r="O95" s="2" t="str">
        <f>IF(Saisie_Questions!H95="","",SUBSTITUTE(SUBSTITUTE(SUBSTITUTE(SUBSTITUTE(SUBSTITUTE(Saisie_Questions!H95,"&amp;","&amp;amp;"),"&lt;","&amp;lt;"),"&gt;","&amp;gt;"),CHAR(34),"&amp;quot;"),"'","&amp;apos;"))</f>
        <v/>
      </c>
      <c r="P95" s="2" t="str">
        <f>IF(Saisie_Questions!I95="","",SUBSTITUTE(SUBSTITUTE(SUBSTITUTE(SUBSTITUTE(SUBSTITUTE(Saisie_Questions!I95,"&amp;","&amp;amp;"),"&lt;","&amp;lt;"),"&gt;","&amp;gt;"),CHAR(34),"&amp;quot;"),"'","&amp;apos;"))</f>
        <v/>
      </c>
      <c r="Q95" s="2" t="str">
        <f>IF(Saisie_Questions!J95="","",SUBSTITUTE(SUBSTITUTE(SUBSTITUTE(SUBSTITUTE(SUBSTITUTE(Saisie_Questions!J95,"&amp;","&amp;amp;"),"&lt;","&amp;lt;"),"&gt;","&amp;gt;"),CHAR(34),"&amp;quot;"),"'","&amp;apos;"))</f>
        <v/>
      </c>
      <c r="R95" s="2" t="str">
        <f>IF(Saisie_Questions!K95="","",SUBSTITUTE(SUBSTITUTE(SUBSTITUTE(SUBSTITUTE(SUBSTITUTE(Saisie_Questions!K95,"&amp;","&amp;amp;"),"&lt;","&amp;lt;"),"&gt;","&amp;gt;"),CHAR(34),"&amp;quot;"),"'","&amp;apos;"))</f>
        <v/>
      </c>
      <c r="S95" s="2" t="str">
        <f>IF(Saisie_Questions!L95="","",SUBSTITUTE(SUBSTITUTE(SUBSTITUTE(SUBSTITUTE(SUBSTITUTE(Saisie_Questions!L95,"&amp;","&amp;amp;"),"&lt;","&amp;lt;"),"&gt;","&amp;gt;"),CHAR(34),"&amp;quot;"),"'","&amp;apos;"))</f>
        <v/>
      </c>
      <c r="T95" s="2" t="b">
        <f t="shared" si="38"/>
        <v>0</v>
      </c>
      <c r="U95" s="2" t="b">
        <f t="shared" si="39"/>
        <v>0</v>
      </c>
      <c r="V95" s="2" t="b">
        <f t="shared" si="40"/>
        <v>0</v>
      </c>
      <c r="W95" s="2" t="b">
        <f t="shared" si="41"/>
        <v>0</v>
      </c>
      <c r="X95" s="2" t="b">
        <f t="shared" si="42"/>
        <v>0</v>
      </c>
      <c r="Y95" s="2" t="b">
        <f t="shared" si="43"/>
        <v>0</v>
      </c>
      <c r="Z95" s="2" t="b">
        <f t="shared" si="44"/>
        <v>0</v>
      </c>
      <c r="AA95" s="2" t="b">
        <f t="shared" si="45"/>
        <v>0</v>
      </c>
      <c r="AB95" s="2" t="str">
        <f t="shared" si="46"/>
        <v/>
      </c>
      <c r="AC95" s="2" t="str">
        <f t="shared" si="47"/>
        <v/>
      </c>
      <c r="AD95" s="2" t="str">
        <f t="shared" si="48"/>
        <v/>
      </c>
      <c r="AE95" s="2" t="str">
        <f t="shared" si="49"/>
        <v/>
      </c>
      <c r="AF95" s="2" t="str">
        <f t="shared" si="50"/>
        <v/>
      </c>
      <c r="AG95" s="2" t="str">
        <f t="shared" si="51"/>
        <v/>
      </c>
      <c r="AH95" s="2" t="str">
        <f t="shared" si="52"/>
        <v/>
      </c>
      <c r="AI95" s="2" t="str">
        <f t="shared" si="53"/>
        <v/>
      </c>
      <c r="AJ95" s="2" t="str">
        <f>IF($B95,IF(L95="","",IF($C95="qcu",IF(T95,"      &lt;respcondition continue=""Yes""&gt;&lt;conditionvar&gt;&lt;varequal respident=""RESPONSE""&gt;0&lt;/varequal&gt;&lt;/conditionvar&gt;&lt;setvar action=""Add""&gt;"&amp;$H95&amp;"&lt;/setvar&gt;&lt;/respcondition&gt;",""),IF(T95,"      &lt;respcondition continue=""Yes""&gt;&lt;conditionvar&gt;&lt;varequal respident=""RESPONSE""&gt;0&lt;/varequal&gt;&lt;/conditionvar&gt;&lt;setvar action=""Add""&gt;"&amp;(Saisie_Questions!$N95/$I95)&amp;"&lt;/setvar&gt;&lt;/respcondition&gt;","      &lt;respcondition continue=""Yes""&gt;&lt;conditionvar&gt;&lt;not&gt;&lt;varequal respident=""RESPONSE""&gt;0&lt;/varequal&gt;&lt;/not&gt;&lt;/conditionvar&gt;&lt;setvar action=""Add""&gt;"&amp;(Saisie_Questions!$N95/$I95)&amp;"&lt;/setvar&gt;&lt;/respcondition&gt;"))),"")</f>
        <v/>
      </c>
      <c r="AK95" s="2" t="str">
        <f>IF($B95,IF(M95="","",IF($C95="qcu",IF(U95,"      &lt;respcondition continue=""Yes""&gt;&lt;conditionvar&gt;&lt;varequal respident=""RESPONSE""&gt;1&lt;/varequal&gt;&lt;/conditionvar&gt;&lt;setvar action=""Add""&gt;"&amp;$H95&amp;"&lt;/setvar&gt;&lt;/respcondition&gt;",""),IF(U95,"      &lt;respcondition continue=""Yes""&gt;&lt;conditionvar&gt;&lt;varequal respident=""RESPONSE""&gt;1&lt;/varequal&gt;&lt;/conditionvar&gt;&lt;setvar action=""Add""&gt;"&amp;(Saisie_Questions!$N95/$I95)&amp;"&lt;/setvar&gt;&lt;/respcondition&gt;","      &lt;respcondition continue=""Yes""&gt;&lt;conditionvar&gt;&lt;not&gt;&lt;varequal respident=""RESPONSE""&gt;1&lt;/varequal&gt;&lt;/not&gt;&lt;/conditionvar&gt;&lt;setvar action=""Add""&gt;"&amp;(Saisie_Questions!$N95/$I95)&amp;"&lt;/setvar&gt;&lt;/respcondition&gt;"))),"")</f>
        <v/>
      </c>
      <c r="AL95" s="2" t="str">
        <f>IF($B95,IF(N95="","",IF($C95="qcu",IF(V95,"      &lt;respcondition continue=""Yes""&gt;&lt;conditionvar&gt;&lt;varequal respident=""RESPONSE""&gt;2&lt;/varequal&gt;&lt;/conditionvar&gt;&lt;setvar action=""Add""&gt;"&amp;$H95&amp;"&lt;/setvar&gt;&lt;/respcondition&gt;",""),IF(V95,"      &lt;respcondition continue=""Yes""&gt;&lt;conditionvar&gt;&lt;varequal respident=""RESPONSE""&gt;2&lt;/varequal&gt;&lt;/conditionvar&gt;&lt;setvar action=""Add""&gt;"&amp;(Saisie_Questions!$N95/$I95)&amp;"&lt;/setvar&gt;&lt;/respcondition&gt;","      &lt;respcondition continue=""Yes""&gt;&lt;conditionvar&gt;&lt;not&gt;&lt;varequal respident=""RESPONSE""&gt;2&lt;/varequal&gt;&lt;/not&gt;&lt;/conditionvar&gt;&lt;setvar action=""Add""&gt;"&amp;(Saisie_Questions!$N95/$I95)&amp;"&lt;/setvar&gt;&lt;/respcondition&gt;"))),"")</f>
        <v/>
      </c>
      <c r="AM95" s="2" t="str">
        <f>IF($B95,IF(O95="","",IF($C95="qcu",IF(W95,"      &lt;respcondition continue=""Yes""&gt;&lt;conditionvar&gt;&lt;varequal respident=""RESPONSE""&gt;3&lt;/varequal&gt;&lt;/conditionvar&gt;&lt;setvar action=""Add""&gt;"&amp;$H95&amp;"&lt;/setvar&gt;&lt;/respcondition&gt;",""),IF(W95,"      &lt;respcondition continue=""Yes""&gt;&lt;conditionvar&gt;&lt;varequal respident=""RESPONSE""&gt;3&lt;/varequal&gt;&lt;/conditionvar&gt;&lt;setvar action=""Add""&gt;"&amp;(Saisie_Questions!$N95/$I95)&amp;"&lt;/setvar&gt;&lt;/respcondition&gt;","      &lt;respcondition continue=""Yes""&gt;&lt;conditionvar&gt;&lt;not&gt;&lt;varequal respident=""RESPONSE""&gt;3&lt;/varequal&gt;&lt;/not&gt;&lt;/conditionvar&gt;&lt;setvar action=""Add""&gt;"&amp;(Saisie_Questions!$N95/$I95)&amp;"&lt;/setvar&gt;&lt;/respcondition&gt;"))),"")</f>
        <v/>
      </c>
      <c r="AN95" s="2" t="str">
        <f>IF($B95,IF(P95="","",IF($C95="qcu",IF(X95,"      &lt;respcondition continue=""Yes""&gt;&lt;conditionvar&gt;&lt;varequal respident=""RESPONSE""&gt;4&lt;/varequal&gt;&lt;/conditionvar&gt;&lt;setvar action=""Add""&gt;"&amp;$H95&amp;"&lt;/setvar&gt;&lt;/respcondition&gt;",""),IF(X95,"      &lt;respcondition continue=""Yes""&gt;&lt;conditionvar&gt;&lt;varequal respident=""RESPONSE""&gt;4&lt;/varequal&gt;&lt;/conditionvar&gt;&lt;setvar action=""Add""&gt;"&amp;(Saisie_Questions!$N95/$I95)&amp;"&lt;/setvar&gt;&lt;/respcondition&gt;","      &lt;respcondition continue=""Yes""&gt;&lt;conditionvar&gt;&lt;not&gt;&lt;varequal respident=""RESPONSE""&gt;4&lt;/varequal&gt;&lt;/not&gt;&lt;/conditionvar&gt;&lt;setvar action=""Add""&gt;"&amp;(Saisie_Questions!$N95/$I95)&amp;"&lt;/setvar&gt;&lt;/respcondition&gt;"))),"")</f>
        <v/>
      </c>
      <c r="AO95" s="2" t="str">
        <f>IF($B95,IF(Q95="","",IF($C95="qcu",IF(Y95,"      &lt;respcondition continue=""Yes""&gt;&lt;conditionvar&gt;&lt;varequal respident=""RESPONSE""&gt;5&lt;/varequal&gt;&lt;/conditionvar&gt;&lt;setvar action=""Add""&gt;"&amp;$H95&amp;"&lt;/setvar&gt;&lt;/respcondition&gt;",""),IF(Y95,"      &lt;respcondition continue=""Yes""&gt;&lt;conditionvar&gt;&lt;varequal respident=""RESPONSE""&gt;5&lt;/varequal&gt;&lt;/conditionvar&gt;&lt;setvar action=""Add""&gt;"&amp;(Saisie_Questions!$N95/$I95)&amp;"&lt;/setvar&gt;&lt;/respcondition&gt;","      &lt;respcondition continue=""Yes""&gt;&lt;conditionvar&gt;&lt;not&gt;&lt;varequal respident=""RESPONSE""&gt;5&lt;/varequal&gt;&lt;/not&gt;&lt;/conditionvar&gt;&lt;setvar action=""Add""&gt;"&amp;(Saisie_Questions!$N95/$I95)&amp;"&lt;/setvar&gt;&lt;/respcondition&gt;"))),"")</f>
        <v/>
      </c>
      <c r="AP95" s="2" t="str">
        <f>IF($B95,IF(R95="","",IF($C95="qcu",IF(Z95,"      &lt;respcondition continue=""Yes""&gt;&lt;conditionvar&gt;&lt;varequal respident=""RESPONSE""&gt;6&lt;/varequal&gt;&lt;/conditionvar&gt;&lt;setvar action=""Add""&gt;"&amp;$H95&amp;"&lt;/setvar&gt;&lt;/respcondition&gt;",""),IF(Z95,"      &lt;respcondition continue=""Yes""&gt;&lt;conditionvar&gt;&lt;varequal respident=""RESPONSE""&gt;6&lt;/varequal&gt;&lt;/conditionvar&gt;&lt;setvar action=""Add""&gt;"&amp;(Saisie_Questions!$N95/$I95)&amp;"&lt;/setvar&gt;&lt;/respcondition&gt;","      &lt;respcondition continue=""Yes""&gt;&lt;conditionvar&gt;&lt;not&gt;&lt;varequal respident=""RESPONSE""&gt;6&lt;/varequal&gt;&lt;/not&gt;&lt;/conditionvar&gt;&lt;setvar action=""Add""&gt;"&amp;(Saisie_Questions!$N95/$I95)&amp;"&lt;/setvar&gt;&lt;/respcondition&gt;"))),"")</f>
        <v/>
      </c>
      <c r="AQ95" s="2" t="str">
        <f>IF($B95,IF(S95="","",IF($C95="qcu",IF(AA95,"      &lt;respcondition continue=""Yes""&gt;&lt;conditionvar&gt;&lt;varequal respident=""RESPONSE""&gt;7&lt;/varequal&gt;&lt;/conditionvar&gt;&lt;setvar action=""Add""&gt;"&amp;$H95&amp;"&lt;/setvar&gt;&lt;/respcondition&gt;",""),IF(AA95,"      &lt;respcondition continue=""Yes""&gt;&lt;conditionvar&gt;&lt;varequal respident=""RESPONSE""&gt;7&lt;/varequal&gt;&lt;/conditionvar&gt;&lt;setvar action=""Add""&gt;"&amp;(Saisie_Questions!$N95/$I95)&amp;"&lt;/setvar&gt;&lt;/respcondition&gt;","      &lt;respcondition continue=""Yes""&gt;&lt;conditionvar&gt;&lt;not&gt;&lt;varequal respident=""RESPONSE""&gt;7&lt;/varequal&gt;&lt;/not&gt;&lt;/conditionvar&gt;&lt;setvar action=""Add""&gt;"&amp;(Saisie_Questions!$N95/$I95)&amp;"&lt;/setvar&gt;&lt;/respcondition&gt;"))),"")</f>
        <v/>
      </c>
    </row>
    <row r="96" spans="1:43" ht="18" customHeight="1">
      <c r="A96" s="2" t="str">
        <f>Saisie_Questions!A96</f>
        <v/>
      </c>
      <c r="B96" s="2" t="b">
        <f>Saisie_Questions!O96="OK"</f>
        <v>0</v>
      </c>
      <c r="C96" s="2" t="str">
        <f>LOWER(TRIM(Saisie_Questions!B96))</f>
        <v/>
      </c>
      <c r="D96" s="2" t="str">
        <f t="shared" si="36"/>
        <v>MULTIPLE CHOICE QUESTION</v>
      </c>
      <c r="E96" s="2" t="str">
        <f t="shared" si="37"/>
        <v>Multiple</v>
      </c>
      <c r="F96" s="2" t="str">
        <f>IF(A96="","",SUBSTITUTE(SUBSTITUTE(SUBSTITUTE(SUBSTITUTE(SUBSTITUTE(IF(Saisie_Questions!C96="", "Question "&amp;A96, Saisie_Questions!C96),"&amp;","&amp;amp;"),"&lt;","&amp;lt;"),"&gt;","&amp;gt;"),CHAR(34),"&amp;quot;"),"'","&amp;apos;"))</f>
        <v/>
      </c>
      <c r="G96" s="2" t="str">
        <f>IF(A96="","",SUBSTITUTE(SUBSTITUTE(SUBSTITUTE(SUBSTITUTE(SUBSTITUTE(Saisie_Questions!D96,"&amp;","&amp;amp;"),"&lt;","&amp;lt;"),"&gt;","&amp;gt;"),CHAR(34),"&amp;quot;"),"'","&amp;apos;"))</f>
        <v/>
      </c>
      <c r="H96" s="2">
        <f>Saisie_Questions!N96</f>
        <v>0</v>
      </c>
      <c r="I96" s="2">
        <f>IF(Saisie_Questions!E96="",0,1)+IF(Saisie_Questions!F96="",0,1)+IF(Saisie_Questions!G96="",0,1)+IF(Saisie_Questions!H96="",0,1)+IF(Saisie_Questions!I96="",0,1)+IF(Saisie_Questions!J96="",0,1)+IF(Saisie_Questions!K96="",0,1)+IF(Saisie_Questions!L96="",0,1)</f>
        <v>0</v>
      </c>
      <c r="J96" s="2">
        <f>Saisie_Questions!M96</f>
        <v>0</v>
      </c>
      <c r="K96" s="2" t="str">
        <f>Saisie_Questions!O96</f>
        <v/>
      </c>
      <c r="L96" s="2" t="str">
        <f>IF(Saisie_Questions!E96="","",SUBSTITUTE(SUBSTITUTE(SUBSTITUTE(SUBSTITUTE(SUBSTITUTE(Saisie_Questions!E96,"&amp;","&amp;amp;"),"&lt;","&amp;lt;"),"&gt;","&amp;gt;"),CHAR(34),"&amp;quot;"),"'","&amp;apos;"))</f>
        <v/>
      </c>
      <c r="M96" s="2" t="str">
        <f>IF(Saisie_Questions!F96="","",SUBSTITUTE(SUBSTITUTE(SUBSTITUTE(SUBSTITUTE(SUBSTITUTE(Saisie_Questions!F96,"&amp;","&amp;amp;"),"&lt;","&amp;lt;"),"&gt;","&amp;gt;"),CHAR(34),"&amp;quot;"),"'","&amp;apos;"))</f>
        <v/>
      </c>
      <c r="N96" s="2" t="str">
        <f>IF(Saisie_Questions!G96="","",SUBSTITUTE(SUBSTITUTE(SUBSTITUTE(SUBSTITUTE(SUBSTITUTE(Saisie_Questions!G96,"&amp;","&amp;amp;"),"&lt;","&amp;lt;"),"&gt;","&amp;gt;"),CHAR(34),"&amp;quot;"),"'","&amp;apos;"))</f>
        <v/>
      </c>
      <c r="O96" s="2" t="str">
        <f>IF(Saisie_Questions!H96="","",SUBSTITUTE(SUBSTITUTE(SUBSTITUTE(SUBSTITUTE(SUBSTITUTE(Saisie_Questions!H96,"&amp;","&amp;amp;"),"&lt;","&amp;lt;"),"&gt;","&amp;gt;"),CHAR(34),"&amp;quot;"),"'","&amp;apos;"))</f>
        <v/>
      </c>
      <c r="P96" s="2" t="str">
        <f>IF(Saisie_Questions!I96="","",SUBSTITUTE(SUBSTITUTE(SUBSTITUTE(SUBSTITUTE(SUBSTITUTE(Saisie_Questions!I96,"&amp;","&amp;amp;"),"&lt;","&amp;lt;"),"&gt;","&amp;gt;"),CHAR(34),"&amp;quot;"),"'","&amp;apos;"))</f>
        <v/>
      </c>
      <c r="Q96" s="2" t="str">
        <f>IF(Saisie_Questions!J96="","",SUBSTITUTE(SUBSTITUTE(SUBSTITUTE(SUBSTITUTE(SUBSTITUTE(Saisie_Questions!J96,"&amp;","&amp;amp;"),"&lt;","&amp;lt;"),"&gt;","&amp;gt;"),CHAR(34),"&amp;quot;"),"'","&amp;apos;"))</f>
        <v/>
      </c>
      <c r="R96" s="2" t="str">
        <f>IF(Saisie_Questions!K96="","",SUBSTITUTE(SUBSTITUTE(SUBSTITUTE(SUBSTITUTE(SUBSTITUTE(Saisie_Questions!K96,"&amp;","&amp;amp;"),"&lt;","&amp;lt;"),"&gt;","&amp;gt;"),CHAR(34),"&amp;quot;"),"'","&amp;apos;"))</f>
        <v/>
      </c>
      <c r="S96" s="2" t="str">
        <f>IF(Saisie_Questions!L96="","",SUBSTITUTE(SUBSTITUTE(SUBSTITUTE(SUBSTITUTE(SUBSTITUTE(Saisie_Questions!L96,"&amp;","&amp;amp;"),"&lt;","&amp;lt;"),"&gt;","&amp;gt;"),CHAR(34),"&amp;quot;"),"'","&amp;apos;"))</f>
        <v/>
      </c>
      <c r="T96" s="2" t="b">
        <f t="shared" si="38"/>
        <v>0</v>
      </c>
      <c r="U96" s="2" t="b">
        <f t="shared" si="39"/>
        <v>0</v>
      </c>
      <c r="V96" s="2" t="b">
        <f t="shared" si="40"/>
        <v>0</v>
      </c>
      <c r="W96" s="2" t="b">
        <f t="shared" si="41"/>
        <v>0</v>
      </c>
      <c r="X96" s="2" t="b">
        <f t="shared" si="42"/>
        <v>0</v>
      </c>
      <c r="Y96" s="2" t="b">
        <f t="shared" si="43"/>
        <v>0</v>
      </c>
      <c r="Z96" s="2" t="b">
        <f t="shared" si="44"/>
        <v>0</v>
      </c>
      <c r="AA96" s="2" t="b">
        <f t="shared" si="45"/>
        <v>0</v>
      </c>
      <c r="AB96" s="2" t="str">
        <f t="shared" si="46"/>
        <v/>
      </c>
      <c r="AC96" s="2" t="str">
        <f t="shared" si="47"/>
        <v/>
      </c>
      <c r="AD96" s="2" t="str">
        <f t="shared" si="48"/>
        <v/>
      </c>
      <c r="AE96" s="2" t="str">
        <f t="shared" si="49"/>
        <v/>
      </c>
      <c r="AF96" s="2" t="str">
        <f t="shared" si="50"/>
        <v/>
      </c>
      <c r="AG96" s="2" t="str">
        <f t="shared" si="51"/>
        <v/>
      </c>
      <c r="AH96" s="2" t="str">
        <f t="shared" si="52"/>
        <v/>
      </c>
      <c r="AI96" s="2" t="str">
        <f t="shared" si="53"/>
        <v/>
      </c>
      <c r="AJ96" s="2" t="str">
        <f>IF($B96,IF(L96="","",IF($C96="qcu",IF(T96,"      &lt;respcondition continue=""Yes""&gt;&lt;conditionvar&gt;&lt;varequal respident=""RESPONSE""&gt;0&lt;/varequal&gt;&lt;/conditionvar&gt;&lt;setvar action=""Add""&gt;"&amp;$H96&amp;"&lt;/setvar&gt;&lt;/respcondition&gt;",""),IF(T96,"      &lt;respcondition continue=""Yes""&gt;&lt;conditionvar&gt;&lt;varequal respident=""RESPONSE""&gt;0&lt;/varequal&gt;&lt;/conditionvar&gt;&lt;setvar action=""Add""&gt;"&amp;(Saisie_Questions!$N96/$I96)&amp;"&lt;/setvar&gt;&lt;/respcondition&gt;","      &lt;respcondition continue=""Yes""&gt;&lt;conditionvar&gt;&lt;not&gt;&lt;varequal respident=""RESPONSE""&gt;0&lt;/varequal&gt;&lt;/not&gt;&lt;/conditionvar&gt;&lt;setvar action=""Add""&gt;"&amp;(Saisie_Questions!$N96/$I96)&amp;"&lt;/setvar&gt;&lt;/respcondition&gt;"))),"")</f>
        <v/>
      </c>
      <c r="AK96" s="2" t="str">
        <f>IF($B96,IF(M96="","",IF($C96="qcu",IF(U96,"      &lt;respcondition continue=""Yes""&gt;&lt;conditionvar&gt;&lt;varequal respident=""RESPONSE""&gt;1&lt;/varequal&gt;&lt;/conditionvar&gt;&lt;setvar action=""Add""&gt;"&amp;$H96&amp;"&lt;/setvar&gt;&lt;/respcondition&gt;",""),IF(U96,"      &lt;respcondition continue=""Yes""&gt;&lt;conditionvar&gt;&lt;varequal respident=""RESPONSE""&gt;1&lt;/varequal&gt;&lt;/conditionvar&gt;&lt;setvar action=""Add""&gt;"&amp;(Saisie_Questions!$N96/$I96)&amp;"&lt;/setvar&gt;&lt;/respcondition&gt;","      &lt;respcondition continue=""Yes""&gt;&lt;conditionvar&gt;&lt;not&gt;&lt;varequal respident=""RESPONSE""&gt;1&lt;/varequal&gt;&lt;/not&gt;&lt;/conditionvar&gt;&lt;setvar action=""Add""&gt;"&amp;(Saisie_Questions!$N96/$I96)&amp;"&lt;/setvar&gt;&lt;/respcondition&gt;"))),"")</f>
        <v/>
      </c>
      <c r="AL96" s="2" t="str">
        <f>IF($B96,IF(N96="","",IF($C96="qcu",IF(V96,"      &lt;respcondition continue=""Yes""&gt;&lt;conditionvar&gt;&lt;varequal respident=""RESPONSE""&gt;2&lt;/varequal&gt;&lt;/conditionvar&gt;&lt;setvar action=""Add""&gt;"&amp;$H96&amp;"&lt;/setvar&gt;&lt;/respcondition&gt;",""),IF(V96,"      &lt;respcondition continue=""Yes""&gt;&lt;conditionvar&gt;&lt;varequal respident=""RESPONSE""&gt;2&lt;/varequal&gt;&lt;/conditionvar&gt;&lt;setvar action=""Add""&gt;"&amp;(Saisie_Questions!$N96/$I96)&amp;"&lt;/setvar&gt;&lt;/respcondition&gt;","      &lt;respcondition continue=""Yes""&gt;&lt;conditionvar&gt;&lt;not&gt;&lt;varequal respident=""RESPONSE""&gt;2&lt;/varequal&gt;&lt;/not&gt;&lt;/conditionvar&gt;&lt;setvar action=""Add""&gt;"&amp;(Saisie_Questions!$N96/$I96)&amp;"&lt;/setvar&gt;&lt;/respcondition&gt;"))),"")</f>
        <v/>
      </c>
      <c r="AM96" s="2" t="str">
        <f>IF($B96,IF(O96="","",IF($C96="qcu",IF(W96,"      &lt;respcondition continue=""Yes""&gt;&lt;conditionvar&gt;&lt;varequal respident=""RESPONSE""&gt;3&lt;/varequal&gt;&lt;/conditionvar&gt;&lt;setvar action=""Add""&gt;"&amp;$H96&amp;"&lt;/setvar&gt;&lt;/respcondition&gt;",""),IF(W96,"      &lt;respcondition continue=""Yes""&gt;&lt;conditionvar&gt;&lt;varequal respident=""RESPONSE""&gt;3&lt;/varequal&gt;&lt;/conditionvar&gt;&lt;setvar action=""Add""&gt;"&amp;(Saisie_Questions!$N96/$I96)&amp;"&lt;/setvar&gt;&lt;/respcondition&gt;","      &lt;respcondition continue=""Yes""&gt;&lt;conditionvar&gt;&lt;not&gt;&lt;varequal respident=""RESPONSE""&gt;3&lt;/varequal&gt;&lt;/not&gt;&lt;/conditionvar&gt;&lt;setvar action=""Add""&gt;"&amp;(Saisie_Questions!$N96/$I96)&amp;"&lt;/setvar&gt;&lt;/respcondition&gt;"))),"")</f>
        <v/>
      </c>
      <c r="AN96" s="2" t="str">
        <f>IF($B96,IF(P96="","",IF($C96="qcu",IF(X96,"      &lt;respcondition continue=""Yes""&gt;&lt;conditionvar&gt;&lt;varequal respident=""RESPONSE""&gt;4&lt;/varequal&gt;&lt;/conditionvar&gt;&lt;setvar action=""Add""&gt;"&amp;$H96&amp;"&lt;/setvar&gt;&lt;/respcondition&gt;",""),IF(X96,"      &lt;respcondition continue=""Yes""&gt;&lt;conditionvar&gt;&lt;varequal respident=""RESPONSE""&gt;4&lt;/varequal&gt;&lt;/conditionvar&gt;&lt;setvar action=""Add""&gt;"&amp;(Saisie_Questions!$N96/$I96)&amp;"&lt;/setvar&gt;&lt;/respcondition&gt;","      &lt;respcondition continue=""Yes""&gt;&lt;conditionvar&gt;&lt;not&gt;&lt;varequal respident=""RESPONSE""&gt;4&lt;/varequal&gt;&lt;/not&gt;&lt;/conditionvar&gt;&lt;setvar action=""Add""&gt;"&amp;(Saisie_Questions!$N96/$I96)&amp;"&lt;/setvar&gt;&lt;/respcondition&gt;"))),"")</f>
        <v/>
      </c>
      <c r="AO96" s="2" t="str">
        <f>IF($B96,IF(Q96="","",IF($C96="qcu",IF(Y96,"      &lt;respcondition continue=""Yes""&gt;&lt;conditionvar&gt;&lt;varequal respident=""RESPONSE""&gt;5&lt;/varequal&gt;&lt;/conditionvar&gt;&lt;setvar action=""Add""&gt;"&amp;$H96&amp;"&lt;/setvar&gt;&lt;/respcondition&gt;",""),IF(Y96,"      &lt;respcondition continue=""Yes""&gt;&lt;conditionvar&gt;&lt;varequal respident=""RESPONSE""&gt;5&lt;/varequal&gt;&lt;/conditionvar&gt;&lt;setvar action=""Add""&gt;"&amp;(Saisie_Questions!$N96/$I96)&amp;"&lt;/setvar&gt;&lt;/respcondition&gt;","      &lt;respcondition continue=""Yes""&gt;&lt;conditionvar&gt;&lt;not&gt;&lt;varequal respident=""RESPONSE""&gt;5&lt;/varequal&gt;&lt;/not&gt;&lt;/conditionvar&gt;&lt;setvar action=""Add""&gt;"&amp;(Saisie_Questions!$N96/$I96)&amp;"&lt;/setvar&gt;&lt;/respcondition&gt;"))),"")</f>
        <v/>
      </c>
      <c r="AP96" s="2" t="str">
        <f>IF($B96,IF(R96="","",IF($C96="qcu",IF(Z96,"      &lt;respcondition continue=""Yes""&gt;&lt;conditionvar&gt;&lt;varequal respident=""RESPONSE""&gt;6&lt;/varequal&gt;&lt;/conditionvar&gt;&lt;setvar action=""Add""&gt;"&amp;$H96&amp;"&lt;/setvar&gt;&lt;/respcondition&gt;",""),IF(Z96,"      &lt;respcondition continue=""Yes""&gt;&lt;conditionvar&gt;&lt;varequal respident=""RESPONSE""&gt;6&lt;/varequal&gt;&lt;/conditionvar&gt;&lt;setvar action=""Add""&gt;"&amp;(Saisie_Questions!$N96/$I96)&amp;"&lt;/setvar&gt;&lt;/respcondition&gt;","      &lt;respcondition continue=""Yes""&gt;&lt;conditionvar&gt;&lt;not&gt;&lt;varequal respident=""RESPONSE""&gt;6&lt;/varequal&gt;&lt;/not&gt;&lt;/conditionvar&gt;&lt;setvar action=""Add""&gt;"&amp;(Saisie_Questions!$N96/$I96)&amp;"&lt;/setvar&gt;&lt;/respcondition&gt;"))),"")</f>
        <v/>
      </c>
      <c r="AQ96" s="2" t="str">
        <f>IF($B96,IF(S96="","",IF($C96="qcu",IF(AA96,"      &lt;respcondition continue=""Yes""&gt;&lt;conditionvar&gt;&lt;varequal respident=""RESPONSE""&gt;7&lt;/varequal&gt;&lt;/conditionvar&gt;&lt;setvar action=""Add""&gt;"&amp;$H96&amp;"&lt;/setvar&gt;&lt;/respcondition&gt;",""),IF(AA96,"      &lt;respcondition continue=""Yes""&gt;&lt;conditionvar&gt;&lt;varequal respident=""RESPONSE""&gt;7&lt;/varequal&gt;&lt;/conditionvar&gt;&lt;setvar action=""Add""&gt;"&amp;(Saisie_Questions!$N96/$I96)&amp;"&lt;/setvar&gt;&lt;/respcondition&gt;","      &lt;respcondition continue=""Yes""&gt;&lt;conditionvar&gt;&lt;not&gt;&lt;varequal respident=""RESPONSE""&gt;7&lt;/varequal&gt;&lt;/not&gt;&lt;/conditionvar&gt;&lt;setvar action=""Add""&gt;"&amp;(Saisie_Questions!$N96/$I96)&amp;"&lt;/setvar&gt;&lt;/respcondition&gt;"))),"")</f>
        <v/>
      </c>
    </row>
    <row r="97" spans="1:43" ht="18" customHeight="1">
      <c r="A97" s="2" t="str">
        <f>Saisie_Questions!A97</f>
        <v/>
      </c>
      <c r="B97" s="2" t="b">
        <f>Saisie_Questions!O97="OK"</f>
        <v>0</v>
      </c>
      <c r="C97" s="2" t="str">
        <f>LOWER(TRIM(Saisie_Questions!B97))</f>
        <v/>
      </c>
      <c r="D97" s="2" t="str">
        <f t="shared" si="36"/>
        <v>MULTIPLE CHOICE QUESTION</v>
      </c>
      <c r="E97" s="2" t="str">
        <f t="shared" si="37"/>
        <v>Multiple</v>
      </c>
      <c r="F97" s="2" t="str">
        <f>IF(A97="","",SUBSTITUTE(SUBSTITUTE(SUBSTITUTE(SUBSTITUTE(SUBSTITUTE(IF(Saisie_Questions!C97="", "Question "&amp;A97, Saisie_Questions!C97),"&amp;","&amp;amp;"),"&lt;","&amp;lt;"),"&gt;","&amp;gt;"),CHAR(34),"&amp;quot;"),"'","&amp;apos;"))</f>
        <v/>
      </c>
      <c r="G97" s="2" t="str">
        <f>IF(A97="","",SUBSTITUTE(SUBSTITUTE(SUBSTITUTE(SUBSTITUTE(SUBSTITUTE(Saisie_Questions!D97,"&amp;","&amp;amp;"),"&lt;","&amp;lt;"),"&gt;","&amp;gt;"),CHAR(34),"&amp;quot;"),"'","&amp;apos;"))</f>
        <v/>
      </c>
      <c r="H97" s="2">
        <f>Saisie_Questions!N97</f>
        <v>0</v>
      </c>
      <c r="I97" s="2">
        <f>IF(Saisie_Questions!E97="",0,1)+IF(Saisie_Questions!F97="",0,1)+IF(Saisie_Questions!G97="",0,1)+IF(Saisie_Questions!H97="",0,1)+IF(Saisie_Questions!I97="",0,1)+IF(Saisie_Questions!J97="",0,1)+IF(Saisie_Questions!K97="",0,1)+IF(Saisie_Questions!L97="",0,1)</f>
        <v>0</v>
      </c>
      <c r="J97" s="2">
        <f>Saisie_Questions!M97</f>
        <v>0</v>
      </c>
      <c r="K97" s="2" t="str">
        <f>Saisie_Questions!O97</f>
        <v/>
      </c>
      <c r="L97" s="2" t="str">
        <f>IF(Saisie_Questions!E97="","",SUBSTITUTE(SUBSTITUTE(SUBSTITUTE(SUBSTITUTE(SUBSTITUTE(Saisie_Questions!E97,"&amp;","&amp;amp;"),"&lt;","&amp;lt;"),"&gt;","&amp;gt;"),CHAR(34),"&amp;quot;"),"'","&amp;apos;"))</f>
        <v/>
      </c>
      <c r="M97" s="2" t="str">
        <f>IF(Saisie_Questions!F97="","",SUBSTITUTE(SUBSTITUTE(SUBSTITUTE(SUBSTITUTE(SUBSTITUTE(Saisie_Questions!F97,"&amp;","&amp;amp;"),"&lt;","&amp;lt;"),"&gt;","&amp;gt;"),CHAR(34),"&amp;quot;"),"'","&amp;apos;"))</f>
        <v/>
      </c>
      <c r="N97" s="2" t="str">
        <f>IF(Saisie_Questions!G97="","",SUBSTITUTE(SUBSTITUTE(SUBSTITUTE(SUBSTITUTE(SUBSTITUTE(Saisie_Questions!G97,"&amp;","&amp;amp;"),"&lt;","&amp;lt;"),"&gt;","&amp;gt;"),CHAR(34),"&amp;quot;"),"'","&amp;apos;"))</f>
        <v/>
      </c>
      <c r="O97" s="2" t="str">
        <f>IF(Saisie_Questions!H97="","",SUBSTITUTE(SUBSTITUTE(SUBSTITUTE(SUBSTITUTE(SUBSTITUTE(Saisie_Questions!H97,"&amp;","&amp;amp;"),"&lt;","&amp;lt;"),"&gt;","&amp;gt;"),CHAR(34),"&amp;quot;"),"'","&amp;apos;"))</f>
        <v/>
      </c>
      <c r="P97" s="2" t="str">
        <f>IF(Saisie_Questions!I97="","",SUBSTITUTE(SUBSTITUTE(SUBSTITUTE(SUBSTITUTE(SUBSTITUTE(Saisie_Questions!I97,"&amp;","&amp;amp;"),"&lt;","&amp;lt;"),"&gt;","&amp;gt;"),CHAR(34),"&amp;quot;"),"'","&amp;apos;"))</f>
        <v/>
      </c>
      <c r="Q97" s="2" t="str">
        <f>IF(Saisie_Questions!J97="","",SUBSTITUTE(SUBSTITUTE(SUBSTITUTE(SUBSTITUTE(SUBSTITUTE(Saisie_Questions!J97,"&amp;","&amp;amp;"),"&lt;","&amp;lt;"),"&gt;","&amp;gt;"),CHAR(34),"&amp;quot;"),"'","&amp;apos;"))</f>
        <v/>
      </c>
      <c r="R97" s="2" t="str">
        <f>IF(Saisie_Questions!K97="","",SUBSTITUTE(SUBSTITUTE(SUBSTITUTE(SUBSTITUTE(SUBSTITUTE(Saisie_Questions!K97,"&amp;","&amp;amp;"),"&lt;","&amp;lt;"),"&gt;","&amp;gt;"),CHAR(34),"&amp;quot;"),"'","&amp;apos;"))</f>
        <v/>
      </c>
      <c r="S97" s="2" t="str">
        <f>IF(Saisie_Questions!L97="","",SUBSTITUTE(SUBSTITUTE(SUBSTITUTE(SUBSTITUTE(SUBSTITUTE(Saisie_Questions!L97,"&amp;","&amp;amp;"),"&lt;","&amp;lt;"),"&gt;","&amp;gt;"),CHAR(34),"&amp;quot;"),"'","&amp;apos;"))</f>
        <v/>
      </c>
      <c r="T97" s="2" t="b">
        <f t="shared" si="38"/>
        <v>0</v>
      </c>
      <c r="U97" s="2" t="b">
        <f t="shared" si="39"/>
        <v>0</v>
      </c>
      <c r="V97" s="2" t="b">
        <f t="shared" si="40"/>
        <v>0</v>
      </c>
      <c r="W97" s="2" t="b">
        <f t="shared" si="41"/>
        <v>0</v>
      </c>
      <c r="X97" s="2" t="b">
        <f t="shared" si="42"/>
        <v>0</v>
      </c>
      <c r="Y97" s="2" t="b">
        <f t="shared" si="43"/>
        <v>0</v>
      </c>
      <c r="Z97" s="2" t="b">
        <f t="shared" si="44"/>
        <v>0</v>
      </c>
      <c r="AA97" s="2" t="b">
        <f t="shared" si="45"/>
        <v>0</v>
      </c>
      <c r="AB97" s="2" t="str">
        <f t="shared" si="46"/>
        <v/>
      </c>
      <c r="AC97" s="2" t="str">
        <f t="shared" si="47"/>
        <v/>
      </c>
      <c r="AD97" s="2" t="str">
        <f t="shared" si="48"/>
        <v/>
      </c>
      <c r="AE97" s="2" t="str">
        <f t="shared" si="49"/>
        <v/>
      </c>
      <c r="AF97" s="2" t="str">
        <f t="shared" si="50"/>
        <v/>
      </c>
      <c r="AG97" s="2" t="str">
        <f t="shared" si="51"/>
        <v/>
      </c>
      <c r="AH97" s="2" t="str">
        <f t="shared" si="52"/>
        <v/>
      </c>
      <c r="AI97" s="2" t="str">
        <f t="shared" si="53"/>
        <v/>
      </c>
      <c r="AJ97" s="2" t="str">
        <f>IF($B97,IF(L97="","",IF($C97="qcu",IF(T97,"      &lt;respcondition continue=""Yes""&gt;&lt;conditionvar&gt;&lt;varequal respident=""RESPONSE""&gt;0&lt;/varequal&gt;&lt;/conditionvar&gt;&lt;setvar action=""Add""&gt;"&amp;$H97&amp;"&lt;/setvar&gt;&lt;/respcondition&gt;",""),IF(T97,"      &lt;respcondition continue=""Yes""&gt;&lt;conditionvar&gt;&lt;varequal respident=""RESPONSE""&gt;0&lt;/varequal&gt;&lt;/conditionvar&gt;&lt;setvar action=""Add""&gt;"&amp;(Saisie_Questions!$N97/$I97)&amp;"&lt;/setvar&gt;&lt;/respcondition&gt;","      &lt;respcondition continue=""Yes""&gt;&lt;conditionvar&gt;&lt;not&gt;&lt;varequal respident=""RESPONSE""&gt;0&lt;/varequal&gt;&lt;/not&gt;&lt;/conditionvar&gt;&lt;setvar action=""Add""&gt;"&amp;(Saisie_Questions!$N97/$I97)&amp;"&lt;/setvar&gt;&lt;/respcondition&gt;"))),"")</f>
        <v/>
      </c>
      <c r="AK97" s="2" t="str">
        <f>IF($B97,IF(M97="","",IF($C97="qcu",IF(U97,"      &lt;respcondition continue=""Yes""&gt;&lt;conditionvar&gt;&lt;varequal respident=""RESPONSE""&gt;1&lt;/varequal&gt;&lt;/conditionvar&gt;&lt;setvar action=""Add""&gt;"&amp;$H97&amp;"&lt;/setvar&gt;&lt;/respcondition&gt;",""),IF(U97,"      &lt;respcondition continue=""Yes""&gt;&lt;conditionvar&gt;&lt;varequal respident=""RESPONSE""&gt;1&lt;/varequal&gt;&lt;/conditionvar&gt;&lt;setvar action=""Add""&gt;"&amp;(Saisie_Questions!$N97/$I97)&amp;"&lt;/setvar&gt;&lt;/respcondition&gt;","      &lt;respcondition continue=""Yes""&gt;&lt;conditionvar&gt;&lt;not&gt;&lt;varequal respident=""RESPONSE""&gt;1&lt;/varequal&gt;&lt;/not&gt;&lt;/conditionvar&gt;&lt;setvar action=""Add""&gt;"&amp;(Saisie_Questions!$N97/$I97)&amp;"&lt;/setvar&gt;&lt;/respcondition&gt;"))),"")</f>
        <v/>
      </c>
      <c r="AL97" s="2" t="str">
        <f>IF($B97,IF(N97="","",IF($C97="qcu",IF(V97,"      &lt;respcondition continue=""Yes""&gt;&lt;conditionvar&gt;&lt;varequal respident=""RESPONSE""&gt;2&lt;/varequal&gt;&lt;/conditionvar&gt;&lt;setvar action=""Add""&gt;"&amp;$H97&amp;"&lt;/setvar&gt;&lt;/respcondition&gt;",""),IF(V97,"      &lt;respcondition continue=""Yes""&gt;&lt;conditionvar&gt;&lt;varequal respident=""RESPONSE""&gt;2&lt;/varequal&gt;&lt;/conditionvar&gt;&lt;setvar action=""Add""&gt;"&amp;(Saisie_Questions!$N97/$I97)&amp;"&lt;/setvar&gt;&lt;/respcondition&gt;","      &lt;respcondition continue=""Yes""&gt;&lt;conditionvar&gt;&lt;not&gt;&lt;varequal respident=""RESPONSE""&gt;2&lt;/varequal&gt;&lt;/not&gt;&lt;/conditionvar&gt;&lt;setvar action=""Add""&gt;"&amp;(Saisie_Questions!$N97/$I97)&amp;"&lt;/setvar&gt;&lt;/respcondition&gt;"))),"")</f>
        <v/>
      </c>
      <c r="AM97" s="2" t="str">
        <f>IF($B97,IF(O97="","",IF($C97="qcu",IF(W97,"      &lt;respcondition continue=""Yes""&gt;&lt;conditionvar&gt;&lt;varequal respident=""RESPONSE""&gt;3&lt;/varequal&gt;&lt;/conditionvar&gt;&lt;setvar action=""Add""&gt;"&amp;$H97&amp;"&lt;/setvar&gt;&lt;/respcondition&gt;",""),IF(W97,"      &lt;respcondition continue=""Yes""&gt;&lt;conditionvar&gt;&lt;varequal respident=""RESPONSE""&gt;3&lt;/varequal&gt;&lt;/conditionvar&gt;&lt;setvar action=""Add""&gt;"&amp;(Saisie_Questions!$N97/$I97)&amp;"&lt;/setvar&gt;&lt;/respcondition&gt;","      &lt;respcondition continue=""Yes""&gt;&lt;conditionvar&gt;&lt;not&gt;&lt;varequal respident=""RESPONSE""&gt;3&lt;/varequal&gt;&lt;/not&gt;&lt;/conditionvar&gt;&lt;setvar action=""Add""&gt;"&amp;(Saisie_Questions!$N97/$I97)&amp;"&lt;/setvar&gt;&lt;/respcondition&gt;"))),"")</f>
        <v/>
      </c>
      <c r="AN97" s="2" t="str">
        <f>IF($B97,IF(P97="","",IF($C97="qcu",IF(X97,"      &lt;respcondition continue=""Yes""&gt;&lt;conditionvar&gt;&lt;varequal respident=""RESPONSE""&gt;4&lt;/varequal&gt;&lt;/conditionvar&gt;&lt;setvar action=""Add""&gt;"&amp;$H97&amp;"&lt;/setvar&gt;&lt;/respcondition&gt;",""),IF(X97,"      &lt;respcondition continue=""Yes""&gt;&lt;conditionvar&gt;&lt;varequal respident=""RESPONSE""&gt;4&lt;/varequal&gt;&lt;/conditionvar&gt;&lt;setvar action=""Add""&gt;"&amp;(Saisie_Questions!$N97/$I97)&amp;"&lt;/setvar&gt;&lt;/respcondition&gt;","      &lt;respcondition continue=""Yes""&gt;&lt;conditionvar&gt;&lt;not&gt;&lt;varequal respident=""RESPONSE""&gt;4&lt;/varequal&gt;&lt;/not&gt;&lt;/conditionvar&gt;&lt;setvar action=""Add""&gt;"&amp;(Saisie_Questions!$N97/$I97)&amp;"&lt;/setvar&gt;&lt;/respcondition&gt;"))),"")</f>
        <v/>
      </c>
      <c r="AO97" s="2" t="str">
        <f>IF($B97,IF(Q97="","",IF($C97="qcu",IF(Y97,"      &lt;respcondition continue=""Yes""&gt;&lt;conditionvar&gt;&lt;varequal respident=""RESPONSE""&gt;5&lt;/varequal&gt;&lt;/conditionvar&gt;&lt;setvar action=""Add""&gt;"&amp;$H97&amp;"&lt;/setvar&gt;&lt;/respcondition&gt;",""),IF(Y97,"      &lt;respcondition continue=""Yes""&gt;&lt;conditionvar&gt;&lt;varequal respident=""RESPONSE""&gt;5&lt;/varequal&gt;&lt;/conditionvar&gt;&lt;setvar action=""Add""&gt;"&amp;(Saisie_Questions!$N97/$I97)&amp;"&lt;/setvar&gt;&lt;/respcondition&gt;","      &lt;respcondition continue=""Yes""&gt;&lt;conditionvar&gt;&lt;not&gt;&lt;varequal respident=""RESPONSE""&gt;5&lt;/varequal&gt;&lt;/not&gt;&lt;/conditionvar&gt;&lt;setvar action=""Add""&gt;"&amp;(Saisie_Questions!$N97/$I97)&amp;"&lt;/setvar&gt;&lt;/respcondition&gt;"))),"")</f>
        <v/>
      </c>
      <c r="AP97" s="2" t="str">
        <f>IF($B97,IF(R97="","",IF($C97="qcu",IF(Z97,"      &lt;respcondition continue=""Yes""&gt;&lt;conditionvar&gt;&lt;varequal respident=""RESPONSE""&gt;6&lt;/varequal&gt;&lt;/conditionvar&gt;&lt;setvar action=""Add""&gt;"&amp;$H97&amp;"&lt;/setvar&gt;&lt;/respcondition&gt;",""),IF(Z97,"      &lt;respcondition continue=""Yes""&gt;&lt;conditionvar&gt;&lt;varequal respident=""RESPONSE""&gt;6&lt;/varequal&gt;&lt;/conditionvar&gt;&lt;setvar action=""Add""&gt;"&amp;(Saisie_Questions!$N97/$I97)&amp;"&lt;/setvar&gt;&lt;/respcondition&gt;","      &lt;respcondition continue=""Yes""&gt;&lt;conditionvar&gt;&lt;not&gt;&lt;varequal respident=""RESPONSE""&gt;6&lt;/varequal&gt;&lt;/not&gt;&lt;/conditionvar&gt;&lt;setvar action=""Add""&gt;"&amp;(Saisie_Questions!$N97/$I97)&amp;"&lt;/setvar&gt;&lt;/respcondition&gt;"))),"")</f>
        <v/>
      </c>
      <c r="AQ97" s="2" t="str">
        <f>IF($B97,IF(S97="","",IF($C97="qcu",IF(AA97,"      &lt;respcondition continue=""Yes""&gt;&lt;conditionvar&gt;&lt;varequal respident=""RESPONSE""&gt;7&lt;/varequal&gt;&lt;/conditionvar&gt;&lt;setvar action=""Add""&gt;"&amp;$H97&amp;"&lt;/setvar&gt;&lt;/respcondition&gt;",""),IF(AA97,"      &lt;respcondition continue=""Yes""&gt;&lt;conditionvar&gt;&lt;varequal respident=""RESPONSE""&gt;7&lt;/varequal&gt;&lt;/conditionvar&gt;&lt;setvar action=""Add""&gt;"&amp;(Saisie_Questions!$N97/$I97)&amp;"&lt;/setvar&gt;&lt;/respcondition&gt;","      &lt;respcondition continue=""Yes""&gt;&lt;conditionvar&gt;&lt;not&gt;&lt;varequal respident=""RESPONSE""&gt;7&lt;/varequal&gt;&lt;/not&gt;&lt;/conditionvar&gt;&lt;setvar action=""Add""&gt;"&amp;(Saisie_Questions!$N97/$I97)&amp;"&lt;/setvar&gt;&lt;/respcondition&gt;"))),"")</f>
        <v/>
      </c>
    </row>
    <row r="98" spans="1:43" ht="18" customHeight="1">
      <c r="A98" s="2" t="str">
        <f>Saisie_Questions!A98</f>
        <v/>
      </c>
      <c r="B98" s="2" t="b">
        <f>Saisie_Questions!O98="OK"</f>
        <v>0</v>
      </c>
      <c r="C98" s="2" t="str">
        <f>LOWER(TRIM(Saisie_Questions!B98))</f>
        <v/>
      </c>
      <c r="D98" s="2" t="str">
        <f t="shared" si="36"/>
        <v>MULTIPLE CHOICE QUESTION</v>
      </c>
      <c r="E98" s="2" t="str">
        <f t="shared" si="37"/>
        <v>Multiple</v>
      </c>
      <c r="F98" s="2" t="str">
        <f>IF(A98="","",SUBSTITUTE(SUBSTITUTE(SUBSTITUTE(SUBSTITUTE(SUBSTITUTE(IF(Saisie_Questions!C98="", "Question "&amp;A98, Saisie_Questions!C98),"&amp;","&amp;amp;"),"&lt;","&amp;lt;"),"&gt;","&amp;gt;"),CHAR(34),"&amp;quot;"),"'","&amp;apos;"))</f>
        <v/>
      </c>
      <c r="G98" s="2" t="str">
        <f>IF(A98="","",SUBSTITUTE(SUBSTITUTE(SUBSTITUTE(SUBSTITUTE(SUBSTITUTE(Saisie_Questions!D98,"&amp;","&amp;amp;"),"&lt;","&amp;lt;"),"&gt;","&amp;gt;"),CHAR(34),"&amp;quot;"),"'","&amp;apos;"))</f>
        <v/>
      </c>
      <c r="H98" s="2">
        <f>Saisie_Questions!N98</f>
        <v>0</v>
      </c>
      <c r="I98" s="2">
        <f>IF(Saisie_Questions!E98="",0,1)+IF(Saisie_Questions!F98="",0,1)+IF(Saisie_Questions!G98="",0,1)+IF(Saisie_Questions!H98="",0,1)+IF(Saisie_Questions!I98="",0,1)+IF(Saisie_Questions!J98="",0,1)+IF(Saisie_Questions!K98="",0,1)+IF(Saisie_Questions!L98="",0,1)</f>
        <v>0</v>
      </c>
      <c r="J98" s="2">
        <f>Saisie_Questions!M98</f>
        <v>0</v>
      </c>
      <c r="K98" s="2" t="str">
        <f>Saisie_Questions!O98</f>
        <v/>
      </c>
      <c r="L98" s="2" t="str">
        <f>IF(Saisie_Questions!E98="","",SUBSTITUTE(SUBSTITUTE(SUBSTITUTE(SUBSTITUTE(SUBSTITUTE(Saisie_Questions!E98,"&amp;","&amp;amp;"),"&lt;","&amp;lt;"),"&gt;","&amp;gt;"),CHAR(34),"&amp;quot;"),"'","&amp;apos;"))</f>
        <v/>
      </c>
      <c r="M98" s="2" t="str">
        <f>IF(Saisie_Questions!F98="","",SUBSTITUTE(SUBSTITUTE(SUBSTITUTE(SUBSTITUTE(SUBSTITUTE(Saisie_Questions!F98,"&amp;","&amp;amp;"),"&lt;","&amp;lt;"),"&gt;","&amp;gt;"),CHAR(34),"&amp;quot;"),"'","&amp;apos;"))</f>
        <v/>
      </c>
      <c r="N98" s="2" t="str">
        <f>IF(Saisie_Questions!G98="","",SUBSTITUTE(SUBSTITUTE(SUBSTITUTE(SUBSTITUTE(SUBSTITUTE(Saisie_Questions!G98,"&amp;","&amp;amp;"),"&lt;","&amp;lt;"),"&gt;","&amp;gt;"),CHAR(34),"&amp;quot;"),"'","&amp;apos;"))</f>
        <v/>
      </c>
      <c r="O98" s="2" t="str">
        <f>IF(Saisie_Questions!H98="","",SUBSTITUTE(SUBSTITUTE(SUBSTITUTE(SUBSTITUTE(SUBSTITUTE(Saisie_Questions!H98,"&amp;","&amp;amp;"),"&lt;","&amp;lt;"),"&gt;","&amp;gt;"),CHAR(34),"&amp;quot;"),"'","&amp;apos;"))</f>
        <v/>
      </c>
      <c r="P98" s="2" t="str">
        <f>IF(Saisie_Questions!I98="","",SUBSTITUTE(SUBSTITUTE(SUBSTITUTE(SUBSTITUTE(SUBSTITUTE(Saisie_Questions!I98,"&amp;","&amp;amp;"),"&lt;","&amp;lt;"),"&gt;","&amp;gt;"),CHAR(34),"&amp;quot;"),"'","&amp;apos;"))</f>
        <v/>
      </c>
      <c r="Q98" s="2" t="str">
        <f>IF(Saisie_Questions!J98="","",SUBSTITUTE(SUBSTITUTE(SUBSTITUTE(SUBSTITUTE(SUBSTITUTE(Saisie_Questions!J98,"&amp;","&amp;amp;"),"&lt;","&amp;lt;"),"&gt;","&amp;gt;"),CHAR(34),"&amp;quot;"),"'","&amp;apos;"))</f>
        <v/>
      </c>
      <c r="R98" s="2" t="str">
        <f>IF(Saisie_Questions!K98="","",SUBSTITUTE(SUBSTITUTE(SUBSTITUTE(SUBSTITUTE(SUBSTITUTE(Saisie_Questions!K98,"&amp;","&amp;amp;"),"&lt;","&amp;lt;"),"&gt;","&amp;gt;"),CHAR(34),"&amp;quot;"),"'","&amp;apos;"))</f>
        <v/>
      </c>
      <c r="S98" s="2" t="str">
        <f>IF(Saisie_Questions!L98="","",SUBSTITUTE(SUBSTITUTE(SUBSTITUTE(SUBSTITUTE(SUBSTITUTE(Saisie_Questions!L98,"&amp;","&amp;amp;"),"&lt;","&amp;lt;"),"&gt;","&amp;gt;"),CHAR(34),"&amp;quot;"),"'","&amp;apos;"))</f>
        <v/>
      </c>
      <c r="T98" s="2" t="b">
        <f t="shared" si="38"/>
        <v>0</v>
      </c>
      <c r="U98" s="2" t="b">
        <f t="shared" si="39"/>
        <v>0</v>
      </c>
      <c r="V98" s="2" t="b">
        <f t="shared" si="40"/>
        <v>0</v>
      </c>
      <c r="W98" s="2" t="b">
        <f t="shared" si="41"/>
        <v>0</v>
      </c>
      <c r="X98" s="2" t="b">
        <f t="shared" si="42"/>
        <v>0</v>
      </c>
      <c r="Y98" s="2" t="b">
        <f t="shared" si="43"/>
        <v>0</v>
      </c>
      <c r="Z98" s="2" t="b">
        <f t="shared" si="44"/>
        <v>0</v>
      </c>
      <c r="AA98" s="2" t="b">
        <f t="shared" si="45"/>
        <v>0</v>
      </c>
      <c r="AB98" s="2" t="str">
        <f t="shared" si="46"/>
        <v/>
      </c>
      <c r="AC98" s="2" t="str">
        <f t="shared" si="47"/>
        <v/>
      </c>
      <c r="AD98" s="2" t="str">
        <f t="shared" si="48"/>
        <v/>
      </c>
      <c r="AE98" s="2" t="str">
        <f t="shared" si="49"/>
        <v/>
      </c>
      <c r="AF98" s="2" t="str">
        <f t="shared" si="50"/>
        <v/>
      </c>
      <c r="AG98" s="2" t="str">
        <f t="shared" si="51"/>
        <v/>
      </c>
      <c r="AH98" s="2" t="str">
        <f t="shared" si="52"/>
        <v/>
      </c>
      <c r="AI98" s="2" t="str">
        <f t="shared" si="53"/>
        <v/>
      </c>
      <c r="AJ98" s="2" t="str">
        <f>IF($B98,IF(L98="","",IF($C98="qcu",IF(T98,"      &lt;respcondition continue=""Yes""&gt;&lt;conditionvar&gt;&lt;varequal respident=""RESPONSE""&gt;0&lt;/varequal&gt;&lt;/conditionvar&gt;&lt;setvar action=""Add""&gt;"&amp;$H98&amp;"&lt;/setvar&gt;&lt;/respcondition&gt;",""),IF(T98,"      &lt;respcondition continue=""Yes""&gt;&lt;conditionvar&gt;&lt;varequal respident=""RESPONSE""&gt;0&lt;/varequal&gt;&lt;/conditionvar&gt;&lt;setvar action=""Add""&gt;"&amp;(Saisie_Questions!$N98/$I98)&amp;"&lt;/setvar&gt;&lt;/respcondition&gt;","      &lt;respcondition continue=""Yes""&gt;&lt;conditionvar&gt;&lt;not&gt;&lt;varequal respident=""RESPONSE""&gt;0&lt;/varequal&gt;&lt;/not&gt;&lt;/conditionvar&gt;&lt;setvar action=""Add""&gt;"&amp;(Saisie_Questions!$N98/$I98)&amp;"&lt;/setvar&gt;&lt;/respcondition&gt;"))),"")</f>
        <v/>
      </c>
      <c r="AK98" s="2" t="str">
        <f>IF($B98,IF(M98="","",IF($C98="qcu",IF(U98,"      &lt;respcondition continue=""Yes""&gt;&lt;conditionvar&gt;&lt;varequal respident=""RESPONSE""&gt;1&lt;/varequal&gt;&lt;/conditionvar&gt;&lt;setvar action=""Add""&gt;"&amp;$H98&amp;"&lt;/setvar&gt;&lt;/respcondition&gt;",""),IF(U98,"      &lt;respcondition continue=""Yes""&gt;&lt;conditionvar&gt;&lt;varequal respident=""RESPONSE""&gt;1&lt;/varequal&gt;&lt;/conditionvar&gt;&lt;setvar action=""Add""&gt;"&amp;(Saisie_Questions!$N98/$I98)&amp;"&lt;/setvar&gt;&lt;/respcondition&gt;","      &lt;respcondition continue=""Yes""&gt;&lt;conditionvar&gt;&lt;not&gt;&lt;varequal respident=""RESPONSE""&gt;1&lt;/varequal&gt;&lt;/not&gt;&lt;/conditionvar&gt;&lt;setvar action=""Add""&gt;"&amp;(Saisie_Questions!$N98/$I98)&amp;"&lt;/setvar&gt;&lt;/respcondition&gt;"))),"")</f>
        <v/>
      </c>
      <c r="AL98" s="2" t="str">
        <f>IF($B98,IF(N98="","",IF($C98="qcu",IF(V98,"      &lt;respcondition continue=""Yes""&gt;&lt;conditionvar&gt;&lt;varequal respident=""RESPONSE""&gt;2&lt;/varequal&gt;&lt;/conditionvar&gt;&lt;setvar action=""Add""&gt;"&amp;$H98&amp;"&lt;/setvar&gt;&lt;/respcondition&gt;",""),IF(V98,"      &lt;respcondition continue=""Yes""&gt;&lt;conditionvar&gt;&lt;varequal respident=""RESPONSE""&gt;2&lt;/varequal&gt;&lt;/conditionvar&gt;&lt;setvar action=""Add""&gt;"&amp;(Saisie_Questions!$N98/$I98)&amp;"&lt;/setvar&gt;&lt;/respcondition&gt;","      &lt;respcondition continue=""Yes""&gt;&lt;conditionvar&gt;&lt;not&gt;&lt;varequal respident=""RESPONSE""&gt;2&lt;/varequal&gt;&lt;/not&gt;&lt;/conditionvar&gt;&lt;setvar action=""Add""&gt;"&amp;(Saisie_Questions!$N98/$I98)&amp;"&lt;/setvar&gt;&lt;/respcondition&gt;"))),"")</f>
        <v/>
      </c>
      <c r="AM98" s="2" t="str">
        <f>IF($B98,IF(O98="","",IF($C98="qcu",IF(W98,"      &lt;respcondition continue=""Yes""&gt;&lt;conditionvar&gt;&lt;varequal respident=""RESPONSE""&gt;3&lt;/varequal&gt;&lt;/conditionvar&gt;&lt;setvar action=""Add""&gt;"&amp;$H98&amp;"&lt;/setvar&gt;&lt;/respcondition&gt;",""),IF(W98,"      &lt;respcondition continue=""Yes""&gt;&lt;conditionvar&gt;&lt;varequal respident=""RESPONSE""&gt;3&lt;/varequal&gt;&lt;/conditionvar&gt;&lt;setvar action=""Add""&gt;"&amp;(Saisie_Questions!$N98/$I98)&amp;"&lt;/setvar&gt;&lt;/respcondition&gt;","      &lt;respcondition continue=""Yes""&gt;&lt;conditionvar&gt;&lt;not&gt;&lt;varequal respident=""RESPONSE""&gt;3&lt;/varequal&gt;&lt;/not&gt;&lt;/conditionvar&gt;&lt;setvar action=""Add""&gt;"&amp;(Saisie_Questions!$N98/$I98)&amp;"&lt;/setvar&gt;&lt;/respcondition&gt;"))),"")</f>
        <v/>
      </c>
      <c r="AN98" s="2" t="str">
        <f>IF($B98,IF(P98="","",IF($C98="qcu",IF(X98,"      &lt;respcondition continue=""Yes""&gt;&lt;conditionvar&gt;&lt;varequal respident=""RESPONSE""&gt;4&lt;/varequal&gt;&lt;/conditionvar&gt;&lt;setvar action=""Add""&gt;"&amp;$H98&amp;"&lt;/setvar&gt;&lt;/respcondition&gt;",""),IF(X98,"      &lt;respcondition continue=""Yes""&gt;&lt;conditionvar&gt;&lt;varequal respident=""RESPONSE""&gt;4&lt;/varequal&gt;&lt;/conditionvar&gt;&lt;setvar action=""Add""&gt;"&amp;(Saisie_Questions!$N98/$I98)&amp;"&lt;/setvar&gt;&lt;/respcondition&gt;","      &lt;respcondition continue=""Yes""&gt;&lt;conditionvar&gt;&lt;not&gt;&lt;varequal respident=""RESPONSE""&gt;4&lt;/varequal&gt;&lt;/not&gt;&lt;/conditionvar&gt;&lt;setvar action=""Add""&gt;"&amp;(Saisie_Questions!$N98/$I98)&amp;"&lt;/setvar&gt;&lt;/respcondition&gt;"))),"")</f>
        <v/>
      </c>
      <c r="AO98" s="2" t="str">
        <f>IF($B98,IF(Q98="","",IF($C98="qcu",IF(Y98,"      &lt;respcondition continue=""Yes""&gt;&lt;conditionvar&gt;&lt;varequal respident=""RESPONSE""&gt;5&lt;/varequal&gt;&lt;/conditionvar&gt;&lt;setvar action=""Add""&gt;"&amp;$H98&amp;"&lt;/setvar&gt;&lt;/respcondition&gt;",""),IF(Y98,"      &lt;respcondition continue=""Yes""&gt;&lt;conditionvar&gt;&lt;varequal respident=""RESPONSE""&gt;5&lt;/varequal&gt;&lt;/conditionvar&gt;&lt;setvar action=""Add""&gt;"&amp;(Saisie_Questions!$N98/$I98)&amp;"&lt;/setvar&gt;&lt;/respcondition&gt;","      &lt;respcondition continue=""Yes""&gt;&lt;conditionvar&gt;&lt;not&gt;&lt;varequal respident=""RESPONSE""&gt;5&lt;/varequal&gt;&lt;/not&gt;&lt;/conditionvar&gt;&lt;setvar action=""Add""&gt;"&amp;(Saisie_Questions!$N98/$I98)&amp;"&lt;/setvar&gt;&lt;/respcondition&gt;"))),"")</f>
        <v/>
      </c>
      <c r="AP98" s="2" t="str">
        <f>IF($B98,IF(R98="","",IF($C98="qcu",IF(Z98,"      &lt;respcondition continue=""Yes""&gt;&lt;conditionvar&gt;&lt;varequal respident=""RESPONSE""&gt;6&lt;/varequal&gt;&lt;/conditionvar&gt;&lt;setvar action=""Add""&gt;"&amp;$H98&amp;"&lt;/setvar&gt;&lt;/respcondition&gt;",""),IF(Z98,"      &lt;respcondition continue=""Yes""&gt;&lt;conditionvar&gt;&lt;varequal respident=""RESPONSE""&gt;6&lt;/varequal&gt;&lt;/conditionvar&gt;&lt;setvar action=""Add""&gt;"&amp;(Saisie_Questions!$N98/$I98)&amp;"&lt;/setvar&gt;&lt;/respcondition&gt;","      &lt;respcondition continue=""Yes""&gt;&lt;conditionvar&gt;&lt;not&gt;&lt;varequal respident=""RESPONSE""&gt;6&lt;/varequal&gt;&lt;/not&gt;&lt;/conditionvar&gt;&lt;setvar action=""Add""&gt;"&amp;(Saisie_Questions!$N98/$I98)&amp;"&lt;/setvar&gt;&lt;/respcondition&gt;"))),"")</f>
        <v/>
      </c>
      <c r="AQ98" s="2" t="str">
        <f>IF($B98,IF(S98="","",IF($C98="qcu",IF(AA98,"      &lt;respcondition continue=""Yes""&gt;&lt;conditionvar&gt;&lt;varequal respident=""RESPONSE""&gt;7&lt;/varequal&gt;&lt;/conditionvar&gt;&lt;setvar action=""Add""&gt;"&amp;$H98&amp;"&lt;/setvar&gt;&lt;/respcondition&gt;",""),IF(AA98,"      &lt;respcondition continue=""Yes""&gt;&lt;conditionvar&gt;&lt;varequal respident=""RESPONSE""&gt;7&lt;/varequal&gt;&lt;/conditionvar&gt;&lt;setvar action=""Add""&gt;"&amp;(Saisie_Questions!$N98/$I98)&amp;"&lt;/setvar&gt;&lt;/respcondition&gt;","      &lt;respcondition continue=""Yes""&gt;&lt;conditionvar&gt;&lt;not&gt;&lt;varequal respident=""RESPONSE""&gt;7&lt;/varequal&gt;&lt;/not&gt;&lt;/conditionvar&gt;&lt;setvar action=""Add""&gt;"&amp;(Saisie_Questions!$N98/$I98)&amp;"&lt;/setvar&gt;&lt;/respcondition&gt;"))),"")</f>
        <v/>
      </c>
    </row>
    <row r="99" spans="1:43" ht="18" customHeight="1">
      <c r="A99" s="2" t="str">
        <f>Saisie_Questions!A99</f>
        <v/>
      </c>
      <c r="B99" s="2" t="b">
        <f>Saisie_Questions!O99="OK"</f>
        <v>0</v>
      </c>
      <c r="C99" s="2" t="str">
        <f>LOWER(TRIM(Saisie_Questions!B99))</f>
        <v/>
      </c>
      <c r="D99" s="2" t="str">
        <f t="shared" si="36"/>
        <v>MULTIPLE CHOICE QUESTION</v>
      </c>
      <c r="E99" s="2" t="str">
        <f t="shared" si="37"/>
        <v>Multiple</v>
      </c>
      <c r="F99" s="2" t="str">
        <f>IF(A99="","",SUBSTITUTE(SUBSTITUTE(SUBSTITUTE(SUBSTITUTE(SUBSTITUTE(IF(Saisie_Questions!C99="", "Question "&amp;A99, Saisie_Questions!C99),"&amp;","&amp;amp;"),"&lt;","&amp;lt;"),"&gt;","&amp;gt;"),CHAR(34),"&amp;quot;"),"'","&amp;apos;"))</f>
        <v/>
      </c>
      <c r="G99" s="2" t="str">
        <f>IF(A99="","",SUBSTITUTE(SUBSTITUTE(SUBSTITUTE(SUBSTITUTE(SUBSTITUTE(Saisie_Questions!D99,"&amp;","&amp;amp;"),"&lt;","&amp;lt;"),"&gt;","&amp;gt;"),CHAR(34),"&amp;quot;"),"'","&amp;apos;"))</f>
        <v/>
      </c>
      <c r="H99" s="2">
        <f>Saisie_Questions!N99</f>
        <v>0</v>
      </c>
      <c r="I99" s="2">
        <f>IF(Saisie_Questions!E99="",0,1)+IF(Saisie_Questions!F99="",0,1)+IF(Saisie_Questions!G99="",0,1)+IF(Saisie_Questions!H99="",0,1)+IF(Saisie_Questions!I99="",0,1)+IF(Saisie_Questions!J99="",0,1)+IF(Saisie_Questions!K99="",0,1)+IF(Saisie_Questions!L99="",0,1)</f>
        <v>0</v>
      </c>
      <c r="J99" s="2">
        <f>Saisie_Questions!M99</f>
        <v>0</v>
      </c>
      <c r="K99" s="2" t="str">
        <f>Saisie_Questions!O99</f>
        <v/>
      </c>
      <c r="L99" s="2" t="str">
        <f>IF(Saisie_Questions!E99="","",SUBSTITUTE(SUBSTITUTE(SUBSTITUTE(SUBSTITUTE(SUBSTITUTE(Saisie_Questions!E99,"&amp;","&amp;amp;"),"&lt;","&amp;lt;"),"&gt;","&amp;gt;"),CHAR(34),"&amp;quot;"),"'","&amp;apos;"))</f>
        <v/>
      </c>
      <c r="M99" s="2" t="str">
        <f>IF(Saisie_Questions!F99="","",SUBSTITUTE(SUBSTITUTE(SUBSTITUTE(SUBSTITUTE(SUBSTITUTE(Saisie_Questions!F99,"&amp;","&amp;amp;"),"&lt;","&amp;lt;"),"&gt;","&amp;gt;"),CHAR(34),"&amp;quot;"),"'","&amp;apos;"))</f>
        <v/>
      </c>
      <c r="N99" s="2" t="str">
        <f>IF(Saisie_Questions!G99="","",SUBSTITUTE(SUBSTITUTE(SUBSTITUTE(SUBSTITUTE(SUBSTITUTE(Saisie_Questions!G99,"&amp;","&amp;amp;"),"&lt;","&amp;lt;"),"&gt;","&amp;gt;"),CHAR(34),"&amp;quot;"),"'","&amp;apos;"))</f>
        <v/>
      </c>
      <c r="O99" s="2" t="str">
        <f>IF(Saisie_Questions!H99="","",SUBSTITUTE(SUBSTITUTE(SUBSTITUTE(SUBSTITUTE(SUBSTITUTE(Saisie_Questions!H99,"&amp;","&amp;amp;"),"&lt;","&amp;lt;"),"&gt;","&amp;gt;"),CHAR(34),"&amp;quot;"),"'","&amp;apos;"))</f>
        <v/>
      </c>
      <c r="P99" s="2" t="str">
        <f>IF(Saisie_Questions!I99="","",SUBSTITUTE(SUBSTITUTE(SUBSTITUTE(SUBSTITUTE(SUBSTITUTE(Saisie_Questions!I99,"&amp;","&amp;amp;"),"&lt;","&amp;lt;"),"&gt;","&amp;gt;"),CHAR(34),"&amp;quot;"),"'","&amp;apos;"))</f>
        <v/>
      </c>
      <c r="Q99" s="2" t="str">
        <f>IF(Saisie_Questions!J99="","",SUBSTITUTE(SUBSTITUTE(SUBSTITUTE(SUBSTITUTE(SUBSTITUTE(Saisie_Questions!J99,"&amp;","&amp;amp;"),"&lt;","&amp;lt;"),"&gt;","&amp;gt;"),CHAR(34),"&amp;quot;"),"'","&amp;apos;"))</f>
        <v/>
      </c>
      <c r="R99" s="2" t="str">
        <f>IF(Saisie_Questions!K99="","",SUBSTITUTE(SUBSTITUTE(SUBSTITUTE(SUBSTITUTE(SUBSTITUTE(Saisie_Questions!K99,"&amp;","&amp;amp;"),"&lt;","&amp;lt;"),"&gt;","&amp;gt;"),CHAR(34),"&amp;quot;"),"'","&amp;apos;"))</f>
        <v/>
      </c>
      <c r="S99" s="2" t="str">
        <f>IF(Saisie_Questions!L99="","",SUBSTITUTE(SUBSTITUTE(SUBSTITUTE(SUBSTITUTE(SUBSTITUTE(Saisie_Questions!L99,"&amp;","&amp;amp;"),"&lt;","&amp;lt;"),"&gt;","&amp;gt;"),CHAR(34),"&amp;quot;"),"'","&amp;apos;"))</f>
        <v/>
      </c>
      <c r="T99" s="2" t="b">
        <f t="shared" si="38"/>
        <v>0</v>
      </c>
      <c r="U99" s="2" t="b">
        <f t="shared" si="39"/>
        <v>0</v>
      </c>
      <c r="V99" s="2" t="b">
        <f t="shared" si="40"/>
        <v>0</v>
      </c>
      <c r="W99" s="2" t="b">
        <f t="shared" si="41"/>
        <v>0</v>
      </c>
      <c r="X99" s="2" t="b">
        <f t="shared" si="42"/>
        <v>0</v>
      </c>
      <c r="Y99" s="2" t="b">
        <f t="shared" si="43"/>
        <v>0</v>
      </c>
      <c r="Z99" s="2" t="b">
        <f t="shared" si="44"/>
        <v>0</v>
      </c>
      <c r="AA99" s="2" t="b">
        <f t="shared" si="45"/>
        <v>0</v>
      </c>
      <c r="AB99" s="2" t="str">
        <f t="shared" si="46"/>
        <v/>
      </c>
      <c r="AC99" s="2" t="str">
        <f t="shared" si="47"/>
        <v/>
      </c>
      <c r="AD99" s="2" t="str">
        <f t="shared" si="48"/>
        <v/>
      </c>
      <c r="AE99" s="2" t="str">
        <f t="shared" si="49"/>
        <v/>
      </c>
      <c r="AF99" s="2" t="str">
        <f t="shared" si="50"/>
        <v/>
      </c>
      <c r="AG99" s="2" t="str">
        <f t="shared" si="51"/>
        <v/>
      </c>
      <c r="AH99" s="2" t="str">
        <f t="shared" si="52"/>
        <v/>
      </c>
      <c r="AI99" s="2" t="str">
        <f t="shared" si="53"/>
        <v/>
      </c>
      <c r="AJ99" s="2" t="str">
        <f>IF($B99,IF(L99="","",IF($C99="qcu",IF(T99,"      &lt;respcondition continue=""Yes""&gt;&lt;conditionvar&gt;&lt;varequal respident=""RESPONSE""&gt;0&lt;/varequal&gt;&lt;/conditionvar&gt;&lt;setvar action=""Add""&gt;"&amp;$H99&amp;"&lt;/setvar&gt;&lt;/respcondition&gt;",""),IF(T99,"      &lt;respcondition continue=""Yes""&gt;&lt;conditionvar&gt;&lt;varequal respident=""RESPONSE""&gt;0&lt;/varequal&gt;&lt;/conditionvar&gt;&lt;setvar action=""Add""&gt;"&amp;(Saisie_Questions!$N99/$I99)&amp;"&lt;/setvar&gt;&lt;/respcondition&gt;","      &lt;respcondition continue=""Yes""&gt;&lt;conditionvar&gt;&lt;not&gt;&lt;varequal respident=""RESPONSE""&gt;0&lt;/varequal&gt;&lt;/not&gt;&lt;/conditionvar&gt;&lt;setvar action=""Add""&gt;"&amp;(Saisie_Questions!$N99/$I99)&amp;"&lt;/setvar&gt;&lt;/respcondition&gt;"))),"")</f>
        <v/>
      </c>
      <c r="AK99" s="2" t="str">
        <f>IF($B99,IF(M99="","",IF($C99="qcu",IF(U99,"      &lt;respcondition continue=""Yes""&gt;&lt;conditionvar&gt;&lt;varequal respident=""RESPONSE""&gt;1&lt;/varequal&gt;&lt;/conditionvar&gt;&lt;setvar action=""Add""&gt;"&amp;$H99&amp;"&lt;/setvar&gt;&lt;/respcondition&gt;",""),IF(U99,"      &lt;respcondition continue=""Yes""&gt;&lt;conditionvar&gt;&lt;varequal respident=""RESPONSE""&gt;1&lt;/varequal&gt;&lt;/conditionvar&gt;&lt;setvar action=""Add""&gt;"&amp;(Saisie_Questions!$N99/$I99)&amp;"&lt;/setvar&gt;&lt;/respcondition&gt;","      &lt;respcondition continue=""Yes""&gt;&lt;conditionvar&gt;&lt;not&gt;&lt;varequal respident=""RESPONSE""&gt;1&lt;/varequal&gt;&lt;/not&gt;&lt;/conditionvar&gt;&lt;setvar action=""Add""&gt;"&amp;(Saisie_Questions!$N99/$I99)&amp;"&lt;/setvar&gt;&lt;/respcondition&gt;"))),"")</f>
        <v/>
      </c>
      <c r="AL99" s="2" t="str">
        <f>IF($B99,IF(N99="","",IF($C99="qcu",IF(V99,"      &lt;respcondition continue=""Yes""&gt;&lt;conditionvar&gt;&lt;varequal respident=""RESPONSE""&gt;2&lt;/varequal&gt;&lt;/conditionvar&gt;&lt;setvar action=""Add""&gt;"&amp;$H99&amp;"&lt;/setvar&gt;&lt;/respcondition&gt;",""),IF(V99,"      &lt;respcondition continue=""Yes""&gt;&lt;conditionvar&gt;&lt;varequal respident=""RESPONSE""&gt;2&lt;/varequal&gt;&lt;/conditionvar&gt;&lt;setvar action=""Add""&gt;"&amp;(Saisie_Questions!$N99/$I99)&amp;"&lt;/setvar&gt;&lt;/respcondition&gt;","      &lt;respcondition continue=""Yes""&gt;&lt;conditionvar&gt;&lt;not&gt;&lt;varequal respident=""RESPONSE""&gt;2&lt;/varequal&gt;&lt;/not&gt;&lt;/conditionvar&gt;&lt;setvar action=""Add""&gt;"&amp;(Saisie_Questions!$N99/$I99)&amp;"&lt;/setvar&gt;&lt;/respcondition&gt;"))),"")</f>
        <v/>
      </c>
      <c r="AM99" s="2" t="str">
        <f>IF($B99,IF(O99="","",IF($C99="qcu",IF(W99,"      &lt;respcondition continue=""Yes""&gt;&lt;conditionvar&gt;&lt;varequal respident=""RESPONSE""&gt;3&lt;/varequal&gt;&lt;/conditionvar&gt;&lt;setvar action=""Add""&gt;"&amp;$H99&amp;"&lt;/setvar&gt;&lt;/respcondition&gt;",""),IF(W99,"      &lt;respcondition continue=""Yes""&gt;&lt;conditionvar&gt;&lt;varequal respident=""RESPONSE""&gt;3&lt;/varequal&gt;&lt;/conditionvar&gt;&lt;setvar action=""Add""&gt;"&amp;(Saisie_Questions!$N99/$I99)&amp;"&lt;/setvar&gt;&lt;/respcondition&gt;","      &lt;respcondition continue=""Yes""&gt;&lt;conditionvar&gt;&lt;not&gt;&lt;varequal respident=""RESPONSE""&gt;3&lt;/varequal&gt;&lt;/not&gt;&lt;/conditionvar&gt;&lt;setvar action=""Add""&gt;"&amp;(Saisie_Questions!$N99/$I99)&amp;"&lt;/setvar&gt;&lt;/respcondition&gt;"))),"")</f>
        <v/>
      </c>
      <c r="AN99" s="2" t="str">
        <f>IF($B99,IF(P99="","",IF($C99="qcu",IF(X99,"      &lt;respcondition continue=""Yes""&gt;&lt;conditionvar&gt;&lt;varequal respident=""RESPONSE""&gt;4&lt;/varequal&gt;&lt;/conditionvar&gt;&lt;setvar action=""Add""&gt;"&amp;$H99&amp;"&lt;/setvar&gt;&lt;/respcondition&gt;",""),IF(X99,"      &lt;respcondition continue=""Yes""&gt;&lt;conditionvar&gt;&lt;varequal respident=""RESPONSE""&gt;4&lt;/varequal&gt;&lt;/conditionvar&gt;&lt;setvar action=""Add""&gt;"&amp;(Saisie_Questions!$N99/$I99)&amp;"&lt;/setvar&gt;&lt;/respcondition&gt;","      &lt;respcondition continue=""Yes""&gt;&lt;conditionvar&gt;&lt;not&gt;&lt;varequal respident=""RESPONSE""&gt;4&lt;/varequal&gt;&lt;/not&gt;&lt;/conditionvar&gt;&lt;setvar action=""Add""&gt;"&amp;(Saisie_Questions!$N99/$I99)&amp;"&lt;/setvar&gt;&lt;/respcondition&gt;"))),"")</f>
        <v/>
      </c>
      <c r="AO99" s="2" t="str">
        <f>IF($B99,IF(Q99="","",IF($C99="qcu",IF(Y99,"      &lt;respcondition continue=""Yes""&gt;&lt;conditionvar&gt;&lt;varequal respident=""RESPONSE""&gt;5&lt;/varequal&gt;&lt;/conditionvar&gt;&lt;setvar action=""Add""&gt;"&amp;$H99&amp;"&lt;/setvar&gt;&lt;/respcondition&gt;",""),IF(Y99,"      &lt;respcondition continue=""Yes""&gt;&lt;conditionvar&gt;&lt;varequal respident=""RESPONSE""&gt;5&lt;/varequal&gt;&lt;/conditionvar&gt;&lt;setvar action=""Add""&gt;"&amp;(Saisie_Questions!$N99/$I99)&amp;"&lt;/setvar&gt;&lt;/respcondition&gt;","      &lt;respcondition continue=""Yes""&gt;&lt;conditionvar&gt;&lt;not&gt;&lt;varequal respident=""RESPONSE""&gt;5&lt;/varequal&gt;&lt;/not&gt;&lt;/conditionvar&gt;&lt;setvar action=""Add""&gt;"&amp;(Saisie_Questions!$N99/$I99)&amp;"&lt;/setvar&gt;&lt;/respcondition&gt;"))),"")</f>
        <v/>
      </c>
      <c r="AP99" s="2" t="str">
        <f>IF($B99,IF(R99="","",IF($C99="qcu",IF(Z99,"      &lt;respcondition continue=""Yes""&gt;&lt;conditionvar&gt;&lt;varequal respident=""RESPONSE""&gt;6&lt;/varequal&gt;&lt;/conditionvar&gt;&lt;setvar action=""Add""&gt;"&amp;$H99&amp;"&lt;/setvar&gt;&lt;/respcondition&gt;",""),IF(Z99,"      &lt;respcondition continue=""Yes""&gt;&lt;conditionvar&gt;&lt;varequal respident=""RESPONSE""&gt;6&lt;/varequal&gt;&lt;/conditionvar&gt;&lt;setvar action=""Add""&gt;"&amp;(Saisie_Questions!$N99/$I99)&amp;"&lt;/setvar&gt;&lt;/respcondition&gt;","      &lt;respcondition continue=""Yes""&gt;&lt;conditionvar&gt;&lt;not&gt;&lt;varequal respident=""RESPONSE""&gt;6&lt;/varequal&gt;&lt;/not&gt;&lt;/conditionvar&gt;&lt;setvar action=""Add""&gt;"&amp;(Saisie_Questions!$N99/$I99)&amp;"&lt;/setvar&gt;&lt;/respcondition&gt;"))),"")</f>
        <v/>
      </c>
      <c r="AQ99" s="2" t="str">
        <f>IF($B99,IF(S99="","",IF($C99="qcu",IF(AA99,"      &lt;respcondition continue=""Yes""&gt;&lt;conditionvar&gt;&lt;varequal respident=""RESPONSE""&gt;7&lt;/varequal&gt;&lt;/conditionvar&gt;&lt;setvar action=""Add""&gt;"&amp;$H99&amp;"&lt;/setvar&gt;&lt;/respcondition&gt;",""),IF(AA99,"      &lt;respcondition continue=""Yes""&gt;&lt;conditionvar&gt;&lt;varequal respident=""RESPONSE""&gt;7&lt;/varequal&gt;&lt;/conditionvar&gt;&lt;setvar action=""Add""&gt;"&amp;(Saisie_Questions!$N99/$I99)&amp;"&lt;/setvar&gt;&lt;/respcondition&gt;","      &lt;respcondition continue=""Yes""&gt;&lt;conditionvar&gt;&lt;not&gt;&lt;varequal respident=""RESPONSE""&gt;7&lt;/varequal&gt;&lt;/not&gt;&lt;/conditionvar&gt;&lt;setvar action=""Add""&gt;"&amp;(Saisie_Questions!$N99/$I99)&amp;"&lt;/setvar&gt;&lt;/respcondition&gt;"))),"")</f>
        <v/>
      </c>
    </row>
    <row r="100" spans="1:43" ht="18" customHeight="1">
      <c r="A100" s="2" t="str">
        <f>Saisie_Questions!A100</f>
        <v/>
      </c>
      <c r="B100" s="2" t="b">
        <f>Saisie_Questions!O100="OK"</f>
        <v>0</v>
      </c>
      <c r="C100" s="2" t="str">
        <f>LOWER(TRIM(Saisie_Questions!B100))</f>
        <v/>
      </c>
      <c r="D100" s="2" t="str">
        <f t="shared" si="36"/>
        <v>MULTIPLE CHOICE QUESTION</v>
      </c>
      <c r="E100" s="2" t="str">
        <f t="shared" si="37"/>
        <v>Multiple</v>
      </c>
      <c r="F100" s="2" t="str">
        <f>IF(A100="","",SUBSTITUTE(SUBSTITUTE(SUBSTITUTE(SUBSTITUTE(SUBSTITUTE(IF(Saisie_Questions!C100="", "Question "&amp;A100, Saisie_Questions!C100),"&amp;","&amp;amp;"),"&lt;","&amp;lt;"),"&gt;","&amp;gt;"),CHAR(34),"&amp;quot;"),"'","&amp;apos;"))</f>
        <v/>
      </c>
      <c r="G100" s="2" t="str">
        <f>IF(A100="","",SUBSTITUTE(SUBSTITUTE(SUBSTITUTE(SUBSTITUTE(SUBSTITUTE(Saisie_Questions!D100,"&amp;","&amp;amp;"),"&lt;","&amp;lt;"),"&gt;","&amp;gt;"),CHAR(34),"&amp;quot;"),"'","&amp;apos;"))</f>
        <v/>
      </c>
      <c r="H100" s="2">
        <f>Saisie_Questions!N100</f>
        <v>0</v>
      </c>
      <c r="I100" s="2">
        <f>IF(Saisie_Questions!E100="",0,1)+IF(Saisie_Questions!F100="",0,1)+IF(Saisie_Questions!G100="",0,1)+IF(Saisie_Questions!H100="",0,1)+IF(Saisie_Questions!I100="",0,1)+IF(Saisie_Questions!J100="",0,1)+IF(Saisie_Questions!K100="",0,1)+IF(Saisie_Questions!L100="",0,1)</f>
        <v>0</v>
      </c>
      <c r="J100" s="2">
        <f>Saisie_Questions!M100</f>
        <v>0</v>
      </c>
      <c r="K100" s="2" t="str">
        <f>Saisie_Questions!O100</f>
        <v/>
      </c>
      <c r="L100" s="2" t="str">
        <f>IF(Saisie_Questions!E100="","",SUBSTITUTE(SUBSTITUTE(SUBSTITUTE(SUBSTITUTE(SUBSTITUTE(Saisie_Questions!E100,"&amp;","&amp;amp;"),"&lt;","&amp;lt;"),"&gt;","&amp;gt;"),CHAR(34),"&amp;quot;"),"'","&amp;apos;"))</f>
        <v/>
      </c>
      <c r="M100" s="2" t="str">
        <f>IF(Saisie_Questions!F100="","",SUBSTITUTE(SUBSTITUTE(SUBSTITUTE(SUBSTITUTE(SUBSTITUTE(Saisie_Questions!F100,"&amp;","&amp;amp;"),"&lt;","&amp;lt;"),"&gt;","&amp;gt;"),CHAR(34),"&amp;quot;"),"'","&amp;apos;"))</f>
        <v/>
      </c>
      <c r="N100" s="2" t="str">
        <f>IF(Saisie_Questions!G100="","",SUBSTITUTE(SUBSTITUTE(SUBSTITUTE(SUBSTITUTE(SUBSTITUTE(Saisie_Questions!G100,"&amp;","&amp;amp;"),"&lt;","&amp;lt;"),"&gt;","&amp;gt;"),CHAR(34),"&amp;quot;"),"'","&amp;apos;"))</f>
        <v/>
      </c>
      <c r="O100" s="2" t="str">
        <f>IF(Saisie_Questions!H100="","",SUBSTITUTE(SUBSTITUTE(SUBSTITUTE(SUBSTITUTE(SUBSTITUTE(Saisie_Questions!H100,"&amp;","&amp;amp;"),"&lt;","&amp;lt;"),"&gt;","&amp;gt;"),CHAR(34),"&amp;quot;"),"'","&amp;apos;"))</f>
        <v/>
      </c>
      <c r="P100" s="2" t="str">
        <f>IF(Saisie_Questions!I100="","",SUBSTITUTE(SUBSTITUTE(SUBSTITUTE(SUBSTITUTE(SUBSTITUTE(Saisie_Questions!I100,"&amp;","&amp;amp;"),"&lt;","&amp;lt;"),"&gt;","&amp;gt;"),CHAR(34),"&amp;quot;"),"'","&amp;apos;"))</f>
        <v/>
      </c>
      <c r="Q100" s="2" t="str">
        <f>IF(Saisie_Questions!J100="","",SUBSTITUTE(SUBSTITUTE(SUBSTITUTE(SUBSTITUTE(SUBSTITUTE(Saisie_Questions!J100,"&amp;","&amp;amp;"),"&lt;","&amp;lt;"),"&gt;","&amp;gt;"),CHAR(34),"&amp;quot;"),"'","&amp;apos;"))</f>
        <v/>
      </c>
      <c r="R100" s="2" t="str">
        <f>IF(Saisie_Questions!K100="","",SUBSTITUTE(SUBSTITUTE(SUBSTITUTE(SUBSTITUTE(SUBSTITUTE(Saisie_Questions!K100,"&amp;","&amp;amp;"),"&lt;","&amp;lt;"),"&gt;","&amp;gt;"),CHAR(34),"&amp;quot;"),"'","&amp;apos;"))</f>
        <v/>
      </c>
      <c r="S100" s="2" t="str">
        <f>IF(Saisie_Questions!L100="","",SUBSTITUTE(SUBSTITUTE(SUBSTITUTE(SUBSTITUTE(SUBSTITUTE(Saisie_Questions!L100,"&amp;","&amp;amp;"),"&lt;","&amp;lt;"),"&gt;","&amp;gt;"),CHAR(34),"&amp;quot;"),"'","&amp;apos;"))</f>
        <v/>
      </c>
      <c r="T100" s="2" t="b">
        <f t="shared" si="38"/>
        <v>0</v>
      </c>
      <c r="U100" s="2" t="b">
        <f t="shared" si="39"/>
        <v>0</v>
      </c>
      <c r="V100" s="2" t="b">
        <f t="shared" si="40"/>
        <v>0</v>
      </c>
      <c r="W100" s="2" t="b">
        <f t="shared" si="41"/>
        <v>0</v>
      </c>
      <c r="X100" s="2" t="b">
        <f t="shared" si="42"/>
        <v>0</v>
      </c>
      <c r="Y100" s="2" t="b">
        <f t="shared" si="43"/>
        <v>0</v>
      </c>
      <c r="Z100" s="2" t="b">
        <f t="shared" si="44"/>
        <v>0</v>
      </c>
      <c r="AA100" s="2" t="b">
        <f t="shared" si="45"/>
        <v>0</v>
      </c>
      <c r="AB100" s="2" t="str">
        <f t="shared" si="46"/>
        <v/>
      </c>
      <c r="AC100" s="2" t="str">
        <f t="shared" si="47"/>
        <v/>
      </c>
      <c r="AD100" s="2" t="str">
        <f t="shared" si="48"/>
        <v/>
      </c>
      <c r="AE100" s="2" t="str">
        <f t="shared" si="49"/>
        <v/>
      </c>
      <c r="AF100" s="2" t="str">
        <f t="shared" si="50"/>
        <v/>
      </c>
      <c r="AG100" s="2" t="str">
        <f t="shared" si="51"/>
        <v/>
      </c>
      <c r="AH100" s="2" t="str">
        <f t="shared" si="52"/>
        <v/>
      </c>
      <c r="AI100" s="2" t="str">
        <f t="shared" si="53"/>
        <v/>
      </c>
      <c r="AJ100" s="2" t="str">
        <f>IF($B100,IF(L100="","",IF($C100="qcu",IF(T100,"      &lt;respcondition continue=""Yes""&gt;&lt;conditionvar&gt;&lt;varequal respident=""RESPONSE""&gt;0&lt;/varequal&gt;&lt;/conditionvar&gt;&lt;setvar action=""Add""&gt;"&amp;$H100&amp;"&lt;/setvar&gt;&lt;/respcondition&gt;",""),IF(T100,"      &lt;respcondition continue=""Yes""&gt;&lt;conditionvar&gt;&lt;varequal respident=""RESPONSE""&gt;0&lt;/varequal&gt;&lt;/conditionvar&gt;&lt;setvar action=""Add""&gt;"&amp;(Saisie_Questions!$N100/$I100)&amp;"&lt;/setvar&gt;&lt;/respcondition&gt;","      &lt;respcondition continue=""Yes""&gt;&lt;conditionvar&gt;&lt;not&gt;&lt;varequal respident=""RESPONSE""&gt;0&lt;/varequal&gt;&lt;/not&gt;&lt;/conditionvar&gt;&lt;setvar action=""Add""&gt;"&amp;(Saisie_Questions!$N100/$I100)&amp;"&lt;/setvar&gt;&lt;/respcondition&gt;"))),"")</f>
        <v/>
      </c>
      <c r="AK100" s="2" t="str">
        <f>IF($B100,IF(M100="","",IF($C100="qcu",IF(U100,"      &lt;respcondition continue=""Yes""&gt;&lt;conditionvar&gt;&lt;varequal respident=""RESPONSE""&gt;1&lt;/varequal&gt;&lt;/conditionvar&gt;&lt;setvar action=""Add""&gt;"&amp;$H100&amp;"&lt;/setvar&gt;&lt;/respcondition&gt;",""),IF(U100,"      &lt;respcondition continue=""Yes""&gt;&lt;conditionvar&gt;&lt;varequal respident=""RESPONSE""&gt;1&lt;/varequal&gt;&lt;/conditionvar&gt;&lt;setvar action=""Add""&gt;"&amp;(Saisie_Questions!$N100/$I100)&amp;"&lt;/setvar&gt;&lt;/respcondition&gt;","      &lt;respcondition continue=""Yes""&gt;&lt;conditionvar&gt;&lt;not&gt;&lt;varequal respident=""RESPONSE""&gt;1&lt;/varequal&gt;&lt;/not&gt;&lt;/conditionvar&gt;&lt;setvar action=""Add""&gt;"&amp;(Saisie_Questions!$N100/$I100)&amp;"&lt;/setvar&gt;&lt;/respcondition&gt;"))),"")</f>
        <v/>
      </c>
      <c r="AL100" s="2" t="str">
        <f>IF($B100,IF(N100="","",IF($C100="qcu",IF(V100,"      &lt;respcondition continue=""Yes""&gt;&lt;conditionvar&gt;&lt;varequal respident=""RESPONSE""&gt;2&lt;/varequal&gt;&lt;/conditionvar&gt;&lt;setvar action=""Add""&gt;"&amp;$H100&amp;"&lt;/setvar&gt;&lt;/respcondition&gt;",""),IF(V100,"      &lt;respcondition continue=""Yes""&gt;&lt;conditionvar&gt;&lt;varequal respident=""RESPONSE""&gt;2&lt;/varequal&gt;&lt;/conditionvar&gt;&lt;setvar action=""Add""&gt;"&amp;(Saisie_Questions!$N100/$I100)&amp;"&lt;/setvar&gt;&lt;/respcondition&gt;","      &lt;respcondition continue=""Yes""&gt;&lt;conditionvar&gt;&lt;not&gt;&lt;varequal respident=""RESPONSE""&gt;2&lt;/varequal&gt;&lt;/not&gt;&lt;/conditionvar&gt;&lt;setvar action=""Add""&gt;"&amp;(Saisie_Questions!$N100/$I100)&amp;"&lt;/setvar&gt;&lt;/respcondition&gt;"))),"")</f>
        <v/>
      </c>
      <c r="AM100" s="2" t="str">
        <f>IF($B100,IF(O100="","",IF($C100="qcu",IF(W100,"      &lt;respcondition continue=""Yes""&gt;&lt;conditionvar&gt;&lt;varequal respident=""RESPONSE""&gt;3&lt;/varequal&gt;&lt;/conditionvar&gt;&lt;setvar action=""Add""&gt;"&amp;$H100&amp;"&lt;/setvar&gt;&lt;/respcondition&gt;",""),IF(W100,"      &lt;respcondition continue=""Yes""&gt;&lt;conditionvar&gt;&lt;varequal respident=""RESPONSE""&gt;3&lt;/varequal&gt;&lt;/conditionvar&gt;&lt;setvar action=""Add""&gt;"&amp;(Saisie_Questions!$N100/$I100)&amp;"&lt;/setvar&gt;&lt;/respcondition&gt;","      &lt;respcondition continue=""Yes""&gt;&lt;conditionvar&gt;&lt;not&gt;&lt;varequal respident=""RESPONSE""&gt;3&lt;/varequal&gt;&lt;/not&gt;&lt;/conditionvar&gt;&lt;setvar action=""Add""&gt;"&amp;(Saisie_Questions!$N100/$I100)&amp;"&lt;/setvar&gt;&lt;/respcondition&gt;"))),"")</f>
        <v/>
      </c>
      <c r="AN100" s="2" t="str">
        <f>IF($B100,IF(P100="","",IF($C100="qcu",IF(X100,"      &lt;respcondition continue=""Yes""&gt;&lt;conditionvar&gt;&lt;varequal respident=""RESPONSE""&gt;4&lt;/varequal&gt;&lt;/conditionvar&gt;&lt;setvar action=""Add""&gt;"&amp;$H100&amp;"&lt;/setvar&gt;&lt;/respcondition&gt;",""),IF(X100,"      &lt;respcondition continue=""Yes""&gt;&lt;conditionvar&gt;&lt;varequal respident=""RESPONSE""&gt;4&lt;/varequal&gt;&lt;/conditionvar&gt;&lt;setvar action=""Add""&gt;"&amp;(Saisie_Questions!$N100/$I100)&amp;"&lt;/setvar&gt;&lt;/respcondition&gt;","      &lt;respcondition continue=""Yes""&gt;&lt;conditionvar&gt;&lt;not&gt;&lt;varequal respident=""RESPONSE""&gt;4&lt;/varequal&gt;&lt;/not&gt;&lt;/conditionvar&gt;&lt;setvar action=""Add""&gt;"&amp;(Saisie_Questions!$N100/$I100)&amp;"&lt;/setvar&gt;&lt;/respcondition&gt;"))),"")</f>
        <v/>
      </c>
      <c r="AO100" s="2" t="str">
        <f>IF($B100,IF(Q100="","",IF($C100="qcu",IF(Y100,"      &lt;respcondition continue=""Yes""&gt;&lt;conditionvar&gt;&lt;varequal respident=""RESPONSE""&gt;5&lt;/varequal&gt;&lt;/conditionvar&gt;&lt;setvar action=""Add""&gt;"&amp;$H100&amp;"&lt;/setvar&gt;&lt;/respcondition&gt;",""),IF(Y100,"      &lt;respcondition continue=""Yes""&gt;&lt;conditionvar&gt;&lt;varequal respident=""RESPONSE""&gt;5&lt;/varequal&gt;&lt;/conditionvar&gt;&lt;setvar action=""Add""&gt;"&amp;(Saisie_Questions!$N100/$I100)&amp;"&lt;/setvar&gt;&lt;/respcondition&gt;","      &lt;respcondition continue=""Yes""&gt;&lt;conditionvar&gt;&lt;not&gt;&lt;varequal respident=""RESPONSE""&gt;5&lt;/varequal&gt;&lt;/not&gt;&lt;/conditionvar&gt;&lt;setvar action=""Add""&gt;"&amp;(Saisie_Questions!$N100/$I100)&amp;"&lt;/setvar&gt;&lt;/respcondition&gt;"))),"")</f>
        <v/>
      </c>
      <c r="AP100" s="2" t="str">
        <f>IF($B100,IF(R100="","",IF($C100="qcu",IF(Z100,"      &lt;respcondition continue=""Yes""&gt;&lt;conditionvar&gt;&lt;varequal respident=""RESPONSE""&gt;6&lt;/varequal&gt;&lt;/conditionvar&gt;&lt;setvar action=""Add""&gt;"&amp;$H100&amp;"&lt;/setvar&gt;&lt;/respcondition&gt;",""),IF(Z100,"      &lt;respcondition continue=""Yes""&gt;&lt;conditionvar&gt;&lt;varequal respident=""RESPONSE""&gt;6&lt;/varequal&gt;&lt;/conditionvar&gt;&lt;setvar action=""Add""&gt;"&amp;(Saisie_Questions!$N100/$I100)&amp;"&lt;/setvar&gt;&lt;/respcondition&gt;","      &lt;respcondition continue=""Yes""&gt;&lt;conditionvar&gt;&lt;not&gt;&lt;varequal respident=""RESPONSE""&gt;6&lt;/varequal&gt;&lt;/not&gt;&lt;/conditionvar&gt;&lt;setvar action=""Add""&gt;"&amp;(Saisie_Questions!$N100/$I100)&amp;"&lt;/setvar&gt;&lt;/respcondition&gt;"))),"")</f>
        <v/>
      </c>
      <c r="AQ100" s="2" t="str">
        <f>IF($B100,IF(S100="","",IF($C100="qcu",IF(AA100,"      &lt;respcondition continue=""Yes""&gt;&lt;conditionvar&gt;&lt;varequal respident=""RESPONSE""&gt;7&lt;/varequal&gt;&lt;/conditionvar&gt;&lt;setvar action=""Add""&gt;"&amp;$H100&amp;"&lt;/setvar&gt;&lt;/respcondition&gt;",""),IF(AA100,"      &lt;respcondition continue=""Yes""&gt;&lt;conditionvar&gt;&lt;varequal respident=""RESPONSE""&gt;7&lt;/varequal&gt;&lt;/conditionvar&gt;&lt;setvar action=""Add""&gt;"&amp;(Saisie_Questions!$N100/$I100)&amp;"&lt;/setvar&gt;&lt;/respcondition&gt;","      &lt;respcondition continue=""Yes""&gt;&lt;conditionvar&gt;&lt;not&gt;&lt;varequal respident=""RESPONSE""&gt;7&lt;/varequal&gt;&lt;/not&gt;&lt;/conditionvar&gt;&lt;setvar action=""Add""&gt;"&amp;(Saisie_Questions!$N100/$I100)&amp;"&lt;/setvar&gt;&lt;/respcondition&gt;"))),"")</f>
        <v/>
      </c>
    </row>
    <row r="101" spans="1:43" ht="18" customHeight="1">
      <c r="A101" s="2" t="str">
        <f>Saisie_Questions!A101</f>
        <v/>
      </c>
      <c r="B101" s="2" t="b">
        <f>Saisie_Questions!O101="OK"</f>
        <v>0</v>
      </c>
      <c r="C101" s="2" t="str">
        <f>LOWER(TRIM(Saisie_Questions!B101))</f>
        <v/>
      </c>
      <c r="D101" s="2" t="str">
        <f t="shared" ref="D101:D104" si="54">IF(C101="qcu","SINGLE CHOICE QUESTION","MULTIPLE CHOICE QUESTION")</f>
        <v>MULTIPLE CHOICE QUESTION</v>
      </c>
      <c r="E101" s="2" t="str">
        <f t="shared" si="37"/>
        <v>Multiple</v>
      </c>
      <c r="F101" s="2" t="str">
        <f>IF(A101="","",SUBSTITUTE(SUBSTITUTE(SUBSTITUTE(SUBSTITUTE(SUBSTITUTE(IF(Saisie_Questions!C101="", "Question "&amp;A101, Saisie_Questions!C101),"&amp;","&amp;amp;"),"&lt;","&amp;lt;"),"&gt;","&amp;gt;"),CHAR(34),"&amp;quot;"),"'","&amp;apos;"))</f>
        <v/>
      </c>
      <c r="G101" s="2" t="str">
        <f>IF(A101="","",SUBSTITUTE(SUBSTITUTE(SUBSTITUTE(SUBSTITUTE(SUBSTITUTE(Saisie_Questions!D101,"&amp;","&amp;amp;"),"&lt;","&amp;lt;"),"&gt;","&amp;gt;"),CHAR(34),"&amp;quot;"),"'","&amp;apos;"))</f>
        <v/>
      </c>
      <c r="H101" s="2">
        <f>Saisie_Questions!N101</f>
        <v>0</v>
      </c>
      <c r="I101" s="2">
        <f>IF(Saisie_Questions!E101="",0,1)+IF(Saisie_Questions!F101="",0,1)+IF(Saisie_Questions!G101="",0,1)+IF(Saisie_Questions!H101="",0,1)+IF(Saisie_Questions!I101="",0,1)+IF(Saisie_Questions!J101="",0,1)+IF(Saisie_Questions!K101="",0,1)+IF(Saisie_Questions!L101="",0,1)</f>
        <v>0</v>
      </c>
      <c r="J101" s="2">
        <f>Saisie_Questions!M101</f>
        <v>0</v>
      </c>
      <c r="K101" s="2" t="str">
        <f>Saisie_Questions!O101</f>
        <v/>
      </c>
      <c r="L101" s="2" t="str">
        <f>IF(Saisie_Questions!E101="","",SUBSTITUTE(SUBSTITUTE(SUBSTITUTE(SUBSTITUTE(SUBSTITUTE(Saisie_Questions!E101,"&amp;","&amp;amp;"),"&lt;","&amp;lt;"),"&gt;","&amp;gt;"),CHAR(34),"&amp;quot;"),"'","&amp;apos;"))</f>
        <v/>
      </c>
      <c r="M101" s="2" t="str">
        <f>IF(Saisie_Questions!F101="","",SUBSTITUTE(SUBSTITUTE(SUBSTITUTE(SUBSTITUTE(SUBSTITUTE(Saisie_Questions!F101,"&amp;","&amp;amp;"),"&lt;","&amp;lt;"),"&gt;","&amp;gt;"),CHAR(34),"&amp;quot;"),"'","&amp;apos;"))</f>
        <v/>
      </c>
      <c r="N101" s="2" t="str">
        <f>IF(Saisie_Questions!G101="","",SUBSTITUTE(SUBSTITUTE(SUBSTITUTE(SUBSTITUTE(SUBSTITUTE(Saisie_Questions!G101,"&amp;","&amp;amp;"),"&lt;","&amp;lt;"),"&gt;","&amp;gt;"),CHAR(34),"&amp;quot;"),"'","&amp;apos;"))</f>
        <v/>
      </c>
      <c r="O101" s="2" t="str">
        <f>IF(Saisie_Questions!H101="","",SUBSTITUTE(SUBSTITUTE(SUBSTITUTE(SUBSTITUTE(SUBSTITUTE(Saisie_Questions!H101,"&amp;","&amp;amp;"),"&lt;","&amp;lt;"),"&gt;","&amp;gt;"),CHAR(34),"&amp;quot;"),"'","&amp;apos;"))</f>
        <v/>
      </c>
      <c r="P101" s="2" t="str">
        <f>IF(Saisie_Questions!I101="","",SUBSTITUTE(SUBSTITUTE(SUBSTITUTE(SUBSTITUTE(SUBSTITUTE(Saisie_Questions!I101,"&amp;","&amp;amp;"),"&lt;","&amp;lt;"),"&gt;","&amp;gt;"),CHAR(34),"&amp;quot;"),"'","&amp;apos;"))</f>
        <v/>
      </c>
      <c r="Q101" s="2" t="str">
        <f>IF(Saisie_Questions!J101="","",SUBSTITUTE(SUBSTITUTE(SUBSTITUTE(SUBSTITUTE(SUBSTITUTE(Saisie_Questions!J101,"&amp;","&amp;amp;"),"&lt;","&amp;lt;"),"&gt;","&amp;gt;"),CHAR(34),"&amp;quot;"),"'","&amp;apos;"))</f>
        <v/>
      </c>
      <c r="R101" s="2" t="str">
        <f>IF(Saisie_Questions!K101="","",SUBSTITUTE(SUBSTITUTE(SUBSTITUTE(SUBSTITUTE(SUBSTITUTE(Saisie_Questions!K101,"&amp;","&amp;amp;"),"&lt;","&amp;lt;"),"&gt;","&amp;gt;"),CHAR(34),"&amp;quot;"),"'","&amp;apos;"))</f>
        <v/>
      </c>
      <c r="S101" s="2" t="str">
        <f>IF(Saisie_Questions!L101="","",SUBSTITUTE(SUBSTITUTE(SUBSTITUTE(SUBSTITUTE(SUBSTITUTE(Saisie_Questions!L101,"&amp;","&amp;amp;"),"&lt;","&amp;lt;"),"&gt;","&amp;gt;"),CHAR(34),"&amp;quot;"),"'","&amp;apos;"))</f>
        <v/>
      </c>
      <c r="T101" s="2" t="b">
        <f t="shared" si="38"/>
        <v>0</v>
      </c>
      <c r="U101" s="2" t="b">
        <f t="shared" si="39"/>
        <v>0</v>
      </c>
      <c r="V101" s="2" t="b">
        <f t="shared" si="40"/>
        <v>0</v>
      </c>
      <c r="W101" s="2" t="b">
        <f t="shared" si="41"/>
        <v>0</v>
      </c>
      <c r="X101" s="2" t="b">
        <f t="shared" si="42"/>
        <v>0</v>
      </c>
      <c r="Y101" s="2" t="b">
        <f t="shared" si="43"/>
        <v>0</v>
      </c>
      <c r="Z101" s="2" t="b">
        <f t="shared" si="44"/>
        <v>0</v>
      </c>
      <c r="AA101" s="2" t="b">
        <f t="shared" si="45"/>
        <v>0</v>
      </c>
      <c r="AB101" s="2" t="str">
        <f t="shared" si="46"/>
        <v/>
      </c>
      <c r="AC101" s="2" t="str">
        <f t="shared" si="47"/>
        <v/>
      </c>
      <c r="AD101" s="2" t="str">
        <f t="shared" si="48"/>
        <v/>
      </c>
      <c r="AE101" s="2" t="str">
        <f t="shared" si="49"/>
        <v/>
      </c>
      <c r="AF101" s="2" t="str">
        <f t="shared" si="50"/>
        <v/>
      </c>
      <c r="AG101" s="2" t="str">
        <f t="shared" si="51"/>
        <v/>
      </c>
      <c r="AH101" s="2" t="str">
        <f t="shared" si="52"/>
        <v/>
      </c>
      <c r="AI101" s="2" t="str">
        <f t="shared" si="53"/>
        <v/>
      </c>
      <c r="AJ101" s="2" t="str">
        <f>IF($B101,IF(L101="","",IF($C101="qcu",IF(T101,"      &lt;respcondition continue=""Yes""&gt;&lt;conditionvar&gt;&lt;varequal respident=""RESPONSE""&gt;0&lt;/varequal&gt;&lt;/conditionvar&gt;&lt;setvar action=""Add""&gt;"&amp;$H101&amp;"&lt;/setvar&gt;&lt;/respcondition&gt;",""),IF(T101,"      &lt;respcondition continue=""Yes""&gt;&lt;conditionvar&gt;&lt;varequal respident=""RESPONSE""&gt;0&lt;/varequal&gt;&lt;/conditionvar&gt;&lt;setvar action=""Add""&gt;"&amp;(Saisie_Questions!$N101/$I101)&amp;"&lt;/setvar&gt;&lt;/respcondition&gt;","      &lt;respcondition continue=""Yes""&gt;&lt;conditionvar&gt;&lt;not&gt;&lt;varequal respident=""RESPONSE""&gt;0&lt;/varequal&gt;&lt;/not&gt;&lt;/conditionvar&gt;&lt;setvar action=""Add""&gt;"&amp;(Saisie_Questions!$N101/$I101)&amp;"&lt;/setvar&gt;&lt;/respcondition&gt;"))),"")</f>
        <v/>
      </c>
      <c r="AK101" s="2" t="str">
        <f>IF($B101,IF(M101="","",IF($C101="qcu",IF(U101,"      &lt;respcondition continue=""Yes""&gt;&lt;conditionvar&gt;&lt;varequal respident=""RESPONSE""&gt;1&lt;/varequal&gt;&lt;/conditionvar&gt;&lt;setvar action=""Add""&gt;"&amp;$H101&amp;"&lt;/setvar&gt;&lt;/respcondition&gt;",""),IF(U101,"      &lt;respcondition continue=""Yes""&gt;&lt;conditionvar&gt;&lt;varequal respident=""RESPONSE""&gt;1&lt;/varequal&gt;&lt;/conditionvar&gt;&lt;setvar action=""Add""&gt;"&amp;(Saisie_Questions!$N101/$I101)&amp;"&lt;/setvar&gt;&lt;/respcondition&gt;","      &lt;respcondition continue=""Yes""&gt;&lt;conditionvar&gt;&lt;not&gt;&lt;varequal respident=""RESPONSE""&gt;1&lt;/varequal&gt;&lt;/not&gt;&lt;/conditionvar&gt;&lt;setvar action=""Add""&gt;"&amp;(Saisie_Questions!$N101/$I101)&amp;"&lt;/setvar&gt;&lt;/respcondition&gt;"))),"")</f>
        <v/>
      </c>
      <c r="AL101" s="2" t="str">
        <f>IF($B101,IF(N101="","",IF($C101="qcu",IF(V101,"      &lt;respcondition continue=""Yes""&gt;&lt;conditionvar&gt;&lt;varequal respident=""RESPONSE""&gt;2&lt;/varequal&gt;&lt;/conditionvar&gt;&lt;setvar action=""Add""&gt;"&amp;$H101&amp;"&lt;/setvar&gt;&lt;/respcondition&gt;",""),IF(V101,"      &lt;respcondition continue=""Yes""&gt;&lt;conditionvar&gt;&lt;varequal respident=""RESPONSE""&gt;2&lt;/varequal&gt;&lt;/conditionvar&gt;&lt;setvar action=""Add""&gt;"&amp;(Saisie_Questions!$N101/$I101)&amp;"&lt;/setvar&gt;&lt;/respcondition&gt;","      &lt;respcondition continue=""Yes""&gt;&lt;conditionvar&gt;&lt;not&gt;&lt;varequal respident=""RESPONSE""&gt;2&lt;/varequal&gt;&lt;/not&gt;&lt;/conditionvar&gt;&lt;setvar action=""Add""&gt;"&amp;(Saisie_Questions!$N101/$I101)&amp;"&lt;/setvar&gt;&lt;/respcondition&gt;"))),"")</f>
        <v/>
      </c>
      <c r="AM101" s="2" t="str">
        <f>IF($B101,IF(O101="","",IF($C101="qcu",IF(W101,"      &lt;respcondition continue=""Yes""&gt;&lt;conditionvar&gt;&lt;varequal respident=""RESPONSE""&gt;3&lt;/varequal&gt;&lt;/conditionvar&gt;&lt;setvar action=""Add""&gt;"&amp;$H101&amp;"&lt;/setvar&gt;&lt;/respcondition&gt;",""),IF(W101,"      &lt;respcondition continue=""Yes""&gt;&lt;conditionvar&gt;&lt;varequal respident=""RESPONSE""&gt;3&lt;/varequal&gt;&lt;/conditionvar&gt;&lt;setvar action=""Add""&gt;"&amp;(Saisie_Questions!$N101/$I101)&amp;"&lt;/setvar&gt;&lt;/respcondition&gt;","      &lt;respcondition continue=""Yes""&gt;&lt;conditionvar&gt;&lt;not&gt;&lt;varequal respident=""RESPONSE""&gt;3&lt;/varequal&gt;&lt;/not&gt;&lt;/conditionvar&gt;&lt;setvar action=""Add""&gt;"&amp;(Saisie_Questions!$N101/$I101)&amp;"&lt;/setvar&gt;&lt;/respcondition&gt;"))),"")</f>
        <v/>
      </c>
      <c r="AN101" s="2" t="str">
        <f>IF($B101,IF(P101="","",IF($C101="qcu",IF(X101,"      &lt;respcondition continue=""Yes""&gt;&lt;conditionvar&gt;&lt;varequal respident=""RESPONSE""&gt;4&lt;/varequal&gt;&lt;/conditionvar&gt;&lt;setvar action=""Add""&gt;"&amp;$H101&amp;"&lt;/setvar&gt;&lt;/respcondition&gt;",""),IF(X101,"      &lt;respcondition continue=""Yes""&gt;&lt;conditionvar&gt;&lt;varequal respident=""RESPONSE""&gt;4&lt;/varequal&gt;&lt;/conditionvar&gt;&lt;setvar action=""Add""&gt;"&amp;(Saisie_Questions!$N101/$I101)&amp;"&lt;/setvar&gt;&lt;/respcondition&gt;","      &lt;respcondition continue=""Yes""&gt;&lt;conditionvar&gt;&lt;not&gt;&lt;varequal respident=""RESPONSE""&gt;4&lt;/varequal&gt;&lt;/not&gt;&lt;/conditionvar&gt;&lt;setvar action=""Add""&gt;"&amp;(Saisie_Questions!$N101/$I101)&amp;"&lt;/setvar&gt;&lt;/respcondition&gt;"))),"")</f>
        <v/>
      </c>
      <c r="AO101" s="2" t="str">
        <f>IF($B101,IF(Q101="","",IF($C101="qcu",IF(Y101,"      &lt;respcondition continue=""Yes""&gt;&lt;conditionvar&gt;&lt;varequal respident=""RESPONSE""&gt;5&lt;/varequal&gt;&lt;/conditionvar&gt;&lt;setvar action=""Add""&gt;"&amp;$H101&amp;"&lt;/setvar&gt;&lt;/respcondition&gt;",""),IF(Y101,"      &lt;respcondition continue=""Yes""&gt;&lt;conditionvar&gt;&lt;varequal respident=""RESPONSE""&gt;5&lt;/varequal&gt;&lt;/conditionvar&gt;&lt;setvar action=""Add""&gt;"&amp;(Saisie_Questions!$N101/$I101)&amp;"&lt;/setvar&gt;&lt;/respcondition&gt;","      &lt;respcondition continue=""Yes""&gt;&lt;conditionvar&gt;&lt;not&gt;&lt;varequal respident=""RESPONSE""&gt;5&lt;/varequal&gt;&lt;/not&gt;&lt;/conditionvar&gt;&lt;setvar action=""Add""&gt;"&amp;(Saisie_Questions!$N101/$I101)&amp;"&lt;/setvar&gt;&lt;/respcondition&gt;"))),"")</f>
        <v/>
      </c>
      <c r="AP101" s="2" t="str">
        <f>IF($B101,IF(R101="","",IF($C101="qcu",IF(Z101,"      &lt;respcondition continue=""Yes""&gt;&lt;conditionvar&gt;&lt;varequal respident=""RESPONSE""&gt;6&lt;/varequal&gt;&lt;/conditionvar&gt;&lt;setvar action=""Add""&gt;"&amp;$H101&amp;"&lt;/setvar&gt;&lt;/respcondition&gt;",""),IF(Z101,"      &lt;respcondition continue=""Yes""&gt;&lt;conditionvar&gt;&lt;varequal respident=""RESPONSE""&gt;6&lt;/varequal&gt;&lt;/conditionvar&gt;&lt;setvar action=""Add""&gt;"&amp;(Saisie_Questions!$N101/$I101)&amp;"&lt;/setvar&gt;&lt;/respcondition&gt;","      &lt;respcondition continue=""Yes""&gt;&lt;conditionvar&gt;&lt;not&gt;&lt;varequal respident=""RESPONSE""&gt;6&lt;/varequal&gt;&lt;/not&gt;&lt;/conditionvar&gt;&lt;setvar action=""Add""&gt;"&amp;(Saisie_Questions!$N101/$I101)&amp;"&lt;/setvar&gt;&lt;/respcondition&gt;"))),"")</f>
        <v/>
      </c>
      <c r="AQ101" s="2" t="str">
        <f>IF($B101,IF(S101="","",IF($C101="qcu",IF(AA101,"      &lt;respcondition continue=""Yes""&gt;&lt;conditionvar&gt;&lt;varequal respident=""RESPONSE""&gt;7&lt;/varequal&gt;&lt;/conditionvar&gt;&lt;setvar action=""Add""&gt;"&amp;$H101&amp;"&lt;/setvar&gt;&lt;/respcondition&gt;",""),IF(AA101,"      &lt;respcondition continue=""Yes""&gt;&lt;conditionvar&gt;&lt;varequal respident=""RESPONSE""&gt;7&lt;/varequal&gt;&lt;/conditionvar&gt;&lt;setvar action=""Add""&gt;"&amp;(Saisie_Questions!$N101/$I101)&amp;"&lt;/setvar&gt;&lt;/respcondition&gt;","      &lt;respcondition continue=""Yes""&gt;&lt;conditionvar&gt;&lt;not&gt;&lt;varequal respident=""RESPONSE""&gt;7&lt;/varequal&gt;&lt;/not&gt;&lt;/conditionvar&gt;&lt;setvar action=""Add""&gt;"&amp;(Saisie_Questions!$N101/$I101)&amp;"&lt;/setvar&gt;&lt;/respcondition&gt;"))),"")</f>
        <v/>
      </c>
    </row>
    <row r="102" spans="1:43" ht="18" customHeight="1">
      <c r="A102" s="2" t="str">
        <f>Saisie_Questions!A102</f>
        <v/>
      </c>
      <c r="B102" s="2" t="b">
        <f>Saisie_Questions!O102="OK"</f>
        <v>0</v>
      </c>
      <c r="C102" s="2" t="str">
        <f>LOWER(TRIM(Saisie_Questions!B102))</f>
        <v/>
      </c>
      <c r="D102" s="2" t="str">
        <f t="shared" si="54"/>
        <v>MULTIPLE CHOICE QUESTION</v>
      </c>
      <c r="E102" s="2" t="str">
        <f t="shared" si="37"/>
        <v>Multiple</v>
      </c>
      <c r="F102" s="2" t="str">
        <f>IF(A102="","",SUBSTITUTE(SUBSTITUTE(SUBSTITUTE(SUBSTITUTE(SUBSTITUTE(IF(Saisie_Questions!C102="", "Question "&amp;A102, Saisie_Questions!C102),"&amp;","&amp;amp;"),"&lt;","&amp;lt;"),"&gt;","&amp;gt;"),CHAR(34),"&amp;quot;"),"'","&amp;apos;"))</f>
        <v/>
      </c>
      <c r="G102" s="2" t="str">
        <f>IF(A102="","",SUBSTITUTE(SUBSTITUTE(SUBSTITUTE(SUBSTITUTE(SUBSTITUTE(Saisie_Questions!D102,"&amp;","&amp;amp;"),"&lt;","&amp;lt;"),"&gt;","&amp;gt;"),CHAR(34),"&amp;quot;"),"'","&amp;apos;"))</f>
        <v/>
      </c>
      <c r="H102" s="2">
        <f>Saisie_Questions!N102</f>
        <v>0</v>
      </c>
      <c r="I102" s="2">
        <f>IF(Saisie_Questions!E102="",0,1)+IF(Saisie_Questions!F102="",0,1)+IF(Saisie_Questions!G102="",0,1)+IF(Saisie_Questions!H102="",0,1)+IF(Saisie_Questions!I102="",0,1)+IF(Saisie_Questions!J102="",0,1)+IF(Saisie_Questions!K102="",0,1)+IF(Saisie_Questions!L102="",0,1)</f>
        <v>0</v>
      </c>
      <c r="J102" s="2">
        <f>Saisie_Questions!M102</f>
        <v>0</v>
      </c>
      <c r="K102" s="2" t="str">
        <f>Saisie_Questions!O102</f>
        <v/>
      </c>
      <c r="L102" s="2" t="str">
        <f>IF(Saisie_Questions!E102="","",SUBSTITUTE(SUBSTITUTE(SUBSTITUTE(SUBSTITUTE(SUBSTITUTE(Saisie_Questions!E102,"&amp;","&amp;amp;"),"&lt;","&amp;lt;"),"&gt;","&amp;gt;"),CHAR(34),"&amp;quot;"),"'","&amp;apos;"))</f>
        <v/>
      </c>
      <c r="M102" s="2" t="str">
        <f>IF(Saisie_Questions!F102="","",SUBSTITUTE(SUBSTITUTE(SUBSTITUTE(SUBSTITUTE(SUBSTITUTE(Saisie_Questions!F102,"&amp;","&amp;amp;"),"&lt;","&amp;lt;"),"&gt;","&amp;gt;"),CHAR(34),"&amp;quot;"),"'","&amp;apos;"))</f>
        <v/>
      </c>
      <c r="N102" s="2" t="str">
        <f>IF(Saisie_Questions!G102="","",SUBSTITUTE(SUBSTITUTE(SUBSTITUTE(SUBSTITUTE(SUBSTITUTE(Saisie_Questions!G102,"&amp;","&amp;amp;"),"&lt;","&amp;lt;"),"&gt;","&amp;gt;"),CHAR(34),"&amp;quot;"),"'","&amp;apos;"))</f>
        <v/>
      </c>
      <c r="O102" s="2" t="str">
        <f>IF(Saisie_Questions!H102="","",SUBSTITUTE(SUBSTITUTE(SUBSTITUTE(SUBSTITUTE(SUBSTITUTE(Saisie_Questions!H102,"&amp;","&amp;amp;"),"&lt;","&amp;lt;"),"&gt;","&amp;gt;"),CHAR(34),"&amp;quot;"),"'","&amp;apos;"))</f>
        <v/>
      </c>
      <c r="P102" s="2" t="str">
        <f>IF(Saisie_Questions!I102="","",SUBSTITUTE(SUBSTITUTE(SUBSTITUTE(SUBSTITUTE(SUBSTITUTE(Saisie_Questions!I102,"&amp;","&amp;amp;"),"&lt;","&amp;lt;"),"&gt;","&amp;gt;"),CHAR(34),"&amp;quot;"),"'","&amp;apos;"))</f>
        <v/>
      </c>
      <c r="Q102" s="2" t="str">
        <f>IF(Saisie_Questions!J102="","",SUBSTITUTE(SUBSTITUTE(SUBSTITUTE(SUBSTITUTE(SUBSTITUTE(Saisie_Questions!J102,"&amp;","&amp;amp;"),"&lt;","&amp;lt;"),"&gt;","&amp;gt;"),CHAR(34),"&amp;quot;"),"'","&amp;apos;"))</f>
        <v/>
      </c>
      <c r="R102" s="2" t="str">
        <f>IF(Saisie_Questions!K102="","",SUBSTITUTE(SUBSTITUTE(SUBSTITUTE(SUBSTITUTE(SUBSTITUTE(Saisie_Questions!K102,"&amp;","&amp;amp;"),"&lt;","&amp;lt;"),"&gt;","&amp;gt;"),CHAR(34),"&amp;quot;"),"'","&amp;apos;"))</f>
        <v/>
      </c>
      <c r="S102" s="2" t="str">
        <f>IF(Saisie_Questions!L102="","",SUBSTITUTE(SUBSTITUTE(SUBSTITUTE(SUBSTITUTE(SUBSTITUTE(Saisie_Questions!L102,"&amp;","&amp;amp;"),"&lt;","&amp;lt;"),"&gt;","&amp;gt;"),CHAR(34),"&amp;quot;"),"'","&amp;apos;"))</f>
        <v/>
      </c>
      <c r="T102" s="2" t="b">
        <f t="shared" si="38"/>
        <v>0</v>
      </c>
      <c r="U102" s="2" t="b">
        <f t="shared" si="39"/>
        <v>0</v>
      </c>
      <c r="V102" s="2" t="b">
        <f t="shared" si="40"/>
        <v>0</v>
      </c>
      <c r="W102" s="2" t="b">
        <f t="shared" si="41"/>
        <v>0</v>
      </c>
      <c r="X102" s="2" t="b">
        <f t="shared" si="42"/>
        <v>0</v>
      </c>
      <c r="Y102" s="2" t="b">
        <f t="shared" si="43"/>
        <v>0</v>
      </c>
      <c r="Z102" s="2" t="b">
        <f t="shared" si="44"/>
        <v>0</v>
      </c>
      <c r="AA102" s="2" t="b">
        <f t="shared" si="45"/>
        <v>0</v>
      </c>
      <c r="AB102" s="2" t="str">
        <f t="shared" si="46"/>
        <v/>
      </c>
      <c r="AC102" s="2" t="str">
        <f t="shared" si="47"/>
        <v/>
      </c>
      <c r="AD102" s="2" t="str">
        <f t="shared" si="48"/>
        <v/>
      </c>
      <c r="AE102" s="2" t="str">
        <f t="shared" si="49"/>
        <v/>
      </c>
      <c r="AF102" s="2" t="str">
        <f t="shared" si="50"/>
        <v/>
      </c>
      <c r="AG102" s="2" t="str">
        <f t="shared" si="51"/>
        <v/>
      </c>
      <c r="AH102" s="2" t="str">
        <f t="shared" si="52"/>
        <v/>
      </c>
      <c r="AI102" s="2" t="str">
        <f t="shared" si="53"/>
        <v/>
      </c>
      <c r="AJ102" s="2" t="str">
        <f>IF($B102,IF(L102="","",IF($C102="qcu",IF(T102,"      &lt;respcondition continue=""Yes""&gt;&lt;conditionvar&gt;&lt;varequal respident=""RESPONSE""&gt;0&lt;/varequal&gt;&lt;/conditionvar&gt;&lt;setvar action=""Add""&gt;"&amp;$H102&amp;"&lt;/setvar&gt;&lt;/respcondition&gt;",""),IF(T102,"      &lt;respcondition continue=""Yes""&gt;&lt;conditionvar&gt;&lt;varequal respident=""RESPONSE""&gt;0&lt;/varequal&gt;&lt;/conditionvar&gt;&lt;setvar action=""Add""&gt;"&amp;(Saisie_Questions!$N102/$I102)&amp;"&lt;/setvar&gt;&lt;/respcondition&gt;","      &lt;respcondition continue=""Yes""&gt;&lt;conditionvar&gt;&lt;not&gt;&lt;varequal respident=""RESPONSE""&gt;0&lt;/varequal&gt;&lt;/not&gt;&lt;/conditionvar&gt;&lt;setvar action=""Add""&gt;"&amp;(Saisie_Questions!$N102/$I102)&amp;"&lt;/setvar&gt;&lt;/respcondition&gt;"))),"")</f>
        <v/>
      </c>
      <c r="AK102" s="2" t="str">
        <f>IF($B102,IF(M102="","",IF($C102="qcu",IF(U102,"      &lt;respcondition continue=""Yes""&gt;&lt;conditionvar&gt;&lt;varequal respident=""RESPONSE""&gt;1&lt;/varequal&gt;&lt;/conditionvar&gt;&lt;setvar action=""Add""&gt;"&amp;$H102&amp;"&lt;/setvar&gt;&lt;/respcondition&gt;",""),IF(U102,"      &lt;respcondition continue=""Yes""&gt;&lt;conditionvar&gt;&lt;varequal respident=""RESPONSE""&gt;1&lt;/varequal&gt;&lt;/conditionvar&gt;&lt;setvar action=""Add""&gt;"&amp;(Saisie_Questions!$N102/$I102)&amp;"&lt;/setvar&gt;&lt;/respcondition&gt;","      &lt;respcondition continue=""Yes""&gt;&lt;conditionvar&gt;&lt;not&gt;&lt;varequal respident=""RESPONSE""&gt;1&lt;/varequal&gt;&lt;/not&gt;&lt;/conditionvar&gt;&lt;setvar action=""Add""&gt;"&amp;(Saisie_Questions!$N102/$I102)&amp;"&lt;/setvar&gt;&lt;/respcondition&gt;"))),"")</f>
        <v/>
      </c>
      <c r="AL102" s="2" t="str">
        <f>IF($B102,IF(N102="","",IF($C102="qcu",IF(V102,"      &lt;respcondition continue=""Yes""&gt;&lt;conditionvar&gt;&lt;varequal respident=""RESPONSE""&gt;2&lt;/varequal&gt;&lt;/conditionvar&gt;&lt;setvar action=""Add""&gt;"&amp;$H102&amp;"&lt;/setvar&gt;&lt;/respcondition&gt;",""),IF(V102,"      &lt;respcondition continue=""Yes""&gt;&lt;conditionvar&gt;&lt;varequal respident=""RESPONSE""&gt;2&lt;/varequal&gt;&lt;/conditionvar&gt;&lt;setvar action=""Add""&gt;"&amp;(Saisie_Questions!$N102/$I102)&amp;"&lt;/setvar&gt;&lt;/respcondition&gt;","      &lt;respcondition continue=""Yes""&gt;&lt;conditionvar&gt;&lt;not&gt;&lt;varequal respident=""RESPONSE""&gt;2&lt;/varequal&gt;&lt;/not&gt;&lt;/conditionvar&gt;&lt;setvar action=""Add""&gt;"&amp;(Saisie_Questions!$N102/$I102)&amp;"&lt;/setvar&gt;&lt;/respcondition&gt;"))),"")</f>
        <v/>
      </c>
      <c r="AM102" s="2" t="str">
        <f>IF($B102,IF(O102="","",IF($C102="qcu",IF(W102,"      &lt;respcondition continue=""Yes""&gt;&lt;conditionvar&gt;&lt;varequal respident=""RESPONSE""&gt;3&lt;/varequal&gt;&lt;/conditionvar&gt;&lt;setvar action=""Add""&gt;"&amp;$H102&amp;"&lt;/setvar&gt;&lt;/respcondition&gt;",""),IF(W102,"      &lt;respcondition continue=""Yes""&gt;&lt;conditionvar&gt;&lt;varequal respident=""RESPONSE""&gt;3&lt;/varequal&gt;&lt;/conditionvar&gt;&lt;setvar action=""Add""&gt;"&amp;(Saisie_Questions!$N102/$I102)&amp;"&lt;/setvar&gt;&lt;/respcondition&gt;","      &lt;respcondition continue=""Yes""&gt;&lt;conditionvar&gt;&lt;not&gt;&lt;varequal respident=""RESPONSE""&gt;3&lt;/varequal&gt;&lt;/not&gt;&lt;/conditionvar&gt;&lt;setvar action=""Add""&gt;"&amp;(Saisie_Questions!$N102/$I102)&amp;"&lt;/setvar&gt;&lt;/respcondition&gt;"))),"")</f>
        <v/>
      </c>
      <c r="AN102" s="2" t="str">
        <f>IF($B102,IF(P102="","",IF($C102="qcu",IF(X102,"      &lt;respcondition continue=""Yes""&gt;&lt;conditionvar&gt;&lt;varequal respident=""RESPONSE""&gt;4&lt;/varequal&gt;&lt;/conditionvar&gt;&lt;setvar action=""Add""&gt;"&amp;$H102&amp;"&lt;/setvar&gt;&lt;/respcondition&gt;",""),IF(X102,"      &lt;respcondition continue=""Yes""&gt;&lt;conditionvar&gt;&lt;varequal respident=""RESPONSE""&gt;4&lt;/varequal&gt;&lt;/conditionvar&gt;&lt;setvar action=""Add""&gt;"&amp;(Saisie_Questions!$N102/$I102)&amp;"&lt;/setvar&gt;&lt;/respcondition&gt;","      &lt;respcondition continue=""Yes""&gt;&lt;conditionvar&gt;&lt;not&gt;&lt;varequal respident=""RESPONSE""&gt;4&lt;/varequal&gt;&lt;/not&gt;&lt;/conditionvar&gt;&lt;setvar action=""Add""&gt;"&amp;(Saisie_Questions!$N102/$I102)&amp;"&lt;/setvar&gt;&lt;/respcondition&gt;"))),"")</f>
        <v/>
      </c>
      <c r="AO102" s="2" t="str">
        <f>IF($B102,IF(Q102="","",IF($C102="qcu",IF(Y102,"      &lt;respcondition continue=""Yes""&gt;&lt;conditionvar&gt;&lt;varequal respident=""RESPONSE""&gt;5&lt;/varequal&gt;&lt;/conditionvar&gt;&lt;setvar action=""Add""&gt;"&amp;$H102&amp;"&lt;/setvar&gt;&lt;/respcondition&gt;",""),IF(Y102,"      &lt;respcondition continue=""Yes""&gt;&lt;conditionvar&gt;&lt;varequal respident=""RESPONSE""&gt;5&lt;/varequal&gt;&lt;/conditionvar&gt;&lt;setvar action=""Add""&gt;"&amp;(Saisie_Questions!$N102/$I102)&amp;"&lt;/setvar&gt;&lt;/respcondition&gt;","      &lt;respcondition continue=""Yes""&gt;&lt;conditionvar&gt;&lt;not&gt;&lt;varequal respident=""RESPONSE""&gt;5&lt;/varequal&gt;&lt;/not&gt;&lt;/conditionvar&gt;&lt;setvar action=""Add""&gt;"&amp;(Saisie_Questions!$N102/$I102)&amp;"&lt;/setvar&gt;&lt;/respcondition&gt;"))),"")</f>
        <v/>
      </c>
      <c r="AP102" s="2" t="str">
        <f>IF($B102,IF(R102="","",IF($C102="qcu",IF(Z102,"      &lt;respcondition continue=""Yes""&gt;&lt;conditionvar&gt;&lt;varequal respident=""RESPONSE""&gt;6&lt;/varequal&gt;&lt;/conditionvar&gt;&lt;setvar action=""Add""&gt;"&amp;$H102&amp;"&lt;/setvar&gt;&lt;/respcondition&gt;",""),IF(Z102,"      &lt;respcondition continue=""Yes""&gt;&lt;conditionvar&gt;&lt;varequal respident=""RESPONSE""&gt;6&lt;/varequal&gt;&lt;/conditionvar&gt;&lt;setvar action=""Add""&gt;"&amp;(Saisie_Questions!$N102/$I102)&amp;"&lt;/setvar&gt;&lt;/respcondition&gt;","      &lt;respcondition continue=""Yes""&gt;&lt;conditionvar&gt;&lt;not&gt;&lt;varequal respident=""RESPONSE""&gt;6&lt;/varequal&gt;&lt;/not&gt;&lt;/conditionvar&gt;&lt;setvar action=""Add""&gt;"&amp;(Saisie_Questions!$N102/$I102)&amp;"&lt;/setvar&gt;&lt;/respcondition&gt;"))),"")</f>
        <v/>
      </c>
      <c r="AQ102" s="2" t="str">
        <f>IF($B102,IF(S102="","",IF($C102="qcu",IF(AA102,"      &lt;respcondition continue=""Yes""&gt;&lt;conditionvar&gt;&lt;varequal respident=""RESPONSE""&gt;7&lt;/varequal&gt;&lt;/conditionvar&gt;&lt;setvar action=""Add""&gt;"&amp;$H102&amp;"&lt;/setvar&gt;&lt;/respcondition&gt;",""),IF(AA102,"      &lt;respcondition continue=""Yes""&gt;&lt;conditionvar&gt;&lt;varequal respident=""RESPONSE""&gt;7&lt;/varequal&gt;&lt;/conditionvar&gt;&lt;setvar action=""Add""&gt;"&amp;(Saisie_Questions!$N102/$I102)&amp;"&lt;/setvar&gt;&lt;/respcondition&gt;","      &lt;respcondition continue=""Yes""&gt;&lt;conditionvar&gt;&lt;not&gt;&lt;varequal respident=""RESPONSE""&gt;7&lt;/varequal&gt;&lt;/not&gt;&lt;/conditionvar&gt;&lt;setvar action=""Add""&gt;"&amp;(Saisie_Questions!$N102/$I102)&amp;"&lt;/setvar&gt;&lt;/respcondition&gt;"))),"")</f>
        <v/>
      </c>
    </row>
    <row r="103" spans="1:43" ht="18" customHeight="1">
      <c r="A103" s="2" t="str">
        <f>Saisie_Questions!A103</f>
        <v/>
      </c>
      <c r="B103" s="2" t="b">
        <f>Saisie_Questions!O103="OK"</f>
        <v>0</v>
      </c>
      <c r="C103" s="2" t="str">
        <f>LOWER(TRIM(Saisie_Questions!B103))</f>
        <v/>
      </c>
      <c r="D103" s="2" t="str">
        <f t="shared" si="54"/>
        <v>MULTIPLE CHOICE QUESTION</v>
      </c>
      <c r="E103" s="2" t="str">
        <f t="shared" si="37"/>
        <v>Multiple</v>
      </c>
      <c r="F103" s="2" t="str">
        <f>IF(A103="","",SUBSTITUTE(SUBSTITUTE(SUBSTITUTE(SUBSTITUTE(SUBSTITUTE(IF(Saisie_Questions!C103="", "Question "&amp;A103, Saisie_Questions!C103),"&amp;","&amp;amp;"),"&lt;","&amp;lt;"),"&gt;","&amp;gt;"),CHAR(34),"&amp;quot;"),"'","&amp;apos;"))</f>
        <v/>
      </c>
      <c r="G103" s="2" t="str">
        <f>IF(A103="","",SUBSTITUTE(SUBSTITUTE(SUBSTITUTE(SUBSTITUTE(SUBSTITUTE(Saisie_Questions!D103,"&amp;","&amp;amp;"),"&lt;","&amp;lt;"),"&gt;","&amp;gt;"),CHAR(34),"&amp;quot;"),"'","&amp;apos;"))</f>
        <v/>
      </c>
      <c r="H103" s="2">
        <f>Saisie_Questions!N103</f>
        <v>0</v>
      </c>
      <c r="I103" s="2">
        <f>IF(Saisie_Questions!E103="",0,1)+IF(Saisie_Questions!F103="",0,1)+IF(Saisie_Questions!G103="",0,1)+IF(Saisie_Questions!H103="",0,1)+IF(Saisie_Questions!I103="",0,1)+IF(Saisie_Questions!J103="",0,1)+IF(Saisie_Questions!K103="",0,1)+IF(Saisie_Questions!L103="",0,1)</f>
        <v>0</v>
      </c>
      <c r="J103" s="2">
        <f>Saisie_Questions!M103</f>
        <v>0</v>
      </c>
      <c r="K103" s="2" t="str">
        <f>Saisie_Questions!O103</f>
        <v/>
      </c>
      <c r="L103" s="2" t="str">
        <f>IF(Saisie_Questions!E103="","",SUBSTITUTE(SUBSTITUTE(SUBSTITUTE(SUBSTITUTE(SUBSTITUTE(Saisie_Questions!E103,"&amp;","&amp;amp;"),"&lt;","&amp;lt;"),"&gt;","&amp;gt;"),CHAR(34),"&amp;quot;"),"'","&amp;apos;"))</f>
        <v/>
      </c>
      <c r="M103" s="2" t="str">
        <f>IF(Saisie_Questions!F103="","",SUBSTITUTE(SUBSTITUTE(SUBSTITUTE(SUBSTITUTE(SUBSTITUTE(Saisie_Questions!F103,"&amp;","&amp;amp;"),"&lt;","&amp;lt;"),"&gt;","&amp;gt;"),CHAR(34),"&amp;quot;"),"'","&amp;apos;"))</f>
        <v/>
      </c>
      <c r="N103" s="2" t="str">
        <f>IF(Saisie_Questions!G103="","",SUBSTITUTE(SUBSTITUTE(SUBSTITUTE(SUBSTITUTE(SUBSTITUTE(Saisie_Questions!G103,"&amp;","&amp;amp;"),"&lt;","&amp;lt;"),"&gt;","&amp;gt;"),CHAR(34),"&amp;quot;"),"'","&amp;apos;"))</f>
        <v/>
      </c>
      <c r="O103" s="2" t="str">
        <f>IF(Saisie_Questions!H103="","",SUBSTITUTE(SUBSTITUTE(SUBSTITUTE(SUBSTITUTE(SUBSTITUTE(Saisie_Questions!H103,"&amp;","&amp;amp;"),"&lt;","&amp;lt;"),"&gt;","&amp;gt;"),CHAR(34),"&amp;quot;"),"'","&amp;apos;"))</f>
        <v/>
      </c>
      <c r="P103" s="2" t="str">
        <f>IF(Saisie_Questions!I103="","",SUBSTITUTE(SUBSTITUTE(SUBSTITUTE(SUBSTITUTE(SUBSTITUTE(Saisie_Questions!I103,"&amp;","&amp;amp;"),"&lt;","&amp;lt;"),"&gt;","&amp;gt;"),CHAR(34),"&amp;quot;"),"'","&amp;apos;"))</f>
        <v/>
      </c>
      <c r="Q103" s="2" t="str">
        <f>IF(Saisie_Questions!J103="","",SUBSTITUTE(SUBSTITUTE(SUBSTITUTE(SUBSTITUTE(SUBSTITUTE(Saisie_Questions!J103,"&amp;","&amp;amp;"),"&lt;","&amp;lt;"),"&gt;","&amp;gt;"),CHAR(34),"&amp;quot;"),"'","&amp;apos;"))</f>
        <v/>
      </c>
      <c r="R103" s="2" t="str">
        <f>IF(Saisie_Questions!K103="","",SUBSTITUTE(SUBSTITUTE(SUBSTITUTE(SUBSTITUTE(SUBSTITUTE(Saisie_Questions!K103,"&amp;","&amp;amp;"),"&lt;","&amp;lt;"),"&gt;","&amp;gt;"),CHAR(34),"&amp;quot;"),"'","&amp;apos;"))</f>
        <v/>
      </c>
      <c r="S103" s="2" t="str">
        <f>IF(Saisie_Questions!L103="","",SUBSTITUTE(SUBSTITUTE(SUBSTITUTE(SUBSTITUTE(SUBSTITUTE(Saisie_Questions!L103,"&amp;","&amp;amp;"),"&lt;","&amp;lt;"),"&gt;","&amp;gt;"),CHAR(34),"&amp;quot;"),"'","&amp;apos;"))</f>
        <v/>
      </c>
      <c r="T103" s="2" t="b">
        <f t="shared" si="38"/>
        <v>0</v>
      </c>
      <c r="U103" s="2" t="b">
        <f t="shared" si="39"/>
        <v>0</v>
      </c>
      <c r="V103" s="2" t="b">
        <f t="shared" si="40"/>
        <v>0</v>
      </c>
      <c r="W103" s="2" t="b">
        <f t="shared" si="41"/>
        <v>0</v>
      </c>
      <c r="X103" s="2" t="b">
        <f t="shared" si="42"/>
        <v>0</v>
      </c>
      <c r="Y103" s="2" t="b">
        <f t="shared" si="43"/>
        <v>0</v>
      </c>
      <c r="Z103" s="2" t="b">
        <f t="shared" si="44"/>
        <v>0</v>
      </c>
      <c r="AA103" s="2" t="b">
        <f t="shared" si="45"/>
        <v>0</v>
      </c>
      <c r="AB103" s="2" t="str">
        <f t="shared" si="46"/>
        <v/>
      </c>
      <c r="AC103" s="2" t="str">
        <f t="shared" si="47"/>
        <v/>
      </c>
      <c r="AD103" s="2" t="str">
        <f t="shared" si="48"/>
        <v/>
      </c>
      <c r="AE103" s="2" t="str">
        <f t="shared" si="49"/>
        <v/>
      </c>
      <c r="AF103" s="2" t="str">
        <f t="shared" si="50"/>
        <v/>
      </c>
      <c r="AG103" s="2" t="str">
        <f t="shared" si="51"/>
        <v/>
      </c>
      <c r="AH103" s="2" t="str">
        <f t="shared" si="52"/>
        <v/>
      </c>
      <c r="AI103" s="2" t="str">
        <f t="shared" si="53"/>
        <v/>
      </c>
      <c r="AJ103" s="2" t="str">
        <f>IF($B103,IF(L103="","",IF($C103="qcu",IF(T103,"      &lt;respcondition continue=""Yes""&gt;&lt;conditionvar&gt;&lt;varequal respident=""RESPONSE""&gt;0&lt;/varequal&gt;&lt;/conditionvar&gt;&lt;setvar action=""Add""&gt;"&amp;$H103&amp;"&lt;/setvar&gt;&lt;/respcondition&gt;",""),IF(T103,"      &lt;respcondition continue=""Yes""&gt;&lt;conditionvar&gt;&lt;varequal respident=""RESPONSE""&gt;0&lt;/varequal&gt;&lt;/conditionvar&gt;&lt;setvar action=""Add""&gt;"&amp;(Saisie_Questions!$N103/$I103)&amp;"&lt;/setvar&gt;&lt;/respcondition&gt;","      &lt;respcondition continue=""Yes""&gt;&lt;conditionvar&gt;&lt;not&gt;&lt;varequal respident=""RESPONSE""&gt;0&lt;/varequal&gt;&lt;/not&gt;&lt;/conditionvar&gt;&lt;setvar action=""Add""&gt;"&amp;(Saisie_Questions!$N103/$I103)&amp;"&lt;/setvar&gt;&lt;/respcondition&gt;"))),"")</f>
        <v/>
      </c>
      <c r="AK103" s="2" t="str">
        <f>IF($B103,IF(M103="","",IF($C103="qcu",IF(U103,"      &lt;respcondition continue=""Yes""&gt;&lt;conditionvar&gt;&lt;varequal respident=""RESPONSE""&gt;1&lt;/varequal&gt;&lt;/conditionvar&gt;&lt;setvar action=""Add""&gt;"&amp;$H103&amp;"&lt;/setvar&gt;&lt;/respcondition&gt;",""),IF(U103,"      &lt;respcondition continue=""Yes""&gt;&lt;conditionvar&gt;&lt;varequal respident=""RESPONSE""&gt;1&lt;/varequal&gt;&lt;/conditionvar&gt;&lt;setvar action=""Add""&gt;"&amp;(Saisie_Questions!$N103/$I103)&amp;"&lt;/setvar&gt;&lt;/respcondition&gt;","      &lt;respcondition continue=""Yes""&gt;&lt;conditionvar&gt;&lt;not&gt;&lt;varequal respident=""RESPONSE""&gt;1&lt;/varequal&gt;&lt;/not&gt;&lt;/conditionvar&gt;&lt;setvar action=""Add""&gt;"&amp;(Saisie_Questions!$N103/$I103)&amp;"&lt;/setvar&gt;&lt;/respcondition&gt;"))),"")</f>
        <v/>
      </c>
      <c r="AL103" s="2" t="str">
        <f>IF($B103,IF(N103="","",IF($C103="qcu",IF(V103,"      &lt;respcondition continue=""Yes""&gt;&lt;conditionvar&gt;&lt;varequal respident=""RESPONSE""&gt;2&lt;/varequal&gt;&lt;/conditionvar&gt;&lt;setvar action=""Add""&gt;"&amp;$H103&amp;"&lt;/setvar&gt;&lt;/respcondition&gt;",""),IF(V103,"      &lt;respcondition continue=""Yes""&gt;&lt;conditionvar&gt;&lt;varequal respident=""RESPONSE""&gt;2&lt;/varequal&gt;&lt;/conditionvar&gt;&lt;setvar action=""Add""&gt;"&amp;(Saisie_Questions!$N103/$I103)&amp;"&lt;/setvar&gt;&lt;/respcondition&gt;","      &lt;respcondition continue=""Yes""&gt;&lt;conditionvar&gt;&lt;not&gt;&lt;varequal respident=""RESPONSE""&gt;2&lt;/varequal&gt;&lt;/not&gt;&lt;/conditionvar&gt;&lt;setvar action=""Add""&gt;"&amp;(Saisie_Questions!$N103/$I103)&amp;"&lt;/setvar&gt;&lt;/respcondition&gt;"))),"")</f>
        <v/>
      </c>
      <c r="AM103" s="2" t="str">
        <f>IF($B103,IF(O103="","",IF($C103="qcu",IF(W103,"      &lt;respcondition continue=""Yes""&gt;&lt;conditionvar&gt;&lt;varequal respident=""RESPONSE""&gt;3&lt;/varequal&gt;&lt;/conditionvar&gt;&lt;setvar action=""Add""&gt;"&amp;$H103&amp;"&lt;/setvar&gt;&lt;/respcondition&gt;",""),IF(W103,"      &lt;respcondition continue=""Yes""&gt;&lt;conditionvar&gt;&lt;varequal respident=""RESPONSE""&gt;3&lt;/varequal&gt;&lt;/conditionvar&gt;&lt;setvar action=""Add""&gt;"&amp;(Saisie_Questions!$N103/$I103)&amp;"&lt;/setvar&gt;&lt;/respcondition&gt;","      &lt;respcondition continue=""Yes""&gt;&lt;conditionvar&gt;&lt;not&gt;&lt;varequal respident=""RESPONSE""&gt;3&lt;/varequal&gt;&lt;/not&gt;&lt;/conditionvar&gt;&lt;setvar action=""Add""&gt;"&amp;(Saisie_Questions!$N103/$I103)&amp;"&lt;/setvar&gt;&lt;/respcondition&gt;"))),"")</f>
        <v/>
      </c>
      <c r="AN103" s="2" t="str">
        <f>IF($B103,IF(P103="","",IF($C103="qcu",IF(X103,"      &lt;respcondition continue=""Yes""&gt;&lt;conditionvar&gt;&lt;varequal respident=""RESPONSE""&gt;4&lt;/varequal&gt;&lt;/conditionvar&gt;&lt;setvar action=""Add""&gt;"&amp;$H103&amp;"&lt;/setvar&gt;&lt;/respcondition&gt;",""),IF(X103,"      &lt;respcondition continue=""Yes""&gt;&lt;conditionvar&gt;&lt;varequal respident=""RESPONSE""&gt;4&lt;/varequal&gt;&lt;/conditionvar&gt;&lt;setvar action=""Add""&gt;"&amp;(Saisie_Questions!$N103/$I103)&amp;"&lt;/setvar&gt;&lt;/respcondition&gt;","      &lt;respcondition continue=""Yes""&gt;&lt;conditionvar&gt;&lt;not&gt;&lt;varequal respident=""RESPONSE""&gt;4&lt;/varequal&gt;&lt;/not&gt;&lt;/conditionvar&gt;&lt;setvar action=""Add""&gt;"&amp;(Saisie_Questions!$N103/$I103)&amp;"&lt;/setvar&gt;&lt;/respcondition&gt;"))),"")</f>
        <v/>
      </c>
      <c r="AO103" s="2" t="str">
        <f>IF($B103,IF(Q103="","",IF($C103="qcu",IF(Y103,"      &lt;respcondition continue=""Yes""&gt;&lt;conditionvar&gt;&lt;varequal respident=""RESPONSE""&gt;5&lt;/varequal&gt;&lt;/conditionvar&gt;&lt;setvar action=""Add""&gt;"&amp;$H103&amp;"&lt;/setvar&gt;&lt;/respcondition&gt;",""),IF(Y103,"      &lt;respcondition continue=""Yes""&gt;&lt;conditionvar&gt;&lt;varequal respident=""RESPONSE""&gt;5&lt;/varequal&gt;&lt;/conditionvar&gt;&lt;setvar action=""Add""&gt;"&amp;(Saisie_Questions!$N103/$I103)&amp;"&lt;/setvar&gt;&lt;/respcondition&gt;","      &lt;respcondition continue=""Yes""&gt;&lt;conditionvar&gt;&lt;not&gt;&lt;varequal respident=""RESPONSE""&gt;5&lt;/varequal&gt;&lt;/not&gt;&lt;/conditionvar&gt;&lt;setvar action=""Add""&gt;"&amp;(Saisie_Questions!$N103/$I103)&amp;"&lt;/setvar&gt;&lt;/respcondition&gt;"))),"")</f>
        <v/>
      </c>
      <c r="AP103" s="2" t="str">
        <f>IF($B103,IF(R103="","",IF($C103="qcu",IF(Z103,"      &lt;respcondition continue=""Yes""&gt;&lt;conditionvar&gt;&lt;varequal respident=""RESPONSE""&gt;6&lt;/varequal&gt;&lt;/conditionvar&gt;&lt;setvar action=""Add""&gt;"&amp;$H103&amp;"&lt;/setvar&gt;&lt;/respcondition&gt;",""),IF(Z103,"      &lt;respcondition continue=""Yes""&gt;&lt;conditionvar&gt;&lt;varequal respident=""RESPONSE""&gt;6&lt;/varequal&gt;&lt;/conditionvar&gt;&lt;setvar action=""Add""&gt;"&amp;(Saisie_Questions!$N103/$I103)&amp;"&lt;/setvar&gt;&lt;/respcondition&gt;","      &lt;respcondition continue=""Yes""&gt;&lt;conditionvar&gt;&lt;not&gt;&lt;varequal respident=""RESPONSE""&gt;6&lt;/varequal&gt;&lt;/not&gt;&lt;/conditionvar&gt;&lt;setvar action=""Add""&gt;"&amp;(Saisie_Questions!$N103/$I103)&amp;"&lt;/setvar&gt;&lt;/respcondition&gt;"))),"")</f>
        <v/>
      </c>
      <c r="AQ103" s="2" t="str">
        <f>IF($B103,IF(S103="","",IF($C103="qcu",IF(AA103,"      &lt;respcondition continue=""Yes""&gt;&lt;conditionvar&gt;&lt;varequal respident=""RESPONSE""&gt;7&lt;/varequal&gt;&lt;/conditionvar&gt;&lt;setvar action=""Add""&gt;"&amp;$H103&amp;"&lt;/setvar&gt;&lt;/respcondition&gt;",""),IF(AA103,"      &lt;respcondition continue=""Yes""&gt;&lt;conditionvar&gt;&lt;varequal respident=""RESPONSE""&gt;7&lt;/varequal&gt;&lt;/conditionvar&gt;&lt;setvar action=""Add""&gt;"&amp;(Saisie_Questions!$N103/$I103)&amp;"&lt;/setvar&gt;&lt;/respcondition&gt;","      &lt;respcondition continue=""Yes""&gt;&lt;conditionvar&gt;&lt;not&gt;&lt;varequal respident=""RESPONSE""&gt;7&lt;/varequal&gt;&lt;/not&gt;&lt;/conditionvar&gt;&lt;setvar action=""Add""&gt;"&amp;(Saisie_Questions!$N103/$I103)&amp;"&lt;/setvar&gt;&lt;/respcondition&gt;"))),"")</f>
        <v/>
      </c>
    </row>
    <row r="104" spans="1:43" ht="18" customHeight="1">
      <c r="A104" s="2" t="str">
        <f>Saisie_Questions!A104</f>
        <v/>
      </c>
      <c r="B104" s="2" t="b">
        <f>Saisie_Questions!O104="OK"</f>
        <v>0</v>
      </c>
      <c r="C104" s="2" t="str">
        <f>LOWER(TRIM(Saisie_Questions!B104))</f>
        <v/>
      </c>
      <c r="D104" s="2" t="str">
        <f t="shared" si="54"/>
        <v>MULTIPLE CHOICE QUESTION</v>
      </c>
      <c r="E104" s="2" t="str">
        <f t="shared" si="37"/>
        <v>Multiple</v>
      </c>
      <c r="F104" s="2" t="str">
        <f>IF(A104="","",SUBSTITUTE(SUBSTITUTE(SUBSTITUTE(SUBSTITUTE(SUBSTITUTE(IF(Saisie_Questions!C104="", "Question "&amp;A104, Saisie_Questions!C104),"&amp;","&amp;amp;"),"&lt;","&amp;lt;"),"&gt;","&amp;gt;"),CHAR(34),"&amp;quot;"),"'","&amp;apos;"))</f>
        <v/>
      </c>
      <c r="G104" s="2" t="str">
        <f>IF(A104="","",SUBSTITUTE(SUBSTITUTE(SUBSTITUTE(SUBSTITUTE(SUBSTITUTE(Saisie_Questions!D104,"&amp;","&amp;amp;"),"&lt;","&amp;lt;"),"&gt;","&amp;gt;"),CHAR(34),"&amp;quot;"),"'","&amp;apos;"))</f>
        <v/>
      </c>
      <c r="H104" s="2">
        <f>Saisie_Questions!N104</f>
        <v>0</v>
      </c>
      <c r="I104" s="2">
        <f>IF(Saisie_Questions!E104="",0,1)+IF(Saisie_Questions!F104="",0,1)+IF(Saisie_Questions!G104="",0,1)+IF(Saisie_Questions!H104="",0,1)+IF(Saisie_Questions!I104="",0,1)+IF(Saisie_Questions!J104="",0,1)+IF(Saisie_Questions!K104="",0,1)+IF(Saisie_Questions!L104="",0,1)</f>
        <v>0</v>
      </c>
      <c r="J104" s="2">
        <f>Saisie_Questions!M104</f>
        <v>0</v>
      </c>
      <c r="K104" s="2" t="str">
        <f>Saisie_Questions!O104</f>
        <v/>
      </c>
      <c r="L104" s="2" t="str">
        <f>IF(Saisie_Questions!E104="","",SUBSTITUTE(SUBSTITUTE(SUBSTITUTE(SUBSTITUTE(SUBSTITUTE(Saisie_Questions!E104,"&amp;","&amp;amp;"),"&lt;","&amp;lt;"),"&gt;","&amp;gt;"),CHAR(34),"&amp;quot;"),"'","&amp;apos;"))</f>
        <v/>
      </c>
      <c r="M104" s="2" t="str">
        <f>IF(Saisie_Questions!F104="","",SUBSTITUTE(SUBSTITUTE(SUBSTITUTE(SUBSTITUTE(SUBSTITUTE(Saisie_Questions!F104,"&amp;","&amp;amp;"),"&lt;","&amp;lt;"),"&gt;","&amp;gt;"),CHAR(34),"&amp;quot;"),"'","&amp;apos;"))</f>
        <v/>
      </c>
      <c r="N104" s="2" t="str">
        <f>IF(Saisie_Questions!G104="","",SUBSTITUTE(SUBSTITUTE(SUBSTITUTE(SUBSTITUTE(SUBSTITUTE(Saisie_Questions!G104,"&amp;","&amp;amp;"),"&lt;","&amp;lt;"),"&gt;","&amp;gt;"),CHAR(34),"&amp;quot;"),"'","&amp;apos;"))</f>
        <v/>
      </c>
      <c r="O104" s="2" t="str">
        <f>IF(Saisie_Questions!H104="","",SUBSTITUTE(SUBSTITUTE(SUBSTITUTE(SUBSTITUTE(SUBSTITUTE(Saisie_Questions!H104,"&amp;","&amp;amp;"),"&lt;","&amp;lt;"),"&gt;","&amp;gt;"),CHAR(34),"&amp;quot;"),"'","&amp;apos;"))</f>
        <v/>
      </c>
      <c r="P104" s="2" t="str">
        <f>IF(Saisie_Questions!I104="","",SUBSTITUTE(SUBSTITUTE(SUBSTITUTE(SUBSTITUTE(SUBSTITUTE(Saisie_Questions!I104,"&amp;","&amp;amp;"),"&lt;","&amp;lt;"),"&gt;","&amp;gt;"),CHAR(34),"&amp;quot;"),"'","&amp;apos;"))</f>
        <v/>
      </c>
      <c r="Q104" s="2" t="str">
        <f>IF(Saisie_Questions!J104="","",SUBSTITUTE(SUBSTITUTE(SUBSTITUTE(SUBSTITUTE(SUBSTITUTE(Saisie_Questions!J104,"&amp;","&amp;amp;"),"&lt;","&amp;lt;"),"&gt;","&amp;gt;"),CHAR(34),"&amp;quot;"),"'","&amp;apos;"))</f>
        <v/>
      </c>
      <c r="R104" s="2" t="str">
        <f>IF(Saisie_Questions!K104="","",SUBSTITUTE(SUBSTITUTE(SUBSTITUTE(SUBSTITUTE(SUBSTITUTE(Saisie_Questions!K104,"&amp;","&amp;amp;"),"&lt;","&amp;lt;"),"&gt;","&amp;gt;"),CHAR(34),"&amp;quot;"),"'","&amp;apos;"))</f>
        <v/>
      </c>
      <c r="S104" s="2" t="str">
        <f>IF(Saisie_Questions!L104="","",SUBSTITUTE(SUBSTITUTE(SUBSTITUTE(SUBSTITUTE(SUBSTITUTE(Saisie_Questions!L104,"&amp;","&amp;amp;"),"&lt;","&amp;lt;"),"&gt;","&amp;gt;"),CHAR(34),"&amp;quot;"),"'","&amp;apos;"))</f>
        <v/>
      </c>
      <c r="T104" s="2" t="b">
        <f t="shared" si="38"/>
        <v>0</v>
      </c>
      <c r="U104" s="2" t="b">
        <f t="shared" si="39"/>
        <v>0</v>
      </c>
      <c r="V104" s="2" t="b">
        <f t="shared" si="40"/>
        <v>0</v>
      </c>
      <c r="W104" s="2" t="b">
        <f t="shared" si="41"/>
        <v>0</v>
      </c>
      <c r="X104" s="2" t="b">
        <f t="shared" si="42"/>
        <v>0</v>
      </c>
      <c r="Y104" s="2" t="b">
        <f t="shared" si="43"/>
        <v>0</v>
      </c>
      <c r="Z104" s="2" t="b">
        <f t="shared" si="44"/>
        <v>0</v>
      </c>
      <c r="AA104" s="2" t="b">
        <f t="shared" si="45"/>
        <v>0</v>
      </c>
      <c r="AB104" s="2" t="str">
        <f t="shared" si="46"/>
        <v/>
      </c>
      <c r="AC104" s="2" t="str">
        <f t="shared" si="47"/>
        <v/>
      </c>
      <c r="AD104" s="2" t="str">
        <f t="shared" si="48"/>
        <v/>
      </c>
      <c r="AE104" s="2" t="str">
        <f t="shared" si="49"/>
        <v/>
      </c>
      <c r="AF104" s="2" t="str">
        <f t="shared" si="50"/>
        <v/>
      </c>
      <c r="AG104" s="2" t="str">
        <f t="shared" si="51"/>
        <v/>
      </c>
      <c r="AH104" s="2" t="str">
        <f t="shared" si="52"/>
        <v/>
      </c>
      <c r="AI104" s="2" t="str">
        <f t="shared" si="53"/>
        <v/>
      </c>
      <c r="AJ104" s="2" t="str">
        <f>IF($B104,IF(L104="","",IF($C104="qcu",IF(T104,"      &lt;respcondition continue=""Yes""&gt;&lt;conditionvar&gt;&lt;varequal respident=""RESPONSE""&gt;0&lt;/varequal&gt;&lt;/conditionvar&gt;&lt;setvar action=""Add""&gt;"&amp;$H104&amp;"&lt;/setvar&gt;&lt;/respcondition&gt;",""),IF(T104,"      &lt;respcondition continue=""Yes""&gt;&lt;conditionvar&gt;&lt;varequal respident=""RESPONSE""&gt;0&lt;/varequal&gt;&lt;/conditionvar&gt;&lt;setvar action=""Add""&gt;"&amp;(Saisie_Questions!$N104/$I104)&amp;"&lt;/setvar&gt;&lt;/respcondition&gt;","      &lt;respcondition continue=""Yes""&gt;&lt;conditionvar&gt;&lt;not&gt;&lt;varequal respident=""RESPONSE""&gt;0&lt;/varequal&gt;&lt;/not&gt;&lt;/conditionvar&gt;&lt;setvar action=""Add""&gt;"&amp;(Saisie_Questions!$N104/$I104)&amp;"&lt;/setvar&gt;&lt;/respcondition&gt;"))),"")</f>
        <v/>
      </c>
      <c r="AK104" s="2" t="str">
        <f>IF($B104,IF(M104="","",IF($C104="qcu",IF(U104,"      &lt;respcondition continue=""Yes""&gt;&lt;conditionvar&gt;&lt;varequal respident=""RESPONSE""&gt;1&lt;/varequal&gt;&lt;/conditionvar&gt;&lt;setvar action=""Add""&gt;"&amp;$H104&amp;"&lt;/setvar&gt;&lt;/respcondition&gt;",""),IF(U104,"      &lt;respcondition continue=""Yes""&gt;&lt;conditionvar&gt;&lt;varequal respident=""RESPONSE""&gt;1&lt;/varequal&gt;&lt;/conditionvar&gt;&lt;setvar action=""Add""&gt;"&amp;(Saisie_Questions!$N104/$I104)&amp;"&lt;/setvar&gt;&lt;/respcondition&gt;","      &lt;respcondition continue=""Yes""&gt;&lt;conditionvar&gt;&lt;not&gt;&lt;varequal respident=""RESPONSE""&gt;1&lt;/varequal&gt;&lt;/not&gt;&lt;/conditionvar&gt;&lt;setvar action=""Add""&gt;"&amp;(Saisie_Questions!$N104/$I104)&amp;"&lt;/setvar&gt;&lt;/respcondition&gt;"))),"")</f>
        <v/>
      </c>
      <c r="AL104" s="2" t="str">
        <f>IF($B104,IF(N104="","",IF($C104="qcu",IF(V104,"      &lt;respcondition continue=""Yes""&gt;&lt;conditionvar&gt;&lt;varequal respident=""RESPONSE""&gt;2&lt;/varequal&gt;&lt;/conditionvar&gt;&lt;setvar action=""Add""&gt;"&amp;$H104&amp;"&lt;/setvar&gt;&lt;/respcondition&gt;",""),IF(V104,"      &lt;respcondition continue=""Yes""&gt;&lt;conditionvar&gt;&lt;varequal respident=""RESPONSE""&gt;2&lt;/varequal&gt;&lt;/conditionvar&gt;&lt;setvar action=""Add""&gt;"&amp;(Saisie_Questions!$N104/$I104)&amp;"&lt;/setvar&gt;&lt;/respcondition&gt;","      &lt;respcondition continue=""Yes""&gt;&lt;conditionvar&gt;&lt;not&gt;&lt;varequal respident=""RESPONSE""&gt;2&lt;/varequal&gt;&lt;/not&gt;&lt;/conditionvar&gt;&lt;setvar action=""Add""&gt;"&amp;(Saisie_Questions!$N104/$I104)&amp;"&lt;/setvar&gt;&lt;/respcondition&gt;"))),"")</f>
        <v/>
      </c>
      <c r="AM104" s="2" t="str">
        <f>IF($B104,IF(O104="","",IF($C104="qcu",IF(W104,"      &lt;respcondition continue=""Yes""&gt;&lt;conditionvar&gt;&lt;varequal respident=""RESPONSE""&gt;3&lt;/varequal&gt;&lt;/conditionvar&gt;&lt;setvar action=""Add""&gt;"&amp;$H104&amp;"&lt;/setvar&gt;&lt;/respcondition&gt;",""),IF(W104,"      &lt;respcondition continue=""Yes""&gt;&lt;conditionvar&gt;&lt;varequal respident=""RESPONSE""&gt;3&lt;/varequal&gt;&lt;/conditionvar&gt;&lt;setvar action=""Add""&gt;"&amp;(Saisie_Questions!$N104/$I104)&amp;"&lt;/setvar&gt;&lt;/respcondition&gt;","      &lt;respcondition continue=""Yes""&gt;&lt;conditionvar&gt;&lt;not&gt;&lt;varequal respident=""RESPONSE""&gt;3&lt;/varequal&gt;&lt;/not&gt;&lt;/conditionvar&gt;&lt;setvar action=""Add""&gt;"&amp;(Saisie_Questions!$N104/$I104)&amp;"&lt;/setvar&gt;&lt;/respcondition&gt;"))),"")</f>
        <v/>
      </c>
      <c r="AN104" s="2" t="str">
        <f>IF($B104,IF(P104="","",IF($C104="qcu",IF(X104,"      &lt;respcondition continue=""Yes""&gt;&lt;conditionvar&gt;&lt;varequal respident=""RESPONSE""&gt;4&lt;/varequal&gt;&lt;/conditionvar&gt;&lt;setvar action=""Add""&gt;"&amp;$H104&amp;"&lt;/setvar&gt;&lt;/respcondition&gt;",""),IF(X104,"      &lt;respcondition continue=""Yes""&gt;&lt;conditionvar&gt;&lt;varequal respident=""RESPONSE""&gt;4&lt;/varequal&gt;&lt;/conditionvar&gt;&lt;setvar action=""Add""&gt;"&amp;(Saisie_Questions!$N104/$I104)&amp;"&lt;/setvar&gt;&lt;/respcondition&gt;","      &lt;respcondition continue=""Yes""&gt;&lt;conditionvar&gt;&lt;not&gt;&lt;varequal respident=""RESPONSE""&gt;4&lt;/varequal&gt;&lt;/not&gt;&lt;/conditionvar&gt;&lt;setvar action=""Add""&gt;"&amp;(Saisie_Questions!$N104/$I104)&amp;"&lt;/setvar&gt;&lt;/respcondition&gt;"))),"")</f>
        <v/>
      </c>
      <c r="AO104" s="2" t="str">
        <f>IF($B104,IF(Q104="","",IF($C104="qcu",IF(Y104,"      &lt;respcondition continue=""Yes""&gt;&lt;conditionvar&gt;&lt;varequal respident=""RESPONSE""&gt;5&lt;/varequal&gt;&lt;/conditionvar&gt;&lt;setvar action=""Add""&gt;"&amp;$H104&amp;"&lt;/setvar&gt;&lt;/respcondition&gt;",""),IF(Y104,"      &lt;respcondition continue=""Yes""&gt;&lt;conditionvar&gt;&lt;varequal respident=""RESPONSE""&gt;5&lt;/varequal&gt;&lt;/conditionvar&gt;&lt;setvar action=""Add""&gt;"&amp;(Saisie_Questions!$N104/$I104)&amp;"&lt;/setvar&gt;&lt;/respcondition&gt;","      &lt;respcondition continue=""Yes""&gt;&lt;conditionvar&gt;&lt;not&gt;&lt;varequal respident=""RESPONSE""&gt;5&lt;/varequal&gt;&lt;/not&gt;&lt;/conditionvar&gt;&lt;setvar action=""Add""&gt;"&amp;(Saisie_Questions!$N104/$I104)&amp;"&lt;/setvar&gt;&lt;/respcondition&gt;"))),"")</f>
        <v/>
      </c>
      <c r="AP104" s="2" t="str">
        <f>IF($B104,IF(R104="","",IF($C104="qcu",IF(Z104,"      &lt;respcondition continue=""Yes""&gt;&lt;conditionvar&gt;&lt;varequal respident=""RESPONSE""&gt;6&lt;/varequal&gt;&lt;/conditionvar&gt;&lt;setvar action=""Add""&gt;"&amp;$H104&amp;"&lt;/setvar&gt;&lt;/respcondition&gt;",""),IF(Z104,"      &lt;respcondition continue=""Yes""&gt;&lt;conditionvar&gt;&lt;varequal respident=""RESPONSE""&gt;6&lt;/varequal&gt;&lt;/conditionvar&gt;&lt;setvar action=""Add""&gt;"&amp;(Saisie_Questions!$N104/$I104)&amp;"&lt;/setvar&gt;&lt;/respcondition&gt;","      &lt;respcondition continue=""Yes""&gt;&lt;conditionvar&gt;&lt;not&gt;&lt;varequal respident=""RESPONSE""&gt;6&lt;/varequal&gt;&lt;/not&gt;&lt;/conditionvar&gt;&lt;setvar action=""Add""&gt;"&amp;(Saisie_Questions!$N104/$I104)&amp;"&lt;/setvar&gt;&lt;/respcondition&gt;"))),"")</f>
        <v/>
      </c>
      <c r="AQ104" s="2" t="str">
        <f>IF($B104,IF(S104="","",IF($C104="qcu",IF(AA104,"      &lt;respcondition continue=""Yes""&gt;&lt;conditionvar&gt;&lt;varequal respident=""RESPONSE""&gt;7&lt;/varequal&gt;&lt;/conditionvar&gt;&lt;setvar action=""Add""&gt;"&amp;$H104&amp;"&lt;/setvar&gt;&lt;/respcondition&gt;",""),IF(AA104,"      &lt;respcondition continue=""Yes""&gt;&lt;conditionvar&gt;&lt;varequal respident=""RESPONSE""&gt;7&lt;/varequal&gt;&lt;/conditionvar&gt;&lt;setvar action=""Add""&gt;"&amp;(Saisie_Questions!$N104/$I104)&amp;"&lt;/setvar&gt;&lt;/respcondition&gt;","      &lt;respcondition continue=""Yes""&gt;&lt;conditionvar&gt;&lt;not&gt;&lt;varequal respident=""RESPONSE""&gt;7&lt;/varequal&gt;&lt;/not&gt;&lt;/conditionvar&gt;&lt;setvar action=""Add""&gt;"&amp;(Saisie_Questions!$N104/$I104)&amp;"&lt;/setvar&gt;&lt;/respcondition&gt;"))),"")</f>
        <v/>
      </c>
    </row>
    <row r="105" spans="1:43" ht="18" customHeight="1"/>
    <row r="106" spans="1:43" ht="18" customHeight="1"/>
    <row r="107" spans="1:43" ht="18" customHeight="1"/>
    <row r="108" spans="1:43" ht="18" customHeight="1"/>
    <row r="109" spans="1:43" ht="18" customHeight="1"/>
    <row r="110" spans="1:43" ht="18" customHeight="1"/>
    <row r="111" spans="1:43" ht="18" customHeight="1"/>
    <row r="112" spans="1:43" ht="18" customHeight="1"/>
    <row r="113" ht="18" customHeight="1"/>
    <row r="114" ht="18" customHeight="1"/>
    <row r="115" ht="18" customHeight="1"/>
    <row r="116" ht="18" customHeight="1"/>
    <row r="117" ht="18" customHeight="1"/>
    <row r="118" ht="18" customHeight="1"/>
    <row r="119" ht="18" customHeight="1"/>
    <row r="120" ht="18" customHeight="1"/>
    <row r="121" ht="18" customHeight="1"/>
    <row r="122" ht="18" customHeight="1"/>
    <row r="123" ht="18" customHeight="1"/>
    <row r="124" ht="18" customHeight="1"/>
    <row r="125" ht="18" customHeight="1"/>
    <row r="126" ht="18" customHeight="1"/>
    <row r="127" ht="18" customHeight="1"/>
    <row r="128" ht="18" customHeight="1"/>
    <row r="129" ht="18" customHeight="1"/>
    <row r="130" ht="18" customHeight="1"/>
    <row r="131" ht="18" customHeight="1"/>
    <row r="132" ht="18" customHeight="1"/>
    <row r="133" ht="18" customHeight="1"/>
    <row r="134" ht="18" customHeight="1"/>
    <row r="135" ht="18" customHeight="1"/>
    <row r="136" ht="18" customHeight="1"/>
    <row r="137" ht="18" customHeight="1"/>
    <row r="138" ht="18" customHeight="1"/>
    <row r="139" ht="18" customHeight="1"/>
    <row r="140" ht="18" customHeight="1"/>
    <row r="141" ht="18" customHeight="1"/>
    <row r="142" ht="18" customHeight="1"/>
    <row r="143" ht="18" customHeight="1"/>
    <row r="144" ht="18" customHeight="1"/>
    <row r="145" ht="18" customHeight="1"/>
    <row r="146" ht="18" customHeight="1"/>
    <row r="147" ht="18" customHeight="1"/>
    <row r="148" ht="18" customHeight="1"/>
    <row r="149" ht="18" customHeight="1"/>
    <row r="150" ht="18" customHeight="1"/>
    <row r="151" ht="18" customHeight="1"/>
    <row r="152" ht="18" customHeight="1"/>
    <row r="153" ht="18" customHeight="1"/>
    <row r="154" ht="18" customHeight="1"/>
    <row r="155" ht="18" customHeight="1"/>
    <row r="156" ht="18" customHeight="1"/>
    <row r="157" ht="18" customHeight="1"/>
    <row r="158" ht="18" customHeight="1"/>
    <row r="159" ht="18" customHeight="1"/>
    <row r="160" ht="18" customHeight="1"/>
    <row r="161" ht="18" customHeight="1"/>
    <row r="162" ht="18" customHeight="1"/>
    <row r="163" ht="18" customHeight="1"/>
    <row r="164" ht="18" customHeight="1"/>
    <row r="165" ht="18" customHeight="1"/>
    <row r="166" ht="18" customHeight="1"/>
    <row r="167" ht="18" customHeight="1"/>
    <row r="168" ht="18" customHeight="1"/>
    <row r="169" ht="18" customHeight="1"/>
    <row r="170" ht="18" customHeight="1"/>
    <row r="171" ht="18" customHeight="1"/>
    <row r="172" ht="18" customHeight="1"/>
    <row r="173" ht="18" customHeight="1"/>
    <row r="174" ht="18" customHeight="1"/>
    <row r="175" ht="18" customHeight="1"/>
    <row r="176" ht="18" customHeight="1"/>
    <row r="177" ht="18" customHeight="1"/>
    <row r="178" ht="18" customHeight="1"/>
    <row r="179" ht="18" customHeight="1"/>
    <row r="180" ht="18" customHeight="1"/>
    <row r="181" ht="18" customHeight="1"/>
    <row r="182" ht="18" customHeight="1"/>
    <row r="183" ht="18" customHeight="1"/>
    <row r="184" ht="18" customHeight="1"/>
    <row r="185" ht="18" customHeight="1"/>
    <row r="186" ht="18" customHeight="1"/>
    <row r="187" ht="18" customHeight="1"/>
    <row r="188" ht="18" customHeight="1"/>
    <row r="189" ht="18" customHeight="1"/>
    <row r="190" ht="18" customHeight="1"/>
    <row r="191" ht="18" customHeight="1"/>
    <row r="192" ht="18" customHeight="1"/>
    <row r="193" ht="18" customHeight="1"/>
    <row r="194" ht="18" customHeight="1"/>
    <row r="195" ht="18" customHeight="1"/>
    <row r="196" ht="18" customHeight="1"/>
    <row r="197" ht="18" customHeight="1"/>
    <row r="198" ht="18" customHeight="1"/>
    <row r="199" ht="18" customHeight="1"/>
    <row r="200" ht="18" customHeight="1"/>
    <row r="201" ht="18" customHeight="1"/>
    <row r="202" ht="18" customHeight="1"/>
    <row r="203" ht="18" customHeight="1"/>
    <row r="204" ht="18" customHeight="1"/>
    <row r="205" ht="18" customHeight="1"/>
    <row r="206" ht="18" customHeight="1"/>
    <row r="207" ht="18" customHeight="1"/>
    <row r="208" ht="18" customHeight="1"/>
    <row r="209" ht="18" customHeight="1"/>
    <row r="210" ht="18" customHeight="1"/>
    <row r="211" ht="18" customHeight="1"/>
    <row r="212" ht="18" customHeight="1"/>
    <row r="213" ht="18" customHeight="1"/>
    <row r="214" ht="18" customHeight="1"/>
    <row r="215" ht="18" customHeight="1"/>
    <row r="216" ht="18" customHeight="1"/>
    <row r="217" ht="18" customHeight="1"/>
    <row r="218" ht="18" customHeight="1"/>
    <row r="219" ht="18" customHeight="1"/>
    <row r="220" ht="18" customHeight="1"/>
    <row r="221" ht="18" customHeight="1"/>
    <row r="222" ht="18" customHeight="1"/>
    <row r="223" ht="18" customHeight="1"/>
    <row r="224" ht="18" customHeight="1"/>
    <row r="225" ht="18" customHeight="1"/>
    <row r="226" ht="18" customHeight="1"/>
    <row r="227" ht="18" customHeight="1"/>
    <row r="228" ht="18" customHeight="1"/>
    <row r="229" ht="18" customHeight="1"/>
    <row r="230" ht="18" customHeight="1"/>
    <row r="231" ht="18" customHeight="1"/>
    <row r="232" ht="18" customHeight="1"/>
    <row r="233" ht="18" customHeight="1"/>
    <row r="234" ht="18" customHeight="1"/>
    <row r="235" ht="18" customHeight="1"/>
    <row r="236" ht="18" customHeight="1"/>
    <row r="237" ht="18" customHeight="1"/>
    <row r="238" ht="18" customHeight="1"/>
    <row r="239" ht="18" customHeight="1"/>
    <row r="240" ht="18" customHeight="1"/>
    <row r="241" ht="18" customHeight="1"/>
    <row r="242" ht="18" customHeight="1"/>
    <row r="243" ht="18" customHeight="1"/>
    <row r="244" ht="18" customHeight="1"/>
    <row r="245" ht="18" customHeight="1"/>
    <row r="246" ht="18" customHeight="1"/>
    <row r="247" ht="18" customHeight="1"/>
    <row r="248" ht="18" customHeight="1"/>
    <row r="249" ht="18" customHeight="1"/>
    <row r="250" ht="18" customHeight="1"/>
    <row r="251" ht="18" customHeight="1"/>
    <row r="252" ht="18" customHeight="1"/>
    <row r="253" ht="18" customHeight="1"/>
    <row r="254" ht="18" customHeight="1"/>
    <row r="255" ht="18" customHeight="1"/>
    <row r="256" ht="18" customHeight="1"/>
    <row r="257" ht="18" customHeight="1"/>
    <row r="258" ht="18" customHeight="1"/>
    <row r="259" ht="18" customHeight="1"/>
    <row r="260" ht="18" customHeight="1"/>
    <row r="261" ht="18" customHeight="1"/>
    <row r="262" ht="18" customHeight="1"/>
    <row r="263" ht="18" customHeight="1"/>
    <row r="264" ht="18" customHeight="1"/>
    <row r="265" ht="18" customHeight="1"/>
    <row r="266" ht="18" customHeight="1"/>
    <row r="267" ht="18" customHeight="1"/>
    <row r="268" ht="18" customHeight="1"/>
    <row r="269" ht="18" customHeight="1"/>
    <row r="270" ht="18" customHeight="1"/>
    <row r="271" ht="18" customHeight="1"/>
    <row r="272" ht="18" customHeight="1"/>
    <row r="273" ht="18" customHeight="1"/>
    <row r="274" ht="18" customHeight="1"/>
    <row r="275" ht="18" customHeight="1"/>
    <row r="276" ht="18" customHeight="1"/>
    <row r="277" ht="18" customHeight="1"/>
    <row r="278" ht="18" customHeight="1"/>
    <row r="279" ht="18" customHeight="1"/>
    <row r="280" ht="18" customHeight="1"/>
    <row r="281" ht="18" customHeight="1"/>
    <row r="282" ht="18" customHeight="1"/>
    <row r="283" ht="18" customHeight="1"/>
    <row r="284" ht="18" customHeight="1"/>
    <row r="285" ht="18" customHeight="1"/>
    <row r="286" ht="18" customHeight="1"/>
    <row r="287" ht="18" customHeight="1"/>
    <row r="288" ht="18" customHeight="1"/>
    <row r="289" ht="18" customHeight="1"/>
    <row r="290" ht="18" customHeight="1"/>
    <row r="291" ht="18" customHeight="1"/>
    <row r="292" ht="18" customHeight="1"/>
    <row r="293" ht="18" customHeight="1"/>
    <row r="294" ht="18" customHeight="1"/>
    <row r="295" ht="18" customHeight="1"/>
    <row r="296" ht="18" customHeight="1"/>
    <row r="297" ht="18" customHeight="1"/>
    <row r="298" ht="18" customHeight="1"/>
    <row r="299" ht="18" customHeight="1"/>
    <row r="300" ht="18" customHeight="1"/>
    <row r="301" ht="18" customHeight="1"/>
    <row r="302" ht="18" customHeight="1"/>
    <row r="303" ht="18" customHeight="1"/>
    <row r="304" ht="18" customHeight="1"/>
    <row r="305" ht="18" customHeight="1"/>
    <row r="306" ht="18" customHeight="1"/>
    <row r="307" ht="18" customHeight="1"/>
    <row r="308" ht="18" customHeight="1"/>
    <row r="309" ht="18" customHeight="1"/>
    <row r="310" ht="18" customHeight="1"/>
    <row r="311" ht="18" customHeight="1"/>
    <row r="312" ht="18" customHeight="1"/>
    <row r="313" ht="18" customHeight="1"/>
    <row r="314" ht="18" customHeight="1"/>
    <row r="315" ht="18" customHeight="1"/>
    <row r="316" ht="18" customHeight="1"/>
    <row r="317" ht="18" customHeight="1"/>
    <row r="318" ht="18" customHeight="1"/>
    <row r="319" ht="18" customHeight="1"/>
    <row r="320" ht="18" customHeight="1"/>
    <row r="321" ht="18" customHeight="1"/>
    <row r="322" ht="18" customHeight="1"/>
    <row r="323" ht="18" customHeight="1"/>
    <row r="324" ht="18" customHeight="1"/>
    <row r="325" ht="18" customHeight="1"/>
    <row r="326" ht="18" customHeight="1"/>
    <row r="327" ht="18" customHeight="1"/>
    <row r="328" ht="18" customHeight="1"/>
    <row r="329" ht="18" customHeight="1"/>
    <row r="330" ht="18" customHeight="1"/>
    <row r="331" ht="18" customHeight="1"/>
    <row r="332" ht="18" customHeight="1"/>
    <row r="333" ht="18" customHeight="1"/>
    <row r="334" ht="18" customHeight="1"/>
    <row r="335" ht="18" customHeight="1"/>
    <row r="336" ht="18" customHeight="1"/>
    <row r="337" ht="18" customHeight="1"/>
    <row r="338" ht="18" customHeight="1"/>
    <row r="339" ht="18" customHeight="1"/>
    <row r="340" ht="18" customHeight="1"/>
    <row r="341" ht="18" customHeight="1"/>
    <row r="342" ht="18" customHeight="1"/>
    <row r="343" ht="18" customHeight="1"/>
    <row r="344" ht="18" customHeight="1"/>
    <row r="345" ht="18" customHeight="1"/>
    <row r="346" ht="18" customHeight="1"/>
    <row r="347" ht="18" customHeight="1"/>
    <row r="348" ht="18" customHeight="1"/>
    <row r="349" ht="18" customHeight="1"/>
    <row r="350" ht="18" customHeight="1"/>
    <row r="351" ht="18" customHeight="1"/>
    <row r="352" ht="18" customHeight="1"/>
    <row r="353" ht="18" customHeight="1"/>
    <row r="354" ht="18" customHeight="1"/>
    <row r="355" ht="18" customHeight="1"/>
    <row r="356" ht="18" customHeight="1"/>
    <row r="357" ht="18" customHeight="1"/>
    <row r="358" ht="18" customHeight="1"/>
    <row r="359" ht="18" customHeight="1"/>
    <row r="360" ht="18" customHeight="1"/>
    <row r="361" ht="18" customHeight="1"/>
    <row r="362" ht="18" customHeight="1"/>
    <row r="363" ht="18" customHeight="1"/>
    <row r="364" ht="18" customHeight="1"/>
    <row r="365" ht="18" customHeight="1"/>
    <row r="366" ht="18" customHeight="1"/>
    <row r="367" ht="18" customHeight="1"/>
    <row r="368" ht="18" customHeight="1"/>
    <row r="369" ht="18" customHeight="1"/>
    <row r="370" ht="18" customHeight="1"/>
    <row r="371" ht="18" customHeight="1"/>
    <row r="372" ht="18" customHeight="1"/>
    <row r="373" ht="18" customHeight="1"/>
    <row r="374" ht="18" customHeight="1"/>
    <row r="375" ht="18" customHeight="1"/>
    <row r="376" ht="18" customHeight="1"/>
    <row r="377" ht="18" customHeight="1"/>
    <row r="378" ht="18" customHeight="1"/>
    <row r="379" ht="18" customHeight="1"/>
    <row r="380" ht="18" customHeight="1"/>
    <row r="381" ht="18" customHeight="1"/>
    <row r="382" ht="18" customHeight="1"/>
    <row r="383" ht="18" customHeight="1"/>
    <row r="384" ht="18" customHeight="1"/>
    <row r="385" ht="18" customHeight="1"/>
    <row r="386" ht="18" customHeight="1"/>
    <row r="387" ht="18" customHeight="1"/>
    <row r="388" ht="18" customHeight="1"/>
    <row r="389" ht="18" customHeight="1"/>
    <row r="390" ht="18" customHeight="1"/>
    <row r="391" ht="18" customHeight="1"/>
    <row r="392" ht="18" customHeight="1"/>
    <row r="393" ht="18" customHeight="1"/>
    <row r="394" ht="18" customHeight="1"/>
    <row r="395" ht="18" customHeight="1"/>
    <row r="396" ht="18" customHeight="1"/>
    <row r="397" ht="18" customHeight="1"/>
    <row r="398" ht="18" customHeight="1"/>
    <row r="399" ht="18" customHeight="1"/>
    <row r="400" ht="18" customHeight="1"/>
    <row r="401" ht="18" customHeight="1"/>
    <row r="402" ht="18" customHeight="1"/>
    <row r="403" ht="18" customHeight="1"/>
    <row r="404" ht="18" customHeight="1"/>
    <row r="405" ht="18" customHeight="1"/>
    <row r="406" ht="18" customHeight="1"/>
    <row r="407" ht="18" customHeight="1"/>
    <row r="408" ht="18" customHeight="1"/>
    <row r="409" ht="18" customHeight="1"/>
    <row r="410" ht="18" customHeight="1"/>
    <row r="411" ht="18" customHeight="1"/>
    <row r="412" ht="18" customHeight="1"/>
    <row r="413" ht="18" customHeight="1"/>
    <row r="414" ht="18" customHeight="1"/>
    <row r="415" ht="18" customHeight="1"/>
    <row r="416" ht="18" customHeight="1"/>
    <row r="417" ht="18" customHeight="1"/>
    <row r="418" ht="18" customHeight="1"/>
    <row r="419" ht="18" customHeight="1"/>
    <row r="420" ht="18" customHeight="1"/>
    <row r="421" ht="18" customHeight="1"/>
    <row r="422" ht="18" customHeight="1"/>
    <row r="423" ht="18" customHeight="1"/>
    <row r="424" ht="18" customHeight="1"/>
    <row r="425" ht="18" customHeight="1"/>
    <row r="426" ht="18" customHeight="1"/>
    <row r="427" ht="18" customHeight="1"/>
    <row r="428" ht="18" customHeight="1"/>
    <row r="429" ht="18" customHeight="1"/>
    <row r="430" ht="18" customHeight="1"/>
    <row r="431" ht="18" customHeight="1"/>
    <row r="432" ht="18" customHeight="1"/>
    <row r="433" ht="18" customHeight="1"/>
    <row r="434" ht="18" customHeight="1"/>
    <row r="435" ht="18" customHeight="1"/>
    <row r="436" ht="18" customHeight="1"/>
    <row r="437" ht="18" customHeight="1"/>
    <row r="438" ht="18" customHeight="1"/>
    <row r="439" ht="18" customHeight="1"/>
    <row r="440" ht="18" customHeight="1"/>
    <row r="441" ht="18" customHeight="1"/>
    <row r="442" ht="18" customHeight="1"/>
    <row r="443" ht="18" customHeight="1"/>
    <row r="444" ht="18" customHeight="1"/>
    <row r="445" ht="18" customHeight="1"/>
    <row r="446" ht="18" customHeight="1"/>
    <row r="447" ht="18" customHeight="1"/>
    <row r="448" ht="18" customHeight="1"/>
    <row r="449" ht="18" customHeight="1"/>
    <row r="450" ht="18" customHeight="1"/>
    <row r="451" ht="18" customHeight="1"/>
    <row r="452" ht="18" customHeight="1"/>
    <row r="453" ht="18" customHeight="1"/>
    <row r="454" ht="18" customHeight="1"/>
    <row r="455" ht="18" customHeight="1"/>
    <row r="456" ht="18" customHeight="1"/>
    <row r="457" ht="18" customHeight="1"/>
    <row r="458" ht="18" customHeight="1"/>
    <row r="459" ht="18" customHeight="1"/>
    <row r="460" ht="18" customHeight="1"/>
    <row r="461" ht="18" customHeight="1"/>
    <row r="462" ht="18" customHeight="1"/>
    <row r="463" ht="18" customHeight="1"/>
    <row r="464" ht="18" customHeight="1"/>
    <row r="465" ht="18" customHeight="1"/>
    <row r="466" ht="18" customHeight="1"/>
    <row r="467" ht="18" customHeight="1"/>
    <row r="468" ht="18" customHeight="1"/>
    <row r="469" ht="18" customHeight="1"/>
    <row r="470" ht="18" customHeight="1"/>
    <row r="471" ht="18" customHeight="1"/>
    <row r="472" ht="18" customHeight="1"/>
    <row r="473" ht="18" customHeight="1"/>
    <row r="474" ht="18" customHeight="1"/>
    <row r="475" ht="18" customHeight="1"/>
    <row r="476" ht="18" customHeight="1"/>
    <row r="477" ht="18" customHeight="1"/>
    <row r="478" ht="18" customHeight="1"/>
    <row r="479" ht="18" customHeight="1"/>
    <row r="480" ht="18" customHeight="1"/>
    <row r="481" ht="18" customHeight="1"/>
    <row r="482" ht="18" customHeight="1"/>
    <row r="483" ht="18" customHeight="1"/>
    <row r="484" ht="18" customHeight="1"/>
    <row r="485" ht="18" customHeight="1"/>
    <row r="486" ht="18" customHeight="1"/>
    <row r="487" ht="18" customHeight="1"/>
    <row r="488" ht="18" customHeight="1"/>
    <row r="489" ht="18" customHeight="1"/>
    <row r="490" ht="18" customHeight="1"/>
    <row r="491" ht="18" customHeight="1"/>
    <row r="492" ht="18" customHeight="1"/>
    <row r="493" ht="18" customHeight="1"/>
    <row r="494" ht="18" customHeight="1"/>
    <row r="495" ht="18" customHeight="1"/>
    <row r="496" ht="18" customHeight="1"/>
    <row r="497" ht="18" customHeight="1"/>
    <row r="498" ht="18" customHeight="1"/>
    <row r="499" ht="18" customHeight="1"/>
    <row r="500" ht="18" customHeight="1"/>
    <row r="501" ht="18" customHeight="1"/>
    <row r="502" ht="18" customHeight="1"/>
    <row r="503" ht="18" customHeight="1"/>
    <row r="504" ht="18" customHeight="1"/>
    <row r="505" ht="18" customHeight="1"/>
    <row r="506" ht="18" customHeight="1"/>
    <row r="507" ht="18" customHeight="1"/>
    <row r="508" ht="18" customHeight="1"/>
    <row r="509" ht="18" customHeight="1"/>
    <row r="510" ht="18" customHeight="1"/>
    <row r="511" ht="18" customHeight="1"/>
    <row r="512" ht="18" customHeight="1"/>
    <row r="513" ht="18" customHeight="1"/>
    <row r="514" ht="18" customHeight="1"/>
    <row r="515" ht="18" customHeight="1"/>
    <row r="516" ht="18" customHeight="1"/>
    <row r="517" ht="18" customHeight="1"/>
    <row r="518" ht="18" customHeight="1"/>
    <row r="519" ht="18" customHeight="1"/>
    <row r="520" ht="18" customHeight="1"/>
    <row r="521" ht="18" customHeight="1"/>
    <row r="522" ht="18" customHeight="1"/>
    <row r="523" ht="18" customHeight="1"/>
    <row r="524" ht="18" customHeight="1"/>
    <row r="525" ht="18" customHeight="1"/>
    <row r="526" ht="18" customHeight="1"/>
    <row r="527" ht="18" customHeight="1"/>
    <row r="528" ht="18" customHeight="1"/>
    <row r="529" ht="18" customHeight="1"/>
    <row r="530" ht="18" customHeight="1"/>
    <row r="531" ht="18" customHeight="1"/>
    <row r="532" ht="18" customHeight="1"/>
    <row r="533" ht="18" customHeight="1"/>
    <row r="534" ht="18" customHeight="1"/>
    <row r="535" ht="18" customHeight="1"/>
    <row r="536" ht="18" customHeight="1"/>
    <row r="537" ht="18" customHeight="1"/>
    <row r="538" ht="18" customHeight="1"/>
    <row r="539" ht="18" customHeight="1"/>
    <row r="540" ht="18" customHeight="1"/>
    <row r="541" ht="18" customHeight="1"/>
    <row r="542" ht="18" customHeight="1"/>
    <row r="543" ht="18" customHeight="1"/>
    <row r="544" ht="18" customHeight="1"/>
    <row r="545" ht="18" customHeight="1"/>
    <row r="546" ht="18" customHeight="1"/>
    <row r="547" ht="18" customHeight="1"/>
    <row r="548" ht="18" customHeight="1"/>
    <row r="549" ht="18" customHeight="1"/>
    <row r="550" ht="18" customHeight="1"/>
    <row r="551" ht="18" customHeight="1"/>
    <row r="552" ht="18" customHeight="1"/>
    <row r="553" ht="18" customHeight="1"/>
    <row r="554" ht="18" customHeight="1"/>
    <row r="555" ht="18" customHeight="1"/>
    <row r="556" ht="18" customHeight="1"/>
    <row r="557" ht="18" customHeight="1"/>
    <row r="558" ht="18" customHeight="1"/>
    <row r="559" ht="18" customHeight="1"/>
    <row r="560" ht="18" customHeight="1"/>
    <row r="561" ht="18" customHeight="1"/>
    <row r="562" ht="18" customHeight="1"/>
    <row r="563" ht="18" customHeight="1"/>
    <row r="564" ht="18" customHeight="1"/>
    <row r="565" ht="18" customHeight="1"/>
    <row r="566" ht="18" customHeight="1"/>
    <row r="567" ht="18" customHeight="1"/>
    <row r="568" ht="18" customHeight="1"/>
    <row r="569" ht="18" customHeight="1"/>
    <row r="570" ht="18" customHeight="1"/>
    <row r="571" ht="18" customHeight="1"/>
    <row r="572" ht="18" customHeight="1"/>
    <row r="573" ht="18" customHeight="1"/>
    <row r="574" ht="18" customHeight="1"/>
    <row r="575" ht="18" customHeight="1"/>
    <row r="576" ht="18" customHeight="1"/>
    <row r="577" ht="18" customHeight="1"/>
    <row r="578" ht="18" customHeight="1"/>
    <row r="579" ht="18" customHeight="1"/>
    <row r="580" ht="18" customHeight="1"/>
    <row r="581" ht="18" customHeight="1"/>
    <row r="582" ht="18" customHeight="1"/>
    <row r="583" ht="18" customHeight="1"/>
    <row r="584" ht="18" customHeight="1"/>
    <row r="585" ht="18" customHeight="1"/>
    <row r="586" ht="18" customHeight="1"/>
    <row r="587" ht="18" customHeight="1"/>
    <row r="588" ht="18" customHeight="1"/>
    <row r="589" ht="18" customHeight="1"/>
    <row r="590" ht="18" customHeight="1"/>
    <row r="591" ht="18" customHeight="1"/>
    <row r="592" ht="18" customHeight="1"/>
    <row r="593" ht="18" customHeight="1"/>
    <row r="594" ht="18" customHeight="1"/>
    <row r="595" ht="18" customHeight="1"/>
    <row r="596" ht="18" customHeight="1"/>
    <row r="597" ht="18" customHeight="1"/>
    <row r="598" ht="18" customHeight="1"/>
    <row r="599" ht="18" customHeight="1"/>
    <row r="600" ht="18" customHeight="1"/>
    <row r="601" ht="18" customHeight="1"/>
    <row r="602" ht="18" customHeight="1"/>
    <row r="603" ht="18" customHeight="1"/>
    <row r="604" ht="18" customHeight="1"/>
    <row r="605" ht="18" customHeight="1"/>
    <row r="606" ht="18" customHeight="1"/>
    <row r="607" ht="18" customHeight="1"/>
    <row r="608" ht="18" customHeight="1"/>
    <row r="609" ht="18" customHeight="1"/>
    <row r="610" ht="18" customHeight="1"/>
    <row r="611" ht="18" customHeight="1"/>
    <row r="612" ht="18" customHeight="1"/>
    <row r="613" ht="18" customHeight="1"/>
    <row r="614" ht="18" customHeight="1"/>
    <row r="615" ht="18" customHeight="1"/>
    <row r="616" ht="18" customHeight="1"/>
    <row r="617" ht="18" customHeight="1"/>
    <row r="618" ht="18" customHeight="1"/>
    <row r="619" ht="18" customHeight="1"/>
    <row r="620" ht="18" customHeight="1"/>
    <row r="621" ht="18" customHeight="1"/>
    <row r="622" ht="18" customHeight="1"/>
    <row r="623" ht="18" customHeight="1"/>
    <row r="624" ht="18" customHeight="1"/>
    <row r="625" ht="18" customHeight="1"/>
    <row r="626" ht="18" customHeight="1"/>
    <row r="627" ht="18" customHeight="1"/>
    <row r="628" ht="18" customHeight="1"/>
    <row r="629" ht="18" customHeight="1"/>
    <row r="630" ht="18" customHeight="1"/>
    <row r="631" ht="18" customHeight="1"/>
    <row r="632" ht="18" customHeight="1"/>
    <row r="633" ht="18" customHeight="1"/>
    <row r="634" ht="18" customHeight="1"/>
    <row r="635" ht="18" customHeight="1"/>
    <row r="636" ht="18" customHeight="1"/>
    <row r="637" ht="18" customHeight="1"/>
    <row r="638" ht="18" customHeight="1"/>
    <row r="639" ht="18" customHeight="1"/>
    <row r="640" ht="18" customHeight="1"/>
    <row r="641" ht="18" customHeight="1"/>
    <row r="642" ht="18" customHeight="1"/>
    <row r="643" ht="18" customHeight="1"/>
    <row r="644" ht="18" customHeight="1"/>
    <row r="645" ht="18" customHeight="1"/>
    <row r="646" ht="18" customHeight="1"/>
    <row r="647" ht="18" customHeight="1"/>
    <row r="648" ht="18" customHeight="1"/>
    <row r="649" ht="18" customHeight="1"/>
    <row r="650" ht="18" customHeight="1"/>
    <row r="651" ht="18" customHeight="1"/>
    <row r="652" ht="18" customHeight="1"/>
    <row r="653" ht="18" customHeight="1"/>
    <row r="654" ht="18" customHeight="1"/>
    <row r="655" ht="18" customHeight="1"/>
    <row r="656" ht="18" customHeight="1"/>
    <row r="657" ht="18" customHeight="1"/>
    <row r="658" ht="18" customHeight="1"/>
    <row r="659" ht="18" customHeight="1"/>
    <row r="660" ht="18" customHeight="1"/>
    <row r="661" ht="18" customHeight="1"/>
    <row r="662" ht="18" customHeight="1"/>
    <row r="663" ht="18" customHeight="1"/>
    <row r="664" ht="18" customHeight="1"/>
    <row r="665" ht="18" customHeight="1"/>
    <row r="666" ht="18" customHeight="1"/>
    <row r="667" ht="18" customHeight="1"/>
    <row r="668" ht="18" customHeight="1"/>
    <row r="669" ht="18" customHeight="1"/>
    <row r="670" ht="18" customHeight="1"/>
    <row r="671" ht="18" customHeight="1"/>
    <row r="672" ht="18" customHeight="1"/>
    <row r="673" ht="18" customHeight="1"/>
    <row r="674" ht="18" customHeight="1"/>
    <row r="675" ht="18" customHeight="1"/>
    <row r="676" ht="18" customHeight="1"/>
    <row r="677" ht="18" customHeight="1"/>
    <row r="678" ht="18" customHeight="1"/>
    <row r="679" ht="18" customHeight="1"/>
    <row r="680" ht="18" customHeight="1"/>
    <row r="681" ht="18" customHeight="1"/>
    <row r="682" ht="18" customHeight="1"/>
    <row r="683" ht="18" customHeight="1"/>
    <row r="684" ht="18" customHeight="1"/>
    <row r="685" ht="18" customHeight="1"/>
    <row r="686" ht="18" customHeight="1"/>
    <row r="687" ht="18" customHeight="1"/>
    <row r="688" ht="18" customHeight="1"/>
    <row r="689" ht="18" customHeight="1"/>
    <row r="690" ht="18" customHeight="1"/>
    <row r="691" ht="18" customHeight="1"/>
    <row r="692" ht="18" customHeight="1"/>
    <row r="693" ht="18" customHeight="1"/>
    <row r="694" ht="18" customHeight="1"/>
    <row r="695" ht="18" customHeight="1"/>
    <row r="696" ht="18" customHeight="1"/>
    <row r="697" ht="18" customHeight="1"/>
    <row r="698" ht="18" customHeight="1"/>
    <row r="699" ht="18" customHeight="1"/>
    <row r="700" ht="18" customHeight="1"/>
    <row r="701" ht="18" customHeight="1"/>
    <row r="702" ht="18" customHeight="1"/>
    <row r="703" ht="18" customHeight="1"/>
    <row r="704" ht="18" customHeight="1"/>
    <row r="705" ht="18" customHeight="1"/>
    <row r="706" ht="18" customHeight="1"/>
    <row r="707" ht="18" customHeight="1"/>
    <row r="708" ht="18" customHeight="1"/>
    <row r="709" ht="18" customHeight="1"/>
    <row r="710" ht="18" customHeight="1"/>
    <row r="711" ht="18" customHeight="1"/>
    <row r="712" ht="18" customHeight="1"/>
    <row r="713" ht="18" customHeight="1"/>
    <row r="714" ht="18" customHeight="1"/>
    <row r="715" ht="18" customHeight="1"/>
    <row r="716" ht="18" customHeight="1"/>
    <row r="717" ht="18" customHeight="1"/>
    <row r="718" ht="18" customHeight="1"/>
    <row r="719" ht="18" customHeight="1"/>
    <row r="720" ht="18" customHeight="1"/>
    <row r="721" ht="18" customHeight="1"/>
    <row r="722" ht="18" customHeight="1"/>
    <row r="723" ht="18" customHeight="1"/>
    <row r="724" ht="18" customHeight="1"/>
    <row r="725" ht="18" customHeight="1"/>
    <row r="726" ht="18" customHeight="1"/>
    <row r="727" ht="18" customHeight="1"/>
    <row r="728" ht="18" customHeight="1"/>
    <row r="729" ht="18" customHeight="1"/>
    <row r="730" ht="18" customHeight="1"/>
    <row r="731" ht="18" customHeight="1"/>
    <row r="732" ht="18" customHeight="1"/>
    <row r="733" ht="18" customHeight="1"/>
    <row r="734" ht="18" customHeight="1"/>
    <row r="735" ht="18" customHeight="1"/>
    <row r="736" ht="18" customHeight="1"/>
    <row r="737" ht="18" customHeight="1"/>
    <row r="738" ht="18" customHeight="1"/>
    <row r="739" ht="18" customHeight="1"/>
    <row r="740" ht="18" customHeight="1"/>
    <row r="741" ht="18" customHeight="1"/>
    <row r="742" ht="18" customHeight="1"/>
    <row r="743" ht="18" customHeight="1"/>
    <row r="744" ht="18" customHeight="1"/>
    <row r="745" ht="18" customHeight="1"/>
    <row r="746" ht="18" customHeight="1"/>
    <row r="747" ht="18" customHeight="1"/>
    <row r="748" ht="18" customHeight="1"/>
    <row r="749" ht="18" customHeight="1"/>
    <row r="750" ht="18" customHeight="1"/>
    <row r="751" ht="18" customHeight="1"/>
    <row r="752" ht="18" customHeight="1"/>
    <row r="753" ht="18" customHeight="1"/>
    <row r="754" ht="18" customHeight="1"/>
    <row r="755" ht="18" customHeight="1"/>
    <row r="756" ht="18" customHeight="1"/>
    <row r="757" ht="18" customHeight="1"/>
    <row r="758" ht="18" customHeight="1"/>
    <row r="759" ht="18" customHeight="1"/>
    <row r="760" ht="18" customHeight="1"/>
    <row r="761" ht="18" customHeight="1"/>
    <row r="762" ht="18" customHeight="1"/>
    <row r="763" ht="18" customHeight="1"/>
    <row r="764" ht="18" customHeight="1"/>
    <row r="765" ht="18" customHeight="1"/>
    <row r="766" ht="18" customHeight="1"/>
    <row r="767" ht="18" customHeight="1"/>
    <row r="768" ht="18" customHeight="1"/>
    <row r="769" ht="18" customHeight="1"/>
    <row r="770" ht="18" customHeight="1"/>
    <row r="771" ht="18" customHeight="1"/>
    <row r="772" ht="18" customHeight="1"/>
    <row r="773" ht="18" customHeight="1"/>
    <row r="774" ht="18" customHeight="1"/>
    <row r="775" ht="18" customHeight="1"/>
    <row r="776" ht="18" customHeight="1"/>
    <row r="777" ht="18" customHeight="1"/>
    <row r="778" ht="18" customHeight="1"/>
    <row r="779" ht="18" customHeight="1"/>
    <row r="780" ht="18" customHeight="1"/>
    <row r="781" ht="18" customHeight="1"/>
    <row r="782" ht="18" customHeight="1"/>
    <row r="783" ht="18" customHeight="1"/>
    <row r="784" ht="18" customHeight="1"/>
    <row r="785" ht="18" customHeight="1"/>
    <row r="786" ht="18" customHeight="1"/>
    <row r="787" ht="18" customHeight="1"/>
    <row r="788" ht="18" customHeight="1"/>
    <row r="789" ht="18" customHeight="1"/>
    <row r="790" ht="18" customHeight="1"/>
    <row r="791" ht="18" customHeight="1"/>
    <row r="792" ht="18" customHeight="1"/>
    <row r="793" ht="18" customHeight="1"/>
    <row r="794" ht="18" customHeight="1"/>
    <row r="795" ht="18" customHeight="1"/>
    <row r="796" ht="18" customHeight="1"/>
    <row r="797" ht="18" customHeight="1"/>
    <row r="798" ht="18" customHeight="1"/>
    <row r="799" ht="18" customHeight="1"/>
    <row r="800" ht="18" customHeight="1"/>
    <row r="801" ht="18" customHeight="1"/>
    <row r="802" ht="18" customHeight="1"/>
    <row r="803" ht="18" customHeight="1"/>
    <row r="804" ht="18" customHeight="1"/>
    <row r="805" ht="18" customHeight="1"/>
    <row r="806" ht="18" customHeight="1"/>
    <row r="807" ht="18" customHeight="1"/>
    <row r="808" ht="18" customHeight="1"/>
    <row r="809" ht="18" customHeight="1"/>
    <row r="810" ht="18" customHeight="1"/>
    <row r="811" ht="18" customHeight="1"/>
    <row r="812" ht="18" customHeight="1"/>
    <row r="813" ht="18" customHeight="1"/>
    <row r="814" ht="18" customHeight="1"/>
    <row r="815" ht="18" customHeight="1"/>
    <row r="816" ht="18" customHeight="1"/>
    <row r="817" ht="18" customHeight="1"/>
    <row r="818" ht="18" customHeight="1"/>
    <row r="819" ht="18" customHeight="1"/>
    <row r="820" ht="18" customHeight="1"/>
    <row r="821" ht="18" customHeight="1"/>
    <row r="822" ht="18" customHeight="1"/>
    <row r="823" ht="18" customHeight="1"/>
    <row r="824" ht="18" customHeight="1"/>
    <row r="825" ht="18" customHeight="1"/>
    <row r="826" ht="18" customHeight="1"/>
    <row r="827" ht="18" customHeight="1"/>
    <row r="828" ht="18" customHeight="1"/>
    <row r="829" ht="18" customHeight="1"/>
    <row r="830" ht="18" customHeight="1"/>
    <row r="831" ht="18" customHeight="1"/>
    <row r="832" ht="18" customHeight="1"/>
    <row r="833" ht="18" customHeight="1"/>
    <row r="834" ht="18" customHeight="1"/>
    <row r="835" ht="18" customHeight="1"/>
    <row r="836" ht="18" customHeight="1"/>
    <row r="837" ht="18" customHeight="1"/>
    <row r="838" ht="18" customHeight="1"/>
    <row r="839" ht="18" customHeight="1"/>
    <row r="840" ht="18" customHeight="1"/>
    <row r="841" ht="18" customHeight="1"/>
    <row r="842" ht="18" customHeight="1"/>
    <row r="843" ht="18" customHeight="1"/>
    <row r="844" ht="18" customHeight="1"/>
    <row r="845" ht="18" customHeight="1"/>
    <row r="846" ht="18" customHeight="1"/>
    <row r="847" ht="18" customHeight="1"/>
    <row r="848" ht="18" customHeight="1"/>
    <row r="849" ht="18" customHeight="1"/>
    <row r="850" ht="18" customHeight="1"/>
    <row r="851" ht="18" customHeight="1"/>
    <row r="852" ht="18" customHeight="1"/>
    <row r="853" ht="18" customHeight="1"/>
    <row r="854" ht="18" customHeight="1"/>
    <row r="855" ht="18" customHeight="1"/>
    <row r="856" ht="18" customHeight="1"/>
    <row r="857" ht="18" customHeight="1"/>
    <row r="858" ht="18" customHeight="1"/>
    <row r="859" ht="18" customHeight="1"/>
    <row r="860" ht="18" customHeight="1"/>
    <row r="861" ht="18" customHeight="1"/>
    <row r="862" ht="18" customHeight="1"/>
    <row r="863" ht="18" customHeight="1"/>
    <row r="864" ht="18" customHeight="1"/>
    <row r="865" ht="18" customHeight="1"/>
    <row r="866" ht="18" customHeight="1"/>
    <row r="867" ht="18" customHeight="1"/>
    <row r="868" ht="18" customHeight="1"/>
    <row r="869" ht="18" customHeight="1"/>
    <row r="870" ht="18" customHeight="1"/>
    <row r="871" ht="18" customHeight="1"/>
    <row r="872" ht="18" customHeight="1"/>
    <row r="873" ht="18" customHeight="1"/>
    <row r="874" ht="18" customHeight="1"/>
    <row r="875" ht="18" customHeight="1"/>
    <row r="876" ht="18" customHeight="1"/>
    <row r="877" ht="18" customHeight="1"/>
    <row r="878" ht="18" customHeight="1"/>
    <row r="879" ht="18" customHeight="1"/>
    <row r="880" ht="18" customHeight="1"/>
    <row r="881" ht="18" customHeight="1"/>
    <row r="882" ht="18" customHeight="1"/>
    <row r="883" ht="18" customHeight="1"/>
    <row r="884" ht="18" customHeight="1"/>
    <row r="885" ht="18" customHeight="1"/>
    <row r="886" ht="18" customHeight="1"/>
    <row r="887" ht="18" customHeight="1"/>
    <row r="888" ht="18" customHeight="1"/>
    <row r="889" ht="18" customHeight="1"/>
    <row r="890" ht="18" customHeight="1"/>
    <row r="891" ht="18" customHeight="1"/>
    <row r="892" ht="18" customHeight="1"/>
    <row r="893" ht="18" customHeight="1"/>
    <row r="894" ht="18" customHeight="1"/>
    <row r="895" ht="18" customHeight="1"/>
    <row r="896" ht="18" customHeight="1"/>
    <row r="897" ht="18" customHeight="1"/>
    <row r="898" ht="18" customHeight="1"/>
    <row r="899" ht="18" customHeight="1"/>
    <row r="900" ht="18" customHeight="1"/>
    <row r="901" ht="18" customHeight="1"/>
    <row r="902" ht="18" customHeight="1"/>
    <row r="903" ht="18" customHeight="1"/>
    <row r="904" ht="18" customHeight="1"/>
    <row r="905" ht="18" customHeight="1"/>
    <row r="906" ht="18" customHeight="1"/>
    <row r="907" ht="18" customHeight="1"/>
    <row r="908" ht="18" customHeight="1"/>
    <row r="909" ht="18" customHeight="1"/>
    <row r="910" ht="18" customHeight="1"/>
    <row r="911" ht="18" customHeight="1"/>
    <row r="912" ht="18" customHeight="1"/>
    <row r="913" ht="18" customHeight="1"/>
    <row r="914" ht="18" customHeight="1"/>
    <row r="915" ht="18" customHeight="1"/>
    <row r="916" ht="18" customHeight="1"/>
    <row r="917" ht="18" customHeight="1"/>
    <row r="918" ht="18" customHeight="1"/>
    <row r="919" ht="18" customHeight="1"/>
    <row r="920" ht="18" customHeight="1"/>
    <row r="921" ht="18" customHeight="1"/>
    <row r="922" ht="18" customHeight="1"/>
    <row r="923" ht="18" customHeight="1"/>
    <row r="924" ht="18" customHeight="1"/>
    <row r="925" ht="18" customHeight="1"/>
    <row r="926" ht="18" customHeight="1"/>
    <row r="927" ht="18" customHeight="1"/>
    <row r="928" ht="18" customHeight="1"/>
    <row r="929" ht="18" customHeight="1"/>
    <row r="930" ht="18" customHeight="1"/>
    <row r="931" ht="18" customHeight="1"/>
    <row r="932" ht="18" customHeight="1"/>
    <row r="933" ht="18" customHeight="1"/>
    <row r="934" ht="18" customHeight="1"/>
    <row r="935" ht="18" customHeight="1"/>
    <row r="936" ht="18" customHeight="1"/>
    <row r="937" ht="18" customHeight="1"/>
    <row r="938" ht="18" customHeight="1"/>
    <row r="939" ht="18" customHeight="1"/>
    <row r="940" ht="18" customHeight="1"/>
    <row r="941" ht="18" customHeight="1"/>
    <row r="942" ht="18" customHeight="1"/>
    <row r="943" ht="18" customHeight="1"/>
    <row r="944" ht="18" customHeight="1"/>
    <row r="945" ht="18" customHeight="1"/>
    <row r="946" ht="18" customHeight="1"/>
    <row r="947" ht="18" customHeight="1"/>
    <row r="948" ht="18" customHeight="1"/>
    <row r="949" ht="18" customHeight="1"/>
    <row r="950" ht="18" customHeight="1"/>
    <row r="951" ht="18" customHeight="1"/>
    <row r="952" ht="18" customHeight="1"/>
    <row r="953" ht="18" customHeight="1"/>
    <row r="954" ht="18" customHeight="1"/>
    <row r="955" ht="18" customHeight="1"/>
    <row r="956" ht="18" customHeight="1"/>
    <row r="957" ht="18" customHeight="1"/>
    <row r="958" ht="18" customHeight="1"/>
    <row r="959" ht="18" customHeight="1"/>
    <row r="960" ht="18" customHeight="1"/>
    <row r="961" ht="18" customHeight="1"/>
    <row r="962" ht="18" customHeight="1"/>
    <row r="963" ht="18" customHeight="1"/>
    <row r="964" ht="18" customHeight="1"/>
    <row r="965" ht="18" customHeight="1"/>
    <row r="966" ht="18" customHeight="1"/>
    <row r="967" ht="18" customHeight="1"/>
    <row r="968" ht="18" customHeight="1"/>
    <row r="969" ht="18" customHeight="1"/>
    <row r="970" ht="18" customHeight="1"/>
    <row r="971" ht="18" customHeight="1"/>
    <row r="972" ht="18" customHeight="1"/>
    <row r="973" ht="18" customHeight="1"/>
    <row r="974" ht="18" customHeight="1"/>
    <row r="975" ht="18" customHeight="1"/>
    <row r="976" ht="18" customHeight="1"/>
    <row r="977" ht="18" customHeight="1"/>
    <row r="978" ht="18" customHeight="1"/>
    <row r="979" ht="18" customHeight="1"/>
    <row r="980" ht="18" customHeight="1"/>
    <row r="981" ht="18" customHeight="1"/>
    <row r="982" ht="18" customHeight="1"/>
    <row r="983" ht="18" customHeight="1"/>
    <row r="984" ht="18" customHeight="1"/>
    <row r="985" ht="18" customHeight="1"/>
    <row r="986" ht="18" customHeight="1"/>
    <row r="987" ht="18" customHeight="1"/>
    <row r="988" ht="18" customHeight="1"/>
    <row r="989" ht="18" customHeight="1"/>
    <row r="990" ht="18" customHeight="1"/>
    <row r="991" ht="18" customHeight="1"/>
    <row r="992" ht="18" customHeight="1"/>
    <row r="993" ht="18" customHeight="1"/>
    <row r="994" ht="18" customHeight="1"/>
    <row r="995" ht="18" customHeight="1"/>
    <row r="996" ht="18" customHeight="1"/>
    <row r="997" ht="18" customHeight="1"/>
    <row r="998" ht="18" customHeight="1"/>
    <row r="999" ht="18" customHeight="1"/>
    <row r="1000" ht="18" customHeight="1"/>
    <row r="1001" ht="18" customHeight="1"/>
    <row r="1002" ht="18" customHeight="1"/>
    <row r="1003" ht="18" customHeight="1"/>
    <row r="1004" ht="18" customHeight="1"/>
    <row r="1005" ht="18" customHeight="1"/>
    <row r="1006" ht="18" customHeight="1"/>
    <row r="1007" ht="18" customHeight="1"/>
    <row r="1008" ht="18" customHeight="1"/>
    <row r="1009" ht="18" customHeight="1"/>
    <row r="1010" ht="18" customHeight="1"/>
    <row r="1011" ht="18" customHeight="1"/>
    <row r="1012" ht="18" customHeight="1"/>
    <row r="1013" ht="18" customHeight="1"/>
    <row r="1014" ht="18" customHeight="1"/>
    <row r="1015" ht="18" customHeight="1"/>
    <row r="1016" ht="18" customHeight="1"/>
    <row r="1017" ht="18" customHeight="1"/>
    <row r="1018" ht="18" customHeight="1"/>
    <row r="1019" ht="18" customHeight="1"/>
    <row r="1020" ht="18" customHeight="1"/>
    <row r="1021" ht="18" customHeight="1"/>
    <row r="1022" ht="18" customHeight="1"/>
    <row r="1023" ht="18" customHeight="1"/>
    <row r="1024" ht="18" customHeight="1"/>
    <row r="1025" ht="18" customHeight="1"/>
    <row r="1026" ht="18" customHeight="1"/>
    <row r="1027" ht="18" customHeight="1"/>
    <row r="1028" ht="18" customHeight="1"/>
    <row r="1029" ht="18" customHeight="1"/>
    <row r="1030" ht="18" customHeight="1"/>
    <row r="1031" ht="18" customHeight="1"/>
    <row r="1032" ht="18" customHeight="1"/>
    <row r="1033" ht="18" customHeight="1"/>
    <row r="1034" ht="18" customHeight="1"/>
    <row r="1035" ht="18" customHeight="1"/>
    <row r="1036" ht="18" customHeight="1"/>
    <row r="1037" ht="18" customHeight="1"/>
    <row r="1038" ht="18" customHeight="1"/>
    <row r="1039" ht="18" customHeight="1"/>
    <row r="1040" ht="18" customHeight="1"/>
    <row r="1041" ht="18" customHeight="1"/>
    <row r="1042" ht="18" customHeight="1"/>
    <row r="1043" ht="18" customHeight="1"/>
    <row r="1044" ht="18" customHeight="1"/>
    <row r="1045" ht="18" customHeight="1"/>
    <row r="1046" ht="18" customHeight="1"/>
    <row r="1047" ht="18" customHeight="1"/>
    <row r="1048" ht="18" customHeight="1"/>
    <row r="1049" ht="18" customHeight="1"/>
    <row r="1050" ht="18" customHeight="1"/>
    <row r="1051" ht="18" customHeight="1"/>
    <row r="1052" ht="18" customHeight="1"/>
    <row r="1053" ht="18" customHeight="1"/>
    <row r="1054" ht="18" customHeight="1"/>
    <row r="1055" ht="18" customHeight="1"/>
    <row r="1056" ht="18" customHeight="1"/>
    <row r="1057" ht="18" customHeight="1"/>
    <row r="1058" ht="18" customHeight="1"/>
    <row r="1059" ht="18" customHeight="1"/>
    <row r="1060" ht="18" customHeight="1"/>
    <row r="1061" ht="18" customHeight="1"/>
    <row r="1062" ht="18" customHeight="1"/>
    <row r="1063" ht="18" customHeight="1"/>
    <row r="1064" ht="18" customHeight="1"/>
    <row r="1065" ht="18" customHeight="1"/>
    <row r="1066" ht="18" customHeight="1"/>
    <row r="1067" ht="18" customHeight="1"/>
    <row r="1068" ht="18" customHeight="1"/>
    <row r="1069" ht="18" customHeight="1"/>
    <row r="1070" ht="18" customHeight="1"/>
    <row r="1071" ht="18" customHeight="1"/>
    <row r="1072" ht="18" customHeight="1"/>
    <row r="1073" ht="18" customHeight="1"/>
    <row r="1074" ht="18" customHeight="1"/>
    <row r="1075" ht="18" customHeight="1"/>
    <row r="1076" ht="18" customHeight="1"/>
    <row r="1077" ht="18" customHeight="1"/>
    <row r="1078" ht="18" customHeight="1"/>
    <row r="1079" ht="18" customHeight="1"/>
    <row r="1080" ht="18" customHeight="1"/>
    <row r="1081" ht="18" customHeight="1"/>
    <row r="1082" ht="18" customHeight="1"/>
    <row r="1083" ht="18" customHeight="1"/>
    <row r="1084" ht="18" customHeight="1"/>
    <row r="1085" ht="18" customHeight="1"/>
    <row r="1086" ht="18" customHeight="1"/>
    <row r="1087" ht="18" customHeight="1"/>
    <row r="1088" ht="18" customHeight="1"/>
    <row r="1089" ht="18" customHeight="1"/>
    <row r="1090" ht="18" customHeight="1"/>
    <row r="1091" ht="18" customHeight="1"/>
    <row r="1092" ht="18" customHeight="1"/>
    <row r="1093" ht="18" customHeight="1"/>
    <row r="1094" ht="18" customHeight="1"/>
    <row r="1095" ht="18" customHeight="1"/>
    <row r="1096" ht="18" customHeight="1"/>
    <row r="1097" ht="18" customHeight="1"/>
    <row r="1098" ht="18" customHeight="1"/>
    <row r="1099" ht="18" customHeight="1"/>
    <row r="1100" ht="18" customHeight="1"/>
    <row r="1101" ht="18" customHeight="1"/>
    <row r="1102" ht="18" customHeight="1"/>
    <row r="1103" ht="18" customHeight="1"/>
    <row r="1104" ht="18" customHeight="1"/>
    <row r="1105" ht="18" customHeight="1"/>
    <row r="1106" ht="18" customHeight="1"/>
    <row r="1107" ht="18" customHeight="1"/>
    <row r="1108" ht="18" customHeight="1"/>
    <row r="1109" ht="18" customHeight="1"/>
    <row r="1110" ht="18" customHeight="1"/>
    <row r="1111" ht="18" customHeight="1"/>
    <row r="1112" ht="18" customHeight="1"/>
    <row r="1113" ht="18" customHeight="1"/>
    <row r="1114" ht="18" customHeight="1"/>
    <row r="1115" ht="18" customHeight="1"/>
    <row r="1116" ht="18" customHeight="1"/>
    <row r="1117" ht="18" customHeight="1"/>
    <row r="1118" ht="18" customHeight="1"/>
    <row r="1119" ht="18" customHeight="1"/>
    <row r="1120" ht="18" customHeight="1"/>
    <row r="1121" ht="18" customHeight="1"/>
    <row r="1122" ht="18" customHeight="1"/>
    <row r="1123" ht="18" customHeight="1"/>
    <row r="1124" ht="18" customHeight="1"/>
    <row r="1125" ht="18" customHeight="1"/>
    <row r="1126" ht="18" customHeight="1"/>
    <row r="1127" ht="18" customHeight="1"/>
    <row r="1128" ht="18" customHeight="1"/>
    <row r="1129" ht="18" customHeight="1"/>
    <row r="1130" ht="18" customHeight="1"/>
    <row r="1131" ht="18" customHeight="1"/>
    <row r="1132" ht="18" customHeight="1"/>
    <row r="1133" ht="18" customHeight="1"/>
    <row r="1134" ht="18" customHeight="1"/>
    <row r="1135" ht="18" customHeight="1"/>
    <row r="1136" ht="18" customHeight="1"/>
    <row r="1137" ht="18" customHeight="1"/>
    <row r="1138" ht="18" customHeight="1"/>
    <row r="1139" ht="18" customHeight="1"/>
    <row r="1140" ht="18" customHeight="1"/>
    <row r="1141" ht="18" customHeight="1"/>
    <row r="1142" ht="18" customHeight="1"/>
    <row r="1143" ht="18" customHeight="1"/>
    <row r="1144" ht="18" customHeight="1"/>
    <row r="1145" ht="18" customHeight="1"/>
    <row r="1146" ht="18" customHeight="1"/>
    <row r="1147" ht="18" customHeight="1"/>
    <row r="1148" ht="18" customHeight="1"/>
    <row r="1149" ht="18" customHeight="1"/>
    <row r="1150" ht="18" customHeight="1"/>
    <row r="1151" ht="18" customHeight="1"/>
    <row r="1152" ht="18" customHeight="1"/>
    <row r="1153" ht="18" customHeight="1"/>
    <row r="1154" ht="18" customHeight="1"/>
    <row r="1155" ht="18" customHeight="1"/>
    <row r="1156" ht="18" customHeight="1"/>
    <row r="1157" ht="18" customHeight="1"/>
    <row r="1158" ht="18" customHeight="1"/>
    <row r="1159" ht="18" customHeight="1"/>
    <row r="1160" ht="18" customHeight="1"/>
    <row r="1161" ht="18" customHeight="1"/>
    <row r="1162" ht="18" customHeight="1"/>
    <row r="1163" ht="18" customHeight="1"/>
    <row r="1164" ht="18" customHeight="1"/>
    <row r="1165" ht="18" customHeight="1"/>
    <row r="1166" ht="18" customHeight="1"/>
    <row r="1167" ht="18" customHeight="1"/>
    <row r="1168" ht="18" customHeight="1"/>
    <row r="1169" ht="18" customHeight="1"/>
    <row r="1170" ht="18" customHeight="1"/>
    <row r="1171" ht="18" customHeight="1"/>
    <row r="1172" ht="18" customHeight="1"/>
    <row r="1173" ht="18" customHeight="1"/>
    <row r="1174" ht="18" customHeight="1"/>
    <row r="1175" ht="18" customHeight="1"/>
    <row r="1176" ht="18" customHeight="1"/>
    <row r="1177" ht="18" customHeight="1"/>
    <row r="1178" ht="18" customHeight="1"/>
    <row r="1179" ht="18" customHeight="1"/>
    <row r="1180" ht="18" customHeight="1"/>
    <row r="1181" ht="18" customHeight="1"/>
    <row r="1182" ht="18" customHeight="1"/>
    <row r="1183" ht="18" customHeight="1"/>
    <row r="1184" ht="18" customHeight="1"/>
    <row r="1185" ht="18" customHeight="1"/>
    <row r="1186" ht="18" customHeight="1"/>
    <row r="1187" ht="18" customHeight="1"/>
    <row r="1188" ht="18" customHeight="1"/>
    <row r="1189" ht="18" customHeight="1"/>
    <row r="1190" ht="18" customHeight="1"/>
    <row r="1191" ht="18" customHeight="1"/>
    <row r="1192" ht="18" customHeight="1"/>
    <row r="1193" ht="18" customHeight="1"/>
    <row r="1194" ht="18" customHeight="1"/>
    <row r="1195" ht="18" customHeight="1"/>
    <row r="1196" ht="18" customHeight="1"/>
    <row r="1197" ht="18" customHeight="1"/>
    <row r="1198" ht="18" customHeight="1"/>
    <row r="1199" ht="18" customHeight="1"/>
    <row r="1200" ht="18" customHeight="1"/>
    <row r="1201" ht="18" customHeight="1"/>
    <row r="1202" ht="18" customHeight="1"/>
    <row r="1203" ht="18" customHeight="1"/>
    <row r="1204" ht="18" customHeight="1"/>
    <row r="1205" ht="18" customHeight="1"/>
    <row r="1206" ht="18" customHeight="1"/>
    <row r="1207" ht="18" customHeight="1"/>
    <row r="1208" ht="18" customHeight="1"/>
    <row r="1209" ht="18" customHeight="1"/>
    <row r="1210" ht="18" customHeight="1"/>
    <row r="1211" ht="18" customHeight="1"/>
    <row r="1212" ht="18" customHeight="1"/>
    <row r="1213" ht="18" customHeight="1"/>
    <row r="1214" ht="18" customHeight="1"/>
    <row r="1215" ht="18" customHeight="1"/>
    <row r="1216" ht="18" customHeight="1"/>
    <row r="1217" ht="18" customHeight="1"/>
    <row r="1218" ht="18" customHeight="1"/>
    <row r="1219" ht="18" customHeight="1"/>
    <row r="1220" ht="18" customHeight="1"/>
    <row r="1221" ht="18" customHeight="1"/>
    <row r="1222" ht="18" customHeight="1"/>
    <row r="1223" ht="18" customHeight="1"/>
    <row r="1224" ht="18" customHeight="1"/>
    <row r="1225" ht="18" customHeight="1"/>
    <row r="1226" ht="18" customHeight="1"/>
    <row r="1227" ht="18" customHeight="1"/>
    <row r="1228" ht="18" customHeight="1"/>
    <row r="1229" ht="18" customHeight="1"/>
    <row r="1230" ht="18" customHeight="1"/>
    <row r="1231" ht="18" customHeight="1"/>
    <row r="1232" ht="18" customHeight="1"/>
    <row r="1233" ht="18" customHeight="1"/>
    <row r="1234" ht="18" customHeight="1"/>
    <row r="1235" ht="18" customHeight="1"/>
    <row r="1236" ht="18" customHeight="1"/>
    <row r="1237" ht="18" customHeight="1"/>
    <row r="1238" ht="18" customHeight="1"/>
    <row r="1239" ht="18" customHeight="1"/>
    <row r="1240" ht="18" customHeight="1"/>
    <row r="1241" ht="18" customHeight="1"/>
    <row r="1242" ht="18" customHeight="1"/>
    <row r="1243" ht="18" customHeight="1"/>
    <row r="1244" ht="18" customHeight="1"/>
    <row r="1245" ht="18" customHeight="1"/>
    <row r="1246" ht="18" customHeight="1"/>
    <row r="1247" ht="18" customHeight="1"/>
    <row r="1248" ht="18" customHeight="1"/>
    <row r="1249" ht="18" customHeight="1"/>
    <row r="1250" ht="18" customHeight="1"/>
    <row r="1251" ht="18" customHeight="1"/>
    <row r="1252" ht="18" customHeight="1"/>
    <row r="1253" ht="18" customHeight="1"/>
    <row r="1254" ht="18" customHeight="1"/>
    <row r="1255" ht="18" customHeight="1"/>
    <row r="1256" ht="18" customHeight="1"/>
    <row r="1257" ht="18" customHeight="1"/>
    <row r="1258" ht="18" customHeight="1"/>
    <row r="1259" ht="18" customHeight="1"/>
    <row r="1260" ht="18" customHeight="1"/>
    <row r="1261" ht="18" customHeight="1"/>
    <row r="1262" ht="18" customHeight="1"/>
    <row r="1263" ht="18" customHeight="1"/>
    <row r="1264" ht="18" customHeight="1"/>
    <row r="1265" ht="18" customHeight="1"/>
    <row r="1266" ht="18" customHeight="1"/>
    <row r="1267" ht="18" customHeight="1"/>
    <row r="1268" ht="18" customHeight="1"/>
    <row r="1269" ht="18" customHeight="1"/>
    <row r="1270" ht="18" customHeight="1"/>
    <row r="1271" ht="18" customHeight="1"/>
    <row r="1272" ht="18" customHeight="1"/>
    <row r="1273" ht="18" customHeight="1"/>
    <row r="1274" ht="18" customHeight="1"/>
    <row r="1275" ht="18" customHeight="1"/>
    <row r="1276" ht="18" customHeight="1"/>
    <row r="1277" ht="18" customHeight="1"/>
    <row r="1278" ht="18" customHeight="1"/>
    <row r="1279" ht="18" customHeight="1"/>
    <row r="1280" ht="18" customHeight="1"/>
    <row r="1281" ht="18" customHeight="1"/>
    <row r="1282" ht="18" customHeight="1"/>
    <row r="1283" ht="18" customHeight="1"/>
    <row r="1284" ht="18" customHeight="1"/>
    <row r="1285" ht="18" customHeight="1"/>
    <row r="1286" ht="18" customHeight="1"/>
    <row r="1287" ht="18" customHeight="1"/>
    <row r="1288" ht="18" customHeight="1"/>
    <row r="1289" ht="18" customHeight="1"/>
    <row r="1290" ht="18" customHeight="1"/>
    <row r="1291" ht="18" customHeight="1"/>
    <row r="1292" ht="18" customHeight="1"/>
    <row r="1293" ht="18" customHeight="1"/>
    <row r="1294" ht="18" customHeight="1"/>
    <row r="1295" ht="18" customHeight="1"/>
    <row r="1296" ht="18" customHeight="1"/>
    <row r="1297" ht="18" customHeight="1"/>
    <row r="1298" ht="18" customHeight="1"/>
    <row r="1299" ht="18" customHeight="1"/>
    <row r="1300" ht="18" customHeight="1"/>
    <row r="1301" ht="18" customHeight="1"/>
    <row r="1302" ht="18" customHeight="1"/>
    <row r="1303" ht="18" customHeight="1"/>
    <row r="1304" ht="18" customHeight="1"/>
    <row r="1305" ht="18" customHeight="1"/>
    <row r="1306" ht="18" customHeight="1"/>
    <row r="1307" ht="18" customHeight="1"/>
    <row r="1308" ht="18" customHeight="1"/>
    <row r="1309" ht="18" customHeight="1"/>
    <row r="1310" ht="18" customHeight="1"/>
    <row r="1311" ht="18" customHeight="1"/>
    <row r="1312" ht="18" customHeight="1"/>
    <row r="1313" ht="18" customHeight="1"/>
    <row r="1314" ht="18" customHeight="1"/>
    <row r="1315" ht="18" customHeight="1"/>
    <row r="1316" ht="18" customHeight="1"/>
    <row r="1317" ht="18" customHeight="1"/>
    <row r="1318" ht="18" customHeight="1"/>
    <row r="1319" ht="18" customHeight="1"/>
    <row r="1320" ht="18" customHeight="1"/>
    <row r="1321" ht="18" customHeight="1"/>
    <row r="1322" ht="18" customHeight="1"/>
    <row r="1323" ht="18" customHeight="1"/>
    <row r="1324" ht="18" customHeight="1"/>
    <row r="1325" ht="18" customHeight="1"/>
    <row r="1326" ht="18" customHeight="1"/>
    <row r="1327" ht="18" customHeight="1"/>
    <row r="1328" ht="18" customHeight="1"/>
    <row r="1329" ht="18" customHeight="1"/>
    <row r="1330" ht="18" customHeight="1"/>
    <row r="1331" ht="18" customHeight="1"/>
    <row r="1332" ht="18" customHeight="1"/>
    <row r="1333" ht="18" customHeight="1"/>
    <row r="1334" ht="18" customHeight="1"/>
    <row r="1335" ht="18" customHeight="1"/>
    <row r="1336" ht="18" customHeight="1"/>
    <row r="1337" ht="18" customHeight="1"/>
    <row r="1338" ht="18" customHeight="1"/>
    <row r="1339" ht="18" customHeight="1"/>
    <row r="1340" ht="18" customHeight="1"/>
    <row r="1341" ht="18" customHeight="1"/>
    <row r="1342" ht="18" customHeight="1"/>
    <row r="1343" ht="18" customHeight="1"/>
    <row r="1344" ht="18" customHeight="1"/>
    <row r="1345" ht="18" customHeight="1"/>
    <row r="1346" ht="18" customHeight="1"/>
    <row r="1347" ht="18" customHeight="1"/>
    <row r="1348" ht="18" customHeight="1"/>
    <row r="1349" ht="18" customHeight="1"/>
    <row r="1350" ht="18" customHeight="1"/>
    <row r="1351" ht="18" customHeight="1"/>
    <row r="1352" ht="18" customHeight="1"/>
    <row r="1353" ht="18" customHeight="1"/>
    <row r="1354" ht="18" customHeight="1"/>
    <row r="1355" ht="18" customHeight="1"/>
    <row r="1356" ht="18" customHeight="1"/>
    <row r="1357" ht="18" customHeight="1"/>
    <row r="1358" ht="18" customHeight="1"/>
    <row r="1359" ht="18" customHeight="1"/>
    <row r="1360" ht="18" customHeight="1"/>
    <row r="1361" ht="18" customHeight="1"/>
    <row r="1362" ht="18" customHeight="1"/>
    <row r="1363" ht="18" customHeight="1"/>
    <row r="1364" ht="18" customHeight="1"/>
    <row r="1365" ht="18" customHeight="1"/>
    <row r="1366" ht="18" customHeight="1"/>
    <row r="1367" ht="18" customHeight="1"/>
    <row r="1368" ht="18" customHeight="1"/>
    <row r="1369" ht="18" customHeight="1"/>
    <row r="1370" ht="18" customHeight="1"/>
    <row r="1371" ht="18" customHeight="1"/>
    <row r="1372" ht="18" customHeight="1"/>
    <row r="1373" ht="18" customHeight="1"/>
    <row r="1374" ht="18" customHeight="1"/>
    <row r="1375" ht="18" customHeight="1"/>
    <row r="1376" ht="18" customHeight="1"/>
    <row r="1377" ht="18" customHeight="1"/>
    <row r="1378" ht="18" customHeight="1"/>
    <row r="1379" ht="18" customHeight="1"/>
    <row r="1380" ht="18" customHeight="1"/>
    <row r="1381" ht="18" customHeight="1"/>
    <row r="1382" ht="18" customHeight="1"/>
    <row r="1383" ht="18" customHeight="1"/>
    <row r="1384" ht="18" customHeight="1"/>
    <row r="1385" ht="18" customHeight="1"/>
    <row r="1386" ht="18" customHeight="1"/>
    <row r="1387" ht="18" customHeight="1"/>
    <row r="1388" ht="18" customHeight="1"/>
    <row r="1389" ht="18" customHeight="1"/>
    <row r="1390" ht="18" customHeight="1"/>
    <row r="1391" ht="18" customHeight="1"/>
    <row r="1392" ht="18" customHeight="1"/>
    <row r="1393" ht="18" customHeight="1"/>
    <row r="1394" ht="18" customHeight="1"/>
    <row r="1395" ht="18" customHeight="1"/>
    <row r="1396" ht="18" customHeight="1"/>
    <row r="1397" ht="18" customHeight="1"/>
    <row r="1398" ht="18" customHeight="1"/>
    <row r="1399" ht="18" customHeight="1"/>
    <row r="1400" ht="18" customHeight="1"/>
    <row r="1401" ht="18" customHeight="1"/>
    <row r="1402" ht="18" customHeight="1"/>
    <row r="1403" ht="18" customHeight="1"/>
    <row r="1404" ht="18" customHeight="1"/>
    <row r="1405" ht="18" customHeight="1"/>
    <row r="1406" ht="18" customHeight="1"/>
    <row r="1407" ht="18" customHeight="1"/>
    <row r="1408" ht="18" customHeight="1"/>
    <row r="1409" ht="18" customHeight="1"/>
    <row r="1410" ht="18" customHeight="1"/>
    <row r="1411" ht="18" customHeight="1"/>
    <row r="1412" ht="18" customHeight="1"/>
    <row r="1413" ht="18" customHeight="1"/>
    <row r="1414" ht="18" customHeight="1"/>
    <row r="1415" ht="18" customHeight="1"/>
    <row r="1416" ht="18" customHeight="1"/>
    <row r="1417" ht="18" customHeight="1"/>
    <row r="1418" ht="18" customHeight="1"/>
    <row r="1419" ht="18" customHeight="1"/>
    <row r="1420" ht="18" customHeight="1"/>
    <row r="1421" ht="18" customHeight="1"/>
    <row r="1422" ht="18" customHeight="1"/>
    <row r="1423" ht="18" customHeight="1"/>
    <row r="1424" ht="18" customHeight="1"/>
    <row r="1425" ht="18" customHeight="1"/>
    <row r="1426" ht="18" customHeight="1"/>
    <row r="1427" ht="18" customHeight="1"/>
    <row r="1428" ht="18" customHeight="1"/>
    <row r="1429" ht="18" customHeight="1"/>
    <row r="1430" ht="18" customHeight="1"/>
    <row r="1431" ht="18" customHeight="1"/>
    <row r="1432" ht="18" customHeight="1"/>
    <row r="1433" ht="18" customHeight="1"/>
    <row r="1434" ht="18" customHeight="1"/>
    <row r="1435" ht="18" customHeight="1"/>
    <row r="1436" ht="18" customHeight="1"/>
    <row r="1437" ht="18" customHeight="1"/>
    <row r="1438" ht="18" customHeight="1"/>
    <row r="1439" ht="18" customHeight="1"/>
    <row r="1440" ht="18" customHeight="1"/>
    <row r="1441" ht="18" customHeight="1"/>
    <row r="1442" ht="18" customHeight="1"/>
    <row r="1443" ht="18" customHeight="1"/>
    <row r="1444" ht="18" customHeight="1"/>
    <row r="1445" ht="18" customHeight="1"/>
    <row r="1446" ht="18" customHeight="1"/>
    <row r="1447" ht="18" customHeight="1"/>
    <row r="1448" ht="18" customHeight="1"/>
    <row r="1449" ht="18" customHeight="1"/>
    <row r="1450" ht="18" customHeight="1"/>
    <row r="1451" ht="18" customHeight="1"/>
    <row r="1452" ht="18" customHeight="1"/>
    <row r="1453" ht="18" customHeight="1"/>
    <row r="1454" ht="18" customHeight="1"/>
    <row r="1455" ht="18" customHeight="1"/>
    <row r="1456" ht="18" customHeight="1"/>
    <row r="1457" ht="18" customHeight="1"/>
    <row r="1458" ht="18" customHeight="1"/>
    <row r="1459" ht="18" customHeight="1"/>
    <row r="1460" ht="18" customHeight="1"/>
    <row r="1461" ht="18" customHeight="1"/>
    <row r="1462" ht="18" customHeight="1"/>
    <row r="1463" ht="18" customHeight="1"/>
    <row r="1464" ht="18" customHeight="1"/>
    <row r="1465" ht="18" customHeight="1"/>
    <row r="1466" ht="18" customHeight="1"/>
    <row r="1467" ht="18" customHeight="1"/>
    <row r="1468" ht="18" customHeight="1"/>
    <row r="1469" ht="18" customHeight="1"/>
    <row r="1470" ht="18" customHeight="1"/>
    <row r="1471" ht="18" customHeight="1"/>
    <row r="1472" ht="18" customHeight="1"/>
    <row r="1473" ht="18" customHeight="1"/>
    <row r="1474" ht="18" customHeight="1"/>
    <row r="1475" ht="18" customHeight="1"/>
    <row r="1476" ht="18" customHeight="1"/>
    <row r="1477" ht="18" customHeight="1"/>
    <row r="1478" ht="18" customHeight="1"/>
    <row r="1479" ht="18" customHeight="1"/>
    <row r="1480" ht="18" customHeight="1"/>
    <row r="1481" ht="18" customHeight="1"/>
    <row r="1482" ht="18" customHeight="1"/>
    <row r="1483" ht="18" customHeight="1"/>
    <row r="1484" ht="18" customHeight="1"/>
    <row r="1485" ht="18" customHeight="1"/>
    <row r="1486" ht="18" customHeight="1"/>
    <row r="1487" ht="18" customHeight="1"/>
    <row r="1488" ht="18" customHeight="1"/>
    <row r="1489" ht="18" customHeight="1"/>
    <row r="1490" ht="18" customHeight="1"/>
    <row r="1491" ht="18" customHeight="1"/>
    <row r="1492" ht="18" customHeight="1"/>
    <row r="1493" ht="18" customHeight="1"/>
    <row r="1494" ht="18" customHeight="1"/>
    <row r="1495" ht="18" customHeight="1"/>
    <row r="1496" ht="18" customHeight="1"/>
    <row r="1497" ht="18" customHeight="1"/>
    <row r="1498" ht="18" customHeight="1"/>
    <row r="1499" ht="18" customHeight="1"/>
    <row r="1500" ht="18" customHeight="1"/>
    <row r="1501" ht="18" customHeight="1"/>
    <row r="1502" ht="18" customHeight="1"/>
    <row r="1503" ht="18" customHeight="1"/>
    <row r="1504" ht="18" customHeight="1"/>
    <row r="1505" ht="18" customHeight="1"/>
    <row r="1506" ht="18" customHeight="1"/>
    <row r="1507" ht="18" customHeight="1"/>
    <row r="1508" ht="18" customHeight="1"/>
    <row r="1509" ht="18" customHeight="1"/>
    <row r="1510" ht="18" customHeight="1"/>
    <row r="1511" ht="18" customHeight="1"/>
    <row r="1512" ht="18" customHeight="1"/>
    <row r="1513" ht="18" customHeight="1"/>
    <row r="1514" ht="18" customHeight="1"/>
    <row r="1515" ht="18" customHeight="1"/>
    <row r="1516" ht="18" customHeight="1"/>
    <row r="1517" ht="18" customHeight="1"/>
    <row r="1518" ht="18" customHeight="1"/>
    <row r="1519" ht="18" customHeight="1"/>
    <row r="1520" ht="18" customHeight="1"/>
    <row r="1521" ht="18" customHeight="1"/>
    <row r="1522" ht="18" customHeight="1"/>
    <row r="1523" ht="18" customHeight="1"/>
    <row r="1524" ht="18" customHeight="1"/>
    <row r="1525" ht="18" customHeight="1"/>
    <row r="1526" ht="18" customHeight="1"/>
    <row r="1527" ht="18" customHeight="1"/>
    <row r="1528" ht="18" customHeight="1"/>
    <row r="1529" ht="18" customHeight="1"/>
    <row r="1530" ht="18" customHeight="1"/>
    <row r="1531" ht="18" customHeight="1"/>
    <row r="1532" ht="18" customHeight="1"/>
    <row r="1533" ht="18" customHeight="1"/>
    <row r="1534" ht="18" customHeight="1"/>
    <row r="1535" ht="18" customHeight="1"/>
    <row r="1536" ht="18" customHeight="1"/>
    <row r="1537" ht="18" customHeight="1"/>
    <row r="1538" ht="18" customHeight="1"/>
    <row r="1539" ht="18" customHeight="1"/>
    <row r="1540" ht="18" customHeight="1"/>
    <row r="1541" ht="18" customHeight="1"/>
    <row r="1542" ht="18" customHeight="1"/>
    <row r="1543" ht="18" customHeight="1"/>
    <row r="1544" ht="18" customHeight="1"/>
    <row r="1545" ht="18" customHeight="1"/>
    <row r="1546" ht="18" customHeight="1"/>
    <row r="1547" ht="18" customHeight="1"/>
    <row r="1548" ht="18" customHeight="1"/>
    <row r="1549" ht="18" customHeight="1"/>
    <row r="1550" ht="18" customHeight="1"/>
    <row r="1551" ht="18" customHeight="1"/>
    <row r="1552" ht="18" customHeight="1"/>
    <row r="1553" ht="18" customHeight="1"/>
    <row r="1554" ht="18" customHeight="1"/>
    <row r="1555" ht="18" customHeight="1"/>
    <row r="1556" ht="18" customHeight="1"/>
    <row r="1557" ht="18" customHeight="1"/>
    <row r="1558" ht="18" customHeight="1"/>
    <row r="1559" ht="18" customHeight="1"/>
    <row r="1560" ht="18" customHeight="1"/>
    <row r="1561" ht="18" customHeight="1"/>
    <row r="1562" ht="18" customHeight="1"/>
    <row r="1563" ht="18" customHeight="1"/>
    <row r="1564" ht="18" customHeight="1"/>
    <row r="1565" ht="18" customHeight="1"/>
    <row r="1566" ht="18" customHeight="1"/>
    <row r="1567" ht="18" customHeight="1"/>
    <row r="1568" ht="18" customHeight="1"/>
    <row r="1569" ht="18" customHeight="1"/>
    <row r="1570" ht="18" customHeight="1"/>
    <row r="1571" ht="18" customHeight="1"/>
    <row r="1572" ht="18" customHeight="1"/>
    <row r="1573" ht="18" customHeight="1"/>
    <row r="1574" ht="18" customHeight="1"/>
    <row r="1575" ht="18" customHeight="1"/>
    <row r="1576" ht="18" customHeight="1"/>
    <row r="1577" ht="18" customHeight="1"/>
    <row r="1578" ht="18" customHeight="1"/>
    <row r="1579" ht="18" customHeight="1"/>
    <row r="1580" ht="18" customHeight="1"/>
    <row r="1581" ht="18" customHeight="1"/>
    <row r="1582" ht="18" customHeight="1"/>
    <row r="1583" ht="18" customHeight="1"/>
    <row r="1584" ht="18" customHeight="1"/>
    <row r="1585" ht="18" customHeight="1"/>
    <row r="1586" ht="18" customHeight="1"/>
    <row r="1587" ht="18" customHeight="1"/>
    <row r="1588" ht="18" customHeight="1"/>
    <row r="1589" ht="18" customHeight="1"/>
    <row r="1590" ht="18" customHeight="1"/>
    <row r="1591" ht="18" customHeight="1"/>
    <row r="1592" ht="18" customHeight="1"/>
    <row r="1593" ht="18" customHeight="1"/>
    <row r="1594" ht="18" customHeight="1"/>
    <row r="1595" ht="18" customHeight="1"/>
    <row r="1596" ht="18" customHeight="1"/>
    <row r="1597" ht="18" customHeight="1"/>
    <row r="1598" ht="18" customHeight="1"/>
    <row r="1599" ht="18" customHeight="1"/>
    <row r="1600" ht="18" customHeight="1"/>
    <row r="1601" ht="18" customHeight="1"/>
    <row r="1602" ht="18" customHeight="1"/>
    <row r="1603" ht="18" customHeight="1"/>
    <row r="1604" ht="18" customHeight="1"/>
    <row r="1605" ht="18" customHeight="1"/>
    <row r="1606" ht="18" customHeight="1"/>
    <row r="1607" ht="18" customHeight="1"/>
    <row r="1608" ht="18" customHeight="1"/>
    <row r="1609" ht="18" customHeight="1"/>
    <row r="1610" ht="18" customHeight="1"/>
    <row r="1611" ht="18" customHeight="1"/>
    <row r="1612" ht="18" customHeight="1"/>
    <row r="1613" ht="18" customHeight="1"/>
    <row r="1614" ht="18" customHeight="1"/>
    <row r="1615" ht="18" customHeight="1"/>
    <row r="1616" ht="18" customHeight="1"/>
    <row r="1617" ht="18" customHeight="1"/>
    <row r="1618" ht="18" customHeight="1"/>
    <row r="1619" ht="18" customHeight="1"/>
    <row r="1620" ht="18" customHeight="1"/>
    <row r="1621" ht="18" customHeight="1"/>
    <row r="1622" ht="18" customHeight="1"/>
    <row r="1623" ht="18" customHeight="1"/>
    <row r="1624" ht="18" customHeight="1"/>
    <row r="1625" ht="18" customHeight="1"/>
    <row r="1626" ht="18" customHeight="1"/>
    <row r="1627" ht="18" customHeight="1"/>
    <row r="1628" ht="18" customHeight="1"/>
    <row r="1629" ht="18" customHeight="1"/>
    <row r="1630" ht="18" customHeight="1"/>
    <row r="1631" ht="18" customHeight="1"/>
    <row r="1632" ht="18" customHeight="1"/>
    <row r="1633" ht="18" customHeight="1"/>
    <row r="1634" ht="18" customHeight="1"/>
    <row r="1635" ht="18" customHeight="1"/>
    <row r="1636" ht="18" customHeight="1"/>
    <row r="1637" ht="18" customHeight="1"/>
    <row r="1638" ht="18" customHeight="1"/>
    <row r="1639" ht="18" customHeight="1"/>
    <row r="1640" ht="18" customHeight="1"/>
    <row r="1641" ht="18" customHeight="1"/>
    <row r="1642" ht="18" customHeight="1"/>
    <row r="1643" ht="18" customHeight="1"/>
    <row r="1644" ht="18" customHeight="1"/>
    <row r="1645" ht="18" customHeight="1"/>
    <row r="1646" ht="18" customHeight="1"/>
    <row r="1647" ht="18" customHeight="1"/>
    <row r="1648" ht="18" customHeight="1"/>
    <row r="1649" ht="18" customHeight="1"/>
    <row r="1650" ht="18" customHeight="1"/>
    <row r="1651" ht="18" customHeight="1"/>
    <row r="1652" ht="18" customHeight="1"/>
    <row r="1653" ht="18" customHeight="1"/>
    <row r="1654" ht="18" customHeight="1"/>
    <row r="1655" ht="18" customHeight="1"/>
    <row r="1656" ht="18" customHeight="1"/>
    <row r="1657" ht="18" customHeight="1"/>
    <row r="1658" ht="18" customHeight="1"/>
    <row r="1659" ht="18" customHeight="1"/>
    <row r="1660" ht="18" customHeight="1"/>
    <row r="1661" ht="18" customHeight="1"/>
    <row r="1662" ht="18" customHeight="1"/>
    <row r="1663" ht="18" customHeight="1"/>
    <row r="1664" ht="18" customHeight="1"/>
    <row r="1665" ht="18" customHeight="1"/>
    <row r="1666" ht="18" customHeight="1"/>
    <row r="1667" ht="18" customHeight="1"/>
    <row r="1668" ht="18" customHeight="1"/>
    <row r="1669" ht="18" customHeight="1"/>
    <row r="1670" ht="18" customHeight="1"/>
    <row r="1671" ht="18" customHeight="1"/>
    <row r="1672" ht="18" customHeight="1"/>
    <row r="1673" ht="18" customHeight="1"/>
    <row r="1674" ht="18" customHeight="1"/>
    <row r="1675" ht="18" customHeight="1"/>
    <row r="1676" ht="18" customHeight="1"/>
    <row r="1677" ht="18" customHeight="1"/>
    <row r="1678" ht="18" customHeight="1"/>
    <row r="1679" ht="18" customHeight="1"/>
    <row r="1680" ht="18" customHeight="1"/>
    <row r="1681" ht="18" customHeight="1"/>
    <row r="1682" ht="18" customHeight="1"/>
    <row r="1683" ht="18" customHeight="1"/>
    <row r="1684" ht="18" customHeight="1"/>
    <row r="1685" ht="18" customHeight="1"/>
    <row r="1686" ht="18" customHeight="1"/>
    <row r="1687" ht="18" customHeight="1"/>
    <row r="1688" ht="18" customHeight="1"/>
    <row r="1689" ht="18" customHeight="1"/>
    <row r="1690" ht="18" customHeight="1"/>
    <row r="1691" ht="18" customHeight="1"/>
    <row r="1692" ht="18" customHeight="1"/>
    <row r="1693" ht="18" customHeight="1"/>
    <row r="1694" ht="18" customHeight="1"/>
    <row r="1695" ht="18" customHeight="1"/>
    <row r="1696" ht="18" customHeight="1"/>
    <row r="1697" ht="18" customHeight="1"/>
    <row r="1698" ht="18" customHeight="1"/>
    <row r="1699" ht="18" customHeight="1"/>
    <row r="1700" ht="18" customHeight="1"/>
    <row r="1701" ht="18" customHeight="1"/>
    <row r="1702" ht="18" customHeight="1"/>
    <row r="1703" ht="18" customHeight="1"/>
    <row r="1704" ht="18" customHeight="1"/>
    <row r="1705" ht="18" customHeight="1"/>
    <row r="1706" ht="18" customHeight="1"/>
    <row r="1707" ht="18" customHeight="1"/>
    <row r="1708" ht="18" customHeight="1"/>
    <row r="1709" ht="18" customHeight="1"/>
    <row r="1710" ht="18" customHeight="1"/>
    <row r="1711" ht="18" customHeight="1"/>
    <row r="1712" ht="18" customHeight="1"/>
    <row r="1713" ht="18" customHeight="1"/>
    <row r="1714" ht="18" customHeight="1"/>
    <row r="1715" ht="18" customHeight="1"/>
    <row r="1716" ht="18" customHeight="1"/>
    <row r="1717" ht="18" customHeight="1"/>
    <row r="1718" ht="18" customHeight="1"/>
    <row r="1719" ht="18" customHeight="1"/>
    <row r="1720" ht="18" customHeight="1"/>
    <row r="1721" ht="18" customHeight="1"/>
    <row r="1722" ht="18" customHeight="1"/>
    <row r="1723" ht="18" customHeight="1"/>
    <row r="1724" ht="18" customHeight="1"/>
    <row r="1725" ht="18" customHeight="1"/>
    <row r="1726" ht="18" customHeight="1"/>
    <row r="1727" ht="18" customHeight="1"/>
    <row r="1728" ht="18" customHeight="1"/>
    <row r="1729" ht="18" customHeight="1"/>
    <row r="1730" ht="18" customHeight="1"/>
    <row r="1731" ht="18" customHeight="1"/>
    <row r="1732" ht="18" customHeight="1"/>
    <row r="1733" ht="18" customHeight="1"/>
    <row r="1734" ht="18" customHeight="1"/>
    <row r="1735" ht="18" customHeight="1"/>
    <row r="1736" ht="18" customHeight="1"/>
    <row r="1737" ht="18" customHeight="1"/>
    <row r="1738" ht="18" customHeight="1"/>
    <row r="1739" ht="18" customHeight="1"/>
    <row r="1740" ht="18" customHeight="1"/>
    <row r="1741" ht="18" customHeight="1"/>
    <row r="1742" ht="18" customHeight="1"/>
    <row r="1743" ht="18" customHeight="1"/>
    <row r="1744" ht="18" customHeight="1"/>
    <row r="1745" ht="18" customHeight="1"/>
    <row r="1746" ht="18" customHeight="1"/>
    <row r="1747" ht="18" customHeight="1"/>
    <row r="1748" ht="18" customHeight="1"/>
    <row r="1749" ht="18" customHeight="1"/>
    <row r="1750" ht="18" customHeight="1"/>
    <row r="1751" ht="18" customHeight="1"/>
    <row r="1752" ht="18" customHeight="1"/>
    <row r="1753" ht="18" customHeight="1"/>
    <row r="1754" ht="18" customHeight="1"/>
    <row r="1755" ht="18" customHeight="1"/>
    <row r="1756" ht="18" customHeight="1"/>
    <row r="1757" ht="18" customHeight="1"/>
    <row r="1758" ht="18" customHeight="1"/>
    <row r="1759" ht="18" customHeight="1"/>
    <row r="1760" ht="18" customHeight="1"/>
    <row r="1761" ht="18" customHeight="1"/>
    <row r="1762" ht="18" customHeight="1"/>
    <row r="1763" ht="18" customHeight="1"/>
    <row r="1764" ht="18" customHeight="1"/>
    <row r="1765" ht="18" customHeight="1"/>
    <row r="1766" ht="18" customHeight="1"/>
    <row r="1767" ht="18" customHeight="1"/>
    <row r="1768" ht="18" customHeight="1"/>
    <row r="1769" ht="18" customHeight="1"/>
    <row r="1770" ht="18" customHeight="1"/>
    <row r="1771" ht="18" customHeight="1"/>
    <row r="1772" ht="18" customHeight="1"/>
    <row r="1773" ht="18" customHeight="1"/>
    <row r="1774" ht="18" customHeight="1"/>
    <row r="1775" ht="18" customHeight="1"/>
    <row r="1776" ht="18" customHeight="1"/>
    <row r="1777" ht="18" customHeight="1"/>
    <row r="1778" ht="18" customHeight="1"/>
    <row r="1779" ht="18" customHeight="1"/>
    <row r="1780" ht="18" customHeight="1"/>
    <row r="1781" ht="18" customHeight="1"/>
    <row r="1782" ht="18" customHeight="1"/>
    <row r="1783" ht="18" customHeight="1"/>
    <row r="1784" ht="18" customHeight="1"/>
    <row r="1785" ht="18" customHeight="1"/>
    <row r="1786" ht="18" customHeight="1"/>
    <row r="1787" ht="18" customHeight="1"/>
    <row r="1788" ht="18" customHeight="1"/>
    <row r="1789" ht="18" customHeight="1"/>
    <row r="1790" ht="18" customHeight="1"/>
    <row r="1791" ht="18" customHeight="1"/>
    <row r="1792" ht="18" customHeight="1"/>
    <row r="1793" ht="18" customHeight="1"/>
    <row r="1794" ht="18" customHeight="1"/>
    <row r="1795" ht="18" customHeight="1"/>
    <row r="1796" ht="18" customHeight="1"/>
    <row r="1797" ht="18" customHeight="1"/>
    <row r="1798" ht="18" customHeight="1"/>
    <row r="1799" ht="18" customHeight="1"/>
    <row r="1800" ht="18" customHeight="1"/>
    <row r="1801" ht="18" customHeight="1"/>
    <row r="1802" ht="18" customHeight="1"/>
    <row r="1803" ht="18" customHeight="1"/>
    <row r="1804" ht="18" customHeight="1"/>
    <row r="1805" ht="18" customHeight="1"/>
    <row r="1806" ht="18" customHeight="1"/>
    <row r="1807" ht="18" customHeight="1"/>
    <row r="1808" ht="18" customHeight="1"/>
    <row r="1809" ht="18" customHeight="1"/>
    <row r="1810" ht="18" customHeight="1"/>
    <row r="1811" ht="18" customHeight="1"/>
    <row r="1812" ht="18" customHeight="1"/>
    <row r="1813" ht="18" customHeight="1"/>
    <row r="1814" ht="18" customHeight="1"/>
    <row r="1815" ht="18" customHeight="1"/>
    <row r="1816" ht="18" customHeight="1"/>
    <row r="1817" ht="18" customHeight="1"/>
    <row r="1818" ht="18" customHeight="1"/>
    <row r="1819" ht="18" customHeight="1"/>
    <row r="1820" ht="18" customHeight="1"/>
    <row r="1821" ht="18" customHeight="1"/>
    <row r="1822" ht="18" customHeight="1"/>
    <row r="1823" ht="18" customHeight="1"/>
    <row r="1824" ht="18" customHeight="1"/>
    <row r="1825" ht="18" customHeight="1"/>
    <row r="1826" ht="18" customHeight="1"/>
    <row r="1827" ht="18" customHeight="1"/>
    <row r="1828" ht="18" customHeight="1"/>
    <row r="1829" ht="18" customHeight="1"/>
    <row r="1830" ht="18" customHeight="1"/>
    <row r="1831" ht="18" customHeight="1"/>
    <row r="1832" ht="18" customHeight="1"/>
    <row r="1833" ht="18" customHeight="1"/>
    <row r="1834" ht="18" customHeight="1"/>
    <row r="1835" ht="18" customHeight="1"/>
    <row r="1836" ht="18" customHeight="1"/>
    <row r="1837" ht="18" customHeight="1"/>
    <row r="1838" ht="18" customHeight="1"/>
    <row r="1839" ht="18" customHeight="1"/>
    <row r="1840" ht="18" customHeight="1"/>
    <row r="1841" ht="18" customHeight="1"/>
    <row r="1842" ht="18" customHeight="1"/>
    <row r="1843" ht="18" customHeight="1"/>
    <row r="1844" ht="18" customHeight="1"/>
    <row r="1845" ht="18" customHeight="1"/>
    <row r="1846" ht="18" customHeight="1"/>
    <row r="1847" ht="18" customHeight="1"/>
    <row r="1848" ht="18" customHeight="1"/>
    <row r="1849" ht="18" customHeight="1"/>
    <row r="1850" ht="18" customHeight="1"/>
    <row r="1851" ht="18" customHeight="1"/>
    <row r="1852" ht="18" customHeight="1"/>
    <row r="1853" ht="18" customHeight="1"/>
    <row r="1854" ht="18" customHeight="1"/>
    <row r="1855" ht="18" customHeight="1"/>
    <row r="1856" ht="18" customHeight="1"/>
    <row r="1857" ht="18" customHeight="1"/>
    <row r="1858" ht="18" customHeight="1"/>
    <row r="1859" ht="18" customHeight="1"/>
    <row r="1860" ht="18" customHeight="1"/>
    <row r="1861" ht="18" customHeight="1"/>
    <row r="1862" ht="18" customHeight="1"/>
    <row r="1863" ht="18" customHeight="1"/>
    <row r="1864" ht="18" customHeight="1"/>
    <row r="1865" ht="18" customHeight="1"/>
    <row r="1866" ht="18" customHeight="1"/>
    <row r="1867" ht="18" customHeight="1"/>
    <row r="1868" ht="18" customHeight="1"/>
    <row r="1869" ht="18" customHeight="1"/>
    <row r="1870" ht="18" customHeight="1"/>
    <row r="1871" ht="18" customHeight="1"/>
    <row r="1872" ht="18" customHeight="1"/>
    <row r="1873" ht="18" customHeight="1"/>
    <row r="1874" ht="18" customHeight="1"/>
    <row r="1875" ht="18" customHeight="1"/>
    <row r="1876" ht="18" customHeight="1"/>
    <row r="1877" ht="18" customHeight="1"/>
    <row r="1878" ht="18" customHeight="1"/>
    <row r="1879" ht="18" customHeight="1"/>
    <row r="1880" ht="18" customHeight="1"/>
    <row r="1881" ht="18" customHeight="1"/>
    <row r="1882" ht="18" customHeight="1"/>
    <row r="1883" ht="18" customHeight="1"/>
    <row r="1884" ht="18" customHeight="1"/>
    <row r="1885" ht="18" customHeight="1"/>
    <row r="1886" ht="18" customHeight="1"/>
    <row r="1887" ht="18" customHeight="1"/>
    <row r="1888" ht="18" customHeight="1"/>
    <row r="1889" ht="18" customHeight="1"/>
    <row r="1890" ht="18" customHeight="1"/>
    <row r="1891" ht="18" customHeight="1"/>
    <row r="1892" ht="18" customHeight="1"/>
    <row r="1893" ht="18" customHeight="1"/>
    <row r="1894" ht="18" customHeight="1"/>
    <row r="1895" ht="18" customHeight="1"/>
    <row r="1896" ht="18" customHeight="1"/>
    <row r="1897" ht="18" customHeight="1"/>
    <row r="1898" ht="18" customHeight="1"/>
    <row r="1899" ht="18" customHeight="1"/>
    <row r="1900" ht="18" customHeight="1"/>
    <row r="1901" ht="18" customHeight="1"/>
    <row r="1902" ht="18" customHeight="1"/>
    <row r="1903" ht="18" customHeight="1"/>
    <row r="1904" ht="18" customHeight="1"/>
    <row r="1905" ht="18" customHeight="1"/>
    <row r="1906" ht="18" customHeight="1"/>
    <row r="1907" ht="18" customHeight="1"/>
    <row r="1908" ht="18" customHeight="1"/>
    <row r="1909" ht="18" customHeight="1"/>
    <row r="1910" ht="18" customHeight="1"/>
    <row r="1911" ht="18" customHeight="1"/>
    <row r="1912" ht="18" customHeight="1"/>
    <row r="1913" ht="18" customHeight="1"/>
    <row r="1914" ht="18" customHeight="1"/>
    <row r="1915" ht="18" customHeight="1"/>
    <row r="1916" ht="18" customHeight="1"/>
    <row r="1917" ht="18" customHeight="1"/>
    <row r="1918" ht="18" customHeight="1"/>
    <row r="1919" ht="18" customHeight="1"/>
    <row r="1920" ht="18" customHeight="1"/>
    <row r="1921" ht="18" customHeight="1"/>
    <row r="1922" ht="18" customHeight="1"/>
    <row r="1923" ht="18" customHeight="1"/>
    <row r="1924" ht="18" customHeight="1"/>
    <row r="1925" ht="18" customHeight="1"/>
    <row r="1926" ht="18" customHeight="1"/>
    <row r="1927" ht="18" customHeight="1"/>
    <row r="1928" ht="18" customHeight="1"/>
    <row r="1929" ht="18" customHeight="1"/>
    <row r="1930" ht="18" customHeight="1"/>
    <row r="1931" ht="18" customHeight="1"/>
    <row r="1932" ht="18" customHeight="1"/>
    <row r="1933" ht="18" customHeight="1"/>
    <row r="1934" ht="18" customHeight="1"/>
    <row r="1935" ht="18" customHeight="1"/>
    <row r="1936" ht="18" customHeight="1"/>
    <row r="1937" ht="18" customHeight="1"/>
    <row r="1938" ht="18" customHeight="1"/>
    <row r="1939" ht="18" customHeight="1"/>
    <row r="1940" ht="18" customHeight="1"/>
    <row r="1941" ht="18" customHeight="1"/>
    <row r="1942" ht="18" customHeight="1"/>
    <row r="1943" ht="18" customHeight="1"/>
    <row r="1944" ht="18" customHeight="1"/>
    <row r="1945" ht="18" customHeight="1"/>
    <row r="1946" ht="18" customHeight="1"/>
    <row r="1947" ht="18" customHeight="1"/>
    <row r="1948" ht="18" customHeight="1"/>
    <row r="1949" ht="18" customHeight="1"/>
    <row r="1950" ht="18" customHeight="1"/>
    <row r="1951" ht="18" customHeight="1"/>
    <row r="1952" ht="18" customHeight="1"/>
    <row r="1953" ht="18" customHeight="1"/>
    <row r="1954" ht="18" customHeight="1"/>
    <row r="1955" ht="18" customHeight="1"/>
    <row r="1956" ht="18" customHeight="1"/>
    <row r="1957" ht="18" customHeight="1"/>
    <row r="1958" ht="18" customHeight="1"/>
    <row r="1959" ht="18" customHeight="1"/>
    <row r="1960" ht="18" customHeight="1"/>
    <row r="1961" ht="18" customHeight="1"/>
    <row r="1962" ht="18" customHeight="1"/>
    <row r="1963" ht="18" customHeight="1"/>
    <row r="1964" ht="18" customHeight="1"/>
    <row r="1965" ht="18" customHeight="1"/>
    <row r="1966" ht="18" customHeight="1"/>
    <row r="1967" ht="18" customHeight="1"/>
    <row r="1968" ht="18" customHeight="1"/>
    <row r="1969" ht="18" customHeight="1"/>
    <row r="1970" ht="18" customHeight="1"/>
    <row r="1971" ht="18" customHeight="1"/>
    <row r="1972" ht="18" customHeight="1"/>
    <row r="1973" ht="18" customHeight="1"/>
    <row r="1974" ht="18" customHeight="1"/>
    <row r="1975" ht="18" customHeight="1"/>
    <row r="1976" ht="18" customHeight="1"/>
    <row r="1977" ht="18" customHeight="1"/>
    <row r="1978" ht="18" customHeight="1"/>
    <row r="1979" ht="18" customHeight="1"/>
    <row r="1980" ht="18" customHeight="1"/>
    <row r="1981" ht="18" customHeight="1"/>
    <row r="1982" ht="18" customHeight="1"/>
    <row r="1983" ht="18" customHeight="1"/>
    <row r="1984" ht="18" customHeight="1"/>
    <row r="1985" ht="18" customHeight="1"/>
    <row r="1986" ht="18" customHeight="1"/>
    <row r="1987" ht="18" customHeight="1"/>
    <row r="1988" ht="18" customHeight="1"/>
    <row r="1989" ht="18" customHeight="1"/>
    <row r="1990" ht="18" customHeight="1"/>
    <row r="1991" ht="18" customHeight="1"/>
    <row r="1992" ht="18" customHeight="1"/>
    <row r="1993" ht="18" customHeight="1"/>
    <row r="1994" ht="18" customHeight="1"/>
    <row r="1995" ht="18" customHeight="1"/>
    <row r="1996" ht="18" customHeight="1"/>
    <row r="1997" ht="18" customHeight="1"/>
    <row r="1998" ht="18" customHeight="1"/>
    <row r="1999" ht="18" customHeight="1"/>
    <row r="2000" ht="18" customHeight="1"/>
    <row r="2001" ht="18" customHeight="1"/>
    <row r="2002" ht="18" customHeight="1"/>
    <row r="2003" ht="18" customHeight="1"/>
    <row r="2004" ht="18" customHeight="1"/>
    <row r="2005" ht="18" customHeight="1"/>
    <row r="2006" ht="18" customHeight="1"/>
    <row r="2007" ht="18" customHeight="1"/>
    <row r="2008" ht="18" customHeight="1"/>
    <row r="2009" ht="18" customHeight="1"/>
    <row r="2010" ht="18" customHeight="1"/>
    <row r="2011" ht="18" customHeight="1"/>
    <row r="2012" ht="18" customHeight="1"/>
    <row r="2013" ht="18" customHeight="1"/>
    <row r="2014" ht="18" customHeight="1"/>
    <row r="2015" ht="18" customHeight="1"/>
    <row r="2016" ht="18" customHeight="1"/>
    <row r="2017" ht="18" customHeight="1"/>
    <row r="2018" ht="18" customHeight="1"/>
    <row r="2019" ht="18" customHeight="1"/>
    <row r="2020" ht="18" customHeight="1"/>
    <row r="2021" ht="18" customHeight="1"/>
    <row r="2022" ht="18" customHeight="1"/>
    <row r="2023" ht="18" customHeight="1"/>
    <row r="2024" ht="18" customHeight="1"/>
    <row r="2025" ht="18" customHeight="1"/>
    <row r="2026" ht="18" customHeight="1"/>
    <row r="2027" ht="18" customHeight="1"/>
    <row r="2028" ht="18" customHeight="1"/>
    <row r="2029" ht="18" customHeight="1"/>
    <row r="2030" ht="18" customHeight="1"/>
    <row r="2031" ht="18" customHeight="1"/>
    <row r="2032" ht="18" customHeight="1"/>
    <row r="2033" ht="18" customHeight="1"/>
    <row r="2034" ht="18" customHeight="1"/>
    <row r="2035" ht="18" customHeight="1"/>
    <row r="2036" ht="18" customHeight="1"/>
    <row r="2037" ht="18" customHeight="1"/>
    <row r="2038" ht="18" customHeight="1"/>
    <row r="2039" ht="18" customHeight="1"/>
    <row r="2040" ht="18" customHeight="1"/>
    <row r="2041" ht="18" customHeight="1"/>
    <row r="2042" ht="18" customHeight="1"/>
    <row r="2043" ht="18" customHeight="1"/>
    <row r="2044" ht="18" customHeight="1"/>
    <row r="2045" ht="18" customHeight="1"/>
    <row r="2046" ht="18" customHeight="1"/>
    <row r="2047" ht="18" customHeight="1"/>
    <row r="2048" ht="18" customHeight="1"/>
    <row r="2049" ht="18" customHeight="1"/>
    <row r="2050" ht="18" customHeight="1"/>
    <row r="2051" ht="18" customHeight="1"/>
    <row r="2052" ht="18" customHeight="1"/>
    <row r="2053" ht="18" customHeight="1"/>
    <row r="2054" ht="18" customHeight="1"/>
    <row r="2055" ht="18" customHeight="1"/>
    <row r="2056" ht="18" customHeight="1"/>
    <row r="2057" ht="18" customHeight="1"/>
    <row r="2058" ht="18" customHeight="1"/>
    <row r="2059" ht="18" customHeight="1"/>
    <row r="2060" ht="18" customHeight="1"/>
    <row r="2061" ht="18" customHeight="1"/>
    <row r="2062" ht="18" customHeight="1"/>
    <row r="2063" ht="18" customHeight="1"/>
    <row r="2064" ht="18" customHeight="1"/>
    <row r="2065" ht="18" customHeight="1"/>
    <row r="2066" ht="18" customHeight="1"/>
    <row r="2067" ht="18" customHeight="1"/>
    <row r="2068" ht="18" customHeight="1"/>
    <row r="2069" ht="18" customHeight="1"/>
    <row r="2070" ht="18" customHeight="1"/>
    <row r="2071" ht="18" customHeight="1"/>
    <row r="2072" ht="18" customHeight="1"/>
    <row r="2073" ht="18" customHeight="1"/>
    <row r="2074" ht="18" customHeight="1"/>
    <row r="2075" ht="18" customHeight="1"/>
    <row r="2076" ht="18" customHeight="1"/>
    <row r="2077" ht="18" customHeight="1"/>
    <row r="2078" ht="18" customHeight="1"/>
    <row r="2079" ht="18" customHeight="1"/>
    <row r="2080" ht="18" customHeight="1"/>
    <row r="2081" ht="18" customHeight="1"/>
    <row r="2082" ht="18" customHeight="1"/>
    <row r="2083" ht="18" customHeight="1"/>
    <row r="2084" ht="18" customHeight="1"/>
    <row r="2085" ht="18" customHeight="1"/>
    <row r="2086" ht="18" customHeight="1"/>
    <row r="2087" ht="18" customHeight="1"/>
    <row r="2088" ht="18" customHeight="1"/>
    <row r="2089" ht="18" customHeight="1"/>
    <row r="2090" ht="18" customHeight="1"/>
    <row r="2091" ht="18" customHeight="1"/>
    <row r="2092" ht="18" customHeight="1"/>
    <row r="2093" ht="18" customHeight="1"/>
    <row r="2094" ht="18" customHeight="1"/>
    <row r="2095" ht="18" customHeight="1"/>
    <row r="2096" ht="18" customHeight="1"/>
    <row r="2097" ht="18" customHeight="1"/>
    <row r="2098" ht="18" customHeight="1"/>
    <row r="2099" ht="18" customHeight="1"/>
    <row r="2100" ht="18" customHeight="1"/>
    <row r="2101" ht="18" customHeight="1"/>
    <row r="2102" ht="18" customHeight="1"/>
    <row r="2103" ht="18" customHeight="1"/>
    <row r="2104" ht="18" customHeight="1"/>
    <row r="2105" ht="18" customHeight="1"/>
    <row r="2106" ht="18" customHeight="1"/>
    <row r="2107" ht="18" customHeight="1"/>
    <row r="2108" ht="18" customHeight="1"/>
    <row r="2109" ht="18" customHeight="1"/>
    <row r="2110" ht="18" customHeight="1"/>
    <row r="2111" ht="18" customHeight="1"/>
    <row r="2112" ht="18" customHeight="1"/>
    <row r="2113" ht="18" customHeight="1"/>
    <row r="2114" ht="18" customHeight="1"/>
    <row r="2115" ht="18" customHeight="1"/>
    <row r="2116" ht="18" customHeight="1"/>
    <row r="2117" ht="18" customHeight="1"/>
    <row r="2118" ht="18" customHeight="1"/>
    <row r="2119" ht="18" customHeight="1"/>
    <row r="2120" ht="18" customHeight="1"/>
    <row r="2121" ht="18" customHeight="1"/>
    <row r="2122" ht="18" customHeight="1"/>
    <row r="2123" ht="18" customHeight="1"/>
    <row r="2124" ht="18" customHeight="1"/>
    <row r="2125" ht="18" customHeight="1"/>
    <row r="2126" ht="18" customHeight="1"/>
    <row r="2127" ht="18" customHeight="1"/>
    <row r="2128" ht="18" customHeight="1"/>
    <row r="2129" ht="18" customHeight="1"/>
    <row r="2130" ht="18" customHeight="1"/>
    <row r="2131" ht="18" customHeight="1"/>
    <row r="2132" ht="18" customHeight="1"/>
    <row r="2133" ht="18" customHeight="1"/>
    <row r="2134" ht="18" customHeight="1"/>
    <row r="2135" ht="18" customHeight="1"/>
    <row r="2136" ht="18" customHeight="1"/>
    <row r="2137" ht="18" customHeight="1"/>
    <row r="2138" ht="18" customHeight="1"/>
    <row r="2139" ht="18" customHeight="1"/>
    <row r="2140" ht="18" customHeight="1"/>
    <row r="2141" ht="18" customHeight="1"/>
    <row r="2142" ht="18" customHeight="1"/>
    <row r="2143" ht="18" customHeight="1"/>
    <row r="2144" ht="18" customHeight="1"/>
    <row r="2145" ht="18" customHeight="1"/>
    <row r="2146" ht="18" customHeight="1"/>
    <row r="2147" ht="18" customHeight="1"/>
    <row r="2148" ht="18" customHeight="1"/>
    <row r="2149" ht="18" customHeight="1"/>
    <row r="2150" ht="18" customHeight="1"/>
    <row r="2151" ht="18" customHeight="1"/>
    <row r="2152" ht="18" customHeight="1"/>
    <row r="2153" ht="18" customHeight="1"/>
    <row r="2154" ht="18" customHeight="1"/>
    <row r="2155" ht="18" customHeight="1"/>
    <row r="2156" ht="18" customHeight="1"/>
    <row r="2157" ht="18" customHeight="1"/>
    <row r="2158" ht="18" customHeight="1"/>
    <row r="2159" ht="18" customHeight="1"/>
    <row r="2160" ht="18" customHeight="1"/>
    <row r="2161" ht="18" customHeight="1"/>
    <row r="2162" ht="18" customHeight="1"/>
    <row r="2163" ht="18" customHeight="1"/>
    <row r="2164" ht="18" customHeight="1"/>
    <row r="2165" ht="18" customHeight="1"/>
    <row r="2166" ht="18" customHeight="1"/>
    <row r="2167" ht="18" customHeight="1"/>
    <row r="2168" ht="18" customHeight="1"/>
    <row r="2169" ht="18" customHeight="1"/>
    <row r="2170" ht="18" customHeight="1"/>
    <row r="2171" ht="18" customHeight="1"/>
    <row r="2172" ht="18" customHeight="1"/>
    <row r="2173" ht="18" customHeight="1"/>
    <row r="2174" ht="18" customHeight="1"/>
    <row r="2175" ht="18" customHeight="1"/>
    <row r="2176" ht="18" customHeight="1"/>
    <row r="2177" ht="18" customHeight="1"/>
    <row r="2178" ht="18" customHeight="1"/>
    <row r="2179" ht="18" customHeight="1"/>
    <row r="2180" ht="18" customHeight="1"/>
    <row r="2181" ht="18" customHeight="1"/>
    <row r="2182" ht="18" customHeight="1"/>
    <row r="2183" ht="18" customHeight="1"/>
    <row r="2184" ht="18" customHeight="1"/>
    <row r="2185" ht="18" customHeight="1"/>
    <row r="2186" ht="18" customHeight="1"/>
    <row r="2187" ht="18" customHeight="1"/>
    <row r="2188" ht="18" customHeight="1"/>
    <row r="2189" ht="18" customHeight="1"/>
    <row r="2190" ht="18" customHeight="1"/>
    <row r="2191" ht="18" customHeight="1"/>
    <row r="2192" ht="18" customHeight="1"/>
    <row r="2193" ht="18" customHeight="1"/>
    <row r="2194" ht="18" customHeight="1"/>
    <row r="2195" ht="18" customHeight="1"/>
    <row r="2196" ht="18" customHeight="1"/>
    <row r="2197" ht="18" customHeight="1"/>
    <row r="2198" ht="18" customHeight="1"/>
    <row r="2199" ht="18" customHeight="1"/>
    <row r="2200" ht="18" customHeight="1"/>
    <row r="2201" ht="18" customHeight="1"/>
    <row r="2202" ht="18" customHeight="1"/>
    <row r="2203" ht="18" customHeight="1"/>
    <row r="2204" ht="18" customHeight="1"/>
    <row r="2205" ht="18" customHeight="1"/>
    <row r="2206" ht="18" customHeight="1"/>
    <row r="2207" ht="18" customHeight="1"/>
    <row r="2208" ht="18" customHeight="1"/>
    <row r="2209" ht="18" customHeight="1"/>
    <row r="2210" ht="18" customHeight="1"/>
    <row r="2211" ht="18" customHeight="1"/>
    <row r="2212" ht="18" customHeight="1"/>
    <row r="2213" ht="18" customHeight="1"/>
    <row r="2214" ht="18" customHeight="1"/>
    <row r="2215" ht="18" customHeight="1"/>
    <row r="2216" ht="18" customHeight="1"/>
    <row r="2217" ht="18" customHeight="1"/>
    <row r="2218" ht="18" customHeight="1"/>
    <row r="2219" ht="18" customHeight="1"/>
    <row r="2220" ht="18" customHeight="1"/>
    <row r="2221" ht="18" customHeight="1"/>
    <row r="2222" ht="18" customHeight="1"/>
    <row r="2223" ht="18" customHeight="1"/>
    <row r="2224" ht="18" customHeight="1"/>
    <row r="2225" ht="18" customHeight="1"/>
    <row r="2226" ht="18" customHeight="1"/>
    <row r="2227" ht="18" customHeight="1"/>
    <row r="2228" ht="18" customHeight="1"/>
    <row r="2229" ht="18" customHeight="1"/>
    <row r="2230" ht="18" customHeight="1"/>
    <row r="2231" ht="18" customHeight="1"/>
    <row r="2232" ht="18" customHeight="1"/>
    <row r="2233" ht="18" customHeight="1"/>
    <row r="2234" ht="18" customHeight="1"/>
    <row r="2235" ht="18" customHeight="1"/>
    <row r="2236" ht="18" customHeight="1"/>
    <row r="2237" ht="18" customHeight="1"/>
    <row r="2238" ht="18" customHeight="1"/>
    <row r="2239" ht="18" customHeight="1"/>
    <row r="2240" ht="18" customHeight="1"/>
    <row r="2241" ht="18" customHeight="1"/>
    <row r="2242" ht="18" customHeight="1"/>
    <row r="2243" ht="18" customHeight="1"/>
    <row r="2244" ht="18" customHeight="1"/>
    <row r="2245" ht="18" customHeight="1"/>
    <row r="2246" ht="18" customHeight="1"/>
    <row r="2247" ht="18" customHeight="1"/>
    <row r="2248" ht="18" customHeight="1"/>
    <row r="2249" ht="18" customHeight="1"/>
    <row r="2250" ht="18" customHeight="1"/>
    <row r="2251" ht="18" customHeight="1"/>
    <row r="2252" ht="18" customHeight="1"/>
    <row r="2253" ht="18" customHeight="1"/>
    <row r="2254" ht="18" customHeight="1"/>
    <row r="2255" ht="18" customHeight="1"/>
    <row r="2256" ht="18" customHeight="1"/>
    <row r="2257" ht="18" customHeight="1"/>
    <row r="2258" ht="18" customHeight="1"/>
    <row r="2259" ht="18" customHeight="1"/>
    <row r="2260" ht="18" customHeight="1"/>
    <row r="2261" ht="18" customHeight="1"/>
    <row r="2262" ht="18" customHeight="1"/>
    <row r="2263" ht="18" customHeight="1"/>
    <row r="2264" ht="18" customHeight="1"/>
    <row r="2265" ht="18" customHeight="1"/>
    <row r="2266" ht="18" customHeight="1"/>
    <row r="2267" ht="18" customHeight="1"/>
    <row r="2268" ht="18" customHeight="1"/>
    <row r="2269" ht="18" customHeight="1"/>
    <row r="2270" ht="18" customHeight="1"/>
    <row r="2271" ht="18" customHeight="1"/>
    <row r="2272" ht="18" customHeight="1"/>
    <row r="2273" ht="18" customHeight="1"/>
    <row r="2274" ht="18" customHeight="1"/>
    <row r="2275" ht="18" customHeight="1"/>
    <row r="2276" ht="18" customHeight="1"/>
    <row r="2277" ht="18" customHeight="1"/>
    <row r="2278" ht="18" customHeight="1"/>
    <row r="2279" ht="18" customHeight="1"/>
    <row r="2280" ht="18" customHeight="1"/>
    <row r="2281" ht="18" customHeight="1"/>
    <row r="2282" ht="18" customHeight="1"/>
    <row r="2283" ht="18" customHeight="1"/>
    <row r="2284" ht="18" customHeight="1"/>
    <row r="2285" ht="18" customHeight="1"/>
    <row r="2286" ht="18" customHeight="1"/>
    <row r="2287" ht="18" customHeight="1"/>
    <row r="2288" ht="18" customHeight="1"/>
    <row r="2289" ht="18" customHeight="1"/>
    <row r="2290" ht="18" customHeight="1"/>
    <row r="2291" ht="18" customHeight="1"/>
    <row r="2292" ht="18" customHeight="1"/>
    <row r="2293" ht="18" customHeight="1"/>
    <row r="2294" ht="18" customHeight="1"/>
    <row r="2295" ht="18" customHeight="1"/>
    <row r="2296" ht="18" customHeight="1"/>
    <row r="2297" ht="18" customHeight="1"/>
    <row r="2298" ht="18" customHeight="1"/>
    <row r="2299" ht="18" customHeight="1"/>
    <row r="2300" ht="18" customHeight="1"/>
    <row r="2301" ht="18" customHeight="1"/>
    <row r="2302" ht="18" customHeight="1"/>
    <row r="2303" ht="18" customHeight="1"/>
    <row r="2304" ht="18" customHeight="1"/>
    <row r="2305" ht="18" customHeight="1"/>
    <row r="2306" ht="18" customHeight="1"/>
    <row r="2307" ht="18" customHeight="1"/>
    <row r="2308" ht="18" customHeight="1"/>
    <row r="2309" ht="18" customHeight="1"/>
    <row r="2310" ht="18" customHeight="1"/>
    <row r="2311" ht="18" customHeight="1"/>
    <row r="2312" ht="18" customHeight="1"/>
    <row r="2313" ht="18" customHeight="1"/>
    <row r="2314" ht="18" customHeight="1"/>
    <row r="2315" ht="18" customHeight="1"/>
    <row r="2316" ht="18" customHeight="1"/>
    <row r="2317" ht="18" customHeight="1"/>
    <row r="2318" ht="18" customHeight="1"/>
    <row r="2319" ht="18" customHeight="1"/>
    <row r="2320" ht="18" customHeight="1"/>
    <row r="2321" ht="18" customHeight="1"/>
    <row r="2322" ht="18" customHeight="1"/>
    <row r="2323" ht="18" customHeight="1"/>
    <row r="2324" ht="18" customHeight="1"/>
    <row r="2325" ht="18" customHeight="1"/>
    <row r="2326" ht="18" customHeight="1"/>
    <row r="2327" ht="18" customHeight="1"/>
    <row r="2328" ht="18" customHeight="1"/>
    <row r="2329" ht="18" customHeight="1"/>
    <row r="2330" ht="18" customHeight="1"/>
    <row r="2331" ht="18" customHeight="1"/>
    <row r="2332" ht="18" customHeight="1"/>
    <row r="2333" ht="18" customHeight="1"/>
    <row r="2334" ht="18" customHeight="1"/>
    <row r="2335" ht="18" customHeight="1"/>
    <row r="2336" ht="18" customHeight="1"/>
    <row r="2337" ht="18" customHeight="1"/>
    <row r="2338" ht="18" customHeight="1"/>
    <row r="2339" ht="18" customHeight="1"/>
    <row r="2340" ht="18" customHeight="1"/>
    <row r="2341" ht="18" customHeight="1"/>
    <row r="2342" ht="18" customHeight="1"/>
    <row r="2343" ht="18" customHeight="1"/>
    <row r="2344" ht="18" customHeight="1"/>
    <row r="2345" ht="18" customHeight="1"/>
    <row r="2346" ht="18" customHeight="1"/>
    <row r="2347" ht="18" customHeight="1"/>
    <row r="2348" ht="18" customHeight="1"/>
    <row r="2349" ht="18" customHeight="1"/>
    <row r="2350" ht="18" customHeight="1"/>
    <row r="2351" ht="18" customHeight="1"/>
    <row r="2352" ht="18" customHeight="1"/>
    <row r="2353" ht="18" customHeight="1"/>
    <row r="2354" ht="18" customHeight="1"/>
    <row r="2355" ht="18" customHeight="1"/>
    <row r="2356" ht="18" customHeight="1"/>
    <row r="2357" ht="18" customHeight="1"/>
    <row r="2358" ht="18" customHeight="1"/>
    <row r="2359" ht="18" customHeight="1"/>
    <row r="2360" ht="18" customHeight="1"/>
    <row r="2361" ht="18" customHeight="1"/>
    <row r="2362" ht="18" customHeight="1"/>
    <row r="2363" ht="18" customHeight="1"/>
    <row r="2364" ht="18" customHeight="1"/>
    <row r="2365" ht="18" customHeight="1"/>
    <row r="2366" ht="18" customHeight="1"/>
    <row r="2367" ht="18" customHeight="1"/>
    <row r="2368" ht="18" customHeight="1"/>
    <row r="2369" ht="18" customHeight="1"/>
    <row r="2370" ht="18" customHeight="1"/>
    <row r="2371" ht="18" customHeight="1"/>
    <row r="2372" ht="18" customHeight="1"/>
    <row r="2373" ht="18" customHeight="1"/>
    <row r="2374" ht="18" customHeight="1"/>
    <row r="2375" ht="18" customHeight="1"/>
    <row r="2376" ht="18" customHeight="1"/>
    <row r="2377" ht="18" customHeight="1"/>
    <row r="2378" ht="18" customHeight="1"/>
    <row r="2379" ht="18" customHeight="1"/>
    <row r="2380" ht="18" customHeight="1"/>
    <row r="2381" ht="18" customHeight="1"/>
    <row r="2382" ht="18" customHeight="1"/>
    <row r="2383" ht="18" customHeight="1"/>
    <row r="2384" ht="18" customHeight="1"/>
    <row r="2385" ht="18" customHeight="1"/>
    <row r="2386" ht="18" customHeight="1"/>
    <row r="2387" ht="18" customHeight="1"/>
    <row r="2388" ht="18" customHeight="1"/>
    <row r="2389" ht="18" customHeight="1"/>
    <row r="2390" ht="18" customHeight="1"/>
    <row r="2391" ht="18" customHeight="1"/>
    <row r="2392" ht="18" customHeight="1"/>
    <row r="2393" ht="18" customHeight="1"/>
    <row r="2394" ht="18" customHeight="1"/>
    <row r="2395" ht="18" customHeight="1"/>
    <row r="2396" ht="18" customHeight="1"/>
    <row r="2397" ht="18" customHeight="1"/>
    <row r="2398" ht="18" customHeight="1"/>
    <row r="2399" ht="18" customHeight="1"/>
    <row r="2400" ht="18" customHeight="1"/>
    <row r="2401" ht="18" customHeight="1"/>
    <row r="2402" ht="18" customHeight="1"/>
    <row r="2403" ht="18" customHeight="1"/>
    <row r="2404" ht="18" customHeight="1"/>
    <row r="2405" ht="18" customHeight="1"/>
    <row r="2406" ht="18" customHeight="1"/>
    <row r="2407" ht="18" customHeight="1"/>
    <row r="2408" ht="18" customHeight="1"/>
    <row r="2409" ht="18" customHeight="1"/>
    <row r="2410" ht="18" customHeight="1"/>
    <row r="2411" ht="18" customHeight="1"/>
    <row r="2412" ht="18" customHeight="1"/>
    <row r="2413" ht="18" customHeight="1"/>
    <row r="2414" ht="18" customHeight="1"/>
    <row r="2415" ht="18" customHeight="1"/>
    <row r="2416" ht="18" customHeight="1"/>
    <row r="2417" ht="18" customHeight="1"/>
    <row r="2418" ht="18" customHeight="1"/>
    <row r="2419" ht="18" customHeight="1"/>
    <row r="2420" ht="18" customHeight="1"/>
    <row r="2421" ht="18" customHeight="1"/>
    <row r="2422" ht="18" customHeight="1"/>
    <row r="2423" ht="18" customHeight="1"/>
    <row r="2424" ht="18" customHeight="1"/>
    <row r="2425" ht="18" customHeight="1"/>
    <row r="2426" ht="18" customHeight="1"/>
    <row r="2427" ht="18" customHeight="1"/>
    <row r="2428" ht="18" customHeight="1"/>
    <row r="2429" ht="18" customHeight="1"/>
    <row r="2430" ht="18" customHeight="1"/>
    <row r="2431" ht="18" customHeight="1"/>
    <row r="2432" ht="18" customHeight="1"/>
    <row r="2433" ht="18" customHeight="1"/>
    <row r="2434" ht="18" customHeight="1"/>
    <row r="2435" ht="18" customHeight="1"/>
    <row r="2436" ht="18" customHeight="1"/>
    <row r="2437" ht="18" customHeight="1"/>
    <row r="2438" ht="18" customHeight="1"/>
    <row r="2439" ht="18" customHeight="1"/>
    <row r="2440" ht="18" customHeight="1"/>
    <row r="2441" ht="18" customHeight="1"/>
    <row r="2442" ht="18" customHeight="1"/>
    <row r="2443" ht="18" customHeight="1"/>
    <row r="2444" ht="18" customHeight="1"/>
    <row r="2445" ht="18" customHeight="1"/>
    <row r="2446" ht="18" customHeight="1"/>
    <row r="2447" ht="18" customHeight="1"/>
    <row r="2448" ht="18" customHeight="1"/>
    <row r="2449" ht="18" customHeight="1"/>
    <row r="2450" ht="18" customHeight="1"/>
    <row r="2451" ht="18" customHeight="1"/>
    <row r="2452" ht="18" customHeight="1"/>
    <row r="2453" ht="18" customHeight="1"/>
    <row r="2454" ht="18" customHeight="1"/>
    <row r="2455" ht="18" customHeight="1"/>
    <row r="2456" ht="18" customHeight="1"/>
    <row r="2457" ht="18" customHeight="1"/>
    <row r="2458" ht="18" customHeight="1"/>
    <row r="2459" ht="18" customHeight="1"/>
    <row r="2460" ht="18" customHeight="1"/>
    <row r="2461" ht="18" customHeight="1"/>
    <row r="2462" ht="18" customHeight="1"/>
    <row r="2463" ht="18" customHeight="1"/>
    <row r="2464" ht="18" customHeight="1"/>
    <row r="2465" ht="18" customHeight="1"/>
    <row r="2466" ht="18" customHeight="1"/>
    <row r="2467" ht="18" customHeight="1"/>
    <row r="2468" ht="18" customHeight="1"/>
    <row r="2469" ht="18" customHeight="1"/>
    <row r="2470" ht="18" customHeight="1"/>
    <row r="2471" ht="18" customHeight="1"/>
    <row r="2472" ht="18" customHeight="1"/>
    <row r="2473" ht="18" customHeight="1"/>
    <row r="2474" ht="18" customHeight="1"/>
    <row r="2475" ht="18" customHeight="1"/>
    <row r="2476" ht="18" customHeight="1"/>
    <row r="2477" ht="18" customHeight="1"/>
    <row r="2478" ht="18" customHeight="1"/>
    <row r="2479" ht="18" customHeight="1"/>
    <row r="2480" ht="18" customHeight="1"/>
    <row r="2481" ht="18" customHeight="1"/>
    <row r="2482" ht="18" customHeight="1"/>
    <row r="2483" ht="18" customHeight="1"/>
    <row r="2484" ht="18" customHeight="1"/>
    <row r="2485" ht="18" customHeight="1"/>
    <row r="2486" ht="18" customHeight="1"/>
    <row r="2487" ht="18" customHeight="1"/>
    <row r="2488" ht="18" customHeight="1"/>
    <row r="2489" ht="18" customHeight="1"/>
    <row r="2490" ht="18" customHeight="1"/>
    <row r="2491" ht="18" customHeight="1"/>
    <row r="2492" ht="18" customHeight="1"/>
    <row r="2493" ht="18" customHeight="1"/>
    <row r="2494" ht="18" customHeight="1"/>
    <row r="2495" ht="18" customHeight="1"/>
    <row r="2496" ht="18" customHeight="1"/>
    <row r="2497" ht="18" customHeight="1"/>
    <row r="2498" ht="18" customHeight="1"/>
    <row r="2499" ht="18" customHeight="1"/>
    <row r="2500" ht="18" customHeight="1"/>
    <row r="2501" ht="18" customHeight="1"/>
    <row r="2502" ht="18" customHeight="1"/>
    <row r="2503" ht="18" customHeight="1"/>
    <row r="2504" ht="18" customHeight="1"/>
    <row r="2505" ht="18" customHeight="1"/>
    <row r="2506" ht="18" customHeight="1"/>
    <row r="2507" ht="18" customHeight="1"/>
    <row r="2508" ht="18" customHeight="1"/>
    <row r="2509" ht="18" customHeight="1"/>
    <row r="2510" ht="18" customHeight="1"/>
    <row r="2511" ht="18" customHeight="1"/>
    <row r="2512" ht="18" customHeight="1"/>
    <row r="2513" ht="18" customHeight="1"/>
    <row r="2514" ht="18" customHeight="1"/>
    <row r="2515" ht="18" customHeight="1"/>
    <row r="2516" ht="18" customHeight="1"/>
    <row r="2517" ht="18" customHeight="1"/>
    <row r="2518" ht="18" customHeight="1"/>
    <row r="2519" ht="18" customHeight="1"/>
    <row r="2520" ht="18" customHeight="1"/>
    <row r="2521" ht="18" customHeight="1"/>
    <row r="2522" ht="18" customHeight="1"/>
    <row r="2523" ht="18" customHeight="1"/>
    <row r="2524" ht="18" customHeight="1"/>
    <row r="2525" ht="18" customHeight="1"/>
    <row r="2526" ht="18" customHeight="1"/>
    <row r="2527" ht="18" customHeight="1"/>
    <row r="2528" ht="18" customHeight="1"/>
    <row r="2529" ht="18" customHeight="1"/>
    <row r="2530" ht="18" customHeight="1"/>
    <row r="2531" ht="18" customHeight="1"/>
    <row r="2532" ht="18" customHeight="1"/>
    <row r="2533" ht="18" customHeight="1"/>
    <row r="2534" ht="18" customHeight="1"/>
    <row r="2535" ht="18" customHeight="1"/>
    <row r="2536" ht="18" customHeight="1"/>
    <row r="2537" ht="18" customHeight="1"/>
    <row r="2538" ht="18" customHeight="1"/>
    <row r="2539" ht="18" customHeight="1"/>
    <row r="2540" ht="18" customHeight="1"/>
    <row r="2541" ht="18" customHeight="1"/>
    <row r="2542" ht="18" customHeight="1"/>
    <row r="2543" ht="18" customHeight="1"/>
    <row r="2544" ht="18" customHeight="1"/>
    <row r="2545" ht="18" customHeight="1"/>
    <row r="2546" ht="18" customHeight="1"/>
    <row r="2547" ht="18" customHeight="1"/>
    <row r="2548" ht="18" customHeight="1"/>
    <row r="2549" ht="18" customHeight="1"/>
    <row r="2550" ht="18" customHeight="1"/>
    <row r="2551" ht="18" customHeight="1"/>
    <row r="2552" ht="18" customHeight="1"/>
    <row r="2553" ht="18" customHeight="1"/>
    <row r="2554" ht="18" customHeight="1"/>
    <row r="2555" ht="18" customHeight="1"/>
    <row r="2556" ht="18" customHeight="1"/>
    <row r="2557" ht="18" customHeight="1"/>
    <row r="2558" ht="18" customHeight="1"/>
    <row r="2559" ht="18" customHeight="1"/>
    <row r="2560" ht="18" customHeight="1"/>
    <row r="2561" ht="18" customHeight="1"/>
    <row r="2562" ht="18" customHeight="1"/>
    <row r="2563" ht="18" customHeight="1"/>
    <row r="2564" ht="18" customHeight="1"/>
    <row r="2565" ht="18" customHeight="1"/>
    <row r="2566" ht="18" customHeight="1"/>
    <row r="2567" ht="18" customHeight="1"/>
    <row r="2568" ht="18" customHeight="1"/>
    <row r="2569" ht="18" customHeight="1"/>
    <row r="2570" ht="18" customHeight="1"/>
    <row r="2571" ht="18" customHeight="1"/>
    <row r="2572" ht="18" customHeight="1"/>
    <row r="2573" ht="18" customHeight="1"/>
    <row r="2574" ht="18" customHeight="1"/>
    <row r="2575" ht="18" customHeight="1"/>
    <row r="2576" ht="18" customHeight="1"/>
    <row r="2577" ht="18" customHeight="1"/>
    <row r="2578" ht="18" customHeight="1"/>
    <row r="2579" ht="18" customHeight="1"/>
    <row r="2580" ht="18" customHeight="1"/>
    <row r="2581" ht="18" customHeight="1"/>
    <row r="2582" ht="18" customHeight="1"/>
    <row r="2583" ht="18" customHeight="1"/>
    <row r="2584" ht="18" customHeight="1"/>
    <row r="2585" ht="18" customHeight="1"/>
    <row r="2586" ht="18" customHeight="1"/>
    <row r="2587" ht="18" customHeight="1"/>
    <row r="2588" ht="18" customHeight="1"/>
    <row r="2589" ht="18" customHeight="1"/>
    <row r="2590" ht="18" customHeight="1"/>
    <row r="2591" ht="18" customHeight="1"/>
    <row r="2592" ht="18" customHeight="1"/>
    <row r="2593" ht="18" customHeight="1"/>
    <row r="2594" ht="18" customHeight="1"/>
    <row r="2595" ht="18" customHeight="1"/>
    <row r="2596" ht="18" customHeight="1"/>
    <row r="2597" ht="18" customHeight="1"/>
    <row r="2598" ht="18" customHeight="1"/>
    <row r="2599" ht="18" customHeight="1"/>
    <row r="2600" ht="18" customHeight="1"/>
    <row r="2601" ht="18" customHeight="1"/>
    <row r="2602" ht="18" customHeight="1"/>
    <row r="2603" ht="18" customHeight="1"/>
    <row r="2604" ht="18" customHeight="1"/>
    <row r="2605" ht="18" customHeight="1"/>
    <row r="2606" ht="18" customHeight="1"/>
    <row r="2607" ht="18" customHeight="1"/>
    <row r="2608" ht="18" customHeight="1"/>
    <row r="2609" ht="18" customHeight="1"/>
    <row r="2610" ht="18" customHeight="1"/>
    <row r="2611" ht="18" customHeight="1"/>
    <row r="2612" ht="18" customHeight="1"/>
    <row r="2613" ht="18" customHeight="1"/>
    <row r="2614" ht="18" customHeight="1"/>
    <row r="2615" ht="18" customHeight="1"/>
    <row r="2616" ht="18" customHeight="1"/>
    <row r="2617" ht="18" customHeight="1"/>
    <row r="2618" ht="18" customHeight="1"/>
    <row r="2619" ht="18" customHeight="1"/>
    <row r="2620" ht="18" customHeight="1"/>
    <row r="2621" ht="18" customHeight="1"/>
    <row r="2622" ht="18" customHeight="1"/>
    <row r="2623" ht="18" customHeight="1"/>
    <row r="2624" ht="18" customHeight="1"/>
    <row r="2625" ht="18" customHeight="1"/>
    <row r="2626" ht="18" customHeight="1"/>
    <row r="2627" ht="18" customHeight="1"/>
    <row r="2628" ht="18" customHeight="1"/>
    <row r="2629" ht="18" customHeight="1"/>
    <row r="2630" ht="18" customHeight="1"/>
    <row r="2631" ht="18" customHeight="1"/>
    <row r="2632" ht="18" customHeight="1"/>
    <row r="2633" ht="18" customHeight="1"/>
    <row r="2634" ht="18" customHeight="1"/>
    <row r="2635" ht="18" customHeight="1"/>
    <row r="2636" ht="18" customHeight="1"/>
    <row r="2637" ht="18" customHeight="1"/>
    <row r="2638" ht="18" customHeight="1"/>
    <row r="2639" ht="18" customHeight="1"/>
    <row r="2640" ht="18" customHeight="1"/>
    <row r="2641" ht="18" customHeight="1"/>
    <row r="2642" ht="18" customHeight="1"/>
    <row r="2643" ht="18" customHeight="1"/>
    <row r="2644" ht="18" customHeight="1"/>
    <row r="2645" ht="18" customHeight="1"/>
    <row r="2646" ht="18" customHeight="1"/>
    <row r="2647" ht="18" customHeight="1"/>
    <row r="2648" ht="18" customHeight="1"/>
    <row r="2649" ht="18" customHeight="1"/>
    <row r="2650" ht="18" customHeight="1"/>
    <row r="2651" ht="18" customHeight="1"/>
    <row r="2652" ht="18" customHeight="1"/>
    <row r="2653" ht="18" customHeight="1"/>
    <row r="2654" ht="18" customHeight="1"/>
    <row r="2655" ht="18" customHeight="1"/>
    <row r="2656" ht="18" customHeight="1"/>
    <row r="2657" ht="18" customHeight="1"/>
    <row r="2658" ht="18" customHeight="1"/>
    <row r="2659" ht="18" customHeight="1"/>
    <row r="2660" ht="18" customHeight="1"/>
    <row r="2661" ht="18" customHeight="1"/>
    <row r="2662" ht="18" customHeight="1"/>
    <row r="2663" ht="18" customHeight="1"/>
    <row r="2664" ht="18" customHeight="1"/>
    <row r="2665" ht="18" customHeight="1"/>
    <row r="2666" ht="18" customHeight="1"/>
    <row r="2667" ht="18" customHeight="1"/>
    <row r="2668" ht="18" customHeight="1"/>
    <row r="2669" ht="18" customHeight="1"/>
    <row r="2670" ht="18" customHeight="1"/>
    <row r="2671" ht="18" customHeight="1"/>
    <row r="2672" ht="18" customHeight="1"/>
    <row r="2673" ht="18" customHeight="1"/>
    <row r="2674" ht="18" customHeight="1"/>
    <row r="2675" ht="18" customHeight="1"/>
    <row r="2676" ht="18" customHeight="1"/>
    <row r="2677" ht="18" customHeight="1"/>
    <row r="2678" ht="18" customHeight="1"/>
    <row r="2679" ht="18" customHeight="1"/>
    <row r="2680" ht="18" customHeight="1"/>
    <row r="2681" ht="18" customHeight="1"/>
    <row r="2682" ht="18" customHeight="1"/>
    <row r="2683" ht="18" customHeight="1"/>
    <row r="2684" ht="18" customHeight="1"/>
    <row r="2685" ht="18" customHeight="1"/>
    <row r="2686" ht="18" customHeight="1"/>
    <row r="2687" ht="18" customHeight="1"/>
    <row r="2688" ht="18" customHeight="1"/>
    <row r="2689" ht="18" customHeight="1"/>
    <row r="2690" ht="18" customHeight="1"/>
    <row r="2691" ht="18" customHeight="1"/>
    <row r="2692" ht="18" customHeight="1"/>
    <row r="2693" ht="18" customHeight="1"/>
    <row r="2694" ht="18" customHeight="1"/>
    <row r="2695" ht="18" customHeight="1"/>
    <row r="2696" ht="18" customHeight="1"/>
    <row r="2697" ht="18" customHeight="1"/>
    <row r="2698" ht="18" customHeight="1"/>
    <row r="2699" ht="18" customHeight="1"/>
    <row r="2700" ht="18" customHeight="1"/>
    <row r="2701" ht="18" customHeight="1"/>
    <row r="2702" ht="18" customHeight="1"/>
    <row r="2703" ht="18" customHeight="1"/>
    <row r="2704" ht="18" customHeight="1"/>
    <row r="2705" ht="18" customHeight="1"/>
    <row r="2706" ht="18" customHeight="1"/>
    <row r="2707" ht="18" customHeight="1"/>
    <row r="2708" ht="18" customHeight="1"/>
    <row r="2709" ht="18" customHeight="1"/>
    <row r="2710" ht="18" customHeight="1"/>
    <row r="2711" ht="18" customHeight="1"/>
    <row r="2712" ht="18" customHeight="1"/>
    <row r="2713" ht="18" customHeight="1"/>
    <row r="2714" ht="18" customHeight="1"/>
    <row r="2715" ht="18" customHeight="1"/>
    <row r="2716" ht="18" customHeight="1"/>
    <row r="2717" ht="18" customHeight="1"/>
    <row r="2718" ht="18" customHeight="1"/>
    <row r="2719" ht="18" customHeight="1"/>
    <row r="2720" ht="18" customHeight="1"/>
    <row r="2721" ht="18" customHeight="1"/>
    <row r="2722" ht="18" customHeight="1"/>
    <row r="2723" ht="18" customHeight="1"/>
    <row r="2724" ht="18" customHeight="1"/>
    <row r="2725" ht="18" customHeight="1"/>
    <row r="2726" ht="18" customHeight="1"/>
    <row r="2727" ht="18" customHeight="1"/>
    <row r="2728" ht="18" customHeight="1"/>
    <row r="2729" ht="18" customHeight="1"/>
    <row r="2730" ht="18" customHeight="1"/>
    <row r="2731" ht="18" customHeight="1"/>
    <row r="2732" ht="18" customHeight="1"/>
    <row r="2733" ht="18" customHeight="1"/>
    <row r="2734" ht="18" customHeight="1"/>
    <row r="2735" ht="18" customHeight="1"/>
    <row r="2736" ht="18" customHeight="1"/>
    <row r="2737" ht="18" customHeight="1"/>
    <row r="2738" ht="18" customHeight="1"/>
    <row r="2739" ht="18" customHeight="1"/>
    <row r="2740" ht="18" customHeight="1"/>
    <row r="2741" ht="18" customHeight="1"/>
    <row r="2742" ht="18" customHeight="1"/>
    <row r="2743" ht="18" customHeight="1"/>
    <row r="2744" ht="18" customHeight="1"/>
    <row r="2745" ht="18" customHeight="1"/>
    <row r="2746" ht="18" customHeight="1"/>
    <row r="2747" ht="18" customHeight="1"/>
    <row r="2748" ht="18" customHeight="1"/>
    <row r="2749" ht="18" customHeight="1"/>
    <row r="2750" ht="18" customHeight="1"/>
    <row r="2751" ht="18" customHeight="1"/>
    <row r="2752" ht="18" customHeight="1"/>
    <row r="2753" ht="18" customHeight="1"/>
    <row r="2754" ht="18" customHeight="1"/>
    <row r="2755" ht="18" customHeight="1"/>
    <row r="2756" ht="18" customHeight="1"/>
    <row r="2757" ht="18" customHeight="1"/>
    <row r="2758" ht="18" customHeight="1"/>
    <row r="2759" ht="18" customHeight="1"/>
    <row r="2760" ht="18" customHeight="1"/>
    <row r="2761" ht="18" customHeight="1"/>
    <row r="2762" ht="18" customHeight="1"/>
    <row r="2763" ht="18" customHeight="1"/>
    <row r="2764" ht="18" customHeight="1"/>
    <row r="2765" ht="18" customHeight="1"/>
    <row r="2766" ht="18" customHeight="1"/>
    <row r="2767" ht="18" customHeight="1"/>
    <row r="2768" ht="18" customHeight="1"/>
    <row r="2769" ht="18" customHeight="1"/>
    <row r="2770" ht="18" customHeight="1"/>
    <row r="2771" ht="18" customHeight="1"/>
    <row r="2772" ht="18" customHeight="1"/>
    <row r="2773" ht="18" customHeight="1"/>
    <row r="2774" ht="18" customHeight="1"/>
    <row r="2775" ht="18" customHeight="1"/>
    <row r="2776" ht="18" customHeight="1"/>
    <row r="2777" ht="18" customHeight="1"/>
    <row r="2778" ht="18" customHeight="1"/>
    <row r="2779" ht="18" customHeight="1"/>
    <row r="2780" ht="18" customHeight="1"/>
    <row r="2781" ht="18" customHeight="1"/>
    <row r="2782" ht="18" customHeight="1"/>
    <row r="2783" ht="18" customHeight="1"/>
    <row r="2784" ht="18" customHeight="1"/>
    <row r="2785" ht="18" customHeight="1"/>
    <row r="2786" ht="18" customHeight="1"/>
    <row r="2787" ht="18" customHeight="1"/>
    <row r="2788" ht="18" customHeight="1"/>
    <row r="2789" ht="18" customHeight="1"/>
    <row r="2790" ht="18" customHeight="1"/>
    <row r="2791" ht="18" customHeight="1"/>
    <row r="2792" ht="18" customHeight="1"/>
    <row r="2793" ht="18" customHeight="1"/>
    <row r="2794" ht="18" customHeight="1"/>
    <row r="2795" ht="18" customHeight="1"/>
    <row r="2796" ht="18" customHeight="1"/>
    <row r="2797" ht="18" customHeight="1"/>
    <row r="2798" ht="18" customHeight="1"/>
    <row r="2799" ht="18" customHeight="1"/>
    <row r="2800" ht="18" customHeight="1"/>
    <row r="2801" ht="18" customHeight="1"/>
    <row r="2802" ht="18" customHeight="1"/>
    <row r="2803" ht="18" customHeight="1"/>
    <row r="2804" ht="18" customHeight="1"/>
    <row r="2805" ht="18" customHeight="1"/>
    <row r="2806" ht="18" customHeight="1"/>
    <row r="2807" ht="18" customHeight="1"/>
    <row r="2808" ht="18" customHeight="1"/>
    <row r="2809" ht="18" customHeight="1"/>
    <row r="2810" ht="18" customHeight="1"/>
    <row r="2811" ht="18" customHeight="1"/>
    <row r="2812" ht="18" customHeight="1"/>
    <row r="2813" ht="18" customHeight="1"/>
    <row r="2814" ht="18" customHeight="1"/>
    <row r="2815" ht="18" customHeight="1"/>
    <row r="2816" ht="18" customHeight="1"/>
    <row r="2817" ht="18" customHeight="1"/>
    <row r="2818" ht="18" customHeight="1"/>
    <row r="2819" ht="18" customHeight="1"/>
    <row r="2820" ht="18" customHeight="1"/>
    <row r="2821" ht="18" customHeight="1"/>
    <row r="2822" ht="18" customHeight="1"/>
    <row r="2823" ht="18" customHeight="1"/>
    <row r="2824" ht="18" customHeight="1"/>
    <row r="2825" ht="18" customHeight="1"/>
    <row r="2826" ht="18" customHeight="1"/>
    <row r="2827" ht="18" customHeight="1"/>
    <row r="2828" ht="18" customHeight="1"/>
    <row r="2829" ht="18" customHeight="1"/>
    <row r="2830" ht="18" customHeight="1"/>
    <row r="2831" ht="18" customHeight="1"/>
    <row r="2832" ht="18" customHeight="1"/>
    <row r="2833" ht="18" customHeight="1"/>
    <row r="2834" ht="18" customHeight="1"/>
    <row r="2835" ht="18" customHeight="1"/>
    <row r="2836" ht="18" customHeight="1"/>
    <row r="2837" ht="18" customHeight="1"/>
    <row r="2838" ht="18" customHeight="1"/>
    <row r="2839" ht="18" customHeight="1"/>
    <row r="2840" ht="18" customHeight="1"/>
    <row r="2841" ht="18" customHeight="1"/>
    <row r="2842" ht="18" customHeight="1"/>
    <row r="2843" ht="18" customHeight="1"/>
    <row r="2844" ht="18" customHeight="1"/>
    <row r="2845" ht="18" customHeight="1"/>
    <row r="2846" ht="18" customHeight="1"/>
    <row r="2847" ht="18" customHeight="1"/>
    <row r="2848" ht="18" customHeight="1"/>
    <row r="2849" ht="18" customHeight="1"/>
    <row r="2850" ht="18" customHeight="1"/>
    <row r="2851" ht="18" customHeight="1"/>
    <row r="2852" ht="18" customHeight="1"/>
    <row r="2853" ht="18" customHeight="1"/>
    <row r="2854" ht="18" customHeight="1"/>
    <row r="2855" ht="18" customHeight="1"/>
    <row r="2856" ht="18" customHeight="1"/>
    <row r="2857" ht="18" customHeight="1"/>
    <row r="2858" ht="18" customHeight="1"/>
    <row r="2859" ht="18" customHeight="1"/>
    <row r="2860" ht="18" customHeight="1"/>
    <row r="2861" ht="18" customHeight="1"/>
    <row r="2862" ht="18" customHeight="1"/>
    <row r="2863" ht="18" customHeight="1"/>
    <row r="2864" ht="18" customHeight="1"/>
    <row r="2865" ht="18" customHeight="1"/>
    <row r="2866" ht="18" customHeight="1"/>
    <row r="2867" ht="18" customHeight="1"/>
    <row r="2868" ht="18" customHeight="1"/>
    <row r="2869" ht="18" customHeight="1"/>
    <row r="2870" ht="18" customHeight="1"/>
    <row r="2871" ht="18" customHeight="1"/>
    <row r="2872" ht="18" customHeight="1"/>
    <row r="2873" ht="18" customHeight="1"/>
    <row r="2874" ht="18" customHeight="1"/>
    <row r="2875" ht="18" customHeight="1"/>
    <row r="2876" ht="18" customHeight="1"/>
    <row r="2877" ht="18" customHeight="1"/>
    <row r="2878" ht="18" customHeight="1"/>
    <row r="2879" ht="18" customHeight="1"/>
    <row r="2880" ht="18" customHeight="1"/>
    <row r="2881" ht="18" customHeight="1"/>
    <row r="2882" ht="18" customHeight="1"/>
    <row r="2883" ht="18" customHeight="1"/>
    <row r="2884" ht="18" customHeight="1"/>
    <row r="2885" ht="18" customHeight="1"/>
    <row r="2886" ht="18" customHeight="1"/>
    <row r="2887" ht="18" customHeight="1"/>
    <row r="2888" ht="18" customHeight="1"/>
    <row r="2889" ht="18" customHeight="1"/>
    <row r="2890" ht="18" customHeight="1"/>
    <row r="2891" ht="18" customHeight="1"/>
    <row r="2892" ht="18" customHeight="1"/>
    <row r="2893" ht="18" customHeight="1"/>
    <row r="2894" ht="18" customHeight="1"/>
    <row r="2895" ht="18" customHeight="1"/>
    <row r="2896" ht="18" customHeight="1"/>
    <row r="2897" ht="18" customHeight="1"/>
    <row r="2898" ht="18" customHeight="1"/>
    <row r="2899" ht="18" customHeight="1"/>
    <row r="2900" ht="18" customHeight="1"/>
    <row r="2901" ht="18" customHeight="1"/>
    <row r="2902" ht="18" customHeight="1"/>
    <row r="2903" ht="18" customHeight="1"/>
    <row r="2904" ht="18" customHeight="1"/>
    <row r="2905" ht="18" customHeight="1"/>
    <row r="2906" ht="18" customHeight="1"/>
    <row r="2907" ht="18" customHeight="1"/>
    <row r="2908" ht="18" customHeight="1"/>
    <row r="2909" ht="18" customHeight="1"/>
    <row r="2910" ht="18" customHeight="1"/>
    <row r="2911" ht="18" customHeight="1"/>
    <row r="2912" ht="18" customHeight="1"/>
    <row r="2913" ht="18" customHeight="1"/>
    <row r="2914" ht="18" customHeight="1"/>
    <row r="2915" ht="18" customHeight="1"/>
    <row r="2916" ht="18" customHeight="1"/>
    <row r="2917" ht="18" customHeight="1"/>
    <row r="2918" ht="18" customHeight="1"/>
    <row r="2919" ht="18" customHeight="1"/>
    <row r="2920" ht="18" customHeight="1"/>
    <row r="2921" ht="18" customHeight="1"/>
    <row r="2922" ht="18" customHeight="1"/>
    <row r="2923" ht="18" customHeight="1"/>
    <row r="2924" ht="18" customHeight="1"/>
    <row r="2925" ht="18" customHeight="1"/>
    <row r="2926" ht="18" customHeight="1"/>
    <row r="2927" ht="18" customHeight="1"/>
    <row r="2928" ht="18" customHeight="1"/>
    <row r="2929" ht="18" customHeight="1"/>
    <row r="2930" ht="18" customHeight="1"/>
    <row r="2931" ht="18" customHeight="1"/>
    <row r="2932" ht="18" customHeight="1"/>
    <row r="2933" ht="18" customHeight="1"/>
    <row r="2934" ht="18" customHeight="1"/>
    <row r="2935" ht="18" customHeight="1"/>
    <row r="2936" ht="18" customHeight="1"/>
    <row r="2937" ht="18" customHeight="1"/>
    <row r="2938" ht="18" customHeight="1"/>
    <row r="2939" ht="18" customHeight="1"/>
    <row r="2940" ht="18" customHeight="1"/>
    <row r="2941" ht="18" customHeight="1"/>
    <row r="2942" ht="18" customHeight="1"/>
    <row r="2943" ht="18" customHeight="1"/>
    <row r="2944" ht="18" customHeight="1"/>
    <row r="2945" ht="18" customHeight="1"/>
    <row r="2946" ht="18" customHeight="1"/>
    <row r="2947" ht="18" customHeight="1"/>
    <row r="2948" ht="18" customHeight="1"/>
    <row r="2949" ht="18" customHeight="1"/>
    <row r="2950" ht="18" customHeight="1"/>
    <row r="2951" ht="18" customHeight="1"/>
    <row r="2952" ht="18" customHeight="1"/>
    <row r="2953" ht="18" customHeight="1"/>
    <row r="2954" ht="18" customHeight="1"/>
    <row r="2955" ht="18" customHeight="1"/>
    <row r="2956" ht="18" customHeight="1"/>
    <row r="2957" ht="18" customHeight="1"/>
    <row r="2958" ht="18" customHeight="1"/>
    <row r="2959" ht="18" customHeight="1"/>
    <row r="2960" ht="18" customHeight="1"/>
    <row r="2961" ht="18" customHeight="1"/>
    <row r="2962" ht="18" customHeight="1"/>
    <row r="2963" ht="18" customHeight="1"/>
    <row r="2964" ht="18" customHeight="1"/>
    <row r="2965" ht="18" customHeight="1"/>
    <row r="2966" ht="18" customHeight="1"/>
    <row r="2967" ht="18" customHeight="1"/>
    <row r="2968" ht="18" customHeight="1"/>
    <row r="2969" ht="18" customHeight="1"/>
    <row r="2970" ht="18" customHeight="1"/>
    <row r="2971" ht="18" customHeight="1"/>
    <row r="2972" ht="18" customHeight="1"/>
    <row r="2973" ht="18" customHeight="1"/>
    <row r="2974" ht="18" customHeight="1"/>
    <row r="2975" ht="18" customHeight="1"/>
    <row r="2976" ht="18" customHeight="1"/>
    <row r="2977" ht="18" customHeight="1"/>
    <row r="2978" ht="18" customHeight="1"/>
    <row r="2979" ht="18" customHeight="1"/>
    <row r="2980" ht="18" customHeight="1"/>
    <row r="2981" ht="18" customHeight="1"/>
    <row r="2982" ht="18" customHeight="1"/>
    <row r="2983" ht="18" customHeight="1"/>
    <row r="2984" ht="18" customHeight="1"/>
    <row r="2985" ht="18" customHeight="1"/>
    <row r="2986" ht="18" customHeight="1"/>
    <row r="2987" ht="18" customHeight="1"/>
    <row r="2988" ht="18" customHeight="1"/>
    <row r="2989" ht="18" customHeight="1"/>
    <row r="2990" ht="18" customHeight="1"/>
    <row r="2991" ht="18" customHeight="1"/>
    <row r="2992" ht="18" customHeight="1"/>
    <row r="2993" ht="18" customHeight="1"/>
    <row r="2994" ht="18" customHeight="1"/>
    <row r="2995" ht="18" customHeight="1"/>
    <row r="2996" ht="18" customHeight="1"/>
    <row r="2997" ht="18" customHeight="1"/>
    <row r="2998" ht="18" customHeight="1"/>
    <row r="2999" ht="18" customHeight="1"/>
    <row r="3000" ht="18" customHeight="1"/>
    <row r="3001" ht="18" customHeight="1"/>
    <row r="3002" ht="18" customHeight="1"/>
    <row r="3003" ht="18" customHeight="1"/>
    <row r="3004" ht="18" customHeight="1"/>
    <row r="3005" ht="18" customHeight="1"/>
    <row r="3006" ht="18" customHeight="1"/>
    <row r="3007" ht="18" customHeight="1"/>
    <row r="3008" ht="18" customHeight="1"/>
    <row r="3009" ht="18" customHeight="1"/>
    <row r="3010" ht="18" customHeight="1"/>
    <row r="3011" ht="18" customHeight="1"/>
    <row r="3012" ht="18" customHeight="1"/>
    <row r="3013" ht="18" customHeight="1"/>
    <row r="3014" ht="18" customHeight="1"/>
    <row r="3015" ht="18" customHeight="1"/>
    <row r="3016" ht="18" customHeight="1"/>
    <row r="3017" ht="18" customHeight="1"/>
    <row r="3018" ht="18" customHeight="1"/>
    <row r="3019" ht="18" customHeight="1"/>
    <row r="3020" ht="18" customHeight="1"/>
    <row r="3021" ht="18" customHeight="1"/>
    <row r="3022" ht="18" customHeight="1"/>
    <row r="3023" ht="18" customHeight="1"/>
    <row r="3024" ht="18" customHeight="1"/>
    <row r="3025" ht="18" customHeight="1"/>
    <row r="3026" ht="18" customHeight="1"/>
    <row r="3027" ht="18" customHeight="1"/>
    <row r="3028" ht="18" customHeight="1"/>
    <row r="3029" ht="18" customHeight="1"/>
    <row r="3030" ht="18" customHeight="1"/>
    <row r="3031" ht="18" customHeight="1"/>
    <row r="3032" ht="18" customHeight="1"/>
    <row r="3033" ht="18" customHeight="1"/>
    <row r="3034" ht="18" customHeight="1"/>
    <row r="3035" ht="18" customHeight="1"/>
    <row r="3036" ht="18" customHeight="1"/>
    <row r="3037" ht="18" customHeight="1"/>
    <row r="3038" ht="18" customHeight="1"/>
    <row r="3039" ht="18" customHeight="1"/>
    <row r="3040" ht="18" customHeight="1"/>
    <row r="3041" ht="18" customHeight="1"/>
    <row r="3042" ht="18" customHeight="1"/>
    <row r="3043" ht="18" customHeight="1"/>
    <row r="3044" ht="18" customHeight="1"/>
    <row r="3045" ht="18" customHeight="1"/>
    <row r="3046" ht="18" customHeight="1"/>
    <row r="3047" ht="18" customHeight="1"/>
    <row r="3048" ht="18" customHeight="1"/>
    <row r="3049" ht="18" customHeight="1"/>
    <row r="3050" ht="18" customHeight="1"/>
    <row r="3051" ht="18" customHeight="1"/>
    <row r="3052" ht="18" customHeight="1"/>
    <row r="3053" ht="18" customHeight="1"/>
    <row r="3054" ht="18" customHeight="1"/>
    <row r="3055" ht="18" customHeight="1"/>
    <row r="3056" ht="18" customHeight="1"/>
    <row r="3057" ht="18" customHeight="1"/>
    <row r="3058" ht="18" customHeight="1"/>
    <row r="3059" ht="18" customHeight="1"/>
    <row r="3060" ht="18" customHeight="1"/>
    <row r="3061" ht="18" customHeight="1"/>
    <row r="3062" ht="18" customHeight="1"/>
    <row r="3063" ht="18" customHeight="1"/>
    <row r="3064" ht="18" customHeight="1"/>
    <row r="3065" ht="18" customHeight="1"/>
    <row r="3066" ht="18" customHeight="1"/>
    <row r="3067" ht="18" customHeight="1"/>
    <row r="3068" ht="18" customHeight="1"/>
    <row r="3069" ht="18" customHeight="1"/>
    <row r="3070" ht="18" customHeight="1"/>
    <row r="3071" ht="18" customHeight="1"/>
    <row r="3072" ht="18" customHeight="1"/>
    <row r="3073" ht="18" customHeight="1"/>
    <row r="3074" ht="18" customHeight="1"/>
    <row r="3075" ht="18" customHeight="1"/>
    <row r="3076" ht="18" customHeight="1"/>
    <row r="3077" ht="18" customHeight="1"/>
    <row r="3078" ht="18" customHeight="1"/>
    <row r="3079" ht="18" customHeight="1"/>
    <row r="3080" ht="18" customHeight="1"/>
    <row r="3081" ht="18" customHeight="1"/>
    <row r="3082" ht="18" customHeight="1"/>
    <row r="3083" ht="18" customHeight="1"/>
    <row r="3084" ht="18" customHeight="1"/>
    <row r="3085" ht="18" customHeight="1"/>
    <row r="3086" ht="18" customHeight="1"/>
    <row r="3087" ht="18" customHeight="1"/>
    <row r="3088" ht="18" customHeight="1"/>
    <row r="3089" ht="18" customHeight="1"/>
    <row r="3090" ht="18" customHeight="1"/>
    <row r="3091" ht="18" customHeight="1"/>
    <row r="3092" ht="18" customHeight="1"/>
    <row r="3093" ht="18" customHeight="1"/>
    <row r="3094" ht="18" customHeight="1"/>
    <row r="3095" ht="18" customHeight="1"/>
    <row r="3096" ht="18" customHeight="1"/>
    <row r="3097" ht="18" customHeight="1"/>
    <row r="3098" ht="18" customHeight="1"/>
    <row r="3099" ht="18" customHeight="1"/>
    <row r="3100" ht="18" customHeight="1"/>
    <row r="3101" ht="18" customHeight="1"/>
    <row r="3102" ht="18" customHeight="1"/>
    <row r="3103" ht="18" customHeight="1"/>
    <row r="3104" ht="18" customHeight="1"/>
    <row r="3105" ht="18" customHeight="1"/>
    <row r="3106" ht="18" customHeight="1"/>
    <row r="3107" ht="18" customHeight="1"/>
    <row r="3108" ht="18" customHeight="1"/>
    <row r="3109" ht="18" customHeight="1"/>
    <row r="3110" ht="18" customHeight="1"/>
    <row r="3111" ht="18" customHeight="1"/>
    <row r="3112" ht="18" customHeight="1"/>
    <row r="3113" ht="18" customHeight="1"/>
    <row r="3114" ht="18" customHeight="1"/>
    <row r="3115" ht="18" customHeight="1"/>
    <row r="3116" ht="18" customHeight="1"/>
    <row r="3117" ht="18" customHeight="1"/>
    <row r="3118" ht="18" customHeight="1"/>
    <row r="3119" ht="18" customHeight="1"/>
    <row r="3120" ht="18" customHeight="1"/>
    <row r="3121" ht="18" customHeight="1"/>
    <row r="3122" ht="18" customHeight="1"/>
    <row r="3123" ht="18" customHeight="1"/>
    <row r="3124" ht="18" customHeight="1"/>
    <row r="3125" ht="18" customHeight="1"/>
    <row r="3126" ht="18" customHeight="1"/>
    <row r="3127" ht="18" customHeight="1"/>
    <row r="3128" ht="18" customHeight="1"/>
    <row r="3129" ht="18" customHeight="1"/>
    <row r="3130" ht="18" customHeight="1"/>
    <row r="3131" ht="18" customHeight="1"/>
    <row r="3132" ht="18" customHeight="1"/>
    <row r="3133" ht="18" customHeight="1"/>
    <row r="3134" ht="18" customHeight="1"/>
    <row r="3135" ht="18" customHeight="1"/>
    <row r="3136" ht="18" customHeight="1"/>
    <row r="3137" ht="18" customHeight="1"/>
    <row r="3138" ht="18" customHeight="1"/>
    <row r="3139" ht="18" customHeight="1"/>
    <row r="3140" ht="18" customHeight="1"/>
    <row r="3141" ht="18" customHeight="1"/>
    <row r="3142" ht="18" customHeight="1"/>
    <row r="3143" ht="18" customHeight="1"/>
    <row r="3144" ht="18" customHeight="1"/>
    <row r="3145" ht="18" customHeight="1"/>
    <row r="3146" ht="18" customHeight="1"/>
    <row r="3147" ht="18" customHeight="1"/>
    <row r="3148" ht="18" customHeight="1"/>
    <row r="3149" ht="18" customHeight="1"/>
    <row r="3150" ht="18" customHeight="1"/>
    <row r="3151" ht="18" customHeight="1"/>
    <row r="3152" ht="18" customHeight="1"/>
    <row r="3153" ht="18" customHeight="1"/>
    <row r="3154" ht="18" customHeight="1"/>
    <row r="3155" ht="18" customHeight="1"/>
    <row r="3156" ht="18" customHeight="1"/>
    <row r="3157" ht="18" customHeight="1"/>
    <row r="3158" ht="18" customHeight="1"/>
    <row r="3159" ht="18" customHeight="1"/>
    <row r="3160" ht="18" customHeight="1"/>
    <row r="3161" ht="18" customHeight="1"/>
    <row r="3162" ht="18" customHeight="1"/>
    <row r="3163" ht="18" customHeight="1"/>
    <row r="3164" ht="18" customHeight="1"/>
    <row r="3165" ht="18" customHeight="1"/>
    <row r="3166" ht="18" customHeight="1"/>
    <row r="3167" ht="18" customHeight="1"/>
    <row r="3168" ht="18" customHeight="1"/>
    <row r="3169" ht="18" customHeight="1"/>
    <row r="3170" ht="18" customHeight="1"/>
    <row r="3171" ht="18" customHeight="1"/>
    <row r="3172" ht="18" customHeight="1"/>
    <row r="3173" ht="18" customHeight="1"/>
    <row r="3174" ht="18" customHeight="1"/>
    <row r="3175" ht="18" customHeight="1"/>
    <row r="3176" ht="18" customHeight="1"/>
    <row r="3177" ht="18" customHeight="1"/>
    <row r="3178" ht="18" customHeight="1"/>
    <row r="3179" ht="18" customHeight="1"/>
    <row r="3180" ht="18" customHeight="1"/>
    <row r="3181" ht="18" customHeight="1"/>
    <row r="3182" ht="18" customHeight="1"/>
    <row r="3183" ht="18" customHeight="1"/>
    <row r="3184" ht="18" customHeight="1"/>
    <row r="3185" ht="18" customHeight="1"/>
    <row r="3186" ht="18" customHeight="1"/>
    <row r="3187" ht="18" customHeight="1"/>
    <row r="3188" ht="18" customHeight="1"/>
    <row r="3189" ht="18" customHeight="1"/>
    <row r="3190" ht="18" customHeight="1"/>
    <row r="3191" ht="18" customHeight="1"/>
    <row r="3192" ht="18" customHeight="1"/>
    <row r="3193" ht="18" customHeight="1"/>
    <row r="3194" ht="18" customHeight="1"/>
    <row r="3195" ht="18" customHeight="1"/>
    <row r="3196" ht="18" customHeight="1"/>
    <row r="3197" ht="18" customHeight="1"/>
    <row r="3198" ht="18" customHeight="1"/>
    <row r="3199" ht="18" customHeight="1"/>
    <row r="3200" ht="18" customHeight="1"/>
    <row r="3201" ht="18" customHeight="1"/>
    <row r="3202" ht="18" customHeight="1"/>
    <row r="3203" ht="18" customHeight="1"/>
    <row r="3204" ht="18" customHeight="1"/>
    <row r="3205" ht="18" customHeight="1"/>
    <row r="3206" ht="18" customHeight="1"/>
    <row r="3207" ht="18" customHeight="1"/>
    <row r="3208" ht="18" customHeight="1"/>
    <row r="3209" ht="18" customHeight="1"/>
    <row r="3210" ht="18" customHeight="1"/>
    <row r="3211" ht="18" customHeight="1"/>
    <row r="3212" ht="18" customHeight="1"/>
    <row r="3213" ht="18" customHeight="1"/>
    <row r="3214" ht="18" customHeight="1"/>
    <row r="3215" ht="18" customHeight="1"/>
    <row r="3216" ht="18" customHeight="1"/>
    <row r="3217" ht="18" customHeight="1"/>
    <row r="3218" ht="18" customHeight="1"/>
    <row r="3219" ht="18" customHeight="1"/>
    <row r="3220" ht="18" customHeight="1"/>
    <row r="3221" ht="18" customHeight="1"/>
    <row r="3222" ht="18" customHeight="1"/>
    <row r="3223" ht="18" customHeight="1"/>
    <row r="3224" ht="18" customHeight="1"/>
    <row r="3225" ht="18" customHeight="1"/>
    <row r="3226" ht="18" customHeight="1"/>
    <row r="3227" ht="18" customHeight="1"/>
    <row r="3228" ht="18" customHeight="1"/>
    <row r="3229" ht="18" customHeight="1"/>
    <row r="3230" ht="18" customHeight="1"/>
    <row r="3231" ht="18" customHeight="1"/>
    <row r="3232" ht="18" customHeight="1"/>
    <row r="3233" ht="18" customHeight="1"/>
    <row r="3234" ht="18" customHeight="1"/>
    <row r="3235" ht="18" customHeight="1"/>
    <row r="3236" ht="18" customHeight="1"/>
    <row r="3237" ht="18" customHeight="1"/>
    <row r="3238" ht="18" customHeight="1"/>
    <row r="3239" ht="18" customHeight="1"/>
    <row r="3240" ht="18" customHeight="1"/>
    <row r="3241" ht="18" customHeight="1"/>
    <row r="3242" ht="18" customHeight="1"/>
    <row r="3243" ht="18" customHeight="1"/>
    <row r="3244" ht="18" customHeight="1"/>
    <row r="3245" ht="18" customHeight="1"/>
    <row r="3246" ht="18" customHeight="1"/>
    <row r="3247" ht="18" customHeight="1"/>
    <row r="3248" ht="18" customHeight="1"/>
    <row r="3249" ht="18" customHeight="1"/>
    <row r="3250" ht="18" customHeight="1"/>
    <row r="3251" ht="18" customHeight="1"/>
    <row r="3252" ht="18" customHeight="1"/>
    <row r="3253" ht="18" customHeight="1"/>
    <row r="3254" ht="18" customHeight="1"/>
    <row r="3255" ht="18" customHeight="1"/>
    <row r="3256" ht="18" customHeight="1"/>
    <row r="3257" ht="18" customHeight="1"/>
    <row r="3258" ht="18" customHeight="1"/>
    <row r="3259" ht="18" customHeight="1"/>
    <row r="3260" ht="18" customHeight="1"/>
    <row r="3261" ht="18" customHeight="1"/>
    <row r="3262" ht="18" customHeight="1"/>
    <row r="3263" ht="18" customHeight="1"/>
    <row r="3264" ht="18" customHeight="1"/>
    <row r="3265" ht="18" customHeight="1"/>
    <row r="3266" ht="18" customHeight="1"/>
    <row r="3267" ht="18" customHeight="1"/>
    <row r="3268" ht="18" customHeight="1"/>
    <row r="3269" ht="18" customHeight="1"/>
    <row r="3270" ht="18" customHeight="1"/>
    <row r="3271" ht="18" customHeight="1"/>
    <row r="3272" ht="18" customHeight="1"/>
    <row r="3273" ht="18" customHeight="1"/>
    <row r="3274" ht="18" customHeight="1"/>
    <row r="3275" ht="18" customHeight="1"/>
    <row r="3276" ht="18" customHeight="1"/>
    <row r="3277" ht="18" customHeight="1"/>
    <row r="3278" ht="18" customHeight="1"/>
    <row r="3279" ht="18" customHeight="1"/>
    <row r="3280" ht="18" customHeight="1"/>
    <row r="3281" ht="18" customHeight="1"/>
    <row r="3282" ht="18" customHeight="1"/>
    <row r="3283" ht="18" customHeight="1"/>
    <row r="3284" ht="18" customHeight="1"/>
    <row r="3285" ht="18" customHeight="1"/>
    <row r="3286" ht="18" customHeight="1"/>
    <row r="3287" ht="18" customHeight="1"/>
    <row r="3288" ht="18" customHeight="1"/>
    <row r="3289" ht="18" customHeight="1"/>
    <row r="3290" ht="18" customHeight="1"/>
    <row r="3291" ht="18" customHeight="1"/>
    <row r="3292" ht="18" customHeight="1"/>
    <row r="3293" ht="18" customHeight="1"/>
    <row r="3294" ht="18" customHeight="1"/>
    <row r="3295" ht="18" customHeight="1"/>
    <row r="3296" ht="18" customHeight="1"/>
    <row r="3297" ht="18" customHeight="1"/>
    <row r="3298" ht="18" customHeight="1"/>
    <row r="3299" ht="18" customHeight="1"/>
    <row r="3300" ht="18" customHeight="1"/>
    <row r="3301" ht="18" customHeight="1"/>
    <row r="3302" ht="18" customHeight="1"/>
    <row r="3303" ht="18" customHeight="1"/>
    <row r="3304" ht="18" customHeight="1"/>
    <row r="3305" ht="18" customHeight="1"/>
    <row r="3306" ht="18" customHeight="1"/>
    <row r="3307" ht="18" customHeight="1"/>
    <row r="3308" ht="18" customHeight="1"/>
    <row r="3309" ht="18" customHeight="1"/>
    <row r="3310" ht="18" customHeight="1"/>
    <row r="3311" ht="18" customHeight="1"/>
    <row r="3312" ht="18" customHeight="1"/>
    <row r="3313" ht="18" customHeight="1"/>
    <row r="3314" ht="18" customHeight="1"/>
    <row r="3315" ht="18" customHeight="1"/>
    <row r="3316" ht="18" customHeight="1"/>
    <row r="3317" ht="18" customHeight="1"/>
    <row r="3318" ht="18" customHeight="1"/>
    <row r="3319" ht="18" customHeight="1"/>
    <row r="3320" ht="18" customHeight="1"/>
    <row r="3321" ht="18" customHeight="1"/>
    <row r="3322" ht="18" customHeight="1"/>
    <row r="3323" ht="18" customHeight="1"/>
    <row r="3324" ht="18" customHeight="1"/>
    <row r="3325" ht="18" customHeight="1"/>
    <row r="3326" ht="18" customHeight="1"/>
    <row r="3327" ht="18" customHeight="1"/>
    <row r="3328" ht="18" customHeight="1"/>
    <row r="3329" ht="18" customHeight="1"/>
    <row r="3330" ht="18" customHeight="1"/>
    <row r="3331" ht="18" customHeight="1"/>
    <row r="3332" ht="18" customHeight="1"/>
    <row r="3333" ht="18" customHeight="1"/>
    <row r="3334" ht="18" customHeight="1"/>
    <row r="3335" ht="18" customHeight="1"/>
    <row r="3336" ht="18" customHeight="1"/>
    <row r="3337" ht="18" customHeight="1"/>
    <row r="3338" ht="18" customHeight="1"/>
    <row r="3339" ht="18" customHeight="1"/>
    <row r="3340" ht="18" customHeight="1"/>
    <row r="3341" ht="18" customHeight="1"/>
    <row r="3342" ht="18" customHeight="1"/>
    <row r="3343" ht="18" customHeight="1"/>
    <row r="3344" ht="18" customHeight="1"/>
    <row r="3345" ht="18" customHeight="1"/>
    <row r="3346" ht="18" customHeight="1"/>
    <row r="3347" ht="18" customHeight="1"/>
    <row r="3348" ht="18" customHeight="1"/>
    <row r="3349" ht="18" customHeight="1"/>
    <row r="3350" ht="18" customHeight="1"/>
    <row r="3351" ht="18" customHeight="1"/>
    <row r="3352" ht="18" customHeight="1"/>
    <row r="3353" ht="18" customHeight="1"/>
    <row r="3354" ht="18" customHeight="1"/>
    <row r="3355" ht="18" customHeight="1"/>
    <row r="3356" ht="18" customHeight="1"/>
    <row r="3357" ht="18" customHeight="1"/>
    <row r="3358" ht="18" customHeight="1"/>
    <row r="3359" ht="18" customHeight="1"/>
    <row r="3360" ht="18" customHeight="1"/>
    <row r="3361" ht="18" customHeight="1"/>
    <row r="3362" ht="18" customHeight="1"/>
    <row r="3363" ht="18" customHeight="1"/>
    <row r="3364" ht="18" customHeight="1"/>
    <row r="3365" ht="18" customHeight="1"/>
    <row r="3366" ht="18" customHeight="1"/>
    <row r="3367" ht="18" customHeight="1"/>
    <row r="3368" ht="18" customHeight="1"/>
    <row r="3369" ht="18" customHeight="1"/>
    <row r="3370" ht="18" customHeight="1"/>
    <row r="3371" ht="18" customHeight="1"/>
    <row r="3372" ht="18" customHeight="1"/>
    <row r="3373" ht="18" customHeight="1"/>
    <row r="3374" ht="18" customHeight="1"/>
    <row r="3375" ht="18" customHeight="1"/>
    <row r="3376" ht="18" customHeight="1"/>
    <row r="3377" ht="18" customHeight="1"/>
    <row r="3378" ht="18" customHeight="1"/>
    <row r="3379" ht="18" customHeight="1"/>
    <row r="3380" ht="18" customHeight="1"/>
    <row r="3381" ht="18" customHeight="1"/>
    <row r="3382" ht="18" customHeight="1"/>
    <row r="3383" ht="18" customHeight="1"/>
    <row r="3384" ht="18" customHeight="1"/>
    <row r="3385" ht="18" customHeight="1"/>
    <row r="3386" ht="18" customHeight="1"/>
    <row r="3387" ht="18" customHeight="1"/>
    <row r="3388" ht="18" customHeight="1"/>
    <row r="3389" ht="18" customHeight="1"/>
    <row r="3390" ht="18" customHeight="1"/>
    <row r="3391" ht="18" customHeight="1"/>
    <row r="3392" ht="18" customHeight="1"/>
    <row r="3393" ht="18" customHeight="1"/>
    <row r="3394" ht="18" customHeight="1"/>
    <row r="3395" ht="18" customHeight="1"/>
    <row r="3396" ht="18" customHeight="1"/>
    <row r="3397" ht="18" customHeight="1"/>
    <row r="3398" ht="18" customHeight="1"/>
    <row r="3399" ht="18" customHeight="1"/>
    <row r="3400" ht="18" customHeight="1"/>
    <row r="3401" ht="18" customHeight="1"/>
    <row r="3402" ht="18" customHeight="1"/>
    <row r="3403" ht="18" customHeight="1"/>
    <row r="3404" ht="18" customHeight="1"/>
    <row r="3405" ht="18" customHeight="1"/>
    <row r="3406" ht="18" customHeight="1"/>
    <row r="3407" ht="18" customHeight="1"/>
    <row r="3408" ht="18" customHeight="1"/>
    <row r="3409" ht="18" customHeight="1"/>
    <row r="3410" ht="18" customHeight="1"/>
    <row r="3411" ht="18" customHeight="1"/>
    <row r="3412" ht="18" customHeight="1"/>
    <row r="3413" ht="18" customHeight="1"/>
    <row r="3414" ht="18" customHeight="1"/>
    <row r="3415" ht="18" customHeight="1"/>
    <row r="3416" ht="18" customHeight="1"/>
    <row r="3417" ht="18" customHeight="1"/>
    <row r="3418" ht="18" customHeight="1"/>
    <row r="3419" ht="18" customHeight="1"/>
    <row r="3420" ht="18" customHeight="1"/>
    <row r="3421" ht="18" customHeight="1"/>
    <row r="3422" ht="18" customHeight="1"/>
    <row r="3423" ht="18" customHeight="1"/>
    <row r="3424" ht="18" customHeight="1"/>
    <row r="3425" ht="18" customHeight="1"/>
    <row r="3426" ht="18" customHeight="1"/>
    <row r="3427" ht="18" customHeight="1"/>
    <row r="3428" ht="18" customHeight="1"/>
    <row r="3429" ht="18" customHeight="1"/>
    <row r="3430" ht="18" customHeight="1"/>
    <row r="3431" ht="18" customHeight="1"/>
    <row r="3432" ht="18" customHeight="1"/>
    <row r="3433" ht="18" customHeight="1"/>
    <row r="3434" ht="18" customHeight="1"/>
    <row r="3435" ht="18" customHeight="1"/>
    <row r="3436" ht="18" customHeight="1"/>
    <row r="3437" ht="18" customHeight="1"/>
    <row r="3438" ht="18" customHeight="1"/>
    <row r="3439" ht="18" customHeight="1"/>
    <row r="3440" ht="18" customHeight="1"/>
    <row r="3441" ht="18" customHeight="1"/>
    <row r="3442" ht="18" customHeight="1"/>
    <row r="3443" ht="18" customHeight="1"/>
    <row r="3444" ht="18" customHeight="1"/>
    <row r="3445" ht="18" customHeight="1"/>
    <row r="3446" ht="18" customHeight="1"/>
    <row r="3447" ht="18" customHeight="1"/>
    <row r="3448" ht="18" customHeight="1"/>
    <row r="3449" ht="18" customHeight="1"/>
    <row r="3450" ht="18" customHeight="1"/>
    <row r="3451" ht="18" customHeight="1"/>
    <row r="3452" ht="18" customHeight="1"/>
    <row r="3453" ht="18" customHeight="1"/>
    <row r="3454" ht="18" customHeight="1"/>
    <row r="3455" ht="18" customHeight="1"/>
    <row r="3456" ht="18" customHeight="1"/>
    <row r="3457" ht="18" customHeight="1"/>
    <row r="3458" ht="18" customHeight="1"/>
    <row r="3459" ht="18" customHeight="1"/>
    <row r="3460" ht="18" customHeight="1"/>
    <row r="3461" ht="18" customHeight="1"/>
    <row r="3462" ht="18" customHeight="1"/>
    <row r="3463" ht="18" customHeight="1"/>
    <row r="3464" ht="18" customHeight="1"/>
    <row r="3465" ht="18" customHeight="1"/>
    <row r="3466" ht="18" customHeight="1"/>
    <row r="3467" ht="18" customHeight="1"/>
    <row r="3468" ht="18" customHeight="1"/>
    <row r="3469" ht="18" customHeight="1"/>
    <row r="3470" ht="18" customHeight="1"/>
    <row r="3471" ht="18" customHeight="1"/>
    <row r="3472" ht="18" customHeight="1"/>
    <row r="3473" ht="18" customHeight="1"/>
    <row r="3474" ht="18" customHeight="1"/>
    <row r="3475" ht="18" customHeight="1"/>
    <row r="3476" ht="18" customHeight="1"/>
    <row r="3477" ht="18" customHeight="1"/>
    <row r="3478" ht="18" customHeight="1"/>
    <row r="3479" ht="18" customHeight="1"/>
    <row r="3480" ht="18" customHeight="1"/>
    <row r="3481" ht="18" customHeight="1"/>
    <row r="3482" ht="18" customHeight="1"/>
    <row r="3483" ht="18" customHeight="1"/>
    <row r="3484" ht="18" customHeight="1"/>
    <row r="3485" ht="18" customHeight="1"/>
    <row r="3486" ht="18" customHeight="1"/>
    <row r="3487" ht="18" customHeight="1"/>
    <row r="3488" ht="18" customHeight="1"/>
    <row r="3489" ht="18" customHeight="1"/>
    <row r="3490" ht="18" customHeight="1"/>
    <row r="3491" ht="18" customHeight="1"/>
    <row r="3492" ht="18" customHeight="1"/>
    <row r="3493" ht="18" customHeight="1"/>
    <row r="3494" ht="18" customHeight="1"/>
    <row r="3495" ht="18" customHeight="1"/>
    <row r="3496" ht="18" customHeight="1"/>
    <row r="3497" ht="18" customHeight="1"/>
    <row r="3498" ht="18" customHeight="1"/>
    <row r="3499" ht="18" customHeight="1"/>
    <row r="3500" ht="18" customHeight="1"/>
    <row r="3501" ht="18" customHeight="1"/>
    <row r="3502" ht="18" customHeight="1"/>
    <row r="3503" ht="18" customHeight="1"/>
    <row r="3504" ht="18" customHeight="1"/>
    <row r="3505" ht="18" customHeight="1"/>
    <row r="3506" ht="18" customHeight="1"/>
    <row r="3507" ht="18" customHeight="1"/>
    <row r="3508" ht="18" customHeight="1"/>
    <row r="3509" ht="18" customHeight="1"/>
    <row r="3510" ht="18" customHeight="1"/>
    <row r="3511" ht="18" customHeight="1"/>
    <row r="3512" ht="18" customHeight="1"/>
    <row r="3513" ht="18" customHeight="1"/>
    <row r="3514" ht="18" customHeight="1"/>
    <row r="3515" ht="18" customHeight="1"/>
    <row r="3516" ht="18" customHeight="1"/>
    <row r="3517" ht="18" customHeight="1"/>
    <row r="3518" ht="18" customHeight="1"/>
    <row r="3519" ht="18" customHeight="1"/>
    <row r="3520" ht="18" customHeight="1"/>
    <row r="3521" ht="18" customHeight="1"/>
    <row r="3522" ht="18" customHeight="1"/>
    <row r="3523" ht="18" customHeight="1"/>
    <row r="3524" ht="18" customHeight="1"/>
    <row r="3525" ht="18" customHeight="1"/>
    <row r="3526" ht="18" customHeight="1"/>
    <row r="3527" ht="18" customHeight="1"/>
    <row r="3528" ht="18" customHeight="1"/>
    <row r="3529" ht="18" customHeight="1"/>
    <row r="3530" ht="18" customHeight="1"/>
    <row r="3531" ht="18" customHeight="1"/>
    <row r="3532" ht="18" customHeight="1"/>
    <row r="3533" ht="18" customHeight="1"/>
    <row r="3534" ht="18" customHeight="1"/>
    <row r="3535" ht="18" customHeight="1"/>
    <row r="3536" ht="18" customHeight="1"/>
    <row r="3537" ht="18" customHeight="1"/>
    <row r="3538" ht="18" customHeight="1"/>
    <row r="3539" ht="18" customHeight="1"/>
    <row r="3540" ht="18" customHeight="1"/>
    <row r="3541" ht="18" customHeight="1"/>
    <row r="3542" ht="18" customHeight="1"/>
    <row r="3543" ht="18" customHeight="1"/>
    <row r="3544" ht="18" customHeight="1"/>
    <row r="3545" ht="18" customHeight="1"/>
    <row r="3546" ht="18" customHeight="1"/>
    <row r="3547" ht="18" customHeight="1"/>
    <row r="3548" ht="18" customHeight="1"/>
    <row r="3549" ht="18" customHeight="1"/>
    <row r="3550" ht="18" customHeight="1"/>
    <row r="3551" ht="18" customHeight="1"/>
    <row r="3552" ht="18" customHeight="1"/>
    <row r="3553" ht="18" customHeight="1"/>
    <row r="3554" ht="18" customHeight="1"/>
    <row r="3555" ht="18" customHeight="1"/>
    <row r="3556" ht="18" customHeight="1"/>
    <row r="3557" ht="18" customHeight="1"/>
    <row r="3558" ht="18" customHeight="1"/>
    <row r="3559" ht="18" customHeight="1"/>
    <row r="3560" ht="18" customHeight="1"/>
    <row r="3561" ht="18" customHeight="1"/>
    <row r="3562" ht="18" customHeight="1"/>
    <row r="3563" ht="18" customHeight="1"/>
    <row r="3564" ht="18" customHeight="1"/>
    <row r="3565" ht="18" customHeight="1"/>
    <row r="3566" ht="18" customHeight="1"/>
    <row r="3567" ht="18" customHeight="1"/>
    <row r="3568" ht="18" customHeight="1"/>
    <row r="3569" ht="18" customHeight="1"/>
    <row r="3570" ht="18" customHeight="1"/>
    <row r="3571" ht="18" customHeight="1"/>
    <row r="3572" ht="18" customHeight="1"/>
    <row r="3573" ht="18" customHeight="1"/>
    <row r="3574" ht="18" customHeight="1"/>
    <row r="3575" ht="18" customHeight="1"/>
    <row r="3576" ht="18" customHeight="1"/>
    <row r="3577" ht="18" customHeight="1"/>
    <row r="3578" ht="18" customHeight="1"/>
    <row r="3579" ht="18" customHeight="1"/>
    <row r="3580" ht="18" customHeight="1"/>
    <row r="3581" ht="18" customHeight="1"/>
    <row r="3582" ht="18" customHeight="1"/>
    <row r="3583" ht="18" customHeight="1"/>
    <row r="3584" ht="18" customHeight="1"/>
    <row r="3585" ht="18" customHeight="1"/>
    <row r="3586" ht="18" customHeight="1"/>
    <row r="3587" ht="18" customHeight="1"/>
    <row r="3588" ht="18" customHeight="1"/>
    <row r="3589" ht="18" customHeight="1"/>
    <row r="3590" ht="18" customHeight="1"/>
    <row r="3591" ht="18" customHeight="1"/>
    <row r="3592" ht="18" customHeight="1"/>
    <row r="3593" ht="18" customHeight="1"/>
    <row r="3594" ht="18" customHeight="1"/>
    <row r="3595" ht="18" customHeight="1"/>
    <row r="3596" ht="18" customHeight="1"/>
    <row r="3597" ht="18" customHeight="1"/>
    <row r="3598" ht="18" customHeight="1"/>
    <row r="3599" ht="18" customHeight="1"/>
    <row r="3600" ht="18" customHeight="1"/>
    <row r="3601" ht="18" customHeight="1"/>
    <row r="3602" ht="18" customHeight="1"/>
    <row r="3603" ht="18" customHeight="1"/>
    <row r="3604" ht="18" customHeight="1"/>
    <row r="3605" ht="18" customHeight="1"/>
    <row r="3606" ht="18" customHeight="1"/>
    <row r="3607" ht="18" customHeight="1"/>
    <row r="3608" ht="18" customHeight="1"/>
    <row r="3609" ht="18" customHeight="1"/>
    <row r="3610" ht="18" customHeight="1"/>
    <row r="3611" ht="18" customHeight="1"/>
    <row r="3612" ht="18" customHeight="1"/>
    <row r="3613" ht="18" customHeight="1"/>
    <row r="3614" ht="18" customHeight="1"/>
    <row r="3615" ht="18" customHeight="1"/>
    <row r="3616" ht="18" customHeight="1"/>
    <row r="3617" ht="18" customHeight="1"/>
    <row r="3618" ht="18" customHeight="1"/>
    <row r="3619" ht="18" customHeight="1"/>
    <row r="3620" ht="18" customHeight="1"/>
    <row r="3621" ht="18" customHeight="1"/>
    <row r="3622" ht="18" customHeight="1"/>
    <row r="3623" ht="18" customHeight="1"/>
    <row r="3624" ht="18" customHeight="1"/>
    <row r="3625" ht="18" customHeight="1"/>
    <row r="3626" ht="18" customHeight="1"/>
    <row r="3627" ht="18" customHeight="1"/>
    <row r="3628" ht="18" customHeight="1"/>
    <row r="3629" ht="18" customHeight="1"/>
    <row r="3630" ht="18" customHeight="1"/>
    <row r="3631" ht="18" customHeight="1"/>
    <row r="3632" ht="18" customHeight="1"/>
    <row r="3633" ht="18" customHeight="1"/>
    <row r="3634" ht="18" customHeight="1"/>
    <row r="3635" ht="18" customHeight="1"/>
    <row r="3636" ht="18" customHeight="1"/>
    <row r="3637" ht="18" customHeight="1"/>
    <row r="3638" ht="18" customHeight="1"/>
    <row r="3639" ht="18" customHeight="1"/>
    <row r="3640" ht="18" customHeight="1"/>
    <row r="3641" ht="18" customHeight="1"/>
    <row r="3642" ht="18" customHeight="1"/>
    <row r="3643" ht="18" customHeight="1"/>
    <row r="3644" ht="18" customHeight="1"/>
    <row r="3645" ht="18" customHeight="1"/>
    <row r="3646" ht="18" customHeight="1"/>
    <row r="3647" ht="18" customHeight="1"/>
    <row r="3648" ht="18" customHeight="1"/>
    <row r="3649" ht="18" customHeight="1"/>
    <row r="3650" ht="18" customHeight="1"/>
    <row r="3651" ht="18" customHeight="1"/>
    <row r="3652" ht="18" customHeight="1"/>
    <row r="3653" ht="18" customHeight="1"/>
    <row r="3654" ht="18" customHeight="1"/>
    <row r="3655" ht="18" customHeight="1"/>
    <row r="3656" ht="18" customHeight="1"/>
    <row r="3657" ht="18" customHeight="1"/>
    <row r="3658" ht="18" customHeight="1"/>
    <row r="3659" ht="18" customHeight="1"/>
    <row r="3660" ht="18" customHeight="1"/>
    <row r="3661" ht="18" customHeight="1"/>
    <row r="3662" ht="18" customHeight="1"/>
    <row r="3663" ht="18" customHeight="1"/>
    <row r="3664" ht="18" customHeight="1"/>
    <row r="3665" ht="18" customHeight="1"/>
    <row r="3666" ht="18" customHeight="1"/>
    <row r="3667" ht="18" customHeight="1"/>
    <row r="3668" ht="18" customHeight="1"/>
    <row r="3669" ht="18" customHeight="1"/>
    <row r="3670" ht="18" customHeight="1"/>
    <row r="3671" ht="18" customHeight="1"/>
    <row r="3672" ht="18" customHeight="1"/>
    <row r="3673" ht="18" customHeight="1"/>
    <row r="3674" ht="18" customHeight="1"/>
    <row r="3675" ht="18" customHeight="1"/>
    <row r="3676" ht="18" customHeight="1"/>
    <row r="3677" ht="18" customHeight="1"/>
    <row r="3678" ht="18" customHeight="1"/>
    <row r="3679" ht="18" customHeight="1"/>
    <row r="3680" ht="18" customHeight="1"/>
    <row r="3681" ht="18" customHeight="1"/>
    <row r="3682" ht="18" customHeight="1"/>
    <row r="3683" ht="18" customHeight="1"/>
    <row r="3684" ht="18" customHeight="1"/>
    <row r="3685" ht="18" customHeight="1"/>
    <row r="3686" ht="18" customHeight="1"/>
    <row r="3687" ht="18" customHeight="1"/>
    <row r="3688" ht="18" customHeight="1"/>
    <row r="3689" ht="18" customHeight="1"/>
    <row r="3690" ht="18" customHeight="1"/>
    <row r="3691" ht="18" customHeight="1"/>
    <row r="3692" ht="18" customHeight="1"/>
    <row r="3693" ht="18" customHeight="1"/>
    <row r="3694" ht="18" customHeight="1"/>
    <row r="3695" ht="18" customHeight="1"/>
    <row r="3696" ht="18" customHeight="1"/>
    <row r="3697" ht="18" customHeight="1"/>
    <row r="3698" ht="18" customHeight="1"/>
    <row r="3699" ht="18" customHeight="1"/>
    <row r="3700" ht="18" customHeight="1"/>
    <row r="3701" ht="18" customHeight="1"/>
    <row r="3702" ht="18" customHeight="1"/>
    <row r="3703" ht="18" customHeight="1"/>
    <row r="3704" ht="18" customHeight="1"/>
    <row r="3705" ht="18" customHeight="1"/>
    <row r="3706" ht="18" customHeight="1"/>
    <row r="3707" ht="18" customHeight="1"/>
    <row r="3708" ht="18" customHeight="1"/>
    <row r="3709" ht="18" customHeight="1"/>
    <row r="3710" ht="18" customHeight="1"/>
    <row r="3711" ht="18" customHeight="1"/>
    <row r="3712" ht="18" customHeight="1"/>
    <row r="3713" ht="18" customHeight="1"/>
    <row r="3714" ht="18" customHeight="1"/>
    <row r="3715" ht="18" customHeight="1"/>
    <row r="3716" ht="18" customHeight="1"/>
    <row r="3717" ht="18" customHeight="1"/>
    <row r="3718" ht="18" customHeight="1"/>
    <row r="3719" ht="18" customHeight="1"/>
    <row r="3720" ht="18" customHeight="1"/>
    <row r="3721" ht="18" customHeight="1"/>
    <row r="3722" ht="18" customHeight="1"/>
    <row r="3723" ht="18" customHeight="1"/>
    <row r="3724" ht="18" customHeight="1"/>
    <row r="3725" ht="18" customHeight="1"/>
    <row r="3726" ht="18" customHeight="1"/>
    <row r="3727" ht="18" customHeight="1"/>
    <row r="3728" ht="18" customHeight="1"/>
    <row r="3729" ht="18" customHeight="1"/>
    <row r="3730" ht="18" customHeight="1"/>
    <row r="3731" ht="18" customHeight="1"/>
    <row r="3732" ht="18" customHeight="1"/>
    <row r="3733" ht="18" customHeight="1"/>
    <row r="3734" ht="18" customHeight="1"/>
    <row r="3735" ht="18" customHeight="1"/>
    <row r="3736" ht="18" customHeight="1"/>
    <row r="3737" ht="18" customHeight="1"/>
    <row r="3738" ht="18" customHeight="1"/>
    <row r="3739" ht="18" customHeight="1"/>
    <row r="3740" ht="18" customHeight="1"/>
    <row r="3741" ht="18" customHeight="1"/>
    <row r="3742" ht="18" customHeight="1"/>
    <row r="3743" ht="18" customHeight="1"/>
    <row r="3744" ht="18" customHeight="1"/>
    <row r="3745" ht="18" customHeight="1"/>
    <row r="3746" ht="18" customHeight="1"/>
    <row r="3747" ht="18" customHeight="1"/>
    <row r="3748" ht="18" customHeight="1"/>
    <row r="3749" ht="18" customHeight="1"/>
    <row r="3750" ht="18" customHeight="1"/>
    <row r="3751" ht="18" customHeight="1"/>
    <row r="3752" ht="18" customHeight="1"/>
    <row r="3753" ht="18" customHeight="1"/>
    <row r="3754" ht="18" customHeight="1"/>
    <row r="3755" ht="18" customHeight="1"/>
    <row r="3756" ht="18" customHeight="1"/>
    <row r="3757" ht="18" customHeight="1"/>
    <row r="3758" ht="18" customHeight="1"/>
    <row r="3759" ht="18" customHeight="1"/>
    <row r="3760" ht="18" customHeight="1"/>
    <row r="3761" ht="18" customHeight="1"/>
    <row r="3762" ht="18" customHeight="1"/>
    <row r="3763" ht="18" customHeight="1"/>
    <row r="3764" ht="18" customHeight="1"/>
    <row r="3765" ht="18" customHeight="1"/>
    <row r="3766" ht="18" customHeight="1"/>
    <row r="3767" ht="18" customHeight="1"/>
    <row r="3768" ht="18" customHeight="1"/>
    <row r="3769" ht="18" customHeight="1"/>
    <row r="3770" ht="18" customHeight="1"/>
    <row r="3771" ht="18" customHeight="1"/>
    <row r="3772" ht="18" customHeight="1"/>
    <row r="3773" ht="18" customHeight="1"/>
    <row r="3774" ht="18" customHeight="1"/>
    <row r="3775" ht="18" customHeight="1"/>
    <row r="3776" ht="18" customHeight="1"/>
    <row r="3777" ht="18" customHeight="1"/>
    <row r="3778" ht="18" customHeight="1"/>
    <row r="3779" ht="18" customHeight="1"/>
    <row r="3780" ht="18" customHeight="1"/>
    <row r="3781" ht="18" customHeight="1"/>
    <row r="3782" ht="18" customHeight="1"/>
    <row r="3783" ht="18" customHeight="1"/>
    <row r="3784" ht="18" customHeight="1"/>
    <row r="3785" ht="18" customHeight="1"/>
    <row r="3786" ht="18" customHeight="1"/>
    <row r="3787" ht="18" customHeight="1"/>
    <row r="3788" ht="18" customHeight="1"/>
    <row r="3789" ht="18" customHeight="1"/>
    <row r="3790" ht="18" customHeight="1"/>
    <row r="3791" ht="18" customHeight="1"/>
    <row r="3792" ht="18" customHeight="1"/>
    <row r="3793" ht="18" customHeight="1"/>
    <row r="3794" ht="18" customHeight="1"/>
    <row r="3795" ht="18" customHeight="1"/>
    <row r="3796" ht="18" customHeight="1"/>
    <row r="3797" ht="18" customHeight="1"/>
    <row r="3798" ht="18" customHeight="1"/>
    <row r="3799" ht="18" customHeight="1"/>
    <row r="3800" ht="18" customHeight="1"/>
    <row r="3801" ht="18" customHeight="1"/>
    <row r="3802" ht="18" customHeight="1"/>
    <row r="3803" ht="18" customHeight="1"/>
    <row r="3804" ht="18" customHeight="1"/>
    <row r="3805" ht="18" customHeight="1"/>
    <row r="3806" ht="18" customHeight="1"/>
    <row r="3807" ht="18" customHeight="1"/>
    <row r="3808" ht="18" customHeight="1"/>
    <row r="3809" ht="18" customHeight="1"/>
    <row r="3810" ht="18" customHeight="1"/>
    <row r="3811" ht="18" customHeight="1"/>
    <row r="3812" ht="18" customHeight="1"/>
    <row r="3813" ht="18" customHeight="1"/>
    <row r="3814" ht="18" customHeight="1"/>
    <row r="3815" ht="18" customHeight="1"/>
    <row r="3816" ht="18" customHeight="1"/>
    <row r="3817" ht="18" customHeight="1"/>
    <row r="3818" ht="18" customHeight="1"/>
    <row r="3819" ht="18" customHeight="1"/>
    <row r="3820" ht="18" customHeight="1"/>
    <row r="3821" ht="18" customHeight="1"/>
    <row r="3822" ht="18" customHeight="1"/>
    <row r="3823" ht="18" customHeight="1"/>
    <row r="3824" ht="18" customHeight="1"/>
    <row r="3825" ht="18" customHeight="1"/>
    <row r="3826" ht="18" customHeight="1"/>
    <row r="3827" ht="18" customHeight="1"/>
    <row r="3828" ht="18" customHeight="1"/>
    <row r="3829" ht="18" customHeight="1"/>
    <row r="3830" ht="18" customHeight="1"/>
    <row r="3831" ht="18" customHeight="1"/>
    <row r="3832" ht="18" customHeight="1"/>
    <row r="3833" ht="18" customHeight="1"/>
    <row r="3834" ht="18" customHeight="1"/>
    <row r="3835" ht="18" customHeight="1"/>
    <row r="3836" ht="18" customHeight="1"/>
    <row r="3837" ht="18" customHeight="1"/>
    <row r="3838" ht="18" customHeight="1"/>
    <row r="3839" ht="18" customHeight="1"/>
    <row r="3840" ht="18" customHeight="1"/>
    <row r="3841" ht="18" customHeight="1"/>
    <row r="3842" ht="18" customHeight="1"/>
    <row r="3843" ht="18" customHeight="1"/>
    <row r="3844" ht="18" customHeight="1"/>
    <row r="3845" ht="18" customHeight="1"/>
    <row r="3846" ht="18" customHeight="1"/>
    <row r="3847" ht="18" customHeight="1"/>
    <row r="3848" ht="18" customHeight="1"/>
    <row r="3849" ht="18" customHeight="1"/>
    <row r="3850" ht="18" customHeight="1"/>
    <row r="3851" ht="18" customHeight="1"/>
    <row r="3852" ht="18" customHeight="1"/>
    <row r="3853" ht="18" customHeight="1"/>
    <row r="3854" ht="18" customHeight="1"/>
    <row r="3855" ht="18" customHeight="1"/>
    <row r="3856" ht="18" customHeight="1"/>
    <row r="3857" ht="18" customHeight="1"/>
    <row r="3858" ht="18" customHeight="1"/>
    <row r="3859" ht="18" customHeight="1"/>
    <row r="3860" ht="18" customHeight="1"/>
    <row r="3861" ht="18" customHeight="1"/>
    <row r="3862" ht="18" customHeight="1"/>
    <row r="3863" ht="18" customHeight="1"/>
    <row r="3864" ht="18" customHeight="1"/>
    <row r="3865" ht="18" customHeight="1"/>
    <row r="3866" ht="18" customHeight="1"/>
    <row r="3867" ht="18" customHeight="1"/>
    <row r="3868" ht="18" customHeight="1"/>
    <row r="3869" ht="18" customHeight="1"/>
    <row r="3870" ht="18" customHeight="1"/>
    <row r="3871" ht="18" customHeight="1"/>
    <row r="3872" ht="18" customHeight="1"/>
    <row r="3873" ht="18" customHeight="1"/>
    <row r="3874" ht="18" customHeight="1"/>
    <row r="3875" ht="18" customHeight="1"/>
    <row r="3876" ht="18" customHeight="1"/>
    <row r="3877" ht="18" customHeight="1"/>
    <row r="3878" ht="18" customHeight="1"/>
    <row r="3879" ht="18" customHeight="1"/>
    <row r="3880" ht="18" customHeight="1"/>
    <row r="3881" ht="18" customHeight="1"/>
    <row r="3882" ht="18" customHeight="1"/>
    <row r="3883" ht="18" customHeight="1"/>
    <row r="3884" ht="18" customHeight="1"/>
    <row r="3885" ht="18" customHeight="1"/>
    <row r="3886" ht="18" customHeight="1"/>
    <row r="3887" ht="18" customHeight="1"/>
    <row r="3888" ht="18" customHeight="1"/>
    <row r="3889" ht="18" customHeight="1"/>
    <row r="3890" ht="18" customHeight="1"/>
    <row r="3891" ht="18" customHeight="1"/>
    <row r="3892" ht="18" customHeight="1"/>
    <row r="3893" ht="18" customHeight="1"/>
    <row r="3894" ht="18" customHeight="1"/>
    <row r="3895" ht="18" customHeight="1"/>
    <row r="3896" ht="18" customHeight="1"/>
    <row r="3897" ht="18" customHeight="1"/>
    <row r="3898" ht="18" customHeight="1"/>
    <row r="3899" ht="18" customHeight="1"/>
    <row r="3900" ht="18" customHeight="1"/>
    <row r="3901" ht="18" customHeight="1"/>
    <row r="3902" ht="18" customHeight="1"/>
    <row r="3903" ht="18" customHeight="1"/>
    <row r="3904" ht="18" customHeight="1"/>
    <row r="3905" ht="18" customHeight="1"/>
    <row r="3906" ht="18" customHeight="1"/>
    <row r="3907" ht="18" customHeight="1"/>
    <row r="3908" ht="18" customHeight="1"/>
    <row r="3909" ht="18" customHeight="1"/>
    <row r="3910" ht="18" customHeight="1"/>
    <row r="3911" ht="18" customHeight="1"/>
    <row r="3912" ht="18" customHeight="1"/>
    <row r="3913" ht="18" customHeight="1"/>
    <row r="3914" ht="18" customHeight="1"/>
    <row r="3915" ht="18" customHeight="1"/>
    <row r="3916" ht="18" customHeight="1"/>
    <row r="3917" ht="18" customHeight="1"/>
    <row r="3918" ht="18" customHeight="1"/>
    <row r="3919" ht="18" customHeight="1"/>
    <row r="3920" ht="18" customHeight="1"/>
    <row r="3921" ht="18" customHeight="1"/>
    <row r="3922" ht="18" customHeight="1"/>
    <row r="3923" ht="18" customHeight="1"/>
    <row r="3924" ht="18" customHeight="1"/>
    <row r="3925" ht="18" customHeight="1"/>
    <row r="3926" ht="18" customHeight="1"/>
    <row r="3927" ht="18" customHeight="1"/>
    <row r="3928" ht="18" customHeight="1"/>
    <row r="3929" ht="18" customHeight="1"/>
    <row r="3930" ht="18" customHeight="1"/>
    <row r="3931" ht="18" customHeight="1"/>
    <row r="3932" ht="18" customHeight="1"/>
    <row r="3933" ht="18" customHeight="1"/>
    <row r="3934" ht="18" customHeight="1"/>
    <row r="3935" ht="18" customHeight="1"/>
    <row r="3936" ht="18" customHeight="1"/>
    <row r="3937" ht="18" customHeight="1"/>
    <row r="3938" ht="18" customHeight="1"/>
    <row r="3939" ht="18" customHeight="1"/>
    <row r="3940" ht="18" customHeight="1"/>
    <row r="3941" ht="18" customHeight="1"/>
    <row r="3942" ht="18" customHeight="1"/>
    <row r="3943" ht="18" customHeight="1"/>
    <row r="3944" ht="18" customHeight="1"/>
    <row r="3945" ht="18" customHeight="1"/>
    <row r="3946" ht="18" customHeight="1"/>
    <row r="3947" ht="18" customHeight="1"/>
    <row r="3948" ht="18" customHeight="1"/>
    <row r="3949" ht="18" customHeight="1"/>
    <row r="3950" ht="18" customHeight="1"/>
    <row r="3951" ht="18" customHeight="1"/>
    <row r="3952" ht="18" customHeight="1"/>
    <row r="3953" ht="18" customHeight="1"/>
    <row r="3954" ht="18" customHeight="1"/>
    <row r="3955" ht="18" customHeight="1"/>
    <row r="3956" ht="18" customHeight="1"/>
    <row r="3957" ht="18" customHeight="1"/>
    <row r="3958" ht="18" customHeight="1"/>
    <row r="3959" ht="18" customHeight="1"/>
    <row r="3960" ht="18" customHeight="1"/>
    <row r="3961" ht="18" customHeight="1"/>
    <row r="3962" ht="18" customHeight="1"/>
    <row r="3963" ht="18" customHeight="1"/>
    <row r="3964" ht="18" customHeight="1"/>
    <row r="3965" ht="18" customHeight="1"/>
    <row r="3966" ht="18" customHeight="1"/>
    <row r="3967" ht="18" customHeight="1"/>
    <row r="3968" ht="18" customHeight="1"/>
    <row r="3969" ht="18" customHeight="1"/>
    <row r="3970" ht="18" customHeight="1"/>
    <row r="3971" ht="18" customHeight="1"/>
    <row r="3972" ht="18" customHeight="1"/>
    <row r="3973" ht="18" customHeight="1"/>
    <row r="3974" ht="18" customHeight="1"/>
    <row r="3975" ht="18" customHeight="1"/>
    <row r="3976" ht="18" customHeight="1"/>
    <row r="3977" ht="18" customHeight="1"/>
    <row r="3978" ht="18" customHeight="1"/>
    <row r="3979" ht="18" customHeight="1"/>
    <row r="3980" ht="18" customHeight="1"/>
    <row r="3981" ht="18" customHeight="1"/>
    <row r="3982" ht="18" customHeight="1"/>
    <row r="3983" ht="18" customHeight="1"/>
    <row r="3984" ht="18" customHeight="1"/>
    <row r="3985" ht="18" customHeight="1"/>
    <row r="3986" ht="18" customHeight="1"/>
    <row r="3987" ht="18" customHeight="1"/>
    <row r="3988" ht="18" customHeight="1"/>
    <row r="3989" ht="18" customHeight="1"/>
    <row r="3990" ht="18" customHeight="1"/>
    <row r="3991" ht="18" customHeight="1"/>
    <row r="3992" ht="18" customHeight="1"/>
    <row r="3993" ht="18" customHeight="1"/>
    <row r="3994" ht="18" customHeight="1"/>
    <row r="3995" ht="18" customHeight="1"/>
    <row r="3996" ht="18" customHeight="1"/>
    <row r="3997" ht="18" customHeight="1"/>
    <row r="3998" ht="18" customHeight="1"/>
    <row r="3999" ht="18" customHeight="1"/>
    <row r="4000" ht="18" customHeight="1"/>
    <row r="4001" ht="18" customHeight="1"/>
    <row r="4002" ht="18" customHeight="1"/>
    <row r="4003" ht="18" customHeight="1"/>
    <row r="4004" ht="18" customHeight="1"/>
    <row r="4005" ht="18" customHeight="1"/>
    <row r="4006" ht="18" customHeight="1"/>
    <row r="4007" ht="18" customHeight="1"/>
    <row r="4008" ht="18" customHeight="1"/>
    <row r="4009" ht="18" customHeight="1"/>
    <row r="4010" ht="18" customHeight="1"/>
    <row r="4011" ht="18" customHeight="1"/>
    <row r="4012" ht="18" customHeight="1"/>
    <row r="4013" ht="18" customHeight="1"/>
    <row r="4014" ht="18" customHeight="1"/>
    <row r="4015" ht="18" customHeight="1"/>
    <row r="4016" ht="18" customHeight="1"/>
    <row r="4017" ht="18" customHeight="1"/>
    <row r="4018" ht="18" customHeight="1"/>
    <row r="4019" ht="18" customHeight="1"/>
    <row r="4020" ht="18" customHeight="1"/>
    <row r="4021" ht="18" customHeight="1"/>
    <row r="4022" ht="18" customHeight="1"/>
    <row r="4023" ht="18" customHeight="1"/>
    <row r="4024" ht="18" customHeight="1"/>
    <row r="4025" ht="18" customHeight="1"/>
    <row r="4026" ht="18" customHeight="1"/>
    <row r="4027" ht="18" customHeight="1"/>
    <row r="4028" ht="18" customHeight="1"/>
    <row r="4029" ht="18" customHeight="1"/>
    <row r="4030" ht="18" customHeight="1"/>
    <row r="4031" ht="18" customHeight="1"/>
    <row r="4032" ht="18" customHeight="1"/>
    <row r="4033" ht="18" customHeight="1"/>
    <row r="4034" ht="18" customHeight="1"/>
    <row r="4035" ht="18" customHeight="1"/>
    <row r="4036" ht="18" customHeight="1"/>
    <row r="4037" ht="18" customHeight="1"/>
    <row r="4038" ht="18" customHeight="1"/>
    <row r="4039" ht="18" customHeight="1"/>
    <row r="4040" ht="18" customHeight="1"/>
    <row r="4041" ht="18" customHeight="1"/>
    <row r="4042" ht="18" customHeight="1"/>
    <row r="4043" ht="18" customHeight="1"/>
    <row r="4044" ht="18" customHeight="1"/>
    <row r="4045" ht="18" customHeight="1"/>
    <row r="4046" ht="18" customHeight="1"/>
    <row r="4047" ht="18" customHeight="1"/>
    <row r="4048" ht="18" customHeight="1"/>
    <row r="4049" ht="18" customHeight="1"/>
    <row r="4050" ht="18" customHeight="1"/>
    <row r="4051" ht="18" customHeight="1"/>
    <row r="4052" ht="18" customHeight="1"/>
    <row r="4053" ht="18" customHeight="1"/>
    <row r="4054" ht="18" customHeight="1"/>
    <row r="4055" ht="18" customHeight="1"/>
    <row r="4056" ht="18" customHeight="1"/>
    <row r="4057" ht="18" customHeight="1"/>
    <row r="4058" ht="18" customHeight="1"/>
    <row r="4059" ht="18" customHeight="1"/>
    <row r="4060" ht="18" customHeight="1"/>
    <row r="4061" ht="18" customHeight="1"/>
    <row r="4062" ht="18" customHeight="1"/>
    <row r="4063" ht="18" customHeight="1"/>
    <row r="4064" ht="18" customHeight="1"/>
    <row r="4065" ht="18" customHeight="1"/>
    <row r="4066" ht="18" customHeight="1"/>
    <row r="4067" ht="18" customHeight="1"/>
    <row r="4068" ht="18" customHeight="1"/>
    <row r="4069" ht="18" customHeight="1"/>
    <row r="4070" ht="18" customHeight="1"/>
    <row r="4071" ht="18" customHeight="1"/>
    <row r="4072" ht="18" customHeight="1"/>
    <row r="4073" ht="18" customHeight="1"/>
    <row r="4074" ht="18" customHeight="1"/>
    <row r="4075" ht="18" customHeight="1"/>
    <row r="4076" ht="18" customHeight="1"/>
    <row r="4077" ht="18" customHeight="1"/>
    <row r="4078" ht="18" customHeight="1"/>
    <row r="4079" ht="18" customHeight="1"/>
    <row r="4080" ht="18" customHeight="1"/>
    <row r="4081" ht="18" customHeight="1"/>
    <row r="4082" ht="18" customHeight="1"/>
    <row r="4083" ht="18" customHeight="1"/>
    <row r="4084" ht="18" customHeight="1"/>
    <row r="4085" ht="18" customHeight="1"/>
    <row r="4086" ht="18" customHeight="1"/>
    <row r="4087" ht="18" customHeight="1"/>
    <row r="4088" ht="18" customHeight="1"/>
    <row r="4089" ht="18" customHeight="1"/>
    <row r="4090" ht="18" customHeight="1"/>
    <row r="4091" ht="18" customHeight="1"/>
    <row r="4092" ht="18" customHeight="1"/>
    <row r="4093" ht="18" customHeight="1"/>
    <row r="4094" ht="18" customHeight="1"/>
    <row r="4095" ht="18" customHeight="1"/>
    <row r="4096" ht="18" customHeight="1"/>
    <row r="4097" ht="18" customHeight="1"/>
    <row r="4098" ht="18" customHeight="1"/>
    <row r="4099" ht="18" customHeight="1"/>
    <row r="4100" ht="18" customHeight="1"/>
    <row r="4101" ht="18" customHeight="1"/>
    <row r="4102" ht="18" customHeight="1"/>
    <row r="4103" ht="18" customHeight="1"/>
    <row r="4104" ht="18" customHeight="1"/>
    <row r="4105" ht="18" customHeight="1"/>
    <row r="4106" ht="18" customHeight="1"/>
    <row r="4107" ht="18" customHeight="1"/>
    <row r="4108" ht="18" customHeight="1"/>
    <row r="4109" ht="18" customHeight="1"/>
    <row r="4110" ht="18" customHeight="1"/>
    <row r="4111" ht="18" customHeight="1"/>
    <row r="4112" ht="18" customHeight="1"/>
    <row r="4113" ht="18" customHeight="1"/>
    <row r="4114" ht="18" customHeight="1"/>
    <row r="4115" ht="18" customHeight="1"/>
    <row r="4116" ht="18" customHeight="1"/>
    <row r="4117" ht="18" customHeight="1"/>
    <row r="4118" ht="18" customHeight="1"/>
    <row r="4119" ht="18" customHeight="1"/>
    <row r="4120" ht="18" customHeight="1"/>
    <row r="4121" ht="18" customHeight="1"/>
    <row r="4122" ht="18" customHeight="1"/>
    <row r="4123" ht="18" customHeight="1"/>
    <row r="4124" ht="18" customHeight="1"/>
    <row r="4125" ht="18" customHeight="1"/>
    <row r="4126" ht="18" customHeight="1"/>
    <row r="4127" ht="18" customHeight="1"/>
    <row r="4128" ht="18" customHeight="1"/>
    <row r="4129" ht="18" customHeight="1"/>
    <row r="4130" ht="18" customHeight="1"/>
    <row r="4131" ht="18" customHeight="1"/>
    <row r="4132" ht="18" customHeight="1"/>
    <row r="4133" ht="18" customHeight="1"/>
    <row r="4134" ht="18" customHeight="1"/>
    <row r="4135" ht="18" customHeight="1"/>
    <row r="4136" ht="18" customHeight="1"/>
    <row r="4137" ht="18" customHeight="1"/>
    <row r="4138" ht="18" customHeight="1"/>
    <row r="4139" ht="18" customHeight="1"/>
    <row r="4140" ht="18" customHeight="1"/>
    <row r="4141" ht="18" customHeight="1"/>
    <row r="4142" ht="18" customHeight="1"/>
    <row r="4143" ht="18" customHeight="1"/>
    <row r="4144" ht="18" customHeight="1"/>
    <row r="4145" ht="18" customHeight="1"/>
    <row r="4146" ht="18" customHeight="1"/>
    <row r="4147" ht="18" customHeight="1"/>
    <row r="4148" ht="18" customHeight="1"/>
    <row r="4149" ht="18" customHeight="1"/>
    <row r="4150" ht="18" customHeight="1"/>
    <row r="4151" ht="18" customHeight="1"/>
    <row r="4152" ht="18" customHeight="1"/>
    <row r="4153" ht="18" customHeight="1"/>
    <row r="4154" ht="18" customHeight="1"/>
    <row r="4155" ht="18" customHeight="1"/>
    <row r="4156" ht="18" customHeight="1"/>
    <row r="4157" ht="18" customHeight="1"/>
    <row r="4158" ht="18" customHeight="1"/>
    <row r="4159" ht="18" customHeight="1"/>
    <row r="4160" ht="18" customHeight="1"/>
    <row r="4161" ht="18" customHeight="1"/>
    <row r="4162" ht="18" customHeight="1"/>
    <row r="4163" ht="18" customHeight="1"/>
    <row r="4164" ht="18" customHeight="1"/>
    <row r="4165" ht="18" customHeight="1"/>
    <row r="4166" ht="18" customHeight="1"/>
    <row r="4167" ht="18" customHeight="1"/>
    <row r="4168" ht="18" customHeight="1"/>
    <row r="4169" ht="18" customHeight="1"/>
    <row r="4170" ht="18" customHeight="1"/>
    <row r="4171" ht="18" customHeight="1"/>
    <row r="4172" ht="18" customHeight="1"/>
    <row r="4173" ht="18" customHeight="1"/>
    <row r="4174" ht="18" customHeight="1"/>
    <row r="4175" ht="18" customHeight="1"/>
    <row r="4176" ht="18" customHeight="1"/>
    <row r="4177" ht="18" customHeight="1"/>
    <row r="4178" ht="18" customHeight="1"/>
    <row r="4179" ht="18" customHeight="1"/>
    <row r="4180" ht="18" customHeight="1"/>
    <row r="4181" ht="18" customHeight="1"/>
    <row r="4182" ht="18" customHeight="1"/>
    <row r="4183" ht="18" customHeight="1"/>
    <row r="4184" ht="18" customHeight="1"/>
    <row r="4185" ht="18" customHeight="1"/>
    <row r="4186" ht="18" customHeight="1"/>
    <row r="4187" ht="18" customHeight="1"/>
    <row r="4188" ht="18" customHeight="1"/>
    <row r="4189" ht="18" customHeight="1"/>
    <row r="4190" ht="18" customHeight="1"/>
    <row r="4191" ht="18" customHeight="1"/>
    <row r="4192" ht="18" customHeight="1"/>
    <row r="4193" ht="18" customHeight="1"/>
    <row r="4194" ht="18" customHeight="1"/>
    <row r="4195" ht="18" customHeight="1"/>
    <row r="4196" ht="18" customHeight="1"/>
    <row r="4197" ht="18" customHeight="1"/>
    <row r="4198" ht="18" customHeight="1"/>
    <row r="4199" ht="18" customHeight="1"/>
    <row r="4200" ht="18" customHeight="1"/>
    <row r="4201" ht="18" customHeight="1"/>
    <row r="4202" ht="18" customHeight="1"/>
    <row r="4203" ht="18" customHeight="1"/>
    <row r="4204" ht="18" customHeight="1"/>
    <row r="4205" ht="18" customHeight="1"/>
    <row r="4206" ht="18" customHeight="1"/>
    <row r="4207" ht="18" customHeight="1"/>
    <row r="4208" ht="18" customHeight="1"/>
    <row r="4209" ht="18" customHeight="1"/>
    <row r="4210" ht="18" customHeight="1"/>
    <row r="4211" ht="18" customHeight="1"/>
    <row r="4212" ht="18" customHeight="1"/>
    <row r="4213" ht="18" customHeight="1"/>
    <row r="4214" ht="18" customHeight="1"/>
    <row r="4215" ht="18" customHeight="1"/>
    <row r="4216" ht="18" customHeight="1"/>
    <row r="4217" ht="18" customHeight="1"/>
    <row r="4218" ht="18" customHeight="1"/>
    <row r="4219" ht="18" customHeight="1"/>
    <row r="4220" ht="18" customHeight="1"/>
    <row r="4221" ht="18" customHeight="1"/>
    <row r="4222" ht="18" customHeight="1"/>
    <row r="4223" ht="18" customHeight="1"/>
    <row r="4224" ht="18" customHeight="1"/>
    <row r="4225" ht="18" customHeight="1"/>
    <row r="4226" ht="18" customHeight="1"/>
    <row r="4227" ht="18" customHeight="1"/>
    <row r="4228" ht="18" customHeight="1"/>
    <row r="4229" ht="18" customHeight="1"/>
    <row r="4230" ht="18" customHeight="1"/>
    <row r="4231" ht="18" customHeight="1"/>
    <row r="4232" ht="18" customHeight="1"/>
    <row r="4233" ht="18" customHeight="1"/>
    <row r="4234" ht="18" customHeight="1"/>
    <row r="4235" ht="18" customHeight="1"/>
    <row r="4236" ht="18" customHeight="1"/>
    <row r="4237" ht="18" customHeight="1"/>
    <row r="4238" ht="18" customHeight="1"/>
    <row r="4239" ht="18" customHeight="1"/>
    <row r="4240" ht="18" customHeight="1"/>
    <row r="4241" ht="18" customHeight="1"/>
    <row r="4242" ht="18" customHeight="1"/>
    <row r="4243" ht="18" customHeight="1"/>
    <row r="4244" ht="18" customHeight="1"/>
    <row r="4245" ht="18" customHeight="1"/>
    <row r="4246" ht="18" customHeight="1"/>
    <row r="4247" ht="18" customHeight="1"/>
    <row r="4248" ht="18" customHeight="1"/>
    <row r="4249" ht="18" customHeight="1"/>
    <row r="4250" ht="18" customHeight="1"/>
    <row r="4251" ht="18" customHeight="1"/>
    <row r="4252" ht="18" customHeight="1"/>
    <row r="4253" ht="18" customHeight="1"/>
    <row r="4254" ht="18" customHeight="1"/>
    <row r="4255" ht="18" customHeight="1"/>
    <row r="4256" ht="18" customHeight="1"/>
    <row r="4257" ht="18" customHeight="1"/>
    <row r="4258" ht="18" customHeight="1"/>
    <row r="4259" ht="18" customHeight="1"/>
    <row r="4260" ht="18" customHeight="1"/>
    <row r="4261" ht="18" customHeight="1"/>
    <row r="4262" ht="18" customHeight="1"/>
    <row r="4263" ht="18" customHeight="1"/>
    <row r="4264" ht="18" customHeight="1"/>
    <row r="4265" ht="18" customHeight="1"/>
    <row r="4266" ht="18" customHeight="1"/>
    <row r="4267" ht="18" customHeight="1"/>
    <row r="4268" ht="18" customHeight="1"/>
    <row r="4269" ht="18" customHeight="1"/>
    <row r="4270" ht="18" customHeight="1"/>
    <row r="4271" ht="18" customHeight="1"/>
    <row r="4272" ht="18" customHeight="1"/>
    <row r="4273" ht="18" customHeight="1"/>
    <row r="4274" ht="18" customHeight="1"/>
    <row r="4275" ht="18" customHeight="1"/>
    <row r="4276" ht="18" customHeight="1"/>
    <row r="4277" ht="18" customHeight="1"/>
    <row r="4278" ht="18" customHeight="1"/>
    <row r="4279" ht="18" customHeight="1"/>
    <row r="4280" ht="18" customHeight="1"/>
    <row r="4281" ht="18" customHeight="1"/>
    <row r="4282" ht="18" customHeight="1"/>
    <row r="4283" ht="18" customHeight="1"/>
    <row r="4284" ht="18" customHeight="1"/>
    <row r="4285" ht="18" customHeight="1"/>
    <row r="4286" ht="18" customHeight="1"/>
    <row r="4287" ht="18" customHeight="1"/>
    <row r="4288" ht="18" customHeight="1"/>
    <row r="4289" ht="18" customHeight="1"/>
    <row r="4290" ht="18" customHeight="1"/>
    <row r="4291" ht="18" customHeight="1"/>
    <row r="4292" ht="18" customHeight="1"/>
    <row r="4293" ht="18" customHeight="1"/>
    <row r="4294" ht="18" customHeight="1"/>
    <row r="4295" ht="18" customHeight="1"/>
    <row r="4296" ht="18" customHeight="1"/>
    <row r="4297" ht="18" customHeight="1"/>
    <row r="4298" ht="18" customHeight="1"/>
    <row r="4299" ht="18" customHeight="1"/>
    <row r="4300" ht="18" customHeight="1"/>
    <row r="4301" ht="18" customHeight="1"/>
    <row r="4302" ht="18" customHeight="1"/>
    <row r="4303" ht="18" customHeight="1"/>
    <row r="4304" ht="18" customHeight="1"/>
    <row r="4305" ht="18" customHeight="1"/>
    <row r="4306" ht="18" customHeight="1"/>
    <row r="4307" ht="18" customHeight="1"/>
    <row r="4308" ht="18" customHeight="1"/>
    <row r="4309" ht="18" customHeight="1"/>
    <row r="4310" ht="18" customHeight="1"/>
    <row r="4311" ht="18" customHeight="1"/>
    <row r="4312" ht="18" customHeight="1"/>
    <row r="4313" ht="18" customHeight="1"/>
    <row r="4314" ht="18" customHeight="1"/>
    <row r="4315" ht="18" customHeight="1"/>
    <row r="4316" ht="18" customHeight="1"/>
    <row r="4317" ht="18" customHeight="1"/>
    <row r="4318" ht="18" customHeight="1"/>
    <row r="4319" ht="18" customHeight="1"/>
    <row r="4320" ht="18" customHeight="1"/>
    <row r="4321" ht="18" customHeight="1"/>
    <row r="4322" ht="18" customHeight="1"/>
    <row r="4323" ht="18" customHeight="1"/>
    <row r="4324" ht="18" customHeight="1"/>
    <row r="4325" ht="18" customHeight="1"/>
    <row r="4326" ht="18" customHeight="1"/>
    <row r="4327" ht="18" customHeight="1"/>
    <row r="4328" ht="18" customHeight="1"/>
    <row r="4329" ht="18" customHeight="1"/>
    <row r="4330" ht="18" customHeight="1"/>
    <row r="4331" ht="18" customHeight="1"/>
    <row r="4332" ht="18" customHeight="1"/>
    <row r="4333" ht="18" customHeight="1"/>
    <row r="4334" ht="18" customHeight="1"/>
    <row r="4335" ht="18" customHeight="1"/>
    <row r="4336" ht="18" customHeight="1"/>
    <row r="4337" ht="18" customHeight="1"/>
    <row r="4338" ht="18" customHeight="1"/>
    <row r="4339" ht="18" customHeight="1"/>
    <row r="4340" ht="18" customHeight="1"/>
    <row r="4341" ht="18" customHeight="1"/>
    <row r="4342" ht="18" customHeight="1"/>
    <row r="4343" ht="18" customHeight="1"/>
    <row r="4344" ht="18" customHeight="1"/>
    <row r="4345" ht="18" customHeight="1"/>
    <row r="4346" ht="18" customHeight="1"/>
    <row r="4347" ht="18" customHeight="1"/>
    <row r="4348" ht="18" customHeight="1"/>
    <row r="4349" ht="18" customHeight="1"/>
    <row r="4350" ht="18" customHeight="1"/>
    <row r="4351" ht="18" customHeight="1"/>
    <row r="4352" ht="18" customHeight="1"/>
    <row r="4353" ht="18" customHeight="1"/>
    <row r="4354" ht="18" customHeight="1"/>
    <row r="4355" ht="18" customHeight="1"/>
    <row r="4356" ht="18" customHeight="1"/>
    <row r="4357" ht="18" customHeight="1"/>
    <row r="4358" ht="18" customHeight="1"/>
    <row r="4359" ht="18" customHeight="1"/>
    <row r="4360" ht="18" customHeight="1"/>
    <row r="4361" ht="18" customHeight="1"/>
    <row r="4362" ht="18" customHeight="1"/>
    <row r="4363" ht="18" customHeight="1"/>
    <row r="4364" ht="18" customHeight="1"/>
    <row r="4365" ht="18" customHeight="1"/>
    <row r="4366" ht="18" customHeight="1"/>
    <row r="4367" ht="18" customHeight="1"/>
    <row r="4368" ht="18" customHeight="1"/>
    <row r="4369" ht="18" customHeight="1"/>
    <row r="4370" ht="18" customHeight="1"/>
    <row r="4371" ht="18" customHeight="1"/>
    <row r="4372" ht="18" customHeight="1"/>
    <row r="4373" ht="18" customHeight="1"/>
    <row r="4374" ht="18" customHeight="1"/>
    <row r="4375" ht="18" customHeight="1"/>
    <row r="4376" ht="18" customHeight="1"/>
    <row r="4377" ht="18" customHeight="1"/>
    <row r="4378" ht="18" customHeight="1"/>
    <row r="4379" ht="18" customHeight="1"/>
    <row r="4380" ht="18" customHeight="1"/>
    <row r="4381" ht="18" customHeight="1"/>
    <row r="4382" ht="18" customHeight="1"/>
    <row r="4383" ht="18" customHeight="1"/>
    <row r="4384" ht="18" customHeight="1"/>
    <row r="4385" ht="18" customHeight="1"/>
    <row r="4386" ht="18" customHeight="1"/>
    <row r="4387" ht="18" customHeight="1"/>
    <row r="4388" ht="18" customHeight="1"/>
    <row r="4389" ht="18" customHeight="1"/>
    <row r="4390" ht="18" customHeight="1"/>
    <row r="4391" ht="18" customHeight="1"/>
    <row r="4392" ht="18" customHeight="1"/>
    <row r="4393" ht="18" customHeight="1"/>
    <row r="4394" ht="18" customHeight="1"/>
    <row r="4395" ht="18" customHeight="1"/>
    <row r="4396" ht="18" customHeight="1"/>
    <row r="4397" ht="18" customHeight="1"/>
    <row r="4398" ht="18" customHeight="1"/>
    <row r="4399" ht="18" customHeight="1"/>
    <row r="4400" ht="18" customHeight="1"/>
    <row r="4401" ht="18" customHeight="1"/>
    <row r="4402" ht="18" customHeight="1"/>
    <row r="4403" ht="18" customHeight="1"/>
    <row r="4404" ht="18" customHeight="1"/>
    <row r="4405" ht="18" customHeight="1"/>
    <row r="4406" ht="18" customHeight="1"/>
    <row r="4407" ht="18" customHeight="1"/>
    <row r="4408" ht="18" customHeight="1"/>
    <row r="4409" ht="18" customHeight="1"/>
    <row r="4410" ht="18" customHeight="1"/>
    <row r="4411" ht="18" customHeight="1"/>
    <row r="4412" ht="18" customHeight="1"/>
    <row r="4413" ht="18" customHeight="1"/>
    <row r="4414" ht="18" customHeight="1"/>
    <row r="4415" ht="18" customHeight="1"/>
    <row r="4416" ht="18" customHeight="1"/>
    <row r="4417" ht="18" customHeight="1"/>
    <row r="4418" ht="18" customHeight="1"/>
    <row r="4419" ht="18" customHeight="1"/>
    <row r="4420" ht="18" customHeight="1"/>
    <row r="4421" ht="18" customHeight="1"/>
    <row r="4422" ht="18" customHeight="1"/>
    <row r="4423" ht="18" customHeight="1"/>
    <row r="4424" ht="18" customHeight="1"/>
    <row r="4425" ht="18" customHeight="1"/>
    <row r="4426" ht="18" customHeight="1"/>
    <row r="4427" ht="18" customHeight="1"/>
    <row r="4428" ht="18" customHeight="1"/>
    <row r="4429" ht="18" customHeight="1"/>
    <row r="4430" ht="18" customHeight="1"/>
    <row r="4431" ht="18" customHeight="1"/>
    <row r="4432" ht="18" customHeight="1"/>
    <row r="4433" ht="18" customHeight="1"/>
    <row r="4434" ht="18" customHeight="1"/>
    <row r="4435" ht="18" customHeight="1"/>
    <row r="4436" ht="18" customHeight="1"/>
    <row r="4437" ht="18" customHeight="1"/>
    <row r="4438" ht="18" customHeight="1"/>
    <row r="4439" ht="18" customHeight="1"/>
    <row r="4440" ht="18" customHeight="1"/>
    <row r="4441" ht="18" customHeight="1"/>
    <row r="4442" ht="18" customHeight="1"/>
    <row r="4443" ht="18" customHeight="1"/>
    <row r="4444" ht="18" customHeight="1"/>
    <row r="4445" ht="18" customHeight="1"/>
    <row r="4446" ht="18" customHeight="1"/>
    <row r="4447" ht="18" customHeight="1"/>
    <row r="4448" ht="18" customHeight="1"/>
    <row r="4449" ht="18" customHeight="1"/>
    <row r="4450" ht="18" customHeight="1"/>
    <row r="4451" ht="18" customHeight="1"/>
    <row r="4452" ht="18" customHeight="1"/>
    <row r="4453" ht="18" customHeight="1"/>
    <row r="4454" ht="18" customHeight="1"/>
    <row r="4455" ht="18" customHeight="1"/>
    <row r="4456" ht="18" customHeight="1"/>
    <row r="4457" ht="18" customHeight="1"/>
    <row r="4458" ht="18" customHeight="1"/>
    <row r="4459" ht="18" customHeight="1"/>
    <row r="4460" ht="18" customHeight="1"/>
    <row r="4461" ht="18" customHeight="1"/>
    <row r="4462" ht="18" customHeight="1"/>
    <row r="4463" ht="18" customHeight="1"/>
    <row r="4464" ht="18" customHeight="1"/>
    <row r="4465" ht="18" customHeight="1"/>
    <row r="4466" ht="18" customHeight="1"/>
    <row r="4467" ht="18" customHeight="1"/>
    <row r="4468" ht="18" customHeight="1"/>
    <row r="4469" ht="18" customHeight="1"/>
    <row r="4470" ht="18" customHeight="1"/>
    <row r="4471" ht="18" customHeight="1"/>
    <row r="4472" ht="18" customHeight="1"/>
    <row r="4473" ht="18" customHeight="1"/>
    <row r="4474" ht="18" customHeight="1"/>
    <row r="4475" ht="18" customHeight="1"/>
    <row r="4476" ht="18" customHeight="1"/>
    <row r="4477" ht="18" customHeight="1"/>
    <row r="4478" ht="18" customHeight="1"/>
    <row r="4479" ht="18" customHeight="1"/>
    <row r="4480" ht="18" customHeight="1"/>
    <row r="4481" ht="18" customHeight="1"/>
    <row r="4482" ht="18" customHeight="1"/>
    <row r="4483" ht="18" customHeight="1"/>
    <row r="4484" ht="18" customHeight="1"/>
    <row r="4485" ht="18" customHeight="1"/>
    <row r="4486" ht="18" customHeight="1"/>
    <row r="4487" ht="18" customHeight="1"/>
    <row r="4488" ht="18" customHeight="1"/>
    <row r="4489" ht="18" customHeight="1"/>
    <row r="4490" ht="18" customHeight="1"/>
    <row r="4491" ht="18" customHeight="1"/>
    <row r="4492" ht="18" customHeight="1"/>
    <row r="4493" ht="18" customHeight="1"/>
    <row r="4494" ht="18" customHeight="1"/>
    <row r="4495" ht="18" customHeight="1"/>
    <row r="4496" ht="18" customHeight="1"/>
    <row r="4497" ht="18" customHeight="1"/>
    <row r="4498" ht="18" customHeight="1"/>
    <row r="4499" ht="18" customHeight="1"/>
    <row r="4500" ht="18" customHeight="1"/>
    <row r="4501" ht="18" customHeight="1"/>
    <row r="4502" ht="18" customHeight="1"/>
    <row r="4503" ht="18" customHeight="1"/>
    <row r="4504" ht="18" customHeight="1"/>
    <row r="4505" ht="18" customHeight="1"/>
    <row r="4506" ht="18" customHeight="1"/>
    <row r="4507" ht="18" customHeight="1"/>
    <row r="4508" ht="18" customHeight="1"/>
    <row r="4509" ht="18" customHeight="1"/>
    <row r="4510" ht="18" customHeight="1"/>
    <row r="4511" ht="18" customHeight="1"/>
    <row r="4512" ht="18" customHeight="1"/>
    <row r="4513" ht="18" customHeight="1"/>
    <row r="4514" ht="18" customHeight="1"/>
    <row r="4515" ht="18" customHeight="1"/>
    <row r="4516" ht="18" customHeight="1"/>
    <row r="4517" ht="18" customHeight="1"/>
    <row r="4518" ht="18" customHeight="1"/>
    <row r="4519" ht="18" customHeight="1"/>
    <row r="4520" ht="18" customHeight="1"/>
    <row r="4521" ht="18" customHeight="1"/>
    <row r="4522" ht="18" customHeight="1"/>
    <row r="4523" ht="18" customHeight="1"/>
    <row r="4524" ht="18" customHeight="1"/>
    <row r="4525" ht="18" customHeight="1"/>
    <row r="4526" ht="18" customHeight="1"/>
    <row r="4527" ht="18" customHeight="1"/>
    <row r="4528" ht="18" customHeight="1"/>
    <row r="4529" ht="18" customHeight="1"/>
    <row r="4530" ht="18" customHeight="1"/>
    <row r="4531" ht="18" customHeight="1"/>
    <row r="4532" ht="18" customHeight="1"/>
    <row r="4533" ht="18" customHeight="1"/>
    <row r="4534" ht="18" customHeight="1"/>
    <row r="4535" ht="18" customHeight="1"/>
    <row r="4536" ht="18" customHeight="1"/>
    <row r="4537" ht="18" customHeight="1"/>
    <row r="4538" ht="18" customHeight="1"/>
    <row r="4539" ht="18" customHeight="1"/>
    <row r="4540" ht="18" customHeight="1"/>
    <row r="4541" ht="18" customHeight="1"/>
    <row r="4542" ht="18" customHeight="1"/>
    <row r="4543" ht="18" customHeight="1"/>
    <row r="4544" ht="18" customHeight="1"/>
    <row r="4545" ht="18" customHeight="1"/>
    <row r="4546" ht="18" customHeight="1"/>
    <row r="4547" ht="18" customHeight="1"/>
    <row r="4548" ht="18" customHeight="1"/>
    <row r="4549" ht="18" customHeight="1"/>
    <row r="4550" ht="18" customHeight="1"/>
    <row r="4551" ht="18" customHeight="1"/>
    <row r="4552" ht="18" customHeight="1"/>
    <row r="4553" ht="18" customHeight="1"/>
    <row r="4554" ht="18" customHeight="1"/>
    <row r="4555" ht="18" customHeight="1"/>
    <row r="4556" ht="18" customHeight="1"/>
    <row r="4557" ht="18" customHeight="1"/>
    <row r="4558" ht="18" customHeight="1"/>
    <row r="4559" ht="18" customHeight="1"/>
    <row r="4560" ht="18" customHeight="1"/>
    <row r="4561" ht="18" customHeight="1"/>
    <row r="4562" ht="18" customHeight="1"/>
    <row r="4563" ht="18" customHeight="1"/>
    <row r="4564" ht="18" customHeight="1"/>
    <row r="4565" ht="18" customHeight="1"/>
    <row r="4566" ht="18" customHeight="1"/>
    <row r="4567" ht="18" customHeight="1"/>
    <row r="4568" ht="18" customHeight="1"/>
    <row r="4569" ht="18" customHeight="1"/>
    <row r="4570" ht="18" customHeight="1"/>
    <row r="4571" ht="18" customHeight="1"/>
    <row r="4572" ht="18" customHeight="1"/>
    <row r="4573" ht="18" customHeight="1"/>
    <row r="4574" ht="18" customHeight="1"/>
    <row r="4575" ht="18" customHeight="1"/>
    <row r="4576" ht="18" customHeight="1"/>
    <row r="4577" ht="18" customHeight="1"/>
    <row r="4578" ht="18" customHeight="1"/>
    <row r="4579" ht="18" customHeight="1"/>
    <row r="4580" ht="18" customHeight="1"/>
    <row r="4581" ht="18" customHeight="1"/>
    <row r="4582" ht="18" customHeight="1"/>
    <row r="4583" ht="18" customHeight="1"/>
    <row r="4584" ht="18" customHeight="1"/>
    <row r="4585" ht="18" customHeight="1"/>
    <row r="4586" ht="18" customHeight="1"/>
    <row r="4587" ht="18" customHeight="1"/>
    <row r="4588" ht="18" customHeight="1"/>
    <row r="4589" ht="18" customHeight="1"/>
    <row r="4590" ht="18" customHeight="1"/>
    <row r="4591" ht="18" customHeight="1"/>
    <row r="4592" ht="18" customHeight="1"/>
    <row r="4593" ht="18" customHeight="1"/>
    <row r="4594" ht="18" customHeight="1"/>
    <row r="4595" ht="18" customHeight="1"/>
    <row r="4596" ht="18" customHeight="1"/>
    <row r="4597" ht="18" customHeight="1"/>
    <row r="4598" ht="18" customHeight="1"/>
    <row r="4599" ht="18" customHeight="1"/>
    <row r="4600" ht="18" customHeight="1"/>
    <row r="4601" ht="18" customHeight="1"/>
    <row r="4602" ht="18" customHeight="1"/>
    <row r="4603" ht="18" customHeight="1"/>
    <row r="4604" ht="18" customHeight="1"/>
    <row r="4605" ht="18" customHeight="1"/>
    <row r="4606" ht="18" customHeight="1"/>
    <row r="4607" ht="18" customHeight="1"/>
    <row r="4608" ht="18" customHeight="1"/>
    <row r="4609" ht="18" customHeight="1"/>
    <row r="4610" ht="18" customHeight="1"/>
    <row r="4611" ht="18" customHeight="1"/>
    <row r="4612" ht="18" customHeight="1"/>
    <row r="4613" ht="18" customHeight="1"/>
    <row r="4614" ht="18" customHeight="1"/>
    <row r="4615" ht="18" customHeight="1"/>
    <row r="4616" ht="18" customHeight="1"/>
    <row r="4617" ht="18" customHeight="1"/>
    <row r="4618" ht="18" customHeight="1"/>
    <row r="4619" ht="18" customHeight="1"/>
    <row r="4620" ht="18" customHeight="1"/>
    <row r="4621" ht="18" customHeight="1"/>
    <row r="4622" ht="18" customHeight="1"/>
    <row r="4623" ht="18" customHeight="1"/>
    <row r="4624" ht="18" customHeight="1"/>
    <row r="4625" ht="18" customHeight="1"/>
    <row r="4626" ht="18" customHeight="1"/>
    <row r="4627" ht="18" customHeight="1"/>
    <row r="4628" ht="18" customHeight="1"/>
    <row r="4629" ht="18" customHeight="1"/>
    <row r="4630" ht="18" customHeight="1"/>
    <row r="4631" ht="18" customHeight="1"/>
    <row r="4632" ht="18" customHeight="1"/>
    <row r="4633" ht="18" customHeight="1"/>
    <row r="4634" ht="18" customHeight="1"/>
    <row r="4635" ht="18" customHeight="1"/>
    <row r="4636" ht="18" customHeight="1"/>
    <row r="4637" ht="18" customHeight="1"/>
    <row r="4638" ht="18" customHeight="1"/>
    <row r="4639" ht="18" customHeight="1"/>
    <row r="4640" ht="18" customHeight="1"/>
    <row r="4641" ht="18" customHeight="1"/>
    <row r="4642" ht="18" customHeight="1"/>
    <row r="4643" ht="18" customHeight="1"/>
    <row r="4644" ht="18" customHeight="1"/>
    <row r="4645" ht="18" customHeight="1"/>
    <row r="4646" ht="18" customHeight="1"/>
    <row r="4647" ht="18" customHeight="1"/>
    <row r="4648" ht="18" customHeight="1"/>
    <row r="4649" ht="18" customHeight="1"/>
    <row r="4650" ht="18" customHeight="1"/>
    <row r="4651" ht="18" customHeight="1"/>
    <row r="4652" ht="18" customHeight="1"/>
    <row r="4653" ht="18" customHeight="1"/>
    <row r="4654" ht="18" customHeight="1"/>
    <row r="4655" ht="18" customHeight="1"/>
    <row r="4656" ht="18" customHeight="1"/>
    <row r="4657" ht="18" customHeight="1"/>
    <row r="4658" ht="18" customHeight="1"/>
    <row r="4659" ht="18" customHeight="1"/>
    <row r="4660" ht="18" customHeight="1"/>
    <row r="4661" ht="18" customHeight="1"/>
    <row r="4662" ht="18" customHeight="1"/>
    <row r="4663" ht="18" customHeight="1"/>
    <row r="4664" ht="18" customHeight="1"/>
    <row r="4665" ht="18" customHeight="1"/>
    <row r="4666" ht="18" customHeight="1"/>
    <row r="4667" ht="18" customHeight="1"/>
    <row r="4668" ht="18" customHeight="1"/>
    <row r="4669" ht="18" customHeight="1"/>
    <row r="4670" ht="18" customHeight="1"/>
    <row r="4671" ht="18" customHeight="1"/>
    <row r="4672" ht="18" customHeight="1"/>
    <row r="4673" ht="18" customHeight="1"/>
    <row r="4674" ht="18" customHeight="1"/>
    <row r="4675" ht="18" customHeight="1"/>
    <row r="4676" ht="18" customHeight="1"/>
    <row r="4677" ht="18" customHeight="1"/>
    <row r="4678" ht="18" customHeight="1"/>
    <row r="4679" ht="18" customHeight="1"/>
    <row r="4680" ht="18" customHeight="1"/>
    <row r="4681" ht="18" customHeight="1"/>
    <row r="4682" ht="18" customHeight="1"/>
    <row r="4683" ht="18" customHeight="1"/>
    <row r="4684" ht="18" customHeight="1"/>
    <row r="4685" ht="18" customHeight="1"/>
    <row r="4686" ht="18" customHeight="1"/>
    <row r="4687" ht="18" customHeight="1"/>
    <row r="4688" ht="18" customHeight="1"/>
    <row r="4689" ht="18" customHeight="1"/>
    <row r="4690" ht="18" customHeight="1"/>
    <row r="4691" ht="18" customHeight="1"/>
    <row r="4692" ht="18" customHeight="1"/>
    <row r="4693" ht="18" customHeight="1"/>
    <row r="4694" ht="18" customHeight="1"/>
    <row r="4695" ht="18" customHeight="1"/>
    <row r="4696" ht="18" customHeight="1"/>
    <row r="4697" ht="18" customHeight="1"/>
    <row r="4698" ht="18" customHeight="1"/>
    <row r="4699" ht="18" customHeight="1"/>
    <row r="4700" ht="18" customHeight="1"/>
    <row r="4701" ht="18" customHeight="1"/>
    <row r="4702" ht="18" customHeight="1"/>
    <row r="4703" ht="18" customHeight="1"/>
    <row r="4704" ht="18" customHeight="1"/>
    <row r="4705" ht="18" customHeight="1"/>
    <row r="4706" ht="18" customHeight="1"/>
    <row r="4707" ht="18" customHeight="1"/>
    <row r="4708" ht="18" customHeight="1"/>
    <row r="4709" ht="18" customHeight="1"/>
    <row r="4710" ht="18" customHeight="1"/>
    <row r="4711" ht="18" customHeight="1"/>
    <row r="4712" ht="18" customHeight="1"/>
    <row r="4713" ht="18" customHeight="1"/>
    <row r="4714" ht="18" customHeight="1"/>
    <row r="4715" ht="18" customHeight="1"/>
    <row r="4716" ht="18" customHeight="1"/>
    <row r="4717" ht="18" customHeight="1"/>
    <row r="4718" ht="18" customHeight="1"/>
    <row r="4719" ht="18" customHeight="1"/>
    <row r="4720" ht="18" customHeight="1"/>
    <row r="4721" ht="18" customHeight="1"/>
    <row r="4722" ht="18" customHeight="1"/>
    <row r="4723" ht="18" customHeight="1"/>
    <row r="4724" ht="18" customHeight="1"/>
    <row r="4725" ht="18" customHeight="1"/>
    <row r="4726" ht="18" customHeight="1"/>
    <row r="4727" ht="18" customHeight="1"/>
    <row r="4728" ht="18" customHeight="1"/>
    <row r="4729" ht="18" customHeight="1"/>
    <row r="4730" ht="18" customHeight="1"/>
    <row r="4731" ht="18" customHeight="1"/>
    <row r="4732" ht="18" customHeight="1"/>
    <row r="4733" ht="18" customHeight="1"/>
    <row r="4734" ht="18" customHeight="1"/>
    <row r="4735" ht="18" customHeight="1"/>
    <row r="4736" ht="18" customHeight="1"/>
    <row r="4737" ht="18" customHeight="1"/>
    <row r="4738" ht="18" customHeight="1"/>
    <row r="4739" ht="18" customHeight="1"/>
    <row r="4740" ht="18" customHeight="1"/>
    <row r="4741" ht="18" customHeight="1"/>
    <row r="4742" ht="18" customHeight="1"/>
    <row r="4743" ht="18" customHeight="1"/>
    <row r="4744" ht="18" customHeight="1"/>
    <row r="4745" ht="18" customHeight="1"/>
    <row r="4746" ht="18" customHeight="1"/>
    <row r="4747" ht="18" customHeight="1"/>
    <row r="4748" ht="18" customHeight="1"/>
    <row r="4749" ht="18" customHeight="1"/>
    <row r="4750" ht="18" customHeight="1"/>
    <row r="4751" ht="18" customHeight="1"/>
    <row r="4752" ht="18" customHeight="1"/>
    <row r="4753" ht="18" customHeight="1"/>
    <row r="4754" ht="18" customHeight="1"/>
    <row r="4755" ht="18" customHeight="1"/>
    <row r="4756" ht="18" customHeight="1"/>
    <row r="4757" ht="18" customHeight="1"/>
    <row r="4758" ht="18" customHeight="1"/>
    <row r="4759" ht="18" customHeight="1"/>
    <row r="4760" ht="18" customHeight="1"/>
    <row r="4761" ht="18" customHeight="1"/>
    <row r="4762" ht="18" customHeight="1"/>
    <row r="4763" ht="18" customHeight="1"/>
    <row r="4764" ht="18" customHeight="1"/>
    <row r="4765" ht="18" customHeight="1"/>
    <row r="4766" ht="18" customHeight="1"/>
    <row r="4767" ht="18" customHeight="1"/>
    <row r="4768" ht="18" customHeight="1"/>
    <row r="4769" ht="18" customHeight="1"/>
    <row r="4770" ht="18" customHeight="1"/>
    <row r="4771" ht="18" customHeight="1"/>
    <row r="4772" ht="18" customHeight="1"/>
    <row r="4773" ht="18" customHeight="1"/>
    <row r="4774" ht="18" customHeight="1"/>
    <row r="4775" ht="18" customHeight="1"/>
    <row r="4776" ht="18" customHeight="1"/>
    <row r="4777" ht="18" customHeight="1"/>
    <row r="4778" ht="18" customHeight="1"/>
    <row r="4779" ht="18" customHeight="1"/>
    <row r="4780" ht="18" customHeight="1"/>
    <row r="4781" ht="18" customHeight="1"/>
    <row r="4782" ht="18" customHeight="1"/>
    <row r="4783" ht="18" customHeight="1"/>
    <row r="4784" ht="18" customHeight="1"/>
    <row r="4785" ht="18" customHeight="1"/>
    <row r="4786" ht="18" customHeight="1"/>
    <row r="4787" ht="18" customHeight="1"/>
    <row r="4788" ht="18" customHeight="1"/>
    <row r="4789" ht="18" customHeight="1"/>
    <row r="4790" ht="18" customHeight="1"/>
    <row r="4791" ht="18" customHeight="1"/>
    <row r="4792" ht="18" customHeight="1"/>
    <row r="4793" ht="18" customHeight="1"/>
    <row r="4794" ht="18" customHeight="1"/>
    <row r="4795" ht="18" customHeight="1"/>
    <row r="4796" ht="18" customHeight="1"/>
    <row r="4797" ht="18" customHeight="1"/>
    <row r="4798" ht="18" customHeight="1"/>
    <row r="4799" ht="18" customHeight="1"/>
    <row r="4800" ht="18" customHeight="1"/>
    <row r="4801" ht="18" customHeight="1"/>
    <row r="4802" ht="18" customHeight="1"/>
    <row r="4803" ht="18" customHeight="1"/>
    <row r="4804" ht="18" customHeight="1"/>
    <row r="4805" ht="18" customHeight="1"/>
    <row r="4806" ht="18" customHeight="1"/>
    <row r="4807" ht="18" customHeight="1"/>
    <row r="4808" ht="18" customHeight="1"/>
    <row r="4809" ht="18" customHeight="1"/>
    <row r="4810" ht="18" customHeight="1"/>
    <row r="4811" ht="18" customHeight="1"/>
    <row r="4812" ht="18" customHeight="1"/>
    <row r="4813" ht="18" customHeight="1"/>
    <row r="4814" ht="18" customHeight="1"/>
    <row r="4815" ht="18" customHeight="1"/>
    <row r="4816" ht="18" customHeight="1"/>
    <row r="4817" ht="18" customHeight="1"/>
    <row r="4818" ht="18" customHeight="1"/>
    <row r="4819" ht="18" customHeight="1"/>
    <row r="4820" ht="18" customHeight="1"/>
    <row r="4821" ht="18" customHeight="1"/>
    <row r="4822" ht="18" customHeight="1"/>
    <row r="4823" ht="18" customHeight="1"/>
    <row r="4824" ht="18" customHeight="1"/>
    <row r="4825" ht="18" customHeight="1"/>
    <row r="4826" ht="18" customHeight="1"/>
    <row r="4827" ht="18" customHeight="1"/>
    <row r="4828" ht="18" customHeight="1"/>
    <row r="4829" ht="18" customHeight="1"/>
    <row r="4830" ht="18" customHeight="1"/>
    <row r="4831" ht="18" customHeight="1"/>
    <row r="4832" ht="18" customHeight="1"/>
    <row r="4833" ht="18" customHeight="1"/>
    <row r="4834" ht="18" customHeight="1"/>
    <row r="4835" ht="18" customHeight="1"/>
    <row r="4836" ht="18" customHeight="1"/>
    <row r="4837" ht="18" customHeight="1"/>
    <row r="4838" ht="18" customHeight="1"/>
    <row r="4839" ht="18" customHeight="1"/>
    <row r="4840" ht="18" customHeight="1"/>
    <row r="4841" ht="18" customHeight="1"/>
    <row r="4842" ht="18" customHeight="1"/>
    <row r="4843" ht="18" customHeight="1"/>
    <row r="4844" ht="18" customHeight="1"/>
    <row r="4845" ht="18" customHeight="1"/>
    <row r="4846" ht="18" customHeight="1"/>
    <row r="4847" ht="18" customHeight="1"/>
    <row r="4848" ht="18" customHeight="1"/>
    <row r="4849" ht="18" customHeight="1"/>
    <row r="4850" ht="18" customHeight="1"/>
    <row r="4851" ht="18" customHeight="1"/>
    <row r="4852" ht="18" customHeight="1"/>
    <row r="4853" ht="18" customHeight="1"/>
    <row r="4854" ht="18" customHeight="1"/>
    <row r="4855" ht="18" customHeight="1"/>
    <row r="4856" ht="18" customHeight="1"/>
    <row r="4857" ht="18" customHeight="1"/>
    <row r="4858" ht="18" customHeight="1"/>
    <row r="4859" ht="18" customHeight="1"/>
    <row r="4860" ht="18" customHeight="1"/>
    <row r="4861" ht="18" customHeight="1"/>
    <row r="4862" ht="18" customHeight="1"/>
    <row r="4863" ht="18" customHeight="1"/>
    <row r="4864" ht="18" customHeight="1"/>
    <row r="4865" ht="18" customHeight="1"/>
    <row r="4866" ht="18" customHeight="1"/>
    <row r="4867" ht="18" customHeight="1"/>
    <row r="4868" ht="18" customHeight="1"/>
    <row r="4869" ht="18" customHeight="1"/>
    <row r="4870" ht="18" customHeight="1"/>
    <row r="4871" ht="18" customHeight="1"/>
    <row r="4872" ht="18" customHeight="1"/>
    <row r="4873" ht="18" customHeight="1"/>
    <row r="4874" ht="18" customHeight="1"/>
    <row r="4875" ht="18" customHeight="1"/>
    <row r="4876" ht="18" customHeight="1"/>
    <row r="4877" ht="18" customHeight="1"/>
    <row r="4878" ht="18" customHeight="1"/>
    <row r="4879" ht="18" customHeight="1"/>
    <row r="4880" ht="18" customHeight="1"/>
    <row r="4881" ht="18" customHeight="1"/>
    <row r="4882" ht="18" customHeight="1"/>
    <row r="4883" ht="18" customHeight="1"/>
    <row r="4884" ht="18" customHeight="1"/>
    <row r="4885" ht="18" customHeight="1"/>
    <row r="4886" ht="18" customHeight="1"/>
    <row r="4887" ht="18" customHeight="1"/>
    <row r="4888" ht="18" customHeight="1"/>
    <row r="4889" ht="18" customHeight="1"/>
    <row r="4890" ht="18" customHeight="1"/>
    <row r="4891" ht="18" customHeight="1"/>
    <row r="4892" ht="18" customHeight="1"/>
    <row r="4893" ht="18" customHeight="1"/>
    <row r="4894" ht="18" customHeight="1"/>
    <row r="4895" ht="18" customHeight="1"/>
    <row r="4896" ht="18" customHeight="1"/>
    <row r="4897" ht="18" customHeight="1"/>
    <row r="4898" ht="18" customHeight="1"/>
    <row r="4899" ht="18" customHeight="1"/>
    <row r="4900" ht="18" customHeight="1"/>
    <row r="4901" ht="18" customHeight="1"/>
    <row r="4902" ht="18" customHeight="1"/>
    <row r="4903" ht="18" customHeight="1"/>
    <row r="4904" ht="18" customHeight="1"/>
    <row r="4905" ht="18" customHeight="1"/>
    <row r="4906" ht="18" customHeight="1"/>
    <row r="4907" ht="18" customHeight="1"/>
    <row r="4908" ht="18" customHeight="1"/>
    <row r="4909" ht="18" customHeight="1"/>
    <row r="4910" ht="18" customHeight="1"/>
    <row r="4911" ht="18" customHeight="1"/>
    <row r="4912" ht="18" customHeight="1"/>
    <row r="4913" ht="18" customHeight="1"/>
    <row r="4914" ht="18" customHeight="1"/>
    <row r="4915" ht="18" customHeight="1"/>
    <row r="4916" ht="18" customHeight="1"/>
    <row r="4917" ht="18" customHeight="1"/>
    <row r="4918" ht="18" customHeight="1"/>
    <row r="4919" ht="18" customHeight="1"/>
    <row r="4920" ht="18" customHeight="1"/>
    <row r="4921" ht="18" customHeight="1"/>
    <row r="4922" ht="18" customHeight="1"/>
    <row r="4923" ht="18" customHeight="1"/>
    <row r="4924" ht="18" customHeight="1"/>
    <row r="4925" ht="18" customHeight="1"/>
    <row r="4926" ht="18" customHeight="1"/>
    <row r="4927" ht="18" customHeight="1"/>
    <row r="4928" ht="18" customHeight="1"/>
    <row r="4929" ht="18" customHeight="1"/>
    <row r="4930" ht="18" customHeight="1"/>
    <row r="4931" ht="18" customHeight="1"/>
    <row r="4932" ht="18" customHeight="1"/>
    <row r="4933" ht="18" customHeight="1"/>
    <row r="4934" ht="18" customHeight="1"/>
    <row r="4935" ht="18" customHeight="1"/>
    <row r="4936" ht="18" customHeight="1"/>
    <row r="4937" ht="18" customHeight="1"/>
    <row r="4938" ht="18" customHeight="1"/>
    <row r="4939" ht="18" customHeight="1"/>
    <row r="4940" ht="18" customHeight="1"/>
    <row r="4941" ht="18" customHeight="1"/>
    <row r="4942" ht="18" customHeight="1"/>
    <row r="4943" ht="18" customHeight="1"/>
    <row r="4944" ht="18" customHeight="1"/>
    <row r="4945" ht="18" customHeight="1"/>
    <row r="4946" ht="18" customHeight="1"/>
    <row r="4947" ht="18" customHeight="1"/>
    <row r="4948" ht="18" customHeight="1"/>
    <row r="4949" ht="18" customHeight="1"/>
    <row r="4950" ht="18" customHeight="1"/>
    <row r="4951" ht="18" customHeight="1"/>
    <row r="4952" ht="18" customHeight="1"/>
    <row r="4953" ht="18" customHeight="1"/>
    <row r="4954" ht="18" customHeight="1"/>
    <row r="4955" ht="18" customHeight="1"/>
    <row r="4956" ht="18" customHeight="1"/>
    <row r="4957" ht="18" customHeight="1"/>
    <row r="4958" ht="18" customHeight="1"/>
    <row r="4959" ht="18" customHeight="1"/>
    <row r="4960" ht="18" customHeight="1"/>
    <row r="4961" ht="18" customHeight="1"/>
    <row r="4962" ht="18" customHeight="1"/>
    <row r="4963" ht="18" customHeight="1"/>
    <row r="4964" ht="18" customHeight="1"/>
    <row r="4965" ht="18" customHeight="1"/>
    <row r="4966" ht="18" customHeight="1"/>
    <row r="4967" ht="18" customHeight="1"/>
    <row r="4968" ht="18" customHeight="1"/>
    <row r="4969" ht="18" customHeight="1"/>
    <row r="4970" ht="18" customHeight="1"/>
    <row r="4971" ht="18" customHeight="1"/>
    <row r="4972" ht="18" customHeight="1"/>
    <row r="4973" ht="18" customHeight="1"/>
    <row r="4974" ht="18" customHeight="1"/>
    <row r="4975" ht="18" customHeight="1"/>
    <row r="4976" ht="18" customHeight="1"/>
    <row r="4977" ht="18" customHeight="1"/>
    <row r="4978" ht="18" customHeight="1"/>
    <row r="4979" ht="18" customHeight="1"/>
    <row r="4980" ht="18" customHeight="1"/>
    <row r="4981" ht="18" customHeight="1"/>
    <row r="4982" ht="18" customHeight="1"/>
    <row r="4983" ht="18" customHeight="1"/>
    <row r="4984" ht="18" customHeight="1"/>
    <row r="4985" ht="18" customHeight="1"/>
    <row r="4986" ht="18" customHeight="1"/>
    <row r="4987" ht="18" customHeight="1"/>
    <row r="4988" ht="18" customHeight="1"/>
    <row r="4989" ht="18" customHeight="1"/>
    <row r="4990" ht="18" customHeight="1"/>
    <row r="4991" ht="18" customHeight="1"/>
    <row r="4992" ht="18" customHeight="1"/>
    <row r="4993" ht="18" customHeight="1"/>
    <row r="4994" ht="18" customHeight="1"/>
    <row r="4995" ht="18" customHeight="1"/>
    <row r="4996" ht="18" customHeight="1"/>
    <row r="4997" ht="18" customHeight="1"/>
    <row r="4998" ht="18" customHeight="1"/>
    <row r="4999" ht="18" customHeight="1"/>
    <row r="5000" ht="18" customHeight="1"/>
  </sheetData>
  <mergeCells count="1">
    <mergeCell ref="A2:AQ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Mode_emploi</vt:lpstr>
      <vt:lpstr>Saisie_Questions</vt:lpstr>
      <vt:lpstr>XML_QTI</vt:lpstr>
      <vt:lpstr>Generation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adm_v.sayah</cp:lastModifiedBy>
  <dcterms:modified xsi:type="dcterms:W3CDTF">2026-05-28T11:14:18Z</dcterms:modified>
</cp:coreProperties>
</file>